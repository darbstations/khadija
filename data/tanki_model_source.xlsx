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لخص التنفيذي" sheetId="1" state="visible" r:id="rId3"/>
    <sheet name="السيناريوهات" sheetId="2" state="visible" r:id="rId4"/>
    <sheet name="كيف يعمل النظام" sheetId="3" state="visible" r:id="rId5"/>
    <sheet name="محاكي العميل" sheetId="4" state="visible" r:id="rId6"/>
    <sheet name="خطة التوسع" sheetId="5" state="visible" r:id="rId7"/>
    <sheet name="محرر المستأجرين" sheetId="6" state="visible" r:id="rId8"/>
    <sheet name="حاسبة ROI" sheetId="7" state="visible" r:id="rId9"/>
    <sheet name="مقارنة السيناريوهات" sheetId="8" state="visible" r:id="rId10"/>
    <sheet name="قيمة النقطة" sheetId="9" state="visible" r:id="rId11"/>
    <sheet name="المستويات الثلاثة" sheetId="10" state="visible" r:id="rId12"/>
    <sheet name="تكلفة المحطات" sheetId="11" state="visible" r:id="rId13"/>
    <sheet name="التحصيل من الامتياز" sheetId="12" state="visible" r:id="rId14"/>
    <sheet name="التوقعات السنوية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<sst xmlns="http://schemas.openxmlformats.org/spreadsheetml/2006/main" count="823" uniqueCount="705">
  <si>
    <t xml:space="preserve">  درب · تانكي · النموذج المالي الاحترافي</t>
  </si>
  <si>
    <t xml:space="preserve">  Inflated Points Economy · نقاط مُضخّمة لإحساس بالثراء</t>
  </si>
  <si>
    <t xml:space="preserve">🤍 الكاش باك (الأبيض)</t>
  </si>
  <si>
    <t xml:space="preserve">🩶 الكاش باك (الفضي)</t>
  </si>
  <si>
    <t xml:space="preserve">🟠 الكاش باك (البرتقالي)</t>
  </si>
  <si>
    <t xml:space="preserve">1% من كل ريال إنفاق</t>
  </si>
  <si>
    <t xml:space="preserve">1.5% للأعضاء النشطين</t>
  </si>
  <si>
    <t xml:space="preserve">2% للأعضاء المميزين</t>
  </si>
  <si>
    <t xml:space="preserve">🎯 المستويات الثلاثة · تفاصيل شاملة</t>
  </si>
  <si>
    <t xml:space="preserve">المستوى</t>
  </si>
  <si>
    <t xml:space="preserve">الكسب (نقاط/ريال)</t>
  </si>
  <si>
    <t xml:space="preserve">الحد الأدنى</t>
  </si>
  <si>
    <t xml:space="preserve">الحد الأعلى</t>
  </si>
  <si>
    <t xml:space="preserve">إنفاق نموذجي</t>
  </si>
  <si>
    <t xml:space="preserve">النقاط/سنة</t>
  </si>
  <si>
    <t xml:space="preserve">القيمة بالريال</t>
  </si>
  <si>
    <t xml:space="preserve">الكاش باك %</t>
  </si>
  <si>
    <t xml:space="preserve">تكلفة درب</t>
  </si>
  <si>
    <t xml:space="preserve">🤍 الأبيض</t>
  </si>
  <si>
    <t xml:space="preserve">🩶 الفضي</t>
  </si>
  <si>
    <t xml:space="preserve">🟠 البرتقالي</t>
  </si>
  <si>
    <t xml:space="preserve">بلا حد</t>
  </si>
  <si>
    <t xml:space="preserve">🆚 مقارنة درب مع ساسكو · الميزة التنافسية</t>
  </si>
  <si>
    <t xml:space="preserve">المعيار</t>
  </si>
  <si>
    <t xml:space="preserve">ساسكو</t>
  </si>
  <si>
    <t xml:space="preserve">الأبيض</t>
  </si>
  <si>
    <t xml:space="preserve">الفضي</t>
  </si>
  <si>
    <t xml:space="preserve">البرتقالي</t>
  </si>
  <si>
    <t xml:space="preserve">ميزة درب</t>
  </si>
  <si>
    <t xml:space="preserve">نقاط لكل ريال</t>
  </si>
  <si>
    <t xml:space="preserve">0.43 نقطة</t>
  </si>
  <si>
    <t xml:space="preserve">100 نقطة</t>
  </si>
  <si>
    <t xml:space="preserve">150 نقطة</t>
  </si>
  <si>
    <t xml:space="preserve">200 نقطة</t>
  </si>
  <si>
    <t xml:space="preserve">232x - 465x</t>
  </si>
  <si>
    <t xml:space="preserve">قيمة النقطة</t>
  </si>
  <si>
    <t xml:space="preserve">100 = ريال</t>
  </si>
  <si>
    <t xml:space="preserve">10K = ريال</t>
  </si>
  <si>
    <t xml:space="preserve">مضخّمة 100x</t>
  </si>
  <si>
    <t xml:space="preserve">الكاش باك الفعلي</t>
  </si>
  <si>
    <t xml:space="preserve">0.43%</t>
  </si>
  <si>
    <t xml:space="preserve">1.00%</t>
  </si>
  <si>
    <t xml:space="preserve">1.50%</t>
  </si>
  <si>
    <t xml:space="preserve">2.00%</t>
  </si>
  <si>
    <t xml:space="preserve">2.3x - 4.6x</t>
  </si>
  <si>
    <t xml:space="preserve">نقاط لـ 100 ريال</t>
  </si>
  <si>
    <t xml:space="preserve">43 نقطة</t>
  </si>
  <si>
    <t xml:space="preserve">10,000 نقطة</t>
  </si>
  <si>
    <t xml:space="preserve">15,000 نقطة</t>
  </si>
  <si>
    <t xml:space="preserve">20,000 نقطة</t>
  </si>
  <si>
    <t xml:space="preserve">إحساس بالثراء</t>
  </si>
  <si>
    <t xml:space="preserve">سرعة المكافأة</t>
  </si>
  <si>
    <t xml:space="preserve">بطيء</t>
  </si>
  <si>
    <t xml:space="preserve">سريع</t>
  </si>
  <si>
    <t xml:space="preserve">أسرع</t>
  </si>
  <si>
    <t xml:space="preserve">الأسرع</t>
  </si>
  <si>
    <t xml:space="preserve">انخراط أعلى</t>
  </si>
  <si>
    <t xml:space="preserve">🎯 التوصيات الاستراتيجية</t>
  </si>
  <si>
    <t xml:space="preserve">1. اعتمد النموذج المُضخّم (100 نقطة/ريال + 10,000 نقطة = ريال) للإحساس بالثراء</t>
  </si>
  <si>
    <t xml:space="preserve">2. ابدأ بـ 3 مستويات (أبيض/فضي/برتقالي) من اليوم الأول</t>
  </si>
  <si>
    <t xml:space="preserve">3. هدية ترحيب 5,000 نقطة (تكلف 50 هللة فقط لكن إحساسها بـ 5 آلاف!)</t>
  </si>
  <si>
    <t xml:space="preserve">4. التسويق: 'احصل على نقاط أضعاف ساسكو · 100 نقطة لكل ريال'</t>
  </si>
  <si>
    <t xml:space="preserve">5. محطات الامتياز: 50/50 مع تحصيل شهري تلقائي</t>
  </si>
  <si>
    <t xml:space="preserve">6. راجع الأرقام كل 3 أشهر · عدّل في شيت السيناريوهات</t>
  </si>
  <si>
    <t xml:space="preserve">  درب · إدارة الشراكات · النموذج المالي · 2026  </t>
  </si>
  <si>
    <t xml:space="preserve">  درب · تانكي · لوحة التحكم بالسيناريوهات</t>
  </si>
  <si>
    <t xml:space="preserve">  ⚡ غيّر القيم في الخلايا الصفراء · كل الشيتات تتحدث تلقائياً</t>
  </si>
  <si>
    <t xml:space="preserve">1️⃣ قيمة النقطة ومعدلات الكسب (النموذج المُضخّم)</t>
  </si>
  <si>
    <t xml:space="preserve">#</t>
  </si>
  <si>
    <t xml:space="preserve">الإفتراض</t>
  </si>
  <si>
    <t xml:space="preserve">القيمة</t>
  </si>
  <si>
    <t xml:space="preserve">الوصف</t>
  </si>
  <si>
    <t xml:space="preserve">💡 المؤشر التفاعلي</t>
  </si>
  <si>
    <t xml:space="preserve">قيمة النقطة (نقطة = 1 ريال)</t>
  </si>
  <si>
    <t xml:space="preserve">كم نقطة تساوي 1 ريال عند الاستبدال</t>
  </si>
  <si>
    <t xml:space="preserve">معدل الكسب · المستوى الأبيض (نقطة/ريال)</t>
  </si>
  <si>
    <t xml:space="preserve">عدد النقاط لكل ريال إنفاق</t>
  </si>
  <si>
    <t xml:space="preserve">معدل الكسب · المستوى الفضي (نقطة/ريال)</t>
  </si>
  <si>
    <t xml:space="preserve">نقاط أكثر بـ 50%</t>
  </si>
  <si>
    <t xml:space="preserve">معدل الكسب · المستوى البرتقالي (نقطة/ريال)</t>
  </si>
  <si>
    <t xml:space="preserve">ضعف نقاط الأبيض</t>
  </si>
  <si>
    <t xml:space="preserve">تكلفة النقطة على درب (هللة/ريال)</t>
  </si>
  <si>
    <t xml:space="preserve">التكلفة الفعلية على درب</t>
  </si>
  <si>
    <t xml:space="preserve">سعر اللتر المتوسط (ريال)</t>
  </si>
  <si>
    <t xml:space="preserve">متوسط سعر بنزين 91</t>
  </si>
  <si>
    <t xml:space="preserve">هدية الترحيب (نقطة)</t>
  </si>
  <si>
    <t xml:space="preserve">نقاط مجانية عند التسجيل</t>
  </si>
  <si>
    <t xml:space="preserve">2️⃣ معايير الترقية بين المستويات (إنفاق سنوي بالريال)</t>
  </si>
  <si>
    <t xml:space="preserve">💡 المؤشر</t>
  </si>
  <si>
    <t xml:space="preserve">حد الترقية للفضي (إنفاق ريال/سنة)</t>
  </si>
  <si>
    <t xml:space="preserve">300 ر/شهر = 3,600 ر/سنة → ترقية للفضي</t>
  </si>
  <si>
    <t xml:space="preserve">حد الترقية للبرتقالي (إنفاق ريال/سنة)</t>
  </si>
  <si>
    <t xml:space="preserve">1,200 ر/شهر = 14,400 ر/سنة → ترقية للبرتقالي</t>
  </si>
  <si>
    <t xml:space="preserve">فترة احتساب الإنفاق (شهر)</t>
  </si>
  <si>
    <t xml:space="preserve">احتساب الإنفاق آخر 12 شهر متحرك</t>
  </si>
  <si>
    <t xml:space="preserve">فترة سماح بعد التنزيل (يوم)</t>
  </si>
  <si>
    <t xml:space="preserve">فرصة لاستعادة المستوى</t>
  </si>
  <si>
    <t xml:space="preserve">3️⃣ المحطات وهوامش الربح</t>
  </si>
  <si>
    <t xml:space="preserve">عدد محطات التشغيل</t>
  </si>
  <si>
    <t xml:space="preserve">محطات تديرها درب مباشرة</t>
  </si>
  <si>
    <t xml:space="preserve">عدد محطات الاستثمار</t>
  </si>
  <si>
    <t xml:space="preserve">محطات المستثمرين الشركاء</t>
  </si>
  <si>
    <t xml:space="preserve">عدد محطات الامتياز</t>
  </si>
  <si>
    <t xml:space="preserve">محطات الامتياز التجاري</t>
  </si>
  <si>
    <t xml:space="preserve">متوسط هامش التشغيل (هللة/لتر)</t>
  </si>
  <si>
    <t xml:space="preserve">متوسط 5-15 هللة</t>
  </si>
  <si>
    <t xml:space="preserve">متوسط هامش الاستثمار (هللة/لتر)</t>
  </si>
  <si>
    <t xml:space="preserve">متوسط هامش الامتياز (هللة/لتر)</t>
  </si>
  <si>
    <t xml:space="preserve">متوسط 0-3 هللة</t>
  </si>
  <si>
    <t xml:space="preserve">مساهمة درب في الامتياز (%)</t>
  </si>
  <si>
    <t xml:space="preserve">50% من تكلفة النقاط</t>
  </si>
  <si>
    <t xml:space="preserve">مساهمة صاحب الامتياز (%)</t>
  </si>
  <si>
    <t xml:space="preserve">متوسط مبيعات المحطة (لتر/شهر)</t>
  </si>
  <si>
    <t xml:space="preserve">الاستهلاك الشهري للمحطة</t>
  </si>
  <si>
    <t xml:space="preserve">💡 الفلسفة · نقاط مُضخّمة 232x من ساسكو لإحساس بالثراء + قيمة استبدال واضحة (10,000 نقطة = ريال)</t>
  </si>
  <si>
    <t xml:space="preserve">  درب · كيف يعمل تانكي · النقاط مقابل المستويات 📚</t>
  </si>
  <si>
    <t xml:space="preserve">  الفكرة الأساسية · النقاط للاستبدال · الإنفاق للترقية · شيئان منفصلان تماماً</t>
  </si>
  <si>
    <t xml:space="preserve">💡 المفهوم الأساسي</t>
  </si>
  <si>
    <t xml:space="preserve">💎 النقاط (Points)</t>
  </si>
  <si>
    <t xml:space="preserve">🎯 المستويات (Tiers)</t>
  </si>
  <si>
    <t xml:space="preserve">للاستبدال فقط</t>
  </si>
  <si>
    <t xml:space="preserve">للحالة والمزايا</t>
  </si>
  <si>
    <t xml:space="preserve">✅ تكتسبها مع كل عملية تعبئة</t>
  </si>
  <si>
    <t xml:space="preserve">✅ تترقى بناءً على الإنفاق السنوي</t>
  </si>
  <si>
    <t xml:space="preserve">✅ تستبدلها بمكافآت من الشركاء</t>
  </si>
  <si>
    <t xml:space="preserve">✅ تمنحك معدل كسب أعلى</t>
  </si>
  <si>
    <t xml:space="preserve">✅ يمكن إهداؤها للعائلة</t>
  </si>
  <si>
    <t xml:space="preserve">✅ تمنحك مزايا حصرية</t>
  </si>
  <si>
    <t xml:space="preserve">❌ تنقص عند الاستبدال</t>
  </si>
  <si>
    <t xml:space="preserve">✅ لا تتأثر باستبدال النقاط</t>
  </si>
  <si>
    <t xml:space="preserve">🎯 ربط مباشر بقيمة الإنفاق</t>
  </si>
  <si>
    <t xml:space="preserve">🎯 الإنفاق يحدد مستواك</t>
  </si>
  <si>
    <t xml:space="preserve">📊 الفرق بين العدّاديْن</t>
  </si>
  <si>
    <t xml:space="preserve">💎 رصيد النقاط</t>
  </si>
  <si>
    <t xml:space="preserve">🎯 عدّاد التقدم</t>
  </si>
  <si>
    <t xml:space="preserve">الغرض</t>
  </si>
  <si>
    <t xml:space="preserve">الاستبدال بمكافآت</t>
  </si>
  <si>
    <t xml:space="preserve">تحديد المستوى</t>
  </si>
  <si>
    <t xml:space="preserve">متى يزيد؟</t>
  </si>
  <si>
    <t xml:space="preserve">مع كل تعبئة</t>
  </si>
  <si>
    <t xml:space="preserve">مع كل تعبئة (إنفاق)</t>
  </si>
  <si>
    <t xml:space="preserve">متى ينقص؟</t>
  </si>
  <si>
    <t xml:space="preserve">عند استبدال نقاط</t>
  </si>
  <si>
    <t xml:space="preserve">لا ينقص داخل السنة</t>
  </si>
  <si>
    <t xml:space="preserve">يتجدد؟</t>
  </si>
  <si>
    <t xml:space="preserve">لا · رصيد متراكم</t>
  </si>
  <si>
    <t xml:space="preserve">نعم · كل 12 شهر</t>
  </si>
  <si>
    <t xml:space="preserve">يؤثر على المستوى؟</t>
  </si>
  <si>
    <t xml:space="preserve">❌ لا</t>
  </si>
  <si>
    <t xml:space="preserve">✅ نعم</t>
  </si>
  <si>
    <t xml:space="preserve">مثال</t>
  </si>
  <si>
    <t xml:space="preserve">500K نقطة = 50 ريال</t>
  </si>
  <si>
    <t xml:space="preserve">7,200 ر = فضي</t>
  </si>
  <si>
    <t xml:space="preserve">🎬 سيناريو حقيقي · سنة كاملة</t>
  </si>
  <si>
    <t xml:space="preserve">الوقت</t>
  </si>
  <si>
    <t xml:space="preserve">النشاط</t>
  </si>
  <si>
    <t xml:space="preserve">💎 ما يحدث للنقاط</t>
  </si>
  <si>
    <t xml:space="preserve">🎯 ما يحدث للمستوى</t>
  </si>
  <si>
    <t xml:space="preserve">📅 يناير</t>
  </si>
  <si>
    <t xml:space="preserve">تنفق 600 ر هذا الشهر</t>
  </si>
  <si>
    <t xml:space="preserve">+60,000 نقطة → الرصيد 60K</t>
  </si>
  <si>
    <t xml:space="preserve">+600 ر تقدم → 600/14,400</t>
  </si>
  <si>
    <t xml:space="preserve">📅 فبراير-يونيو</t>
  </si>
  <si>
    <t xml:space="preserve">تستمر بنفس المعدل</t>
  </si>
  <si>
    <t xml:space="preserve">+360,000 نقطة (المجموع 420K)</t>
  </si>
  <si>
    <t xml:space="preserve">التقدم 4,200 ر → 🩶 فضي ✅</t>
  </si>
  <si>
    <t xml:space="preserve">📅 يوليو</t>
  </si>
  <si>
    <t xml:space="preserve">تستبدل 400K نقطة بقهوة</t>
  </si>
  <si>
    <t xml:space="preserve">⬇️ الرصيد ينزل إلى 20K</t>
  </si>
  <si>
    <t xml:space="preserve">التقدم 5,400 · لا يتأثر ✅</t>
  </si>
  <si>
    <t xml:space="preserve">📅 ديسمبر</t>
  </si>
  <si>
    <t xml:space="preserve">الإنفاق السنوي 7,200 ر</t>
  </si>
  <si>
    <t xml:space="preserve">كاش باك 1.5% (الفضي)</t>
  </si>
  <si>
    <t xml:space="preserve">التقدم 7,200 → 🩶 فضي مستمر</t>
  </si>
  <si>
    <t xml:space="preserve">📅 يناير القادم</t>
  </si>
  <si>
    <t xml:space="preserve">بداية سنة جديدة</t>
  </si>
  <si>
    <t xml:space="preserve">الرصيد محفوظ · لا ينقص</t>
  </si>
  <si>
    <t xml:space="preserve">العدّاد يبدأ من 0 · المستوى محفوظ</t>
  </si>
  <si>
    <t xml:space="preserve">🌟 الرسائل المفتاحية للعميل</t>
  </si>
  <si>
    <t xml:space="preserve">💯 استبدل نقاطك متى تشاء · مستواك لن يتأثر أبداً</t>
  </si>
  <si>
    <t xml:space="preserve">📈 كلما أنفقت أكثر · ارتقيت أعلى · لا علاقة لذلك بنقاطك</t>
  </si>
  <si>
    <t xml:space="preserve">🎁 النقاط هي متعتك · المستوى هو إنجازك · شيئان منفصلان</t>
  </si>
  <si>
    <t xml:space="preserve">🔒 مستواك محفوظ لمدة 12 شهر بعد الترقية · حتى لو قل إنفاقك</t>
  </si>
  <si>
    <t xml:space="preserve">  درب · كيف يعمل تانكي · 2026  </t>
  </si>
  <si>
    <t xml:space="preserve">  درب · محاكي العميل التفاعلي 🎮</t>
  </si>
  <si>
    <t xml:space="preserve">  أدخل الإنفاق الشهري في الخلية الصفراء · شوف النقاط (للاستبدال) منفصلة عن المستوى (للحالة)</t>
  </si>
  <si>
    <t xml:space="preserve">📝 أدخل بيانات العميل</t>
  </si>
  <si>
    <t xml:space="preserve">💰 الإنفاق الشهري على الوقود (ريال) →</t>
  </si>
  <si>
    <t xml:space="preserve">← غيّر القيمة هنا</t>
  </si>
  <si>
    <t xml:space="preserve">🎯 الملخص الفوري</t>
  </si>
  <si>
    <t xml:space="preserve">📅 الإنفاق السنوي</t>
  </si>
  <si>
    <t xml:space="preserve">🎯 المستوى الحالي</t>
  </si>
  <si>
    <t xml:space="preserve">💎 نقاط/سنة</t>
  </si>
  <si>
    <t xml:space="preserve">💰 القيمة المالية</t>
  </si>
  <si>
    <t xml:space="preserve">إنفاق على الوقود</t>
  </si>
  <si>
    <t xml:space="preserve">مستواك بناء على الإنفاق</t>
  </si>
  <si>
    <t xml:space="preserve">للاستبدال بمكافآت</t>
  </si>
  <si>
    <t xml:space="preserve">قيمة الكاش باك السنوي</t>
  </si>
  <si>
    <t xml:space="preserve">📊 تقدمك للمستوى التالي</t>
  </si>
  <si>
    <t xml:space="preserve">🎯 المستوى التالي →</t>
  </si>
  <si>
    <t xml:space="preserve">💪 الإنفاق المتبقي →</t>
  </si>
  <si>
    <t xml:space="preserve">نسبة التقدم</t>
  </si>
  <si>
    <t xml:space="preserve">🔍 الفصل بين النقاط والمستوى</t>
  </si>
  <si>
    <t xml:space="preserve">البند</t>
  </si>
  <si>
    <t xml:space="preserve">💎 النقاط (للاستبدال)</t>
  </si>
  <si>
    <t xml:space="preserve">🎯 المستوى (للحالة)</t>
  </si>
  <si>
    <t xml:space="preserve">ما يحدث عند الإنفاق</t>
  </si>
  <si>
    <t xml:space="preserve">بعد سنة كاملة</t>
  </si>
  <si>
    <t xml:space="preserve">ماذا يحدث عند الاستبدال؟</t>
  </si>
  <si>
    <t xml:space="preserve">تنقص بحسب قيمة المكافأة</t>
  </si>
  <si>
    <t xml:space="preserve">لا تتأثر · المستوى محفوظ</t>
  </si>
  <si>
    <t xml:space="preserve">بعد سنة (تجديد)</t>
  </si>
  <si>
    <t xml:space="preserve">الرصيد يبقى كما هو</t>
  </si>
  <si>
    <t xml:space="preserve">العدّاد يبدأ من 0 · المستوى محفوظ 12 شهر</t>
  </si>
  <si>
    <t xml:space="preserve">💡 جرّب · غيّر الإنفاق في F5 وشوف كيف تتغير كل الأرقام · النقاط والمستوى منفصلان تماماً</t>
  </si>
  <si>
    <t xml:space="preserve">🎲 عينات نموذجية لتجريب أنواع العملاء</t>
  </si>
  <si>
    <t xml:space="preserve">ملف العميل</t>
  </si>
  <si>
    <t xml:space="preserve">إنفاق/شهر</t>
  </si>
  <si>
    <t xml:space="preserve">إنفاق/سنة</t>
  </si>
  <si>
    <t xml:space="preserve">قيمتها (ر)</t>
  </si>
  <si>
    <t xml:space="preserve">الكاش باك</t>
  </si>
  <si>
    <t xml:space="preserve">الملاحظة</t>
  </si>
  <si>
    <t xml:space="preserve">🚗 سيارة اقتصادية واحدة</t>
  </si>
  <si>
    <t xml:space="preserve">حالتك! · سيارة كورولا أو سنتافي</t>
  </si>
  <si>
    <t xml:space="preserve">🚙 سيارة عادية واحدة</t>
  </si>
  <si>
    <t xml:space="preserve">سيارة متوسطة · استخدام يومي</t>
  </si>
  <si>
    <t xml:space="preserve">🚕 سيارة أكبر/SUV</t>
  </si>
  <si>
    <t xml:space="preserve">تاهو/باترول صغير</t>
  </si>
  <si>
    <t xml:space="preserve">🚐 عائلة بسيارتين</t>
  </si>
  <si>
    <t xml:space="preserve">عائلة نشطة · سيارتين</t>
  </si>
  <si>
    <t xml:space="preserve">🏢 عائلة كبيرة</t>
  </si>
  <si>
    <t xml:space="preserve">أبو خالد · 3-4 سيارات</t>
  </si>
  <si>
    <t xml:space="preserve">🚚 أسطول صغير</t>
  </si>
  <si>
    <t xml:space="preserve">شركة صغيرة · 4-5 سيارات</t>
  </si>
  <si>
    <t xml:space="preserve">  درب · محاكي العميل التفاعلي · النقاط منفصلة عن المستوى · 2026  </t>
  </si>
  <si>
    <t xml:space="preserve">  درب · خطة التوسع التدريجي لتانكي 🚀</t>
  </si>
  <si>
    <t xml:space="preserve">  من إطلاق الوقود فقط إلى منظومة مكافآت شاملة · 18 شهراً</t>
  </si>
  <si>
    <t xml:space="preserve">📅 المراحل الأربع · تفاصيل كاملة</t>
  </si>
  <si>
    <t xml:space="preserve">المرحلة</t>
  </si>
  <si>
    <t xml:space="preserve">الفترة</t>
  </si>
  <si>
    <t xml:space="preserve">العنوان</t>
  </si>
  <si>
    <t xml:space="preserve">الهدف الرئيسي</t>
  </si>
  <si>
    <t xml:space="preserve">الحالة</t>
  </si>
  <si>
    <t xml:space="preserve">التكلفة المتوقعة</t>
  </si>
  <si>
    <t xml:space="preserve">🟢</t>
  </si>
  <si>
    <t xml:space="preserve">شهر 1-3</t>
  </si>
  <si>
    <t xml:space="preserve">إطلاق الوقود</t>
  </si>
  <si>
    <t xml:space="preserve">بناء قاعدة 50K مستخدم بالوقود فقط</t>
  </si>
  <si>
    <t xml:space="preserve">✅ جاهز للإطلاق</t>
  </si>
  <si>
    <t xml:space="preserve">2.3 مليون ر/سنة</t>
  </si>
  <si>
    <t xml:space="preserve">🔵</t>
  </si>
  <si>
    <t xml:space="preserve">شهر 3-6</t>
  </si>
  <si>
    <t xml:space="preserve">تفاوض المستأجرين</t>
  </si>
  <si>
    <t xml:space="preserve">توقيع 3-5 عقود + Pilot كافيه واحد</t>
  </si>
  <si>
    <t xml:space="preserve">🟡 تحضير</t>
  </si>
  <si>
    <t xml:space="preserve">+ تكاليف تكامل</t>
  </si>
  <si>
    <t xml:space="preserve">🟣</t>
  </si>
  <si>
    <t xml:space="preserve">شهر 6-12</t>
  </si>
  <si>
    <t xml:space="preserve">التوسع التدريجي</t>
  </si>
  <si>
    <t xml:space="preserve">5+ أقسام نشطة + 100K مستخدم</t>
  </si>
  <si>
    <t xml:space="preserve">🔵 تنفيذ تدريجي</t>
  </si>
  <si>
    <t xml:space="preserve">3.5 مليون ر/سنة</t>
  </si>
  <si>
    <t xml:space="preserve">🟠</t>
  </si>
  <si>
    <t xml:space="preserve">شهر 12-18</t>
  </si>
  <si>
    <t xml:space="preserve">النضج الكامل</t>
  </si>
  <si>
    <t xml:space="preserve">200K مستخدم + 7+ أقسام + بطاقات مشتركة</t>
  </si>
  <si>
    <t xml:space="preserve">🟠 توسع</t>
  </si>
  <si>
    <t xml:space="preserve">5+ مليون ر/سنة</t>
  </si>
  <si>
    <t xml:space="preserve">📋 الأنشطة التفصيلية لكل مرحلة</t>
  </si>
  <si>
    <t xml:space="preserve">الأنشطة الرئيسية</t>
  </si>
  <si>
    <t xml:space="preserve">المخرجات المتوقعة</t>
  </si>
  <si>
    <t xml:space="preserve">المخاطر والتحديات</t>
  </si>
  <si>
    <t xml:space="preserve">🟢
المرحلة 1
شهر 1-3
إطلاق الوقود</t>
  </si>
  <si>
    <t xml:space="preserve">• إطلاق التطبيق رسمياً
• حملة تسويقية كبرى
• تدريب فريق المحطات
• مراقبة وتحسين</t>
  </si>
  <si>
    <t xml:space="preserve">• 50,000+ مستخدم
• 65% نسبة تنشيط
• معدلات 100/150/200
• قاعدة بيانات أولية</t>
  </si>
  <si>
    <t xml:space="preserve">• مشاكل تقنية
• ضعف التسويق
• عدم الاستخدام
• شكاوى المحطات</t>
  </si>
  <si>
    <t xml:space="preserve">🔵
المرحلة 2
شهر 3-6
تفاوض المستأجرين</t>
  </si>
  <si>
    <t xml:space="preserve">• إعداد حقيبة عرض
• اجتماعات مستأجرين
• Pilot كافيهات
• تطوير التكامل</t>
  </si>
  <si>
    <t xml:space="preserve">• 3-5 عقود موقعة
• Pilot ناجح للكافيه
• APIs جاهزة
• نموذج مالي مختبر</t>
  </si>
  <si>
    <t xml:space="preserve">• رفض المستأجرين
• شروط مالية صعبة
• تعقيد تقني
• تأخر في التوقيع</t>
  </si>
  <si>
    <t xml:space="preserve">🟣
المرحلة 3
شهر 6-12
التوسع التدريجي</t>
  </si>
  <si>
    <t xml:space="preserve">• إطلاق قسم شهرياً
• حملات حصرية
• لوحات تحكم
• توسيع الفريق</t>
  </si>
  <si>
    <t xml:space="preserve">• 5+ أقسام نشطة
• 100,000+ مستخدم
• +25% إنفاق
• 1.5M معاملة/شهر</t>
  </si>
  <si>
    <t xml:space="preserve">• فشل بعض الأقسام
• تعقيد المضاعفات
• ضغط على الدعم
• شكاوى مستخدمين</t>
  </si>
  <si>
    <t xml:space="preserve">🟠
المرحلة 4
شهر 12-18
النضج الكامل</t>
  </si>
  <si>
    <t xml:space="preserve">• حملات موسمية
• بطاقات مشتركة
• شركاء خارجيون
• توسع لكل المحطات</t>
  </si>
  <si>
    <t xml:space="preserve">• 200,000+ مستخدم
• 7+ أقسام
• شركاء سفر/مطاعم
• ROI إيجابي مثبت</t>
  </si>
  <si>
    <t xml:space="preserve">• زيادة التكاليف
• منافسة ساسكو
• تشبع السوق
• الاحتفاظ بالعملاء</t>
  </si>
  <si>
    <t xml:space="preserve">🗓️ الخط الزمني البصري (Roadmap)</t>
  </si>
  <si>
    <t xml:space="preserve">Q1
شهر 1-3</t>
  </si>
  <si>
    <t xml:space="preserve">Q2
شهر 4-6</t>
  </si>
  <si>
    <t xml:space="preserve">Q3
شهر 7-9</t>
  </si>
  <si>
    <t xml:space="preserve">Q4
شهر 10-12</t>
  </si>
  <si>
    <t xml:space="preserve">Q5
شهر 13-15</t>
  </si>
  <si>
    <t xml:space="preserve">Q6
شهر 16-18</t>
  </si>
  <si>
    <t xml:space="preserve">الملاحظات الرئيسية</t>
  </si>
  <si>
    <t xml:space="preserve">🟢🟢🟢</t>
  </si>
  <si>
    <t xml:space="preserve">🟢🟢</t>
  </si>
  <si>
    <t xml:space="preserve">✅</t>
  </si>
  <si>
    <t xml:space="preserve">50K مستخدم Q1 · المنتج الأساسي</t>
  </si>
  <si>
    <t xml:space="preserve">التسويق الكبير</t>
  </si>
  <si>
    <t xml:space="preserve">🟡</t>
  </si>
  <si>
    <t xml:space="preserve">حملة إطلاق كبرى ثم متابعة</t>
  </si>
  <si>
    <t xml:space="preserve">🟡🟡</t>
  </si>
  <si>
    <t xml:space="preserve">🟡🟡🟡</t>
  </si>
  <si>
    <t xml:space="preserve">5+ عقود بنهاية Q3</t>
  </si>
  <si>
    <t xml:space="preserve">Pilot الكافيه</t>
  </si>
  <si>
    <t xml:space="preserve">🟣 Pilot</t>
  </si>
  <si>
    <t xml:space="preserve">🟣🟣 Launch</t>
  </si>
  <si>
    <t xml:space="preserve">محطة واحدة كتجربة</t>
  </si>
  <si>
    <t xml:space="preserve">إضافة المغسلة</t>
  </si>
  <si>
    <t xml:space="preserve">بعد نجاح الكافيه</t>
  </si>
  <si>
    <t xml:space="preserve">إضافة الزيوت/سوبرماركت</t>
  </si>
  <si>
    <t xml:space="preserve">أقسام سهلة الإضافة</t>
  </si>
  <si>
    <t xml:space="preserve">حملات موسمية</t>
  </si>
  <si>
    <t xml:space="preserve">🟢 رمضان</t>
  </si>
  <si>
    <t xml:space="preserve">🟢 صيف</t>
  </si>
  <si>
    <t xml:space="preserve">🟢 شتاء</t>
  </si>
  <si>
    <t xml:space="preserve">حملات حصرية كل ربع</t>
  </si>
  <si>
    <t xml:space="preserve">بطاقات مشتركة</t>
  </si>
  <si>
    <t xml:space="preserve">🟠 تحضير</t>
  </si>
  <si>
    <t xml:space="preserve">🟠🟠 إطلاق</t>
  </si>
  <si>
    <t xml:space="preserve">تعاون مع بنك سعودي</t>
  </si>
  <si>
    <t xml:space="preserve">  درب · خطة التوسع · 2026  </t>
  </si>
  <si>
    <t xml:space="preserve">  درب · محرر المستأجرين · أداة التفاوض والمتابعة 🤝</t>
  </si>
  <si>
    <t xml:space="preserve">  قاعدة بيانات المستأجرين · بنود التفاوض · النموذج المالي لكل سيناريو</t>
  </si>
  <si>
    <t xml:space="preserve">📋 قاعدة بيانات المستأجرين المحتملين</t>
  </si>
  <si>
    <t xml:space="preserve">اسم المستأجر</t>
  </si>
  <si>
    <t xml:space="preserve">النوع</t>
  </si>
  <si>
    <t xml:space="preserve">عدد المحطات</t>
  </si>
  <si>
    <t xml:space="preserve">الإيرادات الشهرية المقدّرة (ر)</t>
  </si>
  <si>
    <t xml:space="preserve">هامش الربح المقدّر</t>
  </si>
  <si>
    <t xml:space="preserve">نموذج التفاوض</t>
  </si>
  <si>
    <t xml:space="preserve">مساهمة المستأجر/ريال</t>
  </si>
  <si>
    <t xml:space="preserve">حالة التفاوض</t>
  </si>
  <si>
    <t xml:space="preserve">تاريخ آخر اجتماع</t>
  </si>
  <si>
    <t xml:space="preserve">الموعد القادم</t>
  </si>
  <si>
    <t xml:space="preserve">ملاحظات</t>
  </si>
  <si>
    <t xml:space="preserve">سلسلة كافيه (مثال: ستاربكس)</t>
  </si>
  <si>
    <t xml:space="preserve">كافيه</t>
  </si>
  <si>
    <t xml:space="preserve">مشاركة 50/50</t>
  </si>
  <si>
    <t xml:space="preserve">لم نتواصل</t>
  </si>
  <si>
    <t xml:space="preserve">هدف استراتيجي · حضور قوي</t>
  </si>
  <si>
    <t xml:space="preserve">كافيه محلي (دانكن/تيم هورتنز)</t>
  </si>
  <si>
    <t xml:space="preserve">مشاركة 70/30 (المستأجر)</t>
  </si>
  <si>
    <t xml:space="preserve">مرونة أعلى من العالمية</t>
  </si>
  <si>
    <t xml:space="preserve">سلسلة سوبرماركت (مثال: العثيم)</t>
  </si>
  <si>
    <t xml:space="preserve">سوبرماركت</t>
  </si>
  <si>
    <t xml:space="preserve">مشاركة 30/70 (درب)</t>
  </si>
  <si>
    <t xml:space="preserve">حجم كبير · هامش منخفض</t>
  </si>
  <si>
    <t xml:space="preserve">مغسلة (مثال: Magic Wash)</t>
  </si>
  <si>
    <t xml:space="preserve">مغسلة</t>
  </si>
  <si>
    <t xml:space="preserve">المستأجر يدفع 100%</t>
  </si>
  <si>
    <t xml:space="preserve">خدمة درب الخاصة</t>
  </si>
  <si>
    <t xml:space="preserve">مطعم سريع (مثال: البيك/كودو)</t>
  </si>
  <si>
    <t xml:space="preserve">مطعم</t>
  </si>
  <si>
    <t xml:space="preserve">حركة عالية · فرص ممتازة</t>
  </si>
  <si>
    <t xml:space="preserve">🤝 نماذج التفاوض الأربعة · أيها يناسب كل مستأجر</t>
  </si>
  <si>
    <t xml:space="preserve">النموذج</t>
  </si>
  <si>
    <t xml:space="preserve">مساهمة المستأجر</t>
  </si>
  <si>
    <t xml:space="preserve">مساهمة درب</t>
  </si>
  <si>
    <t xml:space="preserve">مناسب لمن؟</t>
  </si>
  <si>
    <t xml:space="preserve">حجة التفاوض</t>
  </si>
  <si>
    <t xml:space="preserve">التقييم</t>
  </si>
  <si>
    <t xml:space="preserve">🟢 المستأجر 100%</t>
  </si>
  <si>
    <t xml:space="preserve">2 هللة/ريال</t>
  </si>
  <si>
    <t xml:space="preserve">0</t>
  </si>
  <si>
    <t xml:space="preserve">هامش عالي (&gt;60%) · المستأجر الذي يحتاج عملاء درب أكثر مما تحتاجه درب · مغاسل/كافيهات صغيرة محلية</t>
  </si>
  <si>
    <t xml:space="preserve">العميل يأتيك من تطبيق درب مجاناً · أنت تربح من المبيعات الإضافية · المقابل بسيط: 2 هللة من كل ريال (أقل من 1% من إيرادك)</t>
  </si>
  <si>
    <t xml:space="preserve">⭐⭐⭐⭐⭐ الأفضل لدرب</t>
  </si>
  <si>
    <t xml:space="preserve">🔵 مشاركة 70/30 (المستأجر)</t>
  </si>
  <si>
    <t xml:space="preserve">1.5 هللة/ريال</t>
  </si>
  <si>
    <t xml:space="preserve">0.5 هللة/ريال</t>
  </si>
  <si>
    <t xml:space="preserve">هامش متوسط (40-60%) · مستأجر متوسط الحجم · مطاعم متوسطة · سلاسل صغيرة محلية</t>
  </si>
  <si>
    <t xml:space="preserve">أنت تتحمل 70% فقط · درب تشارك معك 30% · في المقابل تحصل على بيانات العملاء + تسويق مجاني داخل التطبيق</t>
  </si>
  <si>
    <t xml:space="preserve">⭐⭐⭐⭐ ممتاز</t>
  </si>
  <si>
    <t xml:space="preserve">🟡 مشاركة 50/50</t>
  </si>
  <si>
    <t xml:space="preserve">1 هللة/ريال</t>
  </si>
  <si>
    <t xml:space="preserve">هامش متوسط · مستأجر كبير له ثقل تفاوضي · سلاسل عالمية · شركاء استراتيجيون</t>
  </si>
  <si>
    <t xml:space="preserve">شراكة عادلة 50/50 · كلانا يستفيد · درب توفر تسويق وقاعدة بيانات · أنت توفر الخدمة والخصومات</t>
  </si>
  <si>
    <t xml:space="preserve">⭐⭐⭐ متوازن</t>
  </si>
  <si>
    <t xml:space="preserve">🟠 مشاركة 30/70 (درب)</t>
  </si>
  <si>
    <t xml:space="preserve">هامش منخفض (&lt;25%) · سوبرماركت · مستأجر استراتيجي مهم لكن صعب الإقناع · حالات خاصة</t>
  </si>
  <si>
    <t xml:space="preserve">درب تتحمل 70% · أنت 30% فقط · هذا لأننا نقدّر هامشك الضعيف · لكنك تساعدنا في تكامل المنظومة</t>
  </si>
  <si>
    <t xml:space="preserve">⭐⭐ مكلف لدرب</t>
  </si>
  <si>
    <t xml:space="preserve">💰 حاسبة الأثر المالي لكل مستأجر</t>
  </si>
  <si>
    <t xml:space="preserve">📝 أدخل بيانات المستأجر</t>
  </si>
  <si>
    <t xml:space="preserve">سلسلة كافيه افتراضية</t>
  </si>
  <si>
    <t xml:space="preserve">← اسم الشركة المحتمل</t>
  </si>
  <si>
    <t xml:space="preserve">الإيرادات الشهرية المقدّرة (ريال)</t>
  </si>
  <si>
    <t xml:space="preserve">← متوسط مبيعاتها داخل محطات درب</t>
  </si>
  <si>
    <t xml:space="preserve">هامش الربح المقدّر (%)</t>
  </si>
  <si>
    <t xml:space="preserve">← هامش الربح الإجمالي</t>
  </si>
  <si>
    <t xml:space="preserve">مساهمة المستأجر (هللة/ريال)</t>
  </si>
  <si>
    <t xml:space="preserve">← كم تدفع لدرب من كل ريال</t>
  </si>
  <si>
    <t xml:space="preserve">📊 النتائج المحسوبة تلقائياً</t>
  </si>
  <si>
    <t xml:space="preserve">📅 الإيرادات السنوية</t>
  </si>
  <si>
    <t xml:space="preserve">💰 الربح السنوي للمستأجر</t>
  </si>
  <si>
    <t xml:space="preserve">💸 تكلفة النقاط على المستأجر/سنة</t>
  </si>
  <si>
    <t xml:space="preserve">📊 % من ربح المستأجر</t>
  </si>
  <si>
    <t xml:space="preserve">📈 الزيادة المتوقعة (15%)</t>
  </si>
  <si>
    <t xml:space="preserve">💎 الربح الإضافي المتوقع</t>
  </si>
  <si>
    <t xml:space="preserve">✅ صافي العائد للمستأجر</t>
  </si>
  <si>
    <t xml:space="preserve">🎯 ROI للمستأجر</t>
  </si>
  <si>
    <t xml:space="preserve">💡 جرّب · غيّر القيم في الخلايا الصفراء وشوف كيف تتغير النتائج لحظياً · ROI &gt; 100% يعني المستأجر سيوافق بالتأكيد</t>
  </si>
  <si>
    <t xml:space="preserve">🗣️ سكريبت محادثة التفاوض · جاهز للاستخدام</t>
  </si>
  <si>
    <t xml:space="preserve">المدة</t>
  </si>
  <si>
    <t xml:space="preserve">الهدف</t>
  </si>
  <si>
    <t xml:space="preserve">السكريبت المقترح</t>
  </si>
  <si>
    <t xml:space="preserve">نصيحة احترافية</t>
  </si>
  <si>
    <t xml:space="preserve">1</t>
  </si>
  <si>
    <t xml:space="preserve">الافتتاح</t>
  </si>
  <si>
    <t xml:space="preserve">5 دقائق</t>
  </si>
  <si>
    <t xml:space="preserve">بناء الثقة وتحديد السياق</t>
  </si>
  <si>
    <t xml:space="preserve">«شكراً لاستضافتنا. درب اليوم 173 محطة وننمو بسرعة. أطلقنا برنامج تانكي للمكافآت وفي يومه الأول وصلنا 50K مستخدم نشط. اليوم نريد نتحدث كيف نوسّع التجربة لتشمل [اسم المستأجر].»</t>
  </si>
  <si>
    <t xml:space="preserve">لا تتكلم عن المال في البداية · ابدأ بأرقام درب القوية</t>
  </si>
  <si>
    <t xml:space="preserve">2</t>
  </si>
  <si>
    <t xml:space="preserve">عرض القيمة</t>
  </si>
  <si>
    <t xml:space="preserve">10 دقائق</t>
  </si>
  <si>
    <t xml:space="preserve">إظهار الفائدة قبل التكلفة</t>
  </si>
  <si>
    <t xml:space="preserve">«قاعدة عملاء درب الـ 50K هي عملاؤك المحتملون. عندنا بيانات تظهر أن العميل الذي يدخل المحطة للوقود يصرف +30% إذا وجد خدمات إضافية. لو دخل تطبيقنا ورأى عرضكم، سيدخل عندكم.»</t>
  </si>
  <si>
    <t xml:space="preserve">استخدم أرقاماً واقعية · اعرض شاشة التطبيق إن أمكن</t>
  </si>
  <si>
    <t xml:space="preserve">3</t>
  </si>
  <si>
    <t xml:space="preserve">عرض النموذج</t>
  </si>
  <si>
    <t xml:space="preserve">تقديم الخيار الأنسب</t>
  </si>
  <si>
    <t xml:space="preserve">«اقتراحنا بسيط: عملاء درب يحصلون على نقاط عند الشراء منكم. مقابل ذلك، أنتم تساهمون بـ [حسب النموذج: 2 هللة / 1.5 / 1 / 0.5] من كل ريال مبيعات. هذا [أقل من 1% من إيراداتكم].»</t>
  </si>
  <si>
    <t xml:space="preserve">اختر النموذج حسب حجمهم وهامش ربحهم</t>
  </si>
  <si>
    <t xml:space="preserve">4</t>
  </si>
  <si>
    <t xml:space="preserve">الرد على الاعتراضات</t>
  </si>
  <si>
    <t xml:space="preserve">15 دقيقة</t>
  </si>
  <si>
    <t xml:space="preserve">إزالة المخاوف</t>
  </si>
  <si>
    <t xml:space="preserve">⚠️ إعتراض شائع: «هذا ضغط على هامشي»
→ ردك: «لكنك تكسب +15% مبيعات على الأقل = +X ريال صافي بعد التكاليف»
⚠️ إعتراض شائع: «التكامل التقني صعب»
→ ردك: «نوفر API بسيط · فريقنا التقني يدعمك في الإعداد · أسبوع واحد فقط»</t>
  </si>
  <si>
    <t xml:space="preserve">تحضّر للاعتراضات مسبقاً · لا تتفاجأ</t>
  </si>
  <si>
    <t xml:space="preserve">5</t>
  </si>
  <si>
    <t xml:space="preserve">التفاوض على التفاصيل</t>
  </si>
  <si>
    <t xml:space="preserve">الوصول لاتفاق</t>
  </si>
  <si>
    <t xml:space="preserve">«لنبدأ بـ Pilot 3 شهور في محطة واحدة. لو حقق نتائج، نوسّع للجميع. خلال هذي الفترة، لا توجد التزامات طويلة المدى. ما رأيكم؟»</t>
  </si>
  <si>
    <t xml:space="preserve">Pilot يخفض المقاومة بنسبة 70% · ابدأ صغير</t>
  </si>
  <si>
    <t xml:space="preserve">6</t>
  </si>
  <si>
    <t xml:space="preserve">الإغلاق</t>
  </si>
  <si>
    <t xml:space="preserve">تحديد الخطوة التالية</t>
  </si>
  <si>
    <t xml:space="preserve">«ممتاز. سأرسل لكم اتفاقية الـ Pilot خلال 3 أيام. أقترح اجتماع متابعة الأسبوع القادم لمراجعة الوثائق. هل يوم [التاريخ] مناسب؟»</t>
  </si>
  <si>
    <t xml:space="preserve">لا تخرج من الاجتماع بدون موعد محدد للخطوة التالية</t>
  </si>
  <si>
    <t xml:space="preserve">⚠️ الاعتراضات الشائعة وكيف تردّ عليها</t>
  </si>
  <si>
    <t xml:space="preserve">الاعتراض</t>
  </si>
  <si>
    <t xml:space="preserve">ردك الذكي</t>
  </si>
  <si>
    <t xml:space="preserve">دعم بالأرقام</t>
  </si>
  <si>
    <t xml:space="preserve">🔴 «التكلفة عالية ولا نقدر»</t>
  </si>
  <si>
    <t xml:space="preserve">«التكلفة الفعلية أقل مما تتوقع. أنت تدفع فقط من المبيعات التي تأتيك من تطبيق درب. لو لم يأتك عميل، لا تدفع شيئاً.»</t>
  </si>
  <si>
    <t xml:space="preserve">تكلفة = 1% من المبيعات
العائد = +15% مبيعات
صافي = +14% ربح</t>
  </si>
  <si>
    <t xml:space="preserve">🔴 «التكامل التقني معقد»</t>
  </si>
  <si>
    <t xml:space="preserve">«نوفر API بسيط جداً. فريقنا التقني يدعمك في الإعداد مجاناً. التكامل يأخذ أسبوع واحد فقط. عندنا 15 شريك مدمج بنجاح.»</t>
  </si>
  <si>
    <t xml:space="preserve">مدة التكامل: 5-7 أيام
الدعم: مجاني
الصيانة: لمدة سنة</t>
  </si>
  <si>
    <t xml:space="preserve">🔴 «عندنا برامج ولاء خاصة بنا»</t>
  </si>
  <si>
    <t xml:space="preserve">«ممتاز! تانكي لا يحل محلها. هو يضيف طبقة إضافية. العميل يكسب نقاطك ونقاط تانكي معاً = ضعف الجاذبية.»</t>
  </si>
  <si>
    <t xml:space="preserve">برامج موازية = نمو 30%
بدلاً من 15% منفصلة</t>
  </si>
  <si>
    <t xml:space="preserve">🔴 «نريد ضمانات على زيادة المبيعات»</t>
  </si>
  <si>
    <t xml:space="preserve">«نقدّم لك Pilot لمدة 3 شهور بدون التزامات. لو لم تحقق زيادة 10% على الأقل، تنسحب بدون أي رسوم.»</t>
  </si>
  <si>
    <t xml:space="preserve">Pilot = 3 شهور
Low risk
Easy exit</t>
  </si>
  <si>
    <t xml:space="preserve">🔴 «نريد نسبة أقل (نصف ما تطلبه)»</t>
  </si>
  <si>
    <t xml:space="preserve">«النسبة الحالية مدروسة بناءً على هامش ربحك. لكن ما رأيك بهيكلة مختلفة: نسبة منخفضة + رسم اشتراك سنوي ثابت؟»</t>
  </si>
  <si>
    <t xml:space="preserve">مرونة في النموذج
بدائل متعددة
يعطي إحساس بالربح</t>
  </si>
  <si>
    <t xml:space="preserve">🔴 «لا نثق في حماية بياناتنا»</t>
  </si>
  <si>
    <t xml:space="preserve">«درب ملتزمة بنظام حماية البيانات السعودي (PDPL). لن نشارك أي بيانات حساسة لك مع أحد. تستطيع مراجعة العقد قبل التوقيع.»</t>
  </si>
  <si>
    <t xml:space="preserve">PDPL Compliant
عقد قانوني
مراجعة كاملة</t>
  </si>
  <si>
    <t xml:space="preserve">  درب · محرر المستأجرين · أداة التفاوض الكاملة · 2026  </t>
  </si>
  <si>
    <t xml:space="preserve">  درب · حاسبة العائد على الاستثمار (ROI) لـ تانكي 💎</t>
  </si>
  <si>
    <t xml:space="preserve">  هل يستحق برنامج تانكي الاستثمار؟ حساب شامل للعائد على درب</t>
  </si>
  <si>
    <t xml:space="preserve">💸 الاستثمار · التكاليف السنوية على درب</t>
  </si>
  <si>
    <t xml:space="preserve">الفئة</t>
  </si>
  <si>
    <t xml:space="preserve">السنة 1</t>
  </si>
  <si>
    <t xml:space="preserve">السنة 2</t>
  </si>
  <si>
    <t xml:space="preserve">السنة 3</t>
  </si>
  <si>
    <t xml:space="preserve">السنة 4</t>
  </si>
  <si>
    <t xml:space="preserve">السنة 5</t>
  </si>
  <si>
    <t xml:space="preserve">الإجمالي 5 سنوات</t>
  </si>
  <si>
    <t xml:space="preserve">% من الإجمالي</t>
  </si>
  <si>
    <t xml:space="preserve">💻 تطوير التطبيق</t>
  </si>
  <si>
    <t xml:space="preserve">استثمار أولي</t>
  </si>
  <si>
    <t xml:space="preserve">🤝 شراكة Dsquares</t>
  </si>
  <si>
    <t xml:space="preserve">تشغيلي</t>
  </si>
  <si>
    <t xml:space="preserve">📣 التسويق والإعلانات</t>
  </si>
  <si>
    <t xml:space="preserve">👥 فريق الولاء</t>
  </si>
  <si>
    <t xml:space="preserve">🎁 كلفة النقاط للعملاء</t>
  </si>
  <si>
    <t xml:space="preserve">🛠️ التكامل مع المستأجرين</t>
  </si>
  <si>
    <t xml:space="preserve">🔧 الصيانة والدعم</t>
  </si>
  <si>
    <t xml:space="preserve">📊 إجمالي التكاليف</t>
  </si>
  <si>
    <t xml:space="preserve">100%</t>
  </si>
  <si>
    <t xml:space="preserve">💰 العائد · الإيرادات الإضافية المتوقعة</t>
  </si>
  <si>
    <t xml:space="preserve">مصدر العائد</t>
  </si>
  <si>
    <t xml:space="preserve">الإجمالي</t>
  </si>
  <si>
    <t xml:space="preserve">⛽ زيادة مبيعات الوقود (+8%)</t>
  </si>
  <si>
    <t xml:space="preserve">🤝 عمولة من المستأجرين</t>
  </si>
  <si>
    <t xml:space="preserve">🎯 جذب عملاء جدد</t>
  </si>
  <si>
    <t xml:space="preserve">📊 توفير في التسويق التقليدي</t>
  </si>
  <si>
    <t xml:space="preserve">توفير</t>
  </si>
  <si>
    <t xml:space="preserve">🚀 نمو المحطات (انتشار العلامة)</t>
  </si>
  <si>
    <t xml:space="preserve">استراتيجي</t>
  </si>
  <si>
    <t xml:space="preserve">💎 بيع البيانات والتحليلات</t>
  </si>
  <si>
    <t xml:space="preserve">إضافي</t>
  </si>
  <si>
    <t xml:space="preserve">📊 إجمالي الإيرادات</t>
  </si>
  <si>
    <t xml:space="preserve">📈 تحليل ROI السنوي</t>
  </si>
  <si>
    <t xml:space="preserve">النسبة</t>
  </si>
  <si>
    <t xml:space="preserve">💰 إجمالي الإيرادات</t>
  </si>
  <si>
    <t xml:space="preserve">إيرادات</t>
  </si>
  <si>
    <t xml:space="preserve">💸 إجمالي التكاليف</t>
  </si>
  <si>
    <t xml:space="preserve">تكاليف</t>
  </si>
  <si>
    <t xml:space="preserve">💎 صافي الربح</t>
  </si>
  <si>
    <t xml:space="preserve">ربح</t>
  </si>
  <si>
    <t xml:space="preserve">🎯 ROI %</t>
  </si>
  <si>
    <t xml:space="preserve">ROI</t>
  </si>
  <si>
    <t xml:space="preserve">⚖️ نقطة التعادل والتقييم النهائي</t>
  </si>
  <si>
    <t xml:space="preserve">🎯 ROI الإجمالي (5 سنوات)</t>
  </si>
  <si>
    <t xml:space="preserve">💰 صافي الربح (5 سنوات)</t>
  </si>
  <si>
    <t xml:space="preserve">⚖️ نقطة التعادل</t>
  </si>
  <si>
    <t xml:space="preserve">✅ التوصية</t>
  </si>
  <si>
    <t xml:space="preserve">📝 ملاحظات وافتراضات</t>
  </si>
  <si>
    <t xml:space="preserve">💡 زيادة مبيعات الوقود +8% بناءً على دراسات عالمية لبرامج الولاء (شل · BP · Caltex)</t>
  </si>
  <si>
    <t xml:space="preserve">💡 تكلفة فريق الولاء تشمل: لويالتي ليد + 3 مطورين + PM + 2 شراكات + محلل بيانات</t>
  </si>
  <si>
    <t xml:space="preserve">💡 عمولة المستأجرين تبدأ من السنة 2 (مع إطلاق المرحلة 2 من خطة التوسع)</t>
  </si>
  <si>
    <t xml:space="preserve">💡 توفير التسويق التقليدي: انتقال 30% من الميزانية للقنوات الرقمية بفعالية أعلى</t>
  </si>
  <si>
    <t xml:space="preserve">💡 جذب عملاء جدد: 5% من عملاء المنافسين خلال 5 سنوات (تحفظي)</t>
  </si>
  <si>
    <t xml:space="preserve">💡 الأرقام لا تشمل القيمة الاستراتيجية غير المباشرة (تحسين العلامة التجارية، البيانات الكبيرة، إلخ)</t>
  </si>
  <si>
    <t xml:space="preserve">  درب · حاسبة ROI · 2026  </t>
  </si>
  <si>
    <t xml:space="preserve">  درب · مقارنة 6 سيناريوهات جنباً إلى جنب 📊</t>
  </si>
  <si>
    <t xml:space="preserve">  السيناريو الحالي يعكس قيم شيت السيناريوهات · باقي السيناريوهات ثابتة للمقارنة</t>
  </si>
  <si>
    <t xml:space="preserve">🆚 جدول المقارنة الشامل</t>
  </si>
  <si>
    <t xml:space="preserve">🔴 ساسكو</t>
  </si>
  <si>
    <t xml:space="preserve">🟢 محافظ</t>
  </si>
  <si>
    <t xml:space="preserve">⭐ الحالي</t>
  </si>
  <si>
    <t xml:space="preserve">🟢 معتدل</t>
  </si>
  <si>
    <t xml:space="preserve">🟡 جذاب</t>
  </si>
  <si>
    <t xml:space="preserve">🔴 سخي</t>
  </si>
  <si>
    <t xml:space="preserve">💡 التوصية</t>
  </si>
  <si>
    <t xml:space="preserve">معدل كسب الأبيض</t>
  </si>
  <si>
    <t xml:space="preserve">معدل كسب الفضي</t>
  </si>
  <si>
    <t xml:space="preserve">معدل كسب البرتقالي</t>
  </si>
  <si>
    <t xml:space="preserve">كاش باك الأبيض %</t>
  </si>
  <si>
    <t xml:space="preserve">كاش باك الفضي %</t>
  </si>
  <si>
    <t xml:space="preserve">كاش باك البرتقالي %</t>
  </si>
  <si>
    <t xml:space="preserve">تكلفة درب (هللة/ريال)</t>
  </si>
  <si>
    <t xml:space="preserve">🎯 التقييم الإجمالي</t>
  </si>
  <si>
    <t xml:space="preserve">ضعيف</t>
  </si>
  <si>
    <t xml:space="preserve">آمن</t>
  </si>
  <si>
    <t xml:space="preserve">متوازن</t>
  </si>
  <si>
    <t xml:space="preserve">سخي</t>
  </si>
  <si>
    <t xml:space="preserve">مكلف جداً</t>
  </si>
  <si>
    <t xml:space="preserve">💰 الأثر المالي السنوي على درب (مليون ريال) - افتراض 230 محطة × 80,000 لتر × 12</t>
  </si>
  <si>
    <t xml:space="preserve">محافظ</t>
  </si>
  <si>
    <t xml:space="preserve">معتدل</t>
  </si>
  <si>
    <t xml:space="preserve">جذاب</t>
  </si>
  <si>
    <t xml:space="preserve">مقارنة</t>
  </si>
  <si>
    <t xml:space="preserve">تكلفة سنوية (الأبيض)</t>
  </si>
  <si>
    <t xml:space="preserve">💡 العمود ⭐ الحالي يعكس قيم شيت السيناريوهات وقت فتح الملف · غيّر القيم في السيناريوهات وارجع هنا لتشوف الفرق</t>
  </si>
  <si>
    <t xml:space="preserve">  درب · مقارنة السيناريوهات · 2026  </t>
  </si>
  <si>
    <t xml:space="preserve">  درب · حساب قيمة النقطة بالتفصيل</t>
  </si>
  <si>
    <t xml:space="preserve">  أمثلة عملية لأنواع مختلفة من العملاء</t>
  </si>
  <si>
    <t xml:space="preserve">🧮 المعادلات الأساسية</t>
  </si>
  <si>
    <t xml:space="preserve">المعادلة</t>
  </si>
  <si>
    <t xml:space="preserve">الصيغة</t>
  </si>
  <si>
    <t xml:space="preserve">النتيجة</t>
  </si>
  <si>
    <t xml:space="preserve">الوحدة</t>
  </si>
  <si>
    <t xml:space="preserve">قيمة 1 نقطة (ريال)</t>
  </si>
  <si>
    <t xml:space="preserve">1 / 10,000</t>
  </si>
  <si>
    <t xml:space="preserve">ريال</t>
  </si>
  <si>
    <t xml:space="preserve">قيمة 1 نقطة (هللة)</t>
  </si>
  <si>
    <t xml:space="preserve">(1/10K)×100</t>
  </si>
  <si>
    <t xml:space="preserve">هللة</t>
  </si>
  <si>
    <t xml:space="preserve">نقاط ساسكو لكل ريال</t>
  </si>
  <si>
    <t xml:space="preserve">لتر/ريال</t>
  </si>
  <si>
    <t xml:space="preserve">نقطة</t>
  </si>
  <si>
    <t xml:space="preserve">نقاط درب الأبيض/ريال</t>
  </si>
  <si>
    <t xml:space="preserve">100</t>
  </si>
  <si>
    <t xml:space="preserve">نقاط درب الفضي/ريال</t>
  </si>
  <si>
    <t xml:space="preserve">150</t>
  </si>
  <si>
    <t xml:space="preserve">نقاط درب البرتقالي/ريال</t>
  </si>
  <si>
    <t xml:space="preserve">200</t>
  </si>
  <si>
    <t xml:space="preserve">الكاش باك الأبيض</t>
  </si>
  <si>
    <t xml:space="preserve">100÷10K</t>
  </si>
  <si>
    <t xml:space="preserve">%</t>
  </si>
  <si>
    <t xml:space="preserve">الكاش باك الفضي</t>
  </si>
  <si>
    <t xml:space="preserve">150÷10K</t>
  </si>
  <si>
    <t xml:space="preserve">الكاش باك البرتقالي</t>
  </si>
  <si>
    <t xml:space="preserve">200÷10K</t>
  </si>
  <si>
    <t xml:space="preserve">📊 أمثلة عملية للعملاء</t>
  </si>
  <si>
    <t xml:space="preserve">vs ساسكو</t>
  </si>
  <si>
    <t xml:space="preserve">🏠 خفيف</t>
  </si>
  <si>
    <t xml:space="preserve">🚗 متوسط</t>
  </si>
  <si>
    <t xml:space="preserve">🚙 نشط</t>
  </si>
  <si>
    <t xml:space="preserve">🏢 أعمال</t>
  </si>
  <si>
    <t xml:space="preserve">  درب · المستويات الثلاثة</t>
  </si>
  <si>
    <t xml:space="preserve">  هيكل المستويات + الكسب + المنافع</t>
  </si>
  <si>
    <t xml:space="preserve">🎯 هيكل المستويات</t>
  </si>
  <si>
    <t xml:space="preserve">معدل الكسب</t>
  </si>
  <si>
    <t xml:space="preserve">هدية الترحيب</t>
  </si>
  <si>
    <t xml:space="preserve">🤍 المستوى الأبيض</t>
  </si>
  <si>
    <t xml:space="preserve">🩶 المستوى الفضي</t>
  </si>
  <si>
    <t xml:space="preserve">🟠 المستوى البرتقالي</t>
  </si>
  <si>
    <t xml:space="preserve">🎁 المنافع الإضافية</t>
  </si>
  <si>
    <t xml:space="preserve">الميزة</t>
  </si>
  <si>
    <t xml:space="preserve">ملاحظة</t>
  </si>
  <si>
    <t xml:space="preserve">نقاط مضاعفة في الأعياد</t>
  </si>
  <si>
    <t xml:space="preserve">❌</t>
  </si>
  <si>
    <t xml:space="preserve">🎯 1.5×</t>
  </si>
  <si>
    <t xml:space="preserve">🎯 2×</t>
  </si>
  <si>
    <t xml:space="preserve">تحفيز للمناسبات</t>
  </si>
  <si>
    <t xml:space="preserve">دعوة لفعاليات درب</t>
  </si>
  <si>
    <t xml:space="preserve">✅✅ VIP</t>
  </si>
  <si>
    <t xml:space="preserve">تجربة حصرية</t>
  </si>
  <si>
    <t xml:space="preserve">خصومات الشركاء</t>
  </si>
  <si>
    <t xml:space="preserve">5%</t>
  </si>
  <si>
    <t xml:space="preserve">10%</t>
  </si>
  <si>
    <t xml:space="preserve">15%</t>
  </si>
  <si>
    <t xml:space="preserve">قيمة إضافية</t>
  </si>
  <si>
    <t xml:space="preserve">أولوية الدعم الفني</t>
  </si>
  <si>
    <t xml:space="preserve">عادي</t>
  </si>
  <si>
    <t xml:space="preserve">فوري</t>
  </si>
  <si>
    <t xml:space="preserve">خدمة العملاء</t>
  </si>
  <si>
    <t xml:space="preserve">إهداء النقاط للعائلة</t>
  </si>
  <si>
    <t xml:space="preserve">✅ محدود</t>
  </si>
  <si>
    <t xml:space="preserve">✅ بلا حدود</t>
  </si>
  <si>
    <t xml:space="preserve">مشاركة المنفعة</t>
  </si>
  <si>
    <t xml:space="preserve">تجميد الحساب</t>
  </si>
  <si>
    <t xml:space="preserve">✅ مرة/سنة</t>
  </si>
  <si>
    <t xml:space="preserve">مرونة في الإجازات</t>
  </si>
  <si>
    <t xml:space="preserve">⚙️ قواعد الترقية والتنزيل</t>
  </si>
  <si>
    <t xml:space="preserve">🔼 الترقية: تلقائية فور تجاوز الحد الأدنى للمستوى التالي</t>
  </si>
  <si>
    <t xml:space="preserve">🔽 التنزيل: بعد 12 شهر من عدم الوصول للحد الأدنى</t>
  </si>
  <si>
    <t xml:space="preserve">📅 المراجعة: 31 ديسمبر من كل سنة · يحتسب آخر 12 شهر</t>
  </si>
  <si>
    <t xml:space="preserve">🎯 فترة سماح: 30 يوم بعد التنزيل لاستعادة المستوى</t>
  </si>
  <si>
    <t xml:space="preserve">💯 النقاط لا تنتهي · باقية حتى لو تغيّر المستوى</t>
  </si>
  <si>
    <t xml:space="preserve">  درب · تكلفة الولاء على كل نوع محطة</t>
  </si>
  <si>
    <t xml:space="preserve">  حساب الجدوى الاقتصادية لكل نموذج</t>
  </si>
  <si>
    <t xml:space="preserve">📊 التفاصيل لكل نوع محطة</t>
  </si>
  <si>
    <t xml:space="preserve">محطة تشغيل</t>
  </si>
  <si>
    <t xml:space="preserve">محطة استثمار</t>
  </si>
  <si>
    <t xml:space="preserve">محطة امتياز</t>
  </si>
  <si>
    <t xml:space="preserve">الفرق</t>
  </si>
  <si>
    <t xml:space="preserve">الجدوى</t>
  </si>
  <si>
    <t xml:space="preserve">هامش/لتر (هللة)</t>
  </si>
  <si>
    <t xml:space="preserve">هامش/ريال (هللة)</t>
  </si>
  <si>
    <t xml:space="preserve">تكلفة الولاء/ريال (هللة)</t>
  </si>
  <si>
    <t xml:space="preserve">مساهمة درب %</t>
  </si>
  <si>
    <t xml:space="preserve">تكلفة درب/ريال (هللة)</t>
  </si>
  <si>
    <t xml:space="preserve">صافي هامش المالك/ريال</t>
  </si>
  <si>
    <t xml:space="preserve">الجدوى الاقتصادية</t>
  </si>
  <si>
    <t xml:space="preserve">  درب · آلية التحصيل من محطات الامتياز</t>
  </si>
  <si>
    <t xml:space="preserve">  حساب الفاتورة الشهرية لكل محطة امتياز بناءً على المبيعات</t>
  </si>
  <si>
    <t xml:space="preserve">⚙️ الآلية</t>
  </si>
  <si>
    <t xml:space="preserve">نهاية كل شهر</t>
  </si>
  <si>
    <t xml:space="preserve">النظام يحسب إجمالي اللترات لكل محطة</t>
  </si>
  <si>
    <t xml:space="preserve">حساب المساهمة</t>
  </si>
  <si>
    <t xml:space="preserve">اللترات × سعر اللتر × 0.5 هللة = المستحق</t>
  </si>
  <si>
    <t xml:space="preserve">إصدار الفاتورة</t>
  </si>
  <si>
    <t xml:space="preserve">فاتورة إلكترونية تلقائية في اليوم 1</t>
  </si>
  <si>
    <t xml:space="preserve">مهلة السداد</t>
  </si>
  <si>
    <t xml:space="preserve">15 يوم من تاريخ الفاتورة</t>
  </si>
  <si>
    <t xml:space="preserve">الغرامة</t>
  </si>
  <si>
    <t xml:space="preserve">1% أسبوعياً + إيقاف بعد 30 يوم</t>
  </si>
  <si>
    <t xml:space="preserve">📋 محاكاة 10 محطات امتياز نموذجية</t>
  </si>
  <si>
    <t xml:space="preserve">الكود</t>
  </si>
  <si>
    <t xml:space="preserve">المدينة</t>
  </si>
  <si>
    <t xml:space="preserve">لتر/شهر</t>
  </si>
  <si>
    <t xml:space="preserve">الإنفاق (ريال)</t>
  </si>
  <si>
    <t xml:space="preserve">مساهمة المالك</t>
  </si>
  <si>
    <t xml:space="preserve">AMT-001</t>
  </si>
  <si>
    <t xml:space="preserve">الرياض</t>
  </si>
  <si>
    <t xml:space="preserve">AMT-002</t>
  </si>
  <si>
    <t xml:space="preserve">جدة</t>
  </si>
  <si>
    <t xml:space="preserve">AMT-003</t>
  </si>
  <si>
    <t xml:space="preserve">مكة</t>
  </si>
  <si>
    <t xml:space="preserve">AMT-004</t>
  </si>
  <si>
    <t xml:space="preserve">الدمام</t>
  </si>
  <si>
    <t xml:space="preserve">AMT-005</t>
  </si>
  <si>
    <t xml:space="preserve">الطائف</t>
  </si>
  <si>
    <t xml:space="preserve">AMT-006</t>
  </si>
  <si>
    <t xml:space="preserve">تبوك</t>
  </si>
  <si>
    <t xml:space="preserve">AMT-007</t>
  </si>
  <si>
    <t xml:space="preserve">حائل</t>
  </si>
  <si>
    <t xml:space="preserve">AMT-008</t>
  </si>
  <si>
    <t xml:space="preserve">بريدة</t>
  </si>
  <si>
    <t xml:space="preserve">AMT-009</t>
  </si>
  <si>
    <t xml:space="preserve">أبها</t>
  </si>
  <si>
    <t xml:space="preserve">AMT-010</t>
  </si>
  <si>
    <t xml:space="preserve">جازان</t>
  </si>
  <si>
    <t xml:space="preserve">📊 الإجمالي الشهري</t>
  </si>
  <si>
    <t xml:space="preserve">📅 الإجمالي السنوي</t>
  </si>
  <si>
    <t xml:space="preserve">  درب · التوقعات المالية على 5 سنوات</t>
  </si>
  <si>
    <t xml:space="preserve">  بناءً على نمو محطات درب من 173 إلى 250</t>
  </si>
  <si>
    <t xml:space="preserve">🏗️ نمو المحطات السنوي</t>
  </si>
  <si>
    <t xml:space="preserve">نوع المحطة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</si>
  <si>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</si>
  <si>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</si>
  <si>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</si>
  <si>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</si>
  <si>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</si>
  <si>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النمو</t>
  </si>
  <si>
    <t xml:space="preserve">🏢 تشغيل</t>
  </si>
  <si>
    <t xml:space="preserve">💼 استثمار</t>
  </si>
  <si>
    <t xml:space="preserve">🤝 امتياز</t>
  </si>
  <si>
    <t xml:space="preserve">📊 الإجمالي</t>
  </si>
  <si>
    <t xml:space="preserve">💰 التكلفة السنوية على درب (مليون ريال)</t>
  </si>
  <si>
    <t xml:space="preserve">تشغيل (100%)</t>
  </si>
  <si>
    <t xml:space="preserve">استثمار (50%)</t>
  </si>
  <si>
    <t xml:space="preserve">امتياز (50%)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</si>
</sst>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.00%"/>
    <numFmt numFmtId="166" formatCode="#,##0"/>
    <numFmt numFmtId="167" formatCode="#,##0&quot; ريال&quot;"/>
    <numFmt numFmtId="168" formatCode="#,##0&quot; ر&quot;"/>
    <numFmt numFmtId="169" formatCode="0.00"/>
    <numFmt numFmtId="170" formatCode="0.0"/>
    <numFmt numFmtId="171" formatCode="0%"/>
    <numFmt numFmtId="172" formatCode="0.0%"/>
    <numFmt numFmtId="173" formatCode="yyyy\-mm\-dd"/>
    <numFmt numFmtId="174" formatCode="0.0&quot; هللة&quot;"/>
    <numFmt numFmtId="175" formatCode="\+#,##0&quot; ر&quot;"/>
    <numFmt numFmtId="176" formatCode="#,##0&quot; ر/سنة&quot;"/>
    <numFmt numFmtId="177" formatCode="\+0%;\-0%"/>
    <numFmt numFmtId="178" formatCode="\+0%"/>
    <numFmt numFmtId="179" formatCode="0&quot; = ريال&quot;"/>
    <numFmt numFmtId="180" formatCode="#,##0&quot; = ريال&quot;"/>
    <numFmt numFmtId="181" formatCode="0.0&quot; م ر&quot;"/>
    <numFmt numFmtId="182" formatCode="\+0.0;\-0.0;0"/>
    <numFmt numFmtId="183" formatCode="0.0000"/>
    <numFmt numFmtId="184" formatCode="0.0\x"/>
    <numFmt numFmtId="185" formatCode="#,##0&quot; نقطة/ريال&quot;"/>
    <numFmt numFmtId="186" formatCode="#,##0&quot; نقطة&quot;"/>
    <numFmt numFmtId="187" formatCode="0"/>
    <numFmt numFmtId="188" formatCode="0.00&quot; م&quot;"/>
  </numFmts>
  <fonts count="9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DIN Next LT Arabic"/>
      <family val="0"/>
      <charset val="1"/>
    </font>
    <font>
      <i val="true"/>
      <sz val="11"/>
      <color rgb="FFFFFFFF"/>
      <name val="DIN Next LT Arabic"/>
      <family val="0"/>
      <charset val="1"/>
    </font>
    <font>
      <b val="true"/>
      <sz val="12"/>
      <color rgb="FFC04E0E"/>
      <name val="DIN Next LT Arabic"/>
      <family val="0"/>
      <charset val="1"/>
    </font>
    <font>
      <b val="true"/>
      <sz val="12"/>
      <color rgb="FF0D47A1"/>
      <name val="DIN Next LT Arabic"/>
      <family val="0"/>
      <charset val="1"/>
    </font>
    <font>
      <b val="true"/>
      <sz val="12"/>
      <color rgb="FFE65100"/>
      <name val="DIN Next LT Arabic"/>
      <family val="0"/>
      <charset val="1"/>
    </font>
    <font>
      <b val="true"/>
      <sz val="36"/>
      <color rgb="FFC04E0E"/>
      <name val="DIN Next LT Arabic"/>
      <family val="0"/>
      <charset val="1"/>
    </font>
    <font>
      <b val="true"/>
      <sz val="36"/>
      <color rgb="FF0D47A1"/>
      <name val="DIN Next LT Arabic"/>
      <family val="0"/>
      <charset val="1"/>
    </font>
    <font>
      <b val="true"/>
      <sz val="36"/>
      <color rgb="FFE65100"/>
      <name val="DIN Next LT Arabic"/>
      <family val="0"/>
      <charset val="1"/>
    </font>
    <font>
      <i val="true"/>
      <sz val="10"/>
      <color rgb="FFC04E0E"/>
      <name val="DIN Next LT Arabic"/>
      <family val="0"/>
      <charset val="1"/>
    </font>
    <font>
      <i val="true"/>
      <sz val="10"/>
      <color rgb="FF0D47A1"/>
      <name val="DIN Next LT Arabic"/>
      <family val="0"/>
      <charset val="1"/>
    </font>
    <font>
      <i val="true"/>
      <sz val="10"/>
      <color rgb="FFE65100"/>
      <name val="DIN Next LT Arabic"/>
      <family val="0"/>
      <charset val="1"/>
    </font>
    <font>
      <b val="true"/>
      <sz val="14"/>
      <color rgb="FFFFFFFF"/>
      <name val="DIN Next LT Arabic"/>
      <family val="0"/>
      <charset val="1"/>
    </font>
    <font>
      <b val="true"/>
      <sz val="10"/>
      <color rgb="FFFFFFFF"/>
      <name val="DIN Next LT Arabic"/>
      <family val="0"/>
      <charset val="1"/>
    </font>
    <font>
      <b val="true"/>
      <sz val="12"/>
      <color rgb="FF37474F"/>
      <name val="DIN Next LT Arabic"/>
      <family val="0"/>
      <charset val="1"/>
    </font>
    <font>
      <b val="true"/>
      <sz val="13"/>
      <color rgb="FFC04E0E"/>
      <name val="DIN Next LT Arabic"/>
      <family val="0"/>
      <charset val="1"/>
    </font>
    <font>
      <sz val="11"/>
      <color rgb="FF000000"/>
      <name val="DIN Next LT Arabic"/>
      <family val="0"/>
      <charset val="1"/>
    </font>
    <font>
      <b val="true"/>
      <sz val="12"/>
      <color rgb="FF000000"/>
      <name val="DIN Next LT Arabic"/>
      <family val="0"/>
      <charset val="1"/>
    </font>
    <font>
      <b val="true"/>
      <sz val="12"/>
      <color rgb="FF006100"/>
      <name val="DIN Next LT Arabic"/>
      <family val="0"/>
      <charset val="1"/>
    </font>
    <font>
      <b val="true"/>
      <sz val="11"/>
      <color rgb="FF9C0006"/>
      <name val="DIN Next LT Arabic"/>
      <family val="0"/>
      <charset val="1"/>
    </font>
    <font>
      <b val="true"/>
      <sz val="12"/>
      <color rgb="FF263238"/>
      <name val="DIN Next LT Arabic"/>
      <family val="0"/>
      <charset val="1"/>
    </font>
    <font>
      <b val="true"/>
      <sz val="11"/>
      <color rgb="FFFFFFFF"/>
      <name val="DIN Next LT Arabic"/>
      <family val="0"/>
      <charset val="1"/>
    </font>
    <font>
      <b val="true"/>
      <sz val="11"/>
      <color rgb="FF37474F"/>
      <name val="DIN Next LT Arabic"/>
      <family val="0"/>
      <charset val="1"/>
    </font>
    <font>
      <b val="true"/>
      <sz val="11"/>
      <color rgb="FF263238"/>
      <name val="DIN Next LT Arabic"/>
      <family val="0"/>
      <charset val="1"/>
    </font>
    <font>
      <b val="true"/>
      <sz val="11"/>
      <color rgb="FFE65100"/>
      <name val="DIN Next LT Arabic"/>
      <family val="0"/>
      <charset val="1"/>
    </font>
    <font>
      <b val="true"/>
      <sz val="11"/>
      <color rgb="FF006100"/>
      <name val="DIN Next LT Arabic"/>
      <family val="0"/>
      <charset val="1"/>
    </font>
    <font>
      <b val="true"/>
      <sz val="11"/>
      <color rgb="FF3D3D3D"/>
      <name val="DIN Next LT Arabic"/>
      <family val="0"/>
      <charset val="1"/>
    </font>
    <font>
      <sz val="11"/>
      <color rgb="FF9C0006"/>
      <name val="DIN Next LT Arabic"/>
      <family val="0"/>
      <charset val="1"/>
    </font>
    <font>
      <b val="true"/>
      <sz val="11"/>
      <color rgb="FFC04E0E"/>
      <name val="DIN Next LT Arabic"/>
      <family val="0"/>
      <charset val="1"/>
    </font>
    <font>
      <i val="true"/>
      <sz val="12"/>
      <color rgb="FFFFFFFF"/>
      <name val="DIN Next LT Arabic"/>
      <family val="0"/>
      <charset val="1"/>
    </font>
    <font>
      <b val="true"/>
      <sz val="10"/>
      <color rgb="FF000000"/>
      <name val="DIN Next LT Arabic"/>
      <family val="0"/>
      <charset val="1"/>
    </font>
    <font>
      <b val="true"/>
      <sz val="14"/>
      <color rgb="FFC04E0E"/>
      <name val="DIN Next LT Arabic"/>
      <family val="0"/>
      <charset val="1"/>
    </font>
    <font>
      <i val="true"/>
      <sz val="10"/>
      <color rgb="FF555555"/>
      <name val="DIN Next LT Arabic"/>
      <family val="0"/>
      <charset val="1"/>
    </font>
    <font>
      <b val="true"/>
      <sz val="11"/>
      <color rgb="FF000000"/>
      <name val="DIN Next LT Arabic"/>
      <family val="0"/>
      <charset val="1"/>
    </font>
    <font>
      <b val="true"/>
      <sz val="11"/>
      <color rgb="FF0D47A1"/>
      <name val="DIN Next LT Arabic"/>
      <family val="0"/>
      <charset val="1"/>
    </font>
    <font>
      <b val="true"/>
      <sz val="14"/>
      <color rgb="FF0D47A1"/>
      <name val="DIN Next LT Arabic"/>
      <family val="0"/>
      <charset val="1"/>
    </font>
    <font>
      <b val="true"/>
      <sz val="11"/>
      <color rgb="FF1B5E20"/>
      <name val="DIN Next LT Arabic"/>
      <family val="0"/>
      <charset val="1"/>
    </font>
    <font>
      <b val="true"/>
      <sz val="14"/>
      <color rgb="FF1B5E20"/>
      <name val="DIN Next LT Arabic"/>
      <family val="0"/>
      <charset val="1"/>
    </font>
    <font>
      <i val="true"/>
      <sz val="11"/>
      <color rgb="FF6D4C41"/>
      <name val="DIN Next LT Arabic"/>
      <family val="0"/>
      <charset val="1"/>
    </font>
    <font>
      <b val="true"/>
      <sz val="16"/>
      <color rgb="FF0D47A1"/>
      <name val="DIN Next LT Arabic"/>
      <family val="0"/>
      <charset val="1"/>
    </font>
    <font>
      <b val="true"/>
      <sz val="16"/>
      <color rgb="FF5E35B1"/>
      <name val="DIN Next LT Arabic"/>
      <family val="0"/>
      <charset val="1"/>
    </font>
    <font>
      <i val="true"/>
      <sz val="12"/>
      <color rgb="FF0D47A1"/>
      <name val="DIN Next LT Arabic"/>
      <family val="0"/>
      <charset val="1"/>
    </font>
    <font>
      <i val="true"/>
      <sz val="12"/>
      <color rgb="FF5E35B1"/>
      <name val="DIN Next LT Arabic"/>
      <family val="0"/>
      <charset val="1"/>
    </font>
    <font>
      <sz val="11"/>
      <color rgb="FF0D47A1"/>
      <name val="DIN Next LT Arabic"/>
      <family val="0"/>
      <charset val="1"/>
    </font>
    <font>
      <sz val="11"/>
      <color rgb="FF5E35B1"/>
      <name val="DIN Next LT Arabic"/>
      <family val="0"/>
      <charset val="1"/>
    </font>
    <font>
      <b val="true"/>
      <sz val="28"/>
      <color rgb="FFC04E0E"/>
      <name val="DIN Next LT Arabic"/>
      <family val="0"/>
      <charset val="1"/>
    </font>
    <font>
      <i val="true"/>
      <sz val="11"/>
      <color rgb="FF3D3D3D"/>
      <name val="DIN Next LT Arabic"/>
      <family val="0"/>
      <charset val="1"/>
    </font>
    <font>
      <b val="true"/>
      <sz val="11"/>
      <color rgb="FF5E35B1"/>
      <name val="DIN Next LT Arabic"/>
      <family val="0"/>
      <charset val="1"/>
    </font>
    <font>
      <b val="true"/>
      <sz val="22"/>
      <color rgb="FF3D3D3D"/>
      <name val="DIN Next LT Arabic"/>
      <family val="0"/>
      <charset val="1"/>
    </font>
    <font>
      <b val="true"/>
      <sz val="22"/>
      <color rgb="FF5E35B1"/>
      <name val="DIN Next LT Arabic"/>
      <family val="0"/>
      <charset val="1"/>
    </font>
    <font>
      <b val="true"/>
      <sz val="22"/>
      <color rgb="FF0D47A1"/>
      <name val="DIN Next LT Arabic"/>
      <family val="0"/>
      <charset val="1"/>
    </font>
    <font>
      <b val="true"/>
      <sz val="22"/>
      <color rgb="FF006100"/>
      <name val="DIN Next LT Arabic"/>
      <family val="0"/>
      <charset val="1"/>
    </font>
    <font>
      <i val="true"/>
      <sz val="9"/>
      <color rgb="FF3D3D3D"/>
      <name val="DIN Next LT Arabic"/>
      <family val="0"/>
      <charset val="1"/>
    </font>
    <font>
      <i val="true"/>
      <sz val="9"/>
      <color rgb="FF5E35B1"/>
      <name val="DIN Next LT Arabic"/>
      <family val="0"/>
      <charset val="1"/>
    </font>
    <font>
      <i val="true"/>
      <sz val="9"/>
      <color rgb="FF0D47A1"/>
      <name val="DIN Next LT Arabic"/>
      <family val="0"/>
      <charset val="1"/>
    </font>
    <font>
      <i val="true"/>
      <sz val="9"/>
      <color rgb="FF006100"/>
      <name val="DIN Next LT Arabic"/>
      <family val="0"/>
      <charset val="1"/>
    </font>
    <font>
      <b val="true"/>
      <sz val="16"/>
      <color rgb="FFC04E0E"/>
      <name val="DIN Next LT Arabic"/>
      <family val="0"/>
      <charset val="1"/>
    </font>
    <font>
      <i val="true"/>
      <sz val="10"/>
      <color rgb="FF000000"/>
      <name val="DIN Next LT Arabic"/>
      <family val="0"/>
      <charset val="1"/>
    </font>
    <font>
      <b val="true"/>
      <sz val="24"/>
      <color rgb="FF000000"/>
      <name val="DIN Next LT Arabic"/>
      <family val="0"/>
      <charset val="1"/>
    </font>
    <font>
      <b val="true"/>
      <sz val="12"/>
      <color rgb="FF1B5E20"/>
      <name val="DIN Next LT Arabic"/>
      <family val="0"/>
      <charset val="1"/>
    </font>
    <font>
      <sz val="10"/>
      <color rgb="FF000000"/>
      <name val="DIN Next LT Arabic"/>
      <family val="0"/>
      <charset val="1"/>
    </font>
    <font>
      <b val="true"/>
      <sz val="12"/>
      <color rgb="FF5E35B1"/>
      <name val="DIN Next LT Arabic"/>
      <family val="0"/>
      <charset val="1"/>
    </font>
    <font>
      <b val="true"/>
      <sz val="10"/>
      <color rgb="FF1B5E20"/>
      <name val="DIN Next LT Arabic"/>
      <family val="0"/>
      <charset val="1"/>
    </font>
    <font>
      <sz val="10"/>
      <color rgb="FF006100"/>
      <name val="DIN Next LT Arabic"/>
      <family val="0"/>
      <charset val="1"/>
    </font>
    <font>
      <sz val="10"/>
      <color rgb="FF9C0006"/>
      <name val="DIN Next LT Arabic"/>
      <family val="0"/>
      <charset val="1"/>
    </font>
    <font>
      <b val="true"/>
      <sz val="10"/>
      <color rgb="FF0D47A1"/>
      <name val="DIN Next LT Arabic"/>
      <family val="0"/>
      <charset val="1"/>
    </font>
    <font>
      <b val="true"/>
      <sz val="10"/>
      <color rgb="FF5E35B1"/>
      <name val="DIN Next LT Arabic"/>
      <family val="0"/>
      <charset val="1"/>
    </font>
    <font>
      <b val="true"/>
      <sz val="10"/>
      <color rgb="FFC04E0E"/>
      <name val="DIN Next LT Arabic"/>
      <family val="0"/>
      <charset val="1"/>
    </font>
    <font>
      <i val="true"/>
      <sz val="9"/>
      <color rgb="FF000000"/>
      <name val="DIN Next LT Arabic"/>
      <family val="0"/>
      <charset val="1"/>
    </font>
    <font>
      <b val="true"/>
      <sz val="11"/>
      <color rgb="FFF57F17"/>
      <name val="DIN Next LT Arabic"/>
      <family val="0"/>
      <charset val="1"/>
    </font>
    <font>
      <b val="true"/>
      <sz val="11"/>
      <color rgb="FF9C5700"/>
      <name val="DIN Next LT Arabic"/>
      <family val="0"/>
      <charset val="1"/>
    </font>
    <font>
      <b val="true"/>
      <sz val="13"/>
      <color rgb="FFFFFFFF"/>
      <name val="DIN Next LT Arabic"/>
      <family val="0"/>
      <charset val="1"/>
    </font>
    <font>
      <b val="true"/>
      <sz val="16"/>
      <color rgb="FF3D3D3D"/>
      <name val="DIN Next LT Arabic"/>
      <family val="0"/>
      <charset val="1"/>
    </font>
    <font>
      <b val="true"/>
      <sz val="16"/>
      <color rgb="FF006100"/>
      <name val="DIN Next LT Arabic"/>
      <family val="0"/>
      <charset val="1"/>
    </font>
    <font>
      <b val="true"/>
      <sz val="16"/>
      <color rgb="FF9C0006"/>
      <name val="DIN Next LT Arabic"/>
      <family val="0"/>
      <charset val="1"/>
    </font>
    <font>
      <b val="true"/>
      <sz val="16"/>
      <color rgb="FF9C5700"/>
      <name val="DIN Next LT Arabic"/>
      <family val="0"/>
      <charset val="1"/>
    </font>
    <font>
      <b val="true"/>
      <sz val="18"/>
      <color rgb="FFC04E0E"/>
      <name val="DIN Next LT Arabic"/>
      <family val="0"/>
      <charset val="1"/>
    </font>
    <font>
      <i val="true"/>
      <sz val="10"/>
      <color rgb="FF006100"/>
      <name val="DIN Next LT Arabic"/>
      <family val="0"/>
      <charset val="1"/>
    </font>
    <font>
      <b val="true"/>
      <sz val="10"/>
      <color rgb="FF9C0006"/>
      <name val="DIN Next LT Arabic"/>
      <family val="0"/>
      <charset val="1"/>
    </font>
    <font>
      <sz val="10"/>
      <color rgb="FF9C5700"/>
      <name val="DIN Next LT Arabic"/>
      <family val="0"/>
      <charset val="1"/>
    </font>
    <font>
      <b val="true"/>
      <sz val="12"/>
      <color rgb="FFFFFFFF"/>
      <name val="DIN Next LT Arabic"/>
      <family val="0"/>
      <charset val="1"/>
    </font>
    <font>
      <i val="true"/>
      <sz val="10"/>
      <color rgb="FF1B5E20"/>
      <name val="DIN Next LT Arabic"/>
      <family val="0"/>
      <charset val="1"/>
    </font>
    <font>
      <b val="true"/>
      <sz val="12"/>
      <color rgb="FF9C0006"/>
      <name val="DIN Next LT Arabic"/>
      <family val="0"/>
      <charset val="1"/>
    </font>
    <font>
      <i val="true"/>
      <sz val="10"/>
      <color rgb="FF9C0006"/>
      <name val="DIN Next LT Arabic"/>
      <family val="0"/>
      <charset val="1"/>
    </font>
    <font>
      <b val="true"/>
      <sz val="16"/>
      <color rgb="FFFFFFFF"/>
      <name val="DIN Next LT Arabic"/>
      <family val="0"/>
      <charset val="1"/>
    </font>
    <font>
      <b val="true"/>
      <sz val="32"/>
      <color rgb="FFC04E0E"/>
      <name val="DIN Next LT Arabic"/>
      <family val="0"/>
      <charset val="1"/>
    </font>
    <font>
      <b val="true"/>
      <sz val="28"/>
      <color rgb="FF1B5E20"/>
      <name val="DIN Next LT Arabic"/>
      <family val="0"/>
      <charset val="1"/>
    </font>
    <font>
      <b val="true"/>
      <sz val="24"/>
      <color rgb="FF0D47A1"/>
      <name val="DIN Next LT Arabic"/>
      <family val="0"/>
      <charset val="1"/>
    </font>
    <font>
      <b val="true"/>
      <sz val="18"/>
      <color rgb="FF5E35B1"/>
      <name val="DIN Next LT Arabic"/>
      <family val="0"/>
      <charset val="1"/>
    </font>
    <font>
      <b val="true"/>
      <sz val="18"/>
      <color rgb="FFFFFFFF"/>
      <name val="DIN Next LT Arabic"/>
      <family val="0"/>
      <charset val="1"/>
    </font>
    <font>
      <i val="true"/>
      <sz val="11"/>
      <color rgb="FF000000"/>
      <name val="DIN Next LT Arabic"/>
      <family val="0"/>
      <charset val="1"/>
    </font>
    <font>
      <b val="true"/>
      <sz val="13"/>
      <color rgb="FF37474F"/>
      <name val="DIN Next LT Arabic"/>
      <family val="0"/>
      <charset val="1"/>
    </font>
    <font>
      <sz val="12"/>
      <color rgb="FF000000"/>
      <name val="DIN Next LT Arabic"/>
      <family val="0"/>
      <charset val="1"/>
    </font>
    <font>
      <b val="true"/>
      <sz val="13"/>
      <color rgb="FF006100"/>
      <name val="DIN Next LT Arabic"/>
      <family val="0"/>
      <charset val="1"/>
    </font>
    <font>
      <b val="true"/>
      <sz val="13"/>
      <color rgb="FF263238"/>
      <name val="DIN Next LT Arabic"/>
      <family val="0"/>
      <charset val="1"/>
    </font>
    <font>
      <b val="true"/>
      <sz val="13"/>
      <color rgb="FFE65100"/>
      <name val="DIN Next LT Arabic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F18321"/>
        <bgColor rgb="FFF57F17"/>
      </patternFill>
    </fill>
    <fill>
      <patternFill patternType="solid">
        <fgColor rgb="FF3D3D3D"/>
        <bgColor rgb="FF424242"/>
      </patternFill>
    </fill>
    <fill>
      <patternFill patternType="solid">
        <fgColor rgb="FFFEF0E6"/>
        <bgColor rgb="FFFFF3E0"/>
      </patternFill>
    </fill>
    <fill>
      <patternFill patternType="solid">
        <fgColor rgb="FFE3F2FD"/>
        <bgColor rgb="FFECEFF1"/>
      </patternFill>
    </fill>
    <fill>
      <patternFill patternType="solid">
        <fgColor rgb="FFFFF3E0"/>
        <bgColor rgb="FFFEF0E6"/>
      </patternFill>
    </fill>
    <fill>
      <patternFill patternType="solid">
        <fgColor rgb="FFFFFFFF"/>
        <bgColor rgb="FFFFFCE6"/>
      </patternFill>
    </fill>
    <fill>
      <patternFill patternType="solid">
        <fgColor rgb="FFECEFF1"/>
        <bgColor rgb="FFE8F5E9"/>
      </patternFill>
    </fill>
    <fill>
      <patternFill patternType="solid">
        <fgColor rgb="FFF0F8FF"/>
        <bgColor rgb="FFF5F5F5"/>
      </patternFill>
    </fill>
    <fill>
      <patternFill patternType="solid">
        <fgColor rgb="FFC6EFCE"/>
        <bgColor rgb="FFE2E3E3"/>
      </patternFill>
    </fill>
    <fill>
      <patternFill patternType="solid">
        <fgColor rgb="FFFFC7CE"/>
        <bgColor rgb="FFFDD8B5"/>
      </patternFill>
    </fill>
    <fill>
      <patternFill patternType="solid">
        <fgColor rgb="FFB0BEC5"/>
        <bgColor rgb="FFBDBDBD"/>
      </patternFill>
    </fill>
    <fill>
      <patternFill patternType="solid">
        <fgColor rgb="FFFFB74D"/>
        <bgColor rgb="FFFFCC80"/>
      </patternFill>
    </fill>
    <fill>
      <patternFill patternType="solid">
        <fgColor rgb="FF5E35B1"/>
        <bgColor rgb="FF555555"/>
      </patternFill>
    </fill>
    <fill>
      <patternFill patternType="solid">
        <fgColor rgb="FFF5F5F5"/>
        <bgColor rgb="FFF0F8FF"/>
      </patternFill>
    </fill>
    <fill>
      <patternFill patternType="solid">
        <fgColor rgb="FFFFFCE6"/>
        <bgColor rgb="FFFFF3E0"/>
      </patternFill>
    </fill>
    <fill>
      <patternFill patternType="solid">
        <fgColor rgb="FF0277BD"/>
        <bgColor rgb="FF008080"/>
      </patternFill>
    </fill>
    <fill>
      <patternFill patternType="solid">
        <fgColor rgb="FF388E3C"/>
        <bgColor rgb="FF008080"/>
      </patternFill>
    </fill>
    <fill>
      <patternFill patternType="solid">
        <fgColor rgb="FFE8F5E9"/>
        <bgColor rgb="FFECEFF1"/>
      </patternFill>
    </fill>
    <fill>
      <patternFill patternType="solid">
        <fgColor rgb="FFFFF9C4"/>
        <bgColor rgb="FFFFF3E0"/>
      </patternFill>
    </fill>
    <fill>
      <patternFill patternType="solid">
        <fgColor rgb="FFF3E5F5"/>
        <bgColor rgb="FFECEFF1"/>
      </patternFill>
    </fill>
    <fill>
      <patternFill patternType="solid">
        <fgColor rgb="FF0D47A1"/>
        <bgColor rgb="FF37474F"/>
      </patternFill>
    </fill>
    <fill>
      <patternFill patternType="solid">
        <fgColor rgb="FFFFE0B2"/>
        <bgColor rgb="FFFDD8B5"/>
      </patternFill>
    </fill>
    <fill>
      <patternFill patternType="solid">
        <fgColor rgb="FFFFEB9C"/>
        <bgColor rgb="FFFFE0B2"/>
      </patternFill>
    </fill>
    <fill>
      <patternFill patternType="solid">
        <fgColor rgb="FFFDD8B5"/>
        <bgColor rgb="FFFFE0B2"/>
      </patternFill>
    </fill>
    <fill>
      <patternFill patternType="solid">
        <fgColor rgb="FF9C0006"/>
        <bgColor rgb="FF800000"/>
      </patternFill>
    </fill>
    <fill>
      <patternFill patternType="solid">
        <fgColor rgb="FF1B5E20"/>
        <bgColor rgb="FF006100"/>
      </patternFill>
    </fill>
    <fill>
      <patternFill patternType="solid">
        <fgColor rgb="FFC04E0E"/>
        <bgColor rgb="FF9C57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/>
      <right style="thin">
        <color rgb="FFBDBDBD"/>
      </right>
      <top/>
      <bottom style="thin">
        <color rgb="FFBDBDBD"/>
      </bottom>
      <diagonal/>
    </border>
    <border diagonalUp="false" diagonalDown="false">
      <left/>
      <right/>
      <top/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0" fillId="7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1" fillId="7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7" fillId="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20" fillId="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7" fontId="21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22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3" fillId="1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1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14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9" fillId="1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1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2" fillId="3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34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5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6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9" fontId="34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1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7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38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1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6" fontId="40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0" fontId="40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40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1" fillId="20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2" fillId="3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2" fillId="5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21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4" fillId="5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5" fillId="21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9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5" fillId="17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4" fillId="2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6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7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6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47" fillId="2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5" fillId="18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1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4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48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9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9" fillId="1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0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7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8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51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2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5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54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5" fillId="1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6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7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8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5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0" fillId="1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2" fontId="34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1" fillId="2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2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36" fillId="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37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21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31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0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1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9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2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3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1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1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4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1" fillId="2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1" fillId="2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5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6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7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8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9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0" fillId="2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0" fillId="4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1" fillId="1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33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6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6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0" fontId="6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3" fontId="63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1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3" fillId="1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3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63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63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0" fontId="63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3" fontId="63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3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2" fillId="2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3" fillId="2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7" fillId="2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4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34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34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4" fontId="34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4" fillId="1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75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76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77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8" fillId="2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5" fontId="76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4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6" fontId="79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1" fontId="79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8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0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5" fillId="26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1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7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2" fontId="36" fillId="1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2" fillId="2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3" fillId="26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3" fillId="2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4" fillId="2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5" fillId="2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27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6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62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3" fillId="2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3" fillId="2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4" fillId="2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5" fillId="2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62" fillId="1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3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39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4" fillId="1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5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3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6" fillId="1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4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3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6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5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2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4" fillId="2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3" fillId="2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7" fontId="34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7" fontId="87" fillId="2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8" fontId="88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8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1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3" fillId="3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9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0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0" fontId="6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6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9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9" fontId="6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4" fillId="2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2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81" fontId="2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1" fontId="18" fillId="2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2" fontId="36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2" fillId="2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3" fontId="18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9" fontId="18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31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28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4" fontId="50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4" fillId="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85" fontId="18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6" fontId="95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96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6" fontId="64" fillId="21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97" fillId="1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98" fillId="1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0" fillId="1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2" fillId="11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9" fontId="85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1" fillId="2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71" fontId="6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37" fillId="9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9" fontId="7" fillId="9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8" fillId="1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9" fontId="21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0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36" fillId="1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31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4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74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4" fillId="2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8" fontId="74" fillId="2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7" fontId="36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8" fontId="28" fillId="1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3" fillId="2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87" fontId="83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8" fontId="83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88" fontId="19" fillId="7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8" fontId="73" fillId="2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3" fillId="28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88" fontId="74" fillId="2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78" fontId="83" fillId="28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7" fillId="2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DIN Next LT Arabic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DIN Next LT Arabic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DIN Next LT Arabic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DIN Next LT Arabic"/>
        <charset val="1"/>
        <family val="0"/>
        <b val="1"/>
        <color rgb="FF424242"/>
      </font>
      <fill>
        <patternFill>
          <bgColor rgb="FFE2E3E3"/>
        </patternFill>
      </fill>
    </dxf>
    <dxf>
      <font>
        <name val="DIN Next LT Arabic"/>
        <charset val="1"/>
        <family val="0"/>
        <b val="1"/>
        <color rgb="FFE65100"/>
      </font>
      <fill>
        <patternFill>
          <bgColor rgb="FFFFE0B2"/>
        </patternFill>
      </fill>
    </dxf>
    <dxf>
      <font>
        <name val="DIN Next LT Arabic"/>
        <charset val="1"/>
        <family val="0"/>
        <b val="1"/>
        <color rgb="FFEF6C00"/>
      </font>
      <fill>
        <patternFill>
          <bgColor rgb="FFFFCC80"/>
        </patternFill>
      </fill>
    </dxf>
    <dxf>
      <font>
        <name val="DIN Next LT Arabic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DIN Next LT Arabic"/>
        <charset val="1"/>
        <family val="0"/>
        <b val="1"/>
        <color rgb="FF0D47A1"/>
      </font>
      <fill>
        <patternFill>
          <bgColor rgb="FFBBDEFB"/>
        </patternFill>
      </fill>
    </dxf>
    <dxf>
      <font>
        <name val="DIN Next LT Arabic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DIN Next LT Arabic"/>
        <charset val="1"/>
        <family val="0"/>
        <b val="1"/>
        <color rgb="FF1B5E20"/>
      </font>
      <fill>
        <patternFill>
          <bgColor rgb="FFA5D6A7"/>
        </patternFill>
      </fill>
    </dxf>
    <dxf>
      <font>
        <name val="DIN Next LT Arabic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DIN Next LT Arabic"/>
        <charset val="1"/>
        <family val="0"/>
        <b val="1"/>
        <color rgb="FFE65100"/>
      </font>
      <fill>
        <patternFill>
          <bgColor rgb="FFFFE082"/>
        </patternFill>
      </fill>
    </dxf>
  </dxfs>
  <colors>
    <indexedColors>
      <rgbColor rgb="FF000000"/>
      <rgbColor rgb="FFFFFFFF"/>
      <rgbColor rgb="FFE65100"/>
      <rgbColor rgb="FF00FF00"/>
      <rgbColor rgb="FF0000FF"/>
      <rgbColor rgb="FFFFE082"/>
      <rgbColor rgb="FFFF00FF"/>
      <rgbColor rgb="FFF0F8FF"/>
      <rgbColor rgb="FF9C0006"/>
      <rgbColor rgb="FF006100"/>
      <rgbColor rgb="FF000080"/>
      <rgbColor rgb="FFFFF3E0"/>
      <rgbColor rgb="FF800080"/>
      <rgbColor rgb="FF37474F"/>
      <rgbColor rgb="FFBDBDBD"/>
      <rgbColor rgb="FFFEF0E6"/>
      <rgbColor rgb="FFF3E5F5"/>
      <rgbColor rgb="FF6D4C41"/>
      <rgbColor rgb="FFFFF9C4"/>
      <rgbColor rgb="FFE3F2FD"/>
      <rgbColor rgb="FF424242"/>
      <rgbColor rgb="FFF57F17"/>
      <rgbColor rgb="FF0277BD"/>
      <rgbColor rgb="FFBBDEFB"/>
      <rgbColor rgb="FF000080"/>
      <rgbColor rgb="FFFF00FF"/>
      <rgbColor rgb="FFFFE0B2"/>
      <rgbColor rgb="FFF5F5F5"/>
      <rgbColor rgb="FF800080"/>
      <rgbColor rgb="FF800000"/>
      <rgbColor rgb="FF008080"/>
      <rgbColor rgb="FF0000FF"/>
      <rgbColor rgb="FFFFFCE6"/>
      <rgbColor rgb="FFE8F5E9"/>
      <rgbColor rgb="FFC6EFCE"/>
      <rgbColor rgb="FFFFEB9C"/>
      <rgbColor rgb="FFB0BEC5"/>
      <rgbColor rgb="FFFFC7CE"/>
      <rgbColor rgb="FFE2E3E3"/>
      <rgbColor rgb="FFFFCC80"/>
      <rgbColor rgb="FF3366FF"/>
      <rgbColor rgb="FFECEFF1"/>
      <rgbColor rgb="FFFDD8B5"/>
      <rgbColor rgb="FFFFB74D"/>
      <rgbColor rgb="FFF18321"/>
      <rgbColor rgb="FFEF6C00"/>
      <rgbColor rgb="FF555555"/>
      <rgbColor rgb="FFA5D6A7"/>
      <rgbColor rgb="FF0D47A1"/>
      <rgbColor rgb="FF388E3C"/>
      <rgbColor rgb="FF1B5E20"/>
      <rgbColor rgb="FF3D3D3D"/>
      <rgbColor rgb="FF9C5700"/>
      <rgbColor rgb="FFC04E0E"/>
      <rgbColor rgb="FF5E35B1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5" min="3" style="1" width="14"/>
    <col collapsed="false" customWidth="true" hidden="false" outlineLevel="0" max="7" min="6" style="1" width="16"/>
    <col collapsed="false" customWidth="true" hidden="false" outlineLevel="0" max="9" min="8" style="1" width="14"/>
  </cols>
  <sheetData>
    <row r="1" customFormat="false" ht="4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9.75" hidden="false" customHeight="true" outlineLevel="0" collapsed="false"/>
    <row r="4" customFormat="false" ht="30" hidden="false" customHeight="true" outlineLevel="0" collapsed="false">
      <c r="A4" s="4" t="s">
        <v>2</v>
      </c>
      <c r="B4" s="4"/>
      <c r="C4" s="4"/>
      <c r="D4" s="5" t="s">
        <v>3</v>
      </c>
      <c r="E4" s="5"/>
      <c r="F4" s="5"/>
      <c r="G4" s="6" t="s">
        <v>4</v>
      </c>
      <c r="H4" s="6"/>
      <c r="I4" s="6"/>
    </row>
    <row r="5" customFormat="false" ht="69.75" hidden="false" customHeight="true" outlineLevel="0" collapsed="false">
      <c r="A5" s="7" t="n">
        <f aca="false">السيناريوهات!C7/السيناريوهات!C6</f>
        <v>0.01</v>
      </c>
      <c r="B5" s="7"/>
      <c r="C5" s="7"/>
      <c r="D5" s="8" t="n">
        <f aca="false">السيناريوهات!C8/السيناريوهات!C6</f>
        <v>0.015</v>
      </c>
      <c r="E5" s="8"/>
      <c r="F5" s="8"/>
      <c r="G5" s="9" t="n">
        <f aca="false">السيناريوهات!C9/السيناريوهات!C6</f>
        <v>0.02</v>
      </c>
      <c r="H5" s="9"/>
      <c r="I5" s="9"/>
    </row>
    <row r="6" customFormat="false" ht="24" hidden="false" customHeight="true" outlineLevel="0" collapsed="false">
      <c r="A6" s="10" t="s">
        <v>5</v>
      </c>
      <c r="B6" s="10"/>
      <c r="C6" s="10"/>
      <c r="D6" s="11" t="s">
        <v>6</v>
      </c>
      <c r="E6" s="11"/>
      <c r="F6" s="11"/>
      <c r="G6" s="12" t="s">
        <v>7</v>
      </c>
      <c r="H6" s="12"/>
      <c r="I6" s="12"/>
    </row>
    <row r="7" customFormat="false" ht="9.75" hidden="false" customHeight="true" outlineLevel="0" collapsed="false"/>
    <row r="8" customFormat="false" ht="30" hidden="false" customHeight="true" outlineLevel="0" collapsed="false">
      <c r="A8" s="13" t="s">
        <v>8</v>
      </c>
      <c r="B8" s="13"/>
      <c r="C8" s="13"/>
      <c r="D8" s="13"/>
      <c r="E8" s="13"/>
      <c r="F8" s="13"/>
      <c r="G8" s="13"/>
      <c r="H8" s="13"/>
      <c r="I8" s="13"/>
    </row>
    <row r="9" customFormat="false" ht="39.75" hidden="false" customHeight="true" outlineLevel="0" collapsed="false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 t="s">
        <v>14</v>
      </c>
      <c r="G9" s="14" t="s">
        <v>15</v>
      </c>
      <c r="H9" s="14" t="s">
        <v>16</v>
      </c>
      <c r="I9" s="14" t="s">
        <v>17</v>
      </c>
    </row>
    <row r="10" customFormat="false" ht="31.5" hidden="false" customHeight="true" outlineLevel="0" collapsed="false">
      <c r="A10" s="15" t="s">
        <v>18</v>
      </c>
      <c r="B10" s="16" t="n">
        <f aca="false">السيناريوهات!C7</f>
        <v>100</v>
      </c>
      <c r="C10" s="17" t="n">
        <v>0</v>
      </c>
      <c r="D10" s="17" t="n">
        <v>10000</v>
      </c>
      <c r="E10" s="18" t="n">
        <v>5000</v>
      </c>
      <c r="F10" s="19" t="n">
        <f aca="false">E10*B10</f>
        <v>500000</v>
      </c>
      <c r="G10" s="20" t="n">
        <f aca="false">F10/السيناريوهات!$C$6</f>
        <v>50</v>
      </c>
      <c r="H10" s="21" t="n">
        <f aca="false">G10/E10</f>
        <v>0.01</v>
      </c>
      <c r="I10" s="22" t="n">
        <f aca="false">E10*السيناريوهات!$C$10/100</f>
        <v>50</v>
      </c>
    </row>
    <row r="11" customFormat="false" ht="31.5" hidden="false" customHeight="true" outlineLevel="0" collapsed="false">
      <c r="A11" s="23" t="s">
        <v>19</v>
      </c>
      <c r="B11" s="16" t="n">
        <f aca="false">السيناريوهات!C8</f>
        <v>150</v>
      </c>
      <c r="C11" s="17" t="n">
        <v>10000</v>
      </c>
      <c r="D11" s="17" t="n">
        <v>30000</v>
      </c>
      <c r="E11" s="18" t="n">
        <v>20000</v>
      </c>
      <c r="F11" s="19" t="n">
        <f aca="false">E11*B11</f>
        <v>3000000</v>
      </c>
      <c r="G11" s="20" t="n">
        <f aca="false">F11/السيناريوهات!$C$6</f>
        <v>300</v>
      </c>
      <c r="H11" s="21" t="n">
        <f aca="false">G11/E11</f>
        <v>0.015</v>
      </c>
      <c r="I11" s="22" t="n">
        <f aca="false">E11*السيناريوهات!$C$10/100</f>
        <v>200</v>
      </c>
    </row>
    <row r="12" customFormat="false" ht="31.5" hidden="false" customHeight="true" outlineLevel="0" collapsed="false">
      <c r="A12" s="24" t="s">
        <v>20</v>
      </c>
      <c r="B12" s="16" t="n">
        <f aca="false">السيناريوهات!C9</f>
        <v>200</v>
      </c>
      <c r="C12" s="17" t="n">
        <v>30001</v>
      </c>
      <c r="D12" s="25" t="s">
        <v>21</v>
      </c>
      <c r="E12" s="18" t="n">
        <v>50000</v>
      </c>
      <c r="F12" s="19" t="n">
        <f aca="false">E12*B12</f>
        <v>10000000</v>
      </c>
      <c r="G12" s="20" t="n">
        <f aca="false">F12/السيناريوهات!$C$6</f>
        <v>1000</v>
      </c>
      <c r="H12" s="21" t="n">
        <f aca="false">G12/E12</f>
        <v>0.02</v>
      </c>
      <c r="I12" s="22" t="n">
        <f aca="false">E12*السيناريوهات!$C$10/100</f>
        <v>500</v>
      </c>
    </row>
    <row r="13" customFormat="false" ht="9.75" hidden="false" customHeight="true" outlineLevel="0" collapsed="false"/>
    <row r="14" customFormat="false" ht="30" hidden="false" customHeight="true" outlineLevel="0" collapsed="false">
      <c r="A14" s="26" t="s">
        <v>22</v>
      </c>
      <c r="B14" s="26"/>
      <c r="C14" s="26"/>
      <c r="D14" s="26"/>
      <c r="E14" s="26"/>
      <c r="F14" s="26"/>
      <c r="G14" s="26"/>
      <c r="H14" s="26"/>
      <c r="I14" s="26"/>
    </row>
    <row r="15" customFormat="false" ht="31.5" hidden="false" customHeight="true" outlineLevel="0" collapsed="false">
      <c r="A15" s="27" t="s">
        <v>23</v>
      </c>
      <c r="B15" s="27"/>
      <c r="C15" s="28" t="s">
        <v>24</v>
      </c>
      <c r="D15" s="29" t="s">
        <v>25</v>
      </c>
      <c r="E15" s="30" t="s">
        <v>26</v>
      </c>
      <c r="F15" s="31" t="s">
        <v>27</v>
      </c>
      <c r="G15" s="32" t="s">
        <v>28</v>
      </c>
      <c r="H15" s="32"/>
      <c r="I15" s="32"/>
    </row>
    <row r="16" customFormat="false" ht="30" hidden="false" customHeight="true" outlineLevel="0" collapsed="false">
      <c r="A16" s="33" t="s">
        <v>29</v>
      </c>
      <c r="B16" s="33"/>
      <c r="C16" s="34" t="s">
        <v>30</v>
      </c>
      <c r="D16" s="29" t="s">
        <v>31</v>
      </c>
      <c r="E16" s="30" t="s">
        <v>32</v>
      </c>
      <c r="F16" s="31" t="s">
        <v>33</v>
      </c>
      <c r="G16" s="32" t="s">
        <v>34</v>
      </c>
      <c r="H16" s="32"/>
      <c r="I16" s="32"/>
    </row>
    <row r="17" customFormat="false" ht="30" hidden="false" customHeight="true" outlineLevel="0" collapsed="false">
      <c r="A17" s="33" t="s">
        <v>35</v>
      </c>
      <c r="B17" s="33"/>
      <c r="C17" s="34" t="s">
        <v>36</v>
      </c>
      <c r="D17" s="29" t="s">
        <v>37</v>
      </c>
      <c r="E17" s="30" t="s">
        <v>37</v>
      </c>
      <c r="F17" s="31" t="s">
        <v>37</v>
      </c>
      <c r="G17" s="32" t="s">
        <v>38</v>
      </c>
      <c r="H17" s="32"/>
      <c r="I17" s="32"/>
    </row>
    <row r="18" customFormat="false" ht="30" hidden="false" customHeight="true" outlineLevel="0" collapsed="false">
      <c r="A18" s="33" t="s">
        <v>39</v>
      </c>
      <c r="B18" s="33"/>
      <c r="C18" s="34" t="s">
        <v>40</v>
      </c>
      <c r="D18" s="29" t="s">
        <v>41</v>
      </c>
      <c r="E18" s="30" t="s">
        <v>42</v>
      </c>
      <c r="F18" s="31" t="s">
        <v>43</v>
      </c>
      <c r="G18" s="32" t="s">
        <v>44</v>
      </c>
      <c r="H18" s="32"/>
      <c r="I18" s="32"/>
    </row>
    <row r="19" customFormat="false" ht="30" hidden="false" customHeight="true" outlineLevel="0" collapsed="false">
      <c r="A19" s="33" t="s">
        <v>45</v>
      </c>
      <c r="B19" s="33"/>
      <c r="C19" s="34" t="s">
        <v>46</v>
      </c>
      <c r="D19" s="29" t="s">
        <v>47</v>
      </c>
      <c r="E19" s="30" t="s">
        <v>48</v>
      </c>
      <c r="F19" s="31" t="s">
        <v>49</v>
      </c>
      <c r="G19" s="32" t="s">
        <v>50</v>
      </c>
      <c r="H19" s="32"/>
      <c r="I19" s="32"/>
    </row>
    <row r="20" customFormat="false" ht="30" hidden="false" customHeight="true" outlineLevel="0" collapsed="false">
      <c r="A20" s="33" t="s">
        <v>51</v>
      </c>
      <c r="B20" s="33"/>
      <c r="C20" s="34" t="s">
        <v>52</v>
      </c>
      <c r="D20" s="29" t="s">
        <v>53</v>
      </c>
      <c r="E20" s="30" t="s">
        <v>54</v>
      </c>
      <c r="F20" s="31" t="s">
        <v>55</v>
      </c>
      <c r="G20" s="32" t="s">
        <v>56</v>
      </c>
      <c r="H20" s="32"/>
      <c r="I20" s="32"/>
    </row>
    <row r="21" customFormat="false" ht="9.75" hidden="false" customHeight="true" outlineLevel="0" collapsed="false"/>
    <row r="22" customFormat="false" ht="30" hidden="false" customHeight="true" outlineLevel="0" collapsed="false">
      <c r="A22" s="13" t="s">
        <v>57</v>
      </c>
      <c r="B22" s="13"/>
      <c r="C22" s="13"/>
      <c r="D22" s="13"/>
      <c r="E22" s="13"/>
      <c r="F22" s="13"/>
      <c r="G22" s="13"/>
      <c r="H22" s="13"/>
      <c r="I22" s="13"/>
    </row>
    <row r="23" customFormat="false" ht="27.75" hidden="false" customHeight="true" outlineLevel="0" collapsed="false">
      <c r="A23" s="35" t="s">
        <v>58</v>
      </c>
      <c r="B23" s="35"/>
      <c r="C23" s="35"/>
      <c r="D23" s="35"/>
      <c r="E23" s="35"/>
      <c r="F23" s="35"/>
      <c r="G23" s="35"/>
      <c r="H23" s="35"/>
      <c r="I23" s="35"/>
    </row>
    <row r="24" customFormat="false" ht="27.75" hidden="false" customHeight="true" outlineLevel="0" collapsed="false">
      <c r="A24" s="35" t="s">
        <v>59</v>
      </c>
      <c r="B24" s="35"/>
      <c r="C24" s="35"/>
      <c r="D24" s="35"/>
      <c r="E24" s="35"/>
      <c r="F24" s="35"/>
      <c r="G24" s="35"/>
      <c r="H24" s="35"/>
      <c r="I24" s="35"/>
    </row>
    <row r="25" customFormat="false" ht="27.75" hidden="false" customHeight="true" outlineLevel="0" collapsed="false">
      <c r="A25" s="35" t="s">
        <v>60</v>
      </c>
      <c r="B25" s="35"/>
      <c r="C25" s="35"/>
      <c r="D25" s="35"/>
      <c r="E25" s="35"/>
      <c r="F25" s="35"/>
      <c r="G25" s="35"/>
      <c r="H25" s="35"/>
      <c r="I25" s="35"/>
    </row>
    <row r="26" customFormat="false" ht="27.75" hidden="false" customHeight="true" outlineLevel="0" collapsed="false">
      <c r="A26" s="35" t="s">
        <v>61</v>
      </c>
      <c r="B26" s="35"/>
      <c r="C26" s="35"/>
      <c r="D26" s="35"/>
      <c r="E26" s="35"/>
      <c r="F26" s="35"/>
      <c r="G26" s="35"/>
      <c r="H26" s="35"/>
      <c r="I26" s="35"/>
    </row>
    <row r="27" customFormat="false" ht="27.75" hidden="false" customHeight="true" outlineLevel="0" collapsed="false">
      <c r="A27" s="35" t="s">
        <v>62</v>
      </c>
      <c r="B27" s="35"/>
      <c r="C27" s="35"/>
      <c r="D27" s="35"/>
      <c r="E27" s="35"/>
      <c r="F27" s="35"/>
      <c r="G27" s="35"/>
      <c r="H27" s="35"/>
      <c r="I27" s="35"/>
    </row>
    <row r="28" customFormat="false" ht="27.75" hidden="false" customHeight="true" outlineLevel="0" collapsed="false">
      <c r="A28" s="35" t="s">
        <v>63</v>
      </c>
      <c r="B28" s="35"/>
      <c r="C28" s="35"/>
      <c r="D28" s="35"/>
      <c r="E28" s="35"/>
      <c r="F28" s="35"/>
      <c r="G28" s="35"/>
      <c r="H28" s="35"/>
      <c r="I28" s="35"/>
    </row>
    <row r="30" customFormat="false" ht="24" hidden="false" customHeight="true" outlineLevel="0" collapsed="false">
      <c r="A30" s="36" t="s">
        <v>64</v>
      </c>
      <c r="B30" s="36"/>
      <c r="C30" s="36"/>
      <c r="D30" s="36"/>
      <c r="E30" s="36"/>
      <c r="F30" s="36"/>
      <c r="G30" s="36"/>
      <c r="H30" s="36"/>
      <c r="I30" s="36"/>
    </row>
  </sheetData>
  <mergeCells count="33">
    <mergeCell ref="A1:I1"/>
    <mergeCell ref="A2:I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8:I8"/>
    <mergeCell ref="A14:I14"/>
    <mergeCell ref="A15:B15"/>
    <mergeCell ref="G15:I15"/>
    <mergeCell ref="A16:B16"/>
    <mergeCell ref="G16:I16"/>
    <mergeCell ref="A17:B17"/>
    <mergeCell ref="G17:I17"/>
    <mergeCell ref="A18:B18"/>
    <mergeCell ref="G18:I18"/>
    <mergeCell ref="A19:B19"/>
    <mergeCell ref="G19:I19"/>
    <mergeCell ref="A20:B20"/>
    <mergeCell ref="G20:I20"/>
    <mergeCell ref="A22:I22"/>
    <mergeCell ref="A23:I23"/>
    <mergeCell ref="A24:I24"/>
    <mergeCell ref="A25:I25"/>
    <mergeCell ref="A26:I26"/>
    <mergeCell ref="A27:I27"/>
    <mergeCell ref="A28:I28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7" min="4" style="1" width="16"/>
  </cols>
  <sheetData>
    <row r="1" customFormat="false" ht="45.75" hidden="false" customHeight="true" outlineLevel="0" collapsed="false">
      <c r="A1" s="37" t="s">
        <v>65</v>
      </c>
      <c r="B1" s="37"/>
      <c r="C1" s="37"/>
      <c r="D1" s="37"/>
      <c r="E1" s="37"/>
      <c r="F1" s="37"/>
      <c r="G1" s="37"/>
    </row>
    <row r="2" customFormat="false" ht="25.5" hidden="false" customHeight="true" outlineLevel="0" collapsed="false">
      <c r="A2" s="38" t="s">
        <v>66</v>
      </c>
      <c r="B2" s="38"/>
      <c r="C2" s="38"/>
      <c r="D2" s="38"/>
      <c r="E2" s="38"/>
      <c r="F2" s="38"/>
      <c r="G2" s="38"/>
    </row>
    <row r="3" customFormat="false" ht="9.75" hidden="false" customHeight="true" outlineLevel="0" collapsed="false"/>
    <row r="4" customFormat="false" ht="31.5" hidden="false" customHeight="true" outlineLevel="0" collapsed="false">
      <c r="A4" s="39" t="s">
        <v>67</v>
      </c>
      <c r="B4" s="39"/>
      <c r="C4" s="39"/>
      <c r="D4" s="39"/>
      <c r="E4" s="39"/>
      <c r="F4" s="39"/>
      <c r="G4" s="39"/>
    </row>
    <row r="5" customFormat="false" ht="31.5" hidden="false" customHeight="true" outlineLevel="0" collapsed="false">
      <c r="A5" s="14" t="s">
        <v>68</v>
      </c>
      <c r="B5" s="14" t="s">
        <v>69</v>
      </c>
      <c r="C5" s="14" t="s">
        <v>70</v>
      </c>
      <c r="D5" s="14" t="s">
        <v>71</v>
      </c>
      <c r="E5" s="14"/>
      <c r="F5" s="14" t="s">
        <v>72</v>
      </c>
      <c r="G5" s="14"/>
    </row>
    <row r="6" customFormat="false" ht="27.75" hidden="false" customHeight="true" outlineLevel="0" collapsed="false">
      <c r="A6" s="40" t="n">
        <v>1</v>
      </c>
      <c r="B6" s="35" t="s">
        <v>73</v>
      </c>
      <c r="C6" s="41" t="n">
        <v>10000</v>
      </c>
      <c r="D6" s="42" t="s">
        <v>74</v>
      </c>
      <c r="E6" s="42"/>
      <c r="F6" s="43" t="str">
        <f aca="false">IF(C6&lt;=5000,"🔴 سخي جداً",IF(C6&lt;=10000,"✅ موصى به",IF(C6&lt;=15000,"⚠️ متحفظ","🔴 بخيل جداً")))</f>
        <v>✅ موصى به</v>
      </c>
      <c r="G6" s="43"/>
    </row>
    <row r="7" customFormat="false" ht="27.75" hidden="false" customHeight="true" outlineLevel="0" collapsed="false">
      <c r="A7" s="40" t="n">
        <v>2</v>
      </c>
      <c r="B7" s="35" t="s">
        <v>75</v>
      </c>
      <c r="C7" s="41" t="n">
        <v>100</v>
      </c>
      <c r="D7" s="42" t="s">
        <v>76</v>
      </c>
      <c r="E7" s="42"/>
      <c r="F7" s="43" t="str">
        <f aca="false">IF(C7/C6&lt;0.005,"🔴 ضعيف",IF(C7/C6&lt;=0.01,"✅ مثالي",IF(C7/C6&lt;=0.015,"⚠️ سخي","🔴 مكلف جداً")))</f>
        <v>✅ مثالي</v>
      </c>
      <c r="G7" s="43"/>
    </row>
    <row r="8" customFormat="false" ht="27.75" hidden="false" customHeight="true" outlineLevel="0" collapsed="false">
      <c r="A8" s="40" t="n">
        <v>3</v>
      </c>
      <c r="B8" s="35" t="s">
        <v>77</v>
      </c>
      <c r="C8" s="41" t="n">
        <v>150</v>
      </c>
      <c r="D8" s="42" t="s">
        <v>78</v>
      </c>
      <c r="E8" s="42"/>
      <c r="F8" s="43" t="str">
        <f aca="false">IF(C8/C6&lt;0.0075,"⚠️ ضعيف",IF(C8/C6&lt;=0.015,"✅ مناسب","⚠️ سخي"))</f>
        <v>✅ مناسب</v>
      </c>
      <c r="G8" s="43"/>
    </row>
    <row r="9" customFormat="false" ht="27.75" hidden="false" customHeight="true" outlineLevel="0" collapsed="false">
      <c r="A9" s="40" t="n">
        <v>4</v>
      </c>
      <c r="B9" s="35" t="s">
        <v>79</v>
      </c>
      <c r="C9" s="41" t="n">
        <v>200</v>
      </c>
      <c r="D9" s="42" t="s">
        <v>80</v>
      </c>
      <c r="E9" s="42"/>
      <c r="F9" s="43" t="str">
        <f aca="false">IF(C9/C6&lt;0.01,"⚠️ ضعيف",IF(C9/C6&lt;=0.02,"✅ مناسب",IF(C9/C6&lt;=0.03,"⚠️ سخي","🔴 خسارة")))</f>
        <v>✅ مناسب</v>
      </c>
      <c r="G9" s="43"/>
    </row>
    <row r="10" customFormat="false" ht="27.75" hidden="false" customHeight="true" outlineLevel="0" collapsed="false">
      <c r="A10" s="40" t="n">
        <v>5</v>
      </c>
      <c r="B10" s="35" t="s">
        <v>81</v>
      </c>
      <c r="C10" s="44" t="n">
        <v>1</v>
      </c>
      <c r="D10" s="42" t="s">
        <v>82</v>
      </c>
      <c r="E10" s="42"/>
      <c r="F10" s="43" t="str">
        <f aca="false">IF(C10&lt;=0.75,"✅ مستدام",IF(C10&lt;=1.25,"⚠️ مقبول",IF(C10&lt;=1.5,"⚠️ ضغط على الامتياز","🔴 خسارة")))</f>
        <v>⚠️ مقبول</v>
      </c>
      <c r="G10" s="43"/>
    </row>
    <row r="11" customFormat="false" ht="27.75" hidden="false" customHeight="true" outlineLevel="0" collapsed="false">
      <c r="A11" s="40" t="n">
        <v>6</v>
      </c>
      <c r="B11" s="35" t="s">
        <v>83</v>
      </c>
      <c r="C11" s="44" t="n">
        <v>2.33</v>
      </c>
      <c r="D11" s="42" t="s">
        <v>84</v>
      </c>
      <c r="E11" s="42"/>
      <c r="F11" s="43" t="str">
        <f aca="false">IF(C11&gt;=2,"✅ منطقي","⚠️ تحقق")</f>
        <v>✅ منطقي</v>
      </c>
      <c r="G11" s="43"/>
    </row>
    <row r="12" customFormat="false" ht="27.75" hidden="false" customHeight="true" outlineLevel="0" collapsed="false">
      <c r="A12" s="40" t="n">
        <v>7</v>
      </c>
      <c r="B12" s="35" t="s">
        <v>85</v>
      </c>
      <c r="C12" s="41" t="n">
        <v>5000</v>
      </c>
      <c r="D12" s="42" t="s">
        <v>86</v>
      </c>
      <c r="E12" s="42"/>
      <c r="F12" s="43" t="str">
        <f aca="false">IF(C12&gt;=5000,"✅ جذاب","⚠️ صغير")</f>
        <v>✅ جذاب</v>
      </c>
      <c r="G12" s="43"/>
    </row>
    <row r="13" customFormat="false" ht="9.75" hidden="false" customHeight="true" outlineLevel="0" collapsed="false"/>
    <row r="14" customFormat="false" ht="31.5" hidden="false" customHeight="true" outlineLevel="0" collapsed="false">
      <c r="A14" s="45" t="s">
        <v>87</v>
      </c>
      <c r="B14" s="45"/>
      <c r="C14" s="45"/>
      <c r="D14" s="45"/>
      <c r="E14" s="45"/>
      <c r="F14" s="45"/>
      <c r="G14" s="45"/>
    </row>
    <row r="15" customFormat="false" ht="31.5" hidden="false" customHeight="true" outlineLevel="0" collapsed="false">
      <c r="A15" s="14" t="s">
        <v>68</v>
      </c>
      <c r="B15" s="14" t="s">
        <v>69</v>
      </c>
      <c r="C15" s="14" t="s">
        <v>70</v>
      </c>
      <c r="D15" s="14" t="s">
        <v>71</v>
      </c>
      <c r="E15" s="14"/>
      <c r="F15" s="14" t="s">
        <v>88</v>
      </c>
      <c r="G15" s="14"/>
    </row>
    <row r="16" customFormat="false" ht="27.75" hidden="false" customHeight="true" outlineLevel="0" collapsed="false">
      <c r="A16" s="40" t="n">
        <v>1</v>
      </c>
      <c r="B16" s="46" t="s">
        <v>89</v>
      </c>
      <c r="C16" s="47" t="n">
        <v>3600</v>
      </c>
      <c r="D16" s="42" t="s">
        <v>90</v>
      </c>
      <c r="E16" s="42"/>
      <c r="F16" s="43" t="str">
        <f aca="false">IF(C16&lt;=5000,"⚠️ منخفض",IF(C16&lt;=15000,"✅ مناسب","⚠️ مرتفع"))</f>
        <v>⚠️ منخفض</v>
      </c>
      <c r="G16" s="43"/>
    </row>
    <row r="17" customFormat="false" ht="27.75" hidden="false" customHeight="true" outlineLevel="0" collapsed="false">
      <c r="A17" s="40" t="n">
        <v>2</v>
      </c>
      <c r="B17" s="46" t="s">
        <v>91</v>
      </c>
      <c r="C17" s="47" t="n">
        <v>14400</v>
      </c>
      <c r="D17" s="42" t="s">
        <v>92</v>
      </c>
      <c r="E17" s="42"/>
      <c r="F17" s="43" t="str">
        <f aca="false">IF(C17&lt;=20000,"⚠️ منخفض",IF(C17&lt;=50000,"✅ مناسب","⚠️ مرتفع"))</f>
        <v>⚠️ منخفض</v>
      </c>
      <c r="G17" s="43"/>
    </row>
    <row r="18" customFormat="false" ht="27.75" hidden="false" customHeight="true" outlineLevel="0" collapsed="false">
      <c r="A18" s="40" t="n">
        <v>3</v>
      </c>
      <c r="B18" s="46" t="s">
        <v>93</v>
      </c>
      <c r="C18" s="47" t="n">
        <v>12</v>
      </c>
      <c r="D18" s="42" t="s">
        <v>94</v>
      </c>
      <c r="E18" s="42"/>
      <c r="F18" s="43" t="str">
        <f aca="false">IF(C18&lt;=12,"✅ سنوي","⚠️ طويل")</f>
        <v>✅ سنوي</v>
      </c>
      <c r="G18" s="43"/>
    </row>
    <row r="19" customFormat="false" ht="27.75" hidden="false" customHeight="true" outlineLevel="0" collapsed="false">
      <c r="A19" s="40" t="n">
        <v>4</v>
      </c>
      <c r="B19" s="46" t="s">
        <v>95</v>
      </c>
      <c r="C19" s="47" t="n">
        <v>30</v>
      </c>
      <c r="D19" s="42" t="s">
        <v>96</v>
      </c>
      <c r="E19" s="42"/>
      <c r="F19" s="43" t="str">
        <f aca="false">IF(C19&lt;=30,"✅ معقول","⚠️ طويل")</f>
        <v>✅ معقول</v>
      </c>
      <c r="G19" s="43"/>
    </row>
    <row r="20" customFormat="false" ht="9.75" hidden="false" customHeight="true" outlineLevel="0" collapsed="false">
      <c r="D20" s="48"/>
      <c r="E20" s="48"/>
    </row>
    <row r="21" customFormat="false" ht="31.5" hidden="false" customHeight="true" outlineLevel="0" collapsed="false">
      <c r="A21" s="49" t="s">
        <v>97</v>
      </c>
      <c r="B21" s="50"/>
      <c r="C21" s="50"/>
      <c r="D21" s="50"/>
      <c r="E21" s="50"/>
      <c r="F21" s="50"/>
      <c r="G21" s="51"/>
    </row>
    <row r="22" customFormat="false" ht="31.5" hidden="false" customHeight="true" outlineLevel="0" collapsed="false">
      <c r="A22" s="14" t="s">
        <v>68</v>
      </c>
      <c r="B22" s="14"/>
      <c r="C22" s="14"/>
      <c r="D22" s="14"/>
      <c r="E22" s="14"/>
      <c r="F22" s="14"/>
      <c r="G22" s="14"/>
    </row>
    <row r="23" customFormat="false" ht="27.75" hidden="false" customHeight="true" outlineLevel="0" collapsed="false">
      <c r="A23" s="40" t="n">
        <v>1</v>
      </c>
      <c r="B23" s="52" t="s">
        <v>98</v>
      </c>
      <c r="C23" s="53" t="n">
        <v>30</v>
      </c>
      <c r="D23" s="42" t="s">
        <v>99</v>
      </c>
      <c r="E23" s="42"/>
      <c r="F23" s="14" t="s">
        <v>88</v>
      </c>
      <c r="G23" s="14"/>
    </row>
    <row r="24" customFormat="false" ht="27.75" hidden="false" customHeight="true" outlineLevel="0" collapsed="false">
      <c r="A24" s="40" t="n">
        <v>2</v>
      </c>
      <c r="B24" s="52" t="s">
        <v>100</v>
      </c>
      <c r="C24" s="53" t="n">
        <v>70</v>
      </c>
      <c r="D24" s="42" t="s">
        <v>101</v>
      </c>
      <c r="E24" s="42"/>
      <c r="F24" s="43" t="str">
        <f aca="false">IF(C24+C25+C26&gt;=150,"✅ منطقي","⚠️ تحقق")</f>
        <v>✅ منطقي</v>
      </c>
      <c r="G24" s="43"/>
    </row>
    <row r="25" customFormat="false" ht="27.75" hidden="false" customHeight="true" outlineLevel="0" collapsed="false">
      <c r="A25" s="40" t="n">
        <v>3</v>
      </c>
      <c r="B25" s="52" t="s">
        <v>102</v>
      </c>
      <c r="C25" s="53" t="n">
        <v>73</v>
      </c>
      <c r="D25" s="42" t="s">
        <v>103</v>
      </c>
      <c r="E25" s="42"/>
      <c r="F25" s="43" t="str">
        <f aca="false">IF(C24+C25+C26&gt;=150,"","")</f>
        <v/>
      </c>
      <c r="G25" s="43"/>
    </row>
    <row r="26" customFormat="false" ht="27.75" hidden="false" customHeight="true" outlineLevel="0" collapsed="false">
      <c r="A26" s="40" t="n">
        <v>4</v>
      </c>
      <c r="B26" s="52" t="s">
        <v>104</v>
      </c>
      <c r="C26" s="54" t="n">
        <v>10</v>
      </c>
      <c r="D26" s="42" t="s">
        <v>105</v>
      </c>
      <c r="E26" s="42"/>
      <c r="F26" s="43" t="str">
        <f aca="false">IF(C24+C25+C26&gt;=150,"","")</f>
        <v/>
      </c>
      <c r="G26" s="43"/>
    </row>
    <row r="27" customFormat="false" ht="27.75" hidden="false" customHeight="true" outlineLevel="0" collapsed="false">
      <c r="A27" s="40" t="n">
        <v>5</v>
      </c>
      <c r="B27" s="52" t="s">
        <v>106</v>
      </c>
      <c r="C27" s="54" t="n">
        <v>10</v>
      </c>
      <c r="D27" s="42" t="s">
        <v>105</v>
      </c>
      <c r="E27" s="42"/>
      <c r="F27" s="43" t="str">
        <f aca="false">IF(C27&gt;=5,"✅ معقول","⚠️ منخفض")</f>
        <v>✅ معقول</v>
      </c>
      <c r="G27" s="43"/>
    </row>
    <row r="28" customFormat="false" ht="27.75" hidden="false" customHeight="true" outlineLevel="0" collapsed="false">
      <c r="A28" s="40" t="n">
        <v>6</v>
      </c>
      <c r="B28" s="52" t="s">
        <v>107</v>
      </c>
      <c r="C28" s="54" t="n">
        <v>1.5</v>
      </c>
      <c r="D28" s="42" t="s">
        <v>108</v>
      </c>
      <c r="E28" s="42"/>
      <c r="F28" s="43" t="str">
        <f aca="false">IF(C28&gt;=5,"✅ معقول","⚠️ منخفض")</f>
        <v>⚠️ منخفض</v>
      </c>
      <c r="G28" s="43"/>
    </row>
    <row r="29" customFormat="false" ht="27.75" hidden="false" customHeight="true" outlineLevel="0" collapsed="false">
      <c r="A29" s="40" t="n">
        <v>7</v>
      </c>
      <c r="B29" s="52" t="s">
        <v>109</v>
      </c>
      <c r="C29" s="55" t="n">
        <v>0.5</v>
      </c>
      <c r="D29" s="42" t="s">
        <v>110</v>
      </c>
      <c r="E29" s="42"/>
      <c r="F29" s="43" t="str">
        <f aca="false">IF(C29&gt;=1,"✅ معقول","⚠️ ضيق")</f>
        <v>⚠️ ضيق</v>
      </c>
      <c r="G29" s="43"/>
    </row>
    <row r="30" customFormat="false" ht="27.75" hidden="false" customHeight="true" outlineLevel="0" collapsed="false">
      <c r="A30" s="40" t="n">
        <v>8</v>
      </c>
      <c r="B30" s="52" t="s">
        <v>111</v>
      </c>
      <c r="C30" s="55" t="n">
        <f aca="false">1-C29</f>
        <v>0.5</v>
      </c>
      <c r="D30" s="42" t="s">
        <v>110</v>
      </c>
      <c r="E30" s="42"/>
      <c r="F30" s="43" t="str">
        <f aca="false">IF(C30+C31=1,"✅ صحيح","🔴 خطأ المجموع")</f>
        <v>🔴 خطأ المجموع</v>
      </c>
      <c r="G30" s="43"/>
    </row>
    <row r="31" customFormat="false" ht="27.75" hidden="false" customHeight="true" outlineLevel="0" collapsed="false">
      <c r="A31" s="40" t="n">
        <v>9</v>
      </c>
      <c r="B31" s="52" t="s">
        <v>112</v>
      </c>
      <c r="C31" s="53" t="n">
        <v>80000</v>
      </c>
      <c r="D31" s="42" t="s">
        <v>113</v>
      </c>
      <c r="E31" s="42"/>
      <c r="F31" s="43" t="str">
        <f aca="false">IF(C30+C31=1,"✅ صحيح","🔴 خطأ المجموع")</f>
        <v>🔴 خطأ المجموع</v>
      </c>
      <c r="G31" s="43"/>
    </row>
    <row r="32" customFormat="false" ht="9.75" hidden="false" customHeight="true" outlineLevel="0" collapsed="false">
      <c r="D32" s="48"/>
      <c r="E32" s="48"/>
      <c r="F32" s="43" t="str">
        <f aca="false">IF(C32&gt;=50000,"✅ ممتاز",IF(C32&gt;=30000,"⚠️ متوسط","🔴 منخفض"))</f>
        <v>🔴 منخفض</v>
      </c>
      <c r="G32" s="43"/>
    </row>
    <row r="33" customFormat="false" ht="31.5" hidden="false" customHeight="true" outlineLevel="0" collapsed="false">
      <c r="A33" s="56" t="s">
        <v>114</v>
      </c>
      <c r="B33" s="56"/>
      <c r="C33" s="56"/>
      <c r="D33" s="56"/>
      <c r="E33" s="56"/>
      <c r="F33" s="56"/>
      <c r="G33" s="56"/>
    </row>
  </sheetData>
  <mergeCells count="53">
    <mergeCell ref="A1:G1"/>
    <mergeCell ref="A2:G2"/>
    <mergeCell ref="A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A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A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A33:G33"/>
  </mergeCells>
  <conditionalFormatting sqref="F6:G6">
    <cfRule type="expression" priority="2" aboveAverage="0" equalAverage="0" bottom="0" percent="0" rank="0" text="" dxfId="0">
      <formula>ISNUMBER(SEARCH("✅",F6))</formula>
    </cfRule>
    <cfRule type="expression" priority="3" aboveAverage="0" equalAverage="0" bottom="0" percent="0" rank="0" text="" dxfId="1">
      <formula>ISNUMBER(SEARCH("⚠️",F6))</formula>
    </cfRule>
    <cfRule type="expression" priority="4" aboveAverage="0" equalAverage="0" bottom="0" percent="0" rank="0" text="" dxfId="2">
      <formula>ISNUMBER(SEARCH("🔴",F6))</formula>
    </cfRule>
  </conditionalFormatting>
  <conditionalFormatting sqref="F7:G7">
    <cfRule type="expression" priority="5" aboveAverage="0" equalAverage="0" bottom="0" percent="0" rank="0" text="" dxfId="0">
      <formula>ISNUMBER(SEARCH("✅",F7))</formula>
    </cfRule>
    <cfRule type="expression" priority="6" aboveAverage="0" equalAverage="0" bottom="0" percent="0" rank="0" text="" dxfId="1">
      <formula>ISNUMBER(SEARCH("⚠️",F7))</formula>
    </cfRule>
    <cfRule type="expression" priority="7" aboveAverage="0" equalAverage="0" bottom="0" percent="0" rank="0" text="" dxfId="2">
      <formula>ISNUMBER(SEARCH("🔴",F7))</formula>
    </cfRule>
  </conditionalFormatting>
  <conditionalFormatting sqref="F8:G8">
    <cfRule type="expression" priority="8" aboveAverage="0" equalAverage="0" bottom="0" percent="0" rank="0" text="" dxfId="0">
      <formula>ISNUMBER(SEARCH("✅",F8))</formula>
    </cfRule>
    <cfRule type="expression" priority="9" aboveAverage="0" equalAverage="0" bottom="0" percent="0" rank="0" text="" dxfId="1">
      <formula>ISNUMBER(SEARCH("⚠️",F8))</formula>
    </cfRule>
    <cfRule type="expression" priority="10" aboveAverage="0" equalAverage="0" bottom="0" percent="0" rank="0" text="" dxfId="2">
      <formula>ISNUMBER(SEARCH("🔴",F8))</formula>
    </cfRule>
  </conditionalFormatting>
  <conditionalFormatting sqref="F9:G9">
    <cfRule type="expression" priority="11" aboveAverage="0" equalAverage="0" bottom="0" percent="0" rank="0" text="" dxfId="0">
      <formula>ISNUMBER(SEARCH("✅",F9))</formula>
    </cfRule>
    <cfRule type="expression" priority="12" aboveAverage="0" equalAverage="0" bottom="0" percent="0" rank="0" text="" dxfId="1">
      <formula>ISNUMBER(SEARCH("⚠️",F9))</formula>
    </cfRule>
    <cfRule type="expression" priority="13" aboveAverage="0" equalAverage="0" bottom="0" percent="0" rank="0" text="" dxfId="2">
      <formula>ISNUMBER(SEARCH("🔴",F9))</formula>
    </cfRule>
  </conditionalFormatting>
  <conditionalFormatting sqref="F10:G10">
    <cfRule type="expression" priority="14" aboveAverage="0" equalAverage="0" bottom="0" percent="0" rank="0" text="" dxfId="0">
      <formula>ISNUMBER(SEARCH("✅",F10))</formula>
    </cfRule>
    <cfRule type="expression" priority="15" aboveAverage="0" equalAverage="0" bottom="0" percent="0" rank="0" text="" dxfId="1">
      <formula>ISNUMBER(SEARCH("⚠️",F10))</formula>
    </cfRule>
    <cfRule type="expression" priority="16" aboveAverage="0" equalAverage="0" bottom="0" percent="0" rank="0" text="" dxfId="2">
      <formula>ISNUMBER(SEARCH("🔴",F10))</formula>
    </cfRule>
  </conditionalFormatting>
  <conditionalFormatting sqref="F11:G11">
    <cfRule type="expression" priority="17" aboveAverage="0" equalAverage="0" bottom="0" percent="0" rank="0" text="" dxfId="0">
      <formula>ISNUMBER(SEARCH("✅",F11))</formula>
    </cfRule>
    <cfRule type="expression" priority="18" aboveAverage="0" equalAverage="0" bottom="0" percent="0" rank="0" text="" dxfId="1">
      <formula>ISNUMBER(SEARCH("⚠️",F11))</formula>
    </cfRule>
    <cfRule type="expression" priority="19" aboveAverage="0" equalAverage="0" bottom="0" percent="0" rank="0" text="" dxfId="2">
      <formula>ISNUMBER(SEARCH("🔴",F11))</formula>
    </cfRule>
  </conditionalFormatting>
  <conditionalFormatting sqref="F12:G12">
    <cfRule type="expression" priority="20" aboveAverage="0" equalAverage="0" bottom="0" percent="0" rank="0" text="" dxfId="0">
      <formula>ISNUMBER(SEARCH("✅",F12))</formula>
    </cfRule>
    <cfRule type="expression" priority="21" aboveAverage="0" equalAverage="0" bottom="0" percent="0" rank="0" text="" dxfId="1">
      <formula>ISNUMBER(SEARCH("⚠️",F12))</formula>
    </cfRule>
    <cfRule type="expression" priority="22" aboveAverage="0" equalAverage="0" bottom="0" percent="0" rank="0" text="" dxfId="2">
      <formula>ISNUMBER(SEARCH("🔴",F12))</formula>
    </cfRule>
  </conditionalFormatting>
  <conditionalFormatting sqref="F16:G16">
    <cfRule type="expression" priority="23" aboveAverage="0" equalAverage="0" bottom="0" percent="0" rank="0" text="" dxfId="0">
      <formula>ISNUMBER(SEARCH("✅",F16))</formula>
    </cfRule>
    <cfRule type="expression" priority="24" aboveAverage="0" equalAverage="0" bottom="0" percent="0" rank="0" text="" dxfId="1">
      <formula>ISNUMBER(SEARCH("⚠️",F16))</formula>
    </cfRule>
    <cfRule type="expression" priority="25" aboveAverage="0" equalAverage="0" bottom="0" percent="0" rank="0" text="" dxfId="2">
      <formula>ISNUMBER(SEARCH("🔴",F16))</formula>
    </cfRule>
  </conditionalFormatting>
  <conditionalFormatting sqref="F17:G17">
    <cfRule type="expression" priority="26" aboveAverage="0" equalAverage="0" bottom="0" percent="0" rank="0" text="" dxfId="0">
      <formula>ISNUMBER(SEARCH("✅",F17))</formula>
    </cfRule>
    <cfRule type="expression" priority="27" aboveAverage="0" equalAverage="0" bottom="0" percent="0" rank="0" text="" dxfId="1">
      <formula>ISNUMBER(SEARCH("⚠️",F17))</formula>
    </cfRule>
    <cfRule type="expression" priority="28" aboveAverage="0" equalAverage="0" bottom="0" percent="0" rank="0" text="" dxfId="2">
      <formula>ISNUMBER(SEARCH("🔴",F17))</formula>
    </cfRule>
  </conditionalFormatting>
  <conditionalFormatting sqref="F18:G18">
    <cfRule type="expression" priority="29" aboveAverage="0" equalAverage="0" bottom="0" percent="0" rank="0" text="" dxfId="0">
      <formula>ISNUMBER(SEARCH("✅",F18))</formula>
    </cfRule>
    <cfRule type="expression" priority="30" aboveAverage="0" equalAverage="0" bottom="0" percent="0" rank="0" text="" dxfId="1">
      <formula>ISNUMBER(SEARCH("⚠️",F18))</formula>
    </cfRule>
    <cfRule type="expression" priority="31" aboveAverage="0" equalAverage="0" bottom="0" percent="0" rank="0" text="" dxfId="2">
      <formula>ISNUMBER(SEARCH("🔴",F18))</formula>
    </cfRule>
  </conditionalFormatting>
  <conditionalFormatting sqref="F19:G19">
    <cfRule type="expression" priority="32" aboveAverage="0" equalAverage="0" bottom="0" percent="0" rank="0" text="" dxfId="0">
      <formula>ISNUMBER(SEARCH("✅",F19))</formula>
    </cfRule>
    <cfRule type="expression" priority="33" aboveAverage="0" equalAverage="0" bottom="0" percent="0" rank="0" text="" dxfId="1">
      <formula>ISNUMBER(SEARCH("⚠️",F19))</formula>
    </cfRule>
    <cfRule type="expression" priority="34" aboveAverage="0" equalAverage="0" bottom="0" percent="0" rank="0" text="" dxfId="2">
      <formula>ISNUMBER(SEARCH("🔴",F19))</formula>
    </cfRule>
  </conditionalFormatting>
  <conditionalFormatting sqref="F20:G20">
    <cfRule type="expression" priority="35" aboveAverage="0" equalAverage="0" bottom="0" percent="0" rank="0" text="" dxfId="0">
      <formula>ISNUMBER(SEARCH("✅",F20))</formula>
    </cfRule>
    <cfRule type="expression" priority="36" aboveAverage="0" equalAverage="0" bottom="0" percent="0" rank="0" text="" dxfId="1">
      <formula>ISNUMBER(SEARCH("⚠️",F20))</formula>
    </cfRule>
    <cfRule type="expression" priority="37" aboveAverage="0" equalAverage="0" bottom="0" percent="0" rank="0" text="" dxfId="2">
      <formula>ISNUMBER(SEARCH("🔴",F20))</formula>
    </cfRule>
  </conditionalFormatting>
  <conditionalFormatting sqref="F24:G24">
    <cfRule type="expression" priority="38" aboveAverage="0" equalAverage="0" bottom="0" percent="0" rank="0" text="" dxfId="0">
      <formula>ISNUMBER(SEARCH("✅",F24))</formula>
    </cfRule>
    <cfRule type="expression" priority="39" aboveAverage="0" equalAverage="0" bottom="0" percent="0" rank="0" text="" dxfId="1">
      <formula>ISNUMBER(SEARCH("⚠️",F24))</formula>
    </cfRule>
    <cfRule type="expression" priority="40" aboveAverage="0" equalAverage="0" bottom="0" percent="0" rank="0" text="" dxfId="2">
      <formula>ISNUMBER(SEARCH("🔴",F24))</formula>
    </cfRule>
  </conditionalFormatting>
  <conditionalFormatting sqref="F25:G25">
    <cfRule type="expression" priority="41" aboveAverage="0" equalAverage="0" bottom="0" percent="0" rank="0" text="" dxfId="0">
      <formula>ISNUMBER(SEARCH("✅",F25))</formula>
    </cfRule>
    <cfRule type="expression" priority="42" aboveAverage="0" equalAverage="0" bottom="0" percent="0" rank="0" text="" dxfId="1">
      <formula>ISNUMBER(SEARCH("⚠️",F25))</formula>
    </cfRule>
    <cfRule type="expression" priority="43" aboveAverage="0" equalAverage="0" bottom="0" percent="0" rank="0" text="" dxfId="2">
      <formula>ISNUMBER(SEARCH("🔴",F25))</formula>
    </cfRule>
  </conditionalFormatting>
  <conditionalFormatting sqref="F26:G26">
    <cfRule type="expression" priority="44" aboveAverage="0" equalAverage="0" bottom="0" percent="0" rank="0" text="" dxfId="0">
      <formula>ISNUMBER(SEARCH("✅",F26))</formula>
    </cfRule>
    <cfRule type="expression" priority="45" aboveAverage="0" equalAverage="0" bottom="0" percent="0" rank="0" text="" dxfId="1">
      <formula>ISNUMBER(SEARCH("⚠️",F26))</formula>
    </cfRule>
    <cfRule type="expression" priority="46" aboveAverage="0" equalAverage="0" bottom="0" percent="0" rank="0" text="" dxfId="2">
      <formula>ISNUMBER(SEARCH("🔴",F26))</formula>
    </cfRule>
  </conditionalFormatting>
  <conditionalFormatting sqref="F27:G27">
    <cfRule type="expression" priority="47" aboveAverage="0" equalAverage="0" bottom="0" percent="0" rank="0" text="" dxfId="0">
      <formula>ISNUMBER(SEARCH("✅",F27))</formula>
    </cfRule>
    <cfRule type="expression" priority="48" aboveAverage="0" equalAverage="0" bottom="0" percent="0" rank="0" text="" dxfId="1">
      <formula>ISNUMBER(SEARCH("⚠️",F27))</formula>
    </cfRule>
    <cfRule type="expression" priority="49" aboveAverage="0" equalAverage="0" bottom="0" percent="0" rank="0" text="" dxfId="2">
      <formula>ISNUMBER(SEARCH("🔴",F27))</formula>
    </cfRule>
  </conditionalFormatting>
  <conditionalFormatting sqref="F28:G28">
    <cfRule type="expression" priority="50" aboveAverage="0" equalAverage="0" bottom="0" percent="0" rank="0" text="" dxfId="0">
      <formula>ISNUMBER(SEARCH("✅",F28))</formula>
    </cfRule>
    <cfRule type="expression" priority="51" aboveAverage="0" equalAverage="0" bottom="0" percent="0" rank="0" text="" dxfId="1">
      <formula>ISNUMBER(SEARCH("⚠️",F28))</formula>
    </cfRule>
    <cfRule type="expression" priority="52" aboveAverage="0" equalAverage="0" bottom="0" percent="0" rank="0" text="" dxfId="2">
      <formula>ISNUMBER(SEARCH("🔴",F28))</formula>
    </cfRule>
  </conditionalFormatting>
  <conditionalFormatting sqref="F29:G29">
    <cfRule type="expression" priority="53" aboveAverage="0" equalAverage="0" bottom="0" percent="0" rank="0" text="" dxfId="0">
      <formula>ISNUMBER(SEARCH("✅",F29))</formula>
    </cfRule>
    <cfRule type="expression" priority="54" aboveAverage="0" equalAverage="0" bottom="0" percent="0" rank="0" text="" dxfId="1">
      <formula>ISNUMBER(SEARCH("⚠️",F29))</formula>
    </cfRule>
    <cfRule type="expression" priority="55" aboveAverage="0" equalAverage="0" bottom="0" percent="0" rank="0" text="" dxfId="2">
      <formula>ISNUMBER(SEARCH("🔴",F29))</formula>
    </cfRule>
  </conditionalFormatting>
  <conditionalFormatting sqref="F30:G30">
    <cfRule type="expression" priority="56" aboveAverage="0" equalAverage="0" bottom="0" percent="0" rank="0" text="" dxfId="0">
      <formula>ISNUMBER(SEARCH("✅",F30))</formula>
    </cfRule>
    <cfRule type="expression" priority="57" aboveAverage="0" equalAverage="0" bottom="0" percent="0" rank="0" text="" dxfId="1">
      <formula>ISNUMBER(SEARCH("⚠️",F30))</formula>
    </cfRule>
    <cfRule type="expression" priority="58" aboveAverage="0" equalAverage="0" bottom="0" percent="0" rank="0" text="" dxfId="2">
      <formula>ISNUMBER(SEARCH("🔴",F30))</formula>
    </cfRule>
  </conditionalFormatting>
  <conditionalFormatting sqref="F31:G31">
    <cfRule type="expression" priority="59" aboveAverage="0" equalAverage="0" bottom="0" percent="0" rank="0" text="" dxfId="0">
      <formula>ISNUMBER(SEARCH("✅",F31))</formula>
    </cfRule>
    <cfRule type="expression" priority="60" aboveAverage="0" equalAverage="0" bottom="0" percent="0" rank="0" text="" dxfId="1">
      <formula>ISNUMBER(SEARCH("⚠️",F31))</formula>
    </cfRule>
    <cfRule type="expression" priority="61" aboveAverage="0" equalAverage="0" bottom="0" percent="0" rank="0" text="" dxfId="2">
      <formula>ISNUMBER(SEARCH("🔴",F31))</formula>
    </cfRule>
  </conditionalFormatting>
  <conditionalFormatting sqref="F32:G32">
    <cfRule type="expression" priority="62" aboveAverage="0" equalAverage="0" bottom="0" percent="0" rank="0" text="" dxfId="0">
      <formula>ISNUMBER(SEARCH("✅",F32))</formula>
    </cfRule>
    <cfRule type="expression" priority="63" aboveAverage="0" equalAverage="0" bottom="0" percent="0" rank="0" text="" dxfId="1">
      <formula>ISNUMBER(SEARCH("⚠️",F32))</formula>
    </cfRule>
    <cfRule type="expression" priority="64" aboveAverage="0" equalAverage="0" bottom="0" percent="0" rank="0" text="" dxfId="2">
      <formula>ISNUMBER(SEARCH("🔴",F32))</formula>
    </cfRule>
  </conditionalFormatting>
  <dataValidations count="6">
    <dataValidation allowBlank="false" errorStyle="stop" operator="between" prompt="اختر قيمة النقطة&#10;5000 = أسخى&#10;10000 = موصى به&#10;25000 = الأقل سخاء" promptTitle="قيمة النقطة" showDropDown="false" showErrorMessage="false" showInputMessage="false" sqref="C6" type="list">
      <formula1>"5000,10000,15000,20000,25000"</formula1>
      <formula2>0</formula2>
    </dataValidation>
    <dataValidation allowBlank="false" errorStyle="stop" operator="between" prompt="100 = الموصى به (1% كاش باك)" promptTitle="معدل كسب الأبيض" showDropDown="false" showErrorMessage="false" showInputMessage="false" sqref="C7" type="list">
      <formula1>"50,75,100,125,150,200"</formula1>
      <formula2>0</formula2>
    </dataValidation>
    <dataValidation allowBlank="false" errorStyle="stop" operator="between" prompt="150 = الموصى به (1.5% كاش باك)" showDropDown="false" showErrorMessage="false" showInputMessage="false" sqref="C8" type="list">
      <formula1>"100,125,150,175,200,250"</formula1>
      <formula2>0</formula2>
    </dataValidation>
    <dataValidation allowBlank="false" errorStyle="stop" operator="between" prompt="200 = الموصى به (2% كاش باك)" showDropDown="false" showErrorMessage="false" showInputMessage="false" sqref="C9" type="list">
      <formula1>"150,175,200,225,250,300"</formula1>
      <formula2>0</formula2>
    </dataValidation>
    <dataValidation allowBlank="false" errorStyle="stop" operator="between" prompt="1.0 = الموصى به" showDropDown="false" showErrorMessage="false" showInputMessage="false" sqref="C10" type="list">
      <formula1>"0.5,0.75,1.0,1.25,1.5,2.0"</formula1>
      <formula2>0</formula2>
    </dataValidation>
    <dataValidation allowBlank="false" errorStyle="stop" operator="between" prompt="0.5 = 50/50 (الموصى به)" showDropDown="false" showErrorMessage="false" showInputMessage="false" sqref="C29" type="list">
      <formula1>"0.3,0.4,0.5,0.6,0.7,1.0"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1"/>
    <col collapsed="false" customWidth="true" hidden="false" outlineLevel="0" max="5" min="5" style="1" width="2"/>
    <col collapsed="false" customWidth="true" hidden="false" outlineLevel="0" max="9" min="6" style="1" width="11"/>
  </cols>
  <sheetData>
    <row r="1" customFormat="false" ht="48" hidden="false" customHeight="true" outlineLevel="0" collapsed="false">
      <c r="A1" s="2" t="s">
        <v>115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57" t="s">
        <v>116</v>
      </c>
      <c r="B2" s="57"/>
      <c r="C2" s="57"/>
      <c r="D2" s="57"/>
      <c r="E2" s="57"/>
      <c r="F2" s="57"/>
      <c r="G2" s="57"/>
      <c r="H2" s="57"/>
      <c r="I2" s="57"/>
    </row>
    <row r="3" customFormat="false" ht="12" hidden="false" customHeight="true" outlineLevel="0" collapsed="false"/>
    <row r="4" customFormat="false" ht="31.5" hidden="false" customHeight="true" outlineLevel="0" collapsed="false">
      <c r="A4" s="13" t="s">
        <v>117</v>
      </c>
      <c r="B4" s="13"/>
      <c r="C4" s="13"/>
      <c r="D4" s="13"/>
      <c r="E4" s="13"/>
      <c r="F4" s="13"/>
      <c r="G4" s="13"/>
      <c r="H4" s="13"/>
      <c r="I4" s="13"/>
    </row>
    <row r="5" customFormat="false" ht="36" hidden="false" customHeight="true" outlineLevel="0" collapsed="false">
      <c r="A5" s="58" t="s">
        <v>118</v>
      </c>
      <c r="B5" s="58"/>
      <c r="C5" s="58"/>
      <c r="D5" s="58"/>
      <c r="E5" s="59"/>
      <c r="F5" s="60" t="s">
        <v>119</v>
      </c>
      <c r="G5" s="60"/>
      <c r="H5" s="60"/>
      <c r="I5" s="60"/>
    </row>
    <row r="6" customFormat="false" ht="24" hidden="false" customHeight="true" outlineLevel="0" collapsed="false">
      <c r="A6" s="61" t="s">
        <v>120</v>
      </c>
      <c r="B6" s="61"/>
      <c r="C6" s="61"/>
      <c r="D6" s="61"/>
      <c r="E6" s="59"/>
      <c r="F6" s="62" t="s">
        <v>121</v>
      </c>
      <c r="G6" s="62"/>
      <c r="H6" s="62"/>
      <c r="I6" s="62"/>
    </row>
    <row r="7" customFormat="false" ht="25.5" hidden="false" customHeight="true" outlineLevel="0" collapsed="false">
      <c r="A7" s="63" t="s">
        <v>122</v>
      </c>
      <c r="B7" s="63"/>
      <c r="C7" s="63"/>
      <c r="D7" s="63"/>
      <c r="E7" s="59"/>
      <c r="F7" s="63" t="s">
        <v>123</v>
      </c>
      <c r="G7" s="63"/>
      <c r="H7" s="63"/>
      <c r="I7" s="63"/>
    </row>
    <row r="8" customFormat="false" ht="25.5" hidden="false" customHeight="true" outlineLevel="0" collapsed="false">
      <c r="A8" s="63" t="s">
        <v>124</v>
      </c>
      <c r="B8" s="63"/>
      <c r="C8" s="63"/>
      <c r="D8" s="63"/>
      <c r="E8" s="59"/>
      <c r="F8" s="63" t="s">
        <v>125</v>
      </c>
      <c r="G8" s="63"/>
      <c r="H8" s="63"/>
      <c r="I8" s="63"/>
    </row>
    <row r="9" customFormat="false" ht="25.5" hidden="false" customHeight="true" outlineLevel="0" collapsed="false">
      <c r="A9" s="63" t="s">
        <v>126</v>
      </c>
      <c r="B9" s="63"/>
      <c r="C9" s="63"/>
      <c r="D9" s="63"/>
      <c r="E9" s="59"/>
      <c r="F9" s="63" t="s">
        <v>127</v>
      </c>
      <c r="G9" s="63"/>
      <c r="H9" s="63"/>
      <c r="I9" s="63"/>
    </row>
    <row r="10" customFormat="false" ht="25.5" hidden="false" customHeight="true" outlineLevel="0" collapsed="false">
      <c r="A10" s="63" t="s">
        <v>128</v>
      </c>
      <c r="B10" s="63"/>
      <c r="C10" s="63"/>
      <c r="D10" s="63"/>
      <c r="E10" s="59"/>
      <c r="F10" s="63" t="s">
        <v>129</v>
      </c>
      <c r="G10" s="63"/>
      <c r="H10" s="63"/>
      <c r="I10" s="63"/>
    </row>
    <row r="11" customFormat="false" ht="25.5" hidden="false" customHeight="true" outlineLevel="0" collapsed="false">
      <c r="A11" s="63" t="s">
        <v>130</v>
      </c>
      <c r="B11" s="63"/>
      <c r="C11" s="63"/>
      <c r="D11" s="63"/>
      <c r="E11" s="59"/>
      <c r="F11" s="63" t="s">
        <v>131</v>
      </c>
      <c r="G11" s="63"/>
      <c r="H11" s="63"/>
      <c r="I11" s="63"/>
    </row>
    <row r="12" customFormat="false" ht="13.5" hidden="false" customHeight="true" outlineLevel="0" collapsed="false"/>
    <row r="13" customFormat="false" ht="30" hidden="false" customHeight="true" outlineLevel="0" collapsed="false">
      <c r="A13" s="64" t="s">
        <v>132</v>
      </c>
      <c r="B13" s="64"/>
      <c r="C13" s="64"/>
      <c r="D13" s="64"/>
      <c r="E13" s="64"/>
      <c r="F13" s="64"/>
      <c r="G13" s="64"/>
      <c r="H13" s="64"/>
      <c r="I13" s="64"/>
    </row>
    <row r="14" customFormat="false" ht="36" hidden="false" customHeight="true" outlineLevel="0" collapsed="false">
      <c r="A14" s="65" t="s">
        <v>23</v>
      </c>
      <c r="B14" s="65"/>
      <c r="C14" s="65"/>
      <c r="D14" s="66" t="s">
        <v>133</v>
      </c>
      <c r="E14" s="66"/>
      <c r="F14" s="66"/>
      <c r="G14" s="27" t="s">
        <v>134</v>
      </c>
      <c r="H14" s="27"/>
      <c r="I14" s="27"/>
    </row>
    <row r="15" customFormat="false" ht="31.5" hidden="false" customHeight="true" outlineLevel="0" collapsed="false">
      <c r="A15" s="35" t="s">
        <v>135</v>
      </c>
      <c r="B15" s="35"/>
      <c r="C15" s="35"/>
      <c r="D15" s="67" t="s">
        <v>136</v>
      </c>
      <c r="E15" s="67"/>
      <c r="F15" s="67"/>
      <c r="G15" s="68" t="s">
        <v>137</v>
      </c>
      <c r="H15" s="68"/>
      <c r="I15" s="68"/>
    </row>
    <row r="16" customFormat="false" ht="31.5" hidden="false" customHeight="true" outlineLevel="0" collapsed="false">
      <c r="A16" s="35" t="s">
        <v>138</v>
      </c>
      <c r="B16" s="35"/>
      <c r="C16" s="35"/>
      <c r="D16" s="67" t="s">
        <v>139</v>
      </c>
      <c r="E16" s="67"/>
      <c r="F16" s="67"/>
      <c r="G16" s="68" t="s">
        <v>140</v>
      </c>
      <c r="H16" s="68"/>
      <c r="I16" s="68"/>
    </row>
    <row r="17" customFormat="false" ht="31.5" hidden="false" customHeight="true" outlineLevel="0" collapsed="false">
      <c r="A17" s="35" t="s">
        <v>141</v>
      </c>
      <c r="B17" s="35"/>
      <c r="C17" s="35"/>
      <c r="D17" s="67" t="s">
        <v>142</v>
      </c>
      <c r="E17" s="67"/>
      <c r="F17" s="67"/>
      <c r="G17" s="68" t="s">
        <v>143</v>
      </c>
      <c r="H17" s="68"/>
      <c r="I17" s="68"/>
    </row>
    <row r="18" customFormat="false" ht="31.5" hidden="false" customHeight="true" outlineLevel="0" collapsed="false">
      <c r="A18" s="35" t="s">
        <v>144</v>
      </c>
      <c r="B18" s="35"/>
      <c r="C18" s="35"/>
      <c r="D18" s="67" t="s">
        <v>145</v>
      </c>
      <c r="E18" s="67"/>
      <c r="F18" s="67"/>
      <c r="G18" s="68" t="s">
        <v>146</v>
      </c>
      <c r="H18" s="68"/>
      <c r="I18" s="68"/>
    </row>
    <row r="19" customFormat="false" ht="31.5" hidden="false" customHeight="true" outlineLevel="0" collapsed="false">
      <c r="A19" s="35" t="s">
        <v>147</v>
      </c>
      <c r="B19" s="35"/>
      <c r="C19" s="35"/>
      <c r="D19" s="67" t="s">
        <v>148</v>
      </c>
      <c r="E19" s="67"/>
      <c r="F19" s="67"/>
      <c r="G19" s="68" t="s">
        <v>149</v>
      </c>
      <c r="H19" s="68"/>
      <c r="I19" s="68"/>
    </row>
    <row r="20" customFormat="false" ht="31.5" hidden="false" customHeight="true" outlineLevel="0" collapsed="false">
      <c r="A20" s="35" t="s">
        <v>150</v>
      </c>
      <c r="B20" s="35"/>
      <c r="C20" s="35"/>
      <c r="D20" s="67" t="s">
        <v>151</v>
      </c>
      <c r="E20" s="67"/>
      <c r="F20" s="67"/>
      <c r="G20" s="68" t="s">
        <v>152</v>
      </c>
      <c r="H20" s="68"/>
      <c r="I20" s="68"/>
    </row>
    <row r="21" customFormat="false" ht="13.5" hidden="false" customHeight="true" outlineLevel="0" collapsed="false"/>
    <row r="22" customFormat="false" ht="30" hidden="false" customHeight="true" outlineLevel="0" collapsed="false">
      <c r="A22" s="13" t="s">
        <v>153</v>
      </c>
      <c r="B22" s="13"/>
      <c r="C22" s="13"/>
      <c r="D22" s="13"/>
      <c r="E22" s="13"/>
      <c r="F22" s="13"/>
      <c r="G22" s="13"/>
      <c r="H22" s="13"/>
      <c r="I22" s="13"/>
    </row>
    <row r="23" customFormat="false" ht="37.5" hidden="false" customHeight="true" outlineLevel="0" collapsed="false">
      <c r="A23" s="65" t="s">
        <v>154</v>
      </c>
      <c r="B23" s="65"/>
      <c r="C23" s="65" t="s">
        <v>155</v>
      </c>
      <c r="D23" s="65"/>
      <c r="E23" s="66" t="s">
        <v>156</v>
      </c>
      <c r="F23" s="66"/>
      <c r="G23" s="66"/>
      <c r="H23" s="27" t="s">
        <v>157</v>
      </c>
      <c r="I23" s="27"/>
    </row>
    <row r="24" customFormat="false" ht="36" hidden="false" customHeight="true" outlineLevel="0" collapsed="false">
      <c r="A24" s="35" t="s">
        <v>158</v>
      </c>
      <c r="B24" s="35"/>
      <c r="C24" s="63" t="s">
        <v>159</v>
      </c>
      <c r="D24" s="63"/>
      <c r="E24" s="69" t="s">
        <v>160</v>
      </c>
      <c r="F24" s="69"/>
      <c r="G24" s="69"/>
      <c r="H24" s="70" t="s">
        <v>161</v>
      </c>
      <c r="I24" s="70"/>
    </row>
    <row r="25" customFormat="false" ht="36" hidden="false" customHeight="true" outlineLevel="0" collapsed="false">
      <c r="A25" s="35" t="s">
        <v>162</v>
      </c>
      <c r="B25" s="35"/>
      <c r="C25" s="63" t="s">
        <v>163</v>
      </c>
      <c r="D25" s="63"/>
      <c r="E25" s="69" t="s">
        <v>164</v>
      </c>
      <c r="F25" s="69"/>
      <c r="G25" s="69"/>
      <c r="H25" s="70" t="s">
        <v>165</v>
      </c>
      <c r="I25" s="70"/>
    </row>
    <row r="26" customFormat="false" ht="36" hidden="false" customHeight="true" outlineLevel="0" collapsed="false">
      <c r="A26" s="35" t="s">
        <v>166</v>
      </c>
      <c r="B26" s="35"/>
      <c r="C26" s="63" t="s">
        <v>167</v>
      </c>
      <c r="D26" s="63"/>
      <c r="E26" s="69" t="s">
        <v>168</v>
      </c>
      <c r="F26" s="69"/>
      <c r="G26" s="69"/>
      <c r="H26" s="70" t="s">
        <v>169</v>
      </c>
      <c r="I26" s="70"/>
    </row>
    <row r="27" customFormat="false" ht="36" hidden="false" customHeight="true" outlineLevel="0" collapsed="false">
      <c r="A27" s="35" t="s">
        <v>170</v>
      </c>
      <c r="B27" s="35"/>
      <c r="C27" s="63" t="s">
        <v>171</v>
      </c>
      <c r="D27" s="63"/>
      <c r="E27" s="69" t="s">
        <v>172</v>
      </c>
      <c r="F27" s="69"/>
      <c r="G27" s="69"/>
      <c r="H27" s="70" t="s">
        <v>173</v>
      </c>
      <c r="I27" s="70"/>
    </row>
    <row r="28" customFormat="false" ht="36" hidden="false" customHeight="true" outlineLevel="0" collapsed="false">
      <c r="A28" s="35" t="s">
        <v>174</v>
      </c>
      <c r="B28" s="35"/>
      <c r="C28" s="63" t="s">
        <v>175</v>
      </c>
      <c r="D28" s="63"/>
      <c r="E28" s="69" t="s">
        <v>176</v>
      </c>
      <c r="F28" s="69"/>
      <c r="G28" s="69"/>
      <c r="H28" s="70" t="s">
        <v>177</v>
      </c>
      <c r="I28" s="70"/>
    </row>
    <row r="29" customFormat="false" ht="13.5" hidden="false" customHeight="true" outlineLevel="0" collapsed="false"/>
    <row r="30" customFormat="false" ht="30" hidden="false" customHeight="true" outlineLevel="0" collapsed="false">
      <c r="A30" s="71" t="s">
        <v>178</v>
      </c>
      <c r="B30" s="71"/>
      <c r="C30" s="71"/>
      <c r="D30" s="71"/>
      <c r="E30" s="71"/>
      <c r="F30" s="71"/>
      <c r="G30" s="71"/>
      <c r="H30" s="71"/>
      <c r="I30" s="71"/>
    </row>
    <row r="31" customFormat="false" ht="31.5" hidden="false" customHeight="true" outlineLevel="0" collapsed="false">
      <c r="A31" s="72" t="s">
        <v>179</v>
      </c>
      <c r="B31" s="72"/>
      <c r="C31" s="72"/>
      <c r="D31" s="72"/>
      <c r="E31" s="72"/>
      <c r="F31" s="72"/>
      <c r="G31" s="72"/>
      <c r="H31" s="72"/>
      <c r="I31" s="72"/>
    </row>
    <row r="32" customFormat="false" ht="31.5" hidden="false" customHeight="true" outlineLevel="0" collapsed="false">
      <c r="A32" s="72" t="s">
        <v>180</v>
      </c>
      <c r="B32" s="72"/>
      <c r="C32" s="72"/>
      <c r="D32" s="72"/>
      <c r="E32" s="72"/>
      <c r="F32" s="72"/>
      <c r="G32" s="72"/>
      <c r="H32" s="72"/>
      <c r="I32" s="72"/>
    </row>
    <row r="33" customFormat="false" ht="31.5" hidden="false" customHeight="true" outlineLevel="0" collapsed="false">
      <c r="A33" s="72" t="s">
        <v>181</v>
      </c>
      <c r="B33" s="72"/>
      <c r="C33" s="72"/>
      <c r="D33" s="72"/>
      <c r="E33" s="72"/>
      <c r="F33" s="72"/>
      <c r="G33" s="72"/>
      <c r="H33" s="72"/>
      <c r="I33" s="72"/>
    </row>
    <row r="34" customFormat="false" ht="31.5" hidden="false" customHeight="true" outlineLevel="0" collapsed="false">
      <c r="A34" s="72" t="s">
        <v>182</v>
      </c>
      <c r="B34" s="72"/>
      <c r="C34" s="72"/>
      <c r="D34" s="72"/>
      <c r="E34" s="72"/>
      <c r="F34" s="72"/>
      <c r="G34" s="72"/>
      <c r="H34" s="72"/>
      <c r="I34" s="72"/>
    </row>
    <row r="36" customFormat="false" ht="24" hidden="false" customHeight="true" outlineLevel="0" collapsed="false">
      <c r="A36" s="36" t="s">
        <v>183</v>
      </c>
      <c r="B36" s="36"/>
      <c r="C36" s="36"/>
      <c r="D36" s="36"/>
      <c r="E36" s="36"/>
      <c r="F36" s="36"/>
      <c r="G36" s="36"/>
      <c r="H36" s="36"/>
      <c r="I36" s="36"/>
    </row>
  </sheetData>
  <mergeCells count="70">
    <mergeCell ref="A1:I1"/>
    <mergeCell ref="A2:I2"/>
    <mergeCell ref="A4:I4"/>
    <mergeCell ref="A5:D5"/>
    <mergeCell ref="F5:I5"/>
    <mergeCell ref="A6:D6"/>
    <mergeCell ref="F6:I6"/>
    <mergeCell ref="A7:D7"/>
    <mergeCell ref="F7:I7"/>
    <mergeCell ref="A8:D8"/>
    <mergeCell ref="F8:I8"/>
    <mergeCell ref="A9:D9"/>
    <mergeCell ref="F9:I9"/>
    <mergeCell ref="A10:D10"/>
    <mergeCell ref="F10:I10"/>
    <mergeCell ref="A11:D11"/>
    <mergeCell ref="F11:I11"/>
    <mergeCell ref="A13:I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0:C20"/>
    <mergeCell ref="D20:F20"/>
    <mergeCell ref="G20:I20"/>
    <mergeCell ref="A22:I22"/>
    <mergeCell ref="A23:B23"/>
    <mergeCell ref="C23:D23"/>
    <mergeCell ref="E23:G23"/>
    <mergeCell ref="H23:I23"/>
    <mergeCell ref="A24:B24"/>
    <mergeCell ref="C24:D24"/>
    <mergeCell ref="E24:G24"/>
    <mergeCell ref="H24:I24"/>
    <mergeCell ref="A25:B25"/>
    <mergeCell ref="C25:D25"/>
    <mergeCell ref="E25:G25"/>
    <mergeCell ref="H25:I25"/>
    <mergeCell ref="A26:B26"/>
    <mergeCell ref="C26:D26"/>
    <mergeCell ref="E26:G26"/>
    <mergeCell ref="H26:I26"/>
    <mergeCell ref="A27:B27"/>
    <mergeCell ref="C27:D27"/>
    <mergeCell ref="E27:G27"/>
    <mergeCell ref="H27:I27"/>
    <mergeCell ref="A28:B28"/>
    <mergeCell ref="C28:D28"/>
    <mergeCell ref="E28:G28"/>
    <mergeCell ref="H28:I28"/>
    <mergeCell ref="A30:I30"/>
    <mergeCell ref="A31:I31"/>
    <mergeCell ref="A32:I32"/>
    <mergeCell ref="A33:I33"/>
    <mergeCell ref="A34:I34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4" min="3" style="1" width="11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8" min="7" style="1" width="11"/>
    <col collapsed="false" customWidth="true" hidden="false" outlineLevel="0" max="9" min="9" style="1" width="14"/>
    <col collapsed="false" customWidth="true" hidden="false" outlineLevel="0" max="10" min="10" style="1" width="10"/>
  </cols>
  <sheetData>
    <row r="1" customFormat="false" ht="48" hidden="false" customHeight="true" outlineLevel="0" collapsed="false">
      <c r="A1" s="2" t="s">
        <v>184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3" t="s">
        <v>185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2" hidden="false" customHeight="true" outlineLevel="0" collapsed="false"/>
    <row r="4" customFormat="false" ht="30" hidden="false" customHeight="true" outlineLevel="0" collapsed="false">
      <c r="A4" s="13" t="s">
        <v>186</v>
      </c>
      <c r="B4" s="13"/>
      <c r="C4" s="13"/>
      <c r="D4" s="13"/>
      <c r="E4" s="13"/>
      <c r="F4" s="13"/>
      <c r="G4" s="13"/>
      <c r="H4" s="13"/>
      <c r="I4" s="13"/>
      <c r="J4" s="13"/>
    </row>
    <row r="5" customFormat="false" ht="55.5" hidden="false" customHeight="true" outlineLevel="0" collapsed="false">
      <c r="A5" s="73" t="s">
        <v>187</v>
      </c>
      <c r="B5" s="73"/>
      <c r="C5" s="73"/>
      <c r="D5" s="73"/>
      <c r="E5" s="73"/>
      <c r="F5" s="74" t="n">
        <v>600</v>
      </c>
      <c r="G5" s="74"/>
      <c r="H5" s="75" t="s">
        <v>188</v>
      </c>
      <c r="I5" s="75"/>
      <c r="J5" s="75"/>
    </row>
    <row r="6" customFormat="false" ht="13.5" hidden="false" customHeight="true" outlineLevel="0" collapsed="false"/>
    <row r="7" customFormat="false" ht="30" hidden="false" customHeight="true" outlineLevel="0" collapsed="false">
      <c r="A7" s="64" t="s">
        <v>189</v>
      </c>
      <c r="B7" s="64"/>
      <c r="C7" s="64"/>
      <c r="D7" s="64"/>
      <c r="E7" s="64"/>
      <c r="F7" s="64"/>
      <c r="G7" s="64"/>
      <c r="H7" s="64"/>
      <c r="I7" s="64"/>
      <c r="J7" s="64"/>
    </row>
    <row r="8" customFormat="false" ht="30" hidden="false" customHeight="true" outlineLevel="0" collapsed="false">
      <c r="A8" s="76" t="s">
        <v>190</v>
      </c>
      <c r="B8" s="76"/>
      <c r="C8" s="77" t="s">
        <v>191</v>
      </c>
      <c r="D8" s="77"/>
      <c r="E8" s="78" t="s">
        <v>192</v>
      </c>
      <c r="F8" s="78"/>
      <c r="G8" s="78"/>
      <c r="H8" s="79" t="s">
        <v>193</v>
      </c>
      <c r="I8" s="79"/>
      <c r="J8" s="79"/>
    </row>
    <row r="9" customFormat="false" ht="55.5" hidden="false" customHeight="true" outlineLevel="0" collapsed="false">
      <c r="A9" s="80" t="n">
        <f aca="false">F5*12</f>
        <v>7200</v>
      </c>
      <c r="B9" s="80"/>
      <c r="C9" s="81" t="str">
        <f aca="false">IF(F5*12&lt;السيناريوهات!C16,"🤍 الأبيض",IF(F5*12&lt;السيناريوهات!C17,"🩶 الفضي","🟠 البرتقالي"))</f>
        <v>🩶 الفضي</v>
      </c>
      <c r="D9" s="81"/>
      <c r="E9" s="82" t="n">
        <f aca="false">F5*12*IF(C9="🤍 الأبيض",السيناريوهات!C7,IF(C9="🩶 الفضي",السيناريوهات!C8,السيناريوهات!C9))</f>
        <v>1080000</v>
      </c>
      <c r="F9" s="82"/>
      <c r="G9" s="82"/>
      <c r="H9" s="83" t="n">
        <f aca="false">E9/السيناريوهات!C6</f>
        <v>108</v>
      </c>
      <c r="I9" s="83"/>
      <c r="J9" s="83"/>
    </row>
    <row r="10" customFormat="false" ht="21.75" hidden="false" customHeight="true" outlineLevel="0" collapsed="false">
      <c r="A10" s="84" t="s">
        <v>194</v>
      </c>
      <c r="B10" s="84"/>
      <c r="C10" s="85" t="s">
        <v>195</v>
      </c>
      <c r="D10" s="85"/>
      <c r="E10" s="86" t="s">
        <v>196</v>
      </c>
      <c r="F10" s="86"/>
      <c r="G10" s="86"/>
      <c r="H10" s="87" t="s">
        <v>197</v>
      </c>
      <c r="I10" s="87"/>
      <c r="J10" s="87"/>
    </row>
    <row r="11" customFormat="false" ht="13.5" hidden="false" customHeight="true" outlineLevel="0" collapsed="false"/>
    <row r="12" customFormat="false" ht="30" hidden="false" customHeight="true" outlineLevel="0" collapsed="false">
      <c r="A12" s="13" t="s">
        <v>198</v>
      </c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39.75" hidden="false" customHeight="true" outlineLevel="0" collapsed="false">
      <c r="A13" s="88" t="s">
        <v>199</v>
      </c>
      <c r="B13" s="88"/>
      <c r="C13" s="88"/>
      <c r="D13" s="89" t="str">
        <f aca="false">IF(C9="🤍 الأبيض","🩶 الفضي",IF(C9="🩶 الفضي","🟠 البرتقالي","✨ أعلى مستوى"))</f>
        <v>🟠 البرتقالي</v>
      </c>
      <c r="E13" s="89"/>
      <c r="F13" s="88" t="s">
        <v>200</v>
      </c>
      <c r="G13" s="88"/>
      <c r="H13" s="90" t="n">
        <f aca="false">IF(C9="🤍 الأبيض",MAX(0,السيناريوهات!C16-F5*12),IF(C9="🩶 الفضي",MAX(0,السيناريوهات!C17-F5*12),0))</f>
        <v>7200</v>
      </c>
      <c r="I13" s="90"/>
      <c r="J13" s="90"/>
    </row>
    <row r="14" customFormat="false" ht="36" hidden="false" customHeight="true" outlineLevel="0" collapsed="false">
      <c r="A14" s="91" t="s">
        <v>201</v>
      </c>
      <c r="B14" s="91"/>
      <c r="C14" s="92" t="n">
        <f aca="false">IF(C9="🤍 الأبيض",F5*12/السيناريوهات!C16,IF(C9="🩶 الفضي",(F5*12-السيناريوهات!C16)/(السيناريوهات!C17-السيناريوهات!C16),1))</f>
        <v>0.333333333333333</v>
      </c>
      <c r="D14" s="92"/>
      <c r="E14" s="92"/>
      <c r="F14" s="92"/>
      <c r="G14" s="92"/>
      <c r="H14" s="92"/>
      <c r="I14" s="92"/>
      <c r="J14" s="92"/>
    </row>
    <row r="15" customFormat="false" ht="13.5" hidden="false" customHeight="true" outlineLevel="0" collapsed="false"/>
    <row r="16" customFormat="false" ht="30" hidden="false" customHeight="true" outlineLevel="0" collapsed="false">
      <c r="A16" s="26" t="s">
        <v>202</v>
      </c>
      <c r="B16" s="26"/>
      <c r="C16" s="26"/>
      <c r="D16" s="26"/>
      <c r="E16" s="26"/>
      <c r="F16" s="26"/>
      <c r="G16" s="26"/>
      <c r="H16" s="26"/>
      <c r="I16" s="26"/>
      <c r="J16" s="26"/>
    </row>
    <row r="17" customFormat="false" ht="31.5" hidden="false" customHeight="true" outlineLevel="0" collapsed="false">
      <c r="A17" s="65" t="s">
        <v>203</v>
      </c>
      <c r="B17" s="65"/>
      <c r="C17" s="66" t="s">
        <v>204</v>
      </c>
      <c r="D17" s="66"/>
      <c r="E17" s="66"/>
      <c r="F17" s="66"/>
      <c r="G17" s="27" t="s">
        <v>205</v>
      </c>
      <c r="H17" s="27"/>
      <c r="I17" s="27"/>
      <c r="J17" s="27"/>
    </row>
    <row r="18" customFormat="false" ht="36" hidden="false" customHeight="true" outlineLevel="0" collapsed="false">
      <c r="A18" s="35" t="s">
        <v>206</v>
      </c>
      <c r="B18" s="35"/>
      <c r="C18" s="67" t="str">
        <f aca="false">TEXT(F5*IF(C9="🤍 الأبيض",السيناريوهات!C7,IF(C9="🩶 الفضي",السيناريوهات!C8,السيناريوهات!C9)),"#,##0")&amp;" نقطة تُضاف"</f>
        <v>90,000 نقطة تُضاف</v>
      </c>
      <c r="D18" s="67"/>
      <c r="E18" s="67"/>
      <c r="F18" s="67"/>
      <c r="G18" s="68" t="str">
        <f aca="false">TEXT(F5,"#,##0")&amp;" ر تضاف للعدّاد"</f>
        <v>600 ر تضاف للعدّاد</v>
      </c>
      <c r="H18" s="68"/>
      <c r="I18" s="68"/>
      <c r="J18" s="68"/>
    </row>
    <row r="19" customFormat="false" ht="36" hidden="false" customHeight="true" outlineLevel="0" collapsed="false">
      <c r="A19" s="35" t="s">
        <v>207</v>
      </c>
      <c r="B19" s="35"/>
      <c r="C19" s="67" t="str">
        <f aca="false">TEXT(E9,"#,##0")&amp;" نقطة (= "&amp;TEXT(H9,"#,##0")&amp;" ر)"</f>
        <v>1,080,000 نقطة (= 108 ر)</v>
      </c>
      <c r="D19" s="67"/>
      <c r="E19" s="67"/>
      <c r="F19" s="67"/>
      <c r="G19" s="68" t="str">
        <f aca="false">TEXT(F5*12,"#,##0")&amp;" ر إنفاق سنوي"</f>
        <v>7,200 ر إنفاق سنوي</v>
      </c>
      <c r="H19" s="68"/>
      <c r="I19" s="68"/>
      <c r="J19" s="68"/>
    </row>
    <row r="20" customFormat="false" ht="36" hidden="false" customHeight="true" outlineLevel="0" collapsed="false">
      <c r="A20" s="35" t="s">
        <v>208</v>
      </c>
      <c r="B20" s="35"/>
      <c r="C20" s="67" t="s">
        <v>209</v>
      </c>
      <c r="D20" s="67"/>
      <c r="E20" s="67"/>
      <c r="F20" s="67"/>
      <c r="G20" s="68" t="s">
        <v>210</v>
      </c>
      <c r="H20" s="68"/>
      <c r="I20" s="68"/>
      <c r="J20" s="68"/>
    </row>
    <row r="21" customFormat="false" ht="36" hidden="false" customHeight="true" outlineLevel="0" collapsed="false">
      <c r="A21" s="35" t="s">
        <v>211</v>
      </c>
      <c r="B21" s="35"/>
      <c r="C21" s="67" t="s">
        <v>212</v>
      </c>
      <c r="D21" s="67"/>
      <c r="E21" s="67"/>
      <c r="F21" s="67"/>
      <c r="G21" s="68" t="s">
        <v>213</v>
      </c>
      <c r="H21" s="68"/>
      <c r="I21" s="68"/>
      <c r="J21" s="68"/>
    </row>
    <row r="22" customFormat="false" ht="13.5" hidden="false" customHeight="true" outlineLevel="0" collapsed="false"/>
    <row r="23" customFormat="false" ht="31.5" hidden="false" customHeight="true" outlineLevel="0" collapsed="false">
      <c r="A23" s="93" t="s">
        <v>214</v>
      </c>
      <c r="B23" s="93"/>
      <c r="C23" s="93"/>
      <c r="D23" s="93"/>
      <c r="E23" s="93"/>
      <c r="F23" s="93"/>
      <c r="G23" s="93"/>
      <c r="H23" s="93"/>
      <c r="I23" s="93"/>
      <c r="J23" s="93"/>
    </row>
    <row r="24" customFormat="false" ht="13.5" hidden="false" customHeight="true" outlineLevel="0" collapsed="false"/>
    <row r="25" customFormat="false" ht="30" hidden="false" customHeight="true" outlineLevel="0" collapsed="false">
      <c r="A25" s="13" t="s">
        <v>215</v>
      </c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36" hidden="false" customHeight="true" outlineLevel="0" collapsed="false">
      <c r="A26" s="14" t="s">
        <v>216</v>
      </c>
      <c r="B26" s="14"/>
      <c r="C26" s="14" t="s">
        <v>217</v>
      </c>
      <c r="D26" s="14" t="s">
        <v>218</v>
      </c>
      <c r="E26" s="14" t="s">
        <v>9</v>
      </c>
      <c r="F26" s="14" t="s">
        <v>14</v>
      </c>
      <c r="G26" s="14" t="s">
        <v>219</v>
      </c>
      <c r="H26" s="14" t="s">
        <v>220</v>
      </c>
      <c r="I26" s="14" t="s">
        <v>221</v>
      </c>
      <c r="J26" s="14"/>
    </row>
    <row r="27" customFormat="false" ht="30" hidden="false" customHeight="true" outlineLevel="0" collapsed="false">
      <c r="A27" s="35" t="s">
        <v>222</v>
      </c>
      <c r="B27" s="35"/>
      <c r="C27" s="94" t="n">
        <v>600</v>
      </c>
      <c r="D27" s="95" t="n">
        <f aca="false">C27*12</f>
        <v>7200</v>
      </c>
      <c r="E27" s="96" t="str">
        <f aca="false">IF(D27&lt;السيناريوهات!$C$16,"🤍 أبيض",IF(D27&lt;السيناريوهات!$C$17,"🩶 فضي","🟠 برتقالي"))</f>
        <v>🩶 فضي</v>
      </c>
      <c r="F27" s="97" t="n">
        <f aca="false">D27*IF(E27="🤍 أبيض",السيناريوهات!$C$7,IF(E27="🩶 فضي",السيناريوهات!$C$8,السيناريوهات!$C$9))</f>
        <v>1080000</v>
      </c>
      <c r="G27" s="98" t="n">
        <f aca="false">F27/السيناريوهات!$C$6</f>
        <v>108</v>
      </c>
      <c r="H27" s="99" t="n">
        <f aca="false">G27/D27</f>
        <v>0.015</v>
      </c>
      <c r="I27" s="100" t="s">
        <v>223</v>
      </c>
      <c r="J27" s="100"/>
    </row>
    <row r="28" customFormat="false" ht="30" hidden="false" customHeight="true" outlineLevel="0" collapsed="false">
      <c r="A28" s="35" t="s">
        <v>224</v>
      </c>
      <c r="B28" s="35"/>
      <c r="C28" s="94" t="n">
        <v>1000</v>
      </c>
      <c r="D28" s="95" t="n">
        <f aca="false">C28*12</f>
        <v>12000</v>
      </c>
      <c r="E28" s="96" t="str">
        <f aca="false">IF(D28&lt;السيناريوهات!$C$16,"🤍 أبيض",IF(D28&lt;السيناريوهات!$C$17,"🩶 فضي","🟠 برتقالي"))</f>
        <v>🩶 فضي</v>
      </c>
      <c r="F28" s="97" t="n">
        <f aca="false">D28*IF(E28="🤍 أبيض",السيناريوهات!$C$7,IF(E28="🩶 فضي",السيناريوهات!$C$8,السيناريوهات!$C$9))</f>
        <v>1800000</v>
      </c>
      <c r="G28" s="98" t="n">
        <f aca="false">F28/السيناريوهات!$C$6</f>
        <v>180</v>
      </c>
      <c r="H28" s="99" t="n">
        <f aca="false">G28/D28</f>
        <v>0.015</v>
      </c>
      <c r="I28" s="100" t="s">
        <v>225</v>
      </c>
      <c r="J28" s="100"/>
    </row>
    <row r="29" customFormat="false" ht="30" hidden="false" customHeight="true" outlineLevel="0" collapsed="false">
      <c r="A29" s="35" t="s">
        <v>226</v>
      </c>
      <c r="B29" s="35"/>
      <c r="C29" s="94" t="n">
        <v>1500</v>
      </c>
      <c r="D29" s="95" t="n">
        <f aca="false">C29*12</f>
        <v>18000</v>
      </c>
      <c r="E29" s="96" t="str">
        <f aca="false">IF(D29&lt;السيناريوهات!$C$16,"🤍 أبيض",IF(D29&lt;السيناريوهات!$C$17,"🩶 فضي","🟠 برتقالي"))</f>
        <v>🟠 برتقالي</v>
      </c>
      <c r="F29" s="97" t="n">
        <f aca="false">D29*IF(E29="🤍 أبيض",السيناريوهات!$C$7,IF(E29="🩶 فضي",السيناريوهات!$C$8,السيناريوهات!$C$9))</f>
        <v>3600000</v>
      </c>
      <c r="G29" s="98" t="n">
        <f aca="false">F29/السيناريوهات!$C$6</f>
        <v>360</v>
      </c>
      <c r="H29" s="99" t="n">
        <f aca="false">G29/D29</f>
        <v>0.02</v>
      </c>
      <c r="I29" s="100" t="s">
        <v>227</v>
      </c>
      <c r="J29" s="100"/>
    </row>
    <row r="30" customFormat="false" ht="30" hidden="false" customHeight="true" outlineLevel="0" collapsed="false">
      <c r="A30" s="35" t="s">
        <v>228</v>
      </c>
      <c r="B30" s="35"/>
      <c r="C30" s="94" t="n">
        <v>2500</v>
      </c>
      <c r="D30" s="95" t="n">
        <f aca="false">C30*12</f>
        <v>30000</v>
      </c>
      <c r="E30" s="96" t="str">
        <f aca="false">IF(D30&lt;السيناريوهات!$C$16,"🤍 أبيض",IF(D30&lt;السيناريوهات!$C$17,"🩶 فضي","🟠 برتقالي"))</f>
        <v>🟠 برتقالي</v>
      </c>
      <c r="F30" s="97" t="n">
        <f aca="false">D30*IF(E30="🤍 أبيض",السيناريوهات!$C$7,IF(E30="🩶 فضي",السيناريوهات!$C$8,السيناريوهات!$C$9))</f>
        <v>6000000</v>
      </c>
      <c r="G30" s="98" t="n">
        <f aca="false">F30/السيناريوهات!$C$6</f>
        <v>600</v>
      </c>
      <c r="H30" s="99" t="n">
        <f aca="false">G30/D30</f>
        <v>0.02</v>
      </c>
      <c r="I30" s="100" t="s">
        <v>229</v>
      </c>
      <c r="J30" s="100"/>
    </row>
    <row r="31" customFormat="false" ht="30" hidden="false" customHeight="true" outlineLevel="0" collapsed="false">
      <c r="A31" s="35" t="s">
        <v>230</v>
      </c>
      <c r="B31" s="35"/>
      <c r="C31" s="94" t="n">
        <v>4000</v>
      </c>
      <c r="D31" s="95" t="n">
        <f aca="false">C31*12</f>
        <v>48000</v>
      </c>
      <c r="E31" s="96" t="str">
        <f aca="false">IF(D31&lt;السيناريوهات!$C$16,"🤍 أبيض",IF(D31&lt;السيناريوهات!$C$17,"🩶 فضي","🟠 برتقالي"))</f>
        <v>🟠 برتقالي</v>
      </c>
      <c r="F31" s="97" t="n">
        <f aca="false">D31*IF(E31="🤍 أبيض",السيناريوهات!$C$7,IF(E31="🩶 فضي",السيناريوهات!$C$8,السيناريوهات!$C$9))</f>
        <v>9600000</v>
      </c>
      <c r="G31" s="98" t="n">
        <f aca="false">F31/السيناريوهات!$C$6</f>
        <v>960</v>
      </c>
      <c r="H31" s="99" t="n">
        <f aca="false">G31/D31</f>
        <v>0.02</v>
      </c>
      <c r="I31" s="100" t="s">
        <v>231</v>
      </c>
      <c r="J31" s="100"/>
    </row>
    <row r="32" customFormat="false" ht="30" hidden="false" customHeight="true" outlineLevel="0" collapsed="false">
      <c r="A32" s="35" t="s">
        <v>232</v>
      </c>
      <c r="B32" s="35"/>
      <c r="C32" s="94" t="n">
        <v>8000</v>
      </c>
      <c r="D32" s="95" t="n">
        <f aca="false">C32*12</f>
        <v>96000</v>
      </c>
      <c r="E32" s="96" t="str">
        <f aca="false">IF(D32&lt;السيناريوهات!$C$16,"🤍 أبيض",IF(D32&lt;السيناريوهات!$C$17,"🩶 فضي","🟠 برتقالي"))</f>
        <v>🟠 برتقالي</v>
      </c>
      <c r="F32" s="97" t="n">
        <f aca="false">D32*IF(E32="🤍 أبيض",السيناريوهات!$C$7,IF(E32="🩶 فضي",السيناريوهات!$C$8,السيناريوهات!$C$9))</f>
        <v>19200000</v>
      </c>
      <c r="G32" s="98" t="n">
        <f aca="false">F32/السيناريوهات!$C$6</f>
        <v>1920</v>
      </c>
      <c r="H32" s="99" t="n">
        <f aca="false">G32/D32</f>
        <v>0.02</v>
      </c>
      <c r="I32" s="100" t="s">
        <v>233</v>
      </c>
      <c r="J32" s="100"/>
    </row>
    <row r="34" customFormat="false" ht="24" hidden="false" customHeight="true" outlineLevel="0" collapsed="false">
      <c r="A34" s="36" t="s">
        <v>234</v>
      </c>
      <c r="B34" s="36"/>
      <c r="C34" s="36"/>
      <c r="D34" s="36"/>
      <c r="E34" s="36"/>
      <c r="F34" s="36"/>
      <c r="G34" s="36"/>
      <c r="H34" s="36"/>
      <c r="I34" s="36"/>
      <c r="J34" s="36"/>
    </row>
  </sheetData>
  <mergeCells count="59">
    <mergeCell ref="A1:J1"/>
    <mergeCell ref="A2:J2"/>
    <mergeCell ref="A4:J4"/>
    <mergeCell ref="A5:E5"/>
    <mergeCell ref="F5:G5"/>
    <mergeCell ref="H5:J5"/>
    <mergeCell ref="A7:J7"/>
    <mergeCell ref="A8:B8"/>
    <mergeCell ref="C8:D8"/>
    <mergeCell ref="E8:G8"/>
    <mergeCell ref="H8:J8"/>
    <mergeCell ref="A9:B9"/>
    <mergeCell ref="C9:D9"/>
    <mergeCell ref="E9:G9"/>
    <mergeCell ref="H9:J9"/>
    <mergeCell ref="A10:B10"/>
    <mergeCell ref="C10:D10"/>
    <mergeCell ref="E10:G10"/>
    <mergeCell ref="H10:J10"/>
    <mergeCell ref="A12:J12"/>
    <mergeCell ref="A13:C13"/>
    <mergeCell ref="D13:E13"/>
    <mergeCell ref="F13:G13"/>
    <mergeCell ref="H13:J13"/>
    <mergeCell ref="A14:B14"/>
    <mergeCell ref="C14:J14"/>
    <mergeCell ref="A16:J16"/>
    <mergeCell ref="A17:B17"/>
    <mergeCell ref="C17:F17"/>
    <mergeCell ref="G17:J17"/>
    <mergeCell ref="A18:B18"/>
    <mergeCell ref="C18:F18"/>
    <mergeCell ref="G18:J18"/>
    <mergeCell ref="A19:B19"/>
    <mergeCell ref="C19:F19"/>
    <mergeCell ref="G19:J19"/>
    <mergeCell ref="A20:B20"/>
    <mergeCell ref="C20:F20"/>
    <mergeCell ref="G20:J20"/>
    <mergeCell ref="A21:B21"/>
    <mergeCell ref="C21:F21"/>
    <mergeCell ref="G21:J21"/>
    <mergeCell ref="A23:J23"/>
    <mergeCell ref="A25:J25"/>
    <mergeCell ref="A26:B26"/>
    <mergeCell ref="I26:J26"/>
    <mergeCell ref="A27:B27"/>
    <mergeCell ref="I27:J27"/>
    <mergeCell ref="A28:B28"/>
    <mergeCell ref="I28:J28"/>
    <mergeCell ref="A29:B29"/>
    <mergeCell ref="I29:J29"/>
    <mergeCell ref="A30:B30"/>
    <mergeCell ref="I30:J30"/>
    <mergeCell ref="A31:B31"/>
    <mergeCell ref="I31:J31"/>
    <mergeCell ref="A32:B32"/>
    <mergeCell ref="I32:J32"/>
    <mergeCell ref="A34:J34"/>
  </mergeCells>
  <conditionalFormatting sqref="C14:J14">
    <cfRule type="dataBar" priority="2">
      <dataBar showValue="1" minLength="10" maxLength="90">
        <cfvo type="num" val="0"/>
        <cfvo type="num" val="1"/>
        <color rgb="FFF18321"/>
      </dataBar>
      <extLst>
        <ext xmlns:x14="http://schemas.microsoft.com/office/spreadsheetml/2009/9/main" uri="{B025F937-C7B1-47D3-B67F-A62EFF666E3E}">
          <x14:id>{965A90C8-3F45-45A5-928A-DE28B4F950EC}</x14:id>
        </ext>
      </extLst>
    </cfRule>
  </conditionalFormatting>
  <conditionalFormatting sqref="F27:F32">
    <cfRule type="dataBar" priority="3">
      <dataBar showValue="1" minLength="10" maxLength="90">
        <cfvo type="min" val="0"/>
        <cfvo type="max" val="0"/>
        <color rgb="FF0D47A1"/>
      </dataBar>
      <extLst>
        <ext xmlns:x14="http://schemas.microsoft.com/office/spreadsheetml/2009/9/main" uri="{B025F937-C7B1-47D3-B67F-A62EFF666E3E}">
          <x14:id>{56BC2074-20CB-4729-AB36-8E747A2E58E0}</x14:id>
        </ext>
      </extLst>
    </cfRule>
  </conditionalFormatting>
  <conditionalFormatting sqref="G27:G32">
    <cfRule type="dataBar" priority="4">
      <dataBar showValue="1" minLength="10" maxLength="90">
        <cfvo type="min" val="0"/>
        <cfvo type="max" val="0"/>
        <color rgb="FF006100"/>
      </dataBar>
      <extLst>
        <ext xmlns:x14="http://schemas.microsoft.com/office/spreadsheetml/2009/9/main" uri="{B025F937-C7B1-47D3-B67F-A62EFF666E3E}">
          <x14:id>{5B3BBBC2-D0DA-41D9-A690-125EE6D749D6}</x14:id>
        </ext>
      </extLst>
    </cfRule>
  </conditionalFormatting>
  <dataValidations count="1">
    <dataValidation allowBlank="false" error="الإنفاق يجب أن يكون بين 100 و 50,000 ريال" errorStyle="stop" operator="between" prompt="أدخل الإنفاق الشهري بين 100 و 50,000 ريال" showDropDown="false" showErrorMessage="false" showInputMessage="false" sqref="F5" type="whole">
      <formula1>100</formula1>
      <formula2>50000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5A90C8-3F45-45A5-928A-DE28B4F950E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18321"/>
              <x14:axisColor rgb="FF000000"/>
            </x14:dataBar>
          </x14:cfRule>
          <xm:sqref>C14:J14</xm:sqref>
        </x14:conditionalFormatting>
        <x14:conditionalFormatting xmlns:xm="http://schemas.microsoft.com/office/excel/2006/main">
          <x14:cfRule type="dataBar" id="{56BC2074-20CB-4729-AB36-8E747A2E58E0}">
            <x14:dataBar minLength="10" maxLength="90" axisPosition="none" gradient="true">
              <x14:cfvo type="min"/>
              <x14:cfvo type="max"/>
              <x14:negativeFillColor rgb="FF0D47A1"/>
              <x14:axisColor rgb="FF000000"/>
            </x14:dataBar>
          </x14:cfRule>
          <xm:sqref>F27:F32</xm:sqref>
        </x14:conditionalFormatting>
        <x14:conditionalFormatting xmlns:xm="http://schemas.microsoft.com/office/excel/2006/main">
          <x14:cfRule type="dataBar" id="{5B3BBBC2-D0DA-41D9-A690-125EE6D749D6}">
            <x14:dataBar minLength="10" maxLength="90" axisPosition="none" gradient="true">
              <x14:cfvo type="min"/>
              <x14:cfvo type="max"/>
              <x14:negativeFillColor rgb="FF006100"/>
              <x14:axisColor rgb="FF000000"/>
            </x14:dataBar>
          </x14:cfRule>
          <xm:sqref>G27:G32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1"/>
    <col collapsed="false" customWidth="true" hidden="false" outlineLevel="0" max="8" min="8" style="0" width="13"/>
    <col collapsed="false" customWidth="true" hidden="false" outlineLevel="0" max="10" min="9" style="0" width="8"/>
  </cols>
  <sheetData>
    <row r="1" customFormat="false" ht="48" hidden="false" customHeight="true" outlineLevel="0" collapsed="false">
      <c r="A1" s="2" t="s">
        <v>235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57" t="s">
        <v>236</v>
      </c>
      <c r="B2" s="57"/>
      <c r="C2" s="57"/>
      <c r="D2" s="57"/>
      <c r="E2" s="57"/>
      <c r="F2" s="57"/>
      <c r="G2" s="57"/>
      <c r="H2" s="57"/>
      <c r="I2" s="57"/>
      <c r="J2" s="57"/>
    </row>
    <row r="3" customFormat="false" ht="12" hidden="false" customHeight="true" outlineLevel="0" collapsed="false"/>
    <row r="4" customFormat="false" ht="30" hidden="false" customHeight="true" outlineLevel="0" collapsed="false">
      <c r="A4" s="13" t="s">
        <v>237</v>
      </c>
      <c r="B4" s="13"/>
      <c r="C4" s="13"/>
      <c r="D4" s="13"/>
      <c r="E4" s="13"/>
      <c r="F4" s="13"/>
      <c r="G4" s="13"/>
      <c r="H4" s="13"/>
      <c r="I4" s="13"/>
      <c r="J4" s="13"/>
    </row>
    <row r="5" customFormat="false" ht="36" hidden="false" customHeight="true" outlineLevel="0" collapsed="false">
      <c r="A5" s="65" t="s">
        <v>238</v>
      </c>
      <c r="B5" s="65" t="s">
        <v>239</v>
      </c>
      <c r="C5" s="65" t="s">
        <v>240</v>
      </c>
      <c r="D5" s="65" t="s">
        <v>241</v>
      </c>
      <c r="E5" s="65"/>
      <c r="F5" s="65"/>
      <c r="G5" s="65" t="s">
        <v>242</v>
      </c>
      <c r="H5" s="65"/>
      <c r="I5" s="65" t="s">
        <v>243</v>
      </c>
      <c r="J5" s="65"/>
    </row>
    <row r="6" customFormat="false" ht="42" hidden="false" customHeight="true" outlineLevel="0" collapsed="false">
      <c r="A6" s="101" t="s">
        <v>244</v>
      </c>
      <c r="B6" s="102" t="s">
        <v>245</v>
      </c>
      <c r="C6" s="103" t="s">
        <v>246</v>
      </c>
      <c r="D6" s="104" t="s">
        <v>247</v>
      </c>
      <c r="E6" s="104"/>
      <c r="F6" s="104"/>
      <c r="G6" s="43" t="s">
        <v>248</v>
      </c>
      <c r="H6" s="43"/>
      <c r="I6" s="105" t="s">
        <v>249</v>
      </c>
      <c r="J6" s="105"/>
    </row>
    <row r="7" customFormat="false" ht="42" hidden="false" customHeight="true" outlineLevel="0" collapsed="false">
      <c r="A7" s="106" t="s">
        <v>250</v>
      </c>
      <c r="B7" s="78" t="s">
        <v>251</v>
      </c>
      <c r="C7" s="107" t="s">
        <v>252</v>
      </c>
      <c r="D7" s="104" t="s">
        <v>253</v>
      </c>
      <c r="E7" s="104"/>
      <c r="F7" s="104"/>
      <c r="G7" s="43" t="s">
        <v>254</v>
      </c>
      <c r="H7" s="43"/>
      <c r="I7" s="105" t="s">
        <v>255</v>
      </c>
      <c r="J7" s="105"/>
    </row>
    <row r="8" customFormat="false" ht="42" hidden="false" customHeight="true" outlineLevel="0" collapsed="false">
      <c r="A8" s="108" t="s">
        <v>256</v>
      </c>
      <c r="B8" s="77" t="s">
        <v>257</v>
      </c>
      <c r="C8" s="109" t="s">
        <v>258</v>
      </c>
      <c r="D8" s="104" t="s">
        <v>259</v>
      </c>
      <c r="E8" s="104"/>
      <c r="F8" s="104"/>
      <c r="G8" s="43" t="s">
        <v>260</v>
      </c>
      <c r="H8" s="43"/>
      <c r="I8" s="105" t="s">
        <v>261</v>
      </c>
      <c r="J8" s="105"/>
    </row>
    <row r="9" customFormat="false" ht="42" hidden="false" customHeight="true" outlineLevel="0" collapsed="false">
      <c r="A9" s="110" t="s">
        <v>262</v>
      </c>
      <c r="B9" s="111" t="s">
        <v>263</v>
      </c>
      <c r="C9" s="112" t="s">
        <v>264</v>
      </c>
      <c r="D9" s="104" t="s">
        <v>265</v>
      </c>
      <c r="E9" s="104"/>
      <c r="F9" s="104"/>
      <c r="G9" s="43" t="s">
        <v>266</v>
      </c>
      <c r="H9" s="43"/>
      <c r="I9" s="105" t="s">
        <v>267</v>
      </c>
      <c r="J9" s="105"/>
    </row>
    <row r="10" customFormat="false" ht="13.5" hidden="false" customHeight="true" outlineLevel="0" collapsed="false"/>
    <row r="11" customFormat="false" ht="30" hidden="false" customHeight="true" outlineLevel="0" collapsed="false">
      <c r="A11" s="13" t="s">
        <v>268</v>
      </c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36" hidden="false" customHeight="true" outlineLevel="0" collapsed="false">
      <c r="A12" s="65" t="s">
        <v>238</v>
      </c>
      <c r="B12" s="65" t="s">
        <v>269</v>
      </c>
      <c r="C12" s="65"/>
      <c r="D12" s="65"/>
      <c r="E12" s="65" t="s">
        <v>270</v>
      </c>
      <c r="F12" s="65"/>
      <c r="G12" s="65"/>
      <c r="H12" s="65" t="s">
        <v>271</v>
      </c>
      <c r="I12" s="65"/>
      <c r="J12" s="65"/>
    </row>
    <row r="13" customFormat="false" ht="109.5" hidden="false" customHeight="true" outlineLevel="0" collapsed="false">
      <c r="A13" s="113" t="s">
        <v>272</v>
      </c>
      <c r="B13" s="104" t="s">
        <v>273</v>
      </c>
      <c r="C13" s="104"/>
      <c r="D13" s="104"/>
      <c r="E13" s="114" t="s">
        <v>274</v>
      </c>
      <c r="F13" s="114"/>
      <c r="G13" s="114"/>
      <c r="H13" s="115" t="s">
        <v>275</v>
      </c>
      <c r="I13" s="115"/>
      <c r="J13" s="115"/>
    </row>
    <row r="14" customFormat="false" ht="109.5" hidden="false" customHeight="true" outlineLevel="0" collapsed="false">
      <c r="A14" s="116" t="s">
        <v>276</v>
      </c>
      <c r="B14" s="104" t="s">
        <v>277</v>
      </c>
      <c r="C14" s="104"/>
      <c r="D14" s="104"/>
      <c r="E14" s="114" t="s">
        <v>278</v>
      </c>
      <c r="F14" s="114"/>
      <c r="G14" s="114"/>
      <c r="H14" s="115" t="s">
        <v>279</v>
      </c>
      <c r="I14" s="115"/>
      <c r="J14" s="115"/>
    </row>
    <row r="15" customFormat="false" ht="109.5" hidden="false" customHeight="true" outlineLevel="0" collapsed="false">
      <c r="A15" s="117" t="s">
        <v>280</v>
      </c>
      <c r="B15" s="104" t="s">
        <v>281</v>
      </c>
      <c r="C15" s="104"/>
      <c r="D15" s="104"/>
      <c r="E15" s="114" t="s">
        <v>282</v>
      </c>
      <c r="F15" s="114"/>
      <c r="G15" s="114"/>
      <c r="H15" s="115" t="s">
        <v>283</v>
      </c>
      <c r="I15" s="115"/>
      <c r="J15" s="115"/>
    </row>
    <row r="16" customFormat="false" ht="109.5" hidden="false" customHeight="true" outlineLevel="0" collapsed="false">
      <c r="A16" s="118" t="s">
        <v>284</v>
      </c>
      <c r="B16" s="104" t="s">
        <v>285</v>
      </c>
      <c r="C16" s="104"/>
      <c r="D16" s="104"/>
      <c r="E16" s="114" t="s">
        <v>286</v>
      </c>
      <c r="F16" s="114"/>
      <c r="G16" s="114"/>
      <c r="H16" s="115" t="s">
        <v>287</v>
      </c>
      <c r="I16" s="115"/>
      <c r="J16" s="115"/>
    </row>
    <row r="17" customFormat="false" ht="13.5" hidden="false" customHeight="true" outlineLevel="0" collapsed="false"/>
    <row r="18" customFormat="false" ht="30" hidden="false" customHeight="true" outlineLevel="0" collapsed="false">
      <c r="A18" s="13" t="s">
        <v>288</v>
      </c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39.75" hidden="false" customHeight="true" outlineLevel="0" collapsed="false">
      <c r="A19" s="65" t="s">
        <v>155</v>
      </c>
      <c r="B19" s="113" t="s">
        <v>289</v>
      </c>
      <c r="C19" s="116" t="s">
        <v>290</v>
      </c>
      <c r="D19" s="117" t="s">
        <v>291</v>
      </c>
      <c r="E19" s="117" t="s">
        <v>292</v>
      </c>
      <c r="F19" s="118" t="s">
        <v>293</v>
      </c>
      <c r="G19" s="118" t="s">
        <v>294</v>
      </c>
      <c r="H19" s="14" t="s">
        <v>295</v>
      </c>
      <c r="I19" s="14"/>
      <c r="J19" s="14"/>
    </row>
    <row r="20" customFormat="false" ht="25.5" hidden="false" customHeight="true" outlineLevel="0" collapsed="false">
      <c r="A20" s="119" t="s">
        <v>246</v>
      </c>
      <c r="B20" s="25" t="s">
        <v>296</v>
      </c>
      <c r="C20" s="25" t="s">
        <v>297</v>
      </c>
      <c r="D20" s="25" t="s">
        <v>298</v>
      </c>
      <c r="E20" s="25"/>
      <c r="F20" s="25"/>
      <c r="G20" s="25"/>
      <c r="H20" s="120" t="s">
        <v>299</v>
      </c>
      <c r="I20" s="120"/>
      <c r="J20" s="120"/>
    </row>
    <row r="21" customFormat="false" ht="25.5" hidden="false" customHeight="true" outlineLevel="0" collapsed="false">
      <c r="A21" s="119" t="s">
        <v>300</v>
      </c>
      <c r="B21" s="25" t="s">
        <v>296</v>
      </c>
      <c r="C21" s="25" t="s">
        <v>297</v>
      </c>
      <c r="D21" s="25" t="s">
        <v>244</v>
      </c>
      <c r="E21" s="25" t="s">
        <v>244</v>
      </c>
      <c r="F21" s="25" t="s">
        <v>301</v>
      </c>
      <c r="G21" s="25" t="s">
        <v>301</v>
      </c>
      <c r="H21" s="120" t="s">
        <v>302</v>
      </c>
      <c r="I21" s="120"/>
      <c r="J21" s="120"/>
    </row>
    <row r="22" customFormat="false" ht="25.5" hidden="false" customHeight="true" outlineLevel="0" collapsed="false">
      <c r="A22" s="119" t="s">
        <v>252</v>
      </c>
      <c r="B22" s="25"/>
      <c r="C22" s="25" t="s">
        <v>303</v>
      </c>
      <c r="D22" s="25" t="s">
        <v>304</v>
      </c>
      <c r="E22" s="25" t="s">
        <v>303</v>
      </c>
      <c r="F22" s="25"/>
      <c r="G22" s="25"/>
      <c r="H22" s="120" t="s">
        <v>305</v>
      </c>
      <c r="I22" s="120"/>
      <c r="J22" s="120"/>
    </row>
    <row r="23" customFormat="false" ht="25.5" hidden="false" customHeight="true" outlineLevel="0" collapsed="false">
      <c r="A23" s="119" t="s">
        <v>306</v>
      </c>
      <c r="B23" s="25"/>
      <c r="C23" s="25"/>
      <c r="D23" s="25" t="s">
        <v>307</v>
      </c>
      <c r="E23" s="25" t="s">
        <v>308</v>
      </c>
      <c r="F23" s="25"/>
      <c r="G23" s="25"/>
      <c r="H23" s="120" t="s">
        <v>309</v>
      </c>
      <c r="I23" s="120"/>
      <c r="J23" s="120"/>
    </row>
    <row r="24" customFormat="false" ht="25.5" hidden="false" customHeight="true" outlineLevel="0" collapsed="false">
      <c r="A24" s="119" t="s">
        <v>310</v>
      </c>
      <c r="B24" s="25"/>
      <c r="C24" s="25"/>
      <c r="D24" s="25"/>
      <c r="E24" s="25" t="s">
        <v>307</v>
      </c>
      <c r="F24" s="25" t="s">
        <v>308</v>
      </c>
      <c r="G24" s="25" t="s">
        <v>256</v>
      </c>
      <c r="H24" s="120" t="s">
        <v>311</v>
      </c>
      <c r="I24" s="120"/>
      <c r="J24" s="120"/>
    </row>
    <row r="25" customFormat="false" ht="25.5" hidden="false" customHeight="true" outlineLevel="0" collapsed="false">
      <c r="A25" s="119" t="s">
        <v>312</v>
      </c>
      <c r="B25" s="25"/>
      <c r="C25" s="25"/>
      <c r="D25" s="25"/>
      <c r="E25" s="25"/>
      <c r="F25" s="25" t="s">
        <v>307</v>
      </c>
      <c r="G25" s="25" t="s">
        <v>308</v>
      </c>
      <c r="H25" s="120" t="s">
        <v>313</v>
      </c>
      <c r="I25" s="120"/>
      <c r="J25" s="120"/>
    </row>
    <row r="26" customFormat="false" ht="25.5" hidden="false" customHeight="true" outlineLevel="0" collapsed="false">
      <c r="A26" s="119" t="s">
        <v>314</v>
      </c>
      <c r="B26" s="25"/>
      <c r="C26" s="25" t="s">
        <v>315</v>
      </c>
      <c r="D26" s="25" t="s">
        <v>316</v>
      </c>
      <c r="E26" s="25" t="s">
        <v>317</v>
      </c>
      <c r="F26" s="25" t="s">
        <v>315</v>
      </c>
      <c r="G26" s="25" t="s">
        <v>316</v>
      </c>
      <c r="H26" s="120" t="s">
        <v>318</v>
      </c>
      <c r="I26" s="120"/>
      <c r="J26" s="120"/>
    </row>
    <row r="27" customFormat="false" ht="25.5" hidden="false" customHeight="true" outlineLevel="0" collapsed="false">
      <c r="A27" s="119" t="s">
        <v>319</v>
      </c>
      <c r="B27" s="25"/>
      <c r="C27" s="25"/>
      <c r="D27" s="25"/>
      <c r="E27" s="25"/>
      <c r="F27" s="25" t="s">
        <v>320</v>
      </c>
      <c r="G27" s="25" t="s">
        <v>321</v>
      </c>
      <c r="H27" s="120" t="s">
        <v>322</v>
      </c>
      <c r="I27" s="120"/>
      <c r="J27" s="120"/>
    </row>
    <row r="28" customFormat="false" ht="13.5" hidden="false" customHeight="true" outlineLevel="0" collapsed="false"/>
    <row r="29" customFormat="false" ht="24" hidden="false" customHeight="true" outlineLevel="0" collapsed="false">
      <c r="A29" s="36" t="s">
        <v>323</v>
      </c>
      <c r="B29" s="36"/>
      <c r="C29" s="36"/>
      <c r="D29" s="36"/>
      <c r="E29" s="36"/>
      <c r="F29" s="36"/>
      <c r="G29" s="36"/>
      <c r="H29" s="36"/>
      <c r="I29" s="36"/>
      <c r="J29" s="36"/>
    </row>
  </sheetData>
  <mergeCells count="45">
    <mergeCell ref="A1:J1"/>
    <mergeCell ref="A2:J2"/>
    <mergeCell ref="A4:J4"/>
    <mergeCell ref="D5:F5"/>
    <mergeCell ref="G5:H5"/>
    <mergeCell ref="I5:J5"/>
    <mergeCell ref="D6:F6"/>
    <mergeCell ref="G6:H6"/>
    <mergeCell ref="I6:J6"/>
    <mergeCell ref="D7:F7"/>
    <mergeCell ref="G7:H7"/>
    <mergeCell ref="I7:J7"/>
    <mergeCell ref="D8:F8"/>
    <mergeCell ref="G8:H8"/>
    <mergeCell ref="I8:J8"/>
    <mergeCell ref="D9:F9"/>
    <mergeCell ref="G9:H9"/>
    <mergeCell ref="I9:J9"/>
    <mergeCell ref="A11:J11"/>
    <mergeCell ref="B12:D12"/>
    <mergeCell ref="E12:G12"/>
    <mergeCell ref="H12:J12"/>
    <mergeCell ref="B13:D13"/>
    <mergeCell ref="E13:G13"/>
    <mergeCell ref="H13:J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A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1" min="10" style="0" width="13"/>
    <col collapsed="false" customWidth="true" hidden="false" outlineLevel="0" max="12" min="12" style="0" width="22"/>
  </cols>
  <sheetData>
    <row r="1" customFormat="false" ht="48" hidden="false" customHeight="true" outlineLevel="0" collapsed="false">
      <c r="A1" s="2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57" t="s">
        <v>325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customFormat="false" ht="12" hidden="false" customHeight="true" outlineLevel="0" collapsed="false"/>
    <row r="4" customFormat="false" ht="30" hidden="false" customHeight="true" outlineLevel="0" collapsed="false">
      <c r="A4" s="13" t="s">
        <v>326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customFormat="false" ht="42" hidden="false" customHeight="true" outlineLevel="0" collapsed="false">
      <c r="A5" s="14" t="s">
        <v>68</v>
      </c>
      <c r="B5" s="14" t="s">
        <v>327</v>
      </c>
      <c r="C5" s="14" t="s">
        <v>328</v>
      </c>
      <c r="D5" s="14" t="s">
        <v>329</v>
      </c>
      <c r="E5" s="14" t="s">
        <v>330</v>
      </c>
      <c r="F5" s="14" t="s">
        <v>331</v>
      </c>
      <c r="G5" s="14" t="s">
        <v>332</v>
      </c>
      <c r="H5" s="14" t="s">
        <v>333</v>
      </c>
      <c r="I5" s="14" t="s">
        <v>334</v>
      </c>
      <c r="J5" s="14" t="s">
        <v>335</v>
      </c>
      <c r="K5" s="14" t="s">
        <v>336</v>
      </c>
      <c r="L5" s="14" t="s">
        <v>337</v>
      </c>
    </row>
    <row r="6" customFormat="false" ht="24" hidden="false" customHeight="true" outlineLevel="0" collapsed="false">
      <c r="A6" s="40" t="n">
        <v>1</v>
      </c>
      <c r="B6" s="121" t="s">
        <v>338</v>
      </c>
      <c r="C6" s="122" t="s">
        <v>339</v>
      </c>
      <c r="D6" s="122" t="n">
        <v>30</v>
      </c>
      <c r="E6" s="123" t="n">
        <v>150000</v>
      </c>
      <c r="F6" s="124" t="n">
        <v>0.65</v>
      </c>
      <c r="G6" s="122" t="s">
        <v>340</v>
      </c>
      <c r="H6" s="125" t="n">
        <v>1</v>
      </c>
      <c r="I6" s="122" t="s">
        <v>341</v>
      </c>
      <c r="J6" s="126"/>
      <c r="K6" s="126"/>
      <c r="L6" s="127" t="s">
        <v>342</v>
      </c>
    </row>
    <row r="7" customFormat="false" ht="24" hidden="false" customHeight="true" outlineLevel="0" collapsed="false">
      <c r="A7" s="40" t="n">
        <v>2</v>
      </c>
      <c r="B7" s="121" t="s">
        <v>343</v>
      </c>
      <c r="C7" s="122" t="s">
        <v>339</v>
      </c>
      <c r="D7" s="122" t="n">
        <v>25</v>
      </c>
      <c r="E7" s="123" t="n">
        <v>100000</v>
      </c>
      <c r="F7" s="124" t="n">
        <v>0.55</v>
      </c>
      <c r="G7" s="122" t="s">
        <v>344</v>
      </c>
      <c r="H7" s="125" t="n">
        <v>1.5</v>
      </c>
      <c r="I7" s="122" t="s">
        <v>341</v>
      </c>
      <c r="J7" s="126"/>
      <c r="K7" s="126"/>
      <c r="L7" s="127" t="s">
        <v>345</v>
      </c>
    </row>
    <row r="8" customFormat="false" ht="24" hidden="false" customHeight="true" outlineLevel="0" collapsed="false">
      <c r="A8" s="40" t="n">
        <v>3</v>
      </c>
      <c r="B8" s="121" t="s">
        <v>346</v>
      </c>
      <c r="C8" s="122" t="s">
        <v>347</v>
      </c>
      <c r="D8" s="122" t="n">
        <v>40</v>
      </c>
      <c r="E8" s="123" t="n">
        <v>500000</v>
      </c>
      <c r="F8" s="124" t="n">
        <v>0.2</v>
      </c>
      <c r="G8" s="122" t="s">
        <v>348</v>
      </c>
      <c r="H8" s="125" t="n">
        <v>0.5</v>
      </c>
      <c r="I8" s="122" t="s">
        <v>341</v>
      </c>
      <c r="J8" s="126"/>
      <c r="K8" s="126"/>
      <c r="L8" s="127" t="s">
        <v>349</v>
      </c>
    </row>
    <row r="9" customFormat="false" ht="24" hidden="false" customHeight="true" outlineLevel="0" collapsed="false">
      <c r="A9" s="40" t="n">
        <v>4</v>
      </c>
      <c r="B9" s="121" t="s">
        <v>350</v>
      </c>
      <c r="C9" s="122" t="s">
        <v>351</v>
      </c>
      <c r="D9" s="122" t="n">
        <v>50</v>
      </c>
      <c r="E9" s="123" t="n">
        <v>80000</v>
      </c>
      <c r="F9" s="124" t="n">
        <v>0.7</v>
      </c>
      <c r="G9" s="122" t="s">
        <v>352</v>
      </c>
      <c r="H9" s="125" t="n">
        <v>2</v>
      </c>
      <c r="I9" s="122" t="s">
        <v>341</v>
      </c>
      <c r="J9" s="126"/>
      <c r="K9" s="126"/>
      <c r="L9" s="127" t="s">
        <v>353</v>
      </c>
    </row>
    <row r="10" customFormat="false" ht="24" hidden="false" customHeight="true" outlineLevel="0" collapsed="false">
      <c r="A10" s="40" t="n">
        <v>5</v>
      </c>
      <c r="B10" s="121" t="s">
        <v>354</v>
      </c>
      <c r="C10" s="122" t="s">
        <v>355</v>
      </c>
      <c r="D10" s="122" t="n">
        <v>35</v>
      </c>
      <c r="E10" s="123" t="n">
        <v>200000</v>
      </c>
      <c r="F10" s="124" t="n">
        <v>0.45</v>
      </c>
      <c r="G10" s="122" t="s">
        <v>340</v>
      </c>
      <c r="H10" s="125" t="n">
        <v>1.5</v>
      </c>
      <c r="I10" s="122" t="s">
        <v>341</v>
      </c>
      <c r="J10" s="126"/>
      <c r="K10" s="126"/>
      <c r="L10" s="127" t="s">
        <v>356</v>
      </c>
    </row>
    <row r="11" customFormat="false" ht="24" hidden="false" customHeight="true" outlineLevel="0" collapsed="false">
      <c r="A11" s="40" t="n">
        <v>6</v>
      </c>
      <c r="B11" s="128"/>
      <c r="C11" s="129"/>
      <c r="D11" s="129"/>
      <c r="E11" s="130"/>
      <c r="F11" s="131"/>
      <c r="G11" s="129"/>
      <c r="H11" s="132"/>
      <c r="I11" s="129"/>
      <c r="J11" s="133"/>
      <c r="K11" s="133"/>
      <c r="L11" s="128"/>
    </row>
    <row r="12" customFormat="false" ht="24" hidden="false" customHeight="true" outlineLevel="0" collapsed="false">
      <c r="A12" s="40" t="n">
        <v>7</v>
      </c>
      <c r="B12" s="128"/>
      <c r="C12" s="129"/>
      <c r="D12" s="129"/>
      <c r="E12" s="130"/>
      <c r="F12" s="131"/>
      <c r="G12" s="129"/>
      <c r="H12" s="132"/>
      <c r="I12" s="129"/>
      <c r="J12" s="133"/>
      <c r="K12" s="133"/>
      <c r="L12" s="128"/>
    </row>
    <row r="13" customFormat="false" ht="24" hidden="false" customHeight="true" outlineLevel="0" collapsed="false">
      <c r="A13" s="40" t="n">
        <v>8</v>
      </c>
      <c r="B13" s="128"/>
      <c r="C13" s="129"/>
      <c r="D13" s="129"/>
      <c r="E13" s="130"/>
      <c r="F13" s="131"/>
      <c r="G13" s="129"/>
      <c r="H13" s="132"/>
      <c r="I13" s="129"/>
      <c r="J13" s="133"/>
      <c r="K13" s="133"/>
      <c r="L13" s="128"/>
    </row>
    <row r="14" customFormat="false" ht="24" hidden="false" customHeight="true" outlineLevel="0" collapsed="false">
      <c r="A14" s="40" t="n">
        <v>9</v>
      </c>
      <c r="B14" s="128"/>
      <c r="C14" s="129"/>
      <c r="D14" s="129"/>
      <c r="E14" s="130"/>
      <c r="F14" s="131"/>
      <c r="G14" s="129"/>
      <c r="H14" s="132"/>
      <c r="I14" s="129"/>
      <c r="J14" s="133"/>
      <c r="K14" s="133"/>
      <c r="L14" s="128"/>
    </row>
    <row r="15" customFormat="false" ht="24" hidden="false" customHeight="true" outlineLevel="0" collapsed="false">
      <c r="A15" s="40" t="n">
        <v>10</v>
      </c>
      <c r="B15" s="128"/>
      <c r="C15" s="129"/>
      <c r="D15" s="129"/>
      <c r="E15" s="130"/>
      <c r="F15" s="131"/>
      <c r="G15" s="129"/>
      <c r="H15" s="132"/>
      <c r="I15" s="129"/>
      <c r="J15" s="133"/>
      <c r="K15" s="133"/>
      <c r="L15" s="128"/>
    </row>
    <row r="16" customFormat="false" ht="24" hidden="false" customHeight="true" outlineLevel="0" collapsed="false">
      <c r="A16" s="40" t="n">
        <v>11</v>
      </c>
      <c r="B16" s="128"/>
      <c r="C16" s="129"/>
      <c r="D16" s="129"/>
      <c r="E16" s="130"/>
      <c r="F16" s="131"/>
      <c r="G16" s="129"/>
      <c r="H16" s="132"/>
      <c r="I16" s="129"/>
      <c r="J16" s="133"/>
      <c r="K16" s="133"/>
      <c r="L16" s="128"/>
    </row>
    <row r="17" customFormat="false" ht="24" hidden="false" customHeight="true" outlineLevel="0" collapsed="false">
      <c r="A17" s="40" t="n">
        <v>12</v>
      </c>
      <c r="B17" s="128"/>
      <c r="C17" s="129"/>
      <c r="D17" s="129"/>
      <c r="E17" s="130"/>
      <c r="F17" s="131"/>
      <c r="G17" s="129"/>
      <c r="H17" s="132"/>
      <c r="I17" s="129"/>
      <c r="J17" s="133"/>
      <c r="K17" s="133"/>
      <c r="L17" s="128"/>
    </row>
    <row r="18" customFormat="false" ht="24" hidden="false" customHeight="true" outlineLevel="0" collapsed="false">
      <c r="A18" s="40" t="n">
        <v>13</v>
      </c>
      <c r="B18" s="128"/>
      <c r="C18" s="129"/>
      <c r="D18" s="129"/>
      <c r="E18" s="130"/>
      <c r="F18" s="131"/>
      <c r="G18" s="129"/>
      <c r="H18" s="132"/>
      <c r="I18" s="129"/>
      <c r="J18" s="133"/>
      <c r="K18" s="133"/>
      <c r="L18" s="128"/>
    </row>
    <row r="19" customFormat="false" ht="24" hidden="false" customHeight="true" outlineLevel="0" collapsed="false">
      <c r="A19" s="40" t="n">
        <v>14</v>
      </c>
      <c r="B19" s="128"/>
      <c r="C19" s="129"/>
      <c r="D19" s="129"/>
      <c r="E19" s="130"/>
      <c r="F19" s="131"/>
      <c r="G19" s="129"/>
      <c r="H19" s="132"/>
      <c r="I19" s="129"/>
      <c r="J19" s="133"/>
      <c r="K19" s="133"/>
      <c r="L19" s="128"/>
    </row>
    <row r="20" customFormat="false" ht="24" hidden="false" customHeight="true" outlineLevel="0" collapsed="false">
      <c r="A20" s="40" t="n">
        <v>15</v>
      </c>
      <c r="B20" s="128"/>
      <c r="C20" s="129"/>
      <c r="D20" s="129"/>
      <c r="E20" s="130"/>
      <c r="F20" s="131"/>
      <c r="G20" s="129"/>
      <c r="H20" s="132"/>
      <c r="I20" s="129"/>
      <c r="J20" s="133"/>
      <c r="K20" s="133"/>
      <c r="L20" s="128"/>
    </row>
    <row r="21" customFormat="false" ht="24" hidden="false" customHeight="true" outlineLevel="0" collapsed="false">
      <c r="A21" s="40" t="n">
        <v>16</v>
      </c>
      <c r="B21" s="128"/>
      <c r="C21" s="129"/>
      <c r="D21" s="129"/>
      <c r="E21" s="130"/>
      <c r="F21" s="131"/>
      <c r="G21" s="129"/>
      <c r="H21" s="132"/>
      <c r="I21" s="129"/>
      <c r="J21" s="133"/>
      <c r="K21" s="133"/>
      <c r="L21" s="128"/>
    </row>
    <row r="22" customFormat="false" ht="24" hidden="false" customHeight="true" outlineLevel="0" collapsed="false">
      <c r="A22" s="40" t="n">
        <v>17</v>
      </c>
      <c r="B22" s="128"/>
      <c r="C22" s="129"/>
      <c r="D22" s="129"/>
      <c r="E22" s="130"/>
      <c r="F22" s="131"/>
      <c r="G22" s="129"/>
      <c r="H22" s="132"/>
      <c r="I22" s="129"/>
      <c r="J22" s="133"/>
      <c r="K22" s="133"/>
      <c r="L22" s="128"/>
    </row>
    <row r="23" customFormat="false" ht="24" hidden="false" customHeight="true" outlineLevel="0" collapsed="false">
      <c r="A23" s="40" t="n">
        <v>18</v>
      </c>
      <c r="B23" s="128"/>
      <c r="C23" s="129"/>
      <c r="D23" s="129"/>
      <c r="E23" s="130"/>
      <c r="F23" s="131"/>
      <c r="G23" s="129"/>
      <c r="H23" s="132"/>
      <c r="I23" s="129"/>
      <c r="J23" s="133"/>
      <c r="K23" s="133"/>
      <c r="L23" s="128"/>
    </row>
    <row r="24" customFormat="false" ht="24" hidden="false" customHeight="true" outlineLevel="0" collapsed="false">
      <c r="A24" s="40" t="n">
        <v>19</v>
      </c>
      <c r="B24" s="128"/>
      <c r="C24" s="129"/>
      <c r="D24" s="129"/>
      <c r="E24" s="130"/>
      <c r="F24" s="131"/>
      <c r="G24" s="129"/>
      <c r="H24" s="132"/>
      <c r="I24" s="129"/>
      <c r="J24" s="133"/>
      <c r="K24" s="133"/>
      <c r="L24" s="128"/>
    </row>
    <row r="25" customFormat="false" ht="24" hidden="false" customHeight="true" outlineLevel="0" collapsed="false">
      <c r="A25" s="40" t="n">
        <v>20</v>
      </c>
      <c r="B25" s="128"/>
      <c r="C25" s="129"/>
      <c r="D25" s="129"/>
      <c r="E25" s="130"/>
      <c r="F25" s="131"/>
      <c r="G25" s="129"/>
      <c r="H25" s="132"/>
      <c r="I25" s="129"/>
      <c r="J25" s="133"/>
      <c r="K25" s="133"/>
      <c r="L25" s="128"/>
    </row>
    <row r="26" customFormat="false" ht="13.5" hidden="false" customHeight="true" outlineLevel="0" collapsed="false"/>
    <row r="27" customFormat="false" ht="30" hidden="false" customHeight="true" outlineLevel="0" collapsed="false">
      <c r="A27" s="64" t="s">
        <v>357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</row>
    <row r="28" customFormat="false" ht="36" hidden="false" customHeight="true" outlineLevel="0" collapsed="false">
      <c r="A28" s="65" t="s">
        <v>358</v>
      </c>
      <c r="B28" s="65" t="s">
        <v>359</v>
      </c>
      <c r="C28" s="65" t="s">
        <v>360</v>
      </c>
      <c r="D28" s="65" t="s">
        <v>361</v>
      </c>
      <c r="E28" s="65"/>
      <c r="F28" s="65"/>
      <c r="G28" s="65"/>
      <c r="H28" s="65" t="s">
        <v>362</v>
      </c>
      <c r="I28" s="65"/>
      <c r="J28" s="65"/>
      <c r="K28" s="65"/>
      <c r="L28" s="65" t="s">
        <v>363</v>
      </c>
    </row>
    <row r="29" customFormat="false" ht="79.5" hidden="false" customHeight="true" outlineLevel="0" collapsed="false">
      <c r="A29" s="52" t="s">
        <v>364</v>
      </c>
      <c r="B29" s="134" t="s">
        <v>365</v>
      </c>
      <c r="C29" s="105" t="s">
        <v>366</v>
      </c>
      <c r="D29" s="104" t="s">
        <v>367</v>
      </c>
      <c r="E29" s="104"/>
      <c r="F29" s="104"/>
      <c r="G29" s="104"/>
      <c r="H29" s="135" t="s">
        <v>368</v>
      </c>
      <c r="I29" s="135"/>
      <c r="J29" s="135"/>
      <c r="K29" s="135"/>
      <c r="L29" s="32" t="s">
        <v>369</v>
      </c>
    </row>
    <row r="30" customFormat="false" ht="79.5" hidden="false" customHeight="true" outlineLevel="0" collapsed="false">
      <c r="A30" s="46" t="s">
        <v>370</v>
      </c>
      <c r="B30" s="134" t="s">
        <v>371</v>
      </c>
      <c r="C30" s="105" t="s">
        <v>372</v>
      </c>
      <c r="D30" s="104" t="s">
        <v>373</v>
      </c>
      <c r="E30" s="104"/>
      <c r="F30" s="104"/>
      <c r="G30" s="104"/>
      <c r="H30" s="135" t="s">
        <v>374</v>
      </c>
      <c r="I30" s="135"/>
      <c r="J30" s="135"/>
      <c r="K30" s="135"/>
      <c r="L30" s="32" t="s">
        <v>375</v>
      </c>
    </row>
    <row r="31" customFormat="false" ht="79.5" hidden="false" customHeight="true" outlineLevel="0" collapsed="false">
      <c r="A31" s="136" t="s">
        <v>376</v>
      </c>
      <c r="B31" s="134" t="s">
        <v>377</v>
      </c>
      <c r="C31" s="105" t="s">
        <v>377</v>
      </c>
      <c r="D31" s="104" t="s">
        <v>378</v>
      </c>
      <c r="E31" s="104"/>
      <c r="F31" s="104"/>
      <c r="G31" s="104"/>
      <c r="H31" s="135" t="s">
        <v>379</v>
      </c>
      <c r="I31" s="135"/>
      <c r="J31" s="135"/>
      <c r="K31" s="135"/>
      <c r="L31" s="137" t="s">
        <v>380</v>
      </c>
    </row>
    <row r="32" customFormat="false" ht="79.5" hidden="false" customHeight="true" outlineLevel="0" collapsed="false">
      <c r="A32" s="138" t="s">
        <v>381</v>
      </c>
      <c r="B32" s="134" t="s">
        <v>372</v>
      </c>
      <c r="C32" s="105" t="s">
        <v>371</v>
      </c>
      <c r="D32" s="104" t="s">
        <v>382</v>
      </c>
      <c r="E32" s="104"/>
      <c r="F32" s="104"/>
      <c r="G32" s="104"/>
      <c r="H32" s="135" t="s">
        <v>383</v>
      </c>
      <c r="I32" s="135"/>
      <c r="J32" s="135"/>
      <c r="K32" s="135"/>
      <c r="L32" s="137" t="s">
        <v>384</v>
      </c>
    </row>
    <row r="33" customFormat="false" ht="13.5" hidden="false" customHeight="true" outlineLevel="0" collapsed="false"/>
    <row r="34" customFormat="false" ht="30" hidden="false" customHeight="true" outlineLevel="0" collapsed="false">
      <c r="A34" s="71" t="s">
        <v>385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</row>
    <row r="35" customFormat="false" ht="27.75" hidden="false" customHeight="true" outlineLevel="0" collapsed="false">
      <c r="A35" s="139" t="s">
        <v>386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</row>
    <row r="36" customFormat="false" ht="31.5" hidden="false" customHeight="true" outlineLevel="0" collapsed="false">
      <c r="A36" s="35" t="s">
        <v>327</v>
      </c>
      <c r="B36" s="35"/>
      <c r="C36" s="140" t="s">
        <v>387</v>
      </c>
      <c r="D36" s="140"/>
      <c r="E36" s="100" t="s">
        <v>388</v>
      </c>
      <c r="F36" s="100"/>
      <c r="G36" s="100"/>
      <c r="H36" s="100"/>
      <c r="I36" s="100"/>
      <c r="J36" s="100"/>
      <c r="K36" s="100"/>
      <c r="L36" s="100"/>
    </row>
    <row r="37" customFormat="false" ht="31.5" hidden="false" customHeight="true" outlineLevel="0" collapsed="false">
      <c r="A37" s="35" t="s">
        <v>389</v>
      </c>
      <c r="B37" s="35"/>
      <c r="C37" s="141" t="n">
        <v>150000</v>
      </c>
      <c r="D37" s="141"/>
      <c r="E37" s="100" t="s">
        <v>390</v>
      </c>
      <c r="F37" s="100"/>
      <c r="G37" s="100"/>
      <c r="H37" s="100"/>
      <c r="I37" s="100"/>
      <c r="J37" s="100"/>
      <c r="K37" s="100"/>
      <c r="L37" s="100"/>
    </row>
    <row r="38" customFormat="false" ht="31.5" hidden="false" customHeight="true" outlineLevel="0" collapsed="false">
      <c r="A38" s="35" t="s">
        <v>391</v>
      </c>
      <c r="B38" s="35"/>
      <c r="C38" s="142" t="n">
        <v>0.65</v>
      </c>
      <c r="D38" s="142"/>
      <c r="E38" s="100" t="s">
        <v>392</v>
      </c>
      <c r="F38" s="100"/>
      <c r="G38" s="100"/>
      <c r="H38" s="100"/>
      <c r="I38" s="100"/>
      <c r="J38" s="100"/>
      <c r="K38" s="100"/>
      <c r="L38" s="100"/>
    </row>
    <row r="39" customFormat="false" ht="31.5" hidden="false" customHeight="true" outlineLevel="0" collapsed="false">
      <c r="A39" s="35" t="s">
        <v>393</v>
      </c>
      <c r="B39" s="35"/>
      <c r="C39" s="143" t="n">
        <v>1</v>
      </c>
      <c r="D39" s="143"/>
      <c r="E39" s="100" t="s">
        <v>394</v>
      </c>
      <c r="F39" s="100"/>
      <c r="G39" s="100"/>
      <c r="H39" s="100"/>
      <c r="I39" s="100"/>
      <c r="J39" s="100"/>
      <c r="K39" s="100"/>
      <c r="L39" s="100"/>
    </row>
    <row r="40" customFormat="false" ht="13.5" hidden="false" customHeight="true" outlineLevel="0" collapsed="false"/>
    <row r="41" customFormat="false" ht="30" hidden="false" customHeight="true" outlineLevel="0" collapsed="false">
      <c r="A41" s="144" t="s">
        <v>395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</row>
    <row r="42" customFormat="false" ht="36" hidden="false" customHeight="true" outlineLevel="0" collapsed="false">
      <c r="A42" s="76" t="s">
        <v>396</v>
      </c>
      <c r="B42" s="76"/>
      <c r="C42" s="76"/>
      <c r="D42" s="145" t="n">
        <f aca="false">C37*12</f>
        <v>1800000</v>
      </c>
      <c r="E42" s="145"/>
      <c r="F42" s="145"/>
      <c r="G42" s="76" t="s">
        <v>397</v>
      </c>
      <c r="H42" s="76"/>
      <c r="I42" s="76"/>
      <c r="J42" s="146" t="n">
        <f aca="false">D42*C38</f>
        <v>1170000</v>
      </c>
      <c r="K42" s="146"/>
      <c r="L42" s="146"/>
    </row>
    <row r="43" customFormat="false" ht="36" hidden="false" customHeight="true" outlineLevel="0" collapsed="false">
      <c r="A43" s="76" t="s">
        <v>398</v>
      </c>
      <c r="B43" s="76"/>
      <c r="C43" s="76"/>
      <c r="D43" s="147" t="n">
        <f aca="false">D42*C39/100</f>
        <v>18000</v>
      </c>
      <c r="E43" s="147"/>
      <c r="F43" s="147"/>
      <c r="G43" s="76" t="s">
        <v>399</v>
      </c>
      <c r="H43" s="76"/>
      <c r="I43" s="76"/>
      <c r="J43" s="148" t="n">
        <f aca="false">D43/J42</f>
        <v>0.0153846153846154</v>
      </c>
      <c r="K43" s="148"/>
      <c r="L43" s="148"/>
    </row>
    <row r="44" customFormat="false" ht="36" hidden="false" customHeight="true" outlineLevel="0" collapsed="false">
      <c r="A44" s="76" t="s">
        <v>400</v>
      </c>
      <c r="B44" s="76"/>
      <c r="C44" s="76"/>
      <c r="D44" s="149" t="n">
        <f aca="false">D42*0.15</f>
        <v>270000</v>
      </c>
      <c r="E44" s="149"/>
      <c r="F44" s="149"/>
      <c r="G44" s="76" t="s">
        <v>401</v>
      </c>
      <c r="H44" s="76"/>
      <c r="I44" s="76"/>
      <c r="J44" s="149" t="n">
        <f aca="false">D44*C38</f>
        <v>175500</v>
      </c>
      <c r="K44" s="149"/>
      <c r="L44" s="149"/>
    </row>
    <row r="45" customFormat="false" ht="43.5" hidden="false" customHeight="true" outlineLevel="0" collapsed="false">
      <c r="A45" s="150" t="s">
        <v>402</v>
      </c>
      <c r="B45" s="150"/>
      <c r="C45" s="150"/>
      <c r="D45" s="151" t="n">
        <f aca="false">J44-D43</f>
        <v>157500</v>
      </c>
      <c r="E45" s="151"/>
      <c r="F45" s="151"/>
      <c r="G45" s="150" t="s">
        <v>403</v>
      </c>
      <c r="H45" s="150"/>
      <c r="I45" s="150"/>
      <c r="J45" s="152" t="n">
        <f aca="false">D45/D43</f>
        <v>8.75</v>
      </c>
      <c r="K45" s="152"/>
      <c r="L45" s="152"/>
    </row>
    <row r="46" customFormat="false" ht="13.5" hidden="false" customHeight="true" outlineLevel="0" collapsed="false"/>
    <row r="47" customFormat="false" ht="31.5" hidden="false" customHeight="true" outlineLevel="0" collapsed="false">
      <c r="A47" s="93" t="s">
        <v>404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</row>
    <row r="48" customFormat="false" ht="13.5" hidden="false" customHeight="true" outlineLevel="0" collapsed="false"/>
    <row r="49" customFormat="false" ht="30" hidden="false" customHeight="true" outlineLevel="0" collapsed="false">
      <c r="A49" s="26" t="s">
        <v>405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customFormat="false" ht="36" hidden="false" customHeight="true" outlineLevel="0" collapsed="false">
      <c r="A50" s="14" t="s">
        <v>68</v>
      </c>
      <c r="B50" s="14" t="s">
        <v>238</v>
      </c>
      <c r="C50" s="14" t="s">
        <v>406</v>
      </c>
      <c r="D50" s="14" t="s">
        <v>407</v>
      </c>
      <c r="E50" s="14" t="s">
        <v>408</v>
      </c>
      <c r="F50" s="14"/>
      <c r="G50" s="14"/>
      <c r="H50" s="14"/>
      <c r="I50" s="14"/>
      <c r="J50" s="14" t="s">
        <v>409</v>
      </c>
      <c r="K50" s="14"/>
      <c r="L50" s="14"/>
    </row>
    <row r="51" customFormat="false" ht="109.5" hidden="false" customHeight="true" outlineLevel="0" collapsed="false">
      <c r="A51" s="153" t="s">
        <v>410</v>
      </c>
      <c r="B51" s="139" t="s">
        <v>411</v>
      </c>
      <c r="C51" s="91" t="s">
        <v>412</v>
      </c>
      <c r="D51" s="154" t="s">
        <v>413</v>
      </c>
      <c r="E51" s="104" t="s">
        <v>414</v>
      </c>
      <c r="F51" s="104"/>
      <c r="G51" s="104"/>
      <c r="H51" s="104"/>
      <c r="I51" s="104"/>
      <c r="J51" s="155" t="s">
        <v>415</v>
      </c>
      <c r="K51" s="155"/>
      <c r="L51" s="155"/>
    </row>
    <row r="52" customFormat="false" ht="109.5" hidden="false" customHeight="true" outlineLevel="0" collapsed="false">
      <c r="A52" s="153" t="s">
        <v>416</v>
      </c>
      <c r="B52" s="139" t="s">
        <v>417</v>
      </c>
      <c r="C52" s="91" t="s">
        <v>418</v>
      </c>
      <c r="D52" s="154" t="s">
        <v>419</v>
      </c>
      <c r="E52" s="104" t="s">
        <v>420</v>
      </c>
      <c r="F52" s="104"/>
      <c r="G52" s="104"/>
      <c r="H52" s="104"/>
      <c r="I52" s="104"/>
      <c r="J52" s="155" t="s">
        <v>421</v>
      </c>
      <c r="K52" s="155"/>
      <c r="L52" s="155"/>
    </row>
    <row r="53" customFormat="false" ht="109.5" hidden="false" customHeight="true" outlineLevel="0" collapsed="false">
      <c r="A53" s="153" t="s">
        <v>422</v>
      </c>
      <c r="B53" s="139" t="s">
        <v>423</v>
      </c>
      <c r="C53" s="91" t="s">
        <v>418</v>
      </c>
      <c r="D53" s="154" t="s">
        <v>424</v>
      </c>
      <c r="E53" s="104" t="s">
        <v>425</v>
      </c>
      <c r="F53" s="104"/>
      <c r="G53" s="104"/>
      <c r="H53" s="104"/>
      <c r="I53" s="104"/>
      <c r="J53" s="155" t="s">
        <v>426</v>
      </c>
      <c r="K53" s="155"/>
      <c r="L53" s="155"/>
    </row>
    <row r="54" customFormat="false" ht="109.5" hidden="false" customHeight="true" outlineLevel="0" collapsed="false">
      <c r="A54" s="153" t="s">
        <v>427</v>
      </c>
      <c r="B54" s="139" t="s">
        <v>428</v>
      </c>
      <c r="C54" s="91" t="s">
        <v>429</v>
      </c>
      <c r="D54" s="154" t="s">
        <v>430</v>
      </c>
      <c r="E54" s="104" t="s">
        <v>431</v>
      </c>
      <c r="F54" s="104"/>
      <c r="G54" s="104"/>
      <c r="H54" s="104"/>
      <c r="I54" s="104"/>
      <c r="J54" s="155" t="s">
        <v>432</v>
      </c>
      <c r="K54" s="155"/>
      <c r="L54" s="155"/>
    </row>
    <row r="55" customFormat="false" ht="109.5" hidden="false" customHeight="true" outlineLevel="0" collapsed="false">
      <c r="A55" s="153" t="s">
        <v>433</v>
      </c>
      <c r="B55" s="139" t="s">
        <v>434</v>
      </c>
      <c r="C55" s="91" t="s">
        <v>429</v>
      </c>
      <c r="D55" s="154" t="s">
        <v>435</v>
      </c>
      <c r="E55" s="104" t="s">
        <v>436</v>
      </c>
      <c r="F55" s="104"/>
      <c r="G55" s="104"/>
      <c r="H55" s="104"/>
      <c r="I55" s="104"/>
      <c r="J55" s="155" t="s">
        <v>437</v>
      </c>
      <c r="K55" s="155"/>
      <c r="L55" s="155"/>
    </row>
    <row r="56" customFormat="false" ht="109.5" hidden="false" customHeight="true" outlineLevel="0" collapsed="false">
      <c r="A56" s="153" t="s">
        <v>438</v>
      </c>
      <c r="B56" s="139" t="s">
        <v>439</v>
      </c>
      <c r="C56" s="91" t="s">
        <v>412</v>
      </c>
      <c r="D56" s="154" t="s">
        <v>440</v>
      </c>
      <c r="E56" s="104" t="s">
        <v>441</v>
      </c>
      <c r="F56" s="104"/>
      <c r="G56" s="104"/>
      <c r="H56" s="104"/>
      <c r="I56" s="104"/>
      <c r="J56" s="155" t="s">
        <v>442</v>
      </c>
      <c r="K56" s="155"/>
      <c r="L56" s="155"/>
    </row>
    <row r="57" customFormat="false" ht="13.5" hidden="false" customHeight="true" outlineLevel="0" collapsed="false"/>
    <row r="58" customFormat="false" ht="30" hidden="false" customHeight="true" outlineLevel="0" collapsed="false">
      <c r="A58" s="156" t="s">
        <v>443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</row>
    <row r="59" customFormat="false" ht="36" hidden="false" customHeight="true" outlineLevel="0" collapsed="false">
      <c r="A59" s="65" t="s">
        <v>444</v>
      </c>
      <c r="B59" s="65"/>
      <c r="C59" s="65"/>
      <c r="D59" s="65"/>
      <c r="E59" s="65" t="s">
        <v>445</v>
      </c>
      <c r="F59" s="65"/>
      <c r="G59" s="65"/>
      <c r="H59" s="65"/>
      <c r="I59" s="65"/>
      <c r="J59" s="65" t="s">
        <v>446</v>
      </c>
      <c r="K59" s="65"/>
      <c r="L59" s="65"/>
    </row>
    <row r="60" customFormat="false" ht="79.5" hidden="false" customHeight="true" outlineLevel="0" collapsed="false">
      <c r="A60" s="157" t="s">
        <v>447</v>
      </c>
      <c r="B60" s="157"/>
      <c r="C60" s="157"/>
      <c r="D60" s="157"/>
      <c r="E60" s="114" t="s">
        <v>448</v>
      </c>
      <c r="F60" s="114"/>
      <c r="G60" s="114"/>
      <c r="H60" s="114"/>
      <c r="I60" s="114"/>
      <c r="J60" s="158" t="s">
        <v>449</v>
      </c>
      <c r="K60" s="158"/>
      <c r="L60" s="158"/>
    </row>
    <row r="61" customFormat="false" ht="79.5" hidden="false" customHeight="true" outlineLevel="0" collapsed="false">
      <c r="A61" s="157" t="s">
        <v>450</v>
      </c>
      <c r="B61" s="157"/>
      <c r="C61" s="157"/>
      <c r="D61" s="157"/>
      <c r="E61" s="114" t="s">
        <v>451</v>
      </c>
      <c r="F61" s="114"/>
      <c r="G61" s="114"/>
      <c r="H61" s="114"/>
      <c r="I61" s="114"/>
      <c r="J61" s="158" t="s">
        <v>452</v>
      </c>
      <c r="K61" s="158"/>
      <c r="L61" s="158"/>
    </row>
    <row r="62" customFormat="false" ht="79.5" hidden="false" customHeight="true" outlineLevel="0" collapsed="false">
      <c r="A62" s="157" t="s">
        <v>453</v>
      </c>
      <c r="B62" s="157"/>
      <c r="C62" s="157"/>
      <c r="D62" s="157"/>
      <c r="E62" s="114" t="s">
        <v>454</v>
      </c>
      <c r="F62" s="114"/>
      <c r="G62" s="114"/>
      <c r="H62" s="114"/>
      <c r="I62" s="114"/>
      <c r="J62" s="158" t="s">
        <v>455</v>
      </c>
      <c r="K62" s="158"/>
      <c r="L62" s="158"/>
    </row>
    <row r="63" customFormat="false" ht="79.5" hidden="false" customHeight="true" outlineLevel="0" collapsed="false">
      <c r="A63" s="157" t="s">
        <v>456</v>
      </c>
      <c r="B63" s="157"/>
      <c r="C63" s="157"/>
      <c r="D63" s="157"/>
      <c r="E63" s="114" t="s">
        <v>457</v>
      </c>
      <c r="F63" s="114"/>
      <c r="G63" s="114"/>
      <c r="H63" s="114"/>
      <c r="I63" s="114"/>
      <c r="J63" s="158" t="s">
        <v>458</v>
      </c>
      <c r="K63" s="158"/>
      <c r="L63" s="158"/>
    </row>
    <row r="64" customFormat="false" ht="79.5" hidden="false" customHeight="true" outlineLevel="0" collapsed="false">
      <c r="A64" s="157" t="s">
        <v>459</v>
      </c>
      <c r="B64" s="157"/>
      <c r="C64" s="157"/>
      <c r="D64" s="157"/>
      <c r="E64" s="114" t="s">
        <v>460</v>
      </c>
      <c r="F64" s="114"/>
      <c r="G64" s="114"/>
      <c r="H64" s="114"/>
      <c r="I64" s="114"/>
      <c r="J64" s="158" t="s">
        <v>461</v>
      </c>
      <c r="K64" s="158"/>
      <c r="L64" s="158"/>
    </row>
    <row r="65" customFormat="false" ht="79.5" hidden="false" customHeight="true" outlineLevel="0" collapsed="false">
      <c r="A65" s="157" t="s">
        <v>462</v>
      </c>
      <c r="B65" s="157"/>
      <c r="C65" s="157"/>
      <c r="D65" s="157"/>
      <c r="E65" s="114" t="s">
        <v>463</v>
      </c>
      <c r="F65" s="114"/>
      <c r="G65" s="114"/>
      <c r="H65" s="114"/>
      <c r="I65" s="114"/>
      <c r="J65" s="158" t="s">
        <v>464</v>
      </c>
      <c r="K65" s="158"/>
      <c r="L65" s="158"/>
    </row>
    <row r="66" customFormat="false" ht="13.5" hidden="false" customHeight="true" outlineLevel="0" collapsed="false"/>
    <row r="67" customFormat="false" ht="24" hidden="false" customHeight="true" outlineLevel="0" collapsed="false">
      <c r="A67" s="36" t="s">
        <v>465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</sheetData>
  <mergeCells count="84">
    <mergeCell ref="A1:L1"/>
    <mergeCell ref="A2:L2"/>
    <mergeCell ref="A4:L4"/>
    <mergeCell ref="A27:L27"/>
    <mergeCell ref="D28:G28"/>
    <mergeCell ref="H28:K28"/>
    <mergeCell ref="D29:G29"/>
    <mergeCell ref="H29:K29"/>
    <mergeCell ref="D30:G30"/>
    <mergeCell ref="H30:K30"/>
    <mergeCell ref="D31:G31"/>
    <mergeCell ref="H31:K31"/>
    <mergeCell ref="D32:G32"/>
    <mergeCell ref="H32:K32"/>
    <mergeCell ref="A34:L34"/>
    <mergeCell ref="A35:L35"/>
    <mergeCell ref="A36:B36"/>
    <mergeCell ref="C36:D36"/>
    <mergeCell ref="E36:L36"/>
    <mergeCell ref="A37:B37"/>
    <mergeCell ref="C37:D37"/>
    <mergeCell ref="E37:L37"/>
    <mergeCell ref="A38:B38"/>
    <mergeCell ref="C38:D38"/>
    <mergeCell ref="E38:L38"/>
    <mergeCell ref="A39:B39"/>
    <mergeCell ref="C39:D39"/>
    <mergeCell ref="E39:L39"/>
    <mergeCell ref="A41:L41"/>
    <mergeCell ref="A42:C42"/>
    <mergeCell ref="D42:F42"/>
    <mergeCell ref="G42:I42"/>
    <mergeCell ref="J42:L42"/>
    <mergeCell ref="A43:C43"/>
    <mergeCell ref="D43:F43"/>
    <mergeCell ref="G43:I43"/>
    <mergeCell ref="J43:L43"/>
    <mergeCell ref="A44:C44"/>
    <mergeCell ref="D44:F44"/>
    <mergeCell ref="G44:I44"/>
    <mergeCell ref="J44:L44"/>
    <mergeCell ref="A45:C45"/>
    <mergeCell ref="D45:F45"/>
    <mergeCell ref="G45:I45"/>
    <mergeCell ref="J45:L45"/>
    <mergeCell ref="A47:L47"/>
    <mergeCell ref="A49:L49"/>
    <mergeCell ref="E50:I50"/>
    <mergeCell ref="J50:L50"/>
    <mergeCell ref="E51:I51"/>
    <mergeCell ref="J51:L51"/>
    <mergeCell ref="E52:I52"/>
    <mergeCell ref="J52:L52"/>
    <mergeCell ref="E53:I53"/>
    <mergeCell ref="J53:L53"/>
    <mergeCell ref="E54:I54"/>
    <mergeCell ref="J54:L54"/>
    <mergeCell ref="E55:I55"/>
    <mergeCell ref="J55:L55"/>
    <mergeCell ref="E56:I56"/>
    <mergeCell ref="J56:L56"/>
    <mergeCell ref="A58:L58"/>
    <mergeCell ref="A59:D59"/>
    <mergeCell ref="E59:I59"/>
    <mergeCell ref="J59:L59"/>
    <mergeCell ref="A60:D60"/>
    <mergeCell ref="E60:I60"/>
    <mergeCell ref="J60:L60"/>
    <mergeCell ref="A61:D61"/>
    <mergeCell ref="E61:I61"/>
    <mergeCell ref="J61:L61"/>
    <mergeCell ref="A62:D62"/>
    <mergeCell ref="E62:I62"/>
    <mergeCell ref="J62:L62"/>
    <mergeCell ref="A63:D63"/>
    <mergeCell ref="E63:I63"/>
    <mergeCell ref="J63:L63"/>
    <mergeCell ref="A64:D64"/>
    <mergeCell ref="E64:I64"/>
    <mergeCell ref="J64:L64"/>
    <mergeCell ref="A65:D65"/>
    <mergeCell ref="E65:I65"/>
    <mergeCell ref="J65:L65"/>
    <mergeCell ref="A67:L67"/>
  </mergeCells>
  <conditionalFormatting sqref="I6:I25">
    <cfRule type="expression" priority="2" aboveAverage="0" equalAverage="0" bottom="0" percent="0" rank="0" text="" dxfId="3">
      <formula>$I6="لم نتواصل"</formula>
    </cfRule>
    <cfRule type="expression" priority="3" aboveAverage="0" equalAverage="0" bottom="0" percent="0" rank="0" text="" dxfId="4">
      <formula>$I6="اتصال أولي"</formula>
    </cfRule>
    <cfRule type="expression" priority="4" aboveAverage="0" equalAverage="0" bottom="0" percent="0" rank="0" text="" dxfId="5">
      <formula>$I6="اجتماع تمهيدي"</formula>
    </cfRule>
    <cfRule type="expression" priority="5" aboveAverage="0" equalAverage="0" bottom="0" percent="0" rank="0" text="" dxfId="6">
      <formula>$I6="تحت التفاوض"</formula>
    </cfRule>
    <cfRule type="expression" priority="6" aboveAverage="0" equalAverage="0" bottom="0" percent="0" rank="0" text="" dxfId="7">
      <formula>$I6="Pilot"</formula>
    </cfRule>
    <cfRule type="expression" priority="7" aboveAverage="0" equalAverage="0" bottom="0" percent="0" rank="0" text="" dxfId="8">
      <formula>$I6="موقّع"</formula>
    </cfRule>
    <cfRule type="expression" priority="8" aboveAverage="0" equalAverage="0" bottom="0" percent="0" rank="0" text="" dxfId="9">
      <formula>$I6="مُطلق"</formula>
    </cfRule>
    <cfRule type="expression" priority="9" aboveAverage="0" equalAverage="0" bottom="0" percent="0" rank="0" text="" dxfId="10">
      <formula>$I6="مرفوض"</formula>
    </cfRule>
    <cfRule type="expression" priority="10" aboveAverage="0" equalAverage="0" bottom="0" percent="0" rank="0" text="" dxfId="3">
      <formula>$I6="مؤجل"</formula>
    </cfRule>
  </conditionalFormatting>
  <dataValidations count="3">
    <dataValidation allowBlank="true" errorStyle="stop" operator="between" showDropDown="false" showErrorMessage="false" showInputMessage="false" sqref="C6:C25" type="list">
      <formula1>"كافيه,مطعم,سوبرماركت,مغسلة,زيوت,صيانة,صيدلية,أخرى"</formula1>
      <formula2>0</formula2>
    </dataValidation>
    <dataValidation allowBlank="true" errorStyle="stop" operator="between" showDropDown="false" showErrorMessage="false" showInputMessage="false" sqref="G6:G25" type="list">
      <formula1>"المستأجر يدفع 100%,مشاركة 50/50,مشاركة 70/30 (المستأجر),مشاركة 30/70 (درب),درب تتحمل 100%,لم يتفق بعد"</formula1>
      <formula2>0</formula2>
    </dataValidation>
    <dataValidation allowBlank="true" errorStyle="stop" operator="between" showDropDown="false" showErrorMessage="false" showInputMessage="false" sqref="I6:I25" type="list">
      <formula1>"لم نتواصل,اتصال أولي,اجتماع تمهيدي,تحت التفاوض,Pilot,موقّع,مُطلق,مرفوض,مؤجل"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48" hidden="false" customHeight="true" outlineLevel="0" collapsed="false">
      <c r="A1" s="2" t="s">
        <v>466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5.5" hidden="false" customHeight="true" outlineLevel="0" collapsed="false">
      <c r="A2" s="57" t="s">
        <v>467</v>
      </c>
      <c r="B2" s="57"/>
      <c r="C2" s="57"/>
      <c r="D2" s="57"/>
      <c r="E2" s="57"/>
      <c r="F2" s="57"/>
      <c r="G2" s="57"/>
      <c r="H2" s="57"/>
      <c r="I2" s="57"/>
      <c r="J2" s="57"/>
    </row>
    <row r="3" customFormat="false" ht="12" hidden="false" customHeight="true" outlineLevel="0" collapsed="false"/>
    <row r="4" customFormat="false" ht="30" hidden="false" customHeight="true" outlineLevel="0" collapsed="false">
      <c r="A4" s="156" t="s">
        <v>468</v>
      </c>
      <c r="B4" s="156"/>
      <c r="C4" s="156"/>
      <c r="D4" s="156"/>
      <c r="E4" s="156"/>
      <c r="F4" s="156"/>
      <c r="G4" s="156"/>
      <c r="H4" s="156"/>
      <c r="I4" s="156"/>
      <c r="J4" s="156"/>
    </row>
    <row r="5" customFormat="false" ht="36" hidden="false" customHeight="true" outlineLevel="0" collapsed="false">
      <c r="A5" s="14" t="s">
        <v>203</v>
      </c>
      <c r="B5" s="14" t="s">
        <v>469</v>
      </c>
      <c r="C5" s="14" t="s">
        <v>470</v>
      </c>
      <c r="D5" s="14" t="s">
        <v>471</v>
      </c>
      <c r="E5" s="14" t="s">
        <v>472</v>
      </c>
      <c r="F5" s="14" t="s">
        <v>473</v>
      </c>
      <c r="G5" s="14" t="s">
        <v>474</v>
      </c>
      <c r="H5" s="14" t="s">
        <v>475</v>
      </c>
      <c r="I5" s="14" t="s">
        <v>476</v>
      </c>
    </row>
    <row r="6" customFormat="false" ht="30" hidden="false" customHeight="true" outlineLevel="0" collapsed="false">
      <c r="A6" s="35" t="s">
        <v>477</v>
      </c>
      <c r="B6" s="159" t="s">
        <v>478</v>
      </c>
      <c r="C6" s="160" t="n">
        <v>800000</v>
      </c>
      <c r="D6" s="160" t="n">
        <v>200000</v>
      </c>
      <c r="E6" s="160" t="n">
        <v>150000</v>
      </c>
      <c r="F6" s="160" t="n">
        <v>150000</v>
      </c>
      <c r="G6" s="160" t="n">
        <v>150000</v>
      </c>
      <c r="H6" s="161" t="n">
        <f aca="false">SUM(C6:G6)</f>
        <v>1450000</v>
      </c>
      <c r="I6" s="162" t="n">
        <f aca="false">H6/H13</f>
        <v>0.0269616957976943</v>
      </c>
    </row>
    <row r="7" customFormat="false" ht="30" hidden="false" customHeight="true" outlineLevel="0" collapsed="false">
      <c r="A7" s="35" t="s">
        <v>479</v>
      </c>
      <c r="B7" s="159" t="s">
        <v>480</v>
      </c>
      <c r="C7" s="160" t="n">
        <v>1370000</v>
      </c>
      <c r="D7" s="160" t="n">
        <v>850000</v>
      </c>
      <c r="E7" s="160" t="n">
        <v>870000</v>
      </c>
      <c r="F7" s="160" t="n">
        <v>890000</v>
      </c>
      <c r="G7" s="160" t="n">
        <v>920000</v>
      </c>
      <c r="H7" s="161" t="n">
        <f aca="false">SUM(C7:G7)</f>
        <v>4900000</v>
      </c>
      <c r="I7" s="162" t="n">
        <f aca="false">H7/H13</f>
        <v>0.0911119375232428</v>
      </c>
    </row>
    <row r="8" customFormat="false" ht="30" hidden="false" customHeight="true" outlineLevel="0" collapsed="false">
      <c r="A8" s="35" t="s">
        <v>481</v>
      </c>
      <c r="B8" s="163" t="s">
        <v>480</v>
      </c>
      <c r="C8" s="160" t="n">
        <v>1500000</v>
      </c>
      <c r="D8" s="160" t="n">
        <v>1200000</v>
      </c>
      <c r="E8" s="160" t="n">
        <v>1000000</v>
      </c>
      <c r="F8" s="160" t="n">
        <v>1000000</v>
      </c>
      <c r="G8" s="160" t="n">
        <v>1000000</v>
      </c>
      <c r="H8" s="161" t="n">
        <f aca="false">SUM(C8:G8)</f>
        <v>5700000</v>
      </c>
      <c r="I8" s="162" t="n">
        <f aca="false">H8/H13</f>
        <v>0.105987355894385</v>
      </c>
    </row>
    <row r="9" customFormat="false" ht="30" hidden="false" customHeight="true" outlineLevel="0" collapsed="false">
      <c r="A9" s="35" t="s">
        <v>482</v>
      </c>
      <c r="B9" s="163" t="s">
        <v>480</v>
      </c>
      <c r="C9" s="160" t="n">
        <v>2780000</v>
      </c>
      <c r="D9" s="160" t="n">
        <v>3500000</v>
      </c>
      <c r="E9" s="160" t="n">
        <v>4000000</v>
      </c>
      <c r="F9" s="160" t="n">
        <v>4500000</v>
      </c>
      <c r="G9" s="160" t="n">
        <v>5000000</v>
      </c>
      <c r="H9" s="161" t="n">
        <f aca="false">SUM(C9:G9)</f>
        <v>19780000</v>
      </c>
      <c r="I9" s="162" t="n">
        <f aca="false">H9/H13</f>
        <v>0.367794719226478</v>
      </c>
    </row>
    <row r="10" customFormat="false" ht="30" hidden="false" customHeight="true" outlineLevel="0" collapsed="false">
      <c r="A10" s="35" t="s">
        <v>483</v>
      </c>
      <c r="B10" s="163" t="s">
        <v>480</v>
      </c>
      <c r="C10" s="160" t="n">
        <v>2270000</v>
      </c>
      <c r="D10" s="160" t="n">
        <v>2680000</v>
      </c>
      <c r="E10" s="160" t="n">
        <v>3100000</v>
      </c>
      <c r="F10" s="160" t="n">
        <v>3520000</v>
      </c>
      <c r="G10" s="160" t="n">
        <v>3930000</v>
      </c>
      <c r="H10" s="161" t="n">
        <f aca="false">SUM(C10:G10)</f>
        <v>15500000</v>
      </c>
      <c r="I10" s="162" t="n">
        <f aca="false">H10/H13</f>
        <v>0.28821123094087</v>
      </c>
    </row>
    <row r="11" customFormat="false" ht="30" hidden="false" customHeight="true" outlineLevel="0" collapsed="false">
      <c r="A11" s="35" t="s">
        <v>484</v>
      </c>
      <c r="B11" s="163" t="s">
        <v>480</v>
      </c>
      <c r="C11" s="160" t="n">
        <v>0</v>
      </c>
      <c r="D11" s="160" t="n">
        <v>500000</v>
      </c>
      <c r="E11" s="160" t="n">
        <v>750000</v>
      </c>
      <c r="F11" s="160" t="n">
        <v>1000000</v>
      </c>
      <c r="G11" s="160" t="n">
        <v>1200000</v>
      </c>
      <c r="H11" s="161" t="n">
        <f aca="false">SUM(C11:G11)</f>
        <v>3450000</v>
      </c>
      <c r="I11" s="162" t="n">
        <f aca="false">H11/H13</f>
        <v>0.0641502417255485</v>
      </c>
    </row>
    <row r="12" customFormat="false" ht="30" hidden="false" customHeight="true" outlineLevel="0" collapsed="false">
      <c r="A12" s="35" t="s">
        <v>485</v>
      </c>
      <c r="B12" s="163" t="s">
        <v>480</v>
      </c>
      <c r="C12" s="160" t="n">
        <v>200000</v>
      </c>
      <c r="D12" s="160" t="n">
        <v>400000</v>
      </c>
      <c r="E12" s="160" t="n">
        <v>600000</v>
      </c>
      <c r="F12" s="160" t="n">
        <v>800000</v>
      </c>
      <c r="G12" s="160" t="n">
        <v>1000000</v>
      </c>
      <c r="H12" s="161" t="n">
        <f aca="false">SUM(C12:G12)</f>
        <v>3000000</v>
      </c>
      <c r="I12" s="162" t="n">
        <f aca="false">H12/H13</f>
        <v>0.0557828188917813</v>
      </c>
    </row>
    <row r="13" customFormat="false" ht="37.5" hidden="false" customHeight="true" outlineLevel="0" collapsed="false">
      <c r="A13" s="164" t="s">
        <v>486</v>
      </c>
      <c r="B13" s="165"/>
      <c r="C13" s="166" t="n">
        <f aca="false">SUM(C6:C12)</f>
        <v>8920000</v>
      </c>
      <c r="D13" s="166" t="n">
        <f aca="false">SUM(D6:D12)</f>
        <v>9330000</v>
      </c>
      <c r="E13" s="166" t="n">
        <f aca="false">SUM(E6:E12)</f>
        <v>10470000</v>
      </c>
      <c r="F13" s="166" t="n">
        <f aca="false">SUM(F6:F12)</f>
        <v>11860000</v>
      </c>
      <c r="G13" s="166" t="n">
        <f aca="false">SUM(G6:G12)</f>
        <v>13200000</v>
      </c>
      <c r="H13" s="167" t="n">
        <f aca="false">SUM(C13:G13)</f>
        <v>53780000</v>
      </c>
      <c r="I13" s="165" t="s">
        <v>487</v>
      </c>
    </row>
    <row r="14" customFormat="false" ht="13.5" hidden="false" customHeight="true" outlineLevel="0" collapsed="false"/>
    <row r="15" customFormat="false" ht="30" hidden="false" customHeight="true" outlineLevel="0" collapsed="false">
      <c r="A15" s="168" t="s">
        <v>488</v>
      </c>
      <c r="B15" s="168"/>
      <c r="C15" s="168"/>
      <c r="D15" s="168"/>
      <c r="E15" s="168"/>
      <c r="F15" s="168"/>
      <c r="G15" s="168"/>
      <c r="H15" s="168"/>
      <c r="I15" s="168"/>
      <c r="J15" s="168"/>
    </row>
    <row r="16" customFormat="false" ht="36" hidden="false" customHeight="true" outlineLevel="0" collapsed="false">
      <c r="A16" s="14" t="s">
        <v>489</v>
      </c>
      <c r="B16" s="14" t="s">
        <v>469</v>
      </c>
      <c r="C16" s="14" t="s">
        <v>470</v>
      </c>
      <c r="D16" s="14" t="s">
        <v>471</v>
      </c>
      <c r="E16" s="14" t="s">
        <v>472</v>
      </c>
      <c r="F16" s="14" t="s">
        <v>473</v>
      </c>
      <c r="G16" s="14" t="s">
        <v>474</v>
      </c>
      <c r="H16" s="14" t="s">
        <v>490</v>
      </c>
      <c r="I16" s="14" t="s">
        <v>476</v>
      </c>
    </row>
    <row r="17" customFormat="false" ht="30" hidden="false" customHeight="true" outlineLevel="0" collapsed="false">
      <c r="A17" s="52" t="s">
        <v>491</v>
      </c>
      <c r="B17" s="169" t="s">
        <v>480</v>
      </c>
      <c r="C17" s="160" t="n">
        <v>8000000</v>
      </c>
      <c r="D17" s="160" t="n">
        <v>12000000</v>
      </c>
      <c r="E17" s="160" t="n">
        <v>16000000</v>
      </c>
      <c r="F17" s="160" t="n">
        <v>20000000</v>
      </c>
      <c r="G17" s="160" t="n">
        <v>24000000</v>
      </c>
      <c r="H17" s="170" t="n">
        <f aca="false">SUM(C17:G17)</f>
        <v>80000000</v>
      </c>
      <c r="I17" s="162" t="n">
        <f aca="false">H17/H23</f>
        <v>0.543478260869565</v>
      </c>
    </row>
    <row r="18" customFormat="false" ht="30" hidden="false" customHeight="true" outlineLevel="0" collapsed="false">
      <c r="A18" s="52" t="s">
        <v>492</v>
      </c>
      <c r="B18" s="169" t="s">
        <v>480</v>
      </c>
      <c r="C18" s="160" t="n">
        <v>0</v>
      </c>
      <c r="D18" s="160" t="n">
        <v>1200000</v>
      </c>
      <c r="E18" s="160" t="n">
        <v>2500000</v>
      </c>
      <c r="F18" s="160" t="n">
        <v>4000000</v>
      </c>
      <c r="G18" s="160" t="n">
        <v>6000000</v>
      </c>
      <c r="H18" s="170" t="n">
        <f aca="false">SUM(C18:G18)</f>
        <v>13700000</v>
      </c>
      <c r="I18" s="162" t="n">
        <f aca="false">H18/H23</f>
        <v>0.093070652173913</v>
      </c>
    </row>
    <row r="19" customFormat="false" ht="30" hidden="false" customHeight="true" outlineLevel="0" collapsed="false">
      <c r="A19" s="52" t="s">
        <v>493</v>
      </c>
      <c r="B19" s="169" t="s">
        <v>480</v>
      </c>
      <c r="C19" s="160" t="n">
        <v>1500000</v>
      </c>
      <c r="D19" s="160" t="n">
        <v>3000000</v>
      </c>
      <c r="E19" s="160" t="n">
        <v>4500000</v>
      </c>
      <c r="F19" s="160" t="n">
        <v>6000000</v>
      </c>
      <c r="G19" s="160" t="n">
        <v>7500000</v>
      </c>
      <c r="H19" s="170" t="n">
        <f aca="false">SUM(C19:G19)</f>
        <v>22500000</v>
      </c>
      <c r="I19" s="162" t="n">
        <f aca="false">H19/H23</f>
        <v>0.152853260869565</v>
      </c>
    </row>
    <row r="20" customFormat="false" ht="30" hidden="false" customHeight="true" outlineLevel="0" collapsed="false">
      <c r="A20" s="52" t="s">
        <v>494</v>
      </c>
      <c r="B20" s="169" t="s">
        <v>495</v>
      </c>
      <c r="C20" s="160" t="n">
        <v>800000</v>
      </c>
      <c r="D20" s="160" t="n">
        <v>1500000</v>
      </c>
      <c r="E20" s="160" t="n">
        <v>2000000</v>
      </c>
      <c r="F20" s="160" t="n">
        <v>2500000</v>
      </c>
      <c r="G20" s="160" t="n">
        <v>3000000</v>
      </c>
      <c r="H20" s="170" t="n">
        <f aca="false">SUM(C20:G20)</f>
        <v>9800000</v>
      </c>
      <c r="I20" s="162" t="n">
        <f aca="false">H20/H23</f>
        <v>0.0665760869565217</v>
      </c>
    </row>
    <row r="21" customFormat="false" ht="30" hidden="false" customHeight="true" outlineLevel="0" collapsed="false">
      <c r="A21" s="52" t="s">
        <v>496</v>
      </c>
      <c r="B21" s="169" t="s">
        <v>497</v>
      </c>
      <c r="C21" s="160" t="n">
        <v>500000</v>
      </c>
      <c r="D21" s="160" t="n">
        <v>1500000</v>
      </c>
      <c r="E21" s="160" t="n">
        <v>3000000</v>
      </c>
      <c r="F21" s="160" t="n">
        <v>5000000</v>
      </c>
      <c r="G21" s="160" t="n">
        <v>8000000</v>
      </c>
      <c r="H21" s="170" t="n">
        <f aca="false">SUM(C21:G21)</f>
        <v>18000000</v>
      </c>
      <c r="I21" s="162" t="n">
        <f aca="false">H21/H23</f>
        <v>0.122282608695652</v>
      </c>
    </row>
    <row r="22" customFormat="false" ht="30" hidden="false" customHeight="true" outlineLevel="0" collapsed="false">
      <c r="A22" s="52" t="s">
        <v>498</v>
      </c>
      <c r="B22" s="169" t="s">
        <v>499</v>
      </c>
      <c r="C22" s="160" t="n">
        <v>0</v>
      </c>
      <c r="D22" s="160" t="n">
        <v>200000</v>
      </c>
      <c r="E22" s="160" t="n">
        <v>500000</v>
      </c>
      <c r="F22" s="160" t="n">
        <v>1000000</v>
      </c>
      <c r="G22" s="160" t="n">
        <v>1500000</v>
      </c>
      <c r="H22" s="170" t="n">
        <f aca="false">SUM(C22:G22)</f>
        <v>3200000</v>
      </c>
      <c r="I22" s="162" t="n">
        <f aca="false">H22/H23</f>
        <v>0.0217391304347826</v>
      </c>
    </row>
    <row r="23" customFormat="false" ht="37.5" hidden="false" customHeight="true" outlineLevel="0" collapsed="false">
      <c r="A23" s="171" t="s">
        <v>500</v>
      </c>
      <c r="B23" s="172"/>
      <c r="C23" s="173" t="n">
        <f aca="false">SUM(C17:C22)</f>
        <v>10800000</v>
      </c>
      <c r="D23" s="173" t="n">
        <f aca="false">SUM(D17:D22)</f>
        <v>19400000</v>
      </c>
      <c r="E23" s="173" t="n">
        <f aca="false">SUM(E17:E22)</f>
        <v>28500000</v>
      </c>
      <c r="F23" s="173" t="n">
        <f aca="false">SUM(F17:F22)</f>
        <v>38500000</v>
      </c>
      <c r="G23" s="173" t="n">
        <f aca="false">SUM(G17:G22)</f>
        <v>50000000</v>
      </c>
      <c r="H23" s="174" t="n">
        <f aca="false">SUM(C23:G23)</f>
        <v>147200000</v>
      </c>
      <c r="I23" s="172" t="s">
        <v>487</v>
      </c>
    </row>
    <row r="24" customFormat="false" ht="13.5" hidden="false" customHeight="true" outlineLevel="0" collapsed="false"/>
    <row r="25" customFormat="false" ht="30" hidden="false" customHeight="true" outlineLevel="0" collapsed="false">
      <c r="A25" s="13" t="s">
        <v>501</v>
      </c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36" hidden="false" customHeight="true" outlineLevel="0" collapsed="false">
      <c r="A26" s="14" t="s">
        <v>203</v>
      </c>
      <c r="B26" s="14" t="s">
        <v>469</v>
      </c>
      <c r="C26" s="14" t="s">
        <v>470</v>
      </c>
      <c r="D26" s="14" t="s">
        <v>471</v>
      </c>
      <c r="E26" s="14" t="s">
        <v>472</v>
      </c>
      <c r="F26" s="14" t="s">
        <v>473</v>
      </c>
      <c r="G26" s="14" t="s">
        <v>474</v>
      </c>
      <c r="H26" s="14" t="s">
        <v>490</v>
      </c>
      <c r="I26" s="14" t="s">
        <v>502</v>
      </c>
    </row>
    <row r="27" customFormat="false" ht="31.5" hidden="false" customHeight="true" outlineLevel="0" collapsed="false">
      <c r="A27" s="175" t="s">
        <v>503</v>
      </c>
      <c r="B27" s="176"/>
      <c r="C27" s="177" t="n">
        <f aca="false">C23</f>
        <v>10800000</v>
      </c>
      <c r="D27" s="177" t="n">
        <f aca="false">D23</f>
        <v>19400000</v>
      </c>
      <c r="E27" s="177" t="n">
        <f aca="false">E23</f>
        <v>28500000</v>
      </c>
      <c r="F27" s="177" t="n">
        <f aca="false">F23</f>
        <v>38500000</v>
      </c>
      <c r="G27" s="177" t="n">
        <f aca="false">G23</f>
        <v>50000000</v>
      </c>
      <c r="H27" s="173" t="n">
        <f aca="false">SUM(C27:G27)</f>
        <v>147200000</v>
      </c>
      <c r="I27" s="178" t="s">
        <v>504</v>
      </c>
    </row>
    <row r="28" customFormat="false" ht="31.5" hidden="false" customHeight="true" outlineLevel="0" collapsed="false">
      <c r="A28" s="179" t="s">
        <v>505</v>
      </c>
      <c r="B28" s="180"/>
      <c r="C28" s="181" t="n">
        <f aca="false">C13</f>
        <v>8920000</v>
      </c>
      <c r="D28" s="181" t="n">
        <f aca="false">D13</f>
        <v>9330000</v>
      </c>
      <c r="E28" s="181" t="n">
        <f aca="false">E13</f>
        <v>10470000</v>
      </c>
      <c r="F28" s="181" t="n">
        <f aca="false">F13</f>
        <v>11860000</v>
      </c>
      <c r="G28" s="181" t="n">
        <f aca="false">G13</f>
        <v>13200000</v>
      </c>
      <c r="H28" s="166" t="n">
        <f aca="false">SUM(C28:G28)</f>
        <v>53780000</v>
      </c>
      <c r="I28" s="182" t="s">
        <v>506</v>
      </c>
    </row>
    <row r="29" customFormat="false" ht="37.5" hidden="false" customHeight="true" outlineLevel="0" collapsed="false">
      <c r="A29" s="183" t="s">
        <v>507</v>
      </c>
      <c r="B29" s="184"/>
      <c r="C29" s="185" t="n">
        <f aca="false">C27-C28</f>
        <v>1880000</v>
      </c>
      <c r="D29" s="185" t="n">
        <f aca="false">D27-D28</f>
        <v>10070000</v>
      </c>
      <c r="E29" s="185" t="n">
        <f aca="false">E27-E28</f>
        <v>18030000</v>
      </c>
      <c r="F29" s="185" t="n">
        <f aca="false">F27-F28</f>
        <v>26640000</v>
      </c>
      <c r="G29" s="185" t="n">
        <f aca="false">G27-G28</f>
        <v>36800000</v>
      </c>
      <c r="H29" s="186" t="n">
        <f aca="false">SUM(C29:G29)</f>
        <v>93420000</v>
      </c>
      <c r="I29" s="187" t="s">
        <v>508</v>
      </c>
    </row>
    <row r="30" customFormat="false" ht="43.5" hidden="false" customHeight="true" outlineLevel="0" collapsed="false">
      <c r="A30" s="188" t="s">
        <v>509</v>
      </c>
      <c r="B30" s="189"/>
      <c r="C30" s="190" t="n">
        <f aca="false">IFERROR(C29/C28, 0)</f>
        <v>0.210762331838565</v>
      </c>
      <c r="D30" s="190" t="n">
        <f aca="false">IFERROR(D29/D28, 0)</f>
        <v>1.07931404072883</v>
      </c>
      <c r="E30" s="190" t="n">
        <f aca="false">IFERROR(E29/E28, 0)</f>
        <v>1.72206303724928</v>
      </c>
      <c r="F30" s="190" t="n">
        <f aca="false">IFERROR(F29/F28, 0)</f>
        <v>2.24620573355818</v>
      </c>
      <c r="G30" s="190" t="n">
        <f aca="false">IFERROR(G29/G28, 0)</f>
        <v>2.78787878787879</v>
      </c>
      <c r="H30" s="191" t="n">
        <f aca="false">H29/H28</f>
        <v>1.73707698029007</v>
      </c>
      <c r="I30" s="187" t="s">
        <v>510</v>
      </c>
    </row>
    <row r="31" customFormat="false" ht="13.5" hidden="false" customHeight="true" outlineLevel="0" collapsed="false"/>
    <row r="32" customFormat="false" ht="30" hidden="false" customHeight="true" outlineLevel="0" collapsed="false">
      <c r="A32" s="64" t="s">
        <v>511</v>
      </c>
      <c r="B32" s="64"/>
      <c r="C32" s="64"/>
      <c r="D32" s="64"/>
      <c r="E32" s="64"/>
      <c r="F32" s="64"/>
      <c r="G32" s="64"/>
      <c r="H32" s="64"/>
      <c r="I32" s="64"/>
      <c r="J32" s="64"/>
    </row>
    <row r="33" customFormat="false" ht="30" hidden="false" customHeight="true" outlineLevel="0" collapsed="false">
      <c r="A33" s="192" t="s">
        <v>512</v>
      </c>
      <c r="B33" s="192"/>
      <c r="C33" s="102" t="s">
        <v>513</v>
      </c>
      <c r="D33" s="102"/>
      <c r="E33" s="102"/>
      <c r="F33" s="78" t="s">
        <v>514</v>
      </c>
      <c r="G33" s="78"/>
      <c r="H33" s="78"/>
      <c r="I33" s="77" t="s">
        <v>515</v>
      </c>
      <c r="J33" s="77"/>
    </row>
    <row r="34" customFormat="false" ht="69.75" hidden="false" customHeight="true" outlineLevel="0" collapsed="false">
      <c r="A34" s="193" t="n">
        <f aca="false">H30</f>
        <v>1.73707698029007</v>
      </c>
      <c r="B34" s="193"/>
      <c r="C34" s="194" t="n">
        <f aca="false">H29</f>
        <v>93420000</v>
      </c>
      <c r="D34" s="194"/>
      <c r="E34" s="194"/>
      <c r="F34" s="195" t="str">
        <f aca="false">IF(C29&gt;=0,"السنة 1",IF(SUM(C29:D29)&gt;=0,"السنة 2",IF(SUM(C29:E29)&gt;=0,"السنة 3",IF(SUM(C29:F29)&gt;=0,"السنة 4",IF(SUM(C29:G29)&gt;=0,"السنة 5","بعد 5 سنوات")))))</f>
        <v>السنة 1</v>
      </c>
      <c r="G34" s="195"/>
      <c r="H34" s="195"/>
      <c r="I34" s="196" t="str">
        <f aca="false">IF(H30&gt;1,"⭐ مشروع ممتاز",IF(H30&gt;0.5,"✅ مربح",IF(H30&gt;0,"🟡 مقبول","🔴 إعادة نظر")))</f>
        <v>⭐ مشروع ممتاز</v>
      </c>
      <c r="J34" s="196"/>
    </row>
    <row r="35" customFormat="false" ht="13.5" hidden="false" customHeight="true" outlineLevel="0" collapsed="false"/>
    <row r="36" customFormat="false" ht="27.75" hidden="false" customHeight="true" outlineLevel="0" collapsed="false">
      <c r="A36" s="197" t="s">
        <v>516</v>
      </c>
      <c r="B36" s="197"/>
      <c r="C36" s="197"/>
      <c r="D36" s="197"/>
      <c r="E36" s="197"/>
      <c r="F36" s="197"/>
      <c r="G36" s="197"/>
      <c r="H36" s="197"/>
      <c r="I36" s="197"/>
      <c r="J36" s="197"/>
    </row>
    <row r="37" customFormat="false" ht="27.75" hidden="false" customHeight="true" outlineLevel="0" collapsed="false">
      <c r="A37" s="93" t="s">
        <v>517</v>
      </c>
      <c r="B37" s="93"/>
      <c r="C37" s="93"/>
      <c r="D37" s="93"/>
      <c r="E37" s="93"/>
      <c r="F37" s="93"/>
      <c r="G37" s="93"/>
      <c r="H37" s="93"/>
      <c r="I37" s="93"/>
      <c r="J37" s="93"/>
    </row>
    <row r="38" customFormat="false" ht="27.75" hidden="false" customHeight="true" outlineLevel="0" collapsed="false">
      <c r="A38" s="93" t="s">
        <v>518</v>
      </c>
      <c r="B38" s="93"/>
      <c r="C38" s="93"/>
      <c r="D38" s="93"/>
      <c r="E38" s="93"/>
      <c r="F38" s="93"/>
      <c r="G38" s="93"/>
      <c r="H38" s="93"/>
      <c r="I38" s="93"/>
      <c r="J38" s="93"/>
    </row>
    <row r="39" customFormat="false" ht="27.75" hidden="false" customHeight="true" outlineLevel="0" collapsed="false">
      <c r="A39" s="93" t="s">
        <v>519</v>
      </c>
      <c r="B39" s="93"/>
      <c r="C39" s="93"/>
      <c r="D39" s="93"/>
      <c r="E39" s="93"/>
      <c r="F39" s="93"/>
      <c r="G39" s="93"/>
      <c r="H39" s="93"/>
      <c r="I39" s="93"/>
      <c r="J39" s="93"/>
    </row>
    <row r="40" customFormat="false" ht="27.75" hidden="false" customHeight="true" outlineLevel="0" collapsed="false">
      <c r="A40" s="93" t="s">
        <v>520</v>
      </c>
      <c r="B40" s="93"/>
      <c r="C40" s="93"/>
      <c r="D40" s="93"/>
      <c r="E40" s="93"/>
      <c r="F40" s="93"/>
      <c r="G40" s="93"/>
      <c r="H40" s="93"/>
      <c r="I40" s="93"/>
      <c r="J40" s="93"/>
    </row>
    <row r="41" customFormat="false" ht="27.75" hidden="false" customHeight="true" outlineLevel="0" collapsed="false">
      <c r="A41" s="93" t="s">
        <v>521</v>
      </c>
      <c r="B41" s="93"/>
      <c r="C41" s="93"/>
      <c r="D41" s="93"/>
      <c r="E41" s="93"/>
      <c r="F41" s="93"/>
      <c r="G41" s="93"/>
      <c r="H41" s="93"/>
      <c r="I41" s="93"/>
      <c r="J41" s="93"/>
    </row>
    <row r="42" customFormat="false" ht="27.75" hidden="false" customHeight="true" outlineLevel="0" collapsed="false">
      <c r="A42" s="93" t="s">
        <v>522</v>
      </c>
      <c r="B42" s="93"/>
      <c r="C42" s="93"/>
      <c r="D42" s="93"/>
      <c r="E42" s="93"/>
      <c r="F42" s="93"/>
      <c r="G42" s="93"/>
      <c r="H42" s="93"/>
      <c r="I42" s="93"/>
      <c r="J42" s="93"/>
    </row>
    <row r="44" customFormat="false" ht="24" hidden="false" customHeight="true" outlineLevel="0" collapsed="false">
      <c r="A44" s="36" t="s">
        <v>523</v>
      </c>
      <c r="B44" s="36"/>
      <c r="C44" s="36"/>
      <c r="D44" s="36"/>
      <c r="E44" s="36"/>
      <c r="F44" s="36"/>
      <c r="G44" s="36"/>
      <c r="H44" s="36"/>
      <c r="I44" s="36"/>
      <c r="J44" s="36"/>
    </row>
  </sheetData>
  <mergeCells count="22">
    <mergeCell ref="A1:J1"/>
    <mergeCell ref="A2:J2"/>
    <mergeCell ref="A4:J4"/>
    <mergeCell ref="A15:J15"/>
    <mergeCell ref="A25:J25"/>
    <mergeCell ref="A32:J32"/>
    <mergeCell ref="A33:B33"/>
    <mergeCell ref="C33:E33"/>
    <mergeCell ref="F33:H33"/>
    <mergeCell ref="I33:J33"/>
    <mergeCell ref="A34:B34"/>
    <mergeCell ref="C34:E34"/>
    <mergeCell ref="F34:H34"/>
    <mergeCell ref="I34:J34"/>
    <mergeCell ref="A36:J36"/>
    <mergeCell ref="A37:J37"/>
    <mergeCell ref="A38:J38"/>
    <mergeCell ref="A39:J39"/>
    <mergeCell ref="A40:J40"/>
    <mergeCell ref="A41:J41"/>
    <mergeCell ref="A42:J42"/>
    <mergeCell ref="A44:J44"/>
  </mergeCells>
  <conditionalFormatting sqref="H6:H12">
    <cfRule type="dataBar" priority="2">
      <dataBar showValue="1" minLength="10" maxLength="90">
        <cfvo type="min" val="0"/>
        <cfvo type="max" val="0"/>
        <color rgb="FF9C0006"/>
      </dataBar>
      <extLst>
        <ext xmlns:x14="http://schemas.microsoft.com/office/spreadsheetml/2009/9/main" uri="{B025F937-C7B1-47D3-B67F-A62EFF666E3E}">
          <x14:id>{A6A191C7-1F3F-4F40-A563-C763A06727D7}</x14:id>
        </ext>
      </extLst>
    </cfRule>
  </conditionalFormatting>
  <conditionalFormatting sqref="H17:H22">
    <cfRule type="dataBar" priority="3">
      <dataBar showValue="1" minLength="10" maxLength="90">
        <cfvo type="min" val="0"/>
        <cfvo type="max" val="0"/>
        <color rgb="FF1B5E20"/>
      </dataBar>
      <extLst>
        <ext xmlns:x14="http://schemas.microsoft.com/office/spreadsheetml/2009/9/main" uri="{B025F937-C7B1-47D3-B67F-A62EFF666E3E}">
          <x14:id>{ACD1C629-3BD7-4A5C-8F56-B23A6DFAABF7}</x14:id>
        </ext>
      </extLst>
    </cfRule>
  </conditionalFormatting>
  <conditionalFormatting sqref="C30:G30">
    <cfRule type="colorScale" priority="4">
      <colorScale>
        <cfvo type="num" val="-1"/>
        <cfvo type="num" val="0"/>
        <cfvo type="num" val="2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A191C7-1F3F-4F40-A563-C763A06727D7}">
            <x14:dataBar minLength="10" maxLength="90" axisPosition="none" gradient="true">
              <x14:cfvo type="min"/>
              <x14:cfvo type="max"/>
              <x14:negativeFillColor rgb="FF9C0006"/>
              <x14:axisColor rgb="FF000000"/>
            </x14:dataBar>
          </x14:cfRule>
          <xm:sqref>H6:H12</xm:sqref>
        </x14:conditionalFormatting>
        <x14:conditionalFormatting xmlns:xm="http://schemas.microsoft.com/office/excel/2006/main">
          <x14:cfRule type="dataBar" id="{ACD1C629-3BD7-4A5C-8F56-B23A6DFAABF7}">
            <x14:dataBar minLength="10" maxLength="90" axisPosition="none" gradient="true">
              <x14:cfvo type="min"/>
              <x14:cfvo type="max"/>
              <x14:negativeFillColor rgb="FF1B5E20"/>
              <x14:axisColor rgb="FF000000"/>
            </x14:dataBar>
          </x14:cfRule>
          <xm:sqref>H17:H22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8" min="8" style="1" width="14"/>
    <col collapsed="false" customWidth="true" hidden="false" outlineLevel="0" max="9" min="9" style="1" width="6"/>
  </cols>
  <sheetData>
    <row r="1" customFormat="false" ht="48" hidden="false" customHeight="true" outlineLevel="0" collapsed="false">
      <c r="A1" s="2" t="s">
        <v>524</v>
      </c>
      <c r="B1" s="2"/>
      <c r="C1" s="2"/>
      <c r="D1" s="2"/>
      <c r="E1" s="2"/>
      <c r="F1" s="2"/>
      <c r="G1" s="2"/>
      <c r="H1" s="2"/>
      <c r="I1" s="2"/>
    </row>
    <row r="2" customFormat="false" ht="24" hidden="false" customHeight="true" outlineLevel="0" collapsed="false">
      <c r="A2" s="3" t="s">
        <v>525</v>
      </c>
      <c r="B2" s="3"/>
      <c r="C2" s="3"/>
      <c r="D2" s="3"/>
      <c r="E2" s="3"/>
      <c r="F2" s="3"/>
      <c r="G2" s="3"/>
      <c r="H2" s="3"/>
      <c r="I2" s="3"/>
    </row>
    <row r="3" customFormat="false" ht="9.75" hidden="false" customHeight="true" outlineLevel="0" collapsed="false"/>
    <row r="4" customFormat="false" ht="30" hidden="false" customHeight="true" outlineLevel="0" collapsed="false">
      <c r="A4" s="13" t="s">
        <v>526</v>
      </c>
      <c r="B4" s="13"/>
      <c r="C4" s="13"/>
      <c r="D4" s="13"/>
      <c r="E4" s="13"/>
      <c r="F4" s="13"/>
      <c r="G4" s="13"/>
      <c r="H4" s="13"/>
      <c r="I4" s="13"/>
    </row>
    <row r="5" customFormat="false" ht="39.75" hidden="false" customHeight="true" outlineLevel="0" collapsed="false">
      <c r="A5" s="14" t="s">
        <v>23</v>
      </c>
      <c r="B5" s="14" t="s">
        <v>527</v>
      </c>
      <c r="C5" s="14" t="s">
        <v>528</v>
      </c>
      <c r="D5" s="14" t="s">
        <v>529</v>
      </c>
      <c r="E5" s="14" t="s">
        <v>530</v>
      </c>
      <c r="F5" s="14" t="s">
        <v>531</v>
      </c>
      <c r="G5" s="14" t="s">
        <v>532</v>
      </c>
      <c r="H5" s="14" t="s">
        <v>533</v>
      </c>
      <c r="I5" s="14"/>
    </row>
    <row r="6" customFormat="false" ht="30" hidden="false" customHeight="true" outlineLevel="0" collapsed="false">
      <c r="A6" s="35" t="s">
        <v>35</v>
      </c>
      <c r="B6" s="198" t="n">
        <v>100</v>
      </c>
      <c r="C6" s="199" t="n">
        <v>20000</v>
      </c>
      <c r="D6" s="200" t="n">
        <f aca="false">السيناريوهات!C6</f>
        <v>10000</v>
      </c>
      <c r="E6" s="199" t="n">
        <v>10000</v>
      </c>
      <c r="F6" s="199" t="n">
        <v>10000</v>
      </c>
      <c r="G6" s="199" t="n">
        <v>10000</v>
      </c>
      <c r="H6" s="43" t="str">
        <f aca="false">IF(D6=10000,"✅ موصى به",IF(D6&lt;10000,"🟡 سخي",IF(D6&lt;=20000,"⚠️ متحفظ","🔴 بخيل")))</f>
        <v>✅ موصى به</v>
      </c>
      <c r="I6" s="43"/>
    </row>
    <row r="7" customFormat="false" ht="30" hidden="false" customHeight="true" outlineLevel="0" collapsed="false">
      <c r="A7" s="35" t="s">
        <v>534</v>
      </c>
      <c r="B7" s="160" t="n">
        <v>0.43</v>
      </c>
      <c r="C7" s="160" t="n">
        <v>50</v>
      </c>
      <c r="D7" s="185" t="n">
        <f aca="false">السيناريوهات!C7</f>
        <v>100</v>
      </c>
      <c r="E7" s="160" t="n">
        <v>100</v>
      </c>
      <c r="F7" s="160" t="n">
        <v>150</v>
      </c>
      <c r="G7" s="160" t="n">
        <v>200</v>
      </c>
      <c r="H7" s="43" t="str">
        <f aca="false">IF(D7&lt;75,"⚠️ منخفض",IF(D7&lt;=125,"✅ مثالي",IF(D7&lt;=175,"⚠️ مرتفع","🔴 جداً مرتفع")))</f>
        <v>✅ مثالي</v>
      </c>
      <c r="I7" s="43"/>
    </row>
    <row r="8" customFormat="false" ht="30" hidden="false" customHeight="true" outlineLevel="0" collapsed="false">
      <c r="A8" s="35" t="s">
        <v>535</v>
      </c>
      <c r="B8" s="160" t="n">
        <v>0.43</v>
      </c>
      <c r="C8" s="160" t="n">
        <v>75</v>
      </c>
      <c r="D8" s="185" t="n">
        <f aca="false">السيناريوهات!C8</f>
        <v>150</v>
      </c>
      <c r="E8" s="160" t="n">
        <v>150</v>
      </c>
      <c r="F8" s="160" t="n">
        <v>200</v>
      </c>
      <c r="G8" s="160" t="n">
        <v>250</v>
      </c>
      <c r="H8" s="43" t="str">
        <f aca="false">IF(D8&lt;125,"⚠️ منخفض",IF(D8&lt;=175,"✅ مثالي","⚠️ مرتفع"))</f>
        <v>✅ مثالي</v>
      </c>
      <c r="I8" s="43"/>
    </row>
    <row r="9" customFormat="false" ht="30" hidden="false" customHeight="true" outlineLevel="0" collapsed="false">
      <c r="A9" s="35" t="s">
        <v>536</v>
      </c>
      <c r="B9" s="160" t="n">
        <v>0.43</v>
      </c>
      <c r="C9" s="160" t="n">
        <v>100</v>
      </c>
      <c r="D9" s="185" t="n">
        <f aca="false">السيناريوهات!C9</f>
        <v>200</v>
      </c>
      <c r="E9" s="160" t="n">
        <v>200</v>
      </c>
      <c r="F9" s="160" t="n">
        <v>250</v>
      </c>
      <c r="G9" s="160" t="n">
        <v>300</v>
      </c>
      <c r="H9" s="43" t="str">
        <f aca="false">IF(D9&lt;175,"⚠️ منخفض",IF(D9&lt;=225,"✅ مثالي","⚠️ مرتفع"))</f>
        <v>✅ مثالي</v>
      </c>
      <c r="I9" s="43"/>
    </row>
    <row r="10" customFormat="false" ht="30" hidden="false" customHeight="true" outlineLevel="0" collapsed="false">
      <c r="A10" s="35" t="s">
        <v>537</v>
      </c>
      <c r="B10" s="201" t="n">
        <v>0.0043</v>
      </c>
      <c r="C10" s="201" t="n">
        <v>0.0025</v>
      </c>
      <c r="D10" s="202" t="n">
        <f aca="false">السيناريوهات!C7/السيناريوهات!C6</f>
        <v>0.01</v>
      </c>
      <c r="E10" s="201" t="n">
        <v>0.01</v>
      </c>
      <c r="F10" s="201" t="n">
        <v>0.015</v>
      </c>
      <c r="G10" s="201" t="n">
        <v>0.02</v>
      </c>
      <c r="H10" s="43" t="str">
        <f aca="false">IF(D10&lt;0.005,"🔴 ضعيف",IF(D10&lt;=0.012,"✅ مثالي",IF(D10&lt;=0.018,"⚠️ سخي","🔴 مكلف")))</f>
        <v>✅ مثالي</v>
      </c>
      <c r="I10" s="43"/>
    </row>
    <row r="11" customFormat="false" ht="30" hidden="false" customHeight="true" outlineLevel="0" collapsed="false">
      <c r="A11" s="35" t="s">
        <v>538</v>
      </c>
      <c r="B11" s="201" t="n">
        <v>0.0043</v>
      </c>
      <c r="C11" s="201" t="n">
        <v>0.00375</v>
      </c>
      <c r="D11" s="202" t="n">
        <f aca="false">السيناريوهات!C8/السيناريوهات!C6</f>
        <v>0.015</v>
      </c>
      <c r="E11" s="201" t="n">
        <v>0.015</v>
      </c>
      <c r="F11" s="201" t="n">
        <v>0.02</v>
      </c>
      <c r="G11" s="201" t="n">
        <v>0.025</v>
      </c>
      <c r="H11" s="43" t="str">
        <f aca="false">IF(D11&lt;0.01,"⚠️ ضعيف",IF(D11&lt;=0.018,"✅ مثالي","⚠️ سخي"))</f>
        <v>✅ مثالي</v>
      </c>
      <c r="I11" s="43"/>
    </row>
    <row r="12" customFormat="false" ht="30" hidden="false" customHeight="true" outlineLevel="0" collapsed="false">
      <c r="A12" s="35" t="s">
        <v>539</v>
      </c>
      <c r="B12" s="201" t="n">
        <v>0.0043</v>
      </c>
      <c r="C12" s="201" t="n">
        <v>0.005</v>
      </c>
      <c r="D12" s="202" t="n">
        <f aca="false">السيناريوهات!C9/السيناريوهات!C6</f>
        <v>0.02</v>
      </c>
      <c r="E12" s="201" t="n">
        <v>0.02</v>
      </c>
      <c r="F12" s="201" t="n">
        <v>0.025</v>
      </c>
      <c r="G12" s="201" t="n">
        <v>0.03</v>
      </c>
      <c r="H12" s="43" t="str">
        <f aca="false">IF(D12&lt;0.015,"⚠️ ضعيف",IF(D12&lt;=0.025,"✅ مثالي","⚠️ سخي"))</f>
        <v>✅ مثالي</v>
      </c>
      <c r="I12" s="43"/>
    </row>
    <row r="13" customFormat="false" ht="30" hidden="false" customHeight="true" outlineLevel="0" collapsed="false">
      <c r="A13" s="35" t="s">
        <v>540</v>
      </c>
      <c r="B13" s="203" t="n">
        <v>0.43</v>
      </c>
      <c r="C13" s="203" t="n">
        <v>0.5</v>
      </c>
      <c r="D13" s="204" t="n">
        <f aca="false">السيناريوهات!C10</f>
        <v>1</v>
      </c>
      <c r="E13" s="203" t="n">
        <v>1</v>
      </c>
      <c r="F13" s="203" t="n">
        <v>1.5</v>
      </c>
      <c r="G13" s="203" t="n">
        <v>2</v>
      </c>
      <c r="H13" s="43" t="str">
        <f aca="false">IF(D13&lt;=1,"✅ مستدام",IF(D13&lt;=1.5,"⚠️ مقبول","🔴 مكلف"))</f>
        <v>✅ مستدام</v>
      </c>
      <c r="I13" s="43"/>
    </row>
    <row r="14" customFormat="false" ht="13.5" hidden="false" customHeight="true" outlineLevel="0" collapsed="false"/>
    <row r="15" customFormat="false" ht="37.5" hidden="false" customHeight="true" outlineLevel="0" collapsed="false">
      <c r="A15" s="205" t="s">
        <v>541</v>
      </c>
      <c r="B15" s="105" t="s">
        <v>542</v>
      </c>
      <c r="C15" s="105" t="s">
        <v>543</v>
      </c>
      <c r="D15" s="206" t="str">
        <f aca="false">IF(D10&gt;=0.008,IF(D10&lt;=0.012,"⭐ مثالي",IF(D10&lt;=0.018,"جيد","مكلف")),"ضعيف")</f>
        <v>⭐ مثالي</v>
      </c>
      <c r="E15" s="105" t="s">
        <v>544</v>
      </c>
      <c r="F15" s="105" t="s">
        <v>545</v>
      </c>
      <c r="G15" s="105" t="s">
        <v>546</v>
      </c>
      <c r="H15" s="207"/>
      <c r="I15" s="207"/>
    </row>
    <row r="16" customFormat="false" ht="13.5" hidden="false" customHeight="true" outlineLevel="0" collapsed="false"/>
    <row r="17" customFormat="false" ht="30" hidden="false" customHeight="true" outlineLevel="0" collapsed="false">
      <c r="A17" s="64" t="s">
        <v>547</v>
      </c>
      <c r="B17" s="64"/>
      <c r="C17" s="64"/>
      <c r="D17" s="64"/>
      <c r="E17" s="64"/>
      <c r="F17" s="64"/>
      <c r="G17" s="64"/>
      <c r="H17" s="64"/>
      <c r="I17" s="64"/>
    </row>
    <row r="18" customFormat="false" ht="31.5" hidden="false" customHeight="true" outlineLevel="0" collapsed="false">
      <c r="A18" s="14" t="s">
        <v>203</v>
      </c>
      <c r="B18" s="14" t="s">
        <v>24</v>
      </c>
      <c r="C18" s="14" t="s">
        <v>548</v>
      </c>
      <c r="D18" s="14" t="s">
        <v>529</v>
      </c>
      <c r="E18" s="14" t="s">
        <v>549</v>
      </c>
      <c r="F18" s="14" t="s">
        <v>550</v>
      </c>
      <c r="G18" s="14" t="s">
        <v>545</v>
      </c>
      <c r="H18" s="14" t="s">
        <v>551</v>
      </c>
      <c r="I18" s="14"/>
    </row>
    <row r="19" customFormat="false" ht="31.5" hidden="false" customHeight="true" outlineLevel="0" collapsed="false">
      <c r="A19" s="35" t="s">
        <v>552</v>
      </c>
      <c r="B19" s="208" t="n">
        <f aca="false">B10*514.5*0.7</f>
        <v>1.548645</v>
      </c>
      <c r="C19" s="208" t="n">
        <f aca="false">C10*514.5*0.7</f>
        <v>0.900375</v>
      </c>
      <c r="D19" s="209" t="n">
        <f aca="false">D10*514.5*0.7</f>
        <v>3.6015</v>
      </c>
      <c r="E19" s="208" t="n">
        <f aca="false">E10*514.5*0.7</f>
        <v>3.6015</v>
      </c>
      <c r="F19" s="208" t="n">
        <f aca="false">F10*514.5*0.7</f>
        <v>5.40225</v>
      </c>
      <c r="G19" s="208" t="n">
        <f aca="false">G10*514.5*0.7</f>
        <v>7.203</v>
      </c>
      <c r="H19" s="210" t="n">
        <f aca="false">G19-D19</f>
        <v>3.6015</v>
      </c>
      <c r="I19" s="210"/>
    </row>
    <row r="20" customFormat="false" ht="13.5" hidden="false" customHeight="true" outlineLevel="0" collapsed="false"/>
    <row r="21" customFormat="false" ht="36" hidden="false" customHeight="true" outlineLevel="0" collapsed="false">
      <c r="A21" s="93" t="s">
        <v>553</v>
      </c>
      <c r="B21" s="93"/>
      <c r="C21" s="93"/>
      <c r="D21" s="93"/>
      <c r="E21" s="93"/>
      <c r="F21" s="93"/>
      <c r="G21" s="93"/>
      <c r="H21" s="93"/>
      <c r="I21" s="93"/>
    </row>
    <row r="23" customFormat="false" ht="24" hidden="false" customHeight="true" outlineLevel="0" collapsed="false">
      <c r="A23" s="36" t="s">
        <v>554</v>
      </c>
      <c r="B23" s="36"/>
      <c r="C23" s="36"/>
      <c r="D23" s="36"/>
      <c r="E23" s="36"/>
      <c r="F23" s="36"/>
      <c r="G23" s="36"/>
      <c r="H23" s="36"/>
      <c r="I23" s="36"/>
    </row>
  </sheetData>
  <mergeCells count="18">
    <mergeCell ref="A1:I1"/>
    <mergeCell ref="A2:I2"/>
    <mergeCell ref="A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5:I15"/>
    <mergeCell ref="A17:I17"/>
    <mergeCell ref="H18:I18"/>
    <mergeCell ref="H19:I19"/>
    <mergeCell ref="A21:I21"/>
    <mergeCell ref="A23:I23"/>
  </mergeCells>
  <conditionalFormatting sqref="H6:I6">
    <cfRule type="expression" priority="2" aboveAverage="0" equalAverage="0" bottom="0" percent="0" rank="0" text="" dxfId="0">
      <formula>ISNUMBER(SEARCH("✅",H6))</formula>
    </cfRule>
    <cfRule type="expression" priority="3" aboveAverage="0" equalAverage="0" bottom="0" percent="0" rank="0" text="" dxfId="1">
      <formula>ISNUMBER(SEARCH("⚠️",H6))</formula>
    </cfRule>
    <cfRule type="expression" priority="4" aboveAverage="0" equalAverage="0" bottom="0" percent="0" rank="0" text="" dxfId="2">
      <formula>ISNUMBER(SEARCH("🔴",H6))</formula>
    </cfRule>
    <cfRule type="expression" priority="5" aboveAverage="0" equalAverage="0" bottom="0" percent="0" rank="0" text="" dxfId="11">
      <formula>ISNUMBER(SEARCH("🟡",H6))</formula>
    </cfRule>
  </conditionalFormatting>
  <conditionalFormatting sqref="H7:I7">
    <cfRule type="expression" priority="6" aboveAverage="0" equalAverage="0" bottom="0" percent="0" rank="0" text="" dxfId="0">
      <formula>ISNUMBER(SEARCH("✅",H7))</formula>
    </cfRule>
    <cfRule type="expression" priority="7" aboveAverage="0" equalAverage="0" bottom="0" percent="0" rank="0" text="" dxfId="1">
      <formula>ISNUMBER(SEARCH("⚠️",H7))</formula>
    </cfRule>
    <cfRule type="expression" priority="8" aboveAverage="0" equalAverage="0" bottom="0" percent="0" rank="0" text="" dxfId="2">
      <formula>ISNUMBER(SEARCH("🔴",H7))</formula>
    </cfRule>
    <cfRule type="expression" priority="9" aboveAverage="0" equalAverage="0" bottom="0" percent="0" rank="0" text="" dxfId="11">
      <formula>ISNUMBER(SEARCH("🟡",H7))</formula>
    </cfRule>
  </conditionalFormatting>
  <conditionalFormatting sqref="H8:I8">
    <cfRule type="expression" priority="10" aboveAverage="0" equalAverage="0" bottom="0" percent="0" rank="0" text="" dxfId="0">
      <formula>ISNUMBER(SEARCH("✅",H8))</formula>
    </cfRule>
    <cfRule type="expression" priority="11" aboveAverage="0" equalAverage="0" bottom="0" percent="0" rank="0" text="" dxfId="1">
      <formula>ISNUMBER(SEARCH("⚠️",H8))</formula>
    </cfRule>
    <cfRule type="expression" priority="12" aboveAverage="0" equalAverage="0" bottom="0" percent="0" rank="0" text="" dxfId="2">
      <formula>ISNUMBER(SEARCH("🔴",H8))</formula>
    </cfRule>
    <cfRule type="expression" priority="13" aboveAverage="0" equalAverage="0" bottom="0" percent="0" rank="0" text="" dxfId="11">
      <formula>ISNUMBER(SEARCH("🟡",H8))</formula>
    </cfRule>
  </conditionalFormatting>
  <conditionalFormatting sqref="H9:I9">
    <cfRule type="expression" priority="14" aboveAverage="0" equalAverage="0" bottom="0" percent="0" rank="0" text="" dxfId="0">
      <formula>ISNUMBER(SEARCH("✅",H9))</formula>
    </cfRule>
    <cfRule type="expression" priority="15" aboveAverage="0" equalAverage="0" bottom="0" percent="0" rank="0" text="" dxfId="1">
      <formula>ISNUMBER(SEARCH("⚠️",H9))</formula>
    </cfRule>
    <cfRule type="expression" priority="16" aboveAverage="0" equalAverage="0" bottom="0" percent="0" rank="0" text="" dxfId="2">
      <formula>ISNUMBER(SEARCH("🔴",H9))</formula>
    </cfRule>
    <cfRule type="expression" priority="17" aboveAverage="0" equalAverage="0" bottom="0" percent="0" rank="0" text="" dxfId="11">
      <formula>ISNUMBER(SEARCH("🟡",H9))</formula>
    </cfRule>
  </conditionalFormatting>
  <conditionalFormatting sqref="H10:I10">
    <cfRule type="expression" priority="18" aboveAverage="0" equalAverage="0" bottom="0" percent="0" rank="0" text="" dxfId="0">
      <formula>ISNUMBER(SEARCH("✅",H10))</formula>
    </cfRule>
    <cfRule type="expression" priority="19" aboveAverage="0" equalAverage="0" bottom="0" percent="0" rank="0" text="" dxfId="1">
      <formula>ISNUMBER(SEARCH("⚠️",H10))</formula>
    </cfRule>
    <cfRule type="expression" priority="20" aboveAverage="0" equalAverage="0" bottom="0" percent="0" rank="0" text="" dxfId="2">
      <formula>ISNUMBER(SEARCH("🔴",H10))</formula>
    </cfRule>
    <cfRule type="expression" priority="21" aboveAverage="0" equalAverage="0" bottom="0" percent="0" rank="0" text="" dxfId="11">
      <formula>ISNUMBER(SEARCH("🟡",H10))</formula>
    </cfRule>
  </conditionalFormatting>
  <conditionalFormatting sqref="H11:I11">
    <cfRule type="expression" priority="22" aboveAverage="0" equalAverage="0" bottom="0" percent="0" rank="0" text="" dxfId="0">
      <formula>ISNUMBER(SEARCH("✅",H11))</formula>
    </cfRule>
    <cfRule type="expression" priority="23" aboveAverage="0" equalAverage="0" bottom="0" percent="0" rank="0" text="" dxfId="1">
      <formula>ISNUMBER(SEARCH("⚠️",H11))</formula>
    </cfRule>
    <cfRule type="expression" priority="24" aboveAverage="0" equalAverage="0" bottom="0" percent="0" rank="0" text="" dxfId="2">
      <formula>ISNUMBER(SEARCH("🔴",H11))</formula>
    </cfRule>
    <cfRule type="expression" priority="25" aboveAverage="0" equalAverage="0" bottom="0" percent="0" rank="0" text="" dxfId="11">
      <formula>ISNUMBER(SEARCH("🟡",H11))</formula>
    </cfRule>
  </conditionalFormatting>
  <conditionalFormatting sqref="H12:I12">
    <cfRule type="expression" priority="26" aboveAverage="0" equalAverage="0" bottom="0" percent="0" rank="0" text="" dxfId="0">
      <formula>ISNUMBER(SEARCH("✅",H12))</formula>
    </cfRule>
    <cfRule type="expression" priority="27" aboveAverage="0" equalAverage="0" bottom="0" percent="0" rank="0" text="" dxfId="1">
      <formula>ISNUMBER(SEARCH("⚠️",H12))</formula>
    </cfRule>
    <cfRule type="expression" priority="28" aboveAverage="0" equalAverage="0" bottom="0" percent="0" rank="0" text="" dxfId="2">
      <formula>ISNUMBER(SEARCH("🔴",H12))</formula>
    </cfRule>
    <cfRule type="expression" priority="29" aboveAverage="0" equalAverage="0" bottom="0" percent="0" rank="0" text="" dxfId="11">
      <formula>ISNUMBER(SEARCH("🟡",H12))</formula>
    </cfRule>
  </conditionalFormatting>
  <conditionalFormatting sqref="H13:I13">
    <cfRule type="expression" priority="30" aboveAverage="0" equalAverage="0" bottom="0" percent="0" rank="0" text="" dxfId="0">
      <formula>ISNUMBER(SEARCH("✅",H13))</formula>
    </cfRule>
    <cfRule type="expression" priority="31" aboveAverage="0" equalAverage="0" bottom="0" percent="0" rank="0" text="" dxfId="1">
      <formula>ISNUMBER(SEARCH("⚠️",H13))</formula>
    </cfRule>
    <cfRule type="expression" priority="32" aboveAverage="0" equalAverage="0" bottom="0" percent="0" rank="0" text="" dxfId="2">
      <formula>ISNUMBER(SEARCH("🔴",H13))</formula>
    </cfRule>
    <cfRule type="expression" priority="33" aboveAverage="0" equalAverage="0" bottom="0" percent="0" rank="0" text="" dxfId="11">
      <formula>ISNUMBER(SEARCH("🟡",H13))</formula>
    </cfRule>
  </conditionalFormatting>
  <conditionalFormatting sqref="B10:G10">
    <cfRule type="colorScale" priority="3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1:G11">
    <cfRule type="colorScale" priority="35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2:G12">
    <cfRule type="colorScale" priority="36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B19:G19">
    <cfRule type="dataBar" priority="37">
      <dataBar showValue="1" minLength="10" maxLength="90">
        <cfvo type="min" val="0"/>
        <cfvo type="max" val="0"/>
        <color rgb="FFF18321"/>
      </dataBar>
      <extLst>
        <ext xmlns:x14="http://schemas.microsoft.com/office/spreadsheetml/2009/9/main" uri="{B025F937-C7B1-47D3-B67F-A62EFF666E3E}">
          <x14:id>{DEA3539C-2F00-45DB-AA75-7B5AD5D0D228}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A3539C-2F00-45DB-AA75-7B5AD5D0D228}">
            <x14:dataBar minLength="10" maxLength="90" axisPosition="none" gradient="true">
              <x14:cfvo type="min"/>
              <x14:cfvo type="max"/>
              <x14:negativeFillColor rgb="FFF18321"/>
              <x14:axisColor rgb="FF000000"/>
            </x14:dataBar>
          </x14:cfRule>
          <xm:sqref>B19:G19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7" min="6" style="1" width="14"/>
    <col collapsed="false" customWidth="true" hidden="false" outlineLevel="0" max="8" min="8" style="1" width="12"/>
  </cols>
  <sheetData>
    <row r="1" customFormat="false" ht="37.5" hidden="false" customHeight="true" outlineLevel="0" collapsed="false">
      <c r="A1" s="211" t="s">
        <v>555</v>
      </c>
      <c r="B1" s="211"/>
      <c r="C1" s="211"/>
      <c r="D1" s="211"/>
      <c r="E1" s="211"/>
      <c r="F1" s="211"/>
      <c r="G1" s="211"/>
      <c r="H1" s="211"/>
    </row>
    <row r="2" customFormat="false" ht="24" hidden="false" customHeight="true" outlineLevel="0" collapsed="false">
      <c r="A2" s="3" t="s">
        <v>556</v>
      </c>
      <c r="B2" s="3"/>
      <c r="C2" s="3"/>
      <c r="D2" s="3"/>
      <c r="E2" s="3"/>
      <c r="F2" s="3"/>
      <c r="G2" s="3"/>
      <c r="H2" s="3"/>
    </row>
    <row r="3" customFormat="false" ht="9.75" hidden="false" customHeight="true" outlineLevel="0" collapsed="false"/>
    <row r="4" customFormat="false" ht="30" hidden="false" customHeight="true" outlineLevel="0" collapsed="false">
      <c r="A4" s="13" t="s">
        <v>557</v>
      </c>
      <c r="B4" s="13"/>
      <c r="C4" s="13"/>
      <c r="D4" s="13"/>
      <c r="E4" s="13"/>
      <c r="F4" s="13"/>
      <c r="G4" s="13"/>
      <c r="H4" s="13"/>
    </row>
    <row r="5" customFormat="false" ht="31.5" hidden="false" customHeight="true" outlineLevel="0" collapsed="false">
      <c r="A5" s="14" t="s">
        <v>558</v>
      </c>
      <c r="B5" s="14" t="s">
        <v>559</v>
      </c>
      <c r="C5" s="14" t="s">
        <v>560</v>
      </c>
      <c r="D5" s="14" t="s">
        <v>561</v>
      </c>
    </row>
    <row r="6" customFormat="false" ht="27.75" hidden="false" customHeight="true" outlineLevel="0" collapsed="false">
      <c r="A6" s="35" t="s">
        <v>562</v>
      </c>
      <c r="B6" s="212" t="s">
        <v>563</v>
      </c>
      <c r="C6" s="213" t="n">
        <f aca="false">1/السيناريوهات!C6</f>
        <v>0.0001</v>
      </c>
      <c r="D6" s="91" t="s">
        <v>564</v>
      </c>
    </row>
    <row r="7" customFormat="false" ht="27.75" hidden="false" customHeight="true" outlineLevel="0" collapsed="false">
      <c r="A7" s="35" t="s">
        <v>565</v>
      </c>
      <c r="B7" s="212" t="s">
        <v>566</v>
      </c>
      <c r="C7" s="214" t="n">
        <f aca="false">(1/السيناريوهات!C6)*100</f>
        <v>0.01</v>
      </c>
      <c r="D7" s="91" t="s">
        <v>567</v>
      </c>
    </row>
    <row r="8" customFormat="false" ht="27.75" hidden="false" customHeight="true" outlineLevel="0" collapsed="false">
      <c r="A8" s="35" t="s">
        <v>568</v>
      </c>
      <c r="B8" s="212" t="s">
        <v>569</v>
      </c>
      <c r="C8" s="214" t="n">
        <f aca="false">1/السيناريوهات!C11</f>
        <v>0.429184549356223</v>
      </c>
      <c r="D8" s="91" t="s">
        <v>570</v>
      </c>
    </row>
    <row r="9" customFormat="false" ht="27.75" hidden="false" customHeight="true" outlineLevel="0" collapsed="false">
      <c r="A9" s="35" t="s">
        <v>571</v>
      </c>
      <c r="B9" s="212" t="s">
        <v>572</v>
      </c>
      <c r="C9" s="16" t="n">
        <f aca="false">السيناريوهات!C7</f>
        <v>100</v>
      </c>
      <c r="D9" s="91" t="s">
        <v>570</v>
      </c>
    </row>
    <row r="10" customFormat="false" ht="27.75" hidden="false" customHeight="true" outlineLevel="0" collapsed="false">
      <c r="A10" s="35" t="s">
        <v>573</v>
      </c>
      <c r="B10" s="212" t="s">
        <v>574</v>
      </c>
      <c r="C10" s="16" t="n">
        <f aca="false">السيناريوهات!C8</f>
        <v>150</v>
      </c>
      <c r="D10" s="91" t="s">
        <v>570</v>
      </c>
    </row>
    <row r="11" customFormat="false" ht="27.75" hidden="false" customHeight="true" outlineLevel="0" collapsed="false">
      <c r="A11" s="35" t="s">
        <v>575</v>
      </c>
      <c r="B11" s="212" t="s">
        <v>576</v>
      </c>
      <c r="C11" s="16" t="n">
        <f aca="false">السيناريوهات!C9</f>
        <v>200</v>
      </c>
      <c r="D11" s="91" t="s">
        <v>570</v>
      </c>
    </row>
    <row r="12" customFormat="false" ht="27.75" hidden="false" customHeight="true" outlineLevel="0" collapsed="false">
      <c r="A12" s="35" t="s">
        <v>577</v>
      </c>
      <c r="B12" s="212" t="s">
        <v>578</v>
      </c>
      <c r="C12" s="215" t="n">
        <f aca="false">السيناريوهات!C7/السيناريوهات!C6</f>
        <v>0.01</v>
      </c>
      <c r="D12" s="91" t="s">
        <v>579</v>
      </c>
    </row>
    <row r="13" customFormat="false" ht="27.75" hidden="false" customHeight="true" outlineLevel="0" collapsed="false">
      <c r="A13" s="35" t="s">
        <v>580</v>
      </c>
      <c r="B13" s="212" t="s">
        <v>581</v>
      </c>
      <c r="C13" s="215" t="n">
        <f aca="false">السيناريوهات!C8/السيناريوهات!C6</f>
        <v>0.015</v>
      </c>
      <c r="D13" s="91" t="s">
        <v>579</v>
      </c>
    </row>
    <row r="14" customFormat="false" ht="27.75" hidden="false" customHeight="true" outlineLevel="0" collapsed="false">
      <c r="A14" s="35" t="s">
        <v>582</v>
      </c>
      <c r="B14" s="212" t="s">
        <v>583</v>
      </c>
      <c r="C14" s="215" t="n">
        <f aca="false">السيناريوهات!C9/السيناريوهات!C6</f>
        <v>0.02</v>
      </c>
      <c r="D14" s="91" t="s">
        <v>579</v>
      </c>
    </row>
    <row r="15" customFormat="false" ht="9.75" hidden="false" customHeight="true" outlineLevel="0" collapsed="false"/>
    <row r="16" customFormat="false" ht="30" hidden="false" customHeight="true" outlineLevel="0" collapsed="false">
      <c r="A16" s="64" t="s">
        <v>584</v>
      </c>
      <c r="B16" s="64"/>
      <c r="C16" s="64"/>
      <c r="D16" s="64"/>
      <c r="E16" s="64"/>
      <c r="F16" s="64"/>
      <c r="G16" s="64"/>
      <c r="H16" s="64"/>
    </row>
    <row r="17" customFormat="false" ht="36" hidden="false" customHeight="true" outlineLevel="0" collapsed="false">
      <c r="A17" s="14" t="s">
        <v>216</v>
      </c>
      <c r="B17" s="14" t="s">
        <v>217</v>
      </c>
      <c r="C17" s="14" t="s">
        <v>218</v>
      </c>
      <c r="D17" s="14" t="s">
        <v>9</v>
      </c>
      <c r="E17" s="14" t="s">
        <v>14</v>
      </c>
      <c r="F17" s="14" t="s">
        <v>70</v>
      </c>
      <c r="G17" s="14" t="s">
        <v>220</v>
      </c>
      <c r="H17" s="14" t="s">
        <v>585</v>
      </c>
    </row>
    <row r="18" customFormat="false" ht="30" hidden="false" customHeight="true" outlineLevel="0" collapsed="false">
      <c r="A18" s="35" t="s">
        <v>586</v>
      </c>
      <c r="B18" s="18" t="n">
        <v>500</v>
      </c>
      <c r="C18" s="95" t="n">
        <f aca="false">B18*12</f>
        <v>6000</v>
      </c>
      <c r="D18" s="43" t="str">
        <f aca="false">IF(C18&lt;السيناريوهات!$C$16,"🤍 أبيض",IF(C18&lt;السيناريوهات!$C$17,"🩶 فضي","🟠 برتقالي"))</f>
        <v>🩶 فضي</v>
      </c>
      <c r="E18" s="216" t="n">
        <f aca="false">C18*IF(D18="🤍 أبيض",السيناريوهات!$C$7,IF(D18="🩶 فضي",السيناريوهات!$C$8,السيناريوهات!$C$9))</f>
        <v>900000</v>
      </c>
      <c r="F18" s="217" t="n">
        <f aca="false">E18/السيناريوهات!$C$6</f>
        <v>90</v>
      </c>
      <c r="G18" s="99" t="n">
        <f aca="false">F18/C18</f>
        <v>0.015</v>
      </c>
      <c r="H18" s="218" t="n">
        <f aca="false">G18/0.0043</f>
        <v>3.48837209302326</v>
      </c>
    </row>
    <row r="19" customFormat="false" ht="30" hidden="false" customHeight="true" outlineLevel="0" collapsed="false">
      <c r="A19" s="35" t="s">
        <v>587</v>
      </c>
      <c r="B19" s="18" t="n">
        <v>1500</v>
      </c>
      <c r="C19" s="95" t="n">
        <f aca="false">B19*12</f>
        <v>18000</v>
      </c>
      <c r="D19" s="43" t="str">
        <f aca="false">IF(C19&lt;السيناريوهات!$C$16,"🤍 أبيض",IF(C19&lt;السيناريوهات!$C$17,"🩶 فضي","🟠 برتقالي"))</f>
        <v>🟠 برتقالي</v>
      </c>
      <c r="E19" s="216" t="n">
        <f aca="false">C19*IF(D19="🤍 أبيض",السيناريوهات!$C$7,IF(D19="🩶 فضي",السيناريوهات!$C$8,السيناريوهات!$C$9))</f>
        <v>3600000</v>
      </c>
      <c r="F19" s="217" t="n">
        <f aca="false">E19/السيناريوهات!$C$6</f>
        <v>360</v>
      </c>
      <c r="G19" s="99" t="n">
        <f aca="false">F19/C19</f>
        <v>0.02</v>
      </c>
      <c r="H19" s="218" t="n">
        <f aca="false">G19/0.0043</f>
        <v>4.65116279069768</v>
      </c>
    </row>
    <row r="20" customFormat="false" ht="30" hidden="false" customHeight="true" outlineLevel="0" collapsed="false">
      <c r="A20" s="35" t="s">
        <v>588</v>
      </c>
      <c r="B20" s="18" t="n">
        <v>2500</v>
      </c>
      <c r="C20" s="95" t="n">
        <f aca="false">B20*12</f>
        <v>30000</v>
      </c>
      <c r="D20" s="43" t="str">
        <f aca="false">IF(C20&lt;السيناريوهات!$C$16,"🤍 أبيض",IF(C20&lt;السيناريوهات!$C$17,"🩶 فضي","🟠 برتقالي"))</f>
        <v>🟠 برتقالي</v>
      </c>
      <c r="E20" s="216" t="n">
        <f aca="false">C20*IF(D20="🤍 أبيض",السيناريوهات!$C$7,IF(D20="🩶 فضي",السيناريوهات!$C$8,السيناريوهات!$C$9))</f>
        <v>6000000</v>
      </c>
      <c r="F20" s="217" t="n">
        <f aca="false">E20/السيناريوهات!$C$6</f>
        <v>600</v>
      </c>
      <c r="G20" s="99" t="n">
        <f aca="false">F20/C20</f>
        <v>0.02</v>
      </c>
      <c r="H20" s="218" t="n">
        <f aca="false">G20/0.0043</f>
        <v>4.65116279069768</v>
      </c>
    </row>
    <row r="21" customFormat="false" ht="30" hidden="false" customHeight="true" outlineLevel="0" collapsed="false">
      <c r="A21" s="35" t="s">
        <v>589</v>
      </c>
      <c r="B21" s="18" t="n">
        <v>5000</v>
      </c>
      <c r="C21" s="95" t="n">
        <f aca="false">B21*12</f>
        <v>60000</v>
      </c>
      <c r="D21" s="43" t="str">
        <f aca="false">IF(C21&lt;السيناريوهات!$C$16,"🤍 أبيض",IF(C21&lt;السيناريوهات!$C$17,"🩶 فضي","🟠 برتقالي"))</f>
        <v>🟠 برتقالي</v>
      </c>
      <c r="E21" s="216" t="n">
        <f aca="false">C21*IF(D21="🤍 أبيض",السيناريوهات!$C$7,IF(D21="🩶 فضي",السيناريوهات!$C$8,السيناريوهات!$C$9))</f>
        <v>12000000</v>
      </c>
      <c r="F21" s="217" t="n">
        <f aca="false">E21/السيناريوهات!$C$6</f>
        <v>1200</v>
      </c>
      <c r="G21" s="99" t="n">
        <f aca="false">F21/C21</f>
        <v>0.02</v>
      </c>
      <c r="H21" s="218" t="n">
        <f aca="false">G21/0.0043</f>
        <v>4.65116279069768</v>
      </c>
    </row>
  </sheetData>
  <mergeCells count="4">
    <mergeCell ref="A1:H1"/>
    <mergeCell ref="A2:H2"/>
    <mergeCell ref="A4:H4"/>
    <mergeCell ref="A16:H16"/>
  </mergeCells>
  <conditionalFormatting sqref="G18:G21">
    <cfRule type="colorScale" priority="2">
      <colorScale>
        <cfvo type="num" val="0"/>
        <cfvo type="num" val="0.01"/>
        <cfvo type="num" val="0.025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18"/>
  </cols>
  <sheetData>
    <row r="1" customFormat="false" ht="37.5" hidden="false" customHeight="true" outlineLevel="0" collapsed="false">
      <c r="A1" s="211" t="s">
        <v>590</v>
      </c>
      <c r="B1" s="211"/>
      <c r="C1" s="211"/>
      <c r="D1" s="211"/>
      <c r="E1" s="211"/>
      <c r="F1" s="219"/>
      <c r="G1" s="219"/>
      <c r="H1" s="219"/>
      <c r="I1" s="219"/>
    </row>
    <row r="2" customFormat="false" ht="24" hidden="false" customHeight="true" outlineLevel="0" collapsed="false">
      <c r="A2" s="3" t="s">
        <v>591</v>
      </c>
      <c r="B2" s="3"/>
      <c r="C2" s="3"/>
      <c r="D2" s="3"/>
      <c r="E2" s="3"/>
      <c r="F2" s="220"/>
      <c r="G2" s="220"/>
      <c r="H2" s="220"/>
      <c r="I2" s="220"/>
    </row>
    <row r="3" customFormat="false" ht="9.75" hidden="false" customHeight="true" outlineLevel="0" collapsed="false"/>
    <row r="4" customFormat="false" ht="30" hidden="false" customHeight="true" outlineLevel="0" collapsed="false">
      <c r="A4" s="13" t="s">
        <v>592</v>
      </c>
      <c r="B4" s="13"/>
      <c r="C4" s="13"/>
      <c r="D4" s="13"/>
      <c r="E4" s="13"/>
      <c r="F4" s="219"/>
      <c r="G4" s="219"/>
      <c r="H4" s="219"/>
      <c r="I4" s="219"/>
    </row>
    <row r="5" customFormat="false" ht="31.5" hidden="false" customHeight="true" outlineLevel="0" collapsed="false">
      <c r="A5" s="65" t="s">
        <v>9</v>
      </c>
      <c r="B5" s="65" t="s">
        <v>593</v>
      </c>
      <c r="C5" s="65" t="s">
        <v>11</v>
      </c>
      <c r="D5" s="65" t="s">
        <v>220</v>
      </c>
      <c r="E5" s="65" t="s">
        <v>594</v>
      </c>
    </row>
    <row r="6" customFormat="false" ht="36" hidden="false" customHeight="true" outlineLevel="0" collapsed="false">
      <c r="A6" s="221" t="s">
        <v>595</v>
      </c>
      <c r="B6" s="222" t="n">
        <f aca="false">السيناريوهات!C7</f>
        <v>100</v>
      </c>
      <c r="C6" s="223" t="n">
        <v>0</v>
      </c>
      <c r="D6" s="224" t="n">
        <f aca="false">السيناريوهات!C7/السيناريوهات!C6</f>
        <v>0.01</v>
      </c>
      <c r="E6" s="225" t="n">
        <v>5000</v>
      </c>
    </row>
    <row r="7" customFormat="false" ht="36" hidden="false" customHeight="true" outlineLevel="0" collapsed="false">
      <c r="A7" s="226" t="s">
        <v>596</v>
      </c>
      <c r="B7" s="222" t="n">
        <f aca="false">السيناريوهات!C8</f>
        <v>150</v>
      </c>
      <c r="C7" s="223" t="n">
        <f aca="false">السيناريوهات!C16</f>
        <v>3600</v>
      </c>
      <c r="D7" s="224" t="n">
        <f aca="false">السيناريوهات!C8/السيناريوهات!C6</f>
        <v>0.015</v>
      </c>
      <c r="E7" s="225" t="n">
        <v>10000</v>
      </c>
    </row>
    <row r="8" customFormat="false" ht="36" hidden="false" customHeight="true" outlineLevel="0" collapsed="false">
      <c r="A8" s="227" t="s">
        <v>597</v>
      </c>
      <c r="B8" s="222" t="n">
        <f aca="false">السيناريوهات!C9</f>
        <v>200</v>
      </c>
      <c r="C8" s="223" t="n">
        <f aca="false">السيناريوهات!C17+1</f>
        <v>14401</v>
      </c>
      <c r="D8" s="224" t="n">
        <f aca="false">السيناريوهات!C9/السيناريوهات!C6</f>
        <v>0.02</v>
      </c>
      <c r="E8" s="225" t="n">
        <v>20000</v>
      </c>
    </row>
    <row r="9" customFormat="false" ht="12" hidden="false" customHeight="true" outlineLevel="0" collapsed="false"/>
    <row r="10" customFormat="false" ht="30" hidden="false" customHeight="true" outlineLevel="0" collapsed="false">
      <c r="A10" s="13" t="s">
        <v>598</v>
      </c>
      <c r="B10" s="13"/>
      <c r="C10" s="13"/>
      <c r="D10" s="13"/>
      <c r="E10" s="13"/>
      <c r="F10" s="219"/>
      <c r="G10" s="219"/>
      <c r="H10" s="219"/>
      <c r="I10" s="219"/>
    </row>
    <row r="11" customFormat="false" ht="31.5" hidden="false" customHeight="true" outlineLevel="0" collapsed="false">
      <c r="A11" s="65" t="s">
        <v>599</v>
      </c>
      <c r="B11" s="29" t="s">
        <v>18</v>
      </c>
      <c r="C11" s="30" t="s">
        <v>19</v>
      </c>
      <c r="D11" s="31" t="s">
        <v>20</v>
      </c>
      <c r="E11" s="65" t="s">
        <v>600</v>
      </c>
    </row>
    <row r="12" customFormat="false" ht="27.75" hidden="false" customHeight="true" outlineLevel="0" collapsed="false">
      <c r="A12" s="35" t="s">
        <v>601</v>
      </c>
      <c r="B12" s="25" t="s">
        <v>602</v>
      </c>
      <c r="C12" s="25" t="s">
        <v>603</v>
      </c>
      <c r="D12" s="25" t="s">
        <v>604</v>
      </c>
      <c r="E12" s="228" t="s">
        <v>605</v>
      </c>
    </row>
    <row r="13" customFormat="false" ht="27.75" hidden="false" customHeight="true" outlineLevel="0" collapsed="false">
      <c r="A13" s="35" t="s">
        <v>606</v>
      </c>
      <c r="B13" s="25" t="s">
        <v>602</v>
      </c>
      <c r="C13" s="25" t="s">
        <v>298</v>
      </c>
      <c r="D13" s="25" t="s">
        <v>607</v>
      </c>
      <c r="E13" s="228" t="s">
        <v>608</v>
      </c>
    </row>
    <row r="14" customFormat="false" ht="27.75" hidden="false" customHeight="true" outlineLevel="0" collapsed="false">
      <c r="A14" s="35" t="s">
        <v>609</v>
      </c>
      <c r="B14" s="25" t="s">
        <v>610</v>
      </c>
      <c r="C14" s="25" t="s">
        <v>611</v>
      </c>
      <c r="D14" s="25" t="s">
        <v>612</v>
      </c>
      <c r="E14" s="228" t="s">
        <v>613</v>
      </c>
    </row>
    <row r="15" customFormat="false" ht="27.75" hidden="false" customHeight="true" outlineLevel="0" collapsed="false">
      <c r="A15" s="35" t="s">
        <v>614</v>
      </c>
      <c r="B15" s="25" t="s">
        <v>615</v>
      </c>
      <c r="C15" s="25" t="s">
        <v>53</v>
      </c>
      <c r="D15" s="25" t="s">
        <v>616</v>
      </c>
      <c r="E15" s="228" t="s">
        <v>617</v>
      </c>
    </row>
    <row r="16" customFormat="false" ht="27.75" hidden="false" customHeight="true" outlineLevel="0" collapsed="false">
      <c r="A16" s="35" t="s">
        <v>618</v>
      </c>
      <c r="B16" s="25" t="s">
        <v>602</v>
      </c>
      <c r="C16" s="25" t="s">
        <v>619</v>
      </c>
      <c r="D16" s="25" t="s">
        <v>620</v>
      </c>
      <c r="E16" s="228" t="s">
        <v>621</v>
      </c>
    </row>
    <row r="17" customFormat="false" ht="27.75" hidden="false" customHeight="true" outlineLevel="0" collapsed="false">
      <c r="A17" s="35" t="s">
        <v>622</v>
      </c>
      <c r="B17" s="25" t="s">
        <v>602</v>
      </c>
      <c r="C17" s="25" t="s">
        <v>602</v>
      </c>
      <c r="D17" s="25" t="s">
        <v>623</v>
      </c>
      <c r="E17" s="228" t="s">
        <v>624</v>
      </c>
    </row>
    <row r="18" customFormat="false" ht="12" hidden="false" customHeight="true" outlineLevel="0" collapsed="false"/>
    <row r="19" customFormat="false" ht="30" hidden="false" customHeight="true" outlineLevel="0" collapsed="false">
      <c r="A19" s="64" t="s">
        <v>625</v>
      </c>
      <c r="B19" s="64"/>
      <c r="C19" s="64"/>
      <c r="D19" s="64"/>
      <c r="E19" s="64"/>
      <c r="F19" s="229"/>
      <c r="G19" s="229"/>
      <c r="H19" s="229"/>
      <c r="I19" s="229"/>
    </row>
    <row r="20" customFormat="false" ht="25.5" hidden="false" customHeight="true" outlineLevel="0" collapsed="false">
      <c r="A20" s="63" t="s">
        <v>626</v>
      </c>
      <c r="B20" s="63"/>
      <c r="C20" s="63"/>
      <c r="D20" s="63"/>
      <c r="E20" s="63"/>
    </row>
    <row r="21" customFormat="false" ht="25.5" hidden="false" customHeight="true" outlineLevel="0" collapsed="false">
      <c r="A21" s="63" t="s">
        <v>627</v>
      </c>
      <c r="B21" s="63"/>
      <c r="C21" s="63"/>
      <c r="D21" s="63"/>
      <c r="E21" s="63"/>
    </row>
    <row r="22" customFormat="false" ht="25.5" hidden="false" customHeight="true" outlineLevel="0" collapsed="false">
      <c r="A22" s="63" t="s">
        <v>628</v>
      </c>
      <c r="B22" s="63"/>
      <c r="C22" s="63"/>
      <c r="D22" s="63"/>
      <c r="E22" s="63"/>
    </row>
    <row r="23" customFormat="false" ht="25.5" hidden="false" customHeight="true" outlineLevel="0" collapsed="false">
      <c r="A23" s="63" t="s">
        <v>629</v>
      </c>
      <c r="B23" s="63"/>
      <c r="C23" s="63"/>
      <c r="D23" s="63"/>
      <c r="E23" s="63"/>
    </row>
    <row r="24" customFormat="false" ht="25.5" hidden="false" customHeight="true" outlineLevel="0" collapsed="false">
      <c r="A24" s="63" t="s">
        <v>630</v>
      </c>
      <c r="B24" s="63"/>
      <c r="C24" s="63"/>
      <c r="D24" s="63"/>
      <c r="E24" s="63"/>
    </row>
  </sheetData>
  <mergeCells count="10">
    <mergeCell ref="A1:E1"/>
    <mergeCell ref="A2:E2"/>
    <mergeCell ref="A4:E4"/>
    <mergeCell ref="A10:E10"/>
    <mergeCell ref="A19:E19"/>
    <mergeCell ref="A20:E20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37.5" hidden="false" customHeight="true" outlineLevel="0" collapsed="false">
      <c r="A1" s="211" t="s">
        <v>631</v>
      </c>
      <c r="B1" s="211"/>
      <c r="C1" s="211"/>
      <c r="D1" s="211"/>
      <c r="E1" s="211"/>
      <c r="F1" s="211"/>
      <c r="G1" s="211"/>
    </row>
    <row r="2" customFormat="false" ht="24" hidden="false" customHeight="true" outlineLevel="0" collapsed="false">
      <c r="A2" s="3" t="s">
        <v>632</v>
      </c>
      <c r="B2" s="3"/>
      <c r="C2" s="3"/>
      <c r="D2" s="3"/>
      <c r="E2" s="3"/>
      <c r="F2" s="3"/>
      <c r="G2" s="3"/>
    </row>
    <row r="3" customFormat="false" ht="9.75" hidden="false" customHeight="true" outlineLevel="0" collapsed="false"/>
    <row r="4" customFormat="false" ht="30" hidden="false" customHeight="true" outlineLevel="0" collapsed="false">
      <c r="A4" s="13" t="s">
        <v>633</v>
      </c>
      <c r="B4" s="13"/>
      <c r="C4" s="13"/>
      <c r="D4" s="13"/>
      <c r="E4" s="13"/>
      <c r="F4" s="13"/>
      <c r="G4" s="13"/>
    </row>
    <row r="5" customFormat="false" ht="33.75" hidden="false" customHeight="true" outlineLevel="0" collapsed="false">
      <c r="A5" s="14" t="s">
        <v>203</v>
      </c>
      <c r="B5" s="14" t="s">
        <v>634</v>
      </c>
      <c r="C5" s="14" t="s">
        <v>635</v>
      </c>
      <c r="D5" s="14" t="s">
        <v>636</v>
      </c>
      <c r="E5" s="14" t="s">
        <v>637</v>
      </c>
      <c r="F5" s="14" t="s">
        <v>638</v>
      </c>
      <c r="G5" s="14" t="s">
        <v>221</v>
      </c>
    </row>
    <row r="6" customFormat="false" ht="27.75" hidden="false" customHeight="true" outlineLevel="0" collapsed="false">
      <c r="A6" s="35" t="s">
        <v>639</v>
      </c>
      <c r="B6" s="230" t="n">
        <f aca="false">السيناريوهات!C26</f>
        <v>10</v>
      </c>
      <c r="C6" s="230" t="n">
        <f aca="false">السيناريوهات!C27</f>
        <v>10</v>
      </c>
      <c r="D6" s="230" t="n">
        <f aca="false">السيناريوهات!C28</f>
        <v>1.5</v>
      </c>
      <c r="E6" s="231"/>
      <c r="F6" s="231"/>
      <c r="G6" s="231"/>
    </row>
    <row r="7" customFormat="false" ht="27.75" hidden="false" customHeight="true" outlineLevel="0" collapsed="false">
      <c r="A7" s="35" t="s">
        <v>640</v>
      </c>
      <c r="B7" s="232" t="n">
        <f aca="false">B6/السيناريوهات!$C$11</f>
        <v>4.29184549356223</v>
      </c>
      <c r="C7" s="232" t="n">
        <f aca="false">C6/السيناريوهات!$C$11</f>
        <v>4.29184549356223</v>
      </c>
      <c r="D7" s="232" t="n">
        <f aca="false">D6/السيناريوهات!$C$11</f>
        <v>0.643776824034335</v>
      </c>
      <c r="E7" s="231"/>
      <c r="F7" s="231"/>
      <c r="G7" s="231"/>
    </row>
    <row r="8" customFormat="false" ht="27.75" hidden="false" customHeight="true" outlineLevel="0" collapsed="false">
      <c r="A8" s="233" t="s">
        <v>641</v>
      </c>
      <c r="B8" s="234" t="n">
        <f aca="false">السيناريوهات!$C$10</f>
        <v>1</v>
      </c>
      <c r="C8" s="234" t="n">
        <f aca="false">السيناريوهات!$C$10</f>
        <v>1</v>
      </c>
      <c r="D8" s="234" t="n">
        <f aca="false">السيناريوهات!$C$10</f>
        <v>1</v>
      </c>
      <c r="E8" s="231"/>
      <c r="F8" s="231"/>
      <c r="G8" s="231"/>
    </row>
    <row r="9" customFormat="false" ht="27.75" hidden="false" customHeight="true" outlineLevel="0" collapsed="false">
      <c r="A9" s="235" t="s">
        <v>642</v>
      </c>
      <c r="B9" s="236" t="n">
        <v>1</v>
      </c>
      <c r="C9" s="236" t="n">
        <v>0.5</v>
      </c>
      <c r="D9" s="236" t="n">
        <f aca="false">السيناريوهات!C29</f>
        <v>0.5</v>
      </c>
      <c r="E9" s="231"/>
      <c r="F9" s="231"/>
      <c r="G9" s="231"/>
    </row>
    <row r="10" customFormat="false" ht="27.75" hidden="false" customHeight="true" outlineLevel="0" collapsed="false">
      <c r="A10" s="237" t="s">
        <v>643</v>
      </c>
      <c r="B10" s="238" t="n">
        <f aca="false">B8*B9</f>
        <v>1</v>
      </c>
      <c r="C10" s="238" t="n">
        <f aca="false">C8*C9</f>
        <v>0.5</v>
      </c>
      <c r="D10" s="238" t="n">
        <f aca="false">D8*D9</f>
        <v>0.5</v>
      </c>
      <c r="E10" s="231"/>
      <c r="F10" s="231"/>
      <c r="G10" s="231"/>
    </row>
    <row r="11" customFormat="false" ht="27.75" hidden="false" customHeight="true" outlineLevel="0" collapsed="false">
      <c r="A11" s="239" t="s">
        <v>644</v>
      </c>
      <c r="B11" s="240" t="n">
        <f aca="false">B7</f>
        <v>4.29184549356223</v>
      </c>
      <c r="C11" s="240" t="n">
        <f aca="false">C7-(C8*(1-C9))</f>
        <v>3.79184549356223</v>
      </c>
      <c r="D11" s="240" t="n">
        <f aca="false">D7-(D8*(1-D9))</f>
        <v>0.143776824034335</v>
      </c>
      <c r="E11" s="231"/>
      <c r="F11" s="231"/>
      <c r="G11" s="231"/>
    </row>
    <row r="12" customFormat="false" ht="27.75" hidden="false" customHeight="true" outlineLevel="0" collapsed="false">
      <c r="A12" s="33" t="s">
        <v>645</v>
      </c>
      <c r="B12" s="43" t="str">
        <f aca="false">IF(B11&gt;0.5,"✅ مربح",IF(B11&gt;0,"⚠️ هامش ضيق","🔴 خسارة"))</f>
        <v>✅ مربح</v>
      </c>
      <c r="C12" s="43" t="str">
        <f aca="false">IF(C11&gt;0.5,"✅ مربح",IF(C11&gt;0,"⚠️ هامش ضيق","🔴 خسارة"))</f>
        <v>✅ مربح</v>
      </c>
      <c r="D12" s="43" t="str">
        <f aca="false">IF(D11&gt;0.5,"✅ مربح",IF(D11&gt;0,"⚠️ هامش ضيق","🔴 خسارة"))</f>
        <v>⚠️ هامش ضيق</v>
      </c>
      <c r="E12" s="231"/>
      <c r="F12" s="231"/>
      <c r="G12" s="231"/>
    </row>
  </sheetData>
  <mergeCells count="3">
    <mergeCell ref="A1:G1"/>
    <mergeCell ref="A2:G2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7" min="5" style="1" width="16"/>
  </cols>
  <sheetData>
    <row r="1" customFormat="false" ht="37.5" hidden="false" customHeight="true" outlineLevel="0" collapsed="false">
      <c r="A1" s="211" t="s">
        <v>646</v>
      </c>
      <c r="B1" s="211"/>
      <c r="C1" s="211"/>
      <c r="D1" s="211"/>
      <c r="E1" s="211"/>
      <c r="F1" s="211"/>
      <c r="G1" s="211"/>
    </row>
    <row r="2" customFormat="false" ht="24" hidden="false" customHeight="true" outlineLevel="0" collapsed="false">
      <c r="A2" s="3" t="s">
        <v>647</v>
      </c>
      <c r="B2" s="3"/>
      <c r="C2" s="3"/>
      <c r="D2" s="3"/>
      <c r="E2" s="3"/>
      <c r="F2" s="3"/>
      <c r="G2" s="3"/>
    </row>
    <row r="3" customFormat="false" ht="9.75" hidden="false" customHeight="true" outlineLevel="0" collapsed="false"/>
    <row r="4" customFormat="false" ht="30" hidden="false" customHeight="true" outlineLevel="0" collapsed="false">
      <c r="A4" s="13" t="s">
        <v>648</v>
      </c>
      <c r="B4" s="13"/>
      <c r="C4" s="13"/>
      <c r="D4" s="13"/>
      <c r="E4" s="13"/>
      <c r="F4" s="13"/>
      <c r="G4" s="13"/>
    </row>
    <row r="5" customFormat="false" ht="30" hidden="false" customHeight="true" outlineLevel="0" collapsed="false">
      <c r="A5" s="206" t="s">
        <v>410</v>
      </c>
      <c r="B5" s="35" t="s">
        <v>649</v>
      </c>
      <c r="C5" s="63" t="s">
        <v>650</v>
      </c>
      <c r="D5" s="231"/>
      <c r="E5" s="231"/>
      <c r="F5" s="231"/>
      <c r="G5" s="231"/>
    </row>
    <row r="6" customFormat="false" ht="30" hidden="false" customHeight="true" outlineLevel="0" collapsed="false">
      <c r="A6" s="206" t="s">
        <v>416</v>
      </c>
      <c r="B6" s="35" t="s">
        <v>651</v>
      </c>
      <c r="C6" s="63" t="s">
        <v>652</v>
      </c>
      <c r="D6" s="231"/>
      <c r="E6" s="231"/>
      <c r="F6" s="231"/>
      <c r="G6" s="231"/>
    </row>
    <row r="7" customFormat="false" ht="30" hidden="false" customHeight="true" outlineLevel="0" collapsed="false">
      <c r="A7" s="206" t="s">
        <v>422</v>
      </c>
      <c r="B7" s="35" t="s">
        <v>653</v>
      </c>
      <c r="C7" s="63" t="s">
        <v>654</v>
      </c>
      <c r="D7" s="231"/>
      <c r="E7" s="231"/>
      <c r="F7" s="231"/>
      <c r="G7" s="231"/>
    </row>
    <row r="8" customFormat="false" ht="30" hidden="false" customHeight="true" outlineLevel="0" collapsed="false">
      <c r="A8" s="206" t="s">
        <v>427</v>
      </c>
      <c r="B8" s="35" t="s">
        <v>655</v>
      </c>
      <c r="C8" s="63" t="s">
        <v>656</v>
      </c>
      <c r="D8" s="231"/>
      <c r="E8" s="231"/>
      <c r="F8" s="231"/>
      <c r="G8" s="231"/>
    </row>
    <row r="9" customFormat="false" ht="30" hidden="false" customHeight="true" outlineLevel="0" collapsed="false">
      <c r="A9" s="206" t="s">
        <v>433</v>
      </c>
      <c r="B9" s="35" t="s">
        <v>657</v>
      </c>
      <c r="C9" s="63" t="s">
        <v>658</v>
      </c>
      <c r="D9" s="231"/>
      <c r="E9" s="231"/>
      <c r="F9" s="231"/>
      <c r="G9" s="231"/>
    </row>
    <row r="10" customFormat="false" ht="9.75" hidden="false" customHeight="true" outlineLevel="0" collapsed="false"/>
    <row r="11" customFormat="false" ht="30" hidden="false" customHeight="true" outlineLevel="0" collapsed="false">
      <c r="A11" s="64" t="s">
        <v>659</v>
      </c>
      <c r="B11" s="64"/>
      <c r="C11" s="64"/>
      <c r="D11" s="64"/>
      <c r="E11" s="64"/>
      <c r="F11" s="64"/>
      <c r="G11" s="64"/>
    </row>
    <row r="12" customFormat="false" ht="31.5" hidden="false" customHeight="true" outlineLevel="0" collapsed="false">
      <c r="A12" s="14" t="s">
        <v>68</v>
      </c>
      <c r="B12" s="14" t="s">
        <v>660</v>
      </c>
      <c r="C12" s="14" t="s">
        <v>661</v>
      </c>
      <c r="D12" s="14" t="s">
        <v>662</v>
      </c>
      <c r="E12" s="14" t="s">
        <v>663</v>
      </c>
      <c r="F12" s="14" t="s">
        <v>664</v>
      </c>
      <c r="G12" s="14" t="s">
        <v>360</v>
      </c>
    </row>
    <row r="13" customFormat="false" ht="25.5" hidden="false" customHeight="true" outlineLevel="0" collapsed="false">
      <c r="A13" s="40" t="n">
        <v>1</v>
      </c>
      <c r="B13" s="241" t="s">
        <v>665</v>
      </c>
      <c r="C13" s="122" t="s">
        <v>666</v>
      </c>
      <c r="D13" s="242" t="n">
        <v>95000</v>
      </c>
      <c r="E13" s="95" t="n">
        <f aca="false">D13*السيناريوهات!$C$11</f>
        <v>221350</v>
      </c>
      <c r="F13" s="22" t="n">
        <f aca="false">E13*السيناريوهات!$C$10*السيناريوهات!$C$30/100</f>
        <v>1106.75</v>
      </c>
      <c r="G13" s="243" t="n">
        <f aca="false">E13*السيناريوهات!$C$10*السيناريوهات!$C$29/100</f>
        <v>1106.75</v>
      </c>
    </row>
    <row r="14" customFormat="false" ht="25.5" hidden="false" customHeight="true" outlineLevel="0" collapsed="false">
      <c r="A14" s="40" t="n">
        <v>2</v>
      </c>
      <c r="B14" s="241" t="s">
        <v>667</v>
      </c>
      <c r="C14" s="122" t="s">
        <v>668</v>
      </c>
      <c r="D14" s="242" t="n">
        <v>82000</v>
      </c>
      <c r="E14" s="95" t="n">
        <f aca="false">D14*السيناريوهات!$C$11</f>
        <v>191060</v>
      </c>
      <c r="F14" s="22" t="n">
        <f aca="false">E14*السيناريوهات!$C$10*السيناريوهات!$C$30/100</f>
        <v>955.3</v>
      </c>
      <c r="G14" s="243" t="n">
        <f aca="false">E14*السيناريوهات!$C$10*السيناريوهات!$C$29/100</f>
        <v>955.3</v>
      </c>
    </row>
    <row r="15" customFormat="false" ht="25.5" hidden="false" customHeight="true" outlineLevel="0" collapsed="false">
      <c r="A15" s="40" t="n">
        <v>3</v>
      </c>
      <c r="B15" s="241" t="s">
        <v>669</v>
      </c>
      <c r="C15" s="122" t="s">
        <v>670</v>
      </c>
      <c r="D15" s="242" t="n">
        <v>78000</v>
      </c>
      <c r="E15" s="95" t="n">
        <f aca="false">D15*السيناريوهات!$C$11</f>
        <v>181740</v>
      </c>
      <c r="F15" s="22" t="n">
        <f aca="false">E15*السيناريوهات!$C$10*السيناريوهات!$C$30/100</f>
        <v>908.7</v>
      </c>
      <c r="G15" s="243" t="n">
        <f aca="false">E15*السيناريوهات!$C$10*السيناريوهات!$C$29/100</f>
        <v>908.7</v>
      </c>
    </row>
    <row r="16" customFormat="false" ht="25.5" hidden="false" customHeight="true" outlineLevel="0" collapsed="false">
      <c r="A16" s="40" t="n">
        <v>4</v>
      </c>
      <c r="B16" s="241" t="s">
        <v>671</v>
      </c>
      <c r="C16" s="122" t="s">
        <v>672</v>
      </c>
      <c r="D16" s="242" t="n">
        <v>88000</v>
      </c>
      <c r="E16" s="95" t="n">
        <f aca="false">D16*السيناريوهات!$C$11</f>
        <v>205040</v>
      </c>
      <c r="F16" s="22" t="n">
        <f aca="false">E16*السيناريوهات!$C$10*السيناريوهات!$C$30/100</f>
        <v>1025.2</v>
      </c>
      <c r="G16" s="243" t="n">
        <f aca="false">E16*السيناريوهات!$C$10*السيناريوهات!$C$29/100</f>
        <v>1025.2</v>
      </c>
    </row>
    <row r="17" customFormat="false" ht="25.5" hidden="false" customHeight="true" outlineLevel="0" collapsed="false">
      <c r="A17" s="40" t="n">
        <v>5</v>
      </c>
      <c r="B17" s="241" t="s">
        <v>673</v>
      </c>
      <c r="C17" s="122" t="s">
        <v>674</v>
      </c>
      <c r="D17" s="242" t="n">
        <v>65000</v>
      </c>
      <c r="E17" s="95" t="n">
        <f aca="false">D17*السيناريوهات!$C$11</f>
        <v>151450</v>
      </c>
      <c r="F17" s="22" t="n">
        <f aca="false">E17*السيناريوهات!$C$10*السيناريوهات!$C$30/100</f>
        <v>757.25</v>
      </c>
      <c r="G17" s="243" t="n">
        <f aca="false">E17*السيناريوهات!$C$10*السيناريوهات!$C$29/100</f>
        <v>757.25</v>
      </c>
    </row>
    <row r="18" customFormat="false" ht="25.5" hidden="false" customHeight="true" outlineLevel="0" collapsed="false">
      <c r="A18" s="40" t="n">
        <v>6</v>
      </c>
      <c r="B18" s="241" t="s">
        <v>675</v>
      </c>
      <c r="C18" s="122" t="s">
        <v>676</v>
      </c>
      <c r="D18" s="242" t="n">
        <v>58000</v>
      </c>
      <c r="E18" s="95" t="n">
        <f aca="false">D18*السيناريوهات!$C$11</f>
        <v>135140</v>
      </c>
      <c r="F18" s="22" t="n">
        <f aca="false">E18*السيناريوهات!$C$10*السيناريوهات!$C$30/100</f>
        <v>675.7</v>
      </c>
      <c r="G18" s="243" t="n">
        <f aca="false">E18*السيناريوهات!$C$10*السيناريوهات!$C$29/100</f>
        <v>675.7</v>
      </c>
    </row>
    <row r="19" customFormat="false" ht="25.5" hidden="false" customHeight="true" outlineLevel="0" collapsed="false">
      <c r="A19" s="40" t="n">
        <v>7</v>
      </c>
      <c r="B19" s="241" t="s">
        <v>677</v>
      </c>
      <c r="C19" s="122" t="s">
        <v>678</v>
      </c>
      <c r="D19" s="242" t="n">
        <v>52000</v>
      </c>
      <c r="E19" s="95" t="n">
        <f aca="false">D19*السيناريوهات!$C$11</f>
        <v>121160</v>
      </c>
      <c r="F19" s="22" t="n">
        <f aca="false">E19*السيناريوهات!$C$10*السيناريوهات!$C$30/100</f>
        <v>605.8</v>
      </c>
      <c r="G19" s="243" t="n">
        <f aca="false">E19*السيناريوهات!$C$10*السيناريوهات!$C$29/100</f>
        <v>605.8</v>
      </c>
    </row>
    <row r="20" customFormat="false" ht="25.5" hidden="false" customHeight="true" outlineLevel="0" collapsed="false">
      <c r="A20" s="40" t="n">
        <v>8</v>
      </c>
      <c r="B20" s="241" t="s">
        <v>679</v>
      </c>
      <c r="C20" s="122" t="s">
        <v>680</v>
      </c>
      <c r="D20" s="242" t="n">
        <v>71000</v>
      </c>
      <c r="E20" s="95" t="n">
        <f aca="false">D20*السيناريوهات!$C$11</f>
        <v>165430</v>
      </c>
      <c r="F20" s="22" t="n">
        <f aca="false">E20*السيناريوهات!$C$10*السيناريوهات!$C$30/100</f>
        <v>827.15</v>
      </c>
      <c r="G20" s="243" t="n">
        <f aca="false">E20*السيناريوهات!$C$10*السيناريوهات!$C$29/100</f>
        <v>827.15</v>
      </c>
    </row>
    <row r="21" customFormat="false" ht="25.5" hidden="false" customHeight="true" outlineLevel="0" collapsed="false">
      <c r="A21" s="40" t="n">
        <v>9</v>
      </c>
      <c r="B21" s="241" t="s">
        <v>681</v>
      </c>
      <c r="C21" s="122" t="s">
        <v>682</v>
      </c>
      <c r="D21" s="242" t="n">
        <v>68000</v>
      </c>
      <c r="E21" s="95" t="n">
        <f aca="false">D21*السيناريوهات!$C$11</f>
        <v>158440</v>
      </c>
      <c r="F21" s="22" t="n">
        <f aca="false">E21*السيناريوهات!$C$10*السيناريوهات!$C$30/100</f>
        <v>792.2</v>
      </c>
      <c r="G21" s="243" t="n">
        <f aca="false">E21*السيناريوهات!$C$10*السيناريوهات!$C$29/100</f>
        <v>792.2</v>
      </c>
    </row>
    <row r="22" customFormat="false" ht="25.5" hidden="false" customHeight="true" outlineLevel="0" collapsed="false">
      <c r="A22" s="40" t="n">
        <v>10</v>
      </c>
      <c r="B22" s="241" t="s">
        <v>683</v>
      </c>
      <c r="C22" s="122" t="s">
        <v>684</v>
      </c>
      <c r="D22" s="242" t="n">
        <v>49000</v>
      </c>
      <c r="E22" s="95" t="n">
        <f aca="false">D22*السيناريوهات!$C$11</f>
        <v>114170</v>
      </c>
      <c r="F22" s="22" t="n">
        <f aca="false">E22*السيناريوهات!$C$10*السيناريوهات!$C$30/100</f>
        <v>570.85</v>
      </c>
      <c r="G22" s="243" t="n">
        <f aca="false">E22*السيناريوهات!$C$10*السيناريوهات!$C$29/100</f>
        <v>570.85</v>
      </c>
    </row>
    <row r="23" customFormat="false" ht="33.75" hidden="false" customHeight="true" outlineLevel="0" collapsed="false">
      <c r="A23" s="183" t="s">
        <v>685</v>
      </c>
      <c r="B23" s="183"/>
      <c r="C23" s="183"/>
      <c r="D23" s="244" t="n">
        <f aca="false">SUM(D13:D22)</f>
        <v>706000</v>
      </c>
      <c r="E23" s="245" t="n">
        <f aca="false">SUM(E13:E22)</f>
        <v>1644980</v>
      </c>
      <c r="F23" s="245" t="n">
        <f aca="false">SUM(F13:F22)</f>
        <v>8224.9</v>
      </c>
      <c r="G23" s="245" t="n">
        <f aca="false">SUM(G13:G22)</f>
        <v>8224.9</v>
      </c>
    </row>
    <row r="24" customFormat="false" ht="33.75" hidden="false" customHeight="true" outlineLevel="0" collapsed="false">
      <c r="A24" s="188" t="s">
        <v>686</v>
      </c>
      <c r="B24" s="188"/>
      <c r="C24" s="188"/>
      <c r="D24" s="246" t="n">
        <f aca="false">D23*12</f>
        <v>8472000</v>
      </c>
      <c r="E24" s="247" t="n">
        <f aca="false">E23*12</f>
        <v>19739760</v>
      </c>
      <c r="F24" s="247" t="n">
        <f aca="false">F23*12</f>
        <v>98698.8</v>
      </c>
      <c r="G24" s="247" t="n">
        <f aca="false">G23*12</f>
        <v>98698.8</v>
      </c>
    </row>
  </sheetData>
  <mergeCells count="6">
    <mergeCell ref="A1:G1"/>
    <mergeCell ref="A2:G2"/>
    <mergeCell ref="A4:G4"/>
    <mergeCell ref="A11:G11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4"/>
    <col collapsed="false" customWidth="true" hidden="false" outlineLevel="0" max="7" min="7" style="1" width="12"/>
  </cols>
  <sheetData>
    <row r="1" customFormat="false" ht="37.5" hidden="false" customHeight="true" outlineLevel="0" collapsed="false">
      <c r="A1" s="211" t="s">
        <v>687</v>
      </c>
      <c r="B1" s="211"/>
      <c r="C1" s="211"/>
      <c r="D1" s="211"/>
      <c r="E1" s="211"/>
      <c r="F1" s="211"/>
      <c r="G1" s="211"/>
    </row>
    <row r="2" customFormat="false" ht="24" hidden="false" customHeight="true" outlineLevel="0" collapsed="false">
      <c r="A2" s="3" t="s">
        <v>688</v>
      </c>
      <c r="B2" s="3"/>
      <c r="C2" s="3"/>
      <c r="D2" s="3"/>
      <c r="E2" s="3"/>
      <c r="F2" s="3"/>
      <c r="G2" s="3"/>
    </row>
    <row r="3" customFormat="false" ht="9.75" hidden="false" customHeight="true" outlineLevel="0" collapsed="false"/>
    <row r="4" customFormat="false" ht="30" hidden="false" customHeight="true" outlineLevel="0" collapsed="false">
      <c r="A4" s="13" t="s">
        <v>689</v>
      </c>
      <c r="B4" s="13"/>
      <c r="C4" s="13"/>
      <c r="D4" s="13"/>
      <c r="E4" s="13"/>
      <c r="F4" s="13"/>
      <c r="G4" s="13"/>
    </row>
    <row r="5" customFormat="false" ht="31.5" hidden="false" customHeight="true" outlineLevel="0" collapsed="false">
      <c r="A5" s="14" t="s">
        <v>690</v>
      </c>
      <c r="B5" s="14" t="s">
        <v>691</v>
      </c>
      <c r="C5" s="14" t="s">
        <v>692</v>
      </c>
      <c r="D5" s="14" t="s">
        <v>693</v>
      </c>
      <c r="E5" s="14" t="s">
        <v>694</v>
      </c>
      <c r="F5" s="14" t="s">
        <v>695</v>
      </c>
      <c r="G5" s="14" t="s">
        <v>696</v>
      </c>
    </row>
    <row r="6" customFormat="false" ht="27.75" hidden="false" customHeight="true" outlineLevel="0" collapsed="false">
      <c r="A6" s="35" t="s">
        <v>697</v>
      </c>
      <c r="B6" s="248" t="n">
        <v>30</v>
      </c>
      <c r="C6" s="248" t="n">
        <v>35</v>
      </c>
      <c r="D6" s="248" t="n">
        <v>42</v>
      </c>
      <c r="E6" s="248" t="n">
        <v>50</v>
      </c>
      <c r="F6" s="248" t="n">
        <v>58</v>
      </c>
      <c r="G6" s="249" t="n">
        <f aca="false">(F6-B6)/B6</f>
        <v>0.933333333333333</v>
      </c>
    </row>
    <row r="7" customFormat="false" ht="27.75" hidden="false" customHeight="true" outlineLevel="0" collapsed="false">
      <c r="A7" s="35" t="s">
        <v>698</v>
      </c>
      <c r="B7" s="248" t="n">
        <v>70</v>
      </c>
      <c r="C7" s="248" t="n">
        <v>80</v>
      </c>
      <c r="D7" s="248" t="n">
        <v>88</v>
      </c>
      <c r="E7" s="248" t="n">
        <v>95</v>
      </c>
      <c r="F7" s="248" t="n">
        <v>100</v>
      </c>
      <c r="G7" s="249" t="n">
        <f aca="false">(F7-B7)/B7</f>
        <v>0.428571428571429</v>
      </c>
    </row>
    <row r="8" customFormat="false" ht="27.75" hidden="false" customHeight="true" outlineLevel="0" collapsed="false">
      <c r="A8" s="35" t="s">
        <v>699</v>
      </c>
      <c r="B8" s="248" t="n">
        <v>73</v>
      </c>
      <c r="C8" s="248" t="n">
        <v>90</v>
      </c>
      <c r="D8" s="248" t="n">
        <v>105</v>
      </c>
      <c r="E8" s="248" t="n">
        <v>120</v>
      </c>
      <c r="F8" s="248" t="n">
        <v>135</v>
      </c>
      <c r="G8" s="249" t="n">
        <f aca="false">(F8-B8)/B8</f>
        <v>0.849315068493151</v>
      </c>
    </row>
    <row r="9" customFormat="false" ht="31.5" hidden="false" customHeight="true" outlineLevel="0" collapsed="false">
      <c r="A9" s="250" t="s">
        <v>700</v>
      </c>
      <c r="B9" s="251" t="n">
        <f aca="false">SUM(B6:B8)</f>
        <v>173</v>
      </c>
      <c r="C9" s="251" t="n">
        <f aca="false">SUM(C6:C8)</f>
        <v>205</v>
      </c>
      <c r="D9" s="251" t="n">
        <f aca="false">SUM(D6:D8)</f>
        <v>235</v>
      </c>
      <c r="E9" s="251" t="n">
        <f aca="false">SUM(E6:E8)</f>
        <v>265</v>
      </c>
      <c r="F9" s="251" t="n">
        <f aca="false">SUM(F6:F8)</f>
        <v>293</v>
      </c>
      <c r="G9" s="252" t="n">
        <f aca="false">(F9-B9)/B9</f>
        <v>0.69364161849711</v>
      </c>
    </row>
    <row r="10" customFormat="false" ht="9.75" hidden="false" customHeight="true" outlineLevel="0" collapsed="false"/>
    <row r="11" customFormat="false" ht="30" hidden="false" customHeight="true" outlineLevel="0" collapsed="false">
      <c r="A11" s="64" t="s">
        <v>701</v>
      </c>
      <c r="B11" s="64"/>
      <c r="C11" s="64"/>
      <c r="D11" s="64"/>
      <c r="E11" s="64"/>
      <c r="F11" s="64"/>
      <c r="G11" s="64"/>
    </row>
    <row r="12" customFormat="false" ht="31.5" hidden="false" customHeight="true" outlineLevel="0" collapsed="false">
      <c r="A12" s="14" t="s">
        <v>690</v>
      </c>
      <c r="B12" s="14" t="s">
        <v>691</v>
      </c>
      <c r="C12" s="14" t="s">
        <v>692</v>
      </c>
      <c r="D12" s="14" t="s">
        <v>693</v>
      </c>
      <c r="E12" s="14" t="s">
        <v>694</v>
      </c>
      <c r="F12" s="14" t="s">
        <v>695</v>
      </c>
      <c r="G12" s="14" t="s">
        <v>696</v>
      </c>
    </row>
    <row r="13" customFormat="false" ht="27.75" hidden="false" customHeight="true" outlineLevel="0" collapsed="false">
      <c r="A13" s="46" t="s">
        <v>702</v>
      </c>
      <c r="B13" s="253" t="n">
        <f aca="false">B6*السيناريوهات!$C$31*12*السيناريوهات!$C$11*السيناريوهات!$C$10/100/1000000</f>
        <v>0.67104</v>
      </c>
      <c r="C13" s="253" t="n">
        <f aca="false">C6*السيناريوهات!$C$31*12*السيناريوهات!$C$11*السيناريوهات!$C$10/100/1000000</f>
        <v>0.78288</v>
      </c>
      <c r="D13" s="253" t="n">
        <f aca="false">D6*السيناريوهات!$C$31*12*السيناريوهات!$C$11*السيناريوهات!$C$10/100/1000000</f>
        <v>0.939456</v>
      </c>
      <c r="E13" s="253" t="n">
        <f aca="false">E6*السيناريوهات!$C$31*12*السيناريوهات!$C$11*السيناريوهات!$C$10/100/1000000</f>
        <v>1.1184</v>
      </c>
      <c r="F13" s="253" t="n">
        <f aca="false">F6*السيناريوهات!$C$31*12*السيناريوهات!$C$11*السيناريوهات!$C$10/100/1000000</f>
        <v>1.297344</v>
      </c>
      <c r="G13" s="254" t="n">
        <f aca="false">(F13-B13)/B13</f>
        <v>0.933333333333334</v>
      </c>
    </row>
    <row r="14" customFormat="false" ht="27.75" hidden="false" customHeight="true" outlineLevel="0" collapsed="false">
      <c r="A14" s="46" t="s">
        <v>703</v>
      </c>
      <c r="B14" s="253" t="n">
        <f aca="false">B7*السيناريوهات!$C$31*12*السيناريوهات!$C$11*السيناريوهات!$C$10*0.5/100/1000000</f>
        <v>0.78288</v>
      </c>
      <c r="C14" s="253" t="n">
        <f aca="false">C7*السيناريوهات!$C$31*12*السيناريوهات!$C$11*السيناريوهات!$C$10*0.5/100/1000000</f>
        <v>0.89472</v>
      </c>
      <c r="D14" s="253" t="n">
        <f aca="false">D7*السيناريوهات!$C$31*12*السيناريوهات!$C$11*السيناريوهات!$C$10*0.5/100/1000000</f>
        <v>0.984192</v>
      </c>
      <c r="E14" s="253" t="n">
        <f aca="false">E7*السيناريوهات!$C$31*12*السيناريوهات!$C$11*السيناريوهات!$C$10*0.5/100/1000000</f>
        <v>1.06248</v>
      </c>
      <c r="F14" s="253" t="n">
        <f aca="false">F7*السيناريوهات!$C$31*12*السيناريوهات!$C$11*السيناريوهات!$C$10*0.5/100/1000000</f>
        <v>1.1184</v>
      </c>
      <c r="G14" s="254" t="n">
        <f aca="false">(F14-B14)/B14</f>
        <v>0.428571428571429</v>
      </c>
    </row>
    <row r="15" customFormat="false" ht="27.75" hidden="false" customHeight="true" outlineLevel="0" collapsed="false">
      <c r="A15" s="46" t="s">
        <v>704</v>
      </c>
      <c r="B15" s="253" t="n">
        <f aca="false">B8*السيناريوهات!$C$31*12*السيناريوهات!$C$11*السيناريوهات!$C$10*السيناريوهات!$C$29/100/1000000</f>
        <v>0.816432</v>
      </c>
      <c r="C15" s="253" t="n">
        <f aca="false">C8*السيناريوهات!$C$31*12*السيناريوهات!$C$11*السيناريوهات!$C$10*السيناريوهات!$C$29/100/1000000</f>
        <v>1.00656</v>
      </c>
      <c r="D15" s="253" t="n">
        <f aca="false">D8*السيناريوهات!$C$31*12*السيناريوهات!$C$11*السيناريوهات!$C$10*السيناريوهات!$C$29/100/1000000</f>
        <v>1.17432</v>
      </c>
      <c r="E15" s="253" t="n">
        <f aca="false">E8*السيناريوهات!$C$31*12*السيناريوهات!$C$11*السيناريوهات!$C$10*السيناريوهات!$C$29/100/1000000</f>
        <v>1.34208</v>
      </c>
      <c r="F15" s="253" t="n">
        <f aca="false">F8*السيناريوهات!$C$31*12*السيناريوهات!$C$11*السيناريوهات!$C$10*السيناريوهات!$C$29/100/1000000</f>
        <v>1.50984</v>
      </c>
      <c r="G15" s="254" t="n">
        <f aca="false">(F15-B15)/B15</f>
        <v>0.849315068493151</v>
      </c>
    </row>
    <row r="16" customFormat="false" ht="36" hidden="false" customHeight="true" outlineLevel="0" collapsed="false">
      <c r="A16" s="255" t="s">
        <v>700</v>
      </c>
      <c r="B16" s="256" t="n">
        <f aca="false">SUM(B13:B15)</f>
        <v>2.270352</v>
      </c>
      <c r="C16" s="256" t="n">
        <f aca="false">SUM(C13:C15)</f>
        <v>2.68416</v>
      </c>
      <c r="D16" s="256" t="n">
        <f aca="false">SUM(D13:D15)</f>
        <v>3.097968</v>
      </c>
      <c r="E16" s="256" t="n">
        <f aca="false">SUM(E13:E15)</f>
        <v>3.52296</v>
      </c>
      <c r="F16" s="256" t="n">
        <f aca="false">SUM(F13:F15)</f>
        <v>3.925584</v>
      </c>
      <c r="G16" s="257" t="n">
        <f aca="false">(F16-B16)/B16</f>
        <v>0.729064039408867</v>
      </c>
    </row>
    <row r="17" customFormat="false" ht="42" hidden="false" customHeight="true" outlineLevel="0" collapsed="false">
      <c r="A17" s="258" t="str">
        <f aca="false">" 💎 إجمالي 5 سنوات على درب: "&amp;TEXT(SUM(B16:F16),"0.00")&amp;" مليون ريال"</f>
        <v> 💎 إجمالي 5 سنوات على درب: 15.50 مليون ريال</v>
      </c>
      <c r="B17" s="258"/>
      <c r="C17" s="258"/>
      <c r="D17" s="258"/>
      <c r="E17" s="258"/>
      <c r="F17" s="258"/>
      <c r="G17" s="258"/>
    </row>
  </sheetData>
  <mergeCells count="5">
    <mergeCell ref="A1:G1"/>
    <mergeCell ref="A2:G2"/>
    <mergeCell ref="A4:G4"/>
    <mergeCell ref="A11:G11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2026-06-07T11:56:19Z</dcterms:created>
  <dc:creator>openpyxl</dc:creator>
  <dc:description/>
  <dc:language>en-US</dc:language>
  <cp:lastModifiedBy/>
  <dcterms:modified xsi:type="dcterms:W3CDTF">2026-06-08T13:37:31Z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