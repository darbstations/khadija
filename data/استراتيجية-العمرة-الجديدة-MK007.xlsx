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نموذج المحرّكات" sheetId="1" state="visible" r:id="rId3"/>
    <sheet name="الملخص التنفيذي" sheetId="2" state="visible" r:id="rId4"/>
    <sheet name="خط الأساس" sheetId="3" state="visible" r:id="rId5"/>
    <sheet name="التشخيص" sheetId="4" state="visible" r:id="rId6"/>
    <sheet name="خطط الإدارات" sheetId="5" state="visible" r:id="rId7"/>
    <sheet name="المستهدفات" sheetId="6" state="visible" r:id="rId8"/>
    <sheet name="خارطة الطريق" sheetId="7" state="visible" r:id="rId9"/>
    <sheet name="المخاطر" sheetId="8" state="visible" r:id="rId10"/>
    <sheet name="القرارات المطلوبة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1" authorId="0">
      <text>
        <r>
          <rPr>
            <sz val="10"/>
            <rFont val="FreeSans"/>
            <family val="2"/>
          </rPr>
          <t xml:space="preserve">حجم الأساطيل جزء من فجوة الحجم — لا يُضاف فوقها تفادياً لازدواج الحساب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<sst xmlns="http://schemas.openxmlformats.org/spreadsheetml/2006/main" count="329" uniqueCount="269">
  <si>
    <t xml:space="preserve">نموذج محرّكات النمو — العمرة الجديدة</t>
  </si>
  <si>
    <t xml:space="preserve">عدّل الخلايا الزرقاء (الافتراضات) ليعاد حساب الأثر بالكامل</t>
  </si>
  <si>
    <t xml:space="preserve">الافتراضات وخط الأساس</t>
  </si>
  <si>
    <t xml:space="preserve">البند</t>
  </si>
  <si>
    <t xml:space="preserve">القيمة</t>
  </si>
  <si>
    <t xml:space="preserve">الوحدة</t>
  </si>
  <si>
    <t xml:space="preserve">المصدر / الملاحظة</t>
  </si>
  <si>
    <t xml:space="preserve">حجم الوقود الحالي</t>
  </si>
  <si>
    <t xml:space="preserve">لتر/شهر</t>
  </si>
  <si>
    <t xml:space="preserve">لوحة تحليلات درب — متوسط ٦ أشهر</t>
  </si>
  <si>
    <t xml:space="preserve">حجم الوقود المستهدف</t>
  </si>
  <si>
    <t xml:space="preserve">مستهدف ١٢ شهراً — قابل للتعديل</t>
  </si>
  <si>
    <t xml:space="preserve">هامش الوقود</t>
  </si>
  <si>
    <t xml:space="preserve">ر.س/لتر</t>
  </si>
  <si>
    <t xml:space="preserve">يُعتمد من المالية</t>
  </si>
  <si>
    <t xml:space="preserve">الزيارات</t>
  </si>
  <si>
    <t xml:space="preserve">زيارة/شهر</t>
  </si>
  <si>
    <t xml:space="preserve">766,648 زيارة ÷ ٦ أشهر</t>
  </si>
  <si>
    <t xml:space="preserve">الصافي الحالي</t>
  </si>
  <si>
    <t xml:space="preserve">ر.س/شهر</t>
  </si>
  <si>
    <t xml:space="preserve">محسوب في «النموذج المالي» بالملف الشامل</t>
  </si>
  <si>
    <t xml:space="preserve">إيجار مرساة القهوة المتوقّع</t>
  </si>
  <si>
    <t xml:space="preserve">قيمة الفرصة في خط الأنابيب</t>
  </si>
  <si>
    <t xml:space="preserve">🚚 عقود الأساطيل — الحجم المؤمَّن</t>
  </si>
  <si>
    <t xml:space="preserve">فئة الأسطول</t>
  </si>
  <si>
    <t xml:space="preserve">الحجم لتر/شهر</t>
  </si>
  <si>
    <t xml:space="preserve">الحالة</t>
  </si>
  <si>
    <t xml:space="preserve">هامش ر.س/لتر</t>
  </si>
  <si>
    <t xml:space="preserve">الجهات المستهدفة</t>
  </si>
  <si>
    <t xml:space="preserve">🚌 باصات الحجاج والمعتمرين</t>
  </si>
  <si>
    <t xml:space="preserve">تواصل</t>
  </si>
  <si>
    <t xml:space="preserve">ميداء للمعتمرين · شركات النقل الجماعي · مؤسسات الطوافة · نقل تضامني</t>
  </si>
  <si>
    <t xml:space="preserve">🚚 شاحنات اللوجستيات</t>
  </si>
  <si>
    <t xml:space="preserve">فرصة</t>
  </si>
  <si>
    <t xml:space="preserve">المراعي · i كومكس · شركات الشحن والتوزيع العابرة</t>
  </si>
  <si>
    <t xml:space="preserve">🚕 تكاسي المسافرين للمدينة</t>
  </si>
  <si>
    <t xml:space="preserve">الحربي للنقل (حج وعمرة، 3.3كم) · مكاتب الشبيكة/المعابدة · تطبيقات النقل</t>
  </si>
  <si>
    <t xml:space="preserve">🚗 سيارة اب — فليت مانجمنت (B2B)</t>
  </si>
  <si>
    <t xml:space="preserve">محفظة عملاء المنصّة — شركات تأجير السيارات القريبة تدخل تحتها: ذيب · يلو · الغزال · حسين · المصباح (٦ مكاتب ضمن 2.3كم) + أساطيل الشركات</t>
  </si>
  <si>
    <t xml:space="preserve">إجمالي الحجم المؤمَّن</t>
  </si>
  <si>
    <t xml:space="preserve">منها متعاقد فعلياً</t>
  </si>
  <si>
    <t xml:space="preserve">يرتفع كلما أُغلق عقد — غيّر الحالة أعلاه</t>
  </si>
  <si>
    <t xml:space="preserve">📊 احتساب الأثر</t>
  </si>
  <si>
    <t xml:space="preserve">طريقة الاحتساب</t>
  </si>
  <si>
    <t xml:space="preserve">فجوة الحجم</t>
  </si>
  <si>
    <t xml:space="preserve">المستهدف − الحالي</t>
  </si>
  <si>
    <t xml:space="preserve">منها مؤمَّن بعقود</t>
  </si>
  <si>
    <t xml:space="preserve">إجمالي الأساطيل</t>
  </si>
  <si>
    <t xml:space="preserve">نسبة التأمين من الفجوة</t>
  </si>
  <si>
    <t xml:space="preserve">٪</t>
  </si>
  <si>
    <t xml:space="preserve">المؤمَّن ÷ الفجوة</t>
  </si>
  <si>
    <t xml:space="preserve">يتبقّى استعادته من الحركة العابرة</t>
  </si>
  <si>
    <t xml:space="preserve">الفجوة − المؤمَّن</t>
  </si>
  <si>
    <t xml:space="preserve">أثر الوقود</t>
  </si>
  <si>
    <t xml:space="preserve">فجوة الحجم × الهامش</t>
  </si>
  <si>
    <t xml:space="preserve">أثر مرساة القهوة</t>
  </si>
  <si>
    <t xml:space="preserve">إيجار الوحدة الشاغرة</t>
  </si>
  <si>
    <t xml:space="preserve">إجمالي الأثر</t>
  </si>
  <si>
    <t xml:space="preserve">الوقود + القهوة (بلا ازدواج: الأساطيل داخل فجوة الحجم)</t>
  </si>
  <si>
    <t xml:space="preserve">الصافي المستهدف</t>
  </si>
  <si>
    <t xml:space="preserve">الصافي الحالي + الأثر</t>
  </si>
  <si>
    <t xml:space="preserve">نسبة الزيادة</t>
  </si>
  <si>
    <t xml:space="preserve">الأثر ÷ الصافي الحالي</t>
  </si>
  <si>
    <t xml:space="preserve">الربح لكل زيارة — الحالي</t>
  </si>
  <si>
    <t xml:space="preserve">ر.س</t>
  </si>
  <si>
    <t xml:space="preserve">الصافي ÷ الزيارات</t>
  </si>
  <si>
    <t xml:space="preserve">الربح لكل زيارة — المستهدف</t>
  </si>
  <si>
    <t xml:space="preserve">الصافي المستهدف ÷ الزيارات</t>
  </si>
  <si>
    <t xml:space="preserve">الاستراتيجية التجارية — منفذ العمرة الجديدة (MK007)</t>
  </si>
  <si>
    <t xml:space="preserve">١٢ شهراً · مقترح للاعتماد · الأرقام مرتبطة بورقة «نموذج المحرّكات»</t>
  </si>
  <si>
    <t xml:space="preserve">حجم الوقود (لتر/شهر)</t>
  </si>
  <si>
    <t xml:space="preserve">الزيارات / شهر</t>
  </si>
  <si>
    <t xml:space="preserve">الصافي الحالي (ر.س/شهر)</t>
  </si>
  <si>
    <t xml:space="preserve">الربح لكل زيارة (ر.س)</t>
  </si>
  <si>
    <t xml:space="preserve">تراجع الحجم عن الذروة</t>
  </si>
  <si>
    <t xml:space="preserve">حجم قابل للتأمين بعقود (لتر)</t>
  </si>
  <si>
    <t xml:space="preserve">الأثر المستهدف (ر.س/شهر)</t>
  </si>
  <si>
    <t xml:space="preserve">الزيادة على الصافي</t>
  </si>
  <si>
    <t xml:space="preserve">المسألة الاستراتيجية</t>
  </si>
  <si>
    <t xml:space="preserve">المنفذ الأقوى في المحفظة — وحجمه يتآكل. أعلى تقييماً (4.8★) وأعلى ربحاً لكل زيارة، لكن حجم الوقود تراجع ٣٠٪ من ذروة مارس إلى يونيو بأثر ‎−222 ألف ر.س هامش شهرياً. السبب: كل الحجم تقريباً حركة عابرة غير متعاقد عليها، والعميل مجهول الهوية (التطبيق 0.6٪).</t>
  </si>
  <si>
    <t xml:space="preserve">الخيار الاستراتيجي:  حجم متعاقد · عميل معروف · زيارة مُسيَّلة</t>
  </si>
  <si>
    <t xml:space="preserve">الاتجاه الشهري لحجم الوقود (مليون لتر)</t>
  </si>
  <si>
    <t xml:space="preserve">الشهر</t>
  </si>
  <si>
    <t xml:space="preserve">الفعلي</t>
  </si>
  <si>
    <t xml:space="preserve">المستهدف</t>
  </si>
  <si>
    <t xml:space="preserve">يناير 2026</t>
  </si>
  <si>
    <t xml:space="preserve">فبراير 2026</t>
  </si>
  <si>
    <t xml:space="preserve">مارس 2026</t>
  </si>
  <si>
    <t xml:space="preserve">أبريل 2026</t>
  </si>
  <si>
    <t xml:space="preserve">مايو 2026</t>
  </si>
  <si>
    <t xml:space="preserve">يونيو 2026</t>
  </si>
  <si>
    <t xml:space="preserve">الأرقام تقديرات نموذجية للاعتماد — تُستبدل بأرقام المالية وسجل الأصول.</t>
  </si>
  <si>
    <t xml:space="preserve">خط الأساس — الوضع الحالي</t>
  </si>
  <si>
    <t xml:space="preserve">الأرقام الفعلية للمنفذ</t>
  </si>
  <si>
    <t xml:space="preserve">قراءة</t>
  </si>
  <si>
    <t xml:space="preserve">الإيراد</t>
  </si>
  <si>
    <t xml:space="preserve">الأكبر في المحفظة</t>
  </si>
  <si>
    <t xml:space="preserve">حجم الوقود</t>
  </si>
  <si>
    <t xml:space="preserve">متراجع ٣٠٪ عن ذروة مارس</t>
  </si>
  <si>
    <t xml:space="preserve">قاعدة ضخمة غير مُستثمرة رقمياً</t>
  </si>
  <si>
    <t xml:space="preserve">متوسط الفاتورة</t>
  </si>
  <si>
    <t xml:space="preserve">إنفاق أعلى من نظائرها</t>
  </si>
  <si>
    <t xml:space="preserve">متوسط التعبئة</t>
  </si>
  <si>
    <t xml:space="preserve">لتر</t>
  </si>
  <si>
    <t xml:space="preserve">—</t>
  </si>
  <si>
    <t xml:space="preserve">دخل الوقود</t>
  </si>
  <si>
    <t xml:space="preserve">هامش 0.15 ر.س/لتر</t>
  </si>
  <si>
    <t xml:space="preserve">دخل غير الوقود</t>
  </si>
  <si>
    <t xml:space="preserve">تأجير + متجر وخدمات</t>
  </si>
  <si>
    <t xml:space="preserve">المصاريف</t>
  </si>
  <si>
    <t xml:space="preserve">رواتب + تشغيل + مرافق + صيانة</t>
  </si>
  <si>
    <t xml:space="preserve">تغطية غير الوقود للمصاريف</t>
  </si>
  <si>
    <t xml:space="preserve">المصاريف مغطاة بالكامل من غير الوقود ✅</t>
  </si>
  <si>
    <t xml:space="preserve">التقييم</t>
  </si>
  <si>
    <t xml:space="preserve">★ (1150)</t>
  </si>
  <si>
    <t xml:space="preserve">الأعلى في المحيط — أصل تسويقي</t>
  </si>
  <si>
    <t xml:space="preserve">عدد الوحدات</t>
  </si>
  <si>
    <t xml:space="preserve">وحدة</t>
  </si>
  <si>
    <t xml:space="preserve">13 مؤجّرة · 1 شاغرة</t>
  </si>
  <si>
    <t xml:space="preserve">مبيعات المستأجرين</t>
  </si>
  <si>
    <t xml:space="preserve">الموثّقة — آخر شهر</t>
  </si>
  <si>
    <t xml:space="preserve">دخل الإيجار الموثّق</t>
  </si>
  <si>
    <t xml:space="preserve">نسبة الإيجار 14.8٪ — صحّية</t>
  </si>
  <si>
    <t xml:space="preserve">حصة التطبيق</t>
  </si>
  <si>
    <t xml:space="preserve">القيد الملزم — العميل مجهول</t>
  </si>
  <si>
    <t xml:space="preserve">حصة النقدي</t>
  </si>
  <si>
    <t xml:space="preserve">يعمّق مجهولية العميل</t>
  </si>
  <si>
    <t xml:space="preserve">المساحة</t>
  </si>
  <si>
    <t xml:space="preserve">م²</t>
  </si>
  <si>
    <t xml:space="preserve">تتيح توسّعاً في الوحدات</t>
  </si>
  <si>
    <t xml:space="preserve">مزيج الوقود</t>
  </si>
  <si>
    <t xml:space="preserve">المنتج</t>
  </si>
  <si>
    <t xml:space="preserve">الحصة</t>
  </si>
  <si>
    <t xml:space="preserve">بنزين 91</t>
  </si>
  <si>
    <t xml:space="preserve">بنزين 95</t>
  </si>
  <si>
    <t xml:space="preserve">ديزل</t>
  </si>
  <si>
    <t xml:space="preserve">حصة الديزل المرتفعة تُثبت وجود أساطيل تشتري بلا عقد</t>
  </si>
  <si>
    <t xml:space="preserve">التشخيص — أين المسألة فعلاً</t>
  </si>
  <si>
    <t xml:space="preserve">المشكلة ليست جودة المحطة، بل أن حجمها غير مؤمَّن وعميلها غير معروف</t>
  </si>
  <si>
    <t xml:space="preserve">#</t>
  </si>
  <si>
    <t xml:space="preserve">الملاحظة</t>
  </si>
  <si>
    <t xml:space="preserve">الدليل من البيانات</t>
  </si>
  <si>
    <t xml:space="preserve">الأثر</t>
  </si>
  <si>
    <t xml:space="preserve">١</t>
  </si>
  <si>
    <t xml:space="preserve">صفر لتر متعاقد عليه</t>
  </si>
  <si>
    <t xml:space="preserve">حصة الديزل 28.1٪ تُثبت وجود أساطيل تشتري — بلا عقد</t>
  </si>
  <si>
    <t xml:space="preserve">تقلّب الحجم الذي نراه</t>
  </si>
  <si>
    <t xml:space="preserve">٢</t>
  </si>
  <si>
    <t xml:space="preserve">العميل مجهول الهوية</t>
  </si>
  <si>
    <t xml:space="preserve">نقدي ٥٣٪ · التطبيق 0.6٪</t>
  </si>
  <si>
    <t xml:space="preserve">لا أداة لاستعادة العميل أو استهدافه</t>
  </si>
  <si>
    <t xml:space="preserve">٣</t>
  </si>
  <si>
    <t xml:space="preserve">فجوة مرساة القهوة</t>
  </si>
  <si>
    <t xml:space="preserve">بترومين لديه تيم هورتنز (1114 تقييم) ولا نظير لدينا</t>
  </si>
  <si>
    <t xml:space="preserve">حركة تُفقد للمنافس</t>
  </si>
  <si>
    <t xml:space="preserve">٤</t>
  </si>
  <si>
    <t xml:space="preserve">تغذية ذاتية محتملة</t>
  </si>
  <si>
    <t xml:space="preserve">فرع درب ثانٍ في نفس الحي (4.9★/755)</t>
  </si>
  <si>
    <t xml:space="preserve">جزء من التراجع قد يكون داخلياً</t>
  </si>
  <si>
    <t xml:space="preserve">٥</t>
  </si>
  <si>
    <t xml:space="preserve">أصل غير مُستثمَر</t>
  </si>
  <si>
    <t xml:space="preserve">تغطية غير الوقود ١٣٣٪ — المصاريف مغطاة بالكامل</t>
  </si>
  <si>
    <t xml:space="preserve">كل لتر إضافي ربح شبه صافٍ</t>
  </si>
  <si>
    <t xml:space="preserve">خطط الإدارات الأربع</t>
  </si>
  <si>
    <t xml:space="preserve">المبادرات والمؤشرات لكل إدارة — المسؤول والحالة تُعبَّأ عند الاعتماد</t>
  </si>
  <si>
    <t xml:space="preserve">الإدارة</t>
  </si>
  <si>
    <t xml:space="preserve">الهدف</t>
  </si>
  <si>
    <t xml:space="preserve">المبادرات</t>
  </si>
  <si>
    <t xml:space="preserve">المؤشرات</t>
  </si>
  <si>
    <t xml:space="preserve">المسؤول</t>
  </si>
  <si>
    <t xml:space="preserve">⛽ مبيعات الوقود</t>
  </si>
  <si>
    <t xml:space="preserve">وقف التراجع واستعادة 4.5 مليون لتر/شهر</t>
  </si>
  <si>
    <t xml:space="preserve">تأمين 305 ألف لتر متعاقد · ضمان توفّر الديزل · مسار سريع للشاحنات والحافلات · تكثيف التشغيل حول ذروة 17:00 والخميس</t>
  </si>
  <si>
    <t xml:space="preserve">اللترات · نسبة الحجم المتعاقد · حصة الديزل · زمن الخدمة</t>
  </si>
  <si>
    <t xml:space="preserve">🏪 التأجير</t>
  </si>
  <si>
    <t xml:space="preserve">سدّ فجوة المرساة ورفع مبيعات المستأجرين</t>
  </si>
  <si>
    <t xml:space="preserve">تأجير الوحدة الشاغرة لمرساة قهوة عالمية (أولوية قصوى) · مراجعة تسعير المستأجرين فوق ١٥٪ · تحويل العقود إلى ثابت + نسبة من المبيعات</t>
  </si>
  <si>
    <t xml:space="preserve">الإشغال · مبيعات المستأجر · نسبة الإيجار · مبيعات/م²</t>
  </si>
  <si>
    <t xml:space="preserve">🤝 الشراكات</t>
  </si>
  <si>
    <t xml:space="preserve">تحويل الجوار التجاري إلى عقود</t>
  </si>
  <si>
    <t xml:space="preserve">إغلاق ميداء (تواصل جارٍ) · فتح المراعي وi كومكس · اتفاقية سيارة اب كمنصّة تفتح محفظة مكاتب التأجير · ريتاج مورّد تموين للمستأجرين</t>
  </si>
  <si>
    <t xml:space="preserve">اللترات المتعاقدة · عدد العقود · قيمة خط الأنابيب المُغلق</t>
  </si>
  <si>
    <t xml:space="preserve">📣 التسويق</t>
  </si>
  <si>
    <t xml:space="preserve">حصة التطبيق 0.6٪ → ٥٪ وتحويل التقييم إلى حركة</t>
  </si>
  <si>
    <t xml:space="preserve">تفعيل التطبيق عند المضخة بحافز لموظف المحطة · عروض حول ذروة 17:00 والخميس · تكرار نموذج «المذاق المغربي» (+9.5٪ بتمويل الشريك) · حملات موسم العمرة</t>
  </si>
  <si>
    <t xml:space="preserve">حصة التطبيق · المستخدمون النشطون · أثر الحملة على الزيارات</t>
  </si>
  <si>
    <t xml:space="preserve">ميزانية الترويج</t>
  </si>
  <si>
    <t xml:space="preserve">تفعيل التطبيق</t>
  </si>
  <si>
    <t xml:space="preserve">حملات مشتركة مع المستأجرين</t>
  </si>
  <si>
    <t xml:space="preserve">ترويج B2B مباشر</t>
  </si>
  <si>
    <t xml:space="preserve">الدليل المادي والهوية</t>
  </si>
  <si>
    <t xml:space="preserve">المجموع</t>
  </si>
  <si>
    <t xml:space="preserve">المستهدفات — ١٢ شهراً</t>
  </si>
  <si>
    <t xml:space="preserve">مرتبطة بنموذج المحرّكات · الفجوة تُحسب تلقائياً</t>
  </si>
  <si>
    <t xml:space="preserve">المؤشر</t>
  </si>
  <si>
    <t xml:space="preserve">الأساس</t>
  </si>
  <si>
    <t xml:space="preserve">الفجوة</t>
  </si>
  <si>
    <t xml:space="preserve">ملاحظة</t>
  </si>
  <si>
    <t xml:space="preserve">٥٢٪ من الفجوة تُسدّ بعقود مؤمَّنة</t>
  </si>
  <si>
    <t xml:space="preserve">الحجم المتعاقد (أساطيل)</t>
  </si>
  <si>
    <t xml:space="preserve">من صفر إلى حجم مؤمَّن — جوهر التحوّل</t>
  </si>
  <si>
    <t xml:space="preserve">تمكيني — شرط لقياس واستهداف الباقي</t>
  </si>
  <si>
    <t xml:space="preserve">الوحدات الشاغرة</t>
  </si>
  <si>
    <t xml:space="preserve">مرساة القهوة العالمية</t>
  </si>
  <si>
    <t xml:space="preserve">الصافي (ر.س/شهر)</t>
  </si>
  <si>
    <t xml:space="preserve">‎+١٧٪</t>
  </si>
  <si>
    <t xml:space="preserve">المؤشر المشترك للإدارات الأربع</t>
  </si>
  <si>
    <t xml:space="preserve">حماية الأصل التسويقي الأقوى</t>
  </si>
  <si>
    <t xml:space="preserve">نسبة الإيجار للمستأجرين المتجاوزين (الصحّي ≤ ١٥٪)</t>
  </si>
  <si>
    <t xml:space="preserve">المستأجر</t>
  </si>
  <si>
    <t xml:space="preserve">مبيعات آخر شهر</t>
  </si>
  <si>
    <t xml:space="preserve">الإيجار</t>
  </si>
  <si>
    <t xml:space="preserve">نسبة الإيجار</t>
  </si>
  <si>
    <t xml:space="preserve">الإجراء</t>
  </si>
  <si>
    <t xml:space="preserve">ماكدونالدز</t>
  </si>
  <si>
    <t xml:space="preserve">المذاق المغربي</t>
  </si>
  <si>
    <t xml:space="preserve">رو (Raw)</t>
  </si>
  <si>
    <t xml:space="preserve">بنده</t>
  </si>
  <si>
    <t xml:space="preserve">خارطة الطريق — أربعة أرباع</t>
  </si>
  <si>
    <t xml:space="preserve">المسؤول والحالة تُعبَّآن عند الاعتماد</t>
  </si>
  <si>
    <t xml:space="preserve">الربع</t>
  </si>
  <si>
    <t xml:space="preserve">التركيز</t>
  </si>
  <si>
    <t xml:space="preserve">المخرجات</t>
  </si>
  <si>
    <t xml:space="preserve">ملاحظات</t>
  </si>
  <si>
    <t xml:space="preserve">الربع ١</t>
  </si>
  <si>
    <t xml:space="preserve">🔒 تأمين الحجم</t>
  </si>
  <si>
    <t xml:space="preserve">إغلاق عقد ميداء · إطلاق تفعيل التطبيق عند المضخة بحافز · بدء التفاوض مع المراعي وi كومكس · طرح الوحدة الشاغرة لمرساة القهوة</t>
  </si>
  <si>
    <t xml:space="preserve">الربع ٢</t>
  </si>
  <si>
    <t xml:space="preserve">📈 التوسّع</t>
  </si>
  <si>
    <t xml:space="preserve">توقيع سيارة اب والتكاسي · افتتاح مرساة القهوة · مراجعة تسعير المستأجرين المتجاوزين · أول حملة مشتركة ممولة من شريك</t>
  </si>
  <si>
    <t xml:space="preserve">الربع ٣</t>
  </si>
  <si>
    <t xml:space="preserve">💰 التسييل</t>
  </si>
  <si>
    <t xml:space="preserve">باقات «تعبئة + وجبة» عبر التطبيق · بيع وصول التطبيق للمستأجرين · عروض مخصّصة بالشريحة</t>
  </si>
  <si>
    <t xml:space="preserve">الربع ٤</t>
  </si>
  <si>
    <t xml:space="preserve">🔁 الترسيخ</t>
  </si>
  <si>
    <t xml:space="preserve">تجديد عقود الأساطيل بحجوم أعلى · قياس الربح/الزيارة · تعميم النموذج على منافذ الممر</t>
  </si>
  <si>
    <t xml:space="preserve">سجل المخاطر</t>
  </si>
  <si>
    <t xml:space="preserve">الاحتمال والتخفيف — يُراجَع ربعياً</t>
  </si>
  <si>
    <t xml:space="preserve">المخاطرة</t>
  </si>
  <si>
    <t xml:space="preserve">الاحتمال</t>
  </si>
  <si>
    <t xml:space="preserve">التخفيف</t>
  </si>
  <si>
    <t xml:space="preserve">المالك</t>
  </si>
  <si>
    <t xml:space="preserve">استمرار تراجع الحركة العابرة</t>
  </si>
  <si>
    <t xml:space="preserve">متوسط</t>
  </si>
  <si>
    <t xml:space="preserve">عالٍ</t>
  </si>
  <si>
    <t xml:space="preserve">العقود تُثبّت جزءاً من الحجم بمعزل عن الحركة</t>
  </si>
  <si>
    <t xml:space="preserve">التغذية الذاتية مع فرع درب الثاني</t>
  </si>
  <si>
    <t xml:space="preserve">إدارة الحيّ كمحفظة واحدة لا كمحطتين متنافستين</t>
  </si>
  <si>
    <t xml:space="preserve">تعذّر جذب مرساة قهوة عالمية</t>
  </si>
  <si>
    <t xml:space="preserve">بديل: مشغّل قهوة مختصة قوي محلياً بعقد نسبة من المبيعات</t>
  </si>
  <si>
    <t xml:space="preserve">بطء تبنّي التطبيق</t>
  </si>
  <si>
    <t xml:space="preserve">حافز مباشر لموظف المحطة + قيمة فورية للعميل عند التفعيل</t>
  </si>
  <si>
    <t xml:space="preserve">ضغط سعري من الدريس</t>
  </si>
  <si>
    <t xml:space="preserve">المنافسة على الخدمة والمرافق والمرساة — لا على سعر مقنَّن</t>
  </si>
  <si>
    <t xml:space="preserve">القرارات المطلوبة من الإدارة التنفيذية</t>
  </si>
  <si>
    <t xml:space="preserve">تُعتمد أو تُعدَّل في الاجتماع</t>
  </si>
  <si>
    <t xml:space="preserve">القرار</t>
  </si>
  <si>
    <t xml:space="preserve">الأثر إن اعتُمد</t>
  </si>
  <si>
    <t xml:space="preserve">القرار (اعتماد/تعديل/تأجيل)</t>
  </si>
  <si>
    <t xml:space="preserve">اعتماد الأولوية: عقود الأساطيل أولاً — وتفويض التفاوض بخصم حجمي</t>
  </si>
  <si>
    <t xml:space="preserve">تأمين ٥٢٪ من فجوة الحجم</t>
  </si>
  <si>
    <t xml:space="preserve">اعتماد حافز تفعيل التطبيق لموظفي المحطة</t>
  </si>
  <si>
    <t xml:space="preserve">يفتح قياس واستهداف كل ما بعده</t>
  </si>
  <si>
    <t xml:space="preserve">اعتماد نموذج الإيجار «ثابت + نسبة من مبيعات المستأجر»</t>
  </si>
  <si>
    <t xml:space="preserve">يربط دخلنا بنجاح المستأجر ويضمن استدامته</t>
  </si>
  <si>
    <t xml:space="preserve">تسمية مالك المنفذ (P&amp;L Owner) للعمرة الجديدة</t>
  </si>
  <si>
    <t xml:space="preserve">مسؤول واحد عن ربح المحطة الكامل</t>
  </si>
  <si>
    <t xml:space="preserve">اعتماد مستهدف حصة التطبيق (٥٪) والربح لكل زيارة</t>
  </si>
  <si>
    <t xml:space="preserve">مؤشرات المتابعة المشتركة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</si>
</sst>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–"/>
    <numFmt numFmtId="166" formatCode="#,##0.00;\(#,##0.00\);\–"/>
    <numFmt numFmtId="167" formatCode="0%"/>
    <numFmt numFmtId="168" formatCode="0.0%"/>
    <numFmt numFmtId="169" formatCode="0.0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sz val="10"/>
      <color rgb="FF0000C0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9.5"/>
      <color rgb="FF1F2937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b val="true"/>
      <sz val="11"/>
      <color rgb="FF2874A6"/>
      <name val="Arial"/>
      <family val="0"/>
      <charset val="1"/>
    </font>
    <font>
      <sz val="10"/>
      <name val="FreeSans"/>
      <family val="2"/>
    </font>
    <font>
      <sz val="10"/>
      <name val="Arial"/>
      <family val="2"/>
    </font>
    <font>
      <b val="true"/>
      <sz val="17"/>
      <color rgb="FFF18A2B"/>
      <name val="Arial"/>
      <family val="0"/>
      <charset val="1"/>
    </font>
    <font>
      <b val="true"/>
      <sz val="17"/>
      <color rgb="FF2874A6"/>
      <name val="Arial"/>
      <family val="0"/>
      <charset val="1"/>
    </font>
    <font>
      <b val="true"/>
      <sz val="17"/>
      <color rgb="FF2E8B57"/>
      <name val="Arial"/>
      <family val="0"/>
      <charset val="1"/>
    </font>
    <font>
      <sz val="8.5"/>
      <color rgb="FF6B7280"/>
      <name val="Arial"/>
      <family val="0"/>
      <charset val="1"/>
    </font>
    <font>
      <b val="true"/>
      <sz val="17"/>
      <color rgb="FFC0392B"/>
      <name val="Arial"/>
      <family val="0"/>
      <charset val="1"/>
    </font>
    <font>
      <b val="true"/>
      <sz val="17"/>
      <color rgb="FFB8860B"/>
      <name val="Arial"/>
      <family val="0"/>
      <charset val="1"/>
    </font>
    <font>
      <b val="true"/>
      <sz val="12"/>
      <color rgb="FFC0392B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B8860B"/>
      <name val="Arial"/>
      <family val="0"/>
      <charset val="1"/>
    </font>
    <font>
      <b val="true"/>
      <sz val="18"/>
      <color rgb="FF0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9.5"/>
      <color rgb="FF6B7280"/>
      <name val="Arial"/>
      <family val="0"/>
      <charset val="1"/>
    </font>
    <font>
      <b val="true"/>
      <sz val="11"/>
      <color rgb="FFF18A2B"/>
      <name val="Arial"/>
      <family val="0"/>
      <charset val="1"/>
    </font>
    <font>
      <sz val="9.5"/>
      <color rgb="FFC0392B"/>
      <name val="Arial"/>
      <family val="0"/>
      <charset val="1"/>
    </font>
    <font>
      <b val="true"/>
      <sz val="10"/>
      <color rgb="FFB8860B"/>
      <name val="Arial"/>
      <family val="0"/>
      <charset val="1"/>
    </font>
    <font>
      <sz val="9.5"/>
      <color rgb="FF2E8B57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1C1E"/>
        <bgColor rgb="FF1F2937"/>
      </patternFill>
    </fill>
    <fill>
      <patternFill patternType="solid">
        <fgColor rgb="FFFDEBD8"/>
        <bgColor rgb="FFFBE6E4"/>
      </patternFill>
    </fill>
    <fill>
      <patternFill patternType="solid">
        <fgColor rgb="FFF18A2B"/>
        <bgColor rgb="FFFF8080"/>
      </patternFill>
    </fill>
    <fill>
      <patternFill patternType="solid">
        <fgColor rgb="FFE4F0F8"/>
        <bgColor rgb="FFE3F4EA"/>
      </patternFill>
    </fill>
    <fill>
      <patternFill patternType="solid">
        <fgColor rgb="FFF7F8F9"/>
        <bgColor rgb="FFFFFFFF"/>
      </patternFill>
    </fill>
    <fill>
      <patternFill patternType="solid">
        <fgColor rgb="FFE3F4EA"/>
        <bgColor rgb="FFE4F0F8"/>
      </patternFill>
    </fill>
    <fill>
      <patternFill patternType="solid">
        <fgColor rgb="FFFFF6DC"/>
        <bgColor rgb="FFFDEBD8"/>
      </patternFill>
    </fill>
    <fill>
      <patternFill patternType="solid">
        <fgColor rgb="FFFFFFFF"/>
        <bgColor rgb="FFF7F8F9"/>
      </patternFill>
    </fill>
    <fill>
      <patternFill patternType="solid">
        <fgColor rgb="FFFBE6E4"/>
        <bgColor rgb="FFFDEBD8"/>
      </patternFill>
    </fill>
    <fill>
      <patternFill patternType="solid">
        <fgColor rgb="FFFFFFCC"/>
        <bgColor rgb="FFFFF6D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hair">
        <color rgb="FFC8CCD0"/>
      </left>
      <right style="hair">
        <color rgb="FFC8CCD0"/>
      </right>
      <top style="hair">
        <color rgb="FFC8CCD0"/>
      </top>
      <bottom style="hair">
        <color rgb="FFC8CCD0"/>
      </bottom>
      <diagonal/>
    </border>
    <border diagonalUp="false" diagonalDown="false">
      <left style="hair">
        <color rgb="FFC8CCD0"/>
      </left>
      <right style="hair">
        <color rgb="FFC8CCD0"/>
      </right>
      <top style="thick">
        <color rgb="FFF18A2B"/>
      </top>
      <bottom/>
      <diagonal/>
    </border>
    <border diagonalUp="false" diagonalDown="false">
      <left style="hair">
        <color rgb="FFC8CCD0"/>
      </left>
      <right style="hair">
        <color rgb="FFC8CCD0"/>
      </right>
      <top style="thick">
        <color rgb="FF2874A6"/>
      </top>
      <bottom/>
      <diagonal/>
    </border>
    <border diagonalUp="false" diagonalDown="false">
      <left style="hair">
        <color rgb="FFC8CCD0"/>
      </left>
      <right style="hair">
        <color rgb="FFC8CCD0"/>
      </right>
      <top style="thick">
        <color rgb="FF2E8B57"/>
      </top>
      <bottom/>
      <diagonal/>
    </border>
    <border diagonalUp="false" diagonalDown="false">
      <left style="hair">
        <color rgb="FFC8CCD0"/>
      </left>
      <right style="hair">
        <color rgb="FFC8CCD0"/>
      </right>
      <top/>
      <bottom style="hair">
        <color rgb="FFC8CCD0"/>
      </bottom>
      <diagonal/>
    </border>
    <border diagonalUp="false" diagonalDown="false">
      <left style="hair">
        <color rgb="FFC8CCD0"/>
      </left>
      <right style="hair">
        <color rgb="FFC8CCD0"/>
      </right>
      <top style="thick">
        <color rgb="FFC0392B"/>
      </top>
      <bottom/>
      <diagonal/>
    </border>
    <border diagonalUp="false" diagonalDown="false">
      <left style="hair">
        <color rgb="FFC8CCD0"/>
      </left>
      <right style="hair">
        <color rgb="FFC8CCD0"/>
      </right>
      <top style="thick">
        <color rgb="FFB8860B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6" fillId="5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5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1" fillId="6" borderId="1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5" fontId="9" fillId="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0" fillId="6" borderId="1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4" fontId="12" fillId="5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3" fillId="5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4" fontId="6" fillId="7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7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6" fillId="8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6" fillId="8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0" fillId="8" borderId="1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5" fontId="6" fillId="7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8" fontId="6" fillId="7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6" fillId="7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20" fillId="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10" borderId="1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4" fillId="8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8" fillId="0" borderId="1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4" fontId="11" fillId="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8" fontId="9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9" fillId="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7" fillId="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4" fontId="30" fillId="0" borderId="1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4" fontId="30" fillId="6" borderId="1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4" fontId="9" fillId="11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12" fillId="3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8" fontId="7" fillId="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6" borderId="1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4" fontId="3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3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4" fontId="32" fillId="6" borderId="1" xfId="0" applyFont="true" applyBorder="true" applyAlignment="true" applyProtection="false">
      <alignment horizontal="righ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C0392B"/>
        <sz val="10"/>
      </font>
      <fill>
        <patternFill>
          <bgColor rgb="FFFBE6E4"/>
        </patternFill>
      </fill>
    </dxf>
    <dxf>
      <font>
        <name val="Arial"/>
        <charset val="1"/>
        <family val="0"/>
        <b val="1"/>
        <color rgb="FF2E8B57"/>
        <sz val="10"/>
      </font>
      <fill>
        <patternFill>
          <bgColor rgb="FFE3F4EA"/>
        </patternFill>
      </fill>
    </dxf>
    <dxf>
      <font>
        <name val="Arial"/>
        <charset val="1"/>
        <family val="0"/>
        <color rgb="FFB8860B"/>
        <sz val="10"/>
      </font>
      <fill>
        <patternFill>
          <bgColor rgb="FFFFF6DC"/>
        </patternFill>
      </fill>
    </dxf>
  </dxfs>
  <colors>
    <indexedColors>
      <rgbColor rgb="FF000000"/>
      <rgbColor rgb="FFFFFFFF"/>
      <rgbColor rgb="FFFF0000"/>
      <rgbColor rgb="FF00FF00"/>
      <rgbColor rgb="FF0000C0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2874A6"/>
      <rgbColor rgb="FFC8CCD0"/>
      <rgbColor rgb="FF878787"/>
      <rgbColor rgb="FF9999FF"/>
      <rgbColor rgb="FFBE4B48"/>
      <rgbColor rgb="FFFFFFCC"/>
      <rgbColor rgb="FFE3F4E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F0F8"/>
      <rgbColor rgb="FFF7F8F9"/>
      <rgbColor rgb="FFFFF6DC"/>
      <rgbColor rgb="FFFBE6E4"/>
      <rgbColor rgb="FFFF99CC"/>
      <rgbColor rgb="FFCC99FF"/>
      <rgbColor rgb="FFFDEBD8"/>
      <rgbColor rgb="FF4A7EBB"/>
      <rgbColor rgb="FF33CCCC"/>
      <rgbColor rgb="FF99CC00"/>
      <rgbColor rgb="FFFFCC00"/>
      <rgbColor rgb="FFF18A2B"/>
      <rgbColor rgb="FFFF6600"/>
      <rgbColor rgb="FF6B7280"/>
      <rgbColor rgb="FF969696"/>
      <rgbColor rgb="FF003366"/>
      <rgbColor rgb="FF2E8B57"/>
      <rgbColor rgb="FF003300"/>
      <rgbColor rgb="FF1B1C1E"/>
      <rgbColor rgb="FFC0392B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حجم الوقود: الفعلي مقابل المستهدف (مليون لتر)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'الملخص التنفيذي'!C16</c:f>
              <c:strCache>
                <c:ptCount val="1"/>
                <c:pt idx="0">
                  <c:v>الفعلي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'الملخص التنفيذي'!$B$17:$B$22</c:f>
              <c:strCache>
                <c:ptCount val="6"/>
                <c:pt idx="0">
                  <c:v>يناير 2026</c:v>
                </c:pt>
                <c:pt idx="1">
                  <c:v>فبراير 2026</c:v>
                </c:pt>
                <c:pt idx="2">
                  <c:v>مارس 2026</c:v>
                </c:pt>
                <c:pt idx="3">
                  <c:v>أبريل 2026</c:v>
                </c:pt>
                <c:pt idx="4">
                  <c:v>مايو 2026</c:v>
                </c:pt>
                <c:pt idx="5">
                  <c:v>يونيو 2026</c:v>
                </c:pt>
              </c:strCache>
            </c:strRef>
          </c:cat>
          <c:val>
            <c:numRef>
              <c:f>'الملخص التنفيذي'!$C$17:$C$22</c:f>
              <c:numCache>
                <c:formatCode>#,##0.00;\(#,##0.00\);\–</c:formatCode>
                <c:ptCount val="6"/>
                <c:pt idx="0">
                  <c:v>4.25</c:v>
                </c:pt>
                <c:pt idx="1">
                  <c:v>4.17</c:v>
                </c:pt>
                <c:pt idx="2">
                  <c:v>4.91</c:v>
                </c:pt>
                <c:pt idx="3">
                  <c:v>3.6</c:v>
                </c:pt>
                <c:pt idx="4">
                  <c:v>3.13</c:v>
                </c:pt>
                <c:pt idx="5">
                  <c:v>3.43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'الملخص التنفيذي'!D16</c:f>
              <c:strCache>
                <c:ptCount val="1"/>
                <c:pt idx="0">
                  <c:v>المستهدف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'الملخص التنفيذي'!$B$17:$B$22</c:f>
              <c:strCache>
                <c:ptCount val="6"/>
                <c:pt idx="0">
                  <c:v>يناير 2026</c:v>
                </c:pt>
                <c:pt idx="1">
                  <c:v>فبراير 2026</c:v>
                </c:pt>
                <c:pt idx="2">
                  <c:v>مارس 2026</c:v>
                </c:pt>
                <c:pt idx="3">
                  <c:v>أبريل 2026</c:v>
                </c:pt>
                <c:pt idx="4">
                  <c:v>مايو 2026</c:v>
                </c:pt>
                <c:pt idx="5">
                  <c:v>يونيو 2026</c:v>
                </c:pt>
              </c:strCache>
            </c:strRef>
          </c:cat>
          <c:val>
            <c:numRef>
              <c:f>'الملخص التنفيذي'!$D$17:$D$22</c:f>
              <c:numCache>
                <c:formatCode>#,##0.00;\(#,##0.00\);\–</c:formatCode>
                <c:ptCount val="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3748855"/>
        <c:axId val="19356797"/>
      </c:lineChart>
      <c:catAx>
        <c:axId val="53748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356797"/>
        <c:crosses val="autoZero"/>
        <c:auto val="1"/>
        <c:lblAlgn val="ctr"/>
        <c:lblOffset val="100"/>
        <c:noMultiLvlLbl val="0"/>
      </c:catAx>
      <c:valAx>
        <c:axId val="193567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7488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-471240</xdr:colOff>
      <xdr:row>15</xdr:row>
      <xdr:rowOff>0</xdr:rowOff>
    </xdr:from>
    <xdr:to>
      <xdr:col>11</xdr:col>
      <xdr:colOff>0</xdr:colOff>
      <xdr:row>30</xdr:row>
      <xdr:rowOff>21960</xdr:rowOff>
    </xdr:to>
    <xdr:graphicFrame>
      <xdr:nvGraphicFramePr>
        <xdr:cNvPr id="0" name="Chart 1"/>
        <xdr:cNvGraphicFramePr/>
      </xdr:nvGraphicFramePr>
      <xdr:xfrm>
        <a:off x="-11009160" y="405756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18A2B"/>
    <pageSetUpPr fitToPage="true"/>
  </sheetPr>
  <dimension ref="A1:E36"/>
  <sheetViews>
    <sheetView showFormulas="false" showGridLines="false" showRowColHeaders="true" showZeros="true" rightToLeft="true" tabSelected="true" showOutlineSymbols="true" defaultGridColor="true" view="normal" topLeftCell="A24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4" min="3" style="0" width="16"/>
    <col collapsed="false" customWidth="true" hidden="false" outlineLevel="0" max="5" min="5" style="0" width="42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</row>
    <row r="4" customFormat="false" ht="19.5" hidden="false" customHeight="true" outlineLevel="0" collapsed="false">
      <c r="A4" s="3" t="s">
        <v>2</v>
      </c>
      <c r="B4" s="4"/>
      <c r="C4" s="4"/>
      <c r="D4" s="4"/>
      <c r="E4" s="4"/>
    </row>
    <row r="5" customFormat="false" ht="30" hidden="false" customHeight="true" outlineLevel="0" collapsed="false">
      <c r="A5" s="5" t="s">
        <v>3</v>
      </c>
      <c r="B5" s="5" t="s">
        <v>4</v>
      </c>
      <c r="C5" s="5" t="s">
        <v>5</v>
      </c>
      <c r="D5" s="5"/>
      <c r="E5" s="5" t="s">
        <v>6</v>
      </c>
    </row>
    <row r="6" customFormat="false" ht="15" hidden="false" customHeight="false" outlineLevel="0" collapsed="false">
      <c r="A6" s="6" t="s">
        <v>7</v>
      </c>
      <c r="B6" s="7" t="n">
        <v>3915547</v>
      </c>
      <c r="C6" s="8" t="s">
        <v>8</v>
      </c>
      <c r="D6" s="6"/>
      <c r="E6" s="9" t="s">
        <v>9</v>
      </c>
    </row>
    <row r="7" customFormat="false" ht="15" hidden="false" customHeight="false" outlineLevel="0" collapsed="false">
      <c r="A7" s="6" t="s">
        <v>10</v>
      </c>
      <c r="B7" s="7" t="n">
        <v>4500000</v>
      </c>
      <c r="C7" s="8" t="s">
        <v>8</v>
      </c>
      <c r="D7" s="6"/>
      <c r="E7" s="9" t="s">
        <v>11</v>
      </c>
    </row>
    <row r="8" customFormat="false" ht="15" hidden="false" customHeight="false" outlineLevel="0" collapsed="false">
      <c r="A8" s="6" t="s">
        <v>12</v>
      </c>
      <c r="B8" s="10" t="n">
        <v>0.15</v>
      </c>
      <c r="C8" s="8" t="s">
        <v>13</v>
      </c>
      <c r="D8" s="6"/>
      <c r="E8" s="9" t="s">
        <v>14</v>
      </c>
    </row>
    <row r="9" customFormat="false" ht="15" hidden="false" customHeight="false" outlineLevel="0" collapsed="false">
      <c r="A9" s="6" t="s">
        <v>15</v>
      </c>
      <c r="B9" s="7" t="n">
        <v>127775</v>
      </c>
      <c r="C9" s="8" t="s">
        <v>16</v>
      </c>
      <c r="D9" s="6"/>
      <c r="E9" s="9" t="s">
        <v>17</v>
      </c>
    </row>
    <row r="10" customFormat="false" ht="15" hidden="false" customHeight="false" outlineLevel="0" collapsed="false">
      <c r="A10" s="6" t="s">
        <v>18</v>
      </c>
      <c r="B10" s="7" t="n">
        <v>679332</v>
      </c>
      <c r="C10" s="8" t="s">
        <v>19</v>
      </c>
      <c r="D10" s="6"/>
      <c r="E10" s="9" t="s">
        <v>20</v>
      </c>
    </row>
    <row r="11" customFormat="false" ht="15" hidden="false" customHeight="false" outlineLevel="0" collapsed="false">
      <c r="A11" s="6" t="s">
        <v>21</v>
      </c>
      <c r="B11" s="7" t="n">
        <v>28000</v>
      </c>
      <c r="C11" s="8" t="s">
        <v>19</v>
      </c>
      <c r="D11" s="6"/>
      <c r="E11" s="9" t="s">
        <v>22</v>
      </c>
    </row>
    <row r="13" customFormat="false" ht="19.5" hidden="false" customHeight="true" outlineLevel="0" collapsed="false">
      <c r="A13" s="11" t="s">
        <v>23</v>
      </c>
      <c r="B13" s="12"/>
      <c r="C13" s="12"/>
      <c r="D13" s="12"/>
      <c r="E13" s="12"/>
    </row>
    <row r="14" customFormat="false" ht="30" hidden="false" customHeight="true" outlineLevel="0" collapsed="false">
      <c r="A14" s="5" t="s">
        <v>24</v>
      </c>
      <c r="B14" s="5" t="s">
        <v>25</v>
      </c>
      <c r="C14" s="5" t="s">
        <v>26</v>
      </c>
      <c r="D14" s="5" t="s">
        <v>27</v>
      </c>
      <c r="E14" s="5" t="s">
        <v>28</v>
      </c>
    </row>
    <row r="15" customFormat="false" ht="37.5" hidden="false" customHeight="true" outlineLevel="0" collapsed="false">
      <c r="A15" s="13" t="s">
        <v>29</v>
      </c>
      <c r="B15" s="7" t="n">
        <v>90000</v>
      </c>
      <c r="C15" s="14" t="s">
        <v>30</v>
      </c>
      <c r="D15" s="15" t="n">
        <f aca="false">$B$8</f>
        <v>0.15</v>
      </c>
      <c r="E15" s="9" t="s">
        <v>31</v>
      </c>
    </row>
    <row r="16" customFormat="false" ht="37.5" hidden="false" customHeight="true" outlineLevel="0" collapsed="false">
      <c r="A16" s="16" t="s">
        <v>32</v>
      </c>
      <c r="B16" s="17" t="n">
        <v>120000</v>
      </c>
      <c r="C16" s="18" t="s">
        <v>33</v>
      </c>
      <c r="D16" s="19" t="n">
        <f aca="false">$B$8</f>
        <v>0.15</v>
      </c>
      <c r="E16" s="20" t="s">
        <v>34</v>
      </c>
    </row>
    <row r="17" customFormat="false" ht="37.5" hidden="false" customHeight="true" outlineLevel="0" collapsed="false">
      <c r="A17" s="13" t="s">
        <v>35</v>
      </c>
      <c r="B17" s="7" t="n">
        <v>40000</v>
      </c>
      <c r="C17" s="14" t="s">
        <v>33</v>
      </c>
      <c r="D17" s="15" t="n">
        <f aca="false">$B$8</f>
        <v>0.15</v>
      </c>
      <c r="E17" s="9" t="s">
        <v>36</v>
      </c>
    </row>
    <row r="18" customFormat="false" ht="37.5" hidden="false" customHeight="true" outlineLevel="0" collapsed="false">
      <c r="A18" s="16" t="s">
        <v>37</v>
      </c>
      <c r="B18" s="17" t="n">
        <v>55000</v>
      </c>
      <c r="C18" s="18" t="s">
        <v>33</v>
      </c>
      <c r="D18" s="19" t="n">
        <f aca="false">$B$8</f>
        <v>0.15</v>
      </c>
      <c r="E18" s="20" t="s">
        <v>38</v>
      </c>
    </row>
    <row r="19" customFormat="false" ht="15" hidden="false" customHeight="false" outlineLevel="0" collapsed="false">
      <c r="A19" s="21" t="s">
        <v>39</v>
      </c>
      <c r="B19" s="22" t="n">
        <f aca="false">SUM(B15:B18)</f>
        <v>305000</v>
      </c>
      <c r="C19" s="12"/>
      <c r="D19" s="12"/>
      <c r="E19" s="12"/>
    </row>
    <row r="20" customFormat="false" ht="15" hidden="false" customHeight="false" outlineLevel="0" collapsed="false">
      <c r="A20" s="23" t="s">
        <v>40</v>
      </c>
      <c r="B20" s="24" t="n">
        <f aca="false">SUMIF(C15:C18,"متعاقد",B15:B18)</f>
        <v>0</v>
      </c>
      <c r="E20" s="25" t="s">
        <v>41</v>
      </c>
    </row>
    <row r="22" customFormat="false" ht="19.5" hidden="false" customHeight="true" outlineLevel="0" collapsed="false">
      <c r="A22" s="26" t="s">
        <v>42</v>
      </c>
      <c r="B22" s="27"/>
      <c r="C22" s="27"/>
      <c r="D22" s="27"/>
      <c r="E22" s="27"/>
    </row>
    <row r="23" customFormat="false" ht="30" hidden="false" customHeight="true" outlineLevel="0" collapsed="false">
      <c r="A23" s="5" t="s">
        <v>3</v>
      </c>
      <c r="B23" s="5" t="s">
        <v>4</v>
      </c>
      <c r="C23" s="5" t="s">
        <v>5</v>
      </c>
      <c r="D23" s="5"/>
      <c r="E23" s="5" t="s">
        <v>43</v>
      </c>
    </row>
    <row r="24" customFormat="false" ht="15" hidden="false" customHeight="false" outlineLevel="0" collapsed="false">
      <c r="A24" s="6" t="s">
        <v>44</v>
      </c>
      <c r="B24" s="24" t="n">
        <f aca="false">$B$7-$B$6</f>
        <v>584453</v>
      </c>
      <c r="C24" s="8" t="s">
        <v>8</v>
      </c>
      <c r="D24" s="6"/>
      <c r="E24" s="9" t="s">
        <v>45</v>
      </c>
    </row>
    <row r="25" customFormat="false" ht="15" hidden="false" customHeight="false" outlineLevel="0" collapsed="false">
      <c r="A25" s="6" t="s">
        <v>46</v>
      </c>
      <c r="B25" s="24" t="n">
        <f aca="false">$B$19</f>
        <v>305000</v>
      </c>
      <c r="C25" s="8" t="s">
        <v>8</v>
      </c>
      <c r="D25" s="6"/>
      <c r="E25" s="9" t="s">
        <v>47</v>
      </c>
    </row>
    <row r="26" customFormat="false" ht="15" hidden="false" customHeight="false" outlineLevel="0" collapsed="false">
      <c r="A26" s="6" t="s">
        <v>48</v>
      </c>
      <c r="B26" s="28" t="n">
        <f aca="false">IFERROR($B$19/$B$24,"")</f>
        <v>0.521855478541474</v>
      </c>
      <c r="C26" s="8" t="s">
        <v>49</v>
      </c>
      <c r="D26" s="6"/>
      <c r="E26" s="9" t="s">
        <v>50</v>
      </c>
    </row>
    <row r="27" customFormat="false" ht="15" hidden="false" customHeight="false" outlineLevel="0" collapsed="false">
      <c r="A27" s="6" t="s">
        <v>51</v>
      </c>
      <c r="B27" s="24" t="n">
        <f aca="false">MAX(0,$B$24-$B$19)</f>
        <v>279453</v>
      </c>
      <c r="C27" s="8" t="s">
        <v>8</v>
      </c>
      <c r="D27" s="6"/>
      <c r="E27" s="9" t="s">
        <v>52</v>
      </c>
    </row>
    <row r="29" customFormat="false" ht="15" hidden="false" customHeight="false" outlineLevel="0" collapsed="false">
      <c r="A29" s="6" t="s">
        <v>53</v>
      </c>
      <c r="B29" s="24" t="n">
        <f aca="false">$B$24*$B$8</f>
        <v>87667.95</v>
      </c>
      <c r="C29" s="8" t="s">
        <v>19</v>
      </c>
      <c r="D29" s="6"/>
      <c r="E29" s="9" t="s">
        <v>54</v>
      </c>
    </row>
    <row r="30" customFormat="false" ht="15" hidden="false" customHeight="false" outlineLevel="0" collapsed="false">
      <c r="A30" s="6" t="s">
        <v>55</v>
      </c>
      <c r="B30" s="24" t="n">
        <f aca="false">$B$11</f>
        <v>28000</v>
      </c>
      <c r="C30" s="8" t="s">
        <v>19</v>
      </c>
      <c r="D30" s="6"/>
      <c r="E30" s="9" t="s">
        <v>56</v>
      </c>
    </row>
    <row r="31" customFormat="false" ht="15" hidden="false" customHeight="false" outlineLevel="0" collapsed="false">
      <c r="A31" s="29" t="s">
        <v>57</v>
      </c>
      <c r="B31" s="30" t="n">
        <f aca="false">$B$29+$B$30</f>
        <v>115667.95</v>
      </c>
      <c r="C31" s="31" t="s">
        <v>19</v>
      </c>
      <c r="D31" s="32"/>
      <c r="E31" s="33" t="s">
        <v>58</v>
      </c>
    </row>
    <row r="33" customFormat="false" ht="15" hidden="false" customHeight="false" outlineLevel="0" collapsed="false">
      <c r="A33" s="26" t="s">
        <v>59</v>
      </c>
      <c r="B33" s="34" t="n">
        <f aca="false">$B$10+$B$31</f>
        <v>794999.95</v>
      </c>
      <c r="C33" s="35" t="s">
        <v>19</v>
      </c>
      <c r="D33" s="27"/>
      <c r="E33" s="36" t="s">
        <v>60</v>
      </c>
    </row>
    <row r="34" customFormat="false" ht="15" hidden="false" customHeight="false" outlineLevel="0" collapsed="false">
      <c r="A34" s="26" t="s">
        <v>61</v>
      </c>
      <c r="B34" s="37" t="n">
        <f aca="false">IFERROR($B$31/$B$10,"")</f>
        <v>0.170267188944434</v>
      </c>
      <c r="C34" s="35" t="s">
        <v>49</v>
      </c>
      <c r="D34" s="27"/>
      <c r="E34" s="36" t="s">
        <v>62</v>
      </c>
    </row>
    <row r="35" customFormat="false" ht="15" hidden="false" customHeight="false" outlineLevel="0" collapsed="false">
      <c r="A35" s="6" t="s">
        <v>63</v>
      </c>
      <c r="B35" s="15" t="n">
        <f aca="false">IFERROR($B$10/$B$9,"")</f>
        <v>5.31662688319311</v>
      </c>
      <c r="C35" s="8" t="s">
        <v>64</v>
      </c>
      <c r="D35" s="6"/>
      <c r="E35" s="9" t="s">
        <v>65</v>
      </c>
    </row>
    <row r="36" customFormat="false" ht="15" hidden="false" customHeight="false" outlineLevel="0" collapsed="false">
      <c r="A36" s="26" t="s">
        <v>66</v>
      </c>
      <c r="B36" s="38" t="n">
        <f aca="false">IFERROR($B$33/$B$9,"")</f>
        <v>6.22187399726081</v>
      </c>
      <c r="C36" s="35" t="s">
        <v>64</v>
      </c>
      <c r="D36" s="27"/>
      <c r="E36" s="36" t="s">
        <v>67</v>
      </c>
    </row>
  </sheetData>
  <mergeCells count="2">
    <mergeCell ref="A1:E1"/>
    <mergeCell ref="A2:E2"/>
  </mergeCells>
  <dataValidations count="1">
    <dataValidation allowBlank="true" errorStyle="stop" operator="between" showDropDown="false" showErrorMessage="false" showInputMessage="false" sqref="C15:C18" type="list">
      <formula1>"فرصة,تواصل,عرض مقدّم,متعاقد"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1C1E"/>
    <pageSetUpPr fitToPage="true"/>
  </sheetPr>
  <dimension ref="A1:J2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9" min="2" style="0" width="13"/>
    <col collapsed="false" customWidth="true" hidden="false" outlineLevel="0" max="10" min="10" style="0" width="3"/>
  </cols>
  <sheetData>
    <row r="1" customFormat="false" ht="33.75" hidden="false" customHeight="true" outlineLevel="0" collapsed="false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69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7.75" hidden="false" customHeight="true" outlineLevel="0" collapsed="false">
      <c r="B4" s="39" t="n">
        <v>3915547</v>
      </c>
      <c r="C4" s="39"/>
      <c r="D4" s="40" t="n">
        <v>127775</v>
      </c>
      <c r="E4" s="40"/>
      <c r="F4" s="41" t="n">
        <f aca="false">'نموذج المحرّكات'!B10</f>
        <v>679332</v>
      </c>
      <c r="G4" s="41"/>
      <c r="H4" s="42" t="n">
        <f aca="false">'نموذج المحرّكات'!B35</f>
        <v>5.31662688319311</v>
      </c>
      <c r="I4" s="42"/>
    </row>
    <row r="5" customFormat="false" ht="15.75" hidden="false" customHeight="true" outlineLevel="0" collapsed="false">
      <c r="B5" s="43" t="s">
        <v>70</v>
      </c>
      <c r="C5" s="43"/>
      <c r="D5" s="43" t="s">
        <v>71</v>
      </c>
      <c r="E5" s="43"/>
      <c r="F5" s="43" t="s">
        <v>72</v>
      </c>
      <c r="G5" s="43"/>
      <c r="H5" s="43" t="s">
        <v>73</v>
      </c>
      <c r="I5" s="43"/>
    </row>
    <row r="7" customFormat="false" ht="27.75" hidden="false" customHeight="true" outlineLevel="0" collapsed="false">
      <c r="B7" s="44" t="n">
        <v>-0.30142566191446</v>
      </c>
      <c r="C7" s="44"/>
      <c r="D7" s="40" t="n">
        <f aca="false">'نموذج المحرّكات'!B19</f>
        <v>305000</v>
      </c>
      <c r="E7" s="40"/>
      <c r="F7" s="45" t="n">
        <f aca="false">'نموذج المحرّكات'!B31</f>
        <v>115667.95</v>
      </c>
      <c r="G7" s="45"/>
      <c r="H7" s="46" t="n">
        <f aca="false">'نموذج المحرّكات'!B34</f>
        <v>0.170267188944434</v>
      </c>
      <c r="I7" s="46"/>
    </row>
    <row r="8" customFormat="false" ht="15.75" hidden="false" customHeight="true" outlineLevel="0" collapsed="false">
      <c r="B8" s="43" t="s">
        <v>74</v>
      </c>
      <c r="C8" s="43"/>
      <c r="D8" s="43" t="s">
        <v>75</v>
      </c>
      <c r="E8" s="43"/>
      <c r="F8" s="43" t="s">
        <v>76</v>
      </c>
      <c r="G8" s="43"/>
      <c r="H8" s="43" t="s">
        <v>77</v>
      </c>
      <c r="I8" s="43"/>
    </row>
    <row r="10" customFormat="false" ht="15" hidden="false" customHeight="false" outlineLevel="0" collapsed="false">
      <c r="B10" s="47" t="s">
        <v>78</v>
      </c>
      <c r="C10" s="47"/>
      <c r="D10" s="47"/>
      <c r="E10" s="47"/>
      <c r="F10" s="47"/>
      <c r="G10" s="47"/>
      <c r="H10" s="47"/>
      <c r="I10" s="47"/>
    </row>
    <row r="11" customFormat="false" ht="45.75" hidden="false" customHeight="true" outlineLevel="0" collapsed="false">
      <c r="B11" s="48" t="s">
        <v>79</v>
      </c>
      <c r="C11" s="48"/>
      <c r="D11" s="48"/>
      <c r="E11" s="48"/>
      <c r="F11" s="48"/>
      <c r="G11" s="48"/>
      <c r="H11" s="48"/>
      <c r="I11" s="48"/>
    </row>
    <row r="13" customFormat="false" ht="30" hidden="false" customHeight="true" outlineLevel="0" collapsed="false">
      <c r="B13" s="49" t="s">
        <v>80</v>
      </c>
      <c r="C13" s="49"/>
      <c r="D13" s="49"/>
      <c r="E13" s="49"/>
      <c r="F13" s="49"/>
      <c r="G13" s="49"/>
      <c r="H13" s="49"/>
      <c r="I13" s="49"/>
    </row>
    <row r="15" customFormat="false" ht="15" hidden="false" customHeight="false" outlineLevel="0" collapsed="false">
      <c r="B15" s="23" t="s">
        <v>81</v>
      </c>
    </row>
    <row r="16" customFormat="false" ht="15" hidden="false" customHeight="false" outlineLevel="0" collapsed="false">
      <c r="B16" s="50" t="s">
        <v>82</v>
      </c>
      <c r="C16" s="50" t="s">
        <v>83</v>
      </c>
      <c r="D16" s="50" t="s">
        <v>84</v>
      </c>
    </row>
    <row r="17" customFormat="false" ht="15" hidden="false" customHeight="false" outlineLevel="0" collapsed="false">
      <c r="B17" s="51" t="s">
        <v>85</v>
      </c>
      <c r="C17" s="10" t="n">
        <v>4.25</v>
      </c>
      <c r="D17" s="15" t="n">
        <f aca="false">'نموذج المحرّكات'!$B$7/1000000</f>
        <v>4.5</v>
      </c>
    </row>
    <row r="18" customFormat="false" ht="15" hidden="false" customHeight="false" outlineLevel="0" collapsed="false">
      <c r="A18" s="52"/>
      <c r="B18" s="53" t="s">
        <v>86</v>
      </c>
      <c r="C18" s="54" t="n">
        <v>4.17</v>
      </c>
      <c r="D18" s="19" t="n">
        <f aca="false">'نموذج المحرّكات'!$B$7/1000000</f>
        <v>4.5</v>
      </c>
    </row>
    <row r="19" customFormat="false" ht="15" hidden="false" customHeight="false" outlineLevel="0" collapsed="false">
      <c r="B19" s="51" t="s">
        <v>87</v>
      </c>
      <c r="C19" s="10" t="n">
        <v>4.91</v>
      </c>
      <c r="D19" s="15" t="n">
        <f aca="false">'نموذج المحرّكات'!$B$7/1000000</f>
        <v>4.5</v>
      </c>
    </row>
    <row r="20" customFormat="false" ht="15" hidden="false" customHeight="false" outlineLevel="0" collapsed="false">
      <c r="A20" s="52"/>
      <c r="B20" s="53" t="s">
        <v>88</v>
      </c>
      <c r="C20" s="54" t="n">
        <v>3.6</v>
      </c>
      <c r="D20" s="19" t="n">
        <f aca="false">'نموذج المحرّكات'!$B$7/1000000</f>
        <v>4.5</v>
      </c>
    </row>
    <row r="21" customFormat="false" ht="15" hidden="false" customHeight="false" outlineLevel="0" collapsed="false">
      <c r="B21" s="51" t="s">
        <v>89</v>
      </c>
      <c r="C21" s="10" t="n">
        <v>3.13</v>
      </c>
      <c r="D21" s="15" t="n">
        <f aca="false">'نموذج المحرّكات'!$B$7/1000000</f>
        <v>4.5</v>
      </c>
    </row>
    <row r="22" customFormat="false" ht="15" hidden="false" customHeight="false" outlineLevel="0" collapsed="false">
      <c r="A22" s="52"/>
      <c r="B22" s="53" t="s">
        <v>90</v>
      </c>
      <c r="C22" s="54" t="n">
        <v>3.43</v>
      </c>
      <c r="D22" s="19" t="n">
        <f aca="false">'نموذج المحرّكات'!$B$7/1000000</f>
        <v>4.5</v>
      </c>
    </row>
    <row r="24" customFormat="false" ht="15" hidden="false" customHeight="false" outlineLevel="0" collapsed="false">
      <c r="B24" s="55" t="s">
        <v>91</v>
      </c>
      <c r="C24" s="55"/>
      <c r="D24" s="55"/>
      <c r="E24" s="55"/>
      <c r="F24" s="55"/>
      <c r="G24" s="55"/>
      <c r="H24" s="55"/>
      <c r="I24" s="55"/>
    </row>
  </sheetData>
  <mergeCells count="22">
    <mergeCell ref="A1:J1"/>
    <mergeCell ref="A2:J2"/>
    <mergeCell ref="B4:C4"/>
    <mergeCell ref="D4:E4"/>
    <mergeCell ref="F4:G4"/>
    <mergeCell ref="H4:I4"/>
    <mergeCell ref="B5:C5"/>
    <mergeCell ref="D5:E5"/>
    <mergeCell ref="F5:G5"/>
    <mergeCell ref="H5:I5"/>
    <mergeCell ref="B7:C7"/>
    <mergeCell ref="D7:E7"/>
    <mergeCell ref="F7:G7"/>
    <mergeCell ref="H7:I7"/>
    <mergeCell ref="B8:C8"/>
    <mergeCell ref="D8:E8"/>
    <mergeCell ref="F8:G8"/>
    <mergeCell ref="H8:I8"/>
    <mergeCell ref="B10:I10"/>
    <mergeCell ref="B11:I11"/>
    <mergeCell ref="B13:I13"/>
    <mergeCell ref="B24:I24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18A2B"/>
    <pageSetUpPr fitToPage="true"/>
  </sheetPr>
  <dimension ref="A1:D26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3" topLeftCell="A2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56"/>
  </cols>
  <sheetData>
    <row r="1" customFormat="false" ht="33.75" hidden="false" customHeight="true" outlineLevel="0" collapsed="false">
      <c r="A1" s="1" t="s">
        <v>92</v>
      </c>
      <c r="B1" s="1"/>
      <c r="C1" s="1"/>
      <c r="D1" s="1"/>
    </row>
    <row r="2" customFormat="false" ht="18" hidden="false" customHeight="true" outlineLevel="0" collapsed="false">
      <c r="A2" s="2" t="s">
        <v>93</v>
      </c>
      <c r="B2" s="2"/>
      <c r="C2" s="2"/>
      <c r="D2" s="2"/>
    </row>
    <row r="4" customFormat="false" ht="30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94</v>
      </c>
    </row>
    <row r="5" customFormat="false" ht="15" hidden="false" customHeight="false" outlineLevel="0" collapsed="false">
      <c r="A5" s="56" t="s">
        <v>95</v>
      </c>
      <c r="B5" s="7" t="n">
        <v>8270000</v>
      </c>
      <c r="C5" s="8" t="s">
        <v>19</v>
      </c>
      <c r="D5" s="57" t="s">
        <v>96</v>
      </c>
    </row>
    <row r="6" customFormat="false" ht="15" hidden="false" customHeight="false" outlineLevel="0" collapsed="false">
      <c r="A6" s="58" t="s">
        <v>97</v>
      </c>
      <c r="B6" s="17" t="n">
        <v>3915547</v>
      </c>
      <c r="C6" s="59" t="s">
        <v>8</v>
      </c>
      <c r="D6" s="60" t="s">
        <v>98</v>
      </c>
    </row>
    <row r="7" customFormat="false" ht="15" hidden="false" customHeight="false" outlineLevel="0" collapsed="false">
      <c r="A7" s="56" t="s">
        <v>15</v>
      </c>
      <c r="B7" s="7" t="n">
        <v>127775</v>
      </c>
      <c r="C7" s="8" t="s">
        <v>16</v>
      </c>
      <c r="D7" s="57" t="s">
        <v>99</v>
      </c>
    </row>
    <row r="8" customFormat="false" ht="15" hidden="false" customHeight="false" outlineLevel="0" collapsed="false">
      <c r="A8" s="58" t="s">
        <v>100</v>
      </c>
      <c r="B8" s="54" t="n">
        <v>64.7</v>
      </c>
      <c r="C8" s="59" t="s">
        <v>64</v>
      </c>
      <c r="D8" s="60" t="s">
        <v>101</v>
      </c>
    </row>
    <row r="9" customFormat="false" ht="15" hidden="false" customHeight="false" outlineLevel="0" collapsed="false">
      <c r="A9" s="56" t="s">
        <v>102</v>
      </c>
      <c r="B9" s="10" t="n">
        <v>30.6</v>
      </c>
      <c r="C9" s="8" t="s">
        <v>103</v>
      </c>
      <c r="D9" s="57" t="s">
        <v>104</v>
      </c>
    </row>
    <row r="10" customFormat="false" ht="15" hidden="false" customHeight="false" outlineLevel="0" collapsed="false">
      <c r="A10" s="58" t="s">
        <v>105</v>
      </c>
      <c r="B10" s="17" t="n">
        <v>587332</v>
      </c>
      <c r="C10" s="59" t="s">
        <v>19</v>
      </c>
      <c r="D10" s="60" t="s">
        <v>106</v>
      </c>
    </row>
    <row r="11" customFormat="false" ht="15" hidden="false" customHeight="false" outlineLevel="0" collapsed="false">
      <c r="A11" s="56" t="s">
        <v>107</v>
      </c>
      <c r="B11" s="7" t="n">
        <v>372000</v>
      </c>
      <c r="C11" s="8" t="s">
        <v>19</v>
      </c>
      <c r="D11" s="57" t="s">
        <v>108</v>
      </c>
    </row>
    <row r="12" customFormat="false" ht="15" hidden="false" customHeight="false" outlineLevel="0" collapsed="false">
      <c r="A12" s="58" t="s">
        <v>109</v>
      </c>
      <c r="B12" s="17" t="n">
        <v>280000</v>
      </c>
      <c r="C12" s="59" t="s">
        <v>19</v>
      </c>
      <c r="D12" s="60" t="s">
        <v>110</v>
      </c>
    </row>
    <row r="13" customFormat="false" ht="15" hidden="false" customHeight="false" outlineLevel="0" collapsed="false">
      <c r="A13" s="56" t="s">
        <v>111</v>
      </c>
      <c r="B13" s="61" t="n">
        <v>1.32857142857143</v>
      </c>
      <c r="C13" s="8" t="s">
        <v>49</v>
      </c>
      <c r="D13" s="57" t="s">
        <v>112</v>
      </c>
    </row>
    <row r="14" customFormat="false" ht="15" hidden="false" customHeight="false" outlineLevel="0" collapsed="false">
      <c r="A14" s="58" t="s">
        <v>113</v>
      </c>
      <c r="B14" s="54" t="n">
        <v>4.8</v>
      </c>
      <c r="C14" s="59" t="s">
        <v>114</v>
      </c>
      <c r="D14" s="60" t="s">
        <v>115</v>
      </c>
    </row>
    <row r="15" customFormat="false" ht="15" hidden="false" customHeight="false" outlineLevel="0" collapsed="false">
      <c r="A15" s="56" t="s">
        <v>116</v>
      </c>
      <c r="B15" s="7" t="n">
        <v>14</v>
      </c>
      <c r="C15" s="8" t="s">
        <v>117</v>
      </c>
      <c r="D15" s="57" t="s">
        <v>118</v>
      </c>
    </row>
    <row r="16" customFormat="false" ht="15" hidden="false" customHeight="false" outlineLevel="0" collapsed="false">
      <c r="A16" s="58" t="s">
        <v>119</v>
      </c>
      <c r="B16" s="17" t="n">
        <v>379000</v>
      </c>
      <c r="C16" s="59" t="s">
        <v>19</v>
      </c>
      <c r="D16" s="60" t="s">
        <v>120</v>
      </c>
    </row>
    <row r="17" customFormat="false" ht="15" hidden="false" customHeight="false" outlineLevel="0" collapsed="false">
      <c r="A17" s="56" t="s">
        <v>121</v>
      </c>
      <c r="B17" s="7" t="n">
        <v>56000</v>
      </c>
      <c r="C17" s="8" t="s">
        <v>19</v>
      </c>
      <c r="D17" s="57" t="s">
        <v>122</v>
      </c>
    </row>
    <row r="18" customFormat="false" ht="15" hidden="false" customHeight="false" outlineLevel="0" collapsed="false">
      <c r="A18" s="58" t="s">
        <v>123</v>
      </c>
      <c r="B18" s="62" t="n">
        <v>0.006</v>
      </c>
      <c r="C18" s="59" t="s">
        <v>49</v>
      </c>
      <c r="D18" s="60" t="s">
        <v>124</v>
      </c>
    </row>
    <row r="19" customFormat="false" ht="15" hidden="false" customHeight="false" outlineLevel="0" collapsed="false">
      <c r="A19" s="56" t="s">
        <v>125</v>
      </c>
      <c r="B19" s="61" t="n">
        <v>0.53</v>
      </c>
      <c r="C19" s="8" t="s">
        <v>49</v>
      </c>
      <c r="D19" s="57" t="s">
        <v>126</v>
      </c>
    </row>
    <row r="20" customFormat="false" ht="15" hidden="false" customHeight="false" outlineLevel="0" collapsed="false">
      <c r="A20" s="58" t="s">
        <v>127</v>
      </c>
      <c r="B20" s="17" t="n">
        <v>120000</v>
      </c>
      <c r="C20" s="59" t="s">
        <v>128</v>
      </c>
      <c r="D20" s="60" t="s">
        <v>129</v>
      </c>
    </row>
    <row r="22" customFormat="false" ht="15" hidden="false" customHeight="false" outlineLevel="0" collapsed="false">
      <c r="A22" s="63" t="s">
        <v>130</v>
      </c>
    </row>
    <row r="23" customFormat="false" ht="30" hidden="false" customHeight="true" outlineLevel="0" collapsed="false">
      <c r="A23" s="5" t="s">
        <v>131</v>
      </c>
      <c r="B23" s="5" t="s">
        <v>132</v>
      </c>
      <c r="C23" s="5" t="s">
        <v>8</v>
      </c>
      <c r="D23" s="5" t="s">
        <v>94</v>
      </c>
    </row>
    <row r="24" customFormat="false" ht="15" hidden="false" customHeight="false" outlineLevel="0" collapsed="false">
      <c r="A24" s="56" t="s">
        <v>133</v>
      </c>
      <c r="B24" s="61" t="n">
        <v>0.357</v>
      </c>
      <c r="C24" s="24" t="n">
        <f aca="false">B24*'نموذج المحرّكات'!$B$6</f>
        <v>1397850.279</v>
      </c>
      <c r="D24" s="57"/>
    </row>
    <row r="25" customFormat="false" ht="15" hidden="false" customHeight="false" outlineLevel="0" collapsed="false">
      <c r="A25" s="58" t="s">
        <v>134</v>
      </c>
      <c r="B25" s="62" t="n">
        <v>0.362</v>
      </c>
      <c r="C25" s="64" t="n">
        <f aca="false">B25*'نموذج المحرّكات'!$B$6</f>
        <v>1417428.014</v>
      </c>
      <c r="D25" s="60"/>
    </row>
    <row r="26" customFormat="false" ht="15" hidden="false" customHeight="false" outlineLevel="0" collapsed="false">
      <c r="A26" s="56" t="s">
        <v>135</v>
      </c>
      <c r="B26" s="61" t="n">
        <v>0.281</v>
      </c>
      <c r="C26" s="24" t="n">
        <f aca="false">B26*'نموذج المحرّكات'!$B$6</f>
        <v>1100268.707</v>
      </c>
      <c r="D26" s="57" t="s">
        <v>136</v>
      </c>
    </row>
  </sheetData>
  <mergeCells count="2">
    <mergeCell ref="A1:D1"/>
    <mergeCell ref="A2:D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18A2B"/>
    <pageSetUpPr fitToPage="true"/>
  </sheetPr>
  <dimension ref="A1:D9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44"/>
    <col collapsed="false" customWidth="true" hidden="false" outlineLevel="0" max="4" min="4" style="0" width="40"/>
  </cols>
  <sheetData>
    <row r="1" customFormat="false" ht="33.75" hidden="false" customHeight="true" outlineLevel="0" collapsed="false">
      <c r="A1" s="1" t="s">
        <v>137</v>
      </c>
      <c r="B1" s="1"/>
      <c r="C1" s="1"/>
      <c r="D1" s="1"/>
    </row>
    <row r="2" customFormat="false" ht="18" hidden="false" customHeight="true" outlineLevel="0" collapsed="false">
      <c r="A2" s="2" t="s">
        <v>138</v>
      </c>
      <c r="B2" s="2"/>
      <c r="C2" s="2"/>
      <c r="D2" s="2"/>
    </row>
    <row r="4" customFormat="false" ht="30" hidden="false" customHeight="true" outlineLevel="0" collapsed="false">
      <c r="A4" s="5" t="s">
        <v>139</v>
      </c>
      <c r="B4" s="5" t="s">
        <v>140</v>
      </c>
      <c r="C4" s="5" t="s">
        <v>141</v>
      </c>
      <c r="D4" s="5" t="s">
        <v>142</v>
      </c>
    </row>
    <row r="5" customFormat="false" ht="36" hidden="false" customHeight="true" outlineLevel="0" collapsed="false">
      <c r="A5" s="65" t="s">
        <v>143</v>
      </c>
      <c r="B5" s="13" t="s">
        <v>144</v>
      </c>
      <c r="C5" s="66" t="s">
        <v>145</v>
      </c>
      <c r="D5" s="67" t="s">
        <v>146</v>
      </c>
    </row>
    <row r="6" customFormat="false" ht="36" hidden="false" customHeight="true" outlineLevel="0" collapsed="false">
      <c r="A6" s="68" t="s">
        <v>147</v>
      </c>
      <c r="B6" s="16" t="s">
        <v>148</v>
      </c>
      <c r="C6" s="69" t="s">
        <v>149</v>
      </c>
      <c r="D6" s="70" t="s">
        <v>150</v>
      </c>
    </row>
    <row r="7" customFormat="false" ht="36" hidden="false" customHeight="true" outlineLevel="0" collapsed="false">
      <c r="A7" s="65" t="s">
        <v>151</v>
      </c>
      <c r="B7" s="13" t="s">
        <v>152</v>
      </c>
      <c r="C7" s="66" t="s">
        <v>153</v>
      </c>
      <c r="D7" s="67" t="s">
        <v>154</v>
      </c>
    </row>
    <row r="8" customFormat="false" ht="36" hidden="false" customHeight="true" outlineLevel="0" collapsed="false">
      <c r="A8" s="68" t="s">
        <v>155</v>
      </c>
      <c r="B8" s="16" t="s">
        <v>156</v>
      </c>
      <c r="C8" s="69" t="s">
        <v>157</v>
      </c>
      <c r="D8" s="70" t="s">
        <v>158</v>
      </c>
    </row>
    <row r="9" customFormat="false" ht="36" hidden="false" customHeight="true" outlineLevel="0" collapsed="false">
      <c r="A9" s="65" t="s">
        <v>159</v>
      </c>
      <c r="B9" s="13" t="s">
        <v>160</v>
      </c>
      <c r="C9" s="66" t="s">
        <v>161</v>
      </c>
      <c r="D9" s="67" t="s">
        <v>162</v>
      </c>
    </row>
  </sheetData>
  <mergeCells count="2">
    <mergeCell ref="A1:D1"/>
    <mergeCell ref="A2:D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18A2B"/>
    <pageSetUpPr fitToPage="true"/>
  </sheetPr>
  <dimension ref="A1:F16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52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6" min="6" style="0" width="14"/>
  </cols>
  <sheetData>
    <row r="1" customFormat="false" ht="33.75" hidden="false" customHeight="true" outlineLevel="0" collapsed="false">
      <c r="A1" s="1" t="s">
        <v>163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164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5" t="s">
        <v>165</v>
      </c>
      <c r="B4" s="5" t="s">
        <v>166</v>
      </c>
      <c r="C4" s="5" t="s">
        <v>167</v>
      </c>
      <c r="D4" s="5" t="s">
        <v>168</v>
      </c>
      <c r="E4" s="5" t="s">
        <v>169</v>
      </c>
      <c r="F4" s="5" t="s">
        <v>26</v>
      </c>
    </row>
    <row r="5" customFormat="false" ht="61.5" hidden="false" customHeight="true" outlineLevel="0" collapsed="false">
      <c r="A5" s="71" t="s">
        <v>170</v>
      </c>
      <c r="B5" s="13" t="s">
        <v>171</v>
      </c>
      <c r="C5" s="66" t="s">
        <v>172</v>
      </c>
      <c r="D5" s="9" t="s">
        <v>173</v>
      </c>
      <c r="E5" s="72"/>
      <c r="F5" s="73"/>
    </row>
    <row r="6" customFormat="false" ht="61.5" hidden="false" customHeight="true" outlineLevel="0" collapsed="false">
      <c r="A6" s="71" t="s">
        <v>174</v>
      </c>
      <c r="B6" s="13" t="s">
        <v>175</v>
      </c>
      <c r="C6" s="66" t="s">
        <v>176</v>
      </c>
      <c r="D6" s="9" t="s">
        <v>177</v>
      </c>
      <c r="E6" s="72"/>
      <c r="F6" s="73"/>
    </row>
    <row r="7" customFormat="false" ht="61.5" hidden="false" customHeight="true" outlineLevel="0" collapsed="false">
      <c r="A7" s="71" t="s">
        <v>178</v>
      </c>
      <c r="B7" s="13" t="s">
        <v>179</v>
      </c>
      <c r="C7" s="66" t="s">
        <v>180</v>
      </c>
      <c r="D7" s="9" t="s">
        <v>181</v>
      </c>
      <c r="E7" s="72"/>
      <c r="F7" s="73"/>
    </row>
    <row r="8" customFormat="false" ht="61.5" hidden="false" customHeight="true" outlineLevel="0" collapsed="false">
      <c r="A8" s="71" t="s">
        <v>182</v>
      </c>
      <c r="B8" s="13" t="s">
        <v>183</v>
      </c>
      <c r="C8" s="66" t="s">
        <v>184</v>
      </c>
      <c r="D8" s="9" t="s">
        <v>185</v>
      </c>
      <c r="E8" s="72"/>
      <c r="F8" s="73"/>
    </row>
    <row r="10" customFormat="false" ht="15" hidden="false" customHeight="false" outlineLevel="0" collapsed="false">
      <c r="A10" s="63" t="s">
        <v>186</v>
      </c>
    </row>
    <row r="11" customFormat="false" ht="30" hidden="false" customHeight="true" outlineLevel="0" collapsed="false">
      <c r="A11" s="5" t="s">
        <v>3</v>
      </c>
      <c r="B11" s="5" t="s">
        <v>132</v>
      </c>
      <c r="C11" s="5"/>
      <c r="D11" s="5"/>
      <c r="E11" s="5"/>
      <c r="F11" s="5"/>
    </row>
    <row r="12" customFormat="false" ht="15" hidden="false" customHeight="false" outlineLevel="0" collapsed="false">
      <c r="A12" s="56" t="s">
        <v>187</v>
      </c>
      <c r="B12" s="61" t="n">
        <v>0.5</v>
      </c>
      <c r="C12" s="6"/>
      <c r="D12" s="6"/>
      <c r="E12" s="6"/>
      <c r="F12" s="6"/>
    </row>
    <row r="13" customFormat="false" ht="15" hidden="false" customHeight="false" outlineLevel="0" collapsed="false">
      <c r="A13" s="56" t="s">
        <v>188</v>
      </c>
      <c r="B13" s="61" t="n">
        <v>0.2</v>
      </c>
      <c r="C13" s="6"/>
      <c r="D13" s="6"/>
      <c r="E13" s="6"/>
      <c r="F13" s="6"/>
    </row>
    <row r="14" customFormat="false" ht="15" hidden="false" customHeight="false" outlineLevel="0" collapsed="false">
      <c r="A14" s="56" t="s">
        <v>189</v>
      </c>
      <c r="B14" s="61" t="n">
        <v>0.2</v>
      </c>
      <c r="C14" s="6"/>
      <c r="D14" s="6"/>
      <c r="E14" s="6"/>
      <c r="F14" s="6"/>
    </row>
    <row r="15" customFormat="false" ht="15" hidden="false" customHeight="false" outlineLevel="0" collapsed="false">
      <c r="A15" s="56" t="s">
        <v>190</v>
      </c>
      <c r="B15" s="61" t="n">
        <v>0.1</v>
      </c>
      <c r="C15" s="6"/>
      <c r="D15" s="6"/>
      <c r="E15" s="6"/>
      <c r="F15" s="6"/>
    </row>
    <row r="16" customFormat="false" ht="15" hidden="false" customHeight="false" outlineLevel="0" collapsed="false">
      <c r="A16" s="74" t="s">
        <v>191</v>
      </c>
      <c r="B16" s="75" t="n">
        <f aca="false">SUM(B12:B15)</f>
        <v>1</v>
      </c>
      <c r="C16" s="4"/>
      <c r="D16" s="4"/>
      <c r="E16" s="4"/>
      <c r="F16" s="4"/>
    </row>
  </sheetData>
  <mergeCells count="2">
    <mergeCell ref="A1:F1"/>
    <mergeCell ref="A2:F2"/>
  </mergeCells>
  <conditionalFormatting sqref="B16">
    <cfRule type="cellIs" priority="2" operator="notEqual" aboveAverage="0" equalAverage="0" bottom="0" percent="0" rank="0" text="" dxfId="0">
      <formula>1</formula>
    </cfRule>
  </conditionalFormatting>
  <conditionalFormatting sqref="B12:B15">
    <cfRule type="dataBar" priority="3">
      <dataBar showValue="1" minLength="10" maxLength="90">
        <cfvo type="num" val="0"/>
        <cfvo type="num" val="1"/>
        <color rgb="FFF18A2B"/>
      </dataBar>
      <extLst>
        <ext xmlns:x14="http://schemas.microsoft.com/office/spreadsheetml/2009/9/main" uri="{B025F937-C7B1-47D3-B67F-A62EFF666E3E}">
          <x14:id>{B5D03348-8510-423B-A17A-CA22A2D8EFE8}</x14:id>
        </ext>
      </extLst>
    </cfRule>
  </conditionalFormatting>
  <dataValidations count="1">
    <dataValidation allowBlank="true" errorStyle="stop" operator="between" showDropDown="false" showErrorMessage="false" showInputMessage="false" sqref="F5:F8" type="list">
      <formula1>"لم تبدأ,جارية,منجزة,مؤجّلة"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D03348-8510-423B-A17A-CA22A2D8EFE8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F18A2B"/>
              <x14:axisColor rgb="FF000000"/>
            </x14:dataBar>
          </x14:cfRule>
          <xm:sqref>B12:B15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18A2B"/>
    <pageSetUpPr fitToPage="true"/>
  </sheetPr>
  <dimension ref="A1:E18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20"/>
    <col collapsed="false" customWidth="true" hidden="false" outlineLevel="0" max="5" min="5" style="0" width="44"/>
  </cols>
  <sheetData>
    <row r="1" customFormat="false" ht="33.75" hidden="false" customHeight="true" outlineLevel="0" collapsed="false">
      <c r="A1" s="1" t="s">
        <v>192</v>
      </c>
      <c r="B1" s="1"/>
      <c r="C1" s="1"/>
      <c r="D1" s="1"/>
      <c r="E1" s="1"/>
    </row>
    <row r="2" customFormat="false" ht="18" hidden="false" customHeight="true" outlineLevel="0" collapsed="false">
      <c r="A2" s="2" t="s">
        <v>193</v>
      </c>
      <c r="B2" s="2"/>
      <c r="C2" s="2"/>
      <c r="D2" s="2"/>
      <c r="E2" s="2"/>
    </row>
    <row r="4" customFormat="false" ht="30" hidden="false" customHeight="true" outlineLevel="0" collapsed="false">
      <c r="A4" s="5" t="s">
        <v>194</v>
      </c>
      <c r="B4" s="5" t="s">
        <v>195</v>
      </c>
      <c r="C4" s="5" t="s">
        <v>84</v>
      </c>
      <c r="D4" s="5" t="s">
        <v>196</v>
      </c>
      <c r="E4" s="5" t="s">
        <v>197</v>
      </c>
    </row>
    <row r="5" customFormat="false" ht="15" hidden="false" customHeight="false" outlineLevel="0" collapsed="false">
      <c r="A5" s="56" t="s">
        <v>70</v>
      </c>
      <c r="B5" s="24" t="n">
        <f aca="false">'نموذج المحرّكات'!B6</f>
        <v>3915547</v>
      </c>
      <c r="C5" s="24" t="n">
        <f aca="false">'نموذج المحرّكات'!B7</f>
        <v>4500000</v>
      </c>
      <c r="D5" s="24" t="n">
        <f aca="false">IFERROR(C5-B5,"")</f>
        <v>584453</v>
      </c>
      <c r="E5" s="9" t="s">
        <v>198</v>
      </c>
    </row>
    <row r="6" customFormat="false" ht="15" hidden="false" customHeight="false" outlineLevel="0" collapsed="false">
      <c r="A6" s="58" t="s">
        <v>199</v>
      </c>
      <c r="B6" s="17" t="n">
        <v>0</v>
      </c>
      <c r="C6" s="64" t="n">
        <f aca="false">'نموذج المحرّكات'!B19</f>
        <v>305000</v>
      </c>
      <c r="D6" s="64" t="n">
        <f aca="false">IFERROR(C6-B6,"")</f>
        <v>305000</v>
      </c>
      <c r="E6" s="20" t="s">
        <v>200</v>
      </c>
    </row>
    <row r="7" customFormat="false" ht="15" hidden="false" customHeight="false" outlineLevel="0" collapsed="false">
      <c r="A7" s="56" t="s">
        <v>123</v>
      </c>
      <c r="B7" s="61" t="n">
        <v>0.006</v>
      </c>
      <c r="C7" s="61" t="n">
        <v>0.05</v>
      </c>
      <c r="D7" s="76" t="n">
        <f aca="false">IFERROR(C7-B7,"")</f>
        <v>0.044</v>
      </c>
      <c r="E7" s="9" t="s">
        <v>201</v>
      </c>
    </row>
    <row r="8" customFormat="false" ht="15" hidden="false" customHeight="false" outlineLevel="0" collapsed="false">
      <c r="A8" s="58" t="s">
        <v>202</v>
      </c>
      <c r="B8" s="17" t="n">
        <v>1</v>
      </c>
      <c r="C8" s="17" t="n">
        <v>0</v>
      </c>
      <c r="D8" s="64" t="n">
        <f aca="false">IFERROR(C8-B8,"")</f>
        <v>-1</v>
      </c>
      <c r="E8" s="20" t="s">
        <v>203</v>
      </c>
    </row>
    <row r="9" customFormat="false" ht="15" hidden="false" customHeight="false" outlineLevel="0" collapsed="false">
      <c r="A9" s="56" t="s">
        <v>204</v>
      </c>
      <c r="B9" s="24" t="n">
        <f aca="false">'نموذج المحرّكات'!B10</f>
        <v>679332</v>
      </c>
      <c r="C9" s="24" t="n">
        <f aca="false">'نموذج المحرّكات'!B33</f>
        <v>794999.95</v>
      </c>
      <c r="D9" s="24" t="n">
        <f aca="false">IFERROR(C9-B9,"")</f>
        <v>115667.95</v>
      </c>
      <c r="E9" s="9" t="s">
        <v>205</v>
      </c>
    </row>
    <row r="10" customFormat="false" ht="15" hidden="false" customHeight="false" outlineLevel="0" collapsed="false">
      <c r="A10" s="58" t="s">
        <v>73</v>
      </c>
      <c r="B10" s="19" t="n">
        <f aca="false">'نموذج المحرّكات'!B35</f>
        <v>5.31662688319311</v>
      </c>
      <c r="C10" s="19" t="n">
        <f aca="false">'نموذج المحرّكات'!B36</f>
        <v>6.22187399726081</v>
      </c>
      <c r="D10" s="19" t="n">
        <f aca="false">IFERROR(C10-B10,"")</f>
        <v>0.905247114067697</v>
      </c>
      <c r="E10" s="20" t="s">
        <v>206</v>
      </c>
    </row>
    <row r="11" customFormat="false" ht="15" hidden="false" customHeight="false" outlineLevel="0" collapsed="false">
      <c r="A11" s="56" t="s">
        <v>113</v>
      </c>
      <c r="B11" s="10" t="n">
        <v>4.8</v>
      </c>
      <c r="C11" s="10" t="n">
        <v>4.8</v>
      </c>
      <c r="D11" s="15" t="n">
        <f aca="false">IFERROR(C11-B11,"")</f>
        <v>0</v>
      </c>
      <c r="E11" s="9" t="s">
        <v>207</v>
      </c>
    </row>
    <row r="13" customFormat="false" ht="15" hidden="false" customHeight="false" outlineLevel="0" collapsed="false">
      <c r="A13" s="63" t="s">
        <v>208</v>
      </c>
    </row>
    <row r="14" customFormat="false" ht="30" hidden="false" customHeight="true" outlineLevel="0" collapsed="false">
      <c r="A14" s="5" t="s">
        <v>209</v>
      </c>
      <c r="B14" s="5" t="s">
        <v>210</v>
      </c>
      <c r="C14" s="5" t="s">
        <v>211</v>
      </c>
      <c r="D14" s="5" t="s">
        <v>212</v>
      </c>
      <c r="E14" s="5" t="s">
        <v>213</v>
      </c>
    </row>
    <row r="15" customFormat="false" ht="15" hidden="false" customHeight="false" outlineLevel="0" collapsed="false">
      <c r="A15" s="56" t="s">
        <v>214</v>
      </c>
      <c r="B15" s="7" t="n">
        <v>92000</v>
      </c>
      <c r="C15" s="7" t="n">
        <v>15000</v>
      </c>
      <c r="D15" s="76" t="n">
        <f aca="false">IFERROR(C15/B15,"")</f>
        <v>0.16304347826087</v>
      </c>
      <c r="E15" s="77" t="str">
        <f aca="false">IF(D15&gt;0.15,"مراجعة التسعير","سليم")</f>
        <v>مراجعة التسعير</v>
      </c>
    </row>
    <row r="16" customFormat="false" ht="15" hidden="false" customHeight="false" outlineLevel="0" collapsed="false">
      <c r="A16" s="58" t="s">
        <v>215</v>
      </c>
      <c r="B16" s="17" t="n">
        <v>58000</v>
      </c>
      <c r="C16" s="17" t="n">
        <v>10000</v>
      </c>
      <c r="D16" s="78" t="n">
        <f aca="false">IFERROR(C16/B16,"")</f>
        <v>0.172413793103448</v>
      </c>
      <c r="E16" s="79" t="str">
        <f aca="false">IF(D16&gt;0.15,"مراجعة التسعير","سليم")</f>
        <v>مراجعة التسعير</v>
      </c>
    </row>
    <row r="17" customFormat="false" ht="15" hidden="false" customHeight="false" outlineLevel="0" collapsed="false">
      <c r="A17" s="56" t="s">
        <v>216</v>
      </c>
      <c r="B17" s="7" t="n">
        <v>44000</v>
      </c>
      <c r="C17" s="7" t="n">
        <v>9000</v>
      </c>
      <c r="D17" s="76" t="n">
        <f aca="false">IFERROR(C17/B17,"")</f>
        <v>0.204545454545455</v>
      </c>
      <c r="E17" s="77" t="str">
        <f aca="false">IF(D17&gt;0.15,"مراجعة التسعير","سليم")</f>
        <v>مراجعة التسعير</v>
      </c>
    </row>
    <row r="18" customFormat="false" ht="15" hidden="false" customHeight="false" outlineLevel="0" collapsed="false">
      <c r="A18" s="58" t="s">
        <v>217</v>
      </c>
      <c r="B18" s="17" t="n">
        <v>185000</v>
      </c>
      <c r="C18" s="17" t="n">
        <v>22000</v>
      </c>
      <c r="D18" s="78" t="n">
        <f aca="false">IFERROR(C18/B18,"")</f>
        <v>0.118918918918919</v>
      </c>
      <c r="E18" s="79" t="str">
        <f aca="false">IF(D18&gt;0.15,"مراجعة التسعير","سليم")</f>
        <v>سليم</v>
      </c>
    </row>
  </sheetData>
  <mergeCells count="2">
    <mergeCell ref="A1:E1"/>
    <mergeCell ref="A2:E2"/>
  </mergeCells>
  <conditionalFormatting sqref="D15:D18">
    <cfRule type="cellIs" priority="2" operator="greaterThan" aboveAverage="0" equalAverage="0" bottom="0" percent="0" rank="0" text="" dxfId="0">
      <formula>0.15</formula>
    </cfRule>
    <cfRule type="cellIs" priority="3" operator="lessThanOrEqual" aboveAverage="0" equalAverage="0" bottom="0" percent="0" rank="0" text="" dxfId="1">
      <formula>0.15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18A2B"/>
    <pageSetUpPr fitToPage="true"/>
  </sheetPr>
  <dimension ref="A1:F8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58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30"/>
  </cols>
  <sheetData>
    <row r="1" customFormat="false" ht="33.75" hidden="false" customHeight="true" outlineLevel="0" collapsed="false">
      <c r="A1" s="1" t="s">
        <v>218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219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5" t="s">
        <v>220</v>
      </c>
      <c r="B4" s="5" t="s">
        <v>221</v>
      </c>
      <c r="C4" s="5" t="s">
        <v>222</v>
      </c>
      <c r="D4" s="5" t="s">
        <v>169</v>
      </c>
      <c r="E4" s="5" t="s">
        <v>26</v>
      </c>
      <c r="F4" s="5" t="s">
        <v>223</v>
      </c>
    </row>
    <row r="5" customFormat="false" ht="51.75" hidden="false" customHeight="true" outlineLevel="0" collapsed="false">
      <c r="A5" s="80" t="s">
        <v>224</v>
      </c>
      <c r="B5" s="13" t="s">
        <v>225</v>
      </c>
      <c r="C5" s="66" t="s">
        <v>226</v>
      </c>
      <c r="D5" s="72"/>
      <c r="E5" s="73"/>
      <c r="F5" s="81"/>
    </row>
    <row r="6" customFormat="false" ht="51.75" hidden="false" customHeight="true" outlineLevel="0" collapsed="false">
      <c r="A6" s="82" t="s">
        <v>227</v>
      </c>
      <c r="B6" s="16" t="s">
        <v>228</v>
      </c>
      <c r="C6" s="69" t="s">
        <v>229</v>
      </c>
      <c r="D6" s="72"/>
      <c r="E6" s="73"/>
      <c r="F6" s="81"/>
    </row>
    <row r="7" customFormat="false" ht="51.75" hidden="false" customHeight="true" outlineLevel="0" collapsed="false">
      <c r="A7" s="80" t="s">
        <v>230</v>
      </c>
      <c r="B7" s="13" t="s">
        <v>231</v>
      </c>
      <c r="C7" s="66" t="s">
        <v>232</v>
      </c>
      <c r="D7" s="72"/>
      <c r="E7" s="73"/>
      <c r="F7" s="81"/>
    </row>
    <row r="8" customFormat="false" ht="51.75" hidden="false" customHeight="true" outlineLevel="0" collapsed="false">
      <c r="A8" s="82" t="s">
        <v>233</v>
      </c>
      <c r="B8" s="16" t="s">
        <v>234</v>
      </c>
      <c r="C8" s="69" t="s">
        <v>235</v>
      </c>
      <c r="D8" s="72"/>
      <c r="E8" s="73"/>
      <c r="F8" s="81"/>
    </row>
  </sheetData>
  <mergeCells count="2">
    <mergeCell ref="A1:F1"/>
    <mergeCell ref="A2:F2"/>
  </mergeCells>
  <dataValidations count="1">
    <dataValidation allowBlank="true" errorStyle="stop" operator="between" showDropDown="false" showErrorMessage="false" showInputMessage="false" sqref="E5:E8" type="list">
      <formula1>"لم تبدأ,جارية,منجزة,مؤجّلة"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18A2B"/>
    <pageSetUpPr fitToPage="true"/>
  </sheetPr>
  <dimension ref="A1:E9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4"/>
    <col collapsed="false" customWidth="true" hidden="false" outlineLevel="0" max="4" min="4" style="0" width="52"/>
    <col collapsed="false" customWidth="true" hidden="false" outlineLevel="0" max="5" min="5" style="0" width="20"/>
  </cols>
  <sheetData>
    <row r="1" customFormat="false" ht="33.75" hidden="false" customHeight="true" outlineLevel="0" collapsed="false">
      <c r="A1" s="1" t="s">
        <v>236</v>
      </c>
      <c r="B1" s="1"/>
      <c r="C1" s="1"/>
      <c r="D1" s="1"/>
      <c r="E1" s="1"/>
    </row>
    <row r="2" customFormat="false" ht="18" hidden="false" customHeight="true" outlineLevel="0" collapsed="false">
      <c r="A2" s="2" t="s">
        <v>237</v>
      </c>
      <c r="B2" s="2"/>
      <c r="C2" s="2"/>
      <c r="D2" s="2"/>
      <c r="E2" s="2"/>
    </row>
    <row r="4" customFormat="false" ht="30" hidden="false" customHeight="true" outlineLevel="0" collapsed="false">
      <c r="A4" s="5" t="s">
        <v>238</v>
      </c>
      <c r="B4" s="5" t="s">
        <v>239</v>
      </c>
      <c r="C4" s="5" t="s">
        <v>142</v>
      </c>
      <c r="D4" s="5" t="s">
        <v>240</v>
      </c>
      <c r="E4" s="5" t="s">
        <v>241</v>
      </c>
    </row>
    <row r="5" customFormat="false" ht="33.75" hidden="false" customHeight="true" outlineLevel="0" collapsed="false">
      <c r="A5" s="13" t="s">
        <v>242</v>
      </c>
      <c r="B5" s="14" t="s">
        <v>243</v>
      </c>
      <c r="C5" s="14" t="s">
        <v>244</v>
      </c>
      <c r="D5" s="83" t="s">
        <v>245</v>
      </c>
      <c r="E5" s="72"/>
    </row>
    <row r="6" customFormat="false" ht="33.75" hidden="false" customHeight="true" outlineLevel="0" collapsed="false">
      <c r="A6" s="16" t="s">
        <v>246</v>
      </c>
      <c r="B6" s="18" t="s">
        <v>243</v>
      </c>
      <c r="C6" s="18" t="s">
        <v>243</v>
      </c>
      <c r="D6" s="84" t="s">
        <v>247</v>
      </c>
      <c r="E6" s="72"/>
    </row>
    <row r="7" customFormat="false" ht="33.75" hidden="false" customHeight="true" outlineLevel="0" collapsed="false">
      <c r="A7" s="13" t="s">
        <v>248</v>
      </c>
      <c r="B7" s="14" t="s">
        <v>243</v>
      </c>
      <c r="C7" s="14" t="s">
        <v>243</v>
      </c>
      <c r="D7" s="83" t="s">
        <v>249</v>
      </c>
      <c r="E7" s="72"/>
    </row>
    <row r="8" customFormat="false" ht="33.75" hidden="false" customHeight="true" outlineLevel="0" collapsed="false">
      <c r="A8" s="16" t="s">
        <v>250</v>
      </c>
      <c r="B8" s="18" t="s">
        <v>244</v>
      </c>
      <c r="C8" s="18" t="s">
        <v>244</v>
      </c>
      <c r="D8" s="84" t="s">
        <v>251</v>
      </c>
      <c r="E8" s="72"/>
    </row>
    <row r="9" customFormat="false" ht="33.75" hidden="false" customHeight="true" outlineLevel="0" collapsed="false">
      <c r="A9" s="13" t="s">
        <v>252</v>
      </c>
      <c r="B9" s="14" t="s">
        <v>244</v>
      </c>
      <c r="C9" s="14" t="s">
        <v>243</v>
      </c>
      <c r="D9" s="83" t="s">
        <v>253</v>
      </c>
      <c r="E9" s="72"/>
    </row>
  </sheetData>
  <mergeCells count="2">
    <mergeCell ref="A1:E1"/>
    <mergeCell ref="A2:E2"/>
  </mergeCells>
  <conditionalFormatting sqref="B5:B9">
    <cfRule type="expression" priority="2" aboveAverage="0" equalAverage="0" bottom="0" percent="0" rank="0" text="" dxfId="0">
      <formula>$B5="عالٍ"</formula>
    </cfRule>
    <cfRule type="expression" priority="3" aboveAverage="0" equalAverage="0" bottom="0" percent="0" rank="0" text="" dxfId="2">
      <formula>$B5="متوسط"</formula>
    </cfRule>
  </conditionalFormatting>
  <conditionalFormatting sqref="C5:C9">
    <cfRule type="expression" priority="4" aboveAverage="0" equalAverage="0" bottom="0" percent="0" rank="0" text="" dxfId="0">
      <formula>$C5="عالٍ"</formula>
    </cfRule>
    <cfRule type="expression" priority="5" aboveAverage="0" equalAverage="0" bottom="0" percent="0" rank="0" text="" dxfId="2">
      <formula>$C5="متوسط"</formula>
    </cfRule>
  </conditionalFormatting>
  <dataValidations count="1">
    <dataValidation allowBlank="true" errorStyle="stop" operator="between" showDropDown="false" showErrorMessage="false" showInputMessage="false" sqref="B5:C9" type="list">
      <formula1>"منخفض,متوسط,عالٍ"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18A2B"/>
    <pageSetUpPr fitToPage="true"/>
  </sheetPr>
  <dimension ref="A1:E9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44"/>
    <col collapsed="false" customWidth="true" hidden="false" outlineLevel="0" max="4" min="4" style="0" width="26"/>
    <col collapsed="false" customWidth="true" hidden="false" outlineLevel="0" max="5" min="5" style="0" width="30"/>
  </cols>
  <sheetData>
    <row r="1" customFormat="false" ht="33.75" hidden="false" customHeight="true" outlineLevel="0" collapsed="false">
      <c r="A1" s="1" t="s">
        <v>254</v>
      </c>
      <c r="B1" s="1"/>
      <c r="C1" s="1"/>
      <c r="D1" s="1"/>
      <c r="E1" s="1"/>
    </row>
    <row r="2" customFormat="false" ht="18" hidden="false" customHeight="true" outlineLevel="0" collapsed="false">
      <c r="A2" s="2" t="s">
        <v>255</v>
      </c>
      <c r="B2" s="2"/>
      <c r="C2" s="2"/>
      <c r="D2" s="2"/>
      <c r="E2" s="2"/>
    </row>
    <row r="4" customFormat="false" ht="30" hidden="false" customHeight="true" outlineLevel="0" collapsed="false">
      <c r="A4" s="5" t="s">
        <v>139</v>
      </c>
      <c r="B4" s="5" t="s">
        <v>256</v>
      </c>
      <c r="C4" s="5" t="s">
        <v>257</v>
      </c>
      <c r="D4" s="5" t="s">
        <v>258</v>
      </c>
      <c r="E4" s="5" t="s">
        <v>223</v>
      </c>
    </row>
    <row r="5" customFormat="false" ht="37.5" hidden="false" customHeight="true" outlineLevel="0" collapsed="false">
      <c r="A5" s="65" t="s">
        <v>143</v>
      </c>
      <c r="B5" s="13" t="s">
        <v>259</v>
      </c>
      <c r="C5" s="83" t="s">
        <v>260</v>
      </c>
      <c r="D5" s="73"/>
      <c r="E5" s="81"/>
    </row>
    <row r="6" customFormat="false" ht="37.5" hidden="false" customHeight="true" outlineLevel="0" collapsed="false">
      <c r="A6" s="68" t="s">
        <v>147</v>
      </c>
      <c r="B6" s="16" t="s">
        <v>261</v>
      </c>
      <c r="C6" s="84" t="s">
        <v>262</v>
      </c>
      <c r="D6" s="73"/>
      <c r="E6" s="81"/>
    </row>
    <row r="7" customFormat="false" ht="37.5" hidden="false" customHeight="true" outlineLevel="0" collapsed="false">
      <c r="A7" s="65" t="s">
        <v>151</v>
      </c>
      <c r="B7" s="13" t="s">
        <v>263</v>
      </c>
      <c r="C7" s="83" t="s">
        <v>264</v>
      </c>
      <c r="D7" s="73"/>
      <c r="E7" s="81"/>
    </row>
    <row r="8" customFormat="false" ht="37.5" hidden="false" customHeight="true" outlineLevel="0" collapsed="false">
      <c r="A8" s="68" t="s">
        <v>155</v>
      </c>
      <c r="B8" s="16" t="s">
        <v>265</v>
      </c>
      <c r="C8" s="84" t="s">
        <v>266</v>
      </c>
      <c r="D8" s="73"/>
      <c r="E8" s="81"/>
    </row>
    <row r="9" customFormat="false" ht="37.5" hidden="false" customHeight="true" outlineLevel="0" collapsed="false">
      <c r="A9" s="65" t="s">
        <v>159</v>
      </c>
      <c r="B9" s="13" t="s">
        <v>267</v>
      </c>
      <c r="C9" s="83" t="s">
        <v>268</v>
      </c>
      <c r="D9" s="73"/>
      <c r="E9" s="81"/>
    </row>
  </sheetData>
  <mergeCells count="2">
    <mergeCell ref="A1:E1"/>
    <mergeCell ref="A2:E2"/>
  </mergeCells>
  <dataValidations count="1">
    <dataValidation allowBlank="true" errorStyle="stop" operator="between" showDropDown="false" showErrorMessage="false" showInputMessage="false" sqref="D5:D9" type="list">
      <formula1>"اعتماد,تعديل,تأجيل"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2026-07-25T19:21:09Z</dcterms:created>
  <dc:creator>openpyxl</dc:creator>
  <dc:description/>
  <dc:language>en-US</dc:language>
  <cp:lastModifiedBy/>
  <dcterms:modified xsi:type="dcterms:W3CDTF">2026-07-25T19:21:11Z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