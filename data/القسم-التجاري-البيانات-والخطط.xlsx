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حسابات" sheetId="1" state="hidden" r:id="rId3"/>
    <sheet name="دليل الملف" sheetId="2" state="visible" r:id="rId4"/>
    <sheet name="لوحة التحكم" sheetId="3" state="visible" r:id="rId5"/>
    <sheet name="بطاقة الأداء المشتركة" sheetId="4" state="visible" r:id="rId6"/>
    <sheet name="النموذج المالي" sheetId="5" state="visible" r:id="rId7"/>
    <sheet name="بطاقات المنافذ" sheetId="6" state="visible" r:id="rId8"/>
    <sheet name="شرائح العملاء" sheetId="7" state="visible" r:id="rId9"/>
    <sheet name="المحيط التنافسي" sheetId="8" state="visible" r:id="rId10"/>
    <sheet name="وحدات التأجير" sheetId="9" state="visible" r:id="rId11"/>
    <sheet name="مبيعات المستأجرين" sheetId="10" state="visible" r:id="rId12"/>
    <sheet name="مبيعات الوقود" sheetId="11" state="visible" r:id="rId13"/>
    <sheet name="فرص B2B" sheetId="12" state="visible" r:id="rId14"/>
    <sheet name="عقود الأساطيل" sheetId="13" state="visible" r:id="rId15"/>
    <sheet name="المكس التسويقي" sheetId="14" state="visible" r:id="rId16"/>
    <sheet name="خطة التنفيذ" sheetId="15" state="visible" r:id="rId17"/>
  </sheets>
  <definedNames>
    <definedName function="false" hidden="true" localSheetId="13" name="_xlnm._FilterDatabase" vbProcedure="false">'المكس التسويقي'!$A$4:$C$25</definedName>
    <definedName function="false" hidden="true" localSheetId="5" name="_xlnm._FilterDatabase" vbProcedure="false">'بطاقات المنافذ'!$A$4:$L$7</definedName>
    <definedName function="false" hidden="true" localSheetId="6" name="_xlnm._FilterDatabase" vbProcedure="false">'شرائح العملاء'!$A$4:$F$13</definedName>
    <definedName function="false" hidden="true" localSheetId="12" name="_xlnm._FilterDatabase" vbProcedure="false">'عقود الأساطيل'!$A$4:$I$11</definedName>
    <definedName function="false" hidden="true" localSheetId="11" name="_xlnm._FilterDatabase" vbProcedure="false">'فرص B2B'!$A$4:$G$23</definedName>
    <definedName function="false" hidden="true" localSheetId="9" name="_xlnm._FilterDatabase" vbProcedure="false">'مبيعات المستأجرين'!$A$4:$M$17</definedName>
    <definedName function="false" hidden="true" localSheetId="10" name="_xlnm._FilterDatabase" vbProcedure="false">'مبيعات الوقود'!$A$4:$G$13</definedName>
    <definedName function="false" hidden="true" localSheetId="8" name="_xlnm._FilterDatabase" vbProcedure="false">'وحدات التأجير'!$A$4:$I$24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7" authorId="0">
      <text>
        <r>
          <rPr>
            <sz val="10"/>
            <rFont val="FreeSans"/>
            <family val="2"/>
          </rPr>
          <t xml:space="preserve">رفع غير الوقود بريال واحد لكل زيارة على مستوى المحفظة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<sst xmlns="http://schemas.openxmlformats.org/spreadsheetml/2006/main" count="965" uniqueCount="534">
  <si>
    <t xml:space="preserve">المحطة</t>
  </si>
  <si>
    <t xml:space="preserve">صافي الربح</t>
  </si>
  <si>
    <t xml:space="preserve">الزيارات</t>
  </si>
  <si>
    <t xml:space="preserve">الربح/الزيارة</t>
  </si>
  <si>
    <t xml:space="preserve">المنتج</t>
  </si>
  <si>
    <t xml:space="preserve">لتر/شهر</t>
  </si>
  <si>
    <t xml:space="preserve">الشهر</t>
  </si>
  <si>
    <t xml:space="preserve">MK007</t>
  </si>
  <si>
    <t xml:space="preserve">MK003</t>
  </si>
  <si>
    <t xml:space="preserve">MK008</t>
  </si>
  <si>
    <t xml:space="preserve">القناة</t>
  </si>
  <si>
    <t xml:space="preserve">القيمة</t>
  </si>
  <si>
    <t xml:space="preserve">مبيعات المستأجرين</t>
  </si>
  <si>
    <t xml:space="preserve">درب — العمرة الجديدة</t>
  </si>
  <si>
    <t xml:space="preserve">بنزين 91</t>
  </si>
  <si>
    <t xml:space="preserve">يناير 2026</t>
  </si>
  <si>
    <t xml:space="preserve">⛽ وقود أسطول</t>
  </si>
  <si>
    <t xml:space="preserve">درب — العوالي</t>
  </si>
  <si>
    <t xml:space="preserve">بنزين 95</t>
  </si>
  <si>
    <t xml:space="preserve">فبراير 2026</t>
  </si>
  <si>
    <t xml:space="preserve">🏪 تأجير</t>
  </si>
  <si>
    <t xml:space="preserve">درب — الحسينية</t>
  </si>
  <si>
    <t xml:space="preserve">ديزل</t>
  </si>
  <si>
    <t xml:space="preserve">مارس 2026</t>
  </si>
  <si>
    <t xml:space="preserve">🤝 شراكة</t>
  </si>
  <si>
    <t xml:space="preserve">أبريل 2026</t>
  </si>
  <si>
    <t xml:space="preserve">🔄 بيع متقاطع</t>
  </si>
  <si>
    <t xml:space="preserve">مايو 2026</t>
  </si>
  <si>
    <t xml:space="preserve">يونيو 2026</t>
  </si>
  <si>
    <t xml:space="preserve">دليل الملف</t>
  </si>
  <si>
    <t xml:space="preserve">فهرس الأوراق ومصادر البيانات ودليل الألوان</t>
  </si>
  <si>
    <t xml:space="preserve">الورقة</t>
  </si>
  <si>
    <t xml:space="preserve">المحتوى</t>
  </si>
  <si>
    <t xml:space="preserve">المصدر</t>
  </si>
  <si>
    <t xml:space="preserve">لوحة التحكم</t>
  </si>
  <si>
    <t xml:space="preserve">مؤشرات المحفظة ورسوم: صافي كل منفذ · مزيج الوقود · الاتجاه الشهري · خط الأنابيب</t>
  </si>
  <si>
    <t xml:space="preserve">محسوبة</t>
  </si>
  <si>
    <t xml:space="preserve">بطاقة الأداء المشتركة</t>
  </si>
  <si>
    <t xml:space="preserve">المؤشرات المشتركة لكل منفذ + المحفظة (مرتبطة بالنموذج المالي)</t>
  </si>
  <si>
    <t xml:space="preserve">النموذج المالي</t>
  </si>
  <si>
    <t xml:space="preserve">الدخل والمصاريف → الصافي · الربح/الزيارة · تكلفة اللتر · نقطة التعادل</t>
  </si>
  <si>
    <t xml:space="preserve">المالية + التشغيل</t>
  </si>
  <si>
    <t xml:space="preserve">بطاقات المنافذ</t>
  </si>
  <si>
    <t xml:space="preserve">الموقع والنوع والمساحة والتشغيل (مضخات/خزان/عمّال/خدمة ذاتية)</t>
  </si>
  <si>
    <t xml:space="preserve">سجل الأصول + خرائط جوجل</t>
  </si>
  <si>
    <t xml:space="preserve">شرائح العملاء</t>
  </si>
  <si>
    <t xml:space="preserve">لكل شريحة: ملفها وما تحتاجه والعرض المقدّم</t>
  </si>
  <si>
    <t xml:space="preserve">تحليلات درب + دراسة الموقع</t>
  </si>
  <si>
    <t xml:space="preserve">المحيط التنافسي</t>
  </si>
  <si>
    <t xml:space="preserve">بطاقة السيناريو والمنافسون والميزة والفجوة</t>
  </si>
  <si>
    <t xml:space="preserve">خرائط جوجل — سحب فعلي</t>
  </si>
  <si>
    <t xml:space="preserve">وحدات التأجير</t>
  </si>
  <si>
    <t xml:space="preserve">كل وحدة: النوع والعدد والخدمة والنوع الفرعي والحالة</t>
  </si>
  <si>
    <t xml:space="preserve">جرد المحطة</t>
  </si>
  <si>
    <t xml:space="preserve">مبيعات كل مستأجر شهرياً + نسبة الإيجار ومبيعات/م²</t>
  </si>
  <si>
    <t xml:space="preserve">تقارير المستأجرين</t>
  </si>
  <si>
    <t xml:space="preserve">مبيعات الوقود</t>
  </si>
  <si>
    <t xml:space="preserve">مزيج المنتجات ولتر وربح كل منتج + الاتجاه الشهري</t>
  </si>
  <si>
    <t xml:space="preserve">لوحة تحليلات درب</t>
  </si>
  <si>
    <t xml:space="preserve">فرص B2B</t>
  </si>
  <si>
    <t xml:space="preserve">الجوار التجاري كأهداف بيع: القناة والقيمة والحالة</t>
  </si>
  <si>
    <t xml:space="preserve">خرائط جوجل + المسح الميداني</t>
  </si>
  <si>
    <t xml:space="preserve">عقود الأساطيل</t>
  </si>
  <si>
    <t xml:space="preserve">الفئات وآلية التعاقد والجهات المستهدفة والحجم والربح</t>
  </si>
  <si>
    <t xml:space="preserve">إدارة الشراكات</t>
  </si>
  <si>
    <t xml:space="preserve">المكس التسويقي</t>
  </si>
  <si>
    <t xml:space="preserve">٧Ps + توزيع ميزانية الترويج + الحملات ومموّلوها</t>
  </si>
  <si>
    <t xml:space="preserve">إدارة التسويق</t>
  </si>
  <si>
    <t xml:space="preserve">خطة التنفيذ</t>
  </si>
  <si>
    <t xml:space="preserve">الركائز ودورة النمو وقواعد فضّ التعارض والتسلسل</t>
  </si>
  <si>
    <t xml:space="preserve">استراتيجية التكامل</t>
  </si>
  <si>
    <t xml:space="preserve">دليل الألوان</t>
  </si>
  <si>
    <t xml:space="preserve">اللون</t>
  </si>
  <si>
    <t xml:space="preserve">المعنى</t>
  </si>
  <si>
    <t xml:space="preserve">ملاحظة</t>
  </si>
  <si>
    <t xml:space="preserve">أزرق</t>
  </si>
  <si>
    <t xml:space="preserve">مُدخل يدوي — عدّله</t>
  </si>
  <si>
    <t xml:space="preserve">الأرقام والنصوص القابلة للتعديل</t>
  </si>
  <si>
    <t xml:space="preserve">أسود</t>
  </si>
  <si>
    <t xml:space="preserve">معادلة محسوبة — لا تُعدَّل</t>
  </si>
  <si>
    <t xml:space="preserve">تتحدّث تلقائياً مع المُدخلات</t>
  </si>
  <si>
    <t xml:space="preserve">أخضر</t>
  </si>
  <si>
    <t xml:space="preserve">رابط لورقة أخرى</t>
  </si>
  <si>
    <t xml:space="preserve">يقرأ من النموذج المالي</t>
  </si>
  <si>
    <t xml:space="preserve">أصفر</t>
  </si>
  <si>
    <t xml:space="preserve">يحتاج تعبئة عند الاعتماد</t>
  </si>
  <si>
    <t xml:space="preserve">المسؤول والحالة في خطة التنفيذ</t>
  </si>
  <si>
    <t xml:space="preserve">الأرقام المالية والتشغيلية تقديرات نموذجية للاعتماد — تُستبدل بأرقام المالية وسجل الأصول.</t>
  </si>
  <si>
    <t xml:space="preserve">القسم التجاري — درب · لوحة التحكم</t>
  </si>
  <si>
    <t xml:space="preserve">مؤشرات المحفظة والمنافذ · كل الأرقام محسوبة من أوراق البيانات</t>
  </si>
  <si>
    <t xml:space="preserve">عدد المنافذ</t>
  </si>
  <si>
    <t xml:space="preserve">الزيارات / شهر</t>
  </si>
  <si>
    <t xml:space="preserve">صافي المحفظة (ر.س/شهر)</t>
  </si>
  <si>
    <t xml:space="preserve">الربح لكل زيارة (ر.س)</t>
  </si>
  <si>
    <t xml:space="preserve">خط أنابيب المبيعات (ر.س/شهر)</t>
  </si>
  <si>
    <t xml:space="preserve">حجم الأساطيل (لتر/شهر)</t>
  </si>
  <si>
    <t xml:space="preserve">إجمالي الوحدات</t>
  </si>
  <si>
    <t xml:space="preserve">وحدات شاغرة (فرصة)</t>
  </si>
  <si>
    <t xml:space="preserve">إجمالي اللترات / شهر</t>
  </si>
  <si>
    <t xml:space="preserve">أثر +١ ر.س لكل زيارة (ر.س/شهر)</t>
  </si>
  <si>
    <t xml:space="preserve">التقديرات المالية والتشغيلية للاعتماد — تُستبدل بأرقام المالية وسجل الأصول.</t>
  </si>
  <si>
    <t xml:space="preserve">المؤشرات التي تُقاس عليها الإدارات الأربع معاً · مرتبطة بورقة «النموذج المالي»</t>
  </si>
  <si>
    <t xml:space="preserve">الرمز</t>
  </si>
  <si>
    <t xml:space="preserve">المنفذ</t>
  </si>
  <si>
    <t xml:space="preserve">الزيارات/شهر</t>
  </si>
  <si>
    <t xml:space="preserve">حصة التطبيق</t>
  </si>
  <si>
    <t xml:space="preserve">المستهدف</t>
  </si>
  <si>
    <t xml:space="preserve">تغطية غير الوقود</t>
  </si>
  <si>
    <t xml:space="preserve">ربح المنفذ</t>
  </si>
  <si>
    <t xml:space="preserve">المحفظة</t>
  </si>
  <si>
    <t xml:space="preserve">أثر رفع غير الوقود ١ ر.س لكل زيارة</t>
  </si>
  <si>
    <t xml:space="preserve">ر.س/شهر — المحفظة</t>
  </si>
  <si>
    <t xml:space="preserve">النموذج المالي لكل منفذ (شهرياً)</t>
  </si>
  <si>
    <t xml:space="preserve">الأزرق = مُدخل يُعدَّل · الأسود = معادلة · عدّل أي مُدخل ليعاد الحساب</t>
  </si>
  <si>
    <t xml:space="preserve">البند</t>
  </si>
  <si>
    <t xml:space="preserve">الوحدة</t>
  </si>
  <si>
    <t xml:space="preserve">MK007
درب — العمرة الجديدة</t>
  </si>
  <si>
    <t xml:space="preserve">MK003
درب — العوالي</t>
  </si>
  <si>
    <t xml:space="preserve">MK008
درب — الحسينية</t>
  </si>
  <si>
    <t xml:space="preserve">⛽ الوقود</t>
  </si>
  <si>
    <t xml:space="preserve">اللترات</t>
  </si>
  <si>
    <t xml:space="preserve">هامش الوقود</t>
  </si>
  <si>
    <t xml:space="preserve">ر.س/لتر</t>
  </si>
  <si>
    <t xml:space="preserve">دخل الوقود</t>
  </si>
  <si>
    <t xml:space="preserve">ر.س</t>
  </si>
  <si>
    <t xml:space="preserve">🏪 التأجير والخدمات</t>
  </si>
  <si>
    <t xml:space="preserve">عدد الوحدات</t>
  </si>
  <si>
    <t xml:space="preserve">وحدة</t>
  </si>
  <si>
    <t xml:space="preserve">نسبة الإشغال</t>
  </si>
  <si>
    <t xml:space="preserve">%</t>
  </si>
  <si>
    <t xml:space="preserve">متوسط الإيجار للوحدة</t>
  </si>
  <si>
    <t xml:space="preserve">دخل المتجر/الخدمات</t>
  </si>
  <si>
    <t xml:space="preserve">دخل التأجير</t>
  </si>
  <si>
    <t xml:space="preserve">إجمالي غير الوقود</t>
  </si>
  <si>
    <t xml:space="preserve">💸 المصاريف</t>
  </si>
  <si>
    <t xml:space="preserve">رواتب</t>
  </si>
  <si>
    <t xml:space="preserve">إيجار/تشغيل</t>
  </si>
  <si>
    <t xml:space="preserve">كهرباء وماء</t>
  </si>
  <si>
    <t xml:space="preserve">صيانة وأخرى</t>
  </si>
  <si>
    <t xml:space="preserve">إجمالي المصاريف</t>
  </si>
  <si>
    <t xml:space="preserve">🏭 التشغيل</t>
  </si>
  <si>
    <t xml:space="preserve">عدد العمّال</t>
  </si>
  <si>
    <t xml:space="preserve">عامل</t>
  </si>
  <si>
    <t xml:space="preserve">سعة الخزان</t>
  </si>
  <si>
    <t xml:space="preserve">لتر</t>
  </si>
  <si>
    <t xml:space="preserve">عدد المضخات</t>
  </si>
  <si>
    <t xml:space="preserve">مضخة</t>
  </si>
  <si>
    <t xml:space="preserve">زيارة/شهر</t>
  </si>
  <si>
    <t xml:space="preserve">📊 النتائج</t>
  </si>
  <si>
    <t xml:space="preserve">إجمالي الدخل</t>
  </si>
  <si>
    <t xml:space="preserve">صافي الربح/الخسارة</t>
  </si>
  <si>
    <t xml:space="preserve">الربح لكل زيارة</t>
  </si>
  <si>
    <t xml:space="preserve">تكلفة التشغيل/لتر</t>
  </si>
  <si>
    <t xml:space="preserve">تكلفة الرواتب/عامل</t>
  </si>
  <si>
    <t xml:space="preserve">تغطية غير الوقود للمصاريف</t>
  </si>
  <si>
    <t xml:space="preserve">أيام تغطية الخزان</t>
  </si>
  <si>
    <t xml:space="preserve">يوم</t>
  </si>
  <si>
    <t xml:space="preserve">لتر لكل مضخة</t>
  </si>
  <si>
    <t xml:space="preserve">نقطة التعادل</t>
  </si>
  <si>
    <t xml:space="preserve">بيانات الموقع والتشغيل لكل محطة</t>
  </si>
  <si>
    <t xml:space="preserve">اسم المحطة</t>
  </si>
  <si>
    <t xml:space="preserve">المدينة</t>
  </si>
  <si>
    <t xml:space="preserve">نمط الموقع</t>
  </si>
  <si>
    <t xml:space="preserve">الحجم</t>
  </si>
  <si>
    <t xml:space="preserve">المساحة</t>
  </si>
  <si>
    <t xml:space="preserve">خدمة ذاتية</t>
  </si>
  <si>
    <t xml:space="preserve">المضخات</t>
  </si>
  <si>
    <t xml:space="preserve">العمّال</t>
  </si>
  <si>
    <t xml:space="preserve">الوصف</t>
  </si>
  <si>
    <t xml:space="preserve">مكة</t>
  </si>
  <si>
    <t xml:space="preserve">خط سفر (ممر معتمرين)</t>
  </si>
  <si>
    <t xml:space="preserve">كبيرة جداً</t>
  </si>
  <si>
    <t xml:space="preserve">120,000 م²</t>
  </si>
  <si>
    <t xml:space="preserve">لا</t>
  </si>
  <si>
    <t xml:space="preserve">أكبر محطة وقود في مكة، على طريق المدينة المنورة (ممر المعتمرين) — وجهة متكاملة بأكثر من 32 علامة تجارية، الأعلى تقييماً في محيطها.</t>
  </si>
  <si>
    <t xml:space="preserve">خط سفر</t>
  </si>
  <si>
    <t xml:space="preserve">كبيرة</t>
  </si>
  <si>
    <t xml:space="preserve">19,994 م²</t>
  </si>
  <si>
    <t xml:space="preserve">محطة كبيرة على خط سفر مميز في مكة (~20 ألف م²) — عملاء ركّاب أعلى إنفاقاً وحصة بنزين ٩٥ مرتفعة.</t>
  </si>
  <si>
    <t xml:space="preserve">حي</t>
  </si>
  <si>
    <t xml:space="preserve">متوسطة</t>
  </si>
  <si>
    <t xml:space="preserve">3,408 م²</t>
  </si>
  <si>
    <t xml:space="preserve">محطة حي داخل الحسينية تخدم السكان — عملاء متكرّرون، ذروة مسائية (21:00)، وغالبية بنزين ٩١.</t>
  </si>
  <si>
    <t xml:space="preserve">أرقام التشغيل تقديرات مبدئية — تُعتمد من سجل الأصول والموارد البشرية.</t>
  </si>
  <si>
    <t xml:space="preserve">مَن نخدمه في كل منفذ · ما يحتاجه · العرض المقدّم له</t>
  </si>
  <si>
    <t xml:space="preserve">الشريحة</t>
  </si>
  <si>
    <t xml:space="preserve">الحصة/الوزن</t>
  </si>
  <si>
    <t xml:space="preserve">ملف الشريحة</t>
  </si>
  <si>
    <t xml:space="preserve">ما تحتاجه</t>
  </si>
  <si>
    <t xml:space="preserve">العرض المقدّم</t>
  </si>
  <si>
    <t xml:space="preserve">🕋 معتمرون وعابرون</t>
  </si>
  <si>
    <t xml:space="preserve">الشريحة الأساسية</t>
  </si>
  <si>
    <t xml:space="preserve">قادمون على طريق المدينة (ممر المعتمرين) — فنادق وشركات معتمرين حول الموقع.</t>
  </si>
  <si>
    <t xml:space="preserve">تعبئة سريعة + وجبة + قهوة + مصلّى ودورات مياه.</t>
  </si>
  <si>
    <t xml:space="preserve">بنزين 95/91 · وجبات سريعة · خدمات معتمرين · قهوة عالمية (مقترحة).</t>
  </si>
  <si>
    <t xml:space="preserve">🚌 الأساطيل</t>
  </si>
  <si>
    <t xml:space="preserve">ديزل 28٪ من الحجم</t>
  </si>
  <si>
    <t xml:space="preserve">حافلات نقل معتمرين + أساطيل توزيع (المراعي، i كومكس، ميداء).</t>
  </si>
  <si>
    <t xml:space="preserve">ديزل متوفر + خدمة شاحنات سريعة + عقود تزويد.</t>
  </si>
  <si>
    <t xml:space="preserve">عقود وقود أسطول B2B · ديزل · خدمة سريعة.</t>
  </si>
  <si>
    <t xml:space="preserve">🏘️ سكان الحي</t>
  </si>
  <si>
    <t xml:space="preserve">تكرار يومي</t>
  </si>
  <si>
    <t xml:space="preserve">عائلات شابة — كثافة مدارس ورياض أطفال · 63٪ تحت الـ30.</t>
  </si>
  <si>
    <t xml:space="preserve">سعر تنافسي 91 + متجر + برنامج ولاء.</t>
  </si>
  <si>
    <t xml:space="preserve">بنزين 91 اقتصادي · تانكي · بنده.</t>
  </si>
  <si>
    <t xml:space="preserve">🚗 عابرون وزوّار</t>
  </si>
  <si>
    <t xml:space="preserve">مسافرون على خط سفر مميز — إنفاق أعلى وتعبئة أكبر.</t>
  </si>
  <si>
    <t xml:space="preserve">تعبئة سريعة + استراحة + قهوة ووجبة.</t>
  </si>
  <si>
    <t xml:space="preserve">بنزين 95/91 · مطعم/كافيه عابرين · خدمة سيارات.</t>
  </si>
  <si>
    <t xml:space="preserve">⭐ مفضّلو الممتاز 95</t>
  </si>
  <si>
    <t xml:space="preserve">بنزين 95 = 49.8٪</t>
  </si>
  <si>
    <t xml:space="preserve">عملاء سيارات أحدث / أعلى إنفاقاً.</t>
  </si>
  <si>
    <t xml:space="preserve">توفّر 95 دائماً + خدمة مميزة.</t>
  </si>
  <si>
    <t xml:space="preserve">عروض 95 · خدمة سريعة عند المضخة.</t>
  </si>
  <si>
    <t xml:space="preserve">🏘️ سكان مجاورون</t>
  </si>
  <si>
    <t xml:space="preserve">استخدام متكرّر</t>
  </si>
  <si>
    <t xml:space="preserve">سكان الأحياء القريبة.</t>
  </si>
  <si>
    <t xml:space="preserve">سعر 91 تنافسي + سرعة + ولاء.</t>
  </si>
  <si>
    <t xml:space="preserve">بنزين 91 · تانكي · متجر.</t>
  </si>
  <si>
    <t xml:space="preserve">عائلات حي الحسينية — زيارات متكرّرة.</t>
  </si>
  <si>
    <t xml:space="preserve">سعر 91 تنافسي + احتياج يومي + سرعة.</t>
  </si>
  <si>
    <t xml:space="preserve">بنزين 91 · مخبز/بقالة/صيدلية · تانكي.</t>
  </si>
  <si>
    <t xml:space="preserve">💰 حسّاسون للسعر</t>
  </si>
  <si>
    <t xml:space="preserve">بنزين 91 = 58.7٪</t>
  </si>
  <si>
    <t xml:space="preserve">عملاء يوازنون السعر ويكرّرون الزيارة.</t>
  </si>
  <si>
    <t xml:space="preserve">أفضل سعر 91 + خدمة سريعة.</t>
  </si>
  <si>
    <t xml:space="preserve">تنافسية 91 · عروض تانكي.</t>
  </si>
  <si>
    <t xml:space="preserve">🛒 احتياج يومي (مسائي)</t>
  </si>
  <si>
    <t xml:space="preserve">ذروة 21:00</t>
  </si>
  <si>
    <t xml:space="preserve">متسوّقون بعد الدوام — أسر الحي.</t>
  </si>
  <si>
    <t xml:space="preserve">مخبز / بقالة / صيدلية / مغسلة قرب المنزل.</t>
  </si>
  <si>
    <t xml:space="preserve">وحدات خدمات يومية · نقاط توصيل.</t>
  </si>
  <si>
    <t xml:space="preserve">المحيط التنافسي وبطاقة السيناريو</t>
  </si>
  <si>
    <t xml:space="preserve">موقع كل محطة على الطريق · المنافسون · الميزة والفجوة</t>
  </si>
  <si>
    <t xml:space="preserve">MK007 — درب — العمرة الجديدة</t>
  </si>
  <si>
    <t xml:space="preserve">الطريق</t>
  </si>
  <si>
    <t xml:space="preserve">طريق المدينة المنورة (ممر المعتمرين) — الشريان الرئيسي مكة ↔ المدينة</t>
  </si>
  <si>
    <t xml:space="preserve">المحطة السابقة</t>
  </si>
  <si>
    <t xml:space="preserve">محطة درب (فرع ثانٍ) — نفس الحي · 4.9★/755 (ننتبه للتغذية الذاتية بين الفرعين)</t>
  </si>
  <si>
    <t xml:space="preserve">المحطة التالية</t>
  </si>
  <si>
    <t xml:space="preserve">الدريس — النوارية · 3.9★/2106 (المنافس الأقوى حضوراً)</t>
  </si>
  <si>
    <t xml:space="preserve">كثافة المنافسة</t>
  </si>
  <si>
    <t xml:space="preserve">~16 محطة في المحيط · الأبرز: الدريس (٣ فروع)، المملكة، بترومين، بروتايم، المجد</t>
  </si>
  <si>
    <t xml:space="preserve">العلامات في المحطة</t>
  </si>
  <si>
    <t xml:space="preserve">🍔 مطاعم: ماكدونالدز · بيتزا ريتا · صامولجي · قيس آيسكريم | ☕ مقاهي: المذاق المغربي · بوبا بيرلز · رو · جوينت | 🛒 ماركت: بنده</t>
  </si>
  <si>
    <t xml:space="preserve">المنافسون</t>
  </si>
  <si>
    <t xml:space="preserve">بترومين: تيم هورتنز (1114) | الدريس: كورس جرايند · ٣ فروع | المملكة: عصير صمدو | بروتايم: بروست الزعيم</t>
  </si>
  <si>
    <t xml:space="preserve">براندات مقترحة</t>
  </si>
  <si>
    <t xml:space="preserve">قهوة عالمية (عالية) | وجبات سريعة (عالية) | خدمات معتمرين (عالية) | مطعم عائلي (متوسطة)</t>
  </si>
  <si>
    <t xml:space="preserve">✅ الميزة التنافسية</t>
  </si>
  <si>
    <t xml:space="preserve">الأوسع براندات (32+ مقابل ١)، الأعلى تقييماً (4.8★)، ومسجد ومرافق كاملة على ممر المعتمرين.</t>
  </si>
  <si>
    <t xml:space="preserve">⚠️ الفجوة</t>
  </si>
  <si>
    <t xml:space="preserve">غياب مرساة قهوة عالمية بحجم «تيم هورتنز» لدى المنافس.</t>
  </si>
  <si>
    <t xml:space="preserve">MK003 — درب — العوالي</t>
  </si>
  <si>
    <t xml:space="preserve">خط سفر مميز — مكة</t>
  </si>
  <si>
    <t xml:space="preserve">⚠️ يُستكمل من الخرائط</t>
  </si>
  <si>
    <t xml:space="preserve">المحطات المجاورة تُستكمل من خرائط جوجل</t>
  </si>
  <si>
    <t xml:space="preserve">⛽ الوقود: بنزين 91 · 95 (لا ديزل تقريباً) | 🏪 الوحدات: ⚠️ جرد الوحدات والبراندات يُستكمل ميدانياً</t>
  </si>
  <si>
    <t xml:space="preserve">المنافسون: ⚠️ يُستكمل من خرائط جوجل</t>
  </si>
  <si>
    <t xml:space="preserve">مطعم/كافيه عابرين (عالية) | خدمة سيارات (زيوت/كفرات) (عالية) | متجر سفر (متوسطة)</t>
  </si>
  <si>
    <t xml:space="preserve">موقع خط سفر مميز ومساحة كبيرة (~20 ألف م²) تتيح وحدات متعددة وخدمات عابرين.</t>
  </si>
  <si>
    <t xml:space="preserve">بيانات المنافسين والوحدات الشاغرة تُستكمل بالمسح الميداني والخرائط.</t>
  </si>
  <si>
    <t xml:space="preserve">MK008 — درب — الحسينية</t>
  </si>
  <si>
    <t xml:space="preserve">داخل حي الحسينية السكني</t>
  </si>
  <si>
    <t xml:space="preserve">محطات أحياء مجاورة — تُستكمل من خرائط جوجل</t>
  </si>
  <si>
    <t xml:space="preserve">⛽ الوقود: بنزين 91 (غالب) · 95 | 🏪 الوحدات: ⚠️ جرد الوحدات يُستكمل ميدانياً</t>
  </si>
  <si>
    <t xml:space="preserve">المنافسون: ⚠️ محطات أحياء مجاورة — يُستكمل من الخرائط</t>
  </si>
  <si>
    <t xml:space="preserve">مخبز (عالية) | صيدلية (عالية) | بقالة/سوبرماركت (عالية) | مغسلة (متوسطة)</t>
  </si>
  <si>
    <t xml:space="preserve">قرب من السكان وذروة مسائية (21:00) تناسب خدمات ما بعد الدوام والاحتياج اليومي.</t>
  </si>
  <si>
    <t xml:space="preserve">لا حملات موثّقة بعد — فرصة عروض شراكة متجر وربطها بتانكي.</t>
  </si>
  <si>
    <t xml:space="preserve">وحدات التأجير — مكوّنات المحطة</t>
  </si>
  <si>
    <t xml:space="preserve">كل وحدة: النوع · العدد · الخدمة · النوع الفرعي · الحالة</t>
  </si>
  <si>
    <t xml:space="preserve">اسم الوحدة/المستأجر</t>
  </si>
  <si>
    <t xml:space="preserve">نوع الوحدة</t>
  </si>
  <si>
    <t xml:space="preserve">العدد</t>
  </si>
  <si>
    <t xml:space="preserve">قسم الخدمة</t>
  </si>
  <si>
    <t xml:space="preserve">النوع الفرعي</t>
  </si>
  <si>
    <t xml:space="preserve">الحالة</t>
  </si>
  <si>
    <t xml:space="preserve">الإيجار/شهر</t>
  </si>
  <si>
    <t xml:space="preserve">المساحة م²</t>
  </si>
  <si>
    <t xml:space="preserve">ماكدونالدز</t>
  </si>
  <si>
    <t xml:space="preserve">دريف ثرو</t>
  </si>
  <si>
    <t xml:space="preserve">مطاعم</t>
  </si>
  <si>
    <t xml:space="preserve">وجبات سريعة</t>
  </si>
  <si>
    <t xml:space="preserve">مؤجّرة</t>
  </si>
  <si>
    <t xml:space="preserve">بيتزا ريتا</t>
  </si>
  <si>
    <t xml:space="preserve">محل تجاري</t>
  </si>
  <si>
    <t xml:space="preserve">صامولجي</t>
  </si>
  <si>
    <t xml:space="preserve">كشك</t>
  </si>
  <si>
    <t xml:space="preserve">فطاير</t>
  </si>
  <si>
    <t xml:space="preserve">قيس آيسكريم</t>
  </si>
  <si>
    <t xml:space="preserve">آيس كريم</t>
  </si>
  <si>
    <t xml:space="preserve">آيسكريم</t>
  </si>
  <si>
    <t xml:space="preserve">المذاق المغربي</t>
  </si>
  <si>
    <t xml:space="preserve">كافيهات</t>
  </si>
  <si>
    <t xml:space="preserve">تجاري</t>
  </si>
  <si>
    <t xml:space="preserve">بوبا بيرلز</t>
  </si>
  <si>
    <t xml:space="preserve">رو (Raw)</t>
  </si>
  <si>
    <t xml:space="preserve">قهوة مختصة</t>
  </si>
  <si>
    <t xml:space="preserve">جوينت</t>
  </si>
  <si>
    <t xml:space="preserve">بنده</t>
  </si>
  <si>
    <t xml:space="preserve">سوبر ماركت</t>
  </si>
  <si>
    <t xml:space="preserve">ماركت صغير</t>
  </si>
  <si>
    <t xml:space="preserve">مغسلة سيارات</t>
  </si>
  <si>
    <t xml:space="preserve">مغاسل</t>
  </si>
  <si>
    <t xml:space="preserve">آلية</t>
  </si>
  <si>
    <t xml:space="preserve">تغيير زيت</t>
  </si>
  <si>
    <t xml:space="preserve">زيوت</t>
  </si>
  <si>
    <t xml:space="preserve">خدمة شاملة</t>
  </si>
  <si>
    <t xml:space="preserve">صراف آلي</t>
  </si>
  <si>
    <t xml:space="preserve">صراف</t>
  </si>
  <si>
    <t xml:space="preserve">مسجد / مصلّى</t>
  </si>
  <si>
    <t xml:space="preserve">أخرى</t>
  </si>
  <si>
    <t xml:space="preserve">عام</t>
  </si>
  <si>
    <t xml:space="preserve">قهوة عالمية (مقترحة)</t>
  </si>
  <si>
    <t xml:space="preserve">شاغرة</t>
  </si>
  <si>
    <t xml:space="preserve">وحدة مطعم/كافيه</t>
  </si>
  <si>
    <t xml:space="preserve">خدمة سيارات</t>
  </si>
  <si>
    <t xml:space="preserve">أكشاك متاحة</t>
  </si>
  <si>
    <t xml:space="preserve">مخبز</t>
  </si>
  <si>
    <t xml:space="preserve">صيدلية</t>
  </si>
  <si>
    <t xml:space="preserve">بقالة</t>
  </si>
  <si>
    <t xml:space="preserve">الإجمالي</t>
  </si>
  <si>
    <t xml:space="preserve">مبيعات المستأجرين الشهرية</t>
  </si>
  <si>
    <t xml:space="preserve">نسبة الإيجار = الإيجار ÷ مبيعات آخر شهر · الصحّي ≤ ١٥٪</t>
  </si>
  <si>
    <t xml:space="preserve">المستأجر</t>
  </si>
  <si>
    <t xml:space="preserve">نسبة الإيجار</t>
  </si>
  <si>
    <t xml:space="preserve">مبيعات/م²</t>
  </si>
  <si>
    <t xml:space="preserve">مبيعات الوقود — مزيج المنتجات</t>
  </si>
  <si>
    <t xml:space="preserve">لتر المنتج = الحصة × إجمالي اللترات · الربح = لتر المنتج × الهامش</t>
  </si>
  <si>
    <t xml:space="preserve">الحصة %</t>
  </si>
  <si>
    <t xml:space="preserve">إجمالي اللترات/شهر</t>
  </si>
  <si>
    <t xml:space="preserve">هامش ر.س/لتر</t>
  </si>
  <si>
    <t xml:space="preserve">لتر المنتج/شهر</t>
  </si>
  <si>
    <t xml:space="preserve">ربح المنتج/شهر</t>
  </si>
  <si>
    <t xml:space="preserve">الاتجاه الشهري (مليون لتر)</t>
  </si>
  <si>
    <t xml:space="preserve">فرص المبيعات — الجوار التجاري (B2B)</t>
  </si>
  <si>
    <t xml:space="preserve">الجهات المجاورة كأهداف بيع · القناة والقيمة والحالة والأولوية</t>
  </si>
  <si>
    <t xml:space="preserve">الجهة</t>
  </si>
  <si>
    <t xml:space="preserve">النشاط / الوصف</t>
  </si>
  <si>
    <t xml:space="preserve">قناة البيع</t>
  </si>
  <si>
    <t xml:space="preserve">القيمة ر.س/شهر</t>
  </si>
  <si>
    <t xml:space="preserve">الأولوية</t>
  </si>
  <si>
    <t xml:space="preserve">المراعي (Almarai)</t>
  </si>
  <si>
    <t xml:space="preserve">🚚 أسطول توزيع — ديزل</t>
  </si>
  <si>
    <t xml:space="preserve">فرصة</t>
  </si>
  <si>
    <t xml:space="preserve">عالية</t>
  </si>
  <si>
    <t xml:space="preserve">ميداء لخدمات المعتمرين</t>
  </si>
  <si>
    <t xml:space="preserve">🚌 أساطيل نقل معتمرين · 4.9★/109</t>
  </si>
  <si>
    <t xml:space="preserve">تواصل</t>
  </si>
  <si>
    <t xml:space="preserve">i كومكس</t>
  </si>
  <si>
    <t xml:space="preserve">📦 أسطول شحن وتوصيل · 4.9★/875</t>
  </si>
  <si>
    <t xml:space="preserve">مرساة قهوة عالمية</t>
  </si>
  <si>
    <t xml:space="preserve">☕ سدّ الفجوة مقابل تيم هورتنز</t>
  </si>
  <si>
    <t xml:space="preserve">حنيذ الغربي / مندي وبس</t>
  </si>
  <si>
    <t xml:space="preserve">🍽️ مطعم شعبي · 4.4★/560</t>
  </si>
  <si>
    <t xml:space="preserve">واحد تكا</t>
  </si>
  <si>
    <t xml:space="preserve">🍔 وجبات سريعة · 4.9★/285</t>
  </si>
  <si>
    <t xml:space="preserve">مجموعة ريتاج العربية</t>
  </si>
  <si>
    <t xml:space="preserve">🍽️ مورد أطعمة/تموين للمستأجرين</t>
  </si>
  <si>
    <t xml:space="preserve">اجواد الكرم</t>
  </si>
  <si>
    <t xml:space="preserve">🛒 سوبرماركت · 4.1★/465</t>
  </si>
  <si>
    <t xml:space="preserve">منخفضة</t>
  </si>
  <si>
    <t xml:space="preserve">سيارة اب (فليت مانجمنت B2B)</t>
  </si>
  <si>
    <t xml:space="preserve">🚗 منصّة إدارة أساطيل — تضم مكاتب التأجير القريبة: ذيب · يلو · الغزال · حسين · المصباح (٦ مكاتب ضمن 2.3كم)</t>
  </si>
  <si>
    <t xml:space="preserve">جوتكس للخدمات اللوجستية</t>
  </si>
  <si>
    <t xml:space="preserve">🚚 لوجستيات وشحن · 4.1★/16 · 0.8كم</t>
  </si>
  <si>
    <t xml:space="preserve">الحربي للنقل (حج وعمرة)</t>
  </si>
  <si>
    <t xml:space="preserve">🚌 نقل حجاج ومعتمرين · 4.6★/42 · 3.3كم</t>
  </si>
  <si>
    <t xml:space="preserve">مشغّل مطعم/كافيه</t>
  </si>
  <si>
    <t xml:space="preserve">🍽️ عابرون وزوّار</t>
  </si>
  <si>
    <t xml:space="preserve">خدمة سيارات (زيوت/كفرات)</t>
  </si>
  <si>
    <t xml:space="preserve">🚗 صيانة سريعة</t>
  </si>
  <si>
    <t xml:space="preserve">عرض متجر مشترك</t>
  </si>
  <si>
    <t xml:space="preserve">🤝 شراكة تسويقية</t>
  </si>
  <si>
    <t xml:space="preserve">عملاء الممتاز 95</t>
  </si>
  <si>
    <t xml:space="preserve">⭐ عروض بنزين 95</t>
  </si>
  <si>
    <t xml:space="preserve">🥖 احتياج يومي</t>
  </si>
  <si>
    <t xml:space="preserve">💊 خدمة أساسية</t>
  </si>
  <si>
    <t xml:space="preserve">بقالة/سوبرماركت</t>
  </si>
  <si>
    <t xml:space="preserve">🛒 تسوق يومي</t>
  </si>
  <si>
    <t xml:space="preserve">مغسلة / نقطة توصيل</t>
  </si>
  <si>
    <t xml:space="preserve">🧺 خدمة مسائية</t>
  </si>
  <si>
    <t xml:space="preserve">إجمالي خط الأنابيب</t>
  </si>
  <si>
    <t xml:space="preserve">المتعاقد</t>
  </si>
  <si>
    <t xml:space="preserve">فرص مفتوحة</t>
  </si>
  <si>
    <t xml:space="preserve">عقود وقود الأساطيل (B2B)</t>
  </si>
  <si>
    <t xml:space="preserve">الفئات وآليات التعاقد والجهات المستهدفة والحجم والربح المتوقّع</t>
  </si>
  <si>
    <t xml:space="preserve">فئة الأسطول</t>
  </si>
  <si>
    <t xml:space="preserve">آلية التعاقد</t>
  </si>
  <si>
    <t xml:space="preserve">الجهات المستهدفة</t>
  </si>
  <si>
    <t xml:space="preserve">الحجم لتر/شهر</t>
  </si>
  <si>
    <t xml:space="preserve">ربح متوقّع/شهر</t>
  </si>
  <si>
    <t xml:space="preserve">🚌 باصات الحجاج والمعتمرين</t>
  </si>
  <si>
    <t xml:space="preserve">عقد موسمي (حج/عمرة) + بطاقة وقود أسطول + خصم حجمي + مسار حافلات سريع + دفع آجل ٣٠ يوم</t>
  </si>
  <si>
    <t xml:space="preserve">ميداء للمعتمرين · شركات النقل الجماعي · مؤسسات الطوافة · نقل تضامني</t>
  </si>
  <si>
    <t xml:space="preserve">🚚 شاحنات اللوجستيات</t>
  </si>
  <si>
    <t xml:space="preserve">بطاقة وقود أسطول + خصم حجمي متدرّج + عقد سنوي + دفع آجل + خدمة 24/7 ومسار شاحنات مخصّص</t>
  </si>
  <si>
    <t xml:space="preserve">المراعي · i كومكس · شركات الشحن والتوزيع العابرة</t>
  </si>
  <si>
    <t xml:space="preserve">🚕 تكاسي المسافرين للمدينة</t>
  </si>
  <si>
    <t xml:space="preserve">بنزين 91/95</t>
  </si>
  <si>
    <t xml:space="preserve">برنامج ولاء سائقين (تانكي) + بطاقة وقود للمكاتب + خصم جماعي + نقطة استراحة سائقين + ربط بالتطبيق</t>
  </si>
  <si>
    <t xml:space="preserve">الحربي للنقل (حج وعمرة، 3.3كم) · مكاتب الشبيكة/المعابدة · تطبيقات النقل</t>
  </si>
  <si>
    <t xml:space="preserve">🚗 سيارة اب — فليت مانجمنت (B2B)</t>
  </si>
  <si>
    <t xml:space="preserve">اتفاقية تزويد عبر منصّة إدارة الأساطيل: بطاقة وقود موحّدة لكل مركبة + فوترة مركزية شهرية + خصم حجمي على إجمالي أسطول المنصّة + تقارير استهلاك لكل مركبة + ربط رقمي (API/تطبيق) + تسعير تفضيلي مقابل توجيه التعبئة للمحطة</t>
  </si>
  <si>
    <t xml:space="preserve">محفظة عملاء المنصّة — شركات تأجير السيارات القريبة تدخل تحتها: ذيب · يلو · الغزال · حسين · المصباح (٦ مكاتب ضمن 2.3كم) + أساطيل الشركات</t>
  </si>
  <si>
    <t xml:space="preserve">🚌 حافلات وعابرون</t>
  </si>
  <si>
    <t xml:space="preserve">بطاقة وقود + خصم حجمي + مسار سريع — يُستكمل</t>
  </si>
  <si>
    <t xml:space="preserve">شركات النقل العابرة على خط السفر</t>
  </si>
  <si>
    <t xml:space="preserve">🚕 تكاسي ونقل</t>
  </si>
  <si>
    <t xml:space="preserve">ولاء سائقين (تانكي) + اتفاق مع مكاتب النقل</t>
  </si>
  <si>
    <t xml:space="preserve">مكاتب النقل والأجرة المحلية</t>
  </si>
  <si>
    <t xml:space="preserve">🛵 مندوبو التوصيل</t>
  </si>
  <si>
    <t xml:space="preserve">برنامج ولاء سائقين (تانكي) + خصم جماعي + ربط بالتطبيق</t>
  </si>
  <si>
    <t xml:space="preserve">تطبيقات التوصيل المحلية · مطاعم الحي</t>
  </si>
  <si>
    <t xml:space="preserve">المكس التسويقي (٧Ps)</t>
  </si>
  <si>
    <t xml:space="preserve">حسب نمط الموقع · سعر الوقود مقنَّن فالمكس على المنتج والمكان والناس</t>
  </si>
  <si>
    <t xml:space="preserve">العنصر</t>
  </si>
  <si>
    <t xml:space="preserve">القرار الاستراتيجي</t>
  </si>
  <si>
    <t xml:space="preserve">📦 المنتج</t>
  </si>
  <si>
    <t xml:space="preserve">الزيارة الكاملة: وقود (91/95/ديزل) + وجبات سريعة + قهوة عالمية (فجوة) + خدمات معتمرين + مسجد ومرافق.</t>
  </si>
  <si>
    <t xml:space="preserve">🏷️ السعر</t>
  </si>
  <si>
    <t xml:space="preserve">الوقود مقنَّن ⇒ خصم حجمي للأساطيل · إيجار = ثابت + نسبة من مبيعات المستأجر · تانكي بدل الخصم السعري.</t>
  </si>
  <si>
    <t xml:space="preserve">📍 المكان</t>
  </si>
  <si>
    <t xml:space="preserve">وجهة على ممر المعتمرين + مسار سريع للحافلات والشاحنات + التطبيق كمنفذ رقمي.</t>
  </si>
  <si>
    <t xml:space="preserve">📣 الترويج</t>
  </si>
  <si>
    <t xml:space="preserve">تفعيل التطبيق عند المضخة · حملات موسمية (حج/عمرة) · حملات مشتركة مع المستأجرين (نموذج المذاق المغربي +9.5٪).</t>
  </si>
  <si>
    <t xml:space="preserve">👥 الناس</t>
  </si>
  <si>
    <t xml:space="preserve">مندوب متكامل للأساطيل والجوار + موظف المحطة كنقطة تفعيل بحافز · خدمة متعددة اللغات (معتمرون).</t>
  </si>
  <si>
    <t xml:space="preserve">⚙️ العمليات</t>
  </si>
  <si>
    <t xml:space="preserve">سرعة الخدمة عند ذروة 17:00 · تفعيل رقمي بخطوة واحدة · عقد أسطول (بطاقة + فوترة + تقارير).</t>
  </si>
  <si>
    <t xml:space="preserve">🏛️ الدليل المادي</t>
  </si>
  <si>
    <t xml:space="preserve">المسجد والمرافق ودورات المياه — ميزة موثّقة في التقييمات (4.8★) · النظافة والتوجيه.</t>
  </si>
  <si>
    <t xml:space="preserve">استراحة عابرين: بنزين 95 (49.8٪ من المزيج) + قهوة ووجبة + خدمة سيارات (زيوت/كفرات).</t>
  </si>
  <si>
    <t xml:space="preserve">الوقود مقنَّن ⇒ عروض قيمة على غير الوقود · إيجار ثابت + نسبة · تانكي للولاء.</t>
  </si>
  <si>
    <t xml:space="preserve">خط سفر مميز ومساحة ~20 ألف م² تتيح وحدات متعددة — الوحدات الشاغرة أولوية.</t>
  </si>
  <si>
    <t xml:space="preserve">تفعيل التطبيق عند المضخة · عروض حول ذروة 17:00 والخميس · عروض متجر مشتركة.</t>
  </si>
  <si>
    <t xml:space="preserve">مندوب لتغطية الوحدات الشاغرة + موظف سريع الخدمة للعابرين.</t>
  </si>
  <si>
    <t xml:space="preserve">سرعة التعبئة والخروج · تفعيل رقمي بخطوة واحدة · معيار اختيار مستأجر يضمن استدامته.</t>
  </si>
  <si>
    <t xml:space="preserve">نظافة ومرافق استراحة ولوحات توجيه واضحة على الطريق.</t>
  </si>
  <si>
    <t xml:space="preserve">احتياج يومي للحي: بنزين 91 (58.7٪) + مخبز وبقالة وصيدلية + خدمات مسائية.</t>
  </si>
  <si>
    <t xml:space="preserve">حساسية سعرية عالية ⇒ تنافسية 91 + قيمة عبر تانكي · إيجار يناسب حجم الحي.</t>
  </si>
  <si>
    <t xml:space="preserve">داخل الحي السكني — قرب وسهولة وصول؛ التطبيق للطلب والتوصيل.</t>
  </si>
  <si>
    <t xml:space="preserve">تانكي لرفع تكرار الزيارة · عروض مسائية حول ذروة 21:00 والخميس · عروض متجر مشتركة.</t>
  </si>
  <si>
    <t xml:space="preserve">ألفة الموظفين مع سكان الحي (عملاء متكرّرون) + تفعيل التطبيق عند المضخة.</t>
  </si>
  <si>
    <t xml:space="preserve">خدمة سريعة مسائية · تفعيل رقمي بخطوة واحدة.</t>
  </si>
  <si>
    <t xml:space="preserve">إضاءة ونظافة وأمان مسائي — عامل حاسم لعملاء الحي بعد الدوام.</t>
  </si>
  <si>
    <t xml:space="preserve">توزيع ميزانية الترويج</t>
  </si>
  <si>
    <t xml:space="preserve">تفعيل التطبيق</t>
  </si>
  <si>
    <t xml:space="preserve">حملات مشتركة مع المستأجرين</t>
  </si>
  <si>
    <t xml:space="preserve">ترويج B2B مباشر</t>
  </si>
  <si>
    <t xml:space="preserve">الدليل المادي والهوية</t>
  </si>
  <si>
    <t xml:space="preserve">المجموع (يجب أن يساوي ١٠٠٪)</t>
  </si>
  <si>
    <t xml:space="preserve">الحملات</t>
  </si>
  <si>
    <t xml:space="preserve">الحملة</t>
  </si>
  <si>
    <t xml:space="preserve">النوع</t>
  </si>
  <si>
    <t xml:space="preserve">المموّل</t>
  </si>
  <si>
    <t xml:space="preserve">التكلفة ر.س</t>
  </si>
  <si>
    <t xml:space="preserve">الأثر %</t>
  </si>
  <si>
    <t xml:space="preserve">اليوم العالمي للشاي × المذاق المغربي</t>
  </si>
  <si>
    <t xml:space="preserve">حملة مشتركة مع مستأجر</t>
  </si>
  <si>
    <t xml:space="preserve">الشريك</t>
  </si>
  <si>
    <t xml:space="preserve">منفّذة</t>
  </si>
  <si>
    <t xml:space="preserve">تفعيل التطبيق عند المضخة</t>
  </si>
  <si>
    <t xml:space="preserve">تحويل رقمي</t>
  </si>
  <si>
    <t xml:space="preserve">التسويق</t>
  </si>
  <si>
    <t xml:space="preserve">مقترحة</t>
  </si>
  <si>
    <t xml:space="preserve">موسم العمرة — باقة تعبئة + وجبة</t>
  </si>
  <si>
    <t xml:space="preserve">باقة مجمّعة</t>
  </si>
  <si>
    <t xml:space="preserve">مشترك</t>
  </si>
  <si>
    <t xml:space="preserve">عروض ذروة 17:00</t>
  </si>
  <si>
    <t xml:space="preserve">عرض توقيت</t>
  </si>
  <si>
    <t xml:space="preserve">تانكي — تكرار الزيارة</t>
  </si>
  <si>
    <t xml:space="preserve">ولاء</t>
  </si>
  <si>
    <t xml:space="preserve">عروض مسائية 21:00</t>
  </si>
  <si>
    <t xml:space="preserve">إجمالي تكلفة الحملات</t>
  </si>
  <si>
    <t xml:space="preserve">منها على ميزانية التسويق</t>
  </si>
  <si>
    <t xml:space="preserve">مموّل من الشركاء/المستأجرين</t>
  </si>
  <si>
    <t xml:space="preserve">خطة التنفيذ — التكامل بين الإدارات</t>
  </si>
  <si>
    <t xml:space="preserve">الركائز · دورة النمو · قواعد فضّ التعارض · التسلسل التنفيذي</t>
  </si>
  <si>
    <t xml:space="preserve">الوقود يجلب الحركة · غير الوقود يصنع الربح · التطبيق يربطهما · المندوب ينفّذها</t>
  </si>
  <si>
    <t xml:space="preserve">وحدة القياس المشتركة: الربح لكل زيارة في كل منفذ — لأن هامش الوقود مُقنَّن ومساحة النمو في غير الوقود.</t>
  </si>
  <si>
    <t xml:space="preserve">الركائز الهيكلية</t>
  </si>
  <si>
    <t xml:space="preserve">الركيزة</t>
  </si>
  <si>
    <t xml:space="preserve">التفصيل</t>
  </si>
  <si>
    <t xml:space="preserve">مالك منفذ واحد (P&amp;L)</t>
  </si>
  <si>
    <t xml:space="preserve">مسؤول عن ربح المحطة الكامل، والإدارات الأربع خدمات مشتركة تخدمه.</t>
  </si>
  <si>
    <t xml:space="preserve">بطاقة أداء موحّدة</t>
  </si>
  <si>
    <t xml:space="preserve">مؤشر الإدارة (مساءلة) + مؤشر مشترك (تكامل) على نفس البطاقة.</t>
  </si>
  <si>
    <t xml:space="preserve">حوافز مشتركة ٦٠/٤٠</t>
  </si>
  <si>
    <t xml:space="preserve">٦٠٪ على هدف الإدارة و٤٠٪ على ربح المنفذ المشترك.</t>
  </si>
  <si>
    <t xml:space="preserve">دورة النمو</t>
  </si>
  <si>
    <t xml:space="preserve">#</t>
  </si>
  <si>
    <t xml:space="preserve">المرحلة</t>
  </si>
  <si>
    <t xml:space="preserve">الأثر</t>
  </si>
  <si>
    <t xml:space="preserve">🤝 عقود الأساطيل</t>
  </si>
  <si>
    <t xml:space="preserve">حجم وقود مضمون + تدفّق متكرّر</t>
  </si>
  <si>
    <t xml:space="preserve">🏪 جاذبية الموقع</t>
  </si>
  <si>
    <t xml:space="preserve">إشغال وإيجار أعلى</t>
  </si>
  <si>
    <t xml:space="preserve">⛽ سبب زيارة إضافي</t>
  </si>
  <si>
    <t xml:space="preserve">وقود أكثر لكل زيارة</t>
  </si>
  <si>
    <t xml:space="preserve">📱 التطبيق يلتقط الهوية</t>
  </si>
  <si>
    <t xml:space="preserve">إعادة استهداف مُقاسة</t>
  </si>
  <si>
    <t xml:space="preserve">📣 تكرار الزيارة</t>
  </si>
  <si>
    <t xml:space="preserve">مبيعات مستأجر أعلى → إيجار أعلى</t>
  </si>
  <si>
    <t xml:space="preserve">قواعد فضّ التعارض</t>
  </si>
  <si>
    <t xml:space="preserve">التعارض</t>
  </si>
  <si>
    <t xml:space="preserve">القاعدة الحاكمة</t>
  </si>
  <si>
    <t xml:space="preserve">التسويق يريد خصماً · الوقود يحمي الهامش</t>
  </si>
  <si>
    <t xml:space="preserve">الخصم يُموَّل من هامش غير الوقود أو ميزانية الشريك — لا من هامش الوقود</t>
  </si>
  <si>
    <t xml:space="preserve">التأجير يريد أعلى إيجار · الوقود يريد جاذب حركة</t>
  </si>
  <si>
    <t xml:space="preserve">المستأجر يُقيَّم على (الإيجار + مساهمته في الحركة) — لا الإيجار وحده</t>
  </si>
  <si>
    <t xml:space="preserve">الشراكات تعد بأسعار · التشغيل يتحمّلها</t>
  </si>
  <si>
    <t xml:space="preserve">أي التزام سعري يمرّ باعتماد مالك المنفذ</t>
  </si>
  <si>
    <t xml:space="preserve">محطتان متجاورتان على نفس العميل</t>
  </si>
  <si>
    <t xml:space="preserve">تُدار المنطقة كمحفظة واحدة لتفادي التغذية الذاتية</t>
  </si>
  <si>
    <t xml:space="preserve">التسلسل التنفيذي</t>
  </si>
  <si>
    <t xml:space="preserve">التركيز</t>
  </si>
  <si>
    <t xml:space="preserve">المبادرات</t>
  </si>
  <si>
    <t xml:space="preserve">المبرّر</t>
  </si>
  <si>
    <t xml:space="preserve">المسؤول</t>
  </si>
  <si>
    <t xml:space="preserve">٠–٣ أشهر</t>
  </si>
  <si>
    <t xml:space="preserve">التأسيس</t>
  </si>
  <si>
    <t xml:space="preserve">مالك منفذ · بطاقة موحّدة · تفعيل التطبيق عند المضخة</t>
  </si>
  <si>
    <t xml:space="preserve">البنية التحتية للقياس</t>
  </si>
  <si>
    <t xml:space="preserve">٣–٦ أشهر</t>
  </si>
  <si>
    <t xml:space="preserve">ملء الطاقة</t>
  </si>
  <si>
    <t xml:space="preserve">تغطية الوحدات الشاغرة + عقود الأساطيل</t>
  </si>
  <si>
    <t xml:space="preserve">أكبر مجمّعَي إيراد جاهزَين</t>
  </si>
  <si>
    <t xml:space="preserve">٦–١٢ شهراً</t>
  </si>
  <si>
    <t xml:space="preserve">تسييل الدورة</t>
  </si>
  <si>
    <t xml:space="preserve">المستأجر يشتري وصولاً للتطبيق · عروض مجمّعة · تسعير بالشريحة</t>
  </si>
  <si>
    <t xml:space="preserve">تحويل التكامل إلى ربح</t>
  </si>
  <si>
    <t xml:space="preserve">الخلايا الصفراء (المسؤول/الحالة) تُعبَّأ عند الاعتماد.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</si>
</sst>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–"/>
    <numFmt numFmtId="166" formatCode="#,##0.00;\(#,##0.00\);\–"/>
    <numFmt numFmtId="167" formatCode="#,##0"/>
    <numFmt numFmtId="168" formatCode="0.0"/>
    <numFmt numFmtId="169" formatCode="0.0%"/>
    <numFmt numFmtId="170" formatCode="#,##0.0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9.5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0000C0"/>
      <name val="Arial"/>
      <family val="0"/>
      <charset val="1"/>
    </font>
    <font>
      <sz val="10"/>
      <color rgb="FF2E8B57"/>
      <name val="Arial"/>
      <family val="0"/>
      <charset val="1"/>
    </font>
    <font>
      <sz val="10"/>
      <color rgb="FFB8860B"/>
      <name val="Arial"/>
      <family val="0"/>
      <charset val="1"/>
    </font>
    <font>
      <b val="true"/>
      <sz val="9.5"/>
      <color rgb="FFB8860B"/>
      <name val="Arial"/>
      <family val="0"/>
      <charset val="1"/>
    </font>
    <font>
      <b val="true"/>
      <sz val="18"/>
      <color rgb="FFF18A2B"/>
      <name val="Arial"/>
      <family val="0"/>
      <charset val="1"/>
    </font>
    <font>
      <b val="true"/>
      <sz val="18"/>
      <color rgb="FF2874A6"/>
      <name val="Arial"/>
      <family val="0"/>
      <charset val="1"/>
    </font>
    <font>
      <b val="true"/>
      <sz val="18"/>
      <color rgb="FF2E8B57"/>
      <name val="Arial"/>
      <family val="0"/>
      <charset val="1"/>
    </font>
    <font>
      <b val="true"/>
      <sz val="18"/>
      <color rgb="FFB8860B"/>
      <name val="Arial"/>
      <family val="0"/>
      <charset val="1"/>
    </font>
    <font>
      <sz val="8.5"/>
      <color rgb="FF6B7280"/>
      <name val="Arial"/>
      <family val="0"/>
      <charset val="1"/>
    </font>
    <font>
      <b val="true"/>
      <sz val="18"/>
      <color rgb="FFC0392B"/>
      <name val="Arial"/>
      <family val="0"/>
      <charset val="1"/>
    </font>
    <font>
      <i val="true"/>
      <sz val="9"/>
      <color rgb="FFB8860B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1F2937"/>
      <name val="Arial"/>
      <family val="0"/>
      <charset val="1"/>
    </font>
    <font>
      <b val="true"/>
      <sz val="10"/>
      <color rgb="FFB8860B"/>
      <name val="Arial"/>
      <family val="0"/>
      <charset val="1"/>
    </font>
    <font>
      <b val="true"/>
      <sz val="11"/>
      <color rgb="FFB8860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.5"/>
      <color rgb="FF2E8B57"/>
      <name val="Arial"/>
      <family val="0"/>
      <charset val="1"/>
    </font>
    <font>
      <b val="true"/>
      <sz val="9.5"/>
      <color rgb="FFC0392B"/>
      <name val="Arial"/>
      <family val="0"/>
      <charset val="1"/>
    </font>
    <font>
      <sz val="10"/>
      <color rgb="FFC0392B"/>
      <name val="Arial"/>
      <family val="0"/>
      <charset val="1"/>
    </font>
    <font>
      <b val="true"/>
      <sz val="10"/>
      <color rgb="FF2E8B57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.5"/>
      <color rgb="FFC0392B"/>
      <name val="Arial"/>
      <family val="0"/>
      <charset val="1"/>
    </font>
    <font>
      <sz val="9.5"/>
      <color rgb="FF2E8B57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B1C1E"/>
        <bgColor rgb="FF1F2937"/>
      </patternFill>
    </fill>
    <fill>
      <patternFill patternType="solid">
        <fgColor rgb="FFF18A2B"/>
        <bgColor rgb="FFFF8080"/>
      </patternFill>
    </fill>
    <fill>
      <patternFill patternType="solid">
        <fgColor rgb="FFF7F8F9"/>
        <bgColor rgb="FFF0F1F2"/>
      </patternFill>
    </fill>
    <fill>
      <patternFill patternType="solid">
        <fgColor rgb="FFFFF6DC"/>
        <bgColor rgb="FFFDEBD8"/>
      </patternFill>
    </fill>
    <fill>
      <patternFill patternType="solid">
        <fgColor rgb="FFFFFFFF"/>
        <bgColor rgb="FFF7F8F9"/>
      </patternFill>
    </fill>
    <fill>
      <patternFill patternType="solid">
        <fgColor rgb="FFFDEBD8"/>
        <bgColor rgb="FFFBE6E4"/>
      </patternFill>
    </fill>
    <fill>
      <patternFill patternType="solid">
        <fgColor rgb="FFF0F1F2"/>
        <bgColor rgb="FFF7F8F9"/>
      </patternFill>
    </fill>
    <fill>
      <patternFill patternType="solid">
        <fgColor rgb="FFE3F4EA"/>
        <bgColor rgb="FFF0F1F2"/>
      </patternFill>
    </fill>
    <fill>
      <patternFill patternType="solid">
        <fgColor rgb="FFFBE6E4"/>
        <bgColor rgb="FFFDEBD8"/>
      </patternFill>
    </fill>
    <fill>
      <patternFill patternType="solid">
        <fgColor rgb="FFFFFFCC"/>
        <bgColor rgb="FFFFF6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hair">
        <color rgb="FFC8CCD0"/>
      </left>
      <right style="hair">
        <color rgb="FFC8CCD0"/>
      </right>
      <top style="hair">
        <color rgb="FFC8CCD0"/>
      </top>
      <bottom style="hair">
        <color rgb="FFC8CCD0"/>
      </bottom>
      <diagonal/>
    </border>
    <border diagonalUp="false" diagonalDown="false">
      <left style="hair">
        <color rgb="FFC8CCD0"/>
      </left>
      <right style="hair">
        <color rgb="FFC8CCD0"/>
      </right>
      <top style="thick">
        <color rgb="FFF18A2B"/>
      </top>
      <bottom/>
      <diagonal/>
    </border>
    <border diagonalUp="false" diagonalDown="false">
      <left style="hair">
        <color rgb="FFC8CCD0"/>
      </left>
      <right style="hair">
        <color rgb="FFC8CCD0"/>
      </right>
      <top style="thick">
        <color rgb="FF2874A6"/>
      </top>
      <bottom/>
      <diagonal/>
    </border>
    <border diagonalUp="false" diagonalDown="false">
      <left style="hair">
        <color rgb="FFC8CCD0"/>
      </left>
      <right style="hair">
        <color rgb="FFC8CCD0"/>
      </right>
      <top style="thick">
        <color rgb="FF2E8B57"/>
      </top>
      <bottom/>
      <diagonal/>
    </border>
    <border diagonalUp="false" diagonalDown="false">
      <left style="hair">
        <color rgb="FFC8CCD0"/>
      </left>
      <right style="hair">
        <color rgb="FFC8CCD0"/>
      </right>
      <top style="thick">
        <color rgb="FFB8860B"/>
      </top>
      <bottom/>
      <diagonal/>
    </border>
    <border diagonalUp="false" diagonalDown="false">
      <left style="hair">
        <color rgb="FFC8CCD0"/>
      </left>
      <right style="hair">
        <color rgb="FFC8CCD0"/>
      </right>
      <top/>
      <bottom style="hair">
        <color rgb="FFC8CCD0"/>
      </bottom>
      <diagonal/>
    </border>
    <border diagonalUp="false" diagonalDown="false">
      <left style="hair">
        <color rgb="FFC8CCD0"/>
      </left>
      <right style="hair">
        <color rgb="FFC8CCD0"/>
      </right>
      <top style="thick">
        <color rgb="FFC0392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9" fillId="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6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11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9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6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7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7" fillId="9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9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7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7" fillId="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0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1" fillId="9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2" fillId="1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3" fillId="1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2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7" fillId="7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1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9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34" fillId="9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6" fillId="1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7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name val="Arial"/>
        <charset val="1"/>
        <family val="0"/>
        <b val="1"/>
        <color rgb="FFC0392B"/>
        <sz val="10"/>
      </font>
      <fill>
        <patternFill>
          <bgColor rgb="FFFBE6E4"/>
        </patternFill>
      </fill>
    </dxf>
    <dxf>
      <font>
        <name val="Arial"/>
        <charset val="1"/>
        <family val="0"/>
        <b val="1"/>
        <color rgb="FF2E8B57"/>
        <sz val="10"/>
      </font>
      <fill>
        <patternFill>
          <bgColor rgb="FFE3F4EA"/>
        </patternFill>
      </fill>
    </dxf>
    <dxf>
      <font>
        <name val="Arial"/>
        <charset val="1"/>
        <family val="0"/>
        <b val="1"/>
        <color rgb="FFB8860B"/>
        <sz val="10"/>
      </font>
      <fill>
        <patternFill>
          <bgColor rgb="FFFFF6DC"/>
        </patternFill>
      </fill>
    </dxf>
    <dxf>
      <font>
        <name val="Arial"/>
        <charset val="1"/>
        <family val="0"/>
        <b val="1"/>
        <color rgb="FF2E8B57"/>
        <sz val="10"/>
      </font>
    </dxf>
    <dxf>
      <fill>
        <patternFill patternType="solid">
          <fgColor rgb="FFF18A2B"/>
          <bgColor rgb="FF000000"/>
        </patternFill>
      </fill>
    </dxf>
    <dxf>
      <fill>
        <patternFill patternType="solid">
          <fgColor rgb="FFF7F8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C0"/>
          <bgColor rgb="FF000000"/>
        </patternFill>
      </fill>
    </dxf>
    <dxf>
      <fill>
        <patternFill patternType="solid">
          <fgColor rgb="FFE3F4EA"/>
          <bgColor rgb="FF000000"/>
        </patternFill>
      </fill>
    </dxf>
    <dxf>
      <fill>
        <patternFill patternType="solid">
          <fgColor rgb="FFFBE6E4"/>
          <bgColor rgb="FF000000"/>
        </patternFill>
      </fill>
    </dxf>
    <dxf>
      <fill>
        <patternFill patternType="solid">
          <fgColor rgb="FF2E8B57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color rgb="FF2E8B57"/>
        <sz val="10"/>
      </font>
      <fill>
        <patternFill>
          <bgColor rgb="FFE3F4EA"/>
        </patternFill>
      </fill>
    </dxf>
    <dxf>
      <fill>
        <patternFill patternType="solid">
          <fgColor rgb="FFFDEBD8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ont>
        <name val="Arial"/>
        <charset val="1"/>
        <family val="0"/>
        <b val="1"/>
        <color rgb="FFB8860B"/>
        <sz val="10"/>
      </font>
      <fill>
        <patternFill>
          <bgColor rgb="FFFDEBD8"/>
        </patternFill>
      </fill>
    </dxf>
  </dxfs>
  <colors>
    <indexedColors>
      <rgbColor rgb="FF000000"/>
      <rgbColor rgb="FFFFFFFF"/>
      <rgbColor rgb="FFFF0000"/>
      <rgbColor rgb="FF00FF00"/>
      <rgbColor rgb="FF0000C0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2874A6"/>
      <rgbColor rgb="FFC8CCD0"/>
      <rgbColor rgb="FF878787"/>
      <rgbColor rgb="FF9999FF"/>
      <rgbColor rgb="FFBE4B48"/>
      <rgbColor rgb="FFFFFFCC"/>
      <rgbColor rgb="FFE3F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0F1F2"/>
      <rgbColor rgb="FFF7F8F9"/>
      <rgbColor rgb="FFFFF6DC"/>
      <rgbColor rgb="FFFBE6E4"/>
      <rgbColor rgb="FFFF99CC"/>
      <rgbColor rgb="FFCC99FF"/>
      <rgbColor rgb="FFFDEBD8"/>
      <rgbColor rgb="FF4A7EBB"/>
      <rgbColor rgb="FF33CCCC"/>
      <rgbColor rgb="FF98B855"/>
      <rgbColor rgb="FFFFCC00"/>
      <rgbColor rgb="FFF18A2B"/>
      <rgbColor rgb="FFFF6600"/>
      <rgbColor rgb="FF6B7280"/>
      <rgbColor rgb="FF9BBB59"/>
      <rgbColor rgb="FF003366"/>
      <rgbColor rgb="FF2E8B57"/>
      <rgbColor rgb="FF003300"/>
      <rgbColor rgb="FF1B1C1E"/>
      <rgbColor rgb="FFC0392B"/>
      <rgbColor rgb="FFC0504D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صافي الربح لكل منفذ (ر.س/شهر)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حسابات!B1</c:f>
              <c:strCache>
                <c:ptCount val="1"/>
                <c:pt idx="0">
                  <c:v>صافي الربح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حسابات!$A$2:$A$4</c:f>
              <c:strCache>
                <c:ptCount val="3"/>
                <c:pt idx="0">
                  <c:v>درب — العمرة الجديدة</c:v>
                </c:pt>
                <c:pt idx="1">
                  <c:v>درب — العوالي</c:v>
                </c:pt>
                <c:pt idx="2">
                  <c:v>درب — الحسينية</c:v>
                </c:pt>
              </c:strCache>
            </c:strRef>
          </c:cat>
          <c:val>
            <c:numRef>
              <c:f>حسابات!$B$2:$B$4</c:f>
              <c:numCache>
                <c:formatCode>General</c:formatCode>
                <c:ptCount val="3"/>
                <c:pt idx="0">
                  <c:v>679332</c:v>
                </c:pt>
                <c:pt idx="1">
                  <c:v>390100</c:v>
                </c:pt>
                <c:pt idx="2">
                  <c:v>79250</c:v>
                </c:pt>
              </c:numCache>
            </c:numRef>
          </c:val>
        </c:ser>
        <c:gapWidth val="60"/>
        <c:overlap val="0"/>
        <c:axId val="2032377"/>
        <c:axId val="69065711"/>
      </c:barChart>
      <c:catAx>
        <c:axId val="20323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65711"/>
        <c:crosses val="autoZero"/>
        <c:auto val="1"/>
        <c:lblAlgn val="ctr"/>
        <c:lblOffset val="100"/>
        <c:noMultiLvlLbl val="0"/>
      </c:catAx>
      <c:valAx>
        <c:axId val="690657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23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مزيج منتجات الوقود — المحفظة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حسابات!G1</c:f>
              <c:strCache>
                <c:ptCount val="1"/>
                <c:pt idx="0">
                  <c:v>لتر/شهر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حسابات!$F$2:$F$4</c:f>
              <c:strCache>
                <c:ptCount val="3"/>
                <c:pt idx="0">
                  <c:v>بنزين 91</c:v>
                </c:pt>
                <c:pt idx="1">
                  <c:v>بنزين 95</c:v>
                </c:pt>
                <c:pt idx="2">
                  <c:v>ديزل</c:v>
                </c:pt>
              </c:strCache>
            </c:strRef>
          </c:cat>
          <c:val>
            <c:numRef>
              <c:f>حسابات!$G$2:$G$4</c:f>
              <c:numCache>
                <c:formatCode>General</c:formatCode>
                <c:ptCount val="3"/>
                <c:pt idx="0">
                  <c:v>3400865</c:v>
                </c:pt>
                <c:pt idx="1">
                  <c:v>3258240</c:v>
                </c:pt>
                <c:pt idx="2">
                  <c:v>1125442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اتجاه مبيعات الوقود الشهري (مليون لتر)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حسابات!J1</c:f>
              <c:strCache>
                <c:ptCount val="1"/>
                <c:pt idx="0">
                  <c:v>MK007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حسابات!$I$2:$I$7</c:f>
              <c:strCache>
                <c:ptCount val="6"/>
                <c:pt idx="0">
                  <c:v>يناير 2026</c:v>
                </c:pt>
                <c:pt idx="1">
                  <c:v>فبراير 2026</c:v>
                </c:pt>
                <c:pt idx="2">
                  <c:v>مارس 2026</c:v>
                </c:pt>
                <c:pt idx="3">
                  <c:v>أبريل 2026</c:v>
                </c:pt>
                <c:pt idx="4">
                  <c:v>مايو 2026</c:v>
                </c:pt>
                <c:pt idx="5">
                  <c:v>يونيو 2026</c:v>
                </c:pt>
              </c:strCache>
            </c:strRef>
          </c:cat>
          <c:val>
            <c:numRef>
              <c:f>حسابات!$J$2:$J$7</c:f>
              <c:numCache>
                <c:formatCode>General</c:formatCode>
                <c:ptCount val="6"/>
                <c:pt idx="0">
                  <c:v>4.25</c:v>
                </c:pt>
                <c:pt idx="1">
                  <c:v>4.17</c:v>
                </c:pt>
                <c:pt idx="2">
                  <c:v>4.91</c:v>
                </c:pt>
                <c:pt idx="3">
                  <c:v>3.6</c:v>
                </c:pt>
                <c:pt idx="4">
                  <c:v>3.13</c:v>
                </c:pt>
                <c:pt idx="5">
                  <c:v>3.43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حسابات!K1</c:f>
              <c:strCache>
                <c:ptCount val="1"/>
                <c:pt idx="0">
                  <c:v>MK003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حسابات!$I$2:$I$7</c:f>
              <c:strCache>
                <c:ptCount val="6"/>
                <c:pt idx="0">
                  <c:v>يناير 2026</c:v>
                </c:pt>
                <c:pt idx="1">
                  <c:v>فبراير 2026</c:v>
                </c:pt>
                <c:pt idx="2">
                  <c:v>مارس 2026</c:v>
                </c:pt>
                <c:pt idx="3">
                  <c:v>أبريل 2026</c:v>
                </c:pt>
                <c:pt idx="4">
                  <c:v>مايو 2026</c:v>
                </c:pt>
                <c:pt idx="5">
                  <c:v>يونيو 2026</c:v>
                </c:pt>
              </c:strCache>
            </c:strRef>
          </c:cat>
          <c:val>
            <c:numRef>
              <c:f>حسابات!$K$2:$K$7</c:f>
              <c:numCache>
                <c:formatCode>General</c:formatCode>
                <c:ptCount val="6"/>
                <c:pt idx="0">
                  <c:v>2.85</c:v>
                </c:pt>
                <c:pt idx="1">
                  <c:v>2.92</c:v>
                </c:pt>
                <c:pt idx="2">
                  <c:v>3.05</c:v>
                </c:pt>
                <c:pt idx="3">
                  <c:v>2.88</c:v>
                </c:pt>
                <c:pt idx="4">
                  <c:v>2.8</c:v>
                </c:pt>
                <c:pt idx="5">
                  <c:v>2.95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حسابات!L1</c:f>
              <c:strCache>
                <c:ptCount val="1"/>
                <c:pt idx="0">
                  <c:v>MK008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حسابات!$I$2:$I$7</c:f>
              <c:strCache>
                <c:ptCount val="6"/>
                <c:pt idx="0">
                  <c:v>يناير 2026</c:v>
                </c:pt>
                <c:pt idx="1">
                  <c:v>فبراير 2026</c:v>
                </c:pt>
                <c:pt idx="2">
                  <c:v>مارس 2026</c:v>
                </c:pt>
                <c:pt idx="3">
                  <c:v>أبريل 2026</c:v>
                </c:pt>
                <c:pt idx="4">
                  <c:v>مايو 2026</c:v>
                </c:pt>
                <c:pt idx="5">
                  <c:v>يونيو 2026</c:v>
                </c:pt>
              </c:strCache>
            </c:strRef>
          </c:cat>
          <c:val>
            <c:numRef>
              <c:f>حسابات!$L$2:$L$7</c:f>
              <c:numCache>
                <c:formatCode>General</c:formatCode>
                <c:ptCount val="6"/>
                <c:pt idx="0">
                  <c:v>0.98</c:v>
                </c:pt>
                <c:pt idx="1">
                  <c:v>0.95</c:v>
                </c:pt>
                <c:pt idx="2">
                  <c:v>1.02</c:v>
                </c:pt>
                <c:pt idx="3">
                  <c:v>0.93</c:v>
                </c:pt>
                <c:pt idx="4">
                  <c:v>0.9</c:v>
                </c:pt>
                <c:pt idx="5">
                  <c:v>0.96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218858"/>
        <c:axId val="34873189"/>
      </c:lineChart>
      <c:catAx>
        <c:axId val="262188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873189"/>
        <c:crosses val="autoZero"/>
        <c:auto val="1"/>
        <c:lblAlgn val="ctr"/>
        <c:lblOffset val="100"/>
        <c:noMultiLvlLbl val="0"/>
      </c:catAx>
      <c:valAx>
        <c:axId val="34873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188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خط أنابيب المبيعات حسب القناة (ر.س/شهر)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حسابات!O1</c:f>
              <c:strCache>
                <c:ptCount val="1"/>
                <c:pt idx="0">
                  <c:v>القيمة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حسابات!$N$2:$N$5</c:f>
              <c:strCache>
                <c:ptCount val="4"/>
                <c:pt idx="0">
                  <c:v>⛽ وقود أسطول</c:v>
                </c:pt>
                <c:pt idx="1">
                  <c:v>🏪 تأجير</c:v>
                </c:pt>
                <c:pt idx="2">
                  <c:v>🤝 شراكة</c:v>
                </c:pt>
                <c:pt idx="3">
                  <c:v>🔄 بيع متقاطع</c:v>
                </c:pt>
              </c:strCache>
            </c:strRef>
          </c:cat>
          <c:val>
            <c:numRef>
              <c:f>حسابات!$O$2:$O$5</c:f>
              <c:numCache>
                <c:formatCode>General</c:formatCode>
                <c:ptCount val="4"/>
                <c:pt idx="0">
                  <c:v>221000</c:v>
                </c:pt>
                <c:pt idx="1">
                  <c:v>128000</c:v>
                </c:pt>
                <c:pt idx="2">
                  <c:v>20000</c:v>
                </c:pt>
                <c:pt idx="3">
                  <c:v>16000</c:v>
                </c:pt>
              </c:numCache>
            </c:numRef>
          </c:val>
        </c:ser>
        <c:gapWidth val="60"/>
        <c:overlap val="0"/>
        <c:axId val="13745617"/>
        <c:axId val="77673674"/>
      </c:barChart>
      <c:catAx>
        <c:axId val="13745617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73674"/>
        <c:crosses val="autoZero"/>
        <c:auto val="1"/>
        <c:lblAlgn val="ctr"/>
        <c:lblOffset val="100"/>
        <c:noMultiLvlLbl val="0"/>
      </c:catAx>
      <c:valAx>
        <c:axId val="776736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74561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إجمالي مبيعات المستأجرين شهرياً (ر.س)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حسابات!R1</c:f>
              <c:strCache>
                <c:ptCount val="1"/>
                <c:pt idx="0">
                  <c:v>مبيعات المستأجرين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حسابات!$Q$2:$Q$7</c:f>
              <c:strCache>
                <c:ptCount val="6"/>
                <c:pt idx="0">
                  <c:v>يناير 2026</c:v>
                </c:pt>
                <c:pt idx="1">
                  <c:v>فبراير 2026</c:v>
                </c:pt>
                <c:pt idx="2">
                  <c:v>مارس 2026</c:v>
                </c:pt>
                <c:pt idx="3">
                  <c:v>أبريل 2026</c:v>
                </c:pt>
                <c:pt idx="4">
                  <c:v>مايو 2026</c:v>
                </c:pt>
                <c:pt idx="5">
                  <c:v>يونيو 2026</c:v>
                </c:pt>
              </c:strCache>
            </c:strRef>
          </c:cat>
          <c:val>
            <c:numRef>
              <c:f>حسابات!$R$2:$R$7</c:f>
              <c:numCache>
                <c:formatCode>General</c:formatCode>
                <c:ptCount val="6"/>
                <c:pt idx="0">
                  <c:v>331000</c:v>
                </c:pt>
                <c:pt idx="1">
                  <c:v>352000</c:v>
                </c:pt>
                <c:pt idx="2">
                  <c:v>367000</c:v>
                </c:pt>
                <c:pt idx="3">
                  <c:v>335000</c:v>
                </c:pt>
                <c:pt idx="4">
                  <c:v>352000</c:v>
                </c:pt>
                <c:pt idx="5">
                  <c:v>379000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235286"/>
        <c:axId val="13936068"/>
      </c:lineChart>
      <c:catAx>
        <c:axId val="222352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36068"/>
        <c:crosses val="autoZero"/>
        <c:auto val="1"/>
        <c:lblAlgn val="ctr"/>
        <c:lblOffset val="100"/>
        <c:noMultiLvlLbl val="0"/>
      </c:catAx>
      <c:valAx>
        <c:axId val="13936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352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-330120</xdr:colOff>
      <xdr:row>9</xdr:row>
      <xdr:rowOff>0</xdr:rowOff>
    </xdr:from>
    <xdr:to>
      <xdr:col>6</xdr:col>
      <xdr:colOff>0</xdr:colOff>
      <xdr:row>23</xdr:row>
      <xdr:rowOff>32760</xdr:rowOff>
    </xdr:to>
    <xdr:graphicFrame>
      <xdr:nvGraphicFramePr>
        <xdr:cNvPr id="0" name="Chart 1"/>
        <xdr:cNvGraphicFramePr/>
      </xdr:nvGraphicFramePr>
      <xdr:xfrm>
        <a:off x="-5486400" y="2390760"/>
        <a:ext cx="52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-407880</xdr:colOff>
      <xdr:row>9</xdr:row>
      <xdr:rowOff>0</xdr:rowOff>
    </xdr:from>
    <xdr:to>
      <xdr:col>11</xdr:col>
      <xdr:colOff>0</xdr:colOff>
      <xdr:row>23</xdr:row>
      <xdr:rowOff>32760</xdr:rowOff>
    </xdr:to>
    <xdr:graphicFrame>
      <xdr:nvGraphicFramePr>
        <xdr:cNvPr id="1" name="Chart 2"/>
        <xdr:cNvGraphicFramePr/>
      </xdr:nvGraphicFramePr>
      <xdr:xfrm>
        <a:off x="-10453680" y="239076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-330120</xdr:colOff>
      <xdr:row>25</xdr:row>
      <xdr:rowOff>0</xdr:rowOff>
    </xdr:from>
    <xdr:to>
      <xdr:col>6</xdr:col>
      <xdr:colOff>0</xdr:colOff>
      <xdr:row>39</xdr:row>
      <xdr:rowOff>32760</xdr:rowOff>
    </xdr:to>
    <xdr:graphicFrame>
      <xdr:nvGraphicFramePr>
        <xdr:cNvPr id="2" name="Chart 3"/>
        <xdr:cNvGraphicFramePr/>
      </xdr:nvGraphicFramePr>
      <xdr:xfrm>
        <a:off x="-5486400" y="5438880"/>
        <a:ext cx="52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-407880</xdr:colOff>
      <xdr:row>25</xdr:row>
      <xdr:rowOff>0</xdr:rowOff>
    </xdr:from>
    <xdr:to>
      <xdr:col>11</xdr:col>
      <xdr:colOff>0</xdr:colOff>
      <xdr:row>39</xdr:row>
      <xdr:rowOff>32760</xdr:rowOff>
    </xdr:to>
    <xdr:graphicFrame>
      <xdr:nvGraphicFramePr>
        <xdr:cNvPr id="3" name="Chart 4"/>
        <xdr:cNvGraphicFramePr/>
      </xdr:nvGraphicFramePr>
      <xdr:xfrm>
        <a:off x="-10453680" y="5438880"/>
        <a:ext cx="43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-918720</xdr:colOff>
      <xdr:row>41</xdr:row>
      <xdr:rowOff>0</xdr:rowOff>
    </xdr:from>
    <xdr:to>
      <xdr:col>10</xdr:col>
      <xdr:colOff>0</xdr:colOff>
      <xdr:row>55</xdr:row>
      <xdr:rowOff>32400</xdr:rowOff>
    </xdr:to>
    <xdr:graphicFrame>
      <xdr:nvGraphicFramePr>
        <xdr:cNvPr id="4" name="Chart 5"/>
        <xdr:cNvGraphicFramePr/>
      </xdr:nvGraphicFramePr>
      <xdr:xfrm>
        <a:off x="-9986400" y="8486640"/>
        <a:ext cx="97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F1" s="0" t="s">
        <v>4</v>
      </c>
      <c r="G1" s="0" t="s">
        <v>5</v>
      </c>
      <c r="I1" s="0" t="s">
        <v>6</v>
      </c>
      <c r="J1" s="0" t="s">
        <v>7</v>
      </c>
      <c r="K1" s="0" t="s">
        <v>8</v>
      </c>
      <c r="L1" s="0" t="s">
        <v>9</v>
      </c>
      <c r="N1" s="0" t="s">
        <v>10</v>
      </c>
      <c r="O1" s="0" t="s">
        <v>11</v>
      </c>
      <c r="Q1" s="0" t="s">
        <v>6</v>
      </c>
      <c r="R1" s="0" t="s">
        <v>12</v>
      </c>
    </row>
    <row r="2" customFormat="false" ht="15" hidden="false" customHeight="false" outlineLevel="0" collapsed="false">
      <c r="A2" s="0" t="s">
        <v>13</v>
      </c>
      <c r="B2" s="0" t="n">
        <v>679332</v>
      </c>
      <c r="C2" s="0" t="n">
        <v>127775</v>
      </c>
      <c r="D2" s="0" t="n">
        <v>5.32</v>
      </c>
      <c r="F2" s="0" t="s">
        <v>14</v>
      </c>
      <c r="G2" s="0" t="n">
        <v>3400865</v>
      </c>
      <c r="I2" s="0" t="s">
        <v>15</v>
      </c>
      <c r="J2" s="0" t="n">
        <v>4.25</v>
      </c>
      <c r="K2" s="0" t="n">
        <v>2.85</v>
      </c>
      <c r="L2" s="0" t="n">
        <v>0.98</v>
      </c>
      <c r="N2" s="0" t="s">
        <v>16</v>
      </c>
      <c r="O2" s="0" t="n">
        <v>221000</v>
      </c>
      <c r="Q2" s="0" t="s">
        <v>15</v>
      </c>
      <c r="R2" s="0" t="n">
        <v>331000</v>
      </c>
    </row>
    <row r="3" customFormat="false" ht="15" hidden="false" customHeight="false" outlineLevel="0" collapsed="false">
      <c r="A3" s="0" t="s">
        <v>17</v>
      </c>
      <c r="B3" s="0" t="n">
        <v>390100</v>
      </c>
      <c r="C3" s="0" t="n">
        <v>106830</v>
      </c>
      <c r="D3" s="0" t="n">
        <v>3.65</v>
      </c>
      <c r="F3" s="0" t="s">
        <v>18</v>
      </c>
      <c r="G3" s="0" t="n">
        <v>3258240</v>
      </c>
      <c r="I3" s="0" t="s">
        <v>19</v>
      </c>
      <c r="J3" s="0" t="n">
        <v>4.17</v>
      </c>
      <c r="K3" s="0" t="n">
        <v>2.92</v>
      </c>
      <c r="L3" s="0" t="n">
        <v>0.95</v>
      </c>
      <c r="N3" s="0" t="s">
        <v>20</v>
      </c>
      <c r="O3" s="0" t="n">
        <v>128000</v>
      </c>
      <c r="Q3" s="0" t="s">
        <v>19</v>
      </c>
      <c r="R3" s="0" t="n">
        <v>352000</v>
      </c>
    </row>
    <row r="4" customFormat="false" ht="15" hidden="false" customHeight="false" outlineLevel="0" collapsed="false">
      <c r="A4" s="0" t="s">
        <v>21</v>
      </c>
      <c r="B4" s="0" t="n">
        <v>79250</v>
      </c>
      <c r="C4" s="0" t="n">
        <v>49290</v>
      </c>
      <c r="D4" s="0" t="n">
        <v>1.61</v>
      </c>
      <c r="F4" s="0" t="s">
        <v>22</v>
      </c>
      <c r="G4" s="0" t="n">
        <v>1125442</v>
      </c>
      <c r="I4" s="0" t="s">
        <v>23</v>
      </c>
      <c r="J4" s="0" t="n">
        <v>4.91</v>
      </c>
      <c r="K4" s="0" t="n">
        <v>3.05</v>
      </c>
      <c r="L4" s="0" t="n">
        <v>1.02</v>
      </c>
      <c r="N4" s="0" t="s">
        <v>24</v>
      </c>
      <c r="O4" s="0" t="n">
        <v>20000</v>
      </c>
      <c r="Q4" s="0" t="s">
        <v>23</v>
      </c>
      <c r="R4" s="0" t="n">
        <v>367000</v>
      </c>
    </row>
    <row r="5" customFormat="false" ht="15" hidden="false" customHeight="false" outlineLevel="0" collapsed="false">
      <c r="I5" s="0" t="s">
        <v>25</v>
      </c>
      <c r="J5" s="0" t="n">
        <v>3.6</v>
      </c>
      <c r="K5" s="0" t="n">
        <v>2.88</v>
      </c>
      <c r="L5" s="0" t="n">
        <v>0.93</v>
      </c>
      <c r="N5" s="0" t="s">
        <v>26</v>
      </c>
      <c r="O5" s="0" t="n">
        <v>16000</v>
      </c>
      <c r="Q5" s="0" t="s">
        <v>25</v>
      </c>
      <c r="R5" s="0" t="n">
        <v>335000</v>
      </c>
    </row>
    <row r="6" customFormat="false" ht="15" hidden="false" customHeight="false" outlineLevel="0" collapsed="false">
      <c r="I6" s="0" t="s">
        <v>27</v>
      </c>
      <c r="J6" s="0" t="n">
        <v>3.13</v>
      </c>
      <c r="K6" s="0" t="n">
        <v>2.8</v>
      </c>
      <c r="L6" s="0" t="n">
        <v>0.9</v>
      </c>
      <c r="Q6" s="0" t="s">
        <v>27</v>
      </c>
      <c r="R6" s="0" t="n">
        <v>352000</v>
      </c>
    </row>
    <row r="7" customFormat="false" ht="15" hidden="false" customHeight="false" outlineLevel="0" collapsed="false">
      <c r="I7" s="0" t="s">
        <v>28</v>
      </c>
      <c r="J7" s="0" t="n">
        <v>3.43</v>
      </c>
      <c r="K7" s="0" t="n">
        <v>2.95</v>
      </c>
      <c r="L7" s="0" t="n">
        <v>0.96</v>
      </c>
      <c r="Q7" s="0" t="s">
        <v>28</v>
      </c>
      <c r="R7" s="0" t="n">
        <v>379000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C27"/>
  <sheetViews>
    <sheetView showFormulas="false" showGridLines="false" showRowColHeaders="true" showZeros="true" rightToLeft="true" tabSelected="tru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4"/>
    <col collapsed="false" customWidth="true" hidden="false" outlineLevel="0" max="3" min="3" style="0" width="32"/>
  </cols>
  <sheetData>
    <row r="1" customFormat="false" ht="33.75" hidden="false" customHeight="true" outlineLevel="0" collapsed="false">
      <c r="A1" s="1" t="s">
        <v>29</v>
      </c>
      <c r="B1" s="1"/>
      <c r="C1" s="1"/>
    </row>
    <row r="2" customFormat="false" ht="18" hidden="false" customHeight="true" outlineLevel="0" collapsed="false">
      <c r="A2" s="2" t="s">
        <v>30</v>
      </c>
      <c r="B2" s="2"/>
      <c r="C2" s="2"/>
    </row>
    <row r="4" customFormat="false" ht="30" hidden="false" customHeight="true" outlineLevel="0" collapsed="false">
      <c r="A4" s="3" t="s">
        <v>31</v>
      </c>
      <c r="B4" s="3" t="s">
        <v>32</v>
      </c>
      <c r="C4" s="3" t="s">
        <v>33</v>
      </c>
    </row>
    <row r="5" customFormat="false" ht="25.5" hidden="false" customHeight="true" outlineLevel="0" collapsed="false">
      <c r="A5" s="4" t="s">
        <v>34</v>
      </c>
      <c r="B5" s="5" t="s">
        <v>35</v>
      </c>
      <c r="C5" s="6" t="s">
        <v>36</v>
      </c>
    </row>
    <row r="6" customFormat="false" ht="25.5" hidden="false" customHeight="true" outlineLevel="0" collapsed="false">
      <c r="A6" s="7" t="s">
        <v>37</v>
      </c>
      <c r="B6" s="8" t="s">
        <v>38</v>
      </c>
      <c r="C6" s="9" t="s">
        <v>39</v>
      </c>
    </row>
    <row r="7" customFormat="false" ht="25.5" hidden="false" customHeight="true" outlineLevel="0" collapsed="false">
      <c r="A7" s="4" t="s">
        <v>39</v>
      </c>
      <c r="B7" s="5" t="s">
        <v>40</v>
      </c>
      <c r="C7" s="6" t="s">
        <v>41</v>
      </c>
    </row>
    <row r="8" customFormat="false" ht="25.5" hidden="false" customHeight="true" outlineLevel="0" collapsed="false">
      <c r="A8" s="7" t="s">
        <v>42</v>
      </c>
      <c r="B8" s="8" t="s">
        <v>43</v>
      </c>
      <c r="C8" s="9" t="s">
        <v>44</v>
      </c>
    </row>
    <row r="9" customFormat="false" ht="25.5" hidden="false" customHeight="true" outlineLevel="0" collapsed="false">
      <c r="A9" s="4" t="s">
        <v>45</v>
      </c>
      <c r="B9" s="5" t="s">
        <v>46</v>
      </c>
      <c r="C9" s="6" t="s">
        <v>47</v>
      </c>
    </row>
    <row r="10" customFormat="false" ht="25.5" hidden="false" customHeight="true" outlineLevel="0" collapsed="false">
      <c r="A10" s="7" t="s">
        <v>48</v>
      </c>
      <c r="B10" s="8" t="s">
        <v>49</v>
      </c>
      <c r="C10" s="9" t="s">
        <v>50</v>
      </c>
    </row>
    <row r="11" customFormat="false" ht="25.5" hidden="false" customHeight="true" outlineLevel="0" collapsed="false">
      <c r="A11" s="4" t="s">
        <v>51</v>
      </c>
      <c r="B11" s="5" t="s">
        <v>52</v>
      </c>
      <c r="C11" s="6" t="s">
        <v>53</v>
      </c>
    </row>
    <row r="12" customFormat="false" ht="25.5" hidden="false" customHeight="true" outlineLevel="0" collapsed="false">
      <c r="A12" s="7" t="s">
        <v>12</v>
      </c>
      <c r="B12" s="8" t="s">
        <v>54</v>
      </c>
      <c r="C12" s="9" t="s">
        <v>55</v>
      </c>
    </row>
    <row r="13" customFormat="false" ht="25.5" hidden="false" customHeight="true" outlineLevel="0" collapsed="false">
      <c r="A13" s="4" t="s">
        <v>56</v>
      </c>
      <c r="B13" s="5" t="s">
        <v>57</v>
      </c>
      <c r="C13" s="6" t="s">
        <v>58</v>
      </c>
    </row>
    <row r="14" customFormat="false" ht="25.5" hidden="false" customHeight="true" outlineLevel="0" collapsed="false">
      <c r="A14" s="7" t="s">
        <v>59</v>
      </c>
      <c r="B14" s="8" t="s">
        <v>60</v>
      </c>
      <c r="C14" s="9" t="s">
        <v>61</v>
      </c>
    </row>
    <row r="15" customFormat="false" ht="25.5" hidden="false" customHeight="true" outlineLevel="0" collapsed="false">
      <c r="A15" s="4" t="s">
        <v>62</v>
      </c>
      <c r="B15" s="5" t="s">
        <v>63</v>
      </c>
      <c r="C15" s="6" t="s">
        <v>64</v>
      </c>
    </row>
    <row r="16" customFormat="false" ht="25.5" hidden="false" customHeight="true" outlineLevel="0" collapsed="false">
      <c r="A16" s="7" t="s">
        <v>65</v>
      </c>
      <c r="B16" s="8" t="s">
        <v>66</v>
      </c>
      <c r="C16" s="9" t="s">
        <v>67</v>
      </c>
    </row>
    <row r="17" customFormat="false" ht="25.5" hidden="false" customHeight="true" outlineLevel="0" collapsed="false">
      <c r="A17" s="4" t="s">
        <v>68</v>
      </c>
      <c r="B17" s="5" t="s">
        <v>69</v>
      </c>
      <c r="C17" s="6" t="s">
        <v>70</v>
      </c>
    </row>
    <row r="20" customFormat="false" ht="15" hidden="false" customHeight="false" outlineLevel="0" collapsed="false">
      <c r="A20" s="10" t="s">
        <v>71</v>
      </c>
    </row>
    <row r="21" customFormat="false" ht="30" hidden="false" customHeight="true" outlineLevel="0" collapsed="false">
      <c r="A21" s="3" t="s">
        <v>72</v>
      </c>
      <c r="B21" s="3" t="s">
        <v>73</v>
      </c>
      <c r="C21" s="3" t="s">
        <v>74</v>
      </c>
    </row>
    <row r="22" customFormat="false" ht="15" hidden="false" customHeight="false" outlineLevel="0" collapsed="false">
      <c r="A22" s="11" t="s">
        <v>75</v>
      </c>
      <c r="B22" s="12" t="s">
        <v>76</v>
      </c>
      <c r="C22" s="13" t="s">
        <v>77</v>
      </c>
    </row>
    <row r="23" customFormat="false" ht="15" hidden="false" customHeight="false" outlineLevel="0" collapsed="false">
      <c r="A23" s="14" t="s">
        <v>78</v>
      </c>
      <c r="B23" s="12" t="s">
        <v>79</v>
      </c>
      <c r="C23" s="13" t="s">
        <v>80</v>
      </c>
    </row>
    <row r="24" customFormat="false" ht="15" hidden="false" customHeight="false" outlineLevel="0" collapsed="false">
      <c r="A24" s="15" t="s">
        <v>81</v>
      </c>
      <c r="B24" s="12" t="s">
        <v>82</v>
      </c>
      <c r="C24" s="13" t="s">
        <v>83</v>
      </c>
    </row>
    <row r="25" customFormat="false" ht="15" hidden="false" customHeight="false" outlineLevel="0" collapsed="false">
      <c r="A25" s="16" t="s">
        <v>84</v>
      </c>
      <c r="B25" s="12" t="s">
        <v>85</v>
      </c>
      <c r="C25" s="13" t="s">
        <v>86</v>
      </c>
    </row>
    <row r="27" customFormat="false" ht="12.65" hidden="false" customHeight="false" outlineLevel="0" collapsed="false">
      <c r="A27" s="17" t="s">
        <v>87</v>
      </c>
      <c r="B27" s="17"/>
      <c r="C27" s="17"/>
    </row>
  </sheetData>
  <mergeCells count="3">
    <mergeCell ref="A1:C1"/>
    <mergeCell ref="A2:C2"/>
    <mergeCell ref="A27:C27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1C1E"/>
    <pageSetUpPr fitToPage="true"/>
  </sheetPr>
  <dimension ref="A1:M5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2" min="2" style="0" width="11"/>
    <col collapsed="false" customWidth="true" hidden="false" outlineLevel="0" max="13" min="13" style="0" width="3"/>
  </cols>
  <sheetData>
    <row r="1" customFormat="false" ht="33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B4" s="18" t="n">
        <v>3</v>
      </c>
      <c r="C4" s="18"/>
      <c r="D4" s="19" t="n">
        <v>283895</v>
      </c>
      <c r="E4" s="19"/>
      <c r="F4" s="20" t="n">
        <v>1148682</v>
      </c>
      <c r="G4" s="20"/>
      <c r="H4" s="21" t="n">
        <v>4.05</v>
      </c>
      <c r="I4" s="21"/>
      <c r="J4" s="22" t="n">
        <v>385000</v>
      </c>
      <c r="K4" s="22"/>
      <c r="L4" s="22"/>
    </row>
    <row r="5" customFormat="false" ht="15.75" hidden="false" customHeight="true" outlineLevel="0" collapsed="false">
      <c r="B5" s="23" t="s">
        <v>90</v>
      </c>
      <c r="C5" s="23"/>
      <c r="D5" s="23" t="s">
        <v>91</v>
      </c>
      <c r="E5" s="23"/>
      <c r="F5" s="23" t="s">
        <v>92</v>
      </c>
      <c r="G5" s="23"/>
      <c r="H5" s="23" t="s">
        <v>93</v>
      </c>
      <c r="I5" s="23"/>
      <c r="J5" s="23" t="s">
        <v>94</v>
      </c>
      <c r="K5" s="23"/>
      <c r="L5" s="23"/>
    </row>
    <row r="7" customFormat="false" ht="30" hidden="false" customHeight="true" outlineLevel="0" collapsed="false">
      <c r="B7" s="19" t="n">
        <v>358000</v>
      </c>
      <c r="C7" s="19"/>
      <c r="D7" s="18" t="n">
        <v>21</v>
      </c>
      <c r="E7" s="18"/>
      <c r="F7" s="24" t="n">
        <v>8</v>
      </c>
      <c r="G7" s="24"/>
      <c r="H7" s="20" t="n">
        <v>7784547</v>
      </c>
      <c r="I7" s="20"/>
      <c r="J7" s="22" t="n">
        <v>283895</v>
      </c>
      <c r="K7" s="22"/>
      <c r="L7" s="22"/>
    </row>
    <row r="8" customFormat="false" ht="15.75" hidden="false" customHeight="true" outlineLevel="0" collapsed="false">
      <c r="B8" s="23" t="s">
        <v>95</v>
      </c>
      <c r="C8" s="23"/>
      <c r="D8" s="23" t="s">
        <v>96</v>
      </c>
      <c r="E8" s="23"/>
      <c r="F8" s="23" t="s">
        <v>97</v>
      </c>
      <c r="G8" s="23"/>
      <c r="H8" s="23" t="s">
        <v>98</v>
      </c>
      <c r="I8" s="23"/>
      <c r="J8" s="23" t="s">
        <v>99</v>
      </c>
      <c r="K8" s="23"/>
      <c r="L8" s="23"/>
    </row>
    <row r="58" customFormat="false" ht="15" hidden="false" customHeight="false" outlineLevel="0" collapsed="false">
      <c r="B58" s="25" t="s">
        <v>100</v>
      </c>
      <c r="C58" s="25"/>
      <c r="D58" s="25"/>
      <c r="E58" s="25"/>
      <c r="F58" s="25"/>
      <c r="G58" s="25"/>
      <c r="H58" s="25"/>
      <c r="I58" s="25"/>
      <c r="J58" s="25"/>
      <c r="K58" s="25"/>
      <c r="L58" s="25"/>
    </row>
  </sheetData>
  <mergeCells count="23">
    <mergeCell ref="A1:M1"/>
    <mergeCell ref="A2:M2"/>
    <mergeCell ref="B4:C4"/>
    <mergeCell ref="D4:E4"/>
    <mergeCell ref="F4:G4"/>
    <mergeCell ref="H4:I4"/>
    <mergeCell ref="J4:L4"/>
    <mergeCell ref="B5:C5"/>
    <mergeCell ref="D5:E5"/>
    <mergeCell ref="F5:G5"/>
    <mergeCell ref="H5:I5"/>
    <mergeCell ref="J5:L5"/>
    <mergeCell ref="B7:C7"/>
    <mergeCell ref="D7:E7"/>
    <mergeCell ref="F7:G7"/>
    <mergeCell ref="H7:I7"/>
    <mergeCell ref="J7:L7"/>
    <mergeCell ref="B8:C8"/>
    <mergeCell ref="D8:E8"/>
    <mergeCell ref="F8:G8"/>
    <mergeCell ref="H8:I8"/>
    <mergeCell ref="J8:L8"/>
    <mergeCell ref="B58:L5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H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5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17"/>
  </cols>
  <sheetData>
    <row r="1" customFormat="false" ht="33.75" hidden="false" customHeight="true" outlineLevel="0" collapsed="false">
      <c r="A1" s="1" t="s">
        <v>37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101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102</v>
      </c>
      <c r="B4" s="3" t="s">
        <v>103</v>
      </c>
      <c r="C4" s="3" t="s">
        <v>104</v>
      </c>
      <c r="D4" s="3" t="s">
        <v>3</v>
      </c>
      <c r="E4" s="3" t="s">
        <v>105</v>
      </c>
      <c r="F4" s="3" t="s">
        <v>106</v>
      </c>
      <c r="G4" s="3" t="s">
        <v>107</v>
      </c>
      <c r="H4" s="3" t="s">
        <v>108</v>
      </c>
    </row>
    <row r="5" customFormat="false" ht="15" hidden="false" customHeight="false" outlineLevel="0" collapsed="false">
      <c r="A5" s="26" t="s">
        <v>7</v>
      </c>
      <c r="B5" s="27" t="s">
        <v>13</v>
      </c>
      <c r="C5" s="28" t="n">
        <f aca="false">'النموذج المالي'!C26</f>
        <v>127775</v>
      </c>
      <c r="D5" s="29" t="n">
        <f aca="false">'النموذج المالي'!C30</f>
        <v>5.31662727450597</v>
      </c>
      <c r="E5" s="30" t="n">
        <v>0.006</v>
      </c>
      <c r="F5" s="30" t="n">
        <v>0.05</v>
      </c>
      <c r="G5" s="31" t="n">
        <f aca="false">IFERROR('النموذج المالي'!C15/'النموذج المالي'!C21,"")</f>
        <v>1.32857142857143</v>
      </c>
      <c r="H5" s="28" t="n">
        <f aca="false">'النموذج المالي'!C29</f>
        <v>679332.05</v>
      </c>
    </row>
    <row r="6" customFormat="false" ht="15" hidden="false" customHeight="false" outlineLevel="0" collapsed="false">
      <c r="A6" s="26" t="s">
        <v>8</v>
      </c>
      <c r="B6" s="27" t="s">
        <v>17</v>
      </c>
      <c r="C6" s="28" t="n">
        <f aca="false">'النموذج المالي'!D26</f>
        <v>106830</v>
      </c>
      <c r="D6" s="29" t="n">
        <f aca="false">'النموذج المالي'!D30</f>
        <v>3.65159599363475</v>
      </c>
      <c r="E6" s="30" t="n">
        <v>0.005</v>
      </c>
      <c r="F6" s="30" t="n">
        <v>0.05</v>
      </c>
      <c r="G6" s="31" t="n">
        <f aca="false">IFERROR('النموذج المالي'!D15/'النموذج المالي'!D21,"")</f>
        <v>0.770731707317073</v>
      </c>
      <c r="H6" s="28" t="n">
        <f aca="false">'النموذج المالي'!D29</f>
        <v>390100</v>
      </c>
    </row>
    <row r="7" customFormat="false" ht="15" hidden="false" customHeight="false" outlineLevel="0" collapsed="false">
      <c r="A7" s="26" t="s">
        <v>9</v>
      </c>
      <c r="B7" s="27" t="s">
        <v>21</v>
      </c>
      <c r="C7" s="28" t="n">
        <f aca="false">'النموذج المالي'!E26</f>
        <v>49290</v>
      </c>
      <c r="D7" s="29" t="n">
        <f aca="false">'النموذج المالي'!E30</f>
        <v>1.60783120308379</v>
      </c>
      <c r="E7" s="30" t="n">
        <v>0.003</v>
      </c>
      <c r="F7" s="30" t="n">
        <v>0.05</v>
      </c>
      <c r="G7" s="31" t="n">
        <f aca="false">IFERROR('النموذج المالي'!E15/'النموذج المالي'!E21,"")</f>
        <v>0.507692307692308</v>
      </c>
      <c r="H7" s="28" t="n">
        <f aca="false">'النموذج المالي'!E29</f>
        <v>79250</v>
      </c>
    </row>
    <row r="8" customFormat="false" ht="21.75" hidden="false" customHeight="true" outlineLevel="0" collapsed="false">
      <c r="A8" s="32"/>
      <c r="B8" s="33" t="s">
        <v>109</v>
      </c>
      <c r="C8" s="34" t="n">
        <f aca="false">SUM(C5:C7)</f>
        <v>283895</v>
      </c>
      <c r="D8" s="35" t="n">
        <f aca="false">IFERROR(H8/C8,"")</f>
        <v>4.0461510417584</v>
      </c>
      <c r="E8" s="32"/>
      <c r="F8" s="32"/>
      <c r="G8" s="32"/>
      <c r="H8" s="34" t="n">
        <f aca="false">SUM(H5:H7)</f>
        <v>1148682.05</v>
      </c>
    </row>
    <row r="10" customFormat="false" ht="15" hidden="false" customHeight="false" outlineLevel="0" collapsed="false">
      <c r="B10" s="36" t="s">
        <v>110</v>
      </c>
      <c r="C10" s="37" t="n">
        <f aca="false">C8</f>
        <v>283895</v>
      </c>
      <c r="D10" s="38" t="s">
        <v>111</v>
      </c>
      <c r="E10" s="39"/>
      <c r="F10" s="39"/>
      <c r="G10" s="39"/>
      <c r="H10" s="39"/>
    </row>
  </sheetData>
  <mergeCells count="2">
    <mergeCell ref="A1:H1"/>
    <mergeCell ref="A2:H2"/>
  </mergeCells>
  <conditionalFormatting sqref="C5:C7">
    <cfRule type="dataBar" priority="2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{14B3593D-F57F-45C8-A517-6E62FA13F896}</x14:id>
        </ext>
      </extLst>
    </cfRule>
  </conditionalFormatting>
  <conditionalFormatting sqref="D5:D7">
    <cfRule type="colorScale" priority="3">
      <colorScale>
        <cfvo type="min" val="0"/>
        <cfvo type="max" val="0"/>
        <color rgb="FFFBE6E4"/>
        <color rgb="FFCDEBDA"/>
      </colorScale>
    </cfRule>
  </conditionalFormatting>
  <conditionalFormatting sqref="E5:E7">
    <cfRule type="cellIs" priority="4" operator="lessThan" aboveAverage="0" equalAverage="0" bottom="0" percent="0" rank="0" text="" dxfId="0">
      <formula>$F$5</formula>
    </cfRule>
    <cfRule type="cellIs" priority="5" operator="greaterThanOrEqual" aboveAverage="0" equalAverage="0" bottom="0" percent="0" rank="0" text="" dxfId="1">
      <formula>$F$5</formula>
    </cfRule>
  </conditionalFormatting>
  <conditionalFormatting sqref="G5:G7">
    <cfRule type="cellIs" priority="6" operator="greaterThanOrEqual" aboveAverage="0" equalAverage="0" bottom="0" percent="0" rank="0" text="" dxfId="1">
      <formula>1</formula>
    </cfRule>
    <cfRule type="cellIs" priority="7" operator="lessThan" aboveAverage="0" equalAverage="0" bottom="0" percent="0" rank="0" text="" dxfId="2">
      <formula>1</formula>
    </cfRule>
  </conditionalFormatting>
  <conditionalFormatting sqref="H5:H7">
    <cfRule type="dataBar" priority="8">
      <dataBar showValue="1" minLength="10" maxLength="90">
        <cfvo type="num" val="0"/>
        <cfvo type="max" val="0"/>
        <color rgb="FF2E8B57"/>
      </dataBar>
      <extLst>
        <ext xmlns:x14="http://schemas.microsoft.com/office/spreadsheetml/2009/9/main" uri="{B025F937-C7B1-47D3-B67F-A62EFF666E3E}">
          <x14:id>{13741616-2150-48AA-A3C5-C832E65D3723}</x14:id>
        </ext>
      </extLst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B3593D-F57F-45C8-A517-6E62FA13F896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C5:C7</xm:sqref>
        </x14:conditionalFormatting>
        <x14:conditionalFormatting xmlns:xm="http://schemas.microsoft.com/office/excel/2006/main">
          <x14:cfRule type="dataBar" id="{13741616-2150-48AA-A3C5-C832E65D3723}">
            <x14:dataBar minLength="10" maxLength="90" axisPosition="none" gradient="true">
              <x14:cfvo type="num">
                <xm:f>0</xm:f>
              </x14:cfvo>
              <x14:cfvo type="max"/>
              <x14:negativeFillColor rgb="FF2E8B57"/>
              <x14:axisColor rgb="FF000000"/>
            </x14:dataBar>
          </x14:cfRule>
          <xm:sqref>H5:H7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F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6" min="3" style="0" width="18"/>
  </cols>
  <sheetData>
    <row r="1" customFormat="false" ht="33.75" hidden="false" customHeight="true" outlineLevel="0" collapsed="false">
      <c r="A1" s="1" t="s">
        <v>112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113</v>
      </c>
      <c r="B2" s="2"/>
      <c r="C2" s="2"/>
      <c r="D2" s="2"/>
      <c r="E2" s="2"/>
      <c r="F2" s="2"/>
    </row>
    <row r="4" customFormat="false" ht="33.75" hidden="false" customHeight="true" outlineLevel="0" collapsed="false">
      <c r="A4" s="40" t="s">
        <v>114</v>
      </c>
      <c r="B4" s="40" t="s">
        <v>115</v>
      </c>
      <c r="C4" s="3" t="s">
        <v>116</v>
      </c>
      <c r="D4" s="3" t="s">
        <v>117</v>
      </c>
      <c r="E4" s="3" t="s">
        <v>118</v>
      </c>
      <c r="F4" s="41" t="s">
        <v>109</v>
      </c>
    </row>
    <row r="5" customFormat="false" ht="19.5" hidden="false" customHeight="true" outlineLevel="0" collapsed="false">
      <c r="A5" s="42" t="s">
        <v>119</v>
      </c>
      <c r="B5" s="32"/>
      <c r="C5" s="32"/>
      <c r="D5" s="32"/>
      <c r="E5" s="32"/>
      <c r="F5" s="32"/>
    </row>
    <row r="6" customFormat="false" ht="15" hidden="false" customHeight="false" outlineLevel="0" collapsed="false">
      <c r="A6" s="12" t="s">
        <v>120</v>
      </c>
      <c r="B6" s="43" t="s">
        <v>5</v>
      </c>
      <c r="C6" s="44" t="n">
        <v>3915547</v>
      </c>
      <c r="D6" s="44" t="n">
        <v>2914000</v>
      </c>
      <c r="E6" s="44" t="n">
        <v>955000</v>
      </c>
      <c r="F6" s="45"/>
    </row>
    <row r="7" customFormat="false" ht="15" hidden="false" customHeight="false" outlineLevel="0" collapsed="false">
      <c r="A7" s="12" t="s">
        <v>121</v>
      </c>
      <c r="B7" s="43" t="s">
        <v>122</v>
      </c>
      <c r="C7" s="46" t="n">
        <v>0.15</v>
      </c>
      <c r="D7" s="46" t="n">
        <v>0.15</v>
      </c>
      <c r="E7" s="46" t="n">
        <v>0.15</v>
      </c>
      <c r="F7" s="45"/>
    </row>
    <row r="8" customFormat="false" ht="15" hidden="false" customHeight="false" outlineLevel="0" collapsed="false">
      <c r="A8" s="47" t="s">
        <v>123</v>
      </c>
      <c r="B8" s="43" t="s">
        <v>124</v>
      </c>
      <c r="C8" s="48" t="n">
        <f aca="false">C6*C7</f>
        <v>587332.05</v>
      </c>
      <c r="D8" s="48" t="n">
        <f aca="false">D6*D7</f>
        <v>437100</v>
      </c>
      <c r="E8" s="48" t="n">
        <f aca="false">E6*E7</f>
        <v>143250</v>
      </c>
      <c r="F8" s="49" t="n">
        <f aca="false">C8+D8+E8</f>
        <v>1167682.05</v>
      </c>
    </row>
    <row r="9" customFormat="false" ht="19.5" hidden="false" customHeight="true" outlineLevel="0" collapsed="false">
      <c r="A9" s="42" t="s">
        <v>125</v>
      </c>
      <c r="B9" s="32"/>
      <c r="C9" s="32"/>
      <c r="D9" s="32"/>
      <c r="E9" s="32"/>
      <c r="F9" s="32"/>
    </row>
    <row r="10" customFormat="false" ht="15" hidden="false" customHeight="false" outlineLevel="0" collapsed="false">
      <c r="A10" s="12" t="s">
        <v>126</v>
      </c>
      <c r="B10" s="43" t="s">
        <v>127</v>
      </c>
      <c r="C10" s="44" t="n">
        <v>35</v>
      </c>
      <c r="D10" s="44" t="n">
        <v>20</v>
      </c>
      <c r="E10" s="44" t="n">
        <v>12</v>
      </c>
      <c r="F10" s="45"/>
    </row>
    <row r="11" customFormat="false" ht="15" hidden="false" customHeight="false" outlineLevel="0" collapsed="false">
      <c r="A11" s="12" t="s">
        <v>128</v>
      </c>
      <c r="B11" s="43" t="s">
        <v>129</v>
      </c>
      <c r="C11" s="44" t="n">
        <v>90</v>
      </c>
      <c r="D11" s="44" t="n">
        <v>70</v>
      </c>
      <c r="E11" s="44" t="n">
        <v>60</v>
      </c>
      <c r="F11" s="45"/>
    </row>
    <row r="12" customFormat="false" ht="15" hidden="false" customHeight="false" outlineLevel="0" collapsed="false">
      <c r="A12" s="12" t="s">
        <v>130</v>
      </c>
      <c r="B12" s="43" t="s">
        <v>124</v>
      </c>
      <c r="C12" s="44" t="n">
        <v>8000</v>
      </c>
      <c r="D12" s="44" t="n">
        <v>7000</v>
      </c>
      <c r="E12" s="44" t="n">
        <v>5000</v>
      </c>
      <c r="F12" s="45"/>
    </row>
    <row r="13" customFormat="false" ht="15" hidden="false" customHeight="false" outlineLevel="0" collapsed="false">
      <c r="A13" s="12" t="s">
        <v>131</v>
      </c>
      <c r="B13" s="43" t="s">
        <v>124</v>
      </c>
      <c r="C13" s="44" t="n">
        <v>120000</v>
      </c>
      <c r="D13" s="44" t="n">
        <v>60000</v>
      </c>
      <c r="E13" s="44" t="n">
        <v>30000</v>
      </c>
      <c r="F13" s="45"/>
    </row>
    <row r="14" customFormat="false" ht="15" hidden="false" customHeight="false" outlineLevel="0" collapsed="false">
      <c r="A14" s="47" t="s">
        <v>132</v>
      </c>
      <c r="B14" s="43" t="s">
        <v>124</v>
      </c>
      <c r="C14" s="48" t="n">
        <f aca="false">C10*C11/100*C12</f>
        <v>252000</v>
      </c>
      <c r="D14" s="48" t="n">
        <f aca="false">D10*D11/100*D12</f>
        <v>98000</v>
      </c>
      <c r="E14" s="48" t="n">
        <f aca="false">E10*E11/100*E12</f>
        <v>36000</v>
      </c>
      <c r="F14" s="49" t="n">
        <f aca="false">C14+D14+E14</f>
        <v>386000</v>
      </c>
    </row>
    <row r="15" customFormat="false" ht="15" hidden="false" customHeight="false" outlineLevel="0" collapsed="false">
      <c r="A15" s="47" t="s">
        <v>133</v>
      </c>
      <c r="B15" s="43" t="s">
        <v>124</v>
      </c>
      <c r="C15" s="48" t="n">
        <f aca="false">C14+C13</f>
        <v>372000</v>
      </c>
      <c r="D15" s="48" t="n">
        <f aca="false">D14+D13</f>
        <v>158000</v>
      </c>
      <c r="E15" s="48" t="n">
        <f aca="false">E14+E13</f>
        <v>66000</v>
      </c>
      <c r="F15" s="49" t="n">
        <f aca="false">C15+D15+E15</f>
        <v>596000</v>
      </c>
    </row>
    <row r="16" customFormat="false" ht="19.5" hidden="false" customHeight="true" outlineLevel="0" collapsed="false">
      <c r="A16" s="42" t="s">
        <v>134</v>
      </c>
      <c r="B16" s="32"/>
      <c r="C16" s="32"/>
      <c r="D16" s="32"/>
      <c r="E16" s="32"/>
      <c r="F16" s="32"/>
    </row>
    <row r="17" customFormat="false" ht="15" hidden="false" customHeight="false" outlineLevel="0" collapsed="false">
      <c r="A17" s="12" t="s">
        <v>135</v>
      </c>
      <c r="B17" s="43" t="s">
        <v>124</v>
      </c>
      <c r="C17" s="44" t="n">
        <v>120000</v>
      </c>
      <c r="D17" s="44" t="n">
        <v>90000</v>
      </c>
      <c r="E17" s="44" t="n">
        <v>60000</v>
      </c>
      <c r="F17" s="45"/>
    </row>
    <row r="18" customFormat="false" ht="15" hidden="false" customHeight="false" outlineLevel="0" collapsed="false">
      <c r="A18" s="12" t="s">
        <v>136</v>
      </c>
      <c r="B18" s="43" t="s">
        <v>124</v>
      </c>
      <c r="C18" s="44" t="n">
        <v>80000</v>
      </c>
      <c r="D18" s="44" t="n">
        <v>60000</v>
      </c>
      <c r="E18" s="44" t="n">
        <v>35000</v>
      </c>
      <c r="F18" s="45"/>
    </row>
    <row r="19" customFormat="false" ht="15" hidden="false" customHeight="false" outlineLevel="0" collapsed="false">
      <c r="A19" s="12" t="s">
        <v>137</v>
      </c>
      <c r="B19" s="43" t="s">
        <v>124</v>
      </c>
      <c r="C19" s="44" t="n">
        <v>40000</v>
      </c>
      <c r="D19" s="44" t="n">
        <v>30000</v>
      </c>
      <c r="E19" s="44" t="n">
        <v>20000</v>
      </c>
      <c r="F19" s="45"/>
    </row>
    <row r="20" customFormat="false" ht="15" hidden="false" customHeight="false" outlineLevel="0" collapsed="false">
      <c r="A20" s="12" t="s">
        <v>138</v>
      </c>
      <c r="B20" s="43" t="s">
        <v>124</v>
      </c>
      <c r="C20" s="44" t="n">
        <v>40000</v>
      </c>
      <c r="D20" s="44" t="n">
        <v>25000</v>
      </c>
      <c r="E20" s="44" t="n">
        <v>15000</v>
      </c>
      <c r="F20" s="45"/>
    </row>
    <row r="21" customFormat="false" ht="15" hidden="false" customHeight="false" outlineLevel="0" collapsed="false">
      <c r="A21" s="47" t="s">
        <v>139</v>
      </c>
      <c r="B21" s="43" t="s">
        <v>124</v>
      </c>
      <c r="C21" s="48" t="n">
        <f aca="false">SUM(C17:C20)</f>
        <v>280000</v>
      </c>
      <c r="D21" s="48" t="n">
        <f aca="false">SUM(D17:D20)</f>
        <v>205000</v>
      </c>
      <c r="E21" s="48" t="n">
        <f aca="false">SUM(E17:E20)</f>
        <v>130000</v>
      </c>
      <c r="F21" s="49" t="n">
        <f aca="false">C21+D21+E21</f>
        <v>615000</v>
      </c>
    </row>
    <row r="22" customFormat="false" ht="19.5" hidden="false" customHeight="true" outlineLevel="0" collapsed="false">
      <c r="A22" s="42" t="s">
        <v>140</v>
      </c>
      <c r="B22" s="32"/>
      <c r="C22" s="32"/>
      <c r="D22" s="32"/>
      <c r="E22" s="32"/>
      <c r="F22" s="32"/>
    </row>
    <row r="23" customFormat="false" ht="15" hidden="false" customHeight="false" outlineLevel="0" collapsed="false">
      <c r="A23" s="12" t="s">
        <v>141</v>
      </c>
      <c r="B23" s="43" t="s">
        <v>142</v>
      </c>
      <c r="C23" s="44" t="n">
        <v>30</v>
      </c>
      <c r="D23" s="44" t="n">
        <v>18</v>
      </c>
      <c r="E23" s="44" t="n">
        <v>10</v>
      </c>
      <c r="F23" s="45"/>
    </row>
    <row r="24" customFormat="false" ht="15" hidden="false" customHeight="false" outlineLevel="0" collapsed="false">
      <c r="A24" s="12" t="s">
        <v>143</v>
      </c>
      <c r="B24" s="43" t="s">
        <v>144</v>
      </c>
      <c r="C24" s="44" t="n">
        <v>300000</v>
      </c>
      <c r="D24" s="44" t="n">
        <v>180000</v>
      </c>
      <c r="E24" s="44" t="n">
        <v>90000</v>
      </c>
      <c r="F24" s="45"/>
    </row>
    <row r="25" customFormat="false" ht="15" hidden="false" customHeight="false" outlineLevel="0" collapsed="false">
      <c r="A25" s="12" t="s">
        <v>145</v>
      </c>
      <c r="B25" s="43" t="s">
        <v>146</v>
      </c>
      <c r="C25" s="44" t="n">
        <v>20</v>
      </c>
      <c r="D25" s="44" t="n">
        <v>12</v>
      </c>
      <c r="E25" s="44" t="n">
        <v>6</v>
      </c>
      <c r="F25" s="45"/>
    </row>
    <row r="26" customFormat="false" ht="15" hidden="false" customHeight="false" outlineLevel="0" collapsed="false">
      <c r="A26" s="12" t="s">
        <v>2</v>
      </c>
      <c r="B26" s="43" t="s">
        <v>147</v>
      </c>
      <c r="C26" s="44" t="n">
        <v>127775</v>
      </c>
      <c r="D26" s="44" t="n">
        <v>106830</v>
      </c>
      <c r="E26" s="44" t="n">
        <v>49290</v>
      </c>
      <c r="F26" s="45"/>
    </row>
    <row r="27" customFormat="false" ht="19.5" hidden="false" customHeight="true" outlineLevel="0" collapsed="false">
      <c r="A27" s="50" t="s">
        <v>148</v>
      </c>
      <c r="B27" s="51"/>
      <c r="C27" s="51"/>
      <c r="D27" s="51"/>
      <c r="E27" s="51"/>
      <c r="F27" s="51"/>
    </row>
    <row r="28" customFormat="false" ht="15" hidden="false" customHeight="false" outlineLevel="0" collapsed="false">
      <c r="A28" s="47" t="s">
        <v>149</v>
      </c>
      <c r="B28" s="43" t="s">
        <v>124</v>
      </c>
      <c r="C28" s="48" t="n">
        <f aca="false">C8+C15</f>
        <v>959332.05</v>
      </c>
      <c r="D28" s="48" t="n">
        <f aca="false">D8+D15</f>
        <v>595100</v>
      </c>
      <c r="E28" s="48" t="n">
        <f aca="false">E8+E15</f>
        <v>209250</v>
      </c>
      <c r="F28" s="49" t="n">
        <f aca="false">C28+D28+E28</f>
        <v>1763682.05</v>
      </c>
    </row>
    <row r="29" customFormat="false" ht="15" hidden="false" customHeight="false" outlineLevel="0" collapsed="false">
      <c r="A29" s="42" t="s">
        <v>150</v>
      </c>
      <c r="B29" s="52" t="s">
        <v>124</v>
      </c>
      <c r="C29" s="53" t="n">
        <f aca="false">C28-C21</f>
        <v>679332.05</v>
      </c>
      <c r="D29" s="53" t="n">
        <f aca="false">D28-D21</f>
        <v>390100</v>
      </c>
      <c r="E29" s="53" t="n">
        <f aca="false">E28-E21</f>
        <v>79250</v>
      </c>
      <c r="F29" s="53" t="n">
        <f aca="false">C29+D29+E29</f>
        <v>1148682.05</v>
      </c>
    </row>
    <row r="30" customFormat="false" ht="15" hidden="false" customHeight="false" outlineLevel="0" collapsed="false">
      <c r="A30" s="47" t="s">
        <v>151</v>
      </c>
      <c r="B30" s="43" t="s">
        <v>124</v>
      </c>
      <c r="C30" s="54" t="n">
        <f aca="false">IFERROR(C29/C26,"")</f>
        <v>5.31662727450597</v>
      </c>
      <c r="D30" s="54" t="n">
        <f aca="false">IFERROR(D29/D26,"")</f>
        <v>3.65159599363475</v>
      </c>
      <c r="E30" s="54" t="n">
        <f aca="false">IFERROR(E29/E26,"")</f>
        <v>1.60783120308379</v>
      </c>
      <c r="F30" s="55" t="n">
        <f aca="false">IFERROR(F29/(C26+D26+E26),"")</f>
        <v>4.0461510417584</v>
      </c>
    </row>
    <row r="31" customFormat="false" ht="15" hidden="false" customHeight="false" outlineLevel="0" collapsed="false">
      <c r="A31" s="12" t="s">
        <v>152</v>
      </c>
      <c r="B31" s="43" t="s">
        <v>124</v>
      </c>
      <c r="C31" s="56" t="n">
        <f aca="false">IFERROR(C21/C6,"")</f>
        <v>0.0715098043772684</v>
      </c>
      <c r="D31" s="56" t="n">
        <f aca="false">IFERROR(D21/D6,"")</f>
        <v>0.0703500343170899</v>
      </c>
      <c r="E31" s="56" t="n">
        <f aca="false">IFERROR(E21/E6,"")</f>
        <v>0.136125654450262</v>
      </c>
      <c r="F31" s="45"/>
    </row>
    <row r="32" customFormat="false" ht="15" hidden="false" customHeight="false" outlineLevel="0" collapsed="false">
      <c r="A32" s="12" t="s">
        <v>153</v>
      </c>
      <c r="B32" s="43" t="s">
        <v>124</v>
      </c>
      <c r="C32" s="57" t="n">
        <f aca="false">IFERROR(C17/C23,"")</f>
        <v>4000</v>
      </c>
      <c r="D32" s="57" t="n">
        <f aca="false">IFERROR(D17/D23,"")</f>
        <v>5000</v>
      </c>
      <c r="E32" s="57" t="n">
        <f aca="false">IFERROR(E17/E23,"")</f>
        <v>6000</v>
      </c>
      <c r="F32" s="45"/>
    </row>
    <row r="33" customFormat="false" ht="15" hidden="false" customHeight="false" outlineLevel="0" collapsed="false">
      <c r="A33" s="12" t="s">
        <v>154</v>
      </c>
      <c r="B33" s="43" t="s">
        <v>129</v>
      </c>
      <c r="C33" s="58" t="n">
        <f aca="false">IFERROR(C15/C21,"")</f>
        <v>1.32857142857143</v>
      </c>
      <c r="D33" s="58" t="n">
        <f aca="false">IFERROR(D15/D21,"")</f>
        <v>0.770731707317073</v>
      </c>
      <c r="E33" s="58" t="n">
        <f aca="false">IFERROR(E15/E21,"")</f>
        <v>0.507692307692308</v>
      </c>
      <c r="F33" s="45"/>
    </row>
    <row r="34" customFormat="false" ht="15" hidden="false" customHeight="false" outlineLevel="0" collapsed="false">
      <c r="A34" s="12" t="s">
        <v>155</v>
      </c>
      <c r="B34" s="43" t="s">
        <v>156</v>
      </c>
      <c r="C34" s="59" t="n">
        <f aca="false">IFERROR(C24/(C6/30),"")</f>
        <v>2.2985294264122</v>
      </c>
      <c r="D34" s="59" t="n">
        <f aca="false">IFERROR(D24/(D6/30),"")</f>
        <v>1.85312285518188</v>
      </c>
      <c r="E34" s="59" t="n">
        <f aca="false">IFERROR(E24/(E6/30),"")</f>
        <v>2.82722513089005</v>
      </c>
      <c r="F34" s="45"/>
    </row>
    <row r="35" customFormat="false" ht="15" hidden="false" customHeight="false" outlineLevel="0" collapsed="false">
      <c r="A35" s="12" t="s">
        <v>157</v>
      </c>
      <c r="B35" s="43" t="s">
        <v>5</v>
      </c>
      <c r="C35" s="57" t="n">
        <f aca="false">IFERROR(C6/C25,"")</f>
        <v>195777.35</v>
      </c>
      <c r="D35" s="57" t="n">
        <f aca="false">IFERROR(D6/D25,"")</f>
        <v>242833.333333333</v>
      </c>
      <c r="E35" s="57" t="n">
        <f aca="false">IFERROR(E6/E25,"")</f>
        <v>159166.666666667</v>
      </c>
      <c r="F35" s="45"/>
    </row>
    <row r="36" customFormat="false" ht="15" hidden="false" customHeight="false" outlineLevel="0" collapsed="false">
      <c r="A36" s="12" t="s">
        <v>158</v>
      </c>
      <c r="B36" s="43" t="s">
        <v>144</v>
      </c>
      <c r="C36" s="57" t="n">
        <f aca="false">IFERROR(MAX(0,C21-C15)/C7,"")</f>
        <v>0</v>
      </c>
      <c r="D36" s="57" t="n">
        <f aca="false">IFERROR(MAX(0,D21-D15)/D7,"")</f>
        <v>313333.333333333</v>
      </c>
      <c r="E36" s="57" t="n">
        <f aca="false">IFERROR(MAX(0,E21-E15)/E7,"")</f>
        <v>426666.666666667</v>
      </c>
      <c r="F36" s="45"/>
    </row>
  </sheetData>
  <mergeCells count="2">
    <mergeCell ref="A1:F1"/>
    <mergeCell ref="A2:F2"/>
  </mergeCells>
  <conditionalFormatting sqref="C29:E29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3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L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58"/>
  </cols>
  <sheetData>
    <row r="1" customFormat="false" ht="33.75" hidden="false" customHeight="true" outlineLevel="0" collapsed="false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0" hidden="false" customHeight="true" outlineLevel="0" collapsed="false">
      <c r="A4" s="3" t="s">
        <v>102</v>
      </c>
      <c r="B4" s="3" t="s">
        <v>160</v>
      </c>
      <c r="C4" s="3" t="s">
        <v>161</v>
      </c>
      <c r="D4" s="3" t="s">
        <v>162</v>
      </c>
      <c r="E4" s="3" t="s">
        <v>163</v>
      </c>
      <c r="F4" s="3" t="s">
        <v>164</v>
      </c>
      <c r="G4" s="3" t="s">
        <v>165</v>
      </c>
      <c r="H4" s="3" t="s">
        <v>166</v>
      </c>
      <c r="I4" s="3" t="s">
        <v>143</v>
      </c>
      <c r="J4" s="3" t="s">
        <v>167</v>
      </c>
      <c r="K4" s="3" t="s">
        <v>104</v>
      </c>
      <c r="L4" s="3" t="s">
        <v>168</v>
      </c>
    </row>
    <row r="5" customFormat="false" ht="43.5" hidden="false" customHeight="true" outlineLevel="0" collapsed="false">
      <c r="A5" s="26" t="s">
        <v>7</v>
      </c>
      <c r="B5" s="60" t="s">
        <v>13</v>
      </c>
      <c r="C5" s="11" t="s">
        <v>169</v>
      </c>
      <c r="D5" s="60" t="s">
        <v>170</v>
      </c>
      <c r="E5" s="11" t="s">
        <v>171</v>
      </c>
      <c r="F5" s="11" t="s">
        <v>172</v>
      </c>
      <c r="G5" s="11" t="s">
        <v>173</v>
      </c>
      <c r="H5" s="61" t="n">
        <v>20</v>
      </c>
      <c r="I5" s="44" t="n">
        <v>300000</v>
      </c>
      <c r="J5" s="61" t="n">
        <v>30</v>
      </c>
      <c r="K5" s="44" t="n">
        <v>127775</v>
      </c>
      <c r="L5" s="60" t="s">
        <v>174</v>
      </c>
    </row>
    <row r="6" customFormat="false" ht="43.5" hidden="false" customHeight="true" outlineLevel="0" collapsed="false">
      <c r="A6" s="62" t="s">
        <v>8</v>
      </c>
      <c r="B6" s="63" t="s">
        <v>17</v>
      </c>
      <c r="C6" s="64" t="s">
        <v>169</v>
      </c>
      <c r="D6" s="63" t="s">
        <v>175</v>
      </c>
      <c r="E6" s="64" t="s">
        <v>176</v>
      </c>
      <c r="F6" s="64" t="s">
        <v>177</v>
      </c>
      <c r="G6" s="64" t="s">
        <v>173</v>
      </c>
      <c r="H6" s="65" t="n">
        <v>12</v>
      </c>
      <c r="I6" s="66" t="n">
        <v>180000</v>
      </c>
      <c r="J6" s="65" t="n">
        <v>18</v>
      </c>
      <c r="K6" s="66" t="n">
        <v>106830</v>
      </c>
      <c r="L6" s="63" t="s">
        <v>178</v>
      </c>
    </row>
    <row r="7" customFormat="false" ht="43.5" hidden="false" customHeight="true" outlineLevel="0" collapsed="false">
      <c r="A7" s="26" t="s">
        <v>9</v>
      </c>
      <c r="B7" s="60" t="s">
        <v>21</v>
      </c>
      <c r="C7" s="11" t="s">
        <v>169</v>
      </c>
      <c r="D7" s="60" t="s">
        <v>179</v>
      </c>
      <c r="E7" s="11" t="s">
        <v>180</v>
      </c>
      <c r="F7" s="11" t="s">
        <v>181</v>
      </c>
      <c r="G7" s="11" t="s">
        <v>173</v>
      </c>
      <c r="H7" s="61" t="n">
        <v>6</v>
      </c>
      <c r="I7" s="44" t="n">
        <v>90000</v>
      </c>
      <c r="J7" s="61" t="n">
        <v>10</v>
      </c>
      <c r="K7" s="44" t="n">
        <v>49290</v>
      </c>
      <c r="L7" s="60" t="s">
        <v>182</v>
      </c>
    </row>
    <row r="9" customFormat="false" ht="11.9" hidden="false" customHeight="false" outlineLevel="0" collapsed="false">
      <c r="A9" s="25" t="s">
        <v>183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</sheetData>
  <autoFilter ref="A4:L7"/>
  <mergeCells count="3">
    <mergeCell ref="A1:L1"/>
    <mergeCell ref="A2:L2"/>
    <mergeCell ref="A9:L9"/>
  </mergeCells>
  <dataValidations count="1">
    <dataValidation allowBlank="true" errorStyle="stop" operator="between" showDropDown="false" showErrorMessage="false" showInputMessage="false" sqref="G5:G7" type="list">
      <formula1>"لا,نعم,الاثنتان"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F1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44"/>
    <col collapsed="false" customWidth="true" hidden="false" outlineLevel="0" max="5" min="5" style="0" width="38"/>
    <col collapsed="false" customWidth="true" hidden="false" outlineLevel="0" max="6" min="6" style="0" width="44"/>
  </cols>
  <sheetData>
    <row r="1" customFormat="false" ht="33.75" hidden="false" customHeight="true" outlineLevel="0" collapsed="false">
      <c r="A1" s="1" t="s">
        <v>45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184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102</v>
      </c>
      <c r="B4" s="3" t="s">
        <v>185</v>
      </c>
      <c r="C4" s="3" t="s">
        <v>186</v>
      </c>
      <c r="D4" s="3" t="s">
        <v>187</v>
      </c>
      <c r="E4" s="3" t="s">
        <v>188</v>
      </c>
      <c r="F4" s="3" t="s">
        <v>189</v>
      </c>
    </row>
    <row r="5" customFormat="false" ht="42" hidden="false" customHeight="true" outlineLevel="0" collapsed="false">
      <c r="A5" s="14" t="s">
        <v>7</v>
      </c>
      <c r="B5" s="67" t="s">
        <v>190</v>
      </c>
      <c r="C5" s="60" t="s">
        <v>191</v>
      </c>
      <c r="D5" s="60" t="s">
        <v>192</v>
      </c>
      <c r="E5" s="60" t="s">
        <v>193</v>
      </c>
      <c r="F5" s="60" t="s">
        <v>194</v>
      </c>
    </row>
    <row r="6" customFormat="false" ht="42" hidden="false" customHeight="true" outlineLevel="0" collapsed="false">
      <c r="A6" s="68" t="s">
        <v>7</v>
      </c>
      <c r="B6" s="69" t="s">
        <v>195</v>
      </c>
      <c r="C6" s="63" t="s">
        <v>196</v>
      </c>
      <c r="D6" s="63" t="s">
        <v>197</v>
      </c>
      <c r="E6" s="63" t="s">
        <v>198</v>
      </c>
      <c r="F6" s="63" t="s">
        <v>199</v>
      </c>
    </row>
    <row r="7" customFormat="false" ht="42" hidden="false" customHeight="true" outlineLevel="0" collapsed="false">
      <c r="A7" s="14" t="s">
        <v>7</v>
      </c>
      <c r="B7" s="67" t="s">
        <v>200</v>
      </c>
      <c r="C7" s="60" t="s">
        <v>201</v>
      </c>
      <c r="D7" s="60" t="s">
        <v>202</v>
      </c>
      <c r="E7" s="60" t="s">
        <v>203</v>
      </c>
      <c r="F7" s="60" t="s">
        <v>204</v>
      </c>
    </row>
    <row r="8" customFormat="false" ht="42" hidden="false" customHeight="true" outlineLevel="0" collapsed="false">
      <c r="A8" s="68" t="s">
        <v>8</v>
      </c>
      <c r="B8" s="69" t="s">
        <v>205</v>
      </c>
      <c r="C8" s="63" t="s">
        <v>191</v>
      </c>
      <c r="D8" s="63" t="s">
        <v>206</v>
      </c>
      <c r="E8" s="63" t="s">
        <v>207</v>
      </c>
      <c r="F8" s="63" t="s">
        <v>208</v>
      </c>
    </row>
    <row r="9" customFormat="false" ht="42" hidden="false" customHeight="true" outlineLevel="0" collapsed="false">
      <c r="A9" s="14" t="s">
        <v>8</v>
      </c>
      <c r="B9" s="67" t="s">
        <v>209</v>
      </c>
      <c r="C9" s="60" t="s">
        <v>210</v>
      </c>
      <c r="D9" s="60" t="s">
        <v>211</v>
      </c>
      <c r="E9" s="60" t="s">
        <v>212</v>
      </c>
      <c r="F9" s="60" t="s">
        <v>213</v>
      </c>
    </row>
    <row r="10" customFormat="false" ht="42" hidden="false" customHeight="true" outlineLevel="0" collapsed="false">
      <c r="A10" s="68" t="s">
        <v>8</v>
      </c>
      <c r="B10" s="69" t="s">
        <v>214</v>
      </c>
      <c r="C10" s="63" t="s">
        <v>215</v>
      </c>
      <c r="D10" s="63" t="s">
        <v>216</v>
      </c>
      <c r="E10" s="63" t="s">
        <v>217</v>
      </c>
      <c r="F10" s="63" t="s">
        <v>218</v>
      </c>
    </row>
    <row r="11" customFormat="false" ht="42" hidden="false" customHeight="true" outlineLevel="0" collapsed="false">
      <c r="A11" s="14" t="s">
        <v>9</v>
      </c>
      <c r="B11" s="67" t="s">
        <v>200</v>
      </c>
      <c r="C11" s="60" t="s">
        <v>191</v>
      </c>
      <c r="D11" s="60" t="s">
        <v>219</v>
      </c>
      <c r="E11" s="60" t="s">
        <v>220</v>
      </c>
      <c r="F11" s="60" t="s">
        <v>221</v>
      </c>
    </row>
    <row r="12" customFormat="false" ht="42" hidden="false" customHeight="true" outlineLevel="0" collapsed="false">
      <c r="A12" s="68" t="s">
        <v>9</v>
      </c>
      <c r="B12" s="69" t="s">
        <v>222</v>
      </c>
      <c r="C12" s="63" t="s">
        <v>223</v>
      </c>
      <c r="D12" s="63" t="s">
        <v>224</v>
      </c>
      <c r="E12" s="63" t="s">
        <v>225</v>
      </c>
      <c r="F12" s="63" t="s">
        <v>226</v>
      </c>
    </row>
    <row r="13" customFormat="false" ht="42" hidden="false" customHeight="true" outlineLevel="0" collapsed="false">
      <c r="A13" s="14" t="s">
        <v>9</v>
      </c>
      <c r="B13" s="67" t="s">
        <v>227</v>
      </c>
      <c r="C13" s="60" t="s">
        <v>228</v>
      </c>
      <c r="D13" s="60" t="s">
        <v>229</v>
      </c>
      <c r="E13" s="60" t="s">
        <v>230</v>
      </c>
      <c r="F13" s="60" t="s">
        <v>231</v>
      </c>
    </row>
  </sheetData>
  <autoFilter ref="A4:F13"/>
  <mergeCells count="2">
    <mergeCell ref="A1:F1"/>
    <mergeCell ref="A2:F2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D3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4" min="3" style="0" width="30"/>
  </cols>
  <sheetData>
    <row r="1" customFormat="false" ht="33.75" hidden="false" customHeight="true" outlineLevel="0" collapsed="false">
      <c r="A1" s="1" t="s">
        <v>232</v>
      </c>
      <c r="B1" s="1"/>
      <c r="C1" s="1"/>
      <c r="D1" s="1"/>
    </row>
    <row r="2" customFormat="false" ht="18" hidden="false" customHeight="true" outlineLevel="0" collapsed="false">
      <c r="A2" s="2" t="s">
        <v>233</v>
      </c>
      <c r="B2" s="2"/>
      <c r="C2" s="2"/>
      <c r="D2" s="2"/>
    </row>
    <row r="4" customFormat="false" ht="24" hidden="false" customHeight="true" outlineLevel="0" collapsed="false">
      <c r="A4" s="70" t="s">
        <v>234</v>
      </c>
      <c r="B4" s="70"/>
      <c r="C4" s="70"/>
      <c r="D4" s="70"/>
    </row>
    <row r="5" customFormat="false" ht="30" hidden="false" customHeight="true" outlineLevel="0" collapsed="false">
      <c r="A5" s="71" t="s">
        <v>235</v>
      </c>
      <c r="B5" s="60" t="s">
        <v>236</v>
      </c>
      <c r="C5" s="60"/>
      <c r="D5" s="60"/>
    </row>
    <row r="6" customFormat="false" ht="30" hidden="false" customHeight="true" outlineLevel="0" collapsed="false">
      <c r="A6" s="71" t="s">
        <v>237</v>
      </c>
      <c r="B6" s="60" t="s">
        <v>238</v>
      </c>
      <c r="C6" s="60"/>
      <c r="D6" s="60"/>
    </row>
    <row r="7" customFormat="false" ht="30" hidden="false" customHeight="true" outlineLevel="0" collapsed="false">
      <c r="A7" s="71" t="s">
        <v>239</v>
      </c>
      <c r="B7" s="60" t="s">
        <v>240</v>
      </c>
      <c r="C7" s="60"/>
      <c r="D7" s="60"/>
    </row>
    <row r="8" customFormat="false" ht="30" hidden="false" customHeight="true" outlineLevel="0" collapsed="false">
      <c r="A8" s="71" t="s">
        <v>241</v>
      </c>
      <c r="B8" s="60" t="s">
        <v>242</v>
      </c>
      <c r="C8" s="60"/>
      <c r="D8" s="60"/>
    </row>
    <row r="9" customFormat="false" ht="30" hidden="false" customHeight="true" outlineLevel="0" collapsed="false">
      <c r="A9" s="71" t="s">
        <v>243</v>
      </c>
      <c r="B9" s="60" t="s">
        <v>244</v>
      </c>
      <c r="C9" s="60"/>
      <c r="D9" s="60"/>
    </row>
    <row r="10" customFormat="false" ht="30" hidden="false" customHeight="true" outlineLevel="0" collapsed="false">
      <c r="A10" s="71" t="s">
        <v>245</v>
      </c>
      <c r="B10" s="60" t="s">
        <v>246</v>
      </c>
      <c r="C10" s="60"/>
      <c r="D10" s="60"/>
    </row>
    <row r="11" customFormat="false" ht="30" hidden="false" customHeight="true" outlineLevel="0" collapsed="false">
      <c r="A11" s="71" t="s">
        <v>247</v>
      </c>
      <c r="B11" s="60" t="s">
        <v>248</v>
      </c>
      <c r="C11" s="60"/>
      <c r="D11" s="60"/>
    </row>
    <row r="12" customFormat="false" ht="30" hidden="false" customHeight="true" outlineLevel="0" collapsed="false">
      <c r="A12" s="72" t="s">
        <v>249</v>
      </c>
      <c r="B12" s="73" t="s">
        <v>250</v>
      </c>
      <c r="C12" s="73"/>
      <c r="D12" s="73"/>
    </row>
    <row r="13" customFormat="false" ht="30" hidden="false" customHeight="true" outlineLevel="0" collapsed="false">
      <c r="A13" s="74" t="s">
        <v>251</v>
      </c>
      <c r="B13" s="75" t="s">
        <v>252</v>
      </c>
      <c r="C13" s="75"/>
      <c r="D13" s="75"/>
    </row>
    <row r="15" customFormat="false" ht="24" hidden="false" customHeight="true" outlineLevel="0" collapsed="false">
      <c r="A15" s="70" t="s">
        <v>253</v>
      </c>
      <c r="B15" s="70"/>
      <c r="C15" s="70"/>
      <c r="D15" s="70"/>
    </row>
    <row r="16" customFormat="false" ht="30" hidden="false" customHeight="true" outlineLevel="0" collapsed="false">
      <c r="A16" s="71" t="s">
        <v>235</v>
      </c>
      <c r="B16" s="60" t="s">
        <v>254</v>
      </c>
      <c r="C16" s="60"/>
      <c r="D16" s="60"/>
    </row>
    <row r="17" customFormat="false" ht="30" hidden="false" customHeight="true" outlineLevel="0" collapsed="false">
      <c r="A17" s="71" t="s">
        <v>237</v>
      </c>
      <c r="B17" s="60" t="s">
        <v>255</v>
      </c>
      <c r="C17" s="60"/>
      <c r="D17" s="60"/>
    </row>
    <row r="18" customFormat="false" ht="30" hidden="false" customHeight="true" outlineLevel="0" collapsed="false">
      <c r="A18" s="71" t="s">
        <v>239</v>
      </c>
      <c r="B18" s="60" t="s">
        <v>255</v>
      </c>
      <c r="C18" s="60"/>
      <c r="D18" s="60"/>
    </row>
    <row r="19" customFormat="false" ht="30" hidden="false" customHeight="true" outlineLevel="0" collapsed="false">
      <c r="A19" s="71" t="s">
        <v>241</v>
      </c>
      <c r="B19" s="60" t="s">
        <v>256</v>
      </c>
      <c r="C19" s="60"/>
      <c r="D19" s="60"/>
    </row>
    <row r="20" customFormat="false" ht="30" hidden="false" customHeight="true" outlineLevel="0" collapsed="false">
      <c r="A20" s="71" t="s">
        <v>243</v>
      </c>
      <c r="B20" s="60" t="s">
        <v>257</v>
      </c>
      <c r="C20" s="60"/>
      <c r="D20" s="60"/>
    </row>
    <row r="21" customFormat="false" ht="30" hidden="false" customHeight="true" outlineLevel="0" collapsed="false">
      <c r="A21" s="71" t="s">
        <v>245</v>
      </c>
      <c r="B21" s="60" t="s">
        <v>258</v>
      </c>
      <c r="C21" s="60"/>
      <c r="D21" s="60"/>
    </row>
    <row r="22" customFormat="false" ht="30" hidden="false" customHeight="true" outlineLevel="0" collapsed="false">
      <c r="A22" s="71" t="s">
        <v>247</v>
      </c>
      <c r="B22" s="60" t="s">
        <v>259</v>
      </c>
      <c r="C22" s="60"/>
      <c r="D22" s="60"/>
    </row>
    <row r="23" customFormat="false" ht="30" hidden="false" customHeight="true" outlineLevel="0" collapsed="false">
      <c r="A23" s="72" t="s">
        <v>249</v>
      </c>
      <c r="B23" s="73" t="s">
        <v>260</v>
      </c>
      <c r="C23" s="73"/>
      <c r="D23" s="73"/>
    </row>
    <row r="24" customFormat="false" ht="30" hidden="false" customHeight="true" outlineLevel="0" collapsed="false">
      <c r="A24" s="74" t="s">
        <v>251</v>
      </c>
      <c r="B24" s="75" t="s">
        <v>261</v>
      </c>
      <c r="C24" s="75"/>
      <c r="D24" s="75"/>
    </row>
    <row r="26" customFormat="false" ht="24" hidden="false" customHeight="true" outlineLevel="0" collapsed="false">
      <c r="A26" s="70" t="s">
        <v>262</v>
      </c>
      <c r="B26" s="70"/>
      <c r="C26" s="70"/>
      <c r="D26" s="70"/>
    </row>
    <row r="27" customFormat="false" ht="30" hidden="false" customHeight="true" outlineLevel="0" collapsed="false">
      <c r="A27" s="71" t="s">
        <v>235</v>
      </c>
      <c r="B27" s="60" t="s">
        <v>263</v>
      </c>
      <c r="C27" s="60"/>
      <c r="D27" s="60"/>
    </row>
    <row r="28" customFormat="false" ht="30" hidden="false" customHeight="true" outlineLevel="0" collapsed="false">
      <c r="A28" s="71" t="s">
        <v>237</v>
      </c>
      <c r="B28" s="60" t="s">
        <v>255</v>
      </c>
      <c r="C28" s="60"/>
      <c r="D28" s="60"/>
    </row>
    <row r="29" customFormat="false" ht="30" hidden="false" customHeight="true" outlineLevel="0" collapsed="false">
      <c r="A29" s="71" t="s">
        <v>239</v>
      </c>
      <c r="B29" s="60" t="s">
        <v>255</v>
      </c>
      <c r="C29" s="60"/>
      <c r="D29" s="60"/>
    </row>
    <row r="30" customFormat="false" ht="30" hidden="false" customHeight="true" outlineLevel="0" collapsed="false">
      <c r="A30" s="71" t="s">
        <v>241</v>
      </c>
      <c r="B30" s="60" t="s">
        <v>264</v>
      </c>
      <c r="C30" s="60"/>
      <c r="D30" s="60"/>
    </row>
    <row r="31" customFormat="false" ht="30" hidden="false" customHeight="true" outlineLevel="0" collapsed="false">
      <c r="A31" s="71" t="s">
        <v>243</v>
      </c>
      <c r="B31" s="60" t="s">
        <v>265</v>
      </c>
      <c r="C31" s="60"/>
      <c r="D31" s="60"/>
    </row>
    <row r="32" customFormat="false" ht="30" hidden="false" customHeight="true" outlineLevel="0" collapsed="false">
      <c r="A32" s="71" t="s">
        <v>245</v>
      </c>
      <c r="B32" s="60" t="s">
        <v>266</v>
      </c>
      <c r="C32" s="60"/>
      <c r="D32" s="60"/>
    </row>
    <row r="33" customFormat="false" ht="30" hidden="false" customHeight="true" outlineLevel="0" collapsed="false">
      <c r="A33" s="71" t="s">
        <v>247</v>
      </c>
      <c r="B33" s="60" t="s">
        <v>267</v>
      </c>
      <c r="C33" s="60"/>
      <c r="D33" s="60"/>
    </row>
    <row r="34" customFormat="false" ht="30" hidden="false" customHeight="true" outlineLevel="0" collapsed="false">
      <c r="A34" s="72" t="s">
        <v>249</v>
      </c>
      <c r="B34" s="73" t="s">
        <v>268</v>
      </c>
      <c r="C34" s="73"/>
      <c r="D34" s="73"/>
    </row>
    <row r="35" customFormat="false" ht="30" hidden="false" customHeight="true" outlineLevel="0" collapsed="false">
      <c r="A35" s="74" t="s">
        <v>251</v>
      </c>
      <c r="B35" s="75" t="s">
        <v>269</v>
      </c>
      <c r="C35" s="75"/>
      <c r="D35" s="75"/>
    </row>
  </sheetData>
  <mergeCells count="32">
    <mergeCell ref="A1:D1"/>
    <mergeCell ref="A2:D2"/>
    <mergeCell ref="A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A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A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I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20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2"/>
  </cols>
  <sheetData>
    <row r="1" customFormat="false" ht="33.75" hidden="false" customHeight="true" outlineLevel="0" collapsed="false">
      <c r="A1" s="1" t="s">
        <v>270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271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102</v>
      </c>
      <c r="B4" s="3" t="s">
        <v>272</v>
      </c>
      <c r="C4" s="3" t="s">
        <v>273</v>
      </c>
      <c r="D4" s="3" t="s">
        <v>274</v>
      </c>
      <c r="E4" s="3" t="s">
        <v>275</v>
      </c>
      <c r="F4" s="3" t="s">
        <v>276</v>
      </c>
      <c r="G4" s="3" t="s">
        <v>277</v>
      </c>
      <c r="H4" s="3" t="s">
        <v>278</v>
      </c>
      <c r="I4" s="3" t="s">
        <v>279</v>
      </c>
    </row>
    <row r="5" customFormat="false" ht="15" hidden="false" customHeight="false" outlineLevel="0" collapsed="false">
      <c r="A5" s="14" t="s">
        <v>7</v>
      </c>
      <c r="B5" s="60" t="s">
        <v>280</v>
      </c>
      <c r="C5" s="11" t="s">
        <v>281</v>
      </c>
      <c r="D5" s="61" t="n">
        <v>1</v>
      </c>
      <c r="E5" s="11" t="s">
        <v>282</v>
      </c>
      <c r="F5" s="11" t="s">
        <v>283</v>
      </c>
      <c r="G5" s="11" t="s">
        <v>284</v>
      </c>
      <c r="H5" s="44" t="n">
        <v>15000</v>
      </c>
      <c r="I5" s="61" t="n">
        <v>120</v>
      </c>
    </row>
    <row r="6" customFormat="false" ht="15" hidden="false" customHeight="false" outlineLevel="0" collapsed="false">
      <c r="A6" s="68" t="s">
        <v>7</v>
      </c>
      <c r="B6" s="63" t="s">
        <v>285</v>
      </c>
      <c r="C6" s="64" t="s">
        <v>286</v>
      </c>
      <c r="D6" s="65" t="n">
        <v>1</v>
      </c>
      <c r="E6" s="64" t="s">
        <v>282</v>
      </c>
      <c r="F6" s="64" t="s">
        <v>283</v>
      </c>
      <c r="G6" s="64" t="s">
        <v>284</v>
      </c>
      <c r="H6" s="66" t="n">
        <v>0</v>
      </c>
      <c r="I6" s="65" t="n">
        <v>0</v>
      </c>
    </row>
    <row r="7" customFormat="false" ht="15" hidden="false" customHeight="false" outlineLevel="0" collapsed="false">
      <c r="A7" s="14" t="s">
        <v>7</v>
      </c>
      <c r="B7" s="60" t="s">
        <v>287</v>
      </c>
      <c r="C7" s="11" t="s">
        <v>288</v>
      </c>
      <c r="D7" s="61" t="n">
        <v>1</v>
      </c>
      <c r="E7" s="11" t="s">
        <v>282</v>
      </c>
      <c r="F7" s="11" t="s">
        <v>289</v>
      </c>
      <c r="G7" s="11" t="s">
        <v>284</v>
      </c>
      <c r="H7" s="44" t="n">
        <v>0</v>
      </c>
      <c r="I7" s="61" t="n">
        <v>0</v>
      </c>
    </row>
    <row r="8" customFormat="false" ht="15" hidden="false" customHeight="false" outlineLevel="0" collapsed="false">
      <c r="A8" s="68" t="s">
        <v>7</v>
      </c>
      <c r="B8" s="63" t="s">
        <v>290</v>
      </c>
      <c r="C8" s="64" t="s">
        <v>288</v>
      </c>
      <c r="D8" s="65" t="n">
        <v>1</v>
      </c>
      <c r="E8" s="64" t="s">
        <v>291</v>
      </c>
      <c r="F8" s="64" t="s">
        <v>292</v>
      </c>
      <c r="G8" s="64" t="s">
        <v>284</v>
      </c>
      <c r="H8" s="66" t="n">
        <v>0</v>
      </c>
      <c r="I8" s="65" t="n">
        <v>0</v>
      </c>
    </row>
    <row r="9" customFormat="false" ht="15" hidden="false" customHeight="false" outlineLevel="0" collapsed="false">
      <c r="A9" s="14" t="s">
        <v>7</v>
      </c>
      <c r="B9" s="60" t="s">
        <v>293</v>
      </c>
      <c r="C9" s="11" t="s">
        <v>286</v>
      </c>
      <c r="D9" s="61" t="n">
        <v>1</v>
      </c>
      <c r="E9" s="11" t="s">
        <v>294</v>
      </c>
      <c r="F9" s="11" t="s">
        <v>295</v>
      </c>
      <c r="G9" s="11" t="s">
        <v>284</v>
      </c>
      <c r="H9" s="44" t="n">
        <v>10000</v>
      </c>
      <c r="I9" s="61" t="n">
        <v>80</v>
      </c>
    </row>
    <row r="10" customFormat="false" ht="15" hidden="false" customHeight="false" outlineLevel="0" collapsed="false">
      <c r="A10" s="68" t="s">
        <v>7</v>
      </c>
      <c r="B10" s="63" t="s">
        <v>296</v>
      </c>
      <c r="C10" s="64" t="s">
        <v>288</v>
      </c>
      <c r="D10" s="65" t="n">
        <v>1</v>
      </c>
      <c r="E10" s="64" t="s">
        <v>294</v>
      </c>
      <c r="F10" s="64" t="s">
        <v>295</v>
      </c>
      <c r="G10" s="64" t="s">
        <v>284</v>
      </c>
      <c r="H10" s="66" t="n">
        <v>0</v>
      </c>
      <c r="I10" s="65" t="n">
        <v>0</v>
      </c>
    </row>
    <row r="11" customFormat="false" ht="15" hidden="false" customHeight="false" outlineLevel="0" collapsed="false">
      <c r="A11" s="14" t="s">
        <v>7</v>
      </c>
      <c r="B11" s="60" t="s">
        <v>297</v>
      </c>
      <c r="C11" s="11" t="s">
        <v>286</v>
      </c>
      <c r="D11" s="61" t="n">
        <v>1</v>
      </c>
      <c r="E11" s="11" t="s">
        <v>294</v>
      </c>
      <c r="F11" s="11" t="s">
        <v>298</v>
      </c>
      <c r="G11" s="11" t="s">
        <v>284</v>
      </c>
      <c r="H11" s="44" t="n">
        <v>9000</v>
      </c>
      <c r="I11" s="61" t="n">
        <v>60</v>
      </c>
    </row>
    <row r="12" customFormat="false" ht="15" hidden="false" customHeight="false" outlineLevel="0" collapsed="false">
      <c r="A12" s="68" t="s">
        <v>7</v>
      </c>
      <c r="B12" s="63" t="s">
        <v>299</v>
      </c>
      <c r="C12" s="64" t="s">
        <v>288</v>
      </c>
      <c r="D12" s="65" t="n">
        <v>1</v>
      </c>
      <c r="E12" s="64" t="s">
        <v>294</v>
      </c>
      <c r="F12" s="64" t="s">
        <v>298</v>
      </c>
      <c r="G12" s="64" t="s">
        <v>284</v>
      </c>
      <c r="H12" s="66" t="n">
        <v>0</v>
      </c>
      <c r="I12" s="65" t="n">
        <v>0</v>
      </c>
    </row>
    <row r="13" customFormat="false" ht="15" hidden="false" customHeight="false" outlineLevel="0" collapsed="false">
      <c r="A13" s="14" t="s">
        <v>7</v>
      </c>
      <c r="B13" s="60" t="s">
        <v>300</v>
      </c>
      <c r="C13" s="11" t="s">
        <v>301</v>
      </c>
      <c r="D13" s="61" t="n">
        <v>1</v>
      </c>
      <c r="E13" s="11" t="s">
        <v>301</v>
      </c>
      <c r="F13" s="11" t="s">
        <v>302</v>
      </c>
      <c r="G13" s="11" t="s">
        <v>284</v>
      </c>
      <c r="H13" s="44" t="n">
        <v>22000</v>
      </c>
      <c r="I13" s="61" t="n">
        <v>300</v>
      </c>
    </row>
    <row r="14" customFormat="false" ht="15" hidden="false" customHeight="false" outlineLevel="0" collapsed="false">
      <c r="A14" s="68" t="s">
        <v>7</v>
      </c>
      <c r="B14" s="63" t="s">
        <v>303</v>
      </c>
      <c r="C14" s="64" t="s">
        <v>286</v>
      </c>
      <c r="D14" s="65" t="n">
        <v>1</v>
      </c>
      <c r="E14" s="64" t="s">
        <v>304</v>
      </c>
      <c r="F14" s="64" t="s">
        <v>305</v>
      </c>
      <c r="G14" s="64" t="s">
        <v>284</v>
      </c>
      <c r="H14" s="66" t="n">
        <v>0</v>
      </c>
      <c r="I14" s="65" t="n">
        <v>0</v>
      </c>
    </row>
    <row r="15" customFormat="false" ht="15" hidden="false" customHeight="false" outlineLevel="0" collapsed="false">
      <c r="A15" s="14" t="s">
        <v>7</v>
      </c>
      <c r="B15" s="60" t="s">
        <v>306</v>
      </c>
      <c r="C15" s="11" t="s">
        <v>286</v>
      </c>
      <c r="D15" s="61" t="n">
        <v>1</v>
      </c>
      <c r="E15" s="11" t="s">
        <v>307</v>
      </c>
      <c r="F15" s="11" t="s">
        <v>308</v>
      </c>
      <c r="G15" s="11" t="s">
        <v>284</v>
      </c>
      <c r="H15" s="44" t="n">
        <v>0</v>
      </c>
      <c r="I15" s="61" t="n">
        <v>0</v>
      </c>
    </row>
    <row r="16" customFormat="false" ht="15" hidden="false" customHeight="false" outlineLevel="0" collapsed="false">
      <c r="A16" s="68" t="s">
        <v>7</v>
      </c>
      <c r="B16" s="63" t="s">
        <v>309</v>
      </c>
      <c r="C16" s="64" t="s">
        <v>288</v>
      </c>
      <c r="D16" s="65" t="n">
        <v>1</v>
      </c>
      <c r="E16" s="64" t="s">
        <v>310</v>
      </c>
      <c r="F16" s="64" t="s">
        <v>309</v>
      </c>
      <c r="G16" s="64" t="s">
        <v>284</v>
      </c>
      <c r="H16" s="66" t="n">
        <v>0</v>
      </c>
      <c r="I16" s="65" t="n">
        <v>0</v>
      </c>
    </row>
    <row r="17" customFormat="false" ht="15" hidden="false" customHeight="false" outlineLevel="0" collapsed="false">
      <c r="A17" s="14" t="s">
        <v>7</v>
      </c>
      <c r="B17" s="60" t="s">
        <v>311</v>
      </c>
      <c r="C17" s="11" t="s">
        <v>312</v>
      </c>
      <c r="D17" s="61" t="n">
        <v>1</v>
      </c>
      <c r="E17" s="11" t="s">
        <v>312</v>
      </c>
      <c r="F17" s="11" t="s">
        <v>313</v>
      </c>
      <c r="G17" s="11" t="s">
        <v>284</v>
      </c>
      <c r="H17" s="44" t="n">
        <v>0</v>
      </c>
      <c r="I17" s="61" t="n">
        <v>0</v>
      </c>
    </row>
    <row r="18" customFormat="false" ht="15" hidden="false" customHeight="false" outlineLevel="0" collapsed="false">
      <c r="A18" s="68" t="s">
        <v>7</v>
      </c>
      <c r="B18" s="63" t="s">
        <v>314</v>
      </c>
      <c r="C18" s="64" t="s">
        <v>281</v>
      </c>
      <c r="D18" s="65" t="n">
        <v>1</v>
      </c>
      <c r="E18" s="64" t="s">
        <v>294</v>
      </c>
      <c r="F18" s="64" t="s">
        <v>298</v>
      </c>
      <c r="G18" s="64" t="s">
        <v>315</v>
      </c>
      <c r="H18" s="66" t="n">
        <v>0</v>
      </c>
      <c r="I18" s="65" t="n">
        <v>0</v>
      </c>
    </row>
    <row r="19" customFormat="false" ht="15" hidden="false" customHeight="false" outlineLevel="0" collapsed="false">
      <c r="A19" s="14" t="s">
        <v>8</v>
      </c>
      <c r="B19" s="60" t="s">
        <v>316</v>
      </c>
      <c r="C19" s="11" t="s">
        <v>286</v>
      </c>
      <c r="D19" s="61" t="n">
        <v>1</v>
      </c>
      <c r="E19" s="11" t="s">
        <v>282</v>
      </c>
      <c r="F19" s="11" t="s">
        <v>283</v>
      </c>
      <c r="G19" s="11" t="s">
        <v>315</v>
      </c>
      <c r="H19" s="44" t="n">
        <v>0</v>
      </c>
      <c r="I19" s="61" t="n">
        <v>0</v>
      </c>
    </row>
    <row r="20" customFormat="false" ht="15" hidden="false" customHeight="false" outlineLevel="0" collapsed="false">
      <c r="A20" s="68" t="s">
        <v>8</v>
      </c>
      <c r="B20" s="63" t="s">
        <v>317</v>
      </c>
      <c r="C20" s="64" t="s">
        <v>286</v>
      </c>
      <c r="D20" s="65" t="n">
        <v>1</v>
      </c>
      <c r="E20" s="64" t="s">
        <v>307</v>
      </c>
      <c r="F20" s="64" t="s">
        <v>308</v>
      </c>
      <c r="G20" s="64" t="s">
        <v>315</v>
      </c>
      <c r="H20" s="66" t="n">
        <v>0</v>
      </c>
      <c r="I20" s="65" t="n">
        <v>0</v>
      </c>
    </row>
    <row r="21" customFormat="false" ht="15" hidden="false" customHeight="false" outlineLevel="0" collapsed="false">
      <c r="A21" s="14" t="s">
        <v>8</v>
      </c>
      <c r="B21" s="60" t="s">
        <v>318</v>
      </c>
      <c r="C21" s="11" t="s">
        <v>288</v>
      </c>
      <c r="D21" s="61" t="n">
        <v>2</v>
      </c>
      <c r="E21" s="11" t="s">
        <v>312</v>
      </c>
      <c r="F21" s="11" t="s">
        <v>313</v>
      </c>
      <c r="G21" s="11" t="s">
        <v>315</v>
      </c>
      <c r="H21" s="44" t="n">
        <v>0</v>
      </c>
      <c r="I21" s="61" t="n">
        <v>0</v>
      </c>
    </row>
    <row r="22" customFormat="false" ht="15" hidden="false" customHeight="false" outlineLevel="0" collapsed="false">
      <c r="A22" s="68" t="s">
        <v>9</v>
      </c>
      <c r="B22" s="63" t="s">
        <v>319</v>
      </c>
      <c r="C22" s="64" t="s">
        <v>288</v>
      </c>
      <c r="D22" s="65" t="n">
        <v>1</v>
      </c>
      <c r="E22" s="64" t="s">
        <v>282</v>
      </c>
      <c r="F22" s="64" t="s">
        <v>289</v>
      </c>
      <c r="G22" s="64" t="s">
        <v>315</v>
      </c>
      <c r="H22" s="66" t="n">
        <v>0</v>
      </c>
      <c r="I22" s="65" t="n">
        <v>0</v>
      </c>
    </row>
    <row r="23" customFormat="false" ht="15" hidden="false" customHeight="false" outlineLevel="0" collapsed="false">
      <c r="A23" s="14" t="s">
        <v>9</v>
      </c>
      <c r="B23" s="60" t="s">
        <v>320</v>
      </c>
      <c r="C23" s="11" t="s">
        <v>286</v>
      </c>
      <c r="D23" s="61" t="n">
        <v>1</v>
      </c>
      <c r="E23" s="11" t="s">
        <v>320</v>
      </c>
      <c r="F23" s="11" t="s">
        <v>320</v>
      </c>
      <c r="G23" s="11" t="s">
        <v>315</v>
      </c>
      <c r="H23" s="44" t="n">
        <v>0</v>
      </c>
      <c r="I23" s="61" t="n">
        <v>0</v>
      </c>
    </row>
    <row r="24" customFormat="false" ht="15" hidden="false" customHeight="false" outlineLevel="0" collapsed="false">
      <c r="A24" s="68" t="s">
        <v>9</v>
      </c>
      <c r="B24" s="63" t="s">
        <v>321</v>
      </c>
      <c r="C24" s="64" t="s">
        <v>286</v>
      </c>
      <c r="D24" s="65" t="n">
        <v>1</v>
      </c>
      <c r="E24" s="64" t="s">
        <v>301</v>
      </c>
      <c r="F24" s="64" t="s">
        <v>302</v>
      </c>
      <c r="G24" s="64" t="s">
        <v>315</v>
      </c>
      <c r="H24" s="66" t="n">
        <v>0</v>
      </c>
      <c r="I24" s="65" t="n">
        <v>0</v>
      </c>
    </row>
    <row r="25" customFormat="false" ht="15" hidden="false" customHeight="false" outlineLevel="0" collapsed="false">
      <c r="A25" s="42" t="s">
        <v>322</v>
      </c>
      <c r="B25" s="32"/>
      <c r="C25" s="32"/>
      <c r="D25" s="76" t="n">
        <f aca="false">SUM(D5:D24)</f>
        <v>21</v>
      </c>
      <c r="E25" s="32"/>
      <c r="F25" s="32"/>
      <c r="G25" s="32"/>
      <c r="H25" s="53" t="n">
        <f aca="false">SUM(H5:H24)</f>
        <v>56000</v>
      </c>
      <c r="I25" s="76" t="n">
        <f aca="false">SUM(I5:I24)</f>
        <v>560</v>
      </c>
    </row>
  </sheetData>
  <autoFilter ref="A4:I24"/>
  <mergeCells count="2">
    <mergeCell ref="A1:I1"/>
    <mergeCell ref="A2:I2"/>
  </mergeCells>
  <conditionalFormatting sqref="G5:G24">
    <cfRule type="expression" priority="2" aboveAverage="0" equalAverage="0" bottom="0" percent="0" rank="0" text="" dxfId="0">
      <formula>$G5="شاغرة"</formula>
    </cfRule>
    <cfRule type="expression" priority="3" aboveAverage="0" equalAverage="0" bottom="0" percent="0" rank="0" text="" dxfId="14">
      <formula>$G5="مؤجّرة"</formula>
    </cfRule>
  </conditionalFormatting>
  <dataValidations count="2">
    <dataValidation allowBlank="true" errorStyle="stop" operator="between" showDropDown="false" showErrorMessage="false" showInputMessage="false" sqref="C5:C24" type="list">
      <formula1>"كشك,محل تجاري,دريف ثرو,سوبر ماركت,عربة/كارت,أخرى"</formula1>
      <formula2>0</formula2>
    </dataValidation>
    <dataValidation allowBlank="true" errorStyle="stop" operator="between" showDropDown="false" showErrorMessage="false" showInputMessage="false" sqref="G5:G24" type="list">
      <formula1>"مؤجّرة,شاغرة"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M1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10" min="4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3"/>
  </cols>
  <sheetData>
    <row r="1" customFormat="false" ht="33.75" hidden="false" customHeight="true" outlineLevel="0" collapsed="false">
      <c r="A1" s="1" t="s">
        <v>323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324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3" t="s">
        <v>102</v>
      </c>
      <c r="B4" s="3" t="s">
        <v>325</v>
      </c>
      <c r="C4" s="3" t="s">
        <v>275</v>
      </c>
      <c r="D4" s="3" t="s">
        <v>15</v>
      </c>
      <c r="E4" s="3" t="s">
        <v>19</v>
      </c>
      <c r="F4" s="3" t="s">
        <v>23</v>
      </c>
      <c r="G4" s="3" t="s">
        <v>25</v>
      </c>
      <c r="H4" s="3" t="s">
        <v>27</v>
      </c>
      <c r="I4" s="3" t="s">
        <v>28</v>
      </c>
      <c r="J4" s="3" t="s">
        <v>278</v>
      </c>
      <c r="K4" s="3" t="s">
        <v>279</v>
      </c>
      <c r="L4" s="3" t="s">
        <v>326</v>
      </c>
      <c r="M4" s="3" t="s">
        <v>327</v>
      </c>
    </row>
    <row r="5" customFormat="false" ht="15" hidden="false" customHeight="false" outlineLevel="0" collapsed="false">
      <c r="A5" s="14" t="s">
        <v>7</v>
      </c>
      <c r="B5" s="60" t="s">
        <v>280</v>
      </c>
      <c r="C5" s="11" t="s">
        <v>282</v>
      </c>
      <c r="D5" s="44" t="n">
        <v>82000</v>
      </c>
      <c r="E5" s="44" t="n">
        <v>88000</v>
      </c>
      <c r="F5" s="44" t="n">
        <v>90000</v>
      </c>
      <c r="G5" s="44" t="n">
        <v>79000</v>
      </c>
      <c r="H5" s="44" t="n">
        <v>85000</v>
      </c>
      <c r="I5" s="44" t="n">
        <v>92000</v>
      </c>
      <c r="J5" s="44" t="n">
        <v>15000</v>
      </c>
      <c r="K5" s="61" t="n">
        <v>120</v>
      </c>
      <c r="L5" s="58" t="n">
        <f aca="false">IFERROR(J5/I5,"")</f>
        <v>0.16304347826087</v>
      </c>
      <c r="M5" s="57" t="n">
        <f aca="false">IFERROR(I5/K5,"")</f>
        <v>766.666666666667</v>
      </c>
    </row>
    <row r="6" customFormat="false" ht="15" hidden="false" customHeight="false" outlineLevel="0" collapsed="false">
      <c r="A6" s="68" t="s">
        <v>7</v>
      </c>
      <c r="B6" s="63" t="s">
        <v>285</v>
      </c>
      <c r="C6" s="64" t="s">
        <v>282</v>
      </c>
      <c r="D6" s="66" t="n">
        <v>0</v>
      </c>
      <c r="E6" s="66" t="n">
        <v>0</v>
      </c>
      <c r="F6" s="66" t="n">
        <v>0</v>
      </c>
      <c r="G6" s="66" t="n">
        <v>0</v>
      </c>
      <c r="H6" s="66" t="n">
        <v>0</v>
      </c>
      <c r="I6" s="66" t="n">
        <v>0</v>
      </c>
      <c r="J6" s="66" t="n">
        <v>0</v>
      </c>
      <c r="K6" s="65" t="n">
        <v>0</v>
      </c>
      <c r="L6" s="77" t="str">
        <f aca="false">IFERROR(J6/I6,"")</f>
        <v/>
      </c>
      <c r="M6" s="78" t="str">
        <f aca="false">IFERROR(I6/K6,"")</f>
        <v/>
      </c>
    </row>
    <row r="7" customFormat="false" ht="15" hidden="false" customHeight="false" outlineLevel="0" collapsed="false">
      <c r="A7" s="14" t="s">
        <v>7</v>
      </c>
      <c r="B7" s="60" t="s">
        <v>287</v>
      </c>
      <c r="C7" s="11" t="s">
        <v>282</v>
      </c>
      <c r="D7" s="44" t="n">
        <v>0</v>
      </c>
      <c r="E7" s="44" t="n">
        <v>0</v>
      </c>
      <c r="F7" s="44" t="n">
        <v>0</v>
      </c>
      <c r="G7" s="44" t="n">
        <v>0</v>
      </c>
      <c r="H7" s="44" t="n">
        <v>0</v>
      </c>
      <c r="I7" s="44" t="n">
        <v>0</v>
      </c>
      <c r="J7" s="44" t="n">
        <v>0</v>
      </c>
      <c r="K7" s="61" t="n">
        <v>0</v>
      </c>
      <c r="L7" s="58" t="str">
        <f aca="false">IFERROR(J7/I7,"")</f>
        <v/>
      </c>
      <c r="M7" s="57" t="str">
        <f aca="false">IFERROR(I7/K7,"")</f>
        <v/>
      </c>
    </row>
    <row r="8" customFormat="false" ht="15" hidden="false" customHeight="false" outlineLevel="0" collapsed="false">
      <c r="A8" s="68" t="s">
        <v>7</v>
      </c>
      <c r="B8" s="63" t="s">
        <v>290</v>
      </c>
      <c r="C8" s="64" t="s">
        <v>291</v>
      </c>
      <c r="D8" s="66" t="n">
        <v>0</v>
      </c>
      <c r="E8" s="66" t="n">
        <v>0</v>
      </c>
      <c r="F8" s="66" t="n">
        <v>0</v>
      </c>
      <c r="G8" s="66" t="n">
        <v>0</v>
      </c>
      <c r="H8" s="66" t="n">
        <v>0</v>
      </c>
      <c r="I8" s="66" t="n">
        <v>0</v>
      </c>
      <c r="J8" s="66" t="n">
        <v>0</v>
      </c>
      <c r="K8" s="65" t="n">
        <v>0</v>
      </c>
      <c r="L8" s="77" t="str">
        <f aca="false">IFERROR(J8/I8,"")</f>
        <v/>
      </c>
      <c r="M8" s="78" t="str">
        <f aca="false">IFERROR(I8/K8,"")</f>
        <v/>
      </c>
    </row>
    <row r="9" customFormat="false" ht="15" hidden="false" customHeight="false" outlineLevel="0" collapsed="false">
      <c r="A9" s="14" t="s">
        <v>7</v>
      </c>
      <c r="B9" s="60" t="s">
        <v>293</v>
      </c>
      <c r="C9" s="11" t="s">
        <v>294</v>
      </c>
      <c r="D9" s="44" t="n">
        <v>48000</v>
      </c>
      <c r="E9" s="44" t="n">
        <v>52000</v>
      </c>
      <c r="F9" s="44" t="n">
        <v>55000</v>
      </c>
      <c r="G9" s="44" t="n">
        <v>50000</v>
      </c>
      <c r="H9" s="44" t="n">
        <v>53000</v>
      </c>
      <c r="I9" s="44" t="n">
        <v>58000</v>
      </c>
      <c r="J9" s="44" t="n">
        <v>10000</v>
      </c>
      <c r="K9" s="61" t="n">
        <v>80</v>
      </c>
      <c r="L9" s="58" t="n">
        <f aca="false">IFERROR(J9/I9,"")</f>
        <v>0.172413793103448</v>
      </c>
      <c r="M9" s="57" t="n">
        <f aca="false">IFERROR(I9/K9,"")</f>
        <v>725</v>
      </c>
    </row>
    <row r="10" customFormat="false" ht="15" hidden="false" customHeight="false" outlineLevel="0" collapsed="false">
      <c r="A10" s="68" t="s">
        <v>7</v>
      </c>
      <c r="B10" s="63" t="s">
        <v>296</v>
      </c>
      <c r="C10" s="64" t="s">
        <v>294</v>
      </c>
      <c r="D10" s="66" t="n">
        <v>0</v>
      </c>
      <c r="E10" s="66" t="n">
        <v>0</v>
      </c>
      <c r="F10" s="66" t="n">
        <v>0</v>
      </c>
      <c r="G10" s="66" t="n">
        <v>0</v>
      </c>
      <c r="H10" s="66" t="n">
        <v>0</v>
      </c>
      <c r="I10" s="66" t="n">
        <v>0</v>
      </c>
      <c r="J10" s="66" t="n">
        <v>0</v>
      </c>
      <c r="K10" s="65" t="n">
        <v>0</v>
      </c>
      <c r="L10" s="77" t="str">
        <f aca="false">IFERROR(J10/I10,"")</f>
        <v/>
      </c>
      <c r="M10" s="78" t="str">
        <f aca="false">IFERROR(I10/K10,"")</f>
        <v/>
      </c>
    </row>
    <row r="11" customFormat="false" ht="15" hidden="false" customHeight="false" outlineLevel="0" collapsed="false">
      <c r="A11" s="14" t="s">
        <v>7</v>
      </c>
      <c r="B11" s="60" t="s">
        <v>297</v>
      </c>
      <c r="C11" s="11" t="s">
        <v>294</v>
      </c>
      <c r="D11" s="44" t="n">
        <v>36000</v>
      </c>
      <c r="E11" s="44" t="n">
        <v>40000</v>
      </c>
      <c r="F11" s="44" t="n">
        <v>42000</v>
      </c>
      <c r="G11" s="44" t="n">
        <v>38000</v>
      </c>
      <c r="H11" s="44" t="n">
        <v>39000</v>
      </c>
      <c r="I11" s="44" t="n">
        <v>44000</v>
      </c>
      <c r="J11" s="44" t="n">
        <v>9000</v>
      </c>
      <c r="K11" s="61" t="n">
        <v>60</v>
      </c>
      <c r="L11" s="58" t="n">
        <f aca="false">IFERROR(J11/I11,"")</f>
        <v>0.204545454545455</v>
      </c>
      <c r="M11" s="57" t="n">
        <f aca="false">IFERROR(I11/K11,"")</f>
        <v>733.333333333333</v>
      </c>
    </row>
    <row r="12" customFormat="false" ht="15" hidden="false" customHeight="false" outlineLevel="0" collapsed="false">
      <c r="A12" s="68" t="s">
        <v>7</v>
      </c>
      <c r="B12" s="63" t="s">
        <v>299</v>
      </c>
      <c r="C12" s="64" t="s">
        <v>294</v>
      </c>
      <c r="D12" s="66" t="n">
        <v>0</v>
      </c>
      <c r="E12" s="66" t="n">
        <v>0</v>
      </c>
      <c r="F12" s="66" t="n">
        <v>0</v>
      </c>
      <c r="G12" s="66" t="n">
        <v>0</v>
      </c>
      <c r="H12" s="66" t="n">
        <v>0</v>
      </c>
      <c r="I12" s="66" t="n">
        <v>0</v>
      </c>
      <c r="J12" s="66" t="n">
        <v>0</v>
      </c>
      <c r="K12" s="65" t="n">
        <v>0</v>
      </c>
      <c r="L12" s="77" t="str">
        <f aca="false">IFERROR(J12/I12,"")</f>
        <v/>
      </c>
      <c r="M12" s="78" t="str">
        <f aca="false">IFERROR(I12/K12,"")</f>
        <v/>
      </c>
    </row>
    <row r="13" customFormat="false" ht="15" hidden="false" customHeight="false" outlineLevel="0" collapsed="false">
      <c r="A13" s="14" t="s">
        <v>7</v>
      </c>
      <c r="B13" s="60" t="s">
        <v>300</v>
      </c>
      <c r="C13" s="11" t="s">
        <v>301</v>
      </c>
      <c r="D13" s="44" t="n">
        <v>165000</v>
      </c>
      <c r="E13" s="44" t="n">
        <v>172000</v>
      </c>
      <c r="F13" s="44" t="n">
        <v>180000</v>
      </c>
      <c r="G13" s="44" t="n">
        <v>168000</v>
      </c>
      <c r="H13" s="44" t="n">
        <v>175000</v>
      </c>
      <c r="I13" s="44" t="n">
        <v>185000</v>
      </c>
      <c r="J13" s="44" t="n">
        <v>22000</v>
      </c>
      <c r="K13" s="61" t="n">
        <v>300</v>
      </c>
      <c r="L13" s="58" t="n">
        <f aca="false">IFERROR(J13/I13,"")</f>
        <v>0.118918918918919</v>
      </c>
      <c r="M13" s="57" t="n">
        <f aca="false">IFERROR(I13/K13,"")</f>
        <v>616.666666666667</v>
      </c>
    </row>
    <row r="14" customFormat="false" ht="15" hidden="false" customHeight="false" outlineLevel="0" collapsed="false">
      <c r="A14" s="68" t="s">
        <v>7</v>
      </c>
      <c r="B14" s="63" t="s">
        <v>303</v>
      </c>
      <c r="C14" s="64" t="s">
        <v>304</v>
      </c>
      <c r="D14" s="66" t="n">
        <v>0</v>
      </c>
      <c r="E14" s="66" t="n">
        <v>0</v>
      </c>
      <c r="F14" s="66" t="n">
        <v>0</v>
      </c>
      <c r="G14" s="66" t="n">
        <v>0</v>
      </c>
      <c r="H14" s="66" t="n">
        <v>0</v>
      </c>
      <c r="I14" s="66" t="n">
        <v>0</v>
      </c>
      <c r="J14" s="66" t="n">
        <v>0</v>
      </c>
      <c r="K14" s="65" t="n">
        <v>0</v>
      </c>
      <c r="L14" s="77" t="str">
        <f aca="false">IFERROR(J14/I14,"")</f>
        <v/>
      </c>
      <c r="M14" s="78" t="str">
        <f aca="false">IFERROR(I14/K14,"")</f>
        <v/>
      </c>
    </row>
    <row r="15" customFormat="false" ht="15" hidden="false" customHeight="false" outlineLevel="0" collapsed="false">
      <c r="A15" s="14" t="s">
        <v>7</v>
      </c>
      <c r="B15" s="60" t="s">
        <v>306</v>
      </c>
      <c r="C15" s="11" t="s">
        <v>307</v>
      </c>
      <c r="D15" s="44" t="n">
        <v>0</v>
      </c>
      <c r="E15" s="44" t="n">
        <v>0</v>
      </c>
      <c r="F15" s="44" t="n">
        <v>0</v>
      </c>
      <c r="G15" s="44" t="n">
        <v>0</v>
      </c>
      <c r="H15" s="44" t="n">
        <v>0</v>
      </c>
      <c r="I15" s="44" t="n">
        <v>0</v>
      </c>
      <c r="J15" s="44" t="n">
        <v>0</v>
      </c>
      <c r="K15" s="61" t="n">
        <v>0</v>
      </c>
      <c r="L15" s="58" t="str">
        <f aca="false">IFERROR(J15/I15,"")</f>
        <v/>
      </c>
      <c r="M15" s="57" t="str">
        <f aca="false">IFERROR(I15/K15,"")</f>
        <v/>
      </c>
    </row>
    <row r="16" customFormat="false" ht="15" hidden="false" customHeight="false" outlineLevel="0" collapsed="false">
      <c r="A16" s="68" t="s">
        <v>7</v>
      </c>
      <c r="B16" s="63" t="s">
        <v>309</v>
      </c>
      <c r="C16" s="64" t="s">
        <v>310</v>
      </c>
      <c r="D16" s="66" t="n">
        <v>0</v>
      </c>
      <c r="E16" s="66" t="n">
        <v>0</v>
      </c>
      <c r="F16" s="66" t="n">
        <v>0</v>
      </c>
      <c r="G16" s="66" t="n">
        <v>0</v>
      </c>
      <c r="H16" s="66" t="n">
        <v>0</v>
      </c>
      <c r="I16" s="66" t="n">
        <v>0</v>
      </c>
      <c r="J16" s="66" t="n">
        <v>0</v>
      </c>
      <c r="K16" s="65" t="n">
        <v>0</v>
      </c>
      <c r="L16" s="77" t="str">
        <f aca="false">IFERROR(J16/I16,"")</f>
        <v/>
      </c>
      <c r="M16" s="78" t="str">
        <f aca="false">IFERROR(I16/K16,"")</f>
        <v/>
      </c>
    </row>
    <row r="17" customFormat="false" ht="15" hidden="false" customHeight="false" outlineLevel="0" collapsed="false">
      <c r="A17" s="14" t="s">
        <v>7</v>
      </c>
      <c r="B17" s="60" t="s">
        <v>311</v>
      </c>
      <c r="C17" s="11" t="s">
        <v>312</v>
      </c>
      <c r="D17" s="44" t="n">
        <v>0</v>
      </c>
      <c r="E17" s="44" t="n">
        <v>0</v>
      </c>
      <c r="F17" s="44" t="n">
        <v>0</v>
      </c>
      <c r="G17" s="44" t="n">
        <v>0</v>
      </c>
      <c r="H17" s="44" t="n">
        <v>0</v>
      </c>
      <c r="I17" s="44" t="n">
        <v>0</v>
      </c>
      <c r="J17" s="44" t="n">
        <v>0</v>
      </c>
      <c r="K17" s="61" t="n">
        <v>0</v>
      </c>
      <c r="L17" s="58" t="str">
        <f aca="false">IFERROR(J17/I17,"")</f>
        <v/>
      </c>
      <c r="M17" s="57" t="str">
        <f aca="false">IFERROR(I17/K17,"")</f>
        <v/>
      </c>
    </row>
    <row r="18" customFormat="false" ht="15" hidden="false" customHeight="false" outlineLevel="0" collapsed="false">
      <c r="A18" s="32"/>
      <c r="B18" s="42" t="s">
        <v>322</v>
      </c>
      <c r="C18" s="32"/>
      <c r="D18" s="53" t="n">
        <f aca="false">SUM(D5:D17)</f>
        <v>331000</v>
      </c>
      <c r="E18" s="53" t="n">
        <f aca="false">SUM(E5:E17)</f>
        <v>352000</v>
      </c>
      <c r="F18" s="53" t="n">
        <f aca="false">SUM(F5:F17)</f>
        <v>367000</v>
      </c>
      <c r="G18" s="53" t="n">
        <f aca="false">SUM(G5:G17)</f>
        <v>335000</v>
      </c>
      <c r="H18" s="53" t="n">
        <f aca="false">SUM(H5:H17)</f>
        <v>352000</v>
      </c>
      <c r="I18" s="53" t="n">
        <f aca="false">SUM(I5:I17)</f>
        <v>379000</v>
      </c>
      <c r="J18" s="53" t="n">
        <f aca="false">SUM(J5:J17)</f>
        <v>56000</v>
      </c>
      <c r="K18" s="76" t="n">
        <f aca="false">SUM(K5:K17)</f>
        <v>560</v>
      </c>
      <c r="L18" s="79" t="n">
        <f aca="false">IFERROR(J18/I18,"")</f>
        <v>0.147757255936675</v>
      </c>
      <c r="M18" s="32"/>
    </row>
  </sheetData>
  <autoFilter ref="A4:M17"/>
  <mergeCells count="2">
    <mergeCell ref="A1:M1"/>
    <mergeCell ref="A2:M2"/>
  </mergeCells>
  <conditionalFormatting sqref="L5:L17">
    <cfRule type="cellIs" priority="2" operator="greaterThan" aboveAverage="0" equalAverage="0" bottom="0" percent="0" rank="0" text="" dxfId="0">
      <formula>0.15</formula>
    </cfRule>
    <cfRule type="cellIs" priority="3" operator="lessThanOrEqual" aboveAverage="0" equalAverage="0" bottom="0" percent="0" rank="0" text="" dxfId="1">
      <formula>0.15</formula>
    </cfRule>
  </conditionalFormatting>
  <conditionalFormatting sqref="D5:D17">
    <cfRule type="dataBar" priority="4">
      <dataBar showValue="1" minLength="10" maxLength="90">
        <cfvo type="num" val="0"/>
        <cfvo type="max" val="0"/>
        <color rgb="FFF18A2B"/>
      </dataBar>
      <extLst>
        <ext xmlns:x14="http://schemas.microsoft.com/office/spreadsheetml/2009/9/main" uri="{B025F937-C7B1-47D3-B67F-A62EFF666E3E}">
          <x14:id>{E79140C9-D7BD-4EE9-B824-4AB791F953B4}</x14:id>
        </ext>
      </extLst>
    </cfRule>
  </conditionalFormatting>
  <conditionalFormatting sqref="E5:E17">
    <cfRule type="dataBar" priority="5">
      <dataBar showValue="1" minLength="10" maxLength="90">
        <cfvo type="num" val="0"/>
        <cfvo type="max" val="0"/>
        <color rgb="FFF18A2B"/>
      </dataBar>
      <extLst>
        <ext xmlns:x14="http://schemas.microsoft.com/office/spreadsheetml/2009/9/main" uri="{B025F937-C7B1-47D3-B67F-A62EFF666E3E}">
          <x14:id>{BF5664D6-2CD4-4DAA-B030-A23665835371}</x14:id>
        </ext>
      </extLst>
    </cfRule>
  </conditionalFormatting>
  <conditionalFormatting sqref="F5:F17">
    <cfRule type="dataBar" priority="6">
      <dataBar showValue="1" minLength="10" maxLength="90">
        <cfvo type="num" val="0"/>
        <cfvo type="max" val="0"/>
        <color rgb="FFF18A2B"/>
      </dataBar>
      <extLst>
        <ext xmlns:x14="http://schemas.microsoft.com/office/spreadsheetml/2009/9/main" uri="{B025F937-C7B1-47D3-B67F-A62EFF666E3E}">
          <x14:id>{D9307F9B-FECF-4619-86BE-502447EC9E11}</x14:id>
        </ext>
      </extLst>
    </cfRule>
  </conditionalFormatting>
  <conditionalFormatting sqref="G5:G17">
    <cfRule type="dataBar" priority="7">
      <dataBar showValue="1" minLength="10" maxLength="90">
        <cfvo type="num" val="0"/>
        <cfvo type="max" val="0"/>
        <color rgb="FFF18A2B"/>
      </dataBar>
      <extLst>
        <ext xmlns:x14="http://schemas.microsoft.com/office/spreadsheetml/2009/9/main" uri="{B025F937-C7B1-47D3-B67F-A62EFF666E3E}">
          <x14:id>{90AC701E-C261-4B29-AE9F-85DF96508BC3}</x14:id>
        </ext>
      </extLst>
    </cfRule>
  </conditionalFormatting>
  <conditionalFormatting sqref="H5:H17">
    <cfRule type="dataBar" priority="8">
      <dataBar showValue="1" minLength="10" maxLength="90">
        <cfvo type="num" val="0"/>
        <cfvo type="max" val="0"/>
        <color rgb="FFF18A2B"/>
      </dataBar>
      <extLst>
        <ext xmlns:x14="http://schemas.microsoft.com/office/spreadsheetml/2009/9/main" uri="{B025F937-C7B1-47D3-B67F-A62EFF666E3E}">
          <x14:id>{4D3EBF9D-EEC9-4C80-9274-60CCC52EE46A}</x14:id>
        </ext>
      </extLst>
    </cfRule>
  </conditionalFormatting>
  <conditionalFormatting sqref="I5:I17">
    <cfRule type="dataBar" priority="9">
      <dataBar showValue="1" minLength="10" maxLength="90">
        <cfvo type="num" val="0"/>
        <cfvo type="max" val="0"/>
        <color rgb="FFF18A2B"/>
      </dataBar>
      <extLst>
        <ext xmlns:x14="http://schemas.microsoft.com/office/spreadsheetml/2009/9/main" uri="{B025F937-C7B1-47D3-B67F-A62EFF666E3E}">
          <x14:id>{EC5DD2E1-3B7D-4684-A173-B779C4FA90F7}</x14:id>
        </ext>
      </extLst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140C9-D7BD-4EE9-B824-4AB791F953B4}">
            <x14:dataBar minLength="10" maxLength="90" axisPosition="none" gradient="true">
              <x14:cfvo type="num">
                <xm:f>0</xm:f>
              </x14:cfvo>
              <x14:cfvo type="max"/>
              <x14:negativeFillColor rgb="FFF18A2B"/>
              <x14:axisColor rgb="FF000000"/>
            </x14:dataBar>
          </x14:cfRule>
          <xm:sqref>D5:D17</xm:sqref>
        </x14:conditionalFormatting>
        <x14:conditionalFormatting xmlns:xm="http://schemas.microsoft.com/office/excel/2006/main">
          <x14:cfRule type="dataBar" id="{BF5664D6-2CD4-4DAA-B030-A23665835371}">
            <x14:dataBar minLength="10" maxLength="90" axisPosition="none" gradient="true">
              <x14:cfvo type="num">
                <xm:f>0</xm:f>
              </x14:cfvo>
              <x14:cfvo type="max"/>
              <x14:negativeFillColor rgb="FFF18A2B"/>
              <x14:axisColor rgb="FF000000"/>
            </x14:dataBar>
          </x14:cfRule>
          <xm:sqref>E5:E17</xm:sqref>
        </x14:conditionalFormatting>
        <x14:conditionalFormatting xmlns:xm="http://schemas.microsoft.com/office/excel/2006/main">
          <x14:cfRule type="dataBar" id="{D9307F9B-FECF-4619-86BE-502447EC9E11}">
            <x14:dataBar minLength="10" maxLength="90" axisPosition="none" gradient="true">
              <x14:cfvo type="num">
                <xm:f>0</xm:f>
              </x14:cfvo>
              <x14:cfvo type="max"/>
              <x14:negativeFillColor rgb="FFF18A2B"/>
              <x14:axisColor rgb="FF000000"/>
            </x14:dataBar>
          </x14:cfRule>
          <xm:sqref>F5:F17</xm:sqref>
        </x14:conditionalFormatting>
        <x14:conditionalFormatting xmlns:xm="http://schemas.microsoft.com/office/excel/2006/main">
          <x14:cfRule type="dataBar" id="{90AC701E-C261-4B29-AE9F-85DF96508BC3}">
            <x14:dataBar minLength="10" maxLength="90" axisPosition="none" gradient="true">
              <x14:cfvo type="num">
                <xm:f>0</xm:f>
              </x14:cfvo>
              <x14:cfvo type="max"/>
              <x14:negativeFillColor rgb="FFF18A2B"/>
              <x14:axisColor rgb="FF000000"/>
            </x14:dataBar>
          </x14:cfRule>
          <xm:sqref>G5:G17</xm:sqref>
        </x14:conditionalFormatting>
        <x14:conditionalFormatting xmlns:xm="http://schemas.microsoft.com/office/excel/2006/main">
          <x14:cfRule type="dataBar" id="{4D3EBF9D-EEC9-4C80-9274-60CCC52EE46A}">
            <x14:dataBar minLength="10" maxLength="90" axisPosition="none" gradient="true">
              <x14:cfvo type="num">
                <xm:f>0</xm:f>
              </x14:cfvo>
              <x14:cfvo type="max"/>
              <x14:negativeFillColor rgb="FFF18A2B"/>
              <x14:axisColor rgb="FF000000"/>
            </x14:dataBar>
          </x14:cfRule>
          <xm:sqref>H5:H17</xm:sqref>
        </x14:conditionalFormatting>
        <x14:conditionalFormatting xmlns:xm="http://schemas.microsoft.com/office/excel/2006/main">
          <x14:cfRule type="dataBar" id="{EC5DD2E1-3B7D-4684-A173-B779C4FA90F7}">
            <x14:dataBar minLength="10" maxLength="90" axisPosition="none" gradient="true">
              <x14:cfvo type="num">
                <xm:f>0</xm:f>
              </x14:cfvo>
              <x14:cfvo type="max"/>
              <x14:negativeFillColor rgb="FFF18A2B"/>
              <x14:axisColor rgb="FF000000"/>
            </x14:dataBar>
          </x14:cfRule>
          <xm:sqref>I5:I17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G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7" topLeftCell="A1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7" min="2" style="0" width="14"/>
  </cols>
  <sheetData>
    <row r="1" customFormat="false" ht="33.75" hidden="false" customHeight="true" outlineLevel="0" collapsed="false">
      <c r="A1" s="1" t="s">
        <v>328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329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102</v>
      </c>
      <c r="B4" s="3" t="s">
        <v>4</v>
      </c>
      <c r="C4" s="3" t="s">
        <v>330</v>
      </c>
      <c r="D4" s="3" t="s">
        <v>331</v>
      </c>
      <c r="E4" s="3" t="s">
        <v>332</v>
      </c>
      <c r="F4" s="3" t="s">
        <v>333</v>
      </c>
      <c r="G4" s="3" t="s">
        <v>334</v>
      </c>
    </row>
    <row r="5" customFormat="false" ht="15" hidden="false" customHeight="false" outlineLevel="0" collapsed="false">
      <c r="A5" s="14" t="s">
        <v>7</v>
      </c>
      <c r="B5" s="11" t="s">
        <v>14</v>
      </c>
      <c r="C5" s="30" t="n">
        <v>0.357</v>
      </c>
      <c r="D5" s="44" t="n">
        <v>3915547</v>
      </c>
      <c r="E5" s="46" t="n">
        <v>0.15</v>
      </c>
      <c r="F5" s="57" t="n">
        <f aca="false">C5*D5</f>
        <v>1397850.279</v>
      </c>
      <c r="G5" s="57" t="n">
        <f aca="false">F5*E5</f>
        <v>209677.54185</v>
      </c>
    </row>
    <row r="6" customFormat="false" ht="15" hidden="false" customHeight="false" outlineLevel="0" collapsed="false">
      <c r="A6" s="68" t="s">
        <v>7</v>
      </c>
      <c r="B6" s="64" t="s">
        <v>18</v>
      </c>
      <c r="C6" s="80" t="n">
        <v>0.362</v>
      </c>
      <c r="D6" s="66" t="n">
        <v>3915547</v>
      </c>
      <c r="E6" s="81" t="n">
        <v>0.15</v>
      </c>
      <c r="F6" s="78" t="n">
        <f aca="false">C6*D6</f>
        <v>1417428.014</v>
      </c>
      <c r="G6" s="78" t="n">
        <f aca="false">F6*E6</f>
        <v>212614.2021</v>
      </c>
    </row>
    <row r="7" customFormat="false" ht="15" hidden="false" customHeight="false" outlineLevel="0" collapsed="false">
      <c r="A7" s="14" t="s">
        <v>7</v>
      </c>
      <c r="B7" s="11" t="s">
        <v>22</v>
      </c>
      <c r="C7" s="30" t="n">
        <v>0.281</v>
      </c>
      <c r="D7" s="44" t="n">
        <v>3915547</v>
      </c>
      <c r="E7" s="46" t="n">
        <v>0.15</v>
      </c>
      <c r="F7" s="57" t="n">
        <f aca="false">C7*D7</f>
        <v>1100268.707</v>
      </c>
      <c r="G7" s="57" t="n">
        <f aca="false">F7*E7</f>
        <v>165040.30605</v>
      </c>
    </row>
    <row r="8" customFormat="false" ht="15" hidden="false" customHeight="false" outlineLevel="0" collapsed="false">
      <c r="A8" s="68" t="s">
        <v>8</v>
      </c>
      <c r="B8" s="64" t="s">
        <v>14</v>
      </c>
      <c r="C8" s="80" t="n">
        <v>0.495</v>
      </c>
      <c r="D8" s="66" t="n">
        <v>2914000</v>
      </c>
      <c r="E8" s="81" t="n">
        <v>0.15</v>
      </c>
      <c r="F8" s="78" t="n">
        <f aca="false">C8*D8</f>
        <v>1442430</v>
      </c>
      <c r="G8" s="78" t="n">
        <f aca="false">F8*E8</f>
        <v>216364.5</v>
      </c>
    </row>
    <row r="9" customFormat="false" ht="15" hidden="false" customHeight="false" outlineLevel="0" collapsed="false">
      <c r="A9" s="14" t="s">
        <v>8</v>
      </c>
      <c r="B9" s="11" t="s">
        <v>18</v>
      </c>
      <c r="C9" s="30" t="n">
        <v>0.498</v>
      </c>
      <c r="D9" s="44" t="n">
        <v>2914000</v>
      </c>
      <c r="E9" s="46" t="n">
        <v>0.15</v>
      </c>
      <c r="F9" s="57" t="n">
        <f aca="false">C9*D9</f>
        <v>1451172</v>
      </c>
      <c r="G9" s="57" t="n">
        <f aca="false">F9*E9</f>
        <v>217675.8</v>
      </c>
    </row>
    <row r="10" customFormat="false" ht="15" hidden="false" customHeight="false" outlineLevel="0" collapsed="false">
      <c r="A10" s="68" t="s">
        <v>8</v>
      </c>
      <c r="B10" s="64" t="s">
        <v>22</v>
      </c>
      <c r="C10" s="80" t="n">
        <v>0.007</v>
      </c>
      <c r="D10" s="66" t="n">
        <v>2914000</v>
      </c>
      <c r="E10" s="81" t="n">
        <v>0.15</v>
      </c>
      <c r="F10" s="78" t="n">
        <f aca="false">C10*D10</f>
        <v>20398</v>
      </c>
      <c r="G10" s="78" t="n">
        <f aca="false">F10*E10</f>
        <v>3059.7</v>
      </c>
    </row>
    <row r="11" customFormat="false" ht="15" hidden="false" customHeight="false" outlineLevel="0" collapsed="false">
      <c r="A11" s="14" t="s">
        <v>9</v>
      </c>
      <c r="B11" s="11" t="s">
        <v>14</v>
      </c>
      <c r="C11" s="30" t="n">
        <v>0.587</v>
      </c>
      <c r="D11" s="44" t="n">
        <v>955000</v>
      </c>
      <c r="E11" s="46" t="n">
        <v>0.15</v>
      </c>
      <c r="F11" s="57" t="n">
        <f aca="false">C11*D11</f>
        <v>560585</v>
      </c>
      <c r="G11" s="57" t="n">
        <f aca="false">F11*E11</f>
        <v>84087.75</v>
      </c>
    </row>
    <row r="12" customFormat="false" ht="15" hidden="false" customHeight="false" outlineLevel="0" collapsed="false">
      <c r="A12" s="68" t="s">
        <v>9</v>
      </c>
      <c r="B12" s="64" t="s">
        <v>18</v>
      </c>
      <c r="C12" s="80" t="n">
        <v>0.408</v>
      </c>
      <c r="D12" s="66" t="n">
        <v>955000</v>
      </c>
      <c r="E12" s="81" t="n">
        <v>0.15</v>
      </c>
      <c r="F12" s="78" t="n">
        <f aca="false">C12*D12</f>
        <v>389640</v>
      </c>
      <c r="G12" s="78" t="n">
        <f aca="false">F12*E12</f>
        <v>58446</v>
      </c>
    </row>
    <row r="13" customFormat="false" ht="15" hidden="false" customHeight="false" outlineLevel="0" collapsed="false">
      <c r="A13" s="14" t="s">
        <v>9</v>
      </c>
      <c r="B13" s="11" t="s">
        <v>22</v>
      </c>
      <c r="C13" s="30" t="n">
        <v>0.005</v>
      </c>
      <c r="D13" s="44" t="n">
        <v>955000</v>
      </c>
      <c r="E13" s="46" t="n">
        <v>0.15</v>
      </c>
      <c r="F13" s="57" t="n">
        <f aca="false">C13*D13</f>
        <v>4775</v>
      </c>
      <c r="G13" s="57" t="n">
        <f aca="false">F13*E13</f>
        <v>716.25</v>
      </c>
    </row>
    <row r="14" customFormat="false" ht="15" hidden="false" customHeight="false" outlineLevel="0" collapsed="false">
      <c r="A14" s="32"/>
      <c r="B14" s="42" t="s">
        <v>322</v>
      </c>
      <c r="C14" s="32"/>
      <c r="D14" s="32"/>
      <c r="E14" s="32"/>
      <c r="F14" s="53" t="n">
        <f aca="false">SUM(F5:F13)</f>
        <v>7784547</v>
      </c>
      <c r="G14" s="53" t="n">
        <f aca="false">SUM(G5:G13)</f>
        <v>1167682.05</v>
      </c>
    </row>
    <row r="16" customFormat="false" ht="15" hidden="false" customHeight="false" outlineLevel="0" collapsed="false">
      <c r="A16" s="10" t="s">
        <v>335</v>
      </c>
    </row>
    <row r="17" customFormat="false" ht="30" hidden="false" customHeight="true" outlineLevel="0" collapsed="false">
      <c r="A17" s="3" t="s">
        <v>102</v>
      </c>
      <c r="B17" s="3" t="s">
        <v>15</v>
      </c>
      <c r="C17" s="3" t="s">
        <v>19</v>
      </c>
      <c r="D17" s="3" t="s">
        <v>23</v>
      </c>
      <c r="E17" s="3" t="s">
        <v>25</v>
      </c>
      <c r="F17" s="3" t="s">
        <v>27</v>
      </c>
      <c r="G17" s="3" t="s">
        <v>28</v>
      </c>
    </row>
    <row r="18" customFormat="false" ht="15" hidden="false" customHeight="false" outlineLevel="0" collapsed="false">
      <c r="A18" s="26" t="s">
        <v>7</v>
      </c>
      <c r="B18" s="46" t="n">
        <v>4.25</v>
      </c>
      <c r="C18" s="46" t="n">
        <v>4.17</v>
      </c>
      <c r="D18" s="46" t="n">
        <v>4.91</v>
      </c>
      <c r="E18" s="46" t="n">
        <v>3.6</v>
      </c>
      <c r="F18" s="46" t="n">
        <v>3.13</v>
      </c>
      <c r="G18" s="46" t="n">
        <v>3.43</v>
      </c>
    </row>
    <row r="19" customFormat="false" ht="15" hidden="false" customHeight="false" outlineLevel="0" collapsed="false">
      <c r="A19" s="62" t="s">
        <v>8</v>
      </c>
      <c r="B19" s="81" t="n">
        <v>2.85</v>
      </c>
      <c r="C19" s="81" t="n">
        <v>2.92</v>
      </c>
      <c r="D19" s="81" t="n">
        <v>3.05</v>
      </c>
      <c r="E19" s="81" t="n">
        <v>2.88</v>
      </c>
      <c r="F19" s="81" t="n">
        <v>2.8</v>
      </c>
      <c r="G19" s="81" t="n">
        <v>2.95</v>
      </c>
    </row>
    <row r="20" customFormat="false" ht="15" hidden="false" customHeight="false" outlineLevel="0" collapsed="false">
      <c r="A20" s="26" t="s">
        <v>9</v>
      </c>
      <c r="B20" s="46" t="n">
        <v>0.98</v>
      </c>
      <c r="C20" s="46" t="n">
        <v>0.95</v>
      </c>
      <c r="D20" s="46" t="n">
        <v>1.02</v>
      </c>
      <c r="E20" s="46" t="n">
        <v>0.93</v>
      </c>
      <c r="F20" s="46" t="n">
        <v>0.9</v>
      </c>
      <c r="G20" s="46" t="n">
        <v>0.96</v>
      </c>
    </row>
  </sheetData>
  <autoFilter ref="A4:G13"/>
  <mergeCells count="2">
    <mergeCell ref="A1:G1"/>
    <mergeCell ref="A2:G2"/>
  </mergeCells>
  <conditionalFormatting sqref="G5:G13">
    <cfRule type="dataBar" priority="2">
      <dataBar showValue="1" minLength="10" maxLength="90">
        <cfvo type="num" val="0"/>
        <cfvo type="max" val="0"/>
        <color rgb="FF2E8B57"/>
      </dataBar>
      <extLst>
        <ext xmlns:x14="http://schemas.microsoft.com/office/spreadsheetml/2009/9/main" uri="{B025F937-C7B1-47D3-B67F-A62EFF666E3E}">
          <x14:id>{F218DAC8-E233-45C3-AB86-6C1C51828E58}</x14:id>
        </ext>
      </extLst>
    </cfRule>
  </conditionalFormatting>
  <conditionalFormatting sqref="B18:B20">
    <cfRule type="dataBar" priority="3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{25F7FAD0-DBA2-41A0-959E-CC5161AA859D}</x14:id>
        </ext>
      </extLst>
    </cfRule>
  </conditionalFormatting>
  <conditionalFormatting sqref="C18:C20">
    <cfRule type="dataBar" priority="4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{7D852E4A-7399-43B0-8F92-599657562632}</x14:id>
        </ext>
      </extLst>
    </cfRule>
  </conditionalFormatting>
  <conditionalFormatting sqref="D18:D20">
    <cfRule type="dataBar" priority="5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{49BAACFF-FBFF-4C60-85C7-A8C56F37C53C}</x14:id>
        </ext>
      </extLst>
    </cfRule>
  </conditionalFormatting>
  <conditionalFormatting sqref="E18:E20">
    <cfRule type="dataBar" priority="6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{7DC0546F-60DA-44AC-9845-EBDC5C8B9B9E}</x14:id>
        </ext>
      </extLst>
    </cfRule>
  </conditionalFormatting>
  <conditionalFormatting sqref="F18:F20">
    <cfRule type="dataBar" priority="7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{83E8B711-B2C3-48BF-AAC8-A0E0F99758C4}</x14:id>
        </ext>
      </extLst>
    </cfRule>
  </conditionalFormatting>
  <conditionalFormatting sqref="G18:G20">
    <cfRule type="dataBar" priority="8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{9A39212F-E924-4877-9B69-B68FE436A3B0}</x14:id>
        </ext>
      </extLst>
    </cfRule>
  </conditionalFormatting>
  <dataValidations count="1">
    <dataValidation allowBlank="true" errorStyle="stop" operator="between" showDropDown="false" showErrorMessage="false" showInputMessage="false" sqref="B5:B13" type="list">
      <formula1>"بنزين 91,بنزين 95,بنزين 98,ديزل"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18DAC8-E233-45C3-AB86-6C1C51828E58}">
            <x14:dataBar minLength="10" maxLength="90" axisPosition="none" gradient="true">
              <x14:cfvo type="num">
                <xm:f>0</xm:f>
              </x14:cfvo>
              <x14:cfvo type="max"/>
              <x14:negativeFillColor rgb="FF2E8B57"/>
              <x14:axisColor rgb="FF000000"/>
            </x14:dataBar>
          </x14:cfRule>
          <xm:sqref>G5:G13</xm:sqref>
        </x14:conditionalFormatting>
        <x14:conditionalFormatting xmlns:xm="http://schemas.microsoft.com/office/excel/2006/main">
          <x14:cfRule type="dataBar" id="{25F7FAD0-DBA2-41A0-959E-CC5161AA859D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B18:B20</xm:sqref>
        </x14:conditionalFormatting>
        <x14:conditionalFormatting xmlns:xm="http://schemas.microsoft.com/office/excel/2006/main">
          <x14:cfRule type="dataBar" id="{7D852E4A-7399-43B0-8F92-599657562632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C18:C20</xm:sqref>
        </x14:conditionalFormatting>
        <x14:conditionalFormatting xmlns:xm="http://schemas.microsoft.com/office/excel/2006/main">
          <x14:cfRule type="dataBar" id="{49BAACFF-FBFF-4C60-85C7-A8C56F37C53C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D18:D20</xm:sqref>
        </x14:conditionalFormatting>
        <x14:conditionalFormatting xmlns:xm="http://schemas.microsoft.com/office/excel/2006/main">
          <x14:cfRule type="dataBar" id="{7DC0546F-60DA-44AC-9845-EBDC5C8B9B9E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E18:E20</xm:sqref>
        </x14:conditionalFormatting>
        <x14:conditionalFormatting xmlns:xm="http://schemas.microsoft.com/office/excel/2006/main">
          <x14:cfRule type="dataBar" id="{83E8B711-B2C3-48BF-AAC8-A0E0F99758C4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F18:F20</xm:sqref>
        </x14:conditionalFormatting>
        <x14:conditionalFormatting xmlns:xm="http://schemas.microsoft.com/office/excel/2006/main">
          <x14:cfRule type="dataBar" id="{9A39212F-E924-4877-9B69-B68FE436A3B0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G18:G20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G2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50"/>
    <col collapsed="false" customWidth="true" hidden="false" outlineLevel="0" max="4" min="4" style="0" width="20"/>
    <col collapsed="false" customWidth="true" hidden="false" outlineLevel="0" max="5" min="5" style="0" width="17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33.75" hidden="false" customHeight="true" outlineLevel="0" collapsed="false">
      <c r="A1" s="1" t="s">
        <v>336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337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102</v>
      </c>
      <c r="B4" s="3" t="s">
        <v>338</v>
      </c>
      <c r="C4" s="3" t="s">
        <v>339</v>
      </c>
      <c r="D4" s="3" t="s">
        <v>340</v>
      </c>
      <c r="E4" s="3" t="s">
        <v>341</v>
      </c>
      <c r="F4" s="3" t="s">
        <v>277</v>
      </c>
      <c r="G4" s="3" t="s">
        <v>342</v>
      </c>
    </row>
    <row r="5" customFormat="false" ht="30" hidden="false" customHeight="true" outlineLevel="0" collapsed="false">
      <c r="A5" s="14" t="s">
        <v>7</v>
      </c>
      <c r="B5" s="4" t="s">
        <v>343</v>
      </c>
      <c r="C5" s="60" t="s">
        <v>344</v>
      </c>
      <c r="D5" s="11" t="s">
        <v>16</v>
      </c>
      <c r="E5" s="44" t="n">
        <v>60000</v>
      </c>
      <c r="F5" s="11" t="s">
        <v>345</v>
      </c>
      <c r="G5" s="11" t="s">
        <v>346</v>
      </c>
    </row>
    <row r="6" customFormat="false" ht="30" hidden="false" customHeight="true" outlineLevel="0" collapsed="false">
      <c r="A6" s="68" t="s">
        <v>7</v>
      </c>
      <c r="B6" s="7" t="s">
        <v>347</v>
      </c>
      <c r="C6" s="63" t="s">
        <v>348</v>
      </c>
      <c r="D6" s="64" t="s">
        <v>16</v>
      </c>
      <c r="E6" s="66" t="n">
        <v>45000</v>
      </c>
      <c r="F6" s="64" t="s">
        <v>349</v>
      </c>
      <c r="G6" s="64" t="s">
        <v>346</v>
      </c>
    </row>
    <row r="7" customFormat="false" ht="30" hidden="false" customHeight="true" outlineLevel="0" collapsed="false">
      <c r="A7" s="14" t="s">
        <v>7</v>
      </c>
      <c r="B7" s="4" t="s">
        <v>350</v>
      </c>
      <c r="C7" s="60" t="s">
        <v>351</v>
      </c>
      <c r="D7" s="11" t="s">
        <v>16</v>
      </c>
      <c r="E7" s="44" t="n">
        <v>22000</v>
      </c>
      <c r="F7" s="11" t="s">
        <v>345</v>
      </c>
      <c r="G7" s="11" t="s">
        <v>180</v>
      </c>
    </row>
    <row r="8" customFormat="false" ht="30" hidden="false" customHeight="true" outlineLevel="0" collapsed="false">
      <c r="A8" s="68" t="s">
        <v>7</v>
      </c>
      <c r="B8" s="7" t="s">
        <v>352</v>
      </c>
      <c r="C8" s="63" t="s">
        <v>353</v>
      </c>
      <c r="D8" s="64" t="s">
        <v>20</v>
      </c>
      <c r="E8" s="66" t="n">
        <v>28000</v>
      </c>
      <c r="F8" s="64" t="s">
        <v>345</v>
      </c>
      <c r="G8" s="64" t="s">
        <v>346</v>
      </c>
    </row>
    <row r="9" customFormat="false" ht="30" hidden="false" customHeight="true" outlineLevel="0" collapsed="false">
      <c r="A9" s="14" t="s">
        <v>7</v>
      </c>
      <c r="B9" s="4" t="s">
        <v>354</v>
      </c>
      <c r="C9" s="60" t="s">
        <v>355</v>
      </c>
      <c r="D9" s="11" t="s">
        <v>20</v>
      </c>
      <c r="E9" s="44" t="n">
        <v>18000</v>
      </c>
      <c r="F9" s="11" t="s">
        <v>345</v>
      </c>
      <c r="G9" s="11" t="s">
        <v>346</v>
      </c>
    </row>
    <row r="10" customFormat="false" ht="30" hidden="false" customHeight="true" outlineLevel="0" collapsed="false">
      <c r="A10" s="68" t="s">
        <v>7</v>
      </c>
      <c r="B10" s="7" t="s">
        <v>356</v>
      </c>
      <c r="C10" s="63" t="s">
        <v>357</v>
      </c>
      <c r="D10" s="64" t="s">
        <v>20</v>
      </c>
      <c r="E10" s="66" t="n">
        <v>12000</v>
      </c>
      <c r="F10" s="64" t="s">
        <v>345</v>
      </c>
      <c r="G10" s="64" t="s">
        <v>180</v>
      </c>
    </row>
    <row r="11" customFormat="false" ht="30" hidden="false" customHeight="true" outlineLevel="0" collapsed="false">
      <c r="A11" s="14" t="s">
        <v>7</v>
      </c>
      <c r="B11" s="4" t="s">
        <v>358</v>
      </c>
      <c r="C11" s="60" t="s">
        <v>359</v>
      </c>
      <c r="D11" s="11" t="s">
        <v>24</v>
      </c>
      <c r="E11" s="44" t="n">
        <v>12000</v>
      </c>
      <c r="F11" s="11" t="s">
        <v>345</v>
      </c>
      <c r="G11" s="11" t="s">
        <v>180</v>
      </c>
    </row>
    <row r="12" customFormat="false" ht="30" hidden="false" customHeight="true" outlineLevel="0" collapsed="false">
      <c r="A12" s="68" t="s">
        <v>7</v>
      </c>
      <c r="B12" s="7" t="s">
        <v>360</v>
      </c>
      <c r="C12" s="63" t="s">
        <v>361</v>
      </c>
      <c r="D12" s="64" t="s">
        <v>26</v>
      </c>
      <c r="E12" s="66" t="n">
        <v>6000</v>
      </c>
      <c r="F12" s="64" t="s">
        <v>345</v>
      </c>
      <c r="G12" s="64" t="s">
        <v>362</v>
      </c>
    </row>
    <row r="13" customFormat="false" ht="30" hidden="false" customHeight="true" outlineLevel="0" collapsed="false">
      <c r="A13" s="14" t="s">
        <v>7</v>
      </c>
      <c r="B13" s="4" t="s">
        <v>363</v>
      </c>
      <c r="C13" s="60" t="s">
        <v>364</v>
      </c>
      <c r="D13" s="11" t="s">
        <v>16</v>
      </c>
      <c r="E13" s="44" t="n">
        <v>49000</v>
      </c>
      <c r="F13" s="11" t="s">
        <v>345</v>
      </c>
      <c r="G13" s="11" t="s">
        <v>346</v>
      </c>
    </row>
    <row r="14" customFormat="false" ht="30" hidden="false" customHeight="true" outlineLevel="0" collapsed="false">
      <c r="A14" s="68" t="s">
        <v>7</v>
      </c>
      <c r="B14" s="7" t="s">
        <v>365</v>
      </c>
      <c r="C14" s="63" t="s">
        <v>366</v>
      </c>
      <c r="D14" s="64" t="s">
        <v>16</v>
      </c>
      <c r="E14" s="66" t="n">
        <v>20000</v>
      </c>
      <c r="F14" s="64" t="s">
        <v>345</v>
      </c>
      <c r="G14" s="64" t="s">
        <v>346</v>
      </c>
    </row>
    <row r="15" customFormat="false" ht="30" hidden="false" customHeight="true" outlineLevel="0" collapsed="false">
      <c r="A15" s="14" t="s">
        <v>7</v>
      </c>
      <c r="B15" s="4" t="s">
        <v>367</v>
      </c>
      <c r="C15" s="60" t="s">
        <v>368</v>
      </c>
      <c r="D15" s="11" t="s">
        <v>16</v>
      </c>
      <c r="E15" s="44" t="n">
        <v>25000</v>
      </c>
      <c r="F15" s="11" t="s">
        <v>345</v>
      </c>
      <c r="G15" s="11" t="s">
        <v>346</v>
      </c>
    </row>
    <row r="16" customFormat="false" ht="30" hidden="false" customHeight="true" outlineLevel="0" collapsed="false">
      <c r="A16" s="68" t="s">
        <v>8</v>
      </c>
      <c r="B16" s="7" t="s">
        <v>369</v>
      </c>
      <c r="C16" s="63" t="s">
        <v>370</v>
      </c>
      <c r="D16" s="64" t="s">
        <v>20</v>
      </c>
      <c r="E16" s="66" t="n">
        <v>20000</v>
      </c>
      <c r="F16" s="64" t="s">
        <v>345</v>
      </c>
      <c r="G16" s="64" t="s">
        <v>346</v>
      </c>
    </row>
    <row r="17" customFormat="false" ht="30" hidden="false" customHeight="true" outlineLevel="0" collapsed="false">
      <c r="A17" s="14" t="s">
        <v>8</v>
      </c>
      <c r="B17" s="4" t="s">
        <v>371</v>
      </c>
      <c r="C17" s="60" t="s">
        <v>372</v>
      </c>
      <c r="D17" s="11" t="s">
        <v>20</v>
      </c>
      <c r="E17" s="44" t="n">
        <v>15000</v>
      </c>
      <c r="F17" s="11" t="s">
        <v>345</v>
      </c>
      <c r="G17" s="11" t="s">
        <v>346</v>
      </c>
    </row>
    <row r="18" customFormat="false" ht="30" hidden="false" customHeight="true" outlineLevel="0" collapsed="false">
      <c r="A18" s="68" t="s">
        <v>8</v>
      </c>
      <c r="B18" s="7" t="s">
        <v>373</v>
      </c>
      <c r="C18" s="63" t="s">
        <v>374</v>
      </c>
      <c r="D18" s="64" t="s">
        <v>24</v>
      </c>
      <c r="E18" s="66" t="n">
        <v>8000</v>
      </c>
      <c r="F18" s="64" t="s">
        <v>345</v>
      </c>
      <c r="G18" s="64" t="s">
        <v>180</v>
      </c>
    </row>
    <row r="19" customFormat="false" ht="30" hidden="false" customHeight="true" outlineLevel="0" collapsed="false">
      <c r="A19" s="14" t="s">
        <v>8</v>
      </c>
      <c r="B19" s="4" t="s">
        <v>375</v>
      </c>
      <c r="C19" s="60" t="s">
        <v>376</v>
      </c>
      <c r="D19" s="11" t="s">
        <v>26</v>
      </c>
      <c r="E19" s="44" t="n">
        <v>10000</v>
      </c>
      <c r="F19" s="11" t="s">
        <v>345</v>
      </c>
      <c r="G19" s="11" t="s">
        <v>180</v>
      </c>
    </row>
    <row r="20" customFormat="false" ht="30" hidden="false" customHeight="true" outlineLevel="0" collapsed="false">
      <c r="A20" s="68" t="s">
        <v>9</v>
      </c>
      <c r="B20" s="7" t="s">
        <v>319</v>
      </c>
      <c r="C20" s="63" t="s">
        <v>377</v>
      </c>
      <c r="D20" s="64" t="s">
        <v>20</v>
      </c>
      <c r="E20" s="66" t="n">
        <v>9000</v>
      </c>
      <c r="F20" s="64" t="s">
        <v>345</v>
      </c>
      <c r="G20" s="64" t="s">
        <v>346</v>
      </c>
    </row>
    <row r="21" customFormat="false" ht="30" hidden="false" customHeight="true" outlineLevel="0" collapsed="false">
      <c r="A21" s="14" t="s">
        <v>9</v>
      </c>
      <c r="B21" s="4" t="s">
        <v>320</v>
      </c>
      <c r="C21" s="60" t="s">
        <v>378</v>
      </c>
      <c r="D21" s="11" t="s">
        <v>20</v>
      </c>
      <c r="E21" s="44" t="n">
        <v>12000</v>
      </c>
      <c r="F21" s="11" t="s">
        <v>345</v>
      </c>
      <c r="G21" s="11" t="s">
        <v>346</v>
      </c>
    </row>
    <row r="22" customFormat="false" ht="30" hidden="false" customHeight="true" outlineLevel="0" collapsed="false">
      <c r="A22" s="68" t="s">
        <v>9</v>
      </c>
      <c r="B22" s="7" t="s">
        <v>379</v>
      </c>
      <c r="C22" s="63" t="s">
        <v>380</v>
      </c>
      <c r="D22" s="64" t="s">
        <v>20</v>
      </c>
      <c r="E22" s="66" t="n">
        <v>8000</v>
      </c>
      <c r="F22" s="64" t="s">
        <v>345</v>
      </c>
      <c r="G22" s="64" t="s">
        <v>346</v>
      </c>
    </row>
    <row r="23" customFormat="false" ht="30" hidden="false" customHeight="true" outlineLevel="0" collapsed="false">
      <c r="A23" s="14" t="s">
        <v>9</v>
      </c>
      <c r="B23" s="4" t="s">
        <v>381</v>
      </c>
      <c r="C23" s="60" t="s">
        <v>382</v>
      </c>
      <c r="D23" s="11" t="s">
        <v>20</v>
      </c>
      <c r="E23" s="44" t="n">
        <v>6000</v>
      </c>
      <c r="F23" s="11" t="s">
        <v>345</v>
      </c>
      <c r="G23" s="11" t="s">
        <v>180</v>
      </c>
    </row>
    <row r="24" customFormat="false" ht="15" hidden="false" customHeight="false" outlineLevel="0" collapsed="false">
      <c r="A24" s="32"/>
      <c r="B24" s="42" t="s">
        <v>383</v>
      </c>
      <c r="C24" s="32"/>
      <c r="D24" s="32"/>
      <c r="E24" s="34" t="n">
        <f aca="false">SUM(E5:E23)</f>
        <v>385000</v>
      </c>
      <c r="F24" s="32"/>
      <c r="G24" s="32"/>
    </row>
    <row r="26" customFormat="false" ht="15" hidden="false" customHeight="false" outlineLevel="0" collapsed="false">
      <c r="B26" s="47" t="s">
        <v>384</v>
      </c>
      <c r="E26" s="57" t="n">
        <f aca="false">SUMIF(F5:F23,"متعاقد",E5:E23)</f>
        <v>0</v>
      </c>
    </row>
    <row r="27" customFormat="false" ht="15" hidden="false" customHeight="false" outlineLevel="0" collapsed="false">
      <c r="B27" s="47" t="s">
        <v>385</v>
      </c>
      <c r="E27" s="57" t="n">
        <f aca="false">E24-E26</f>
        <v>385000</v>
      </c>
    </row>
  </sheetData>
  <autoFilter ref="A4:G23"/>
  <mergeCells count="2">
    <mergeCell ref="A1:G1"/>
    <mergeCell ref="A2:G2"/>
  </mergeCells>
  <conditionalFormatting sqref="E5:E23">
    <cfRule type="dataBar" priority="2">
      <dataBar showValue="1" minLength="10" maxLength="90">
        <cfvo type="num" val="0"/>
        <cfvo type="max" val="0"/>
        <color rgb="FFB8860B"/>
      </dataBar>
      <extLst>
        <ext xmlns:x14="http://schemas.microsoft.com/office/spreadsheetml/2009/9/main" uri="{B025F937-C7B1-47D3-B67F-A62EFF666E3E}">
          <x14:id>{1C2436D3-61BE-438A-AE4B-C1669E593D6A}</x14:id>
        </ext>
      </extLst>
    </cfRule>
  </conditionalFormatting>
  <conditionalFormatting sqref="F5:F23">
    <cfRule type="expression" priority="3" aboveAverage="0" equalAverage="0" bottom="0" percent="0" rank="0" text="" dxfId="1">
      <formula>$F5="متعاقد"</formula>
    </cfRule>
  </conditionalFormatting>
  <conditionalFormatting sqref="G5:G23">
    <cfRule type="expression" priority="4" aboveAverage="0" equalAverage="0" bottom="0" percent="0" rank="0" text="" dxfId="17">
      <formula>$G5="عالية"</formula>
    </cfRule>
  </conditionalFormatting>
  <dataValidations count="2">
    <dataValidation allowBlank="true" errorStyle="stop" operator="between" showDropDown="false" showErrorMessage="false" showInputMessage="false" sqref="F5:F23" type="list">
      <formula1>"فرصة,تواصل,عرض مقدّم,متعاقد"</formula1>
      <formula2>0</formula2>
    </dataValidation>
    <dataValidation allowBlank="true" errorStyle="stop" operator="between" showDropDown="false" showErrorMessage="false" showInputMessage="false" sqref="G5:G23" type="list">
      <formula1>"عالية,متوسطة,منخفضة"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436D3-61BE-438A-AE4B-C1669E593D6A}">
            <x14:dataBar minLength="10" maxLength="90" axisPosition="none" gradient="true">
              <x14:cfvo type="num">
                <xm:f>0</xm:f>
              </x14:cfvo>
              <x14:cfvo type="max"/>
              <x14:negativeFillColor rgb="FFB8860B"/>
              <x14:axisColor rgb="FF000000"/>
            </x14:dataBar>
          </x14:cfRule>
          <xm:sqref>E5:E23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I1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58"/>
    <col collapsed="false" customWidth="true" hidden="false" outlineLevel="0" max="5" min="5" style="0" width="4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7"/>
    <col collapsed="false" customWidth="true" hidden="false" outlineLevel="0" max="9" min="9" style="0" width="13"/>
  </cols>
  <sheetData>
    <row r="1" customFormat="false" ht="33.75" hidden="false" customHeight="true" outlineLevel="0" collapsed="false">
      <c r="A1" s="1" t="s">
        <v>386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387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102</v>
      </c>
      <c r="B4" s="3" t="s">
        <v>388</v>
      </c>
      <c r="C4" s="3" t="s">
        <v>4</v>
      </c>
      <c r="D4" s="3" t="s">
        <v>389</v>
      </c>
      <c r="E4" s="3" t="s">
        <v>390</v>
      </c>
      <c r="F4" s="3" t="s">
        <v>391</v>
      </c>
      <c r="G4" s="3" t="s">
        <v>332</v>
      </c>
      <c r="H4" s="3" t="s">
        <v>392</v>
      </c>
      <c r="I4" s="3" t="s">
        <v>277</v>
      </c>
    </row>
    <row r="5" customFormat="false" ht="55.5" hidden="false" customHeight="true" outlineLevel="0" collapsed="false">
      <c r="A5" s="14" t="s">
        <v>7</v>
      </c>
      <c r="B5" s="4" t="s">
        <v>393</v>
      </c>
      <c r="C5" s="11" t="s">
        <v>22</v>
      </c>
      <c r="D5" s="60" t="s">
        <v>394</v>
      </c>
      <c r="E5" s="60" t="s">
        <v>395</v>
      </c>
      <c r="F5" s="44" t="n">
        <v>90000</v>
      </c>
      <c r="G5" s="46" t="n">
        <v>0.15</v>
      </c>
      <c r="H5" s="57" t="n">
        <f aca="false">F5*G5</f>
        <v>13500</v>
      </c>
      <c r="I5" s="11" t="s">
        <v>349</v>
      </c>
    </row>
    <row r="6" customFormat="false" ht="55.5" hidden="false" customHeight="true" outlineLevel="0" collapsed="false">
      <c r="A6" s="68" t="s">
        <v>7</v>
      </c>
      <c r="B6" s="7" t="s">
        <v>396</v>
      </c>
      <c r="C6" s="64" t="s">
        <v>22</v>
      </c>
      <c r="D6" s="63" t="s">
        <v>397</v>
      </c>
      <c r="E6" s="63" t="s">
        <v>398</v>
      </c>
      <c r="F6" s="66" t="n">
        <v>120000</v>
      </c>
      <c r="G6" s="81" t="n">
        <v>0.15</v>
      </c>
      <c r="H6" s="78" t="n">
        <f aca="false">F6*G6</f>
        <v>18000</v>
      </c>
      <c r="I6" s="64" t="s">
        <v>345</v>
      </c>
    </row>
    <row r="7" customFormat="false" ht="55.5" hidden="false" customHeight="true" outlineLevel="0" collapsed="false">
      <c r="A7" s="14" t="s">
        <v>7</v>
      </c>
      <c r="B7" s="4" t="s">
        <v>399</v>
      </c>
      <c r="C7" s="11" t="s">
        <v>400</v>
      </c>
      <c r="D7" s="60" t="s">
        <v>401</v>
      </c>
      <c r="E7" s="60" t="s">
        <v>402</v>
      </c>
      <c r="F7" s="44" t="n">
        <v>40000</v>
      </c>
      <c r="G7" s="46" t="n">
        <v>0.15</v>
      </c>
      <c r="H7" s="57" t="n">
        <f aca="false">F7*G7</f>
        <v>6000</v>
      </c>
      <c r="I7" s="11" t="s">
        <v>345</v>
      </c>
    </row>
    <row r="8" customFormat="false" ht="55.5" hidden="false" customHeight="true" outlineLevel="0" collapsed="false">
      <c r="A8" s="68" t="s">
        <v>7</v>
      </c>
      <c r="B8" s="7" t="s">
        <v>403</v>
      </c>
      <c r="C8" s="64" t="s">
        <v>400</v>
      </c>
      <c r="D8" s="63" t="s">
        <v>404</v>
      </c>
      <c r="E8" s="63" t="s">
        <v>405</v>
      </c>
      <c r="F8" s="66" t="n">
        <v>55000</v>
      </c>
      <c r="G8" s="81" t="n">
        <v>0.15</v>
      </c>
      <c r="H8" s="78" t="n">
        <f aca="false">F8*G8</f>
        <v>8250</v>
      </c>
      <c r="I8" s="64" t="s">
        <v>345</v>
      </c>
    </row>
    <row r="9" customFormat="false" ht="55.5" hidden="false" customHeight="true" outlineLevel="0" collapsed="false">
      <c r="A9" s="14" t="s">
        <v>8</v>
      </c>
      <c r="B9" s="4" t="s">
        <v>406</v>
      </c>
      <c r="C9" s="11" t="s">
        <v>22</v>
      </c>
      <c r="D9" s="60" t="s">
        <v>407</v>
      </c>
      <c r="E9" s="60" t="s">
        <v>408</v>
      </c>
      <c r="F9" s="44" t="n">
        <v>30000</v>
      </c>
      <c r="G9" s="46" t="n">
        <v>0.15</v>
      </c>
      <c r="H9" s="57" t="n">
        <f aca="false">F9*G9</f>
        <v>4500</v>
      </c>
      <c r="I9" s="11" t="s">
        <v>345</v>
      </c>
    </row>
    <row r="10" customFormat="false" ht="55.5" hidden="false" customHeight="true" outlineLevel="0" collapsed="false">
      <c r="A10" s="68" t="s">
        <v>8</v>
      </c>
      <c r="B10" s="7" t="s">
        <v>409</v>
      </c>
      <c r="C10" s="64" t="s">
        <v>400</v>
      </c>
      <c r="D10" s="63" t="s">
        <v>410</v>
      </c>
      <c r="E10" s="63" t="s">
        <v>411</v>
      </c>
      <c r="F10" s="66" t="n">
        <v>15000</v>
      </c>
      <c r="G10" s="81" t="n">
        <v>0.15</v>
      </c>
      <c r="H10" s="78" t="n">
        <f aca="false">F10*G10</f>
        <v>2250</v>
      </c>
      <c r="I10" s="64" t="s">
        <v>345</v>
      </c>
    </row>
    <row r="11" customFormat="false" ht="55.5" hidden="false" customHeight="true" outlineLevel="0" collapsed="false">
      <c r="A11" s="14" t="s">
        <v>9</v>
      </c>
      <c r="B11" s="4" t="s">
        <v>412</v>
      </c>
      <c r="C11" s="11" t="s">
        <v>14</v>
      </c>
      <c r="D11" s="60" t="s">
        <v>413</v>
      </c>
      <c r="E11" s="60" t="s">
        <v>414</v>
      </c>
      <c r="F11" s="44" t="n">
        <v>8000</v>
      </c>
      <c r="G11" s="46" t="n">
        <v>0.15</v>
      </c>
      <c r="H11" s="57" t="n">
        <f aca="false">F11*G11</f>
        <v>1200</v>
      </c>
      <c r="I11" s="11" t="s">
        <v>345</v>
      </c>
    </row>
    <row r="12" customFormat="false" ht="15" hidden="false" customHeight="false" outlineLevel="0" collapsed="false">
      <c r="A12" s="32"/>
      <c r="B12" s="42" t="s">
        <v>322</v>
      </c>
      <c r="C12" s="32"/>
      <c r="D12" s="32"/>
      <c r="E12" s="32"/>
      <c r="F12" s="53" t="n">
        <f aca="false">SUM(F5:F11)</f>
        <v>358000</v>
      </c>
      <c r="G12" s="32"/>
      <c r="H12" s="34" t="n">
        <f aca="false">SUM(H5:H11)</f>
        <v>53700</v>
      </c>
      <c r="I12" s="32"/>
    </row>
  </sheetData>
  <autoFilter ref="A4:I11"/>
  <mergeCells count="2">
    <mergeCell ref="A1:I1"/>
    <mergeCell ref="A2:I2"/>
  </mergeCells>
  <conditionalFormatting sqref="H5:H11">
    <cfRule type="dataBar" priority="2">
      <dataBar showValue="1" minLength="10" maxLength="90">
        <cfvo type="num" val="0"/>
        <cfvo type="max" val="0"/>
        <color rgb="FF2874A6"/>
      </dataBar>
      <extLst>
        <ext xmlns:x14="http://schemas.microsoft.com/office/spreadsheetml/2009/9/main" uri="{B025F937-C7B1-47D3-B67F-A62EFF666E3E}">
          <x14:id>{52EADBCF-3A48-4E16-8EE7-AAB150E894AF}</x14:id>
        </ext>
      </extLst>
    </cfRule>
  </conditionalFormatting>
  <dataValidations count="1">
    <dataValidation allowBlank="true" errorStyle="stop" operator="between" showDropDown="false" showErrorMessage="false" showInputMessage="false" sqref="I5:I11" type="list">
      <formula1>"فرصة,تواصل,عرض مقدّم,متعاقد"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EADBCF-3A48-4E16-8EE7-AAB150E894AF}">
            <x14:dataBar minLength="10" maxLength="90" axisPosition="none" gradient="true">
              <x14:cfvo type="num">
                <xm:f>0</xm:f>
              </x14:cfvo>
              <x14:cfvo type="max"/>
              <x14:negativeFillColor rgb="FF2874A6"/>
              <x14:axisColor rgb="FF000000"/>
            </x14:dataBar>
          </x14:cfRule>
          <xm:sqref>H5:H11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G5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8" topLeftCell="A4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4"/>
  </cols>
  <sheetData>
    <row r="1" customFormat="false" ht="33.75" hidden="false" customHeight="true" outlineLevel="0" collapsed="false">
      <c r="A1" s="1" t="s">
        <v>415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416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102</v>
      </c>
      <c r="B4" s="3" t="s">
        <v>417</v>
      </c>
      <c r="C4" s="3" t="s">
        <v>418</v>
      </c>
    </row>
    <row r="5" customFormat="false" ht="39.75" hidden="false" customHeight="true" outlineLevel="0" collapsed="false">
      <c r="A5" s="14" t="s">
        <v>7</v>
      </c>
      <c r="B5" s="82" t="s">
        <v>419</v>
      </c>
      <c r="C5" s="60" t="s">
        <v>420</v>
      </c>
    </row>
    <row r="6" customFormat="false" ht="39.75" hidden="false" customHeight="true" outlineLevel="0" collapsed="false">
      <c r="A6" s="68" t="s">
        <v>7</v>
      </c>
      <c r="B6" s="83" t="s">
        <v>421</v>
      </c>
      <c r="C6" s="63" t="s">
        <v>422</v>
      </c>
    </row>
    <row r="7" customFormat="false" ht="39.75" hidden="false" customHeight="true" outlineLevel="0" collapsed="false">
      <c r="A7" s="14" t="s">
        <v>7</v>
      </c>
      <c r="B7" s="82" t="s">
        <v>423</v>
      </c>
      <c r="C7" s="60" t="s">
        <v>424</v>
      </c>
    </row>
    <row r="8" customFormat="false" ht="39.75" hidden="false" customHeight="true" outlineLevel="0" collapsed="false">
      <c r="A8" s="68" t="s">
        <v>7</v>
      </c>
      <c r="B8" s="83" t="s">
        <v>425</v>
      </c>
      <c r="C8" s="63" t="s">
        <v>426</v>
      </c>
    </row>
    <row r="9" customFormat="false" ht="39.75" hidden="false" customHeight="true" outlineLevel="0" collapsed="false">
      <c r="A9" s="14" t="s">
        <v>7</v>
      </c>
      <c r="B9" s="82" t="s">
        <v>427</v>
      </c>
      <c r="C9" s="60" t="s">
        <v>428</v>
      </c>
    </row>
    <row r="10" customFormat="false" ht="39.75" hidden="false" customHeight="true" outlineLevel="0" collapsed="false">
      <c r="A10" s="68" t="s">
        <v>7</v>
      </c>
      <c r="B10" s="83" t="s">
        <v>429</v>
      </c>
      <c r="C10" s="63" t="s">
        <v>430</v>
      </c>
    </row>
    <row r="11" customFormat="false" ht="39.75" hidden="false" customHeight="true" outlineLevel="0" collapsed="false">
      <c r="A11" s="14" t="s">
        <v>7</v>
      </c>
      <c r="B11" s="82" t="s">
        <v>431</v>
      </c>
      <c r="C11" s="60" t="s">
        <v>432</v>
      </c>
    </row>
    <row r="12" customFormat="false" ht="39.75" hidden="false" customHeight="true" outlineLevel="0" collapsed="false">
      <c r="A12" s="68" t="s">
        <v>8</v>
      </c>
      <c r="B12" s="83" t="s">
        <v>419</v>
      </c>
      <c r="C12" s="63" t="s">
        <v>433</v>
      </c>
    </row>
    <row r="13" customFormat="false" ht="39.75" hidden="false" customHeight="true" outlineLevel="0" collapsed="false">
      <c r="A13" s="14" t="s">
        <v>8</v>
      </c>
      <c r="B13" s="82" t="s">
        <v>421</v>
      </c>
      <c r="C13" s="60" t="s">
        <v>434</v>
      </c>
    </row>
    <row r="14" customFormat="false" ht="39.75" hidden="false" customHeight="true" outlineLevel="0" collapsed="false">
      <c r="A14" s="68" t="s">
        <v>8</v>
      </c>
      <c r="B14" s="83" t="s">
        <v>423</v>
      </c>
      <c r="C14" s="63" t="s">
        <v>435</v>
      </c>
    </row>
    <row r="15" customFormat="false" ht="39.75" hidden="false" customHeight="true" outlineLevel="0" collapsed="false">
      <c r="A15" s="14" t="s">
        <v>8</v>
      </c>
      <c r="B15" s="82" t="s">
        <v>425</v>
      </c>
      <c r="C15" s="60" t="s">
        <v>436</v>
      </c>
    </row>
    <row r="16" customFormat="false" ht="39.75" hidden="false" customHeight="true" outlineLevel="0" collapsed="false">
      <c r="A16" s="68" t="s">
        <v>8</v>
      </c>
      <c r="B16" s="83" t="s">
        <v>427</v>
      </c>
      <c r="C16" s="63" t="s">
        <v>437</v>
      </c>
    </row>
    <row r="17" customFormat="false" ht="39.75" hidden="false" customHeight="true" outlineLevel="0" collapsed="false">
      <c r="A17" s="14" t="s">
        <v>8</v>
      </c>
      <c r="B17" s="82" t="s">
        <v>429</v>
      </c>
      <c r="C17" s="60" t="s">
        <v>438</v>
      </c>
    </row>
    <row r="18" customFormat="false" ht="39.75" hidden="false" customHeight="true" outlineLevel="0" collapsed="false">
      <c r="A18" s="68" t="s">
        <v>8</v>
      </c>
      <c r="B18" s="83" t="s">
        <v>431</v>
      </c>
      <c r="C18" s="63" t="s">
        <v>439</v>
      </c>
    </row>
    <row r="19" customFormat="false" ht="39.75" hidden="false" customHeight="true" outlineLevel="0" collapsed="false">
      <c r="A19" s="14" t="s">
        <v>9</v>
      </c>
      <c r="B19" s="82" t="s">
        <v>419</v>
      </c>
      <c r="C19" s="60" t="s">
        <v>440</v>
      </c>
    </row>
    <row r="20" customFormat="false" ht="39.75" hidden="false" customHeight="true" outlineLevel="0" collapsed="false">
      <c r="A20" s="68" t="s">
        <v>9</v>
      </c>
      <c r="B20" s="83" t="s">
        <v>421</v>
      </c>
      <c r="C20" s="63" t="s">
        <v>441</v>
      </c>
    </row>
    <row r="21" customFormat="false" ht="39.75" hidden="false" customHeight="true" outlineLevel="0" collapsed="false">
      <c r="A21" s="14" t="s">
        <v>9</v>
      </c>
      <c r="B21" s="82" t="s">
        <v>423</v>
      </c>
      <c r="C21" s="60" t="s">
        <v>442</v>
      </c>
    </row>
    <row r="22" customFormat="false" ht="39.75" hidden="false" customHeight="true" outlineLevel="0" collapsed="false">
      <c r="A22" s="68" t="s">
        <v>9</v>
      </c>
      <c r="B22" s="83" t="s">
        <v>425</v>
      </c>
      <c r="C22" s="63" t="s">
        <v>443</v>
      </c>
    </row>
    <row r="23" customFormat="false" ht="39.75" hidden="false" customHeight="true" outlineLevel="0" collapsed="false">
      <c r="A23" s="14" t="s">
        <v>9</v>
      </c>
      <c r="B23" s="82" t="s">
        <v>427</v>
      </c>
      <c r="C23" s="60" t="s">
        <v>444</v>
      </c>
    </row>
    <row r="24" customFormat="false" ht="39.75" hidden="false" customHeight="true" outlineLevel="0" collapsed="false">
      <c r="A24" s="68" t="s">
        <v>9</v>
      </c>
      <c r="B24" s="83" t="s">
        <v>429</v>
      </c>
      <c r="C24" s="63" t="s">
        <v>445</v>
      </c>
    </row>
    <row r="25" customFormat="false" ht="39.75" hidden="false" customHeight="true" outlineLevel="0" collapsed="false">
      <c r="A25" s="14" t="s">
        <v>9</v>
      </c>
      <c r="B25" s="82" t="s">
        <v>431</v>
      </c>
      <c r="C25" s="60" t="s">
        <v>446</v>
      </c>
    </row>
    <row r="27" customFormat="false" ht="15" hidden="false" customHeight="false" outlineLevel="0" collapsed="false">
      <c r="A27" s="10" t="s">
        <v>447</v>
      </c>
    </row>
    <row r="28" customFormat="false" ht="30" hidden="false" customHeight="true" outlineLevel="0" collapsed="false">
      <c r="A28" s="3" t="s">
        <v>102</v>
      </c>
      <c r="B28" s="3" t="s">
        <v>114</v>
      </c>
      <c r="C28" s="3" t="s">
        <v>330</v>
      </c>
    </row>
    <row r="29" customFormat="false" ht="15" hidden="false" customHeight="false" outlineLevel="0" collapsed="false">
      <c r="A29" s="14" t="s">
        <v>7</v>
      </c>
      <c r="B29" s="27" t="s">
        <v>448</v>
      </c>
      <c r="C29" s="30" t="n">
        <v>0.5</v>
      </c>
    </row>
    <row r="30" customFormat="false" ht="15" hidden="false" customHeight="false" outlineLevel="0" collapsed="false">
      <c r="A30" s="14" t="s">
        <v>7</v>
      </c>
      <c r="B30" s="27" t="s">
        <v>449</v>
      </c>
      <c r="C30" s="30" t="n">
        <v>0.2</v>
      </c>
    </row>
    <row r="31" customFormat="false" ht="15" hidden="false" customHeight="false" outlineLevel="0" collapsed="false">
      <c r="A31" s="14" t="s">
        <v>7</v>
      </c>
      <c r="B31" s="27" t="s">
        <v>450</v>
      </c>
      <c r="C31" s="30" t="n">
        <v>0.2</v>
      </c>
    </row>
    <row r="32" customFormat="false" ht="15" hidden="false" customHeight="false" outlineLevel="0" collapsed="false">
      <c r="A32" s="14" t="s">
        <v>7</v>
      </c>
      <c r="B32" s="27" t="s">
        <v>451</v>
      </c>
      <c r="C32" s="30" t="n">
        <v>0.1</v>
      </c>
    </row>
    <row r="33" customFormat="false" ht="15" hidden="false" customHeight="false" outlineLevel="0" collapsed="false">
      <c r="A33" s="32"/>
      <c r="B33" s="42" t="s">
        <v>452</v>
      </c>
      <c r="C33" s="79" t="n">
        <f aca="false">SUM(C29:C32)</f>
        <v>1</v>
      </c>
    </row>
    <row r="35" customFormat="false" ht="15" hidden="false" customHeight="false" outlineLevel="0" collapsed="false">
      <c r="A35" s="14" t="s">
        <v>8</v>
      </c>
      <c r="B35" s="27" t="s">
        <v>448</v>
      </c>
      <c r="C35" s="30" t="n">
        <v>0.5</v>
      </c>
    </row>
    <row r="36" customFormat="false" ht="15" hidden="false" customHeight="false" outlineLevel="0" collapsed="false">
      <c r="A36" s="14" t="s">
        <v>8</v>
      </c>
      <c r="B36" s="27" t="s">
        <v>449</v>
      </c>
      <c r="C36" s="30" t="n">
        <v>0.2</v>
      </c>
    </row>
    <row r="37" customFormat="false" ht="15" hidden="false" customHeight="false" outlineLevel="0" collapsed="false">
      <c r="A37" s="14" t="s">
        <v>8</v>
      </c>
      <c r="B37" s="27" t="s">
        <v>450</v>
      </c>
      <c r="C37" s="30" t="n">
        <v>0.2</v>
      </c>
    </row>
    <row r="38" customFormat="false" ht="15" hidden="false" customHeight="false" outlineLevel="0" collapsed="false">
      <c r="A38" s="14" t="s">
        <v>8</v>
      </c>
      <c r="B38" s="27" t="s">
        <v>451</v>
      </c>
      <c r="C38" s="30" t="n">
        <v>0.1</v>
      </c>
    </row>
    <row r="39" customFormat="false" ht="15" hidden="false" customHeight="false" outlineLevel="0" collapsed="false">
      <c r="A39" s="32"/>
      <c r="B39" s="42" t="s">
        <v>452</v>
      </c>
      <c r="C39" s="79" t="n">
        <f aca="false">SUM(C35:C38)</f>
        <v>1</v>
      </c>
    </row>
    <row r="41" customFormat="false" ht="15" hidden="false" customHeight="false" outlineLevel="0" collapsed="false">
      <c r="A41" s="14" t="s">
        <v>9</v>
      </c>
      <c r="B41" s="27" t="s">
        <v>448</v>
      </c>
      <c r="C41" s="30" t="n">
        <v>0.5</v>
      </c>
    </row>
    <row r="42" customFormat="false" ht="15" hidden="false" customHeight="false" outlineLevel="0" collapsed="false">
      <c r="A42" s="14" t="s">
        <v>9</v>
      </c>
      <c r="B42" s="27" t="s">
        <v>449</v>
      </c>
      <c r="C42" s="30" t="n">
        <v>0.2</v>
      </c>
    </row>
    <row r="43" customFormat="false" ht="15" hidden="false" customHeight="false" outlineLevel="0" collapsed="false">
      <c r="A43" s="14" t="s">
        <v>9</v>
      </c>
      <c r="B43" s="27" t="s">
        <v>450</v>
      </c>
      <c r="C43" s="30" t="n">
        <v>0.2</v>
      </c>
    </row>
    <row r="44" customFormat="false" ht="15" hidden="false" customHeight="false" outlineLevel="0" collapsed="false">
      <c r="A44" s="14" t="s">
        <v>9</v>
      </c>
      <c r="B44" s="27" t="s">
        <v>451</v>
      </c>
      <c r="C44" s="30" t="n">
        <v>0.1</v>
      </c>
    </row>
    <row r="45" customFormat="false" ht="15" hidden="false" customHeight="false" outlineLevel="0" collapsed="false">
      <c r="A45" s="32"/>
      <c r="B45" s="42" t="s">
        <v>452</v>
      </c>
      <c r="C45" s="79" t="n">
        <f aca="false">SUM(C41:C44)</f>
        <v>1</v>
      </c>
    </row>
    <row r="47" customFormat="false" ht="15" hidden="false" customHeight="false" outlineLevel="0" collapsed="false">
      <c r="A47" s="10" t="s">
        <v>453</v>
      </c>
    </row>
    <row r="48" customFormat="false" ht="30" hidden="false" customHeight="true" outlineLevel="0" collapsed="false">
      <c r="A48" s="3" t="s">
        <v>102</v>
      </c>
      <c r="B48" s="3" t="s">
        <v>454</v>
      </c>
      <c r="C48" s="3" t="s">
        <v>455</v>
      </c>
      <c r="D48" s="3" t="s">
        <v>456</v>
      </c>
      <c r="E48" s="3" t="s">
        <v>457</v>
      </c>
      <c r="F48" s="3" t="s">
        <v>458</v>
      </c>
      <c r="G48" s="3" t="s">
        <v>277</v>
      </c>
    </row>
    <row r="49" customFormat="false" ht="15" hidden="false" customHeight="false" outlineLevel="0" collapsed="false">
      <c r="A49" s="14" t="s">
        <v>7</v>
      </c>
      <c r="B49" s="60" t="s">
        <v>459</v>
      </c>
      <c r="C49" s="60" t="s">
        <v>460</v>
      </c>
      <c r="D49" s="11" t="s">
        <v>461</v>
      </c>
      <c r="E49" s="44" t="n">
        <v>0</v>
      </c>
      <c r="F49" s="30" t="n">
        <v>0.095</v>
      </c>
      <c r="G49" s="11" t="s">
        <v>462</v>
      </c>
    </row>
    <row r="50" customFormat="false" ht="15" hidden="false" customHeight="false" outlineLevel="0" collapsed="false">
      <c r="A50" s="68" t="s">
        <v>7</v>
      </c>
      <c r="B50" s="63" t="s">
        <v>463</v>
      </c>
      <c r="C50" s="63" t="s">
        <v>464</v>
      </c>
      <c r="D50" s="64" t="s">
        <v>465</v>
      </c>
      <c r="E50" s="66" t="n">
        <v>40000</v>
      </c>
      <c r="F50" s="80" t="n">
        <v>0</v>
      </c>
      <c r="G50" s="64" t="s">
        <v>466</v>
      </c>
    </row>
    <row r="51" customFormat="false" ht="15" hidden="false" customHeight="false" outlineLevel="0" collapsed="false">
      <c r="A51" s="14" t="s">
        <v>7</v>
      </c>
      <c r="B51" s="60" t="s">
        <v>467</v>
      </c>
      <c r="C51" s="60" t="s">
        <v>468</v>
      </c>
      <c r="D51" s="11" t="s">
        <v>469</v>
      </c>
      <c r="E51" s="44" t="n">
        <v>25000</v>
      </c>
      <c r="F51" s="30" t="n">
        <v>0</v>
      </c>
      <c r="G51" s="11" t="s">
        <v>466</v>
      </c>
    </row>
    <row r="52" customFormat="false" ht="15" hidden="false" customHeight="false" outlineLevel="0" collapsed="false">
      <c r="A52" s="68" t="s">
        <v>8</v>
      </c>
      <c r="B52" s="63" t="s">
        <v>463</v>
      </c>
      <c r="C52" s="63" t="s">
        <v>464</v>
      </c>
      <c r="D52" s="64" t="s">
        <v>465</v>
      </c>
      <c r="E52" s="66" t="n">
        <v>25000</v>
      </c>
      <c r="F52" s="80" t="n">
        <v>0</v>
      </c>
      <c r="G52" s="64" t="s">
        <v>466</v>
      </c>
    </row>
    <row r="53" customFormat="false" ht="15" hidden="false" customHeight="false" outlineLevel="0" collapsed="false">
      <c r="A53" s="14" t="s">
        <v>8</v>
      </c>
      <c r="B53" s="60" t="s">
        <v>470</v>
      </c>
      <c r="C53" s="60" t="s">
        <v>471</v>
      </c>
      <c r="D53" s="11" t="s">
        <v>469</v>
      </c>
      <c r="E53" s="44" t="n">
        <v>12000</v>
      </c>
      <c r="F53" s="30" t="n">
        <v>0</v>
      </c>
      <c r="G53" s="11" t="s">
        <v>466</v>
      </c>
    </row>
    <row r="54" customFormat="false" ht="15" hidden="false" customHeight="false" outlineLevel="0" collapsed="false">
      <c r="A54" s="68" t="s">
        <v>9</v>
      </c>
      <c r="B54" s="63" t="s">
        <v>472</v>
      </c>
      <c r="C54" s="63" t="s">
        <v>473</v>
      </c>
      <c r="D54" s="64" t="s">
        <v>465</v>
      </c>
      <c r="E54" s="66" t="n">
        <v>10000</v>
      </c>
      <c r="F54" s="80" t="n">
        <v>0</v>
      </c>
      <c r="G54" s="64" t="s">
        <v>466</v>
      </c>
    </row>
    <row r="55" customFormat="false" ht="15" hidden="false" customHeight="false" outlineLevel="0" collapsed="false">
      <c r="A55" s="14" t="s">
        <v>9</v>
      </c>
      <c r="B55" s="60" t="s">
        <v>474</v>
      </c>
      <c r="C55" s="60" t="s">
        <v>471</v>
      </c>
      <c r="D55" s="11" t="s">
        <v>469</v>
      </c>
      <c r="E55" s="44" t="n">
        <v>8000</v>
      </c>
      <c r="F55" s="30" t="n">
        <v>0</v>
      </c>
      <c r="G55" s="11" t="s">
        <v>466</v>
      </c>
    </row>
    <row r="56" customFormat="false" ht="15" hidden="false" customHeight="false" outlineLevel="0" collapsed="false">
      <c r="A56" s="32"/>
      <c r="B56" s="42" t="s">
        <v>475</v>
      </c>
      <c r="C56" s="32"/>
      <c r="D56" s="32"/>
      <c r="E56" s="53" t="n">
        <f aca="false">SUM(E49:E55)</f>
        <v>120000</v>
      </c>
      <c r="F56" s="32"/>
      <c r="G56" s="32"/>
    </row>
    <row r="57" customFormat="false" ht="15" hidden="false" customHeight="false" outlineLevel="0" collapsed="false">
      <c r="B57" s="47" t="s">
        <v>476</v>
      </c>
      <c r="E57" s="57" t="n">
        <f aca="false">SUMIF(D49:D55,"التسويق",E49:E55)</f>
        <v>75000</v>
      </c>
    </row>
    <row r="58" customFormat="false" ht="15" hidden="false" customHeight="false" outlineLevel="0" collapsed="false">
      <c r="B58" s="84" t="s">
        <v>477</v>
      </c>
      <c r="E58" s="85" t="n">
        <f aca="false">E56-E57</f>
        <v>45000</v>
      </c>
    </row>
  </sheetData>
  <autoFilter ref="A4:C25"/>
  <mergeCells count="2">
    <mergeCell ref="A1:G1"/>
    <mergeCell ref="A2:G2"/>
  </mergeCells>
  <conditionalFormatting sqref="C29:C32">
    <cfRule type="dataBar" priority="2">
      <dataBar showValue="1" minLength="10" maxLength="90">
        <cfvo type="num" val="0"/>
        <cfvo type="num" val="1"/>
        <color rgb="FFF18A2B"/>
      </dataBar>
      <extLst>
        <ext xmlns:x14="http://schemas.microsoft.com/office/spreadsheetml/2009/9/main" uri="{B025F937-C7B1-47D3-B67F-A62EFF666E3E}">
          <x14:id>{4FE068BE-4D8F-4B46-BF38-312037481A6C}</x14:id>
        </ext>
      </extLst>
    </cfRule>
  </conditionalFormatting>
  <conditionalFormatting sqref="C33">
    <cfRule type="cellIs" priority="3" operator="notEqual" aboveAverage="0" equalAverage="0" bottom="0" percent="0" rank="0" text="" dxfId="0">
      <formula>1</formula>
    </cfRule>
  </conditionalFormatting>
  <conditionalFormatting sqref="C35:C38">
    <cfRule type="dataBar" priority="4">
      <dataBar showValue="1" minLength="10" maxLength="90">
        <cfvo type="num" val="0"/>
        <cfvo type="num" val="1"/>
        <color rgb="FFF18A2B"/>
      </dataBar>
      <extLst>
        <ext xmlns:x14="http://schemas.microsoft.com/office/spreadsheetml/2009/9/main" uri="{B025F937-C7B1-47D3-B67F-A62EFF666E3E}">
          <x14:id>{77E4B0C0-6710-4CDC-827C-20B0D59C367E}</x14:id>
        </ext>
      </extLst>
    </cfRule>
  </conditionalFormatting>
  <conditionalFormatting sqref="C39">
    <cfRule type="cellIs" priority="5" operator="notEqual" aboveAverage="0" equalAverage="0" bottom="0" percent="0" rank="0" text="" dxfId="0">
      <formula>1</formula>
    </cfRule>
  </conditionalFormatting>
  <conditionalFormatting sqref="C41:C44">
    <cfRule type="dataBar" priority="6">
      <dataBar showValue="1" minLength="10" maxLength="90">
        <cfvo type="num" val="0"/>
        <cfvo type="num" val="1"/>
        <color rgb="FFF18A2B"/>
      </dataBar>
      <extLst>
        <ext xmlns:x14="http://schemas.microsoft.com/office/spreadsheetml/2009/9/main" uri="{B025F937-C7B1-47D3-B67F-A62EFF666E3E}">
          <x14:id>{FA139FA0-4235-45C8-81CC-CF873F1982C2}</x14:id>
        </ext>
      </extLst>
    </cfRule>
  </conditionalFormatting>
  <conditionalFormatting sqref="C45">
    <cfRule type="cellIs" priority="7" operator="notEqual" aboveAverage="0" equalAverage="0" bottom="0" percent="0" rank="0" text="" dxfId="0">
      <formula>1</formula>
    </cfRule>
  </conditionalFormatting>
  <conditionalFormatting sqref="D49:D55">
    <cfRule type="expression" priority="8" aboveAverage="0" equalAverage="0" bottom="0" percent="0" rank="0" text="" dxfId="1">
      <formula>OR($D49="الشريك",$D49="المستأجر")</formula>
    </cfRule>
  </conditionalFormatting>
  <dataValidations count="2">
    <dataValidation allowBlank="true" errorStyle="stop" operator="between" showDropDown="false" showErrorMessage="false" showInputMessage="false" sqref="G49:G55" type="list">
      <formula1>"مقترحة,جارية,منفّذة,مؤجّلة"</formula1>
      <formula2>0</formula2>
    </dataValidation>
    <dataValidation allowBlank="true" errorStyle="stop" operator="between" showDropDown="false" showErrorMessage="false" showInputMessage="false" sqref="D49:D55" type="list">
      <formula1>"التسويق,الشريك,مشترك,المستأجر"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E068BE-4D8F-4B46-BF38-312037481A6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18A2B"/>
              <x14:axisColor rgb="FF000000"/>
            </x14:dataBar>
          </x14:cfRule>
          <xm:sqref>C29:C32</xm:sqref>
        </x14:conditionalFormatting>
        <x14:conditionalFormatting xmlns:xm="http://schemas.microsoft.com/office/excel/2006/main">
          <x14:cfRule type="dataBar" id="{77E4B0C0-6710-4CDC-827C-20B0D59C367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18A2B"/>
              <x14:axisColor rgb="FF000000"/>
            </x14:dataBar>
          </x14:cfRule>
          <xm:sqref>C35:C38</xm:sqref>
        </x14:conditionalFormatting>
        <x14:conditionalFormatting xmlns:xm="http://schemas.microsoft.com/office/excel/2006/main">
          <x14:cfRule type="dataBar" id="{FA139FA0-4235-45C8-81CC-CF873F1982C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18A2B"/>
              <x14:axisColor rgb="FF000000"/>
            </x14:dataBar>
          </x14:cfRule>
          <xm:sqref>C41:C44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8A2B"/>
    <pageSetUpPr fitToPage="true"/>
  </sheetPr>
  <dimension ref="A1:F3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29" topLeftCell="A3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33.75" hidden="false" customHeight="true" outlineLevel="0" collapsed="false">
      <c r="A1" s="1" t="s">
        <v>478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479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86" t="s">
        <v>480</v>
      </c>
      <c r="B4" s="86"/>
      <c r="C4" s="86"/>
      <c r="D4" s="86"/>
      <c r="E4" s="86"/>
      <c r="F4" s="86"/>
    </row>
    <row r="5" customFormat="false" ht="30" hidden="false" customHeight="true" outlineLevel="0" collapsed="false">
      <c r="A5" s="87" t="s">
        <v>481</v>
      </c>
      <c r="B5" s="87"/>
      <c r="C5" s="87"/>
      <c r="D5" s="87"/>
      <c r="E5" s="87"/>
      <c r="F5" s="87"/>
    </row>
    <row r="7" customFormat="false" ht="15" hidden="false" customHeight="false" outlineLevel="0" collapsed="false">
      <c r="A7" s="10" t="s">
        <v>482</v>
      </c>
    </row>
    <row r="8" customFormat="false" ht="30" hidden="false" customHeight="true" outlineLevel="0" collapsed="false">
      <c r="A8" s="3" t="s">
        <v>483</v>
      </c>
      <c r="B8" s="3" t="s">
        <v>484</v>
      </c>
    </row>
    <row r="9" customFormat="false" ht="31.5" hidden="false" customHeight="true" outlineLevel="0" collapsed="false">
      <c r="A9" s="4" t="s">
        <v>485</v>
      </c>
      <c r="B9" s="60" t="s">
        <v>486</v>
      </c>
    </row>
    <row r="10" customFormat="false" ht="31.5" hidden="false" customHeight="true" outlineLevel="0" collapsed="false">
      <c r="A10" s="7" t="s">
        <v>487</v>
      </c>
      <c r="B10" s="63" t="s">
        <v>488</v>
      </c>
    </row>
    <row r="11" customFormat="false" ht="31.5" hidden="false" customHeight="true" outlineLevel="0" collapsed="false">
      <c r="A11" s="4" t="s">
        <v>489</v>
      </c>
      <c r="B11" s="60" t="s">
        <v>490</v>
      </c>
    </row>
    <row r="13" customFormat="false" ht="15" hidden="false" customHeight="false" outlineLevel="0" collapsed="false">
      <c r="A13" s="10" t="s">
        <v>491</v>
      </c>
    </row>
    <row r="14" customFormat="false" ht="30" hidden="false" customHeight="true" outlineLevel="0" collapsed="false">
      <c r="A14" s="3" t="s">
        <v>492</v>
      </c>
      <c r="B14" s="3" t="s">
        <v>493</v>
      </c>
      <c r="C14" s="3" t="s">
        <v>494</v>
      </c>
    </row>
    <row r="15" customFormat="false" ht="15" hidden="false" customHeight="false" outlineLevel="0" collapsed="false">
      <c r="A15" s="26" t="n">
        <v>1</v>
      </c>
      <c r="B15" s="88" t="s">
        <v>495</v>
      </c>
      <c r="C15" s="60" t="s">
        <v>496</v>
      </c>
    </row>
    <row r="16" customFormat="false" ht="15" hidden="false" customHeight="false" outlineLevel="0" collapsed="false">
      <c r="A16" s="62" t="n">
        <v>2</v>
      </c>
      <c r="B16" s="89" t="s">
        <v>497</v>
      </c>
      <c r="C16" s="63" t="s">
        <v>498</v>
      </c>
    </row>
    <row r="17" customFormat="false" ht="15" hidden="false" customHeight="false" outlineLevel="0" collapsed="false">
      <c r="A17" s="26" t="n">
        <v>3</v>
      </c>
      <c r="B17" s="88" t="s">
        <v>499</v>
      </c>
      <c r="C17" s="60" t="s">
        <v>500</v>
      </c>
    </row>
    <row r="18" customFormat="false" ht="15" hidden="false" customHeight="false" outlineLevel="0" collapsed="false">
      <c r="A18" s="62" t="n">
        <v>4</v>
      </c>
      <c r="B18" s="89" t="s">
        <v>501</v>
      </c>
      <c r="C18" s="63" t="s">
        <v>502</v>
      </c>
    </row>
    <row r="19" customFormat="false" ht="15" hidden="false" customHeight="false" outlineLevel="0" collapsed="false">
      <c r="A19" s="26" t="n">
        <v>5</v>
      </c>
      <c r="B19" s="88" t="s">
        <v>503</v>
      </c>
      <c r="C19" s="60" t="s">
        <v>504</v>
      </c>
    </row>
    <row r="21" customFormat="false" ht="15" hidden="false" customHeight="false" outlineLevel="0" collapsed="false">
      <c r="A21" s="10" t="s">
        <v>505</v>
      </c>
    </row>
    <row r="22" customFormat="false" ht="30" hidden="false" customHeight="true" outlineLevel="0" collapsed="false">
      <c r="A22" s="3" t="s">
        <v>506</v>
      </c>
      <c r="B22" s="3" t="s">
        <v>507</v>
      </c>
    </row>
    <row r="23" customFormat="false" ht="31.5" hidden="false" customHeight="true" outlineLevel="0" collapsed="false">
      <c r="A23" s="90" t="s">
        <v>508</v>
      </c>
      <c r="B23" s="91" t="s">
        <v>509</v>
      </c>
    </row>
    <row r="24" customFormat="false" ht="31.5" hidden="false" customHeight="true" outlineLevel="0" collapsed="false">
      <c r="A24" s="90" t="s">
        <v>510</v>
      </c>
      <c r="B24" s="91" t="s">
        <v>511</v>
      </c>
    </row>
    <row r="25" customFormat="false" ht="31.5" hidden="false" customHeight="true" outlineLevel="0" collapsed="false">
      <c r="A25" s="90" t="s">
        <v>512</v>
      </c>
      <c r="B25" s="91" t="s">
        <v>513</v>
      </c>
    </row>
    <row r="26" customFormat="false" ht="31.5" hidden="false" customHeight="true" outlineLevel="0" collapsed="false">
      <c r="A26" s="90" t="s">
        <v>514</v>
      </c>
      <c r="B26" s="91" t="s">
        <v>515</v>
      </c>
    </row>
    <row r="28" customFormat="false" ht="15" hidden="false" customHeight="false" outlineLevel="0" collapsed="false">
      <c r="A28" s="10" t="s">
        <v>516</v>
      </c>
    </row>
    <row r="29" customFormat="false" ht="30" hidden="false" customHeight="true" outlineLevel="0" collapsed="false">
      <c r="A29" s="3" t="s">
        <v>493</v>
      </c>
      <c r="B29" s="3" t="s">
        <v>517</v>
      </c>
      <c r="C29" s="3" t="s">
        <v>518</v>
      </c>
      <c r="D29" s="3" t="s">
        <v>519</v>
      </c>
      <c r="E29" s="3" t="s">
        <v>520</v>
      </c>
      <c r="F29" s="3" t="s">
        <v>277</v>
      </c>
    </row>
    <row r="30" customFormat="false" ht="39.75" hidden="false" customHeight="true" outlineLevel="0" collapsed="false">
      <c r="A30" s="92" t="s">
        <v>521</v>
      </c>
      <c r="B30" s="88" t="s">
        <v>522</v>
      </c>
      <c r="C30" s="60" t="s">
        <v>523</v>
      </c>
      <c r="D30" s="6" t="s">
        <v>524</v>
      </c>
      <c r="E30" s="93"/>
      <c r="F30" s="94"/>
    </row>
    <row r="31" customFormat="false" ht="39.75" hidden="false" customHeight="true" outlineLevel="0" collapsed="false">
      <c r="A31" s="95" t="s">
        <v>525</v>
      </c>
      <c r="B31" s="89" t="s">
        <v>526</v>
      </c>
      <c r="C31" s="63" t="s">
        <v>527</v>
      </c>
      <c r="D31" s="9" t="s">
        <v>528</v>
      </c>
      <c r="E31" s="93"/>
      <c r="F31" s="94"/>
    </row>
    <row r="32" customFormat="false" ht="39.75" hidden="false" customHeight="true" outlineLevel="0" collapsed="false">
      <c r="A32" s="92" t="s">
        <v>529</v>
      </c>
      <c r="B32" s="88" t="s">
        <v>530</v>
      </c>
      <c r="C32" s="60" t="s">
        <v>531</v>
      </c>
      <c r="D32" s="6" t="s">
        <v>532</v>
      </c>
      <c r="E32" s="93"/>
      <c r="F32" s="94"/>
    </row>
    <row r="34" customFormat="false" ht="11.9" hidden="false" customHeight="false" outlineLevel="0" collapsed="false">
      <c r="A34" s="25" t="s">
        <v>533</v>
      </c>
      <c r="B34" s="25"/>
      <c r="C34" s="25"/>
      <c r="D34" s="25"/>
      <c r="E34" s="25"/>
      <c r="F34" s="25"/>
    </row>
  </sheetData>
  <mergeCells count="5">
    <mergeCell ref="A1:F1"/>
    <mergeCell ref="A2:F2"/>
    <mergeCell ref="A4:F4"/>
    <mergeCell ref="A5:F5"/>
    <mergeCell ref="A34:F34"/>
  </mergeCells>
  <dataValidations count="1">
    <dataValidation allowBlank="true" errorStyle="stop" operator="between" showDropDown="false" showErrorMessage="false" showInputMessage="false" sqref="F30:F32" type="list">
      <formula1>"لم تبدأ,جارية,منجزة,مؤجّلة"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2026-07-25T18:44:27Z</dcterms:created>
  <dc:creator>openpyxl</dc:creator>
  <dc:description/>
  <dc:language>en-US</dc:language>
  <cp:lastModifiedBy/>
  <dcterms:modified xsi:type="dcterms:W3CDTF">2026-07-25T18:44:29Z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