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ليل الملف" sheetId="1" state="visible" r:id="rId3"/>
    <sheet name="بطاقات المنافذ" sheetId="2" state="visible" r:id="rId4"/>
    <sheet name="شرائح العملاء" sheetId="3" state="visible" r:id="rId5"/>
    <sheet name="المحيط التنافسي" sheetId="4" state="visible" r:id="rId6"/>
    <sheet name="وحدات التأجير" sheetId="5" state="visible" r:id="rId7"/>
    <sheet name="مبيعات المستأجرين" sheetId="6" state="visible" r:id="rId8"/>
    <sheet name="مبيعات الوقود" sheetId="7" state="visible" r:id="rId9"/>
    <sheet name="فرص B2B" sheetId="8" state="visible" r:id="rId10"/>
    <sheet name="عقود الأساطيل" sheetId="9" state="visible" r:id="rId11"/>
    <sheet name="المكس التسويقي" sheetId="10" state="visible" r:id="rId12"/>
    <sheet name="النموذج المالي" sheetId="11" state="visible" r:id="rId13"/>
    <sheet name="بطاقة الأداء المشتركة" sheetId="12" state="visible" r:id="rId14"/>
    <sheet name="خطة التنفيذ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FreeSans"/>
            <family val="2"/>
          </rPr>
          <t xml:space="preserve">كل زيارة إضافية بريال واحد من غير الوقود = إجمالي الزيارات الشهرية ريالاً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<sst xmlns="http://schemas.openxmlformats.org/spreadsheetml/2006/main" count="889" uniqueCount="492">
  <si>
    <t xml:space="preserve">القسم التجاري — درب · ملف البيانات والخطط</t>
  </si>
  <si>
    <t xml:space="preserve">كل الأرقام والخطط لكل منفذ. الخلايا الزرقاء = مُدخلات تُعدَّل · السوداء = معادلات محسوبة · الصفراء = تحتاج تعبئة.</t>
  </si>
  <si>
    <t xml:space="preserve">الورقة</t>
  </si>
  <si>
    <t xml:space="preserve">المحتوى</t>
  </si>
  <si>
    <t xml:space="preserve">المصدر</t>
  </si>
  <si>
    <t xml:space="preserve">بطاقات المنافذ</t>
  </si>
  <si>
    <t xml:space="preserve">بيانات كل محطة: الموقع، النوع، المساحة، التشغيل (مضخات/خزان/عمّال/خدمة ذاتية)</t>
  </si>
  <si>
    <t xml:space="preserve">سجل الأصول + خرائط جوجل</t>
  </si>
  <si>
    <t xml:space="preserve">شرائح العملاء</t>
  </si>
  <si>
    <t xml:space="preserve">لكل محطة: الشريحة، ملفها، ما تحتاجه، والعرض المقدّم لها</t>
  </si>
  <si>
    <t xml:space="preserve">تحليلات درب + دراسة الموقع</t>
  </si>
  <si>
    <t xml:space="preserve">المحيط التنافسي</t>
  </si>
  <si>
    <t xml:space="preserve">بطاقة السيناريو، المنافسون، الميزة، الفجوة، البراندات المقترحة</t>
  </si>
  <si>
    <t xml:space="preserve">خرائط جوجل — سحب فعلي</t>
  </si>
  <si>
    <t xml:space="preserve">وحدات التأجير</t>
  </si>
  <si>
    <t xml:space="preserve">كل وحدة: النوع، العدد، الخدمة، النوع الفرعي، الحالة، الإيجار، المساحة</t>
  </si>
  <si>
    <t xml:space="preserve">جرد المحطة</t>
  </si>
  <si>
    <t xml:space="preserve">مبيعات المستأجرين</t>
  </si>
  <si>
    <t xml:space="preserve">مبيعات كل مستأجر شهرياً + نسبة الإيجار ومبيعات/م² (معادلات)</t>
  </si>
  <si>
    <t xml:space="preserve">تقارير المستأجرين</t>
  </si>
  <si>
    <t xml:space="preserve">مبيعات الوقود</t>
  </si>
  <si>
    <t xml:space="preserve">مزيج المنتجات وحجم ولتر وربح كل منتج + الاتجاه الشهري</t>
  </si>
  <si>
    <t xml:space="preserve">لوحة تحليلات درب</t>
  </si>
  <si>
    <t xml:space="preserve">فرص B2B</t>
  </si>
  <si>
    <t xml:space="preserve">الجوار التجاري كأهداف بيع: القناة، القيمة، الحالة، الأولوية</t>
  </si>
  <si>
    <t xml:space="preserve">خرائط جوجل + المسح الميداني</t>
  </si>
  <si>
    <t xml:space="preserve">عقود الأساطيل</t>
  </si>
  <si>
    <t xml:space="preserve">فئات الأساطيل، آلية التعاقد، الجهات المستهدفة، الحجم والربح</t>
  </si>
  <si>
    <t xml:space="preserve">إدارة الشراكات</t>
  </si>
  <si>
    <t xml:space="preserve">المكس التسويقي</t>
  </si>
  <si>
    <t xml:space="preserve">٧Ps لكل محطة + توزيع ميزانية الترويج + الحملات</t>
  </si>
  <si>
    <t xml:space="preserve">إدارة التسويق</t>
  </si>
  <si>
    <t xml:space="preserve">النموذج المالي</t>
  </si>
  <si>
    <t xml:space="preserve">الدخل والمصاريف لكل محطة → الصافي وتكلفة اللتر ونقطة التعادل (معادلات)</t>
  </si>
  <si>
    <t xml:space="preserve">المالية + التشغيل</t>
  </si>
  <si>
    <t xml:space="preserve">بطاقة الأداء المشتركة</t>
  </si>
  <si>
    <t xml:space="preserve">المؤشرات المشتركة لكل منفذ: الربح/الزيارة، حصة التطبيق، التغطية</t>
  </si>
  <si>
    <t xml:space="preserve">محسوبة من الأوراق أعلاه</t>
  </si>
  <si>
    <t xml:space="preserve">خطة التنفيذ</t>
  </si>
  <si>
    <t xml:space="preserve">الركائز، قواعد فضّ التعارض، والتسلسل التنفيذي ٣ مراحل</t>
  </si>
  <si>
    <t xml:space="preserve">استراتيجية التكامل</t>
  </si>
  <si>
    <t xml:space="preserve">ملاحظة</t>
  </si>
  <si>
    <t xml:space="preserve">الأرقام المالية (الهوامش والإيجارات والمصاريف) تقديرات نموذجية للاعتماد — تُستبدل بالأرقام المعتمدة من المالية.</t>
  </si>
  <si>
    <t xml:space="preserve">الرمز</t>
  </si>
  <si>
    <t xml:space="preserve">اسم المحطة</t>
  </si>
  <si>
    <t xml:space="preserve">المدينة</t>
  </si>
  <si>
    <t xml:space="preserve">نمط الموقع</t>
  </si>
  <si>
    <t xml:space="preserve">الحجم</t>
  </si>
  <si>
    <t xml:space="preserve">المساحة</t>
  </si>
  <si>
    <t xml:space="preserve">خدمة ذاتية</t>
  </si>
  <si>
    <t xml:space="preserve">عدد المضخات</t>
  </si>
  <si>
    <t xml:space="preserve">سعة الخزان (لتر)</t>
  </si>
  <si>
    <t xml:space="preserve">عدد العمّال</t>
  </si>
  <si>
    <t xml:space="preserve">الزيارات/شهر</t>
  </si>
  <si>
    <t xml:space="preserve">الوصف</t>
  </si>
  <si>
    <t xml:space="preserve">MK007</t>
  </si>
  <si>
    <t xml:space="preserve">درب — العمرة الجديدة</t>
  </si>
  <si>
    <t xml:space="preserve">مكة</t>
  </si>
  <si>
    <t xml:space="preserve">خط سفر (ممر معتمرين)</t>
  </si>
  <si>
    <t xml:space="preserve">كبيرة جداً</t>
  </si>
  <si>
    <t xml:space="preserve">120,000 م²</t>
  </si>
  <si>
    <t xml:space="preserve">لا</t>
  </si>
  <si>
    <t xml:space="preserve">أكبر محطة وقود في مكة، على طريق المدينة المنورة (ممر المعتمرين) — وجهة متكاملة بأكثر من 32 علامة تجارية، الأعلى تقييماً في محيطها.</t>
  </si>
  <si>
    <t xml:space="preserve">MK003</t>
  </si>
  <si>
    <t xml:space="preserve">درب — العوالي</t>
  </si>
  <si>
    <t xml:space="preserve">خط سفر</t>
  </si>
  <si>
    <t xml:space="preserve">كبيرة</t>
  </si>
  <si>
    <t xml:space="preserve">19,994 م²</t>
  </si>
  <si>
    <t xml:space="preserve">محطة كبيرة على خط سفر مميز في مكة (~20 ألف م²) — عملاء ركّاب أعلى إنفاقاً وحصة بنزين ٩٥ مرتفعة.</t>
  </si>
  <si>
    <t xml:space="preserve">MK008</t>
  </si>
  <si>
    <t xml:space="preserve">درب — الحسينية</t>
  </si>
  <si>
    <t xml:space="preserve">حي</t>
  </si>
  <si>
    <t xml:space="preserve">متوسطة</t>
  </si>
  <si>
    <t xml:space="preserve">3,408 م²</t>
  </si>
  <si>
    <t xml:space="preserve">محطة حي داخل الحسينية تخدم السكان — عملاء متكرّرون، ذروة مسائية (21:00)، وغالبية بنزين ٩١.</t>
  </si>
  <si>
    <t xml:space="preserve">التشغيل (المضخات/الخزان/العمّال) تقديرات مبدئية — تُعتمد من سجل الأصول والموارد البشرية.</t>
  </si>
  <si>
    <t xml:space="preserve">شرائح العملاء — مَن نبيع له في كل منفذ</t>
  </si>
  <si>
    <t xml:space="preserve">الشريحة</t>
  </si>
  <si>
    <t xml:space="preserve">الحصة/الوزن</t>
  </si>
  <si>
    <t xml:space="preserve">ملف الشريحة</t>
  </si>
  <si>
    <t xml:space="preserve">ما تحتاجه</t>
  </si>
  <si>
    <t xml:space="preserve">العرض المقدّم</t>
  </si>
  <si>
    <t xml:space="preserve">🕋 معتمرون وعابرون</t>
  </si>
  <si>
    <t xml:space="preserve">الشريحة الأساسية</t>
  </si>
  <si>
    <t xml:space="preserve">قادمون على طريق المدينة (ممر المعتمرين) — فنادق وشركات معتمرين حول الموقع.</t>
  </si>
  <si>
    <t xml:space="preserve">تعبئة سريعة + وجبة + قهوة + مصلّى ودورات مياه.</t>
  </si>
  <si>
    <t xml:space="preserve">بنزين 95/91 · وجبات سريعة · خدمات معتمرين · قهوة عالمية (مقترحة).</t>
  </si>
  <si>
    <t xml:space="preserve">🚌 الأساطيل</t>
  </si>
  <si>
    <t xml:space="preserve">ديزل 28٪ من الحجم</t>
  </si>
  <si>
    <t xml:space="preserve">حافلات نقل معتمرين + أساطيل توزيع (المراعي، i كومكس، ميداء).</t>
  </si>
  <si>
    <t xml:space="preserve">ديزل متوفر + خدمة شاحنات سريعة + عقود تزويد.</t>
  </si>
  <si>
    <t xml:space="preserve">عقود وقود أسطول B2B · ديزل · خدمة سريعة.</t>
  </si>
  <si>
    <t xml:space="preserve">🏘️ سكان الحي</t>
  </si>
  <si>
    <t xml:space="preserve">تكرار يومي</t>
  </si>
  <si>
    <t xml:space="preserve">عائلات شابة — كثافة مدارس ورياض أطفال · 63٪ تحت الـ30.</t>
  </si>
  <si>
    <t xml:space="preserve">سعر تنافسي 91 + متجر + برنامج ولاء.</t>
  </si>
  <si>
    <t xml:space="preserve">بنزين 91 اقتصادي · تانكي · بنده.</t>
  </si>
  <si>
    <t xml:space="preserve">🚗 عابرون وزوّار</t>
  </si>
  <si>
    <t xml:space="preserve">مسافرون على خط سفر مميز — إنفاق أعلى وتعبئة أكبر.</t>
  </si>
  <si>
    <t xml:space="preserve">تعبئة سريعة + استراحة + قهوة ووجبة.</t>
  </si>
  <si>
    <t xml:space="preserve">بنزين 95/91 · مطعم/كافيه عابرين · خدمة سيارات.</t>
  </si>
  <si>
    <t xml:space="preserve">⭐ مفضّلو الممتاز 95</t>
  </si>
  <si>
    <t xml:space="preserve">بنزين 95 = 49.8٪</t>
  </si>
  <si>
    <t xml:space="preserve">عملاء سيارات أحدث / أعلى إنفاقاً.</t>
  </si>
  <si>
    <t xml:space="preserve">توفّر 95 دائماً + خدمة مميزة.</t>
  </si>
  <si>
    <t xml:space="preserve">عروض 95 · خدمة سريعة عند المضخة.</t>
  </si>
  <si>
    <t xml:space="preserve">🏘️ سكان مجاورون</t>
  </si>
  <si>
    <t xml:space="preserve">استخدام متكرّر</t>
  </si>
  <si>
    <t xml:space="preserve">سكان الأحياء القريبة.</t>
  </si>
  <si>
    <t xml:space="preserve">سعر 91 تنافسي + سرعة + ولاء.</t>
  </si>
  <si>
    <t xml:space="preserve">بنزين 91 · تانكي · متجر.</t>
  </si>
  <si>
    <t xml:space="preserve">عائلات حي الحسينية — زيارات متكرّرة.</t>
  </si>
  <si>
    <t xml:space="preserve">سعر 91 تنافسي + احتياج يومي + سرعة.</t>
  </si>
  <si>
    <t xml:space="preserve">بنزين 91 · مخبز/بقالة/صيدلية · تانكي.</t>
  </si>
  <si>
    <t xml:space="preserve">💰 حسّاسون للسعر</t>
  </si>
  <si>
    <t xml:space="preserve">بنزين 91 = 58.7٪</t>
  </si>
  <si>
    <t xml:space="preserve">عملاء يوازنون السعر ويكرّرون الزيارة.</t>
  </si>
  <si>
    <t xml:space="preserve">أفضل سعر 91 + خدمة سريعة.</t>
  </si>
  <si>
    <t xml:space="preserve">تنافسية 91 · عروض تانكي.</t>
  </si>
  <si>
    <t xml:space="preserve">🛒 احتياج يومي (مسائي)</t>
  </si>
  <si>
    <t xml:space="preserve">ذروة 21:00</t>
  </si>
  <si>
    <t xml:space="preserve">متسوّقون بعد الدوام — أسر الحي.</t>
  </si>
  <si>
    <t xml:space="preserve">مخبز / بقالة / صيدلية / مغسلة قرب المنزل.</t>
  </si>
  <si>
    <t xml:space="preserve">وحدات خدمات يومية · نقاط توصيل.</t>
  </si>
  <si>
    <t xml:space="preserve">المحيط التنافسي وبطاقة السيناريو</t>
  </si>
  <si>
    <t xml:space="preserve">MK007 — درب — العمرة الجديدة</t>
  </si>
  <si>
    <t xml:space="preserve">الطريق</t>
  </si>
  <si>
    <t xml:space="preserve">طريق المدينة المنورة (ممر المعتمرين) — الشريان الرئيسي مكة ↔ المدينة</t>
  </si>
  <si>
    <t xml:space="preserve">المحطة السابقة</t>
  </si>
  <si>
    <t xml:space="preserve">محطة درب (فرع ثانٍ) — نفس الحي · 4.9★/755 (ننتبه للتغذية الذاتية بين الفرعين)</t>
  </si>
  <si>
    <t xml:space="preserve">المحطة التالية</t>
  </si>
  <si>
    <t xml:space="preserve">الدريس — النوارية · 3.9★/2106 (المنافس الأقوى حضوراً)</t>
  </si>
  <si>
    <t xml:space="preserve">كثافة المنافسة</t>
  </si>
  <si>
    <t xml:space="preserve">~16 محطة في المحيط · الأبرز: الدريس (٣ فروع)، المملكة، بترومين، بروتايم، المجد</t>
  </si>
  <si>
    <t xml:space="preserve">الميزة التنافسية</t>
  </si>
  <si>
    <t xml:space="preserve">الأوسع براندات (32+ مقابل ١)، الأعلى تقييماً (4.8★)، ومسجد ومرافق كاملة على ممر المعتمرين.</t>
  </si>
  <si>
    <t xml:space="preserve">الفجوة</t>
  </si>
  <si>
    <t xml:space="preserve">غياب مرساة قهوة عالمية بحجم «تيم هورتنز» لدى المنافس.</t>
  </si>
  <si>
    <t xml:space="preserve">العلامات في المحطة</t>
  </si>
  <si>
    <t xml:space="preserve">🍔 مطاعم: ماكدونالدز · بيتزا ريتا · صامولجي · قيس آيسكريم | ☕ مقاهي: المذاق المغربي · بوبا بيرلز · رو · جوينت | 🛒 ماركت: بنده</t>
  </si>
  <si>
    <t xml:space="preserve">المنافسون</t>
  </si>
  <si>
    <t xml:space="preserve">بترومين: تيم هورتنز (1114) | الدريس: كورس جرايند · ٣ فروع | المملكة: عصير صمدو | بروتايم: بروست الزعيم</t>
  </si>
  <si>
    <t xml:space="preserve">براندات مقترحة</t>
  </si>
  <si>
    <t xml:space="preserve">قهوة عالمية (عالية) | وجبات سريعة (عالية) | خدمات معتمرين (عالية) | مطعم عائلي (متوسطة)</t>
  </si>
  <si>
    <t xml:space="preserve">MK003 — درب — العوالي</t>
  </si>
  <si>
    <t xml:space="preserve">خط سفر مميز — مكة</t>
  </si>
  <si>
    <t xml:space="preserve">⚠️ يُستكمل من الخرائط</t>
  </si>
  <si>
    <t xml:space="preserve">المحطات المجاورة تُستكمل من خرائط جوجل</t>
  </si>
  <si>
    <t xml:space="preserve">موقع خط سفر مميز ومساحة كبيرة (~20 ألف م²) تتيح وحدات متعددة وخدمات عابرين.</t>
  </si>
  <si>
    <t xml:space="preserve">بيانات المنافسين والوحدات الشاغرة تُستكمل بالمسح الميداني والخرائط.</t>
  </si>
  <si>
    <t xml:space="preserve">⛽ الوقود: بنزين 91 · 95 (لا ديزل تقريباً) | 🏪 الوحدات: ⚠️ جرد الوحدات والبراندات يُستكمل ميدانياً</t>
  </si>
  <si>
    <t xml:space="preserve">المنافسون: ⚠️ يُستكمل من خرائط جوجل</t>
  </si>
  <si>
    <t xml:space="preserve">مطعم/كافيه عابرين (عالية) | خدمة سيارات (زيوت/كفرات) (عالية) | متجر سفر (متوسطة)</t>
  </si>
  <si>
    <t xml:space="preserve">MK008 — درب — الحسينية</t>
  </si>
  <si>
    <t xml:space="preserve">داخل حي الحسينية السكني</t>
  </si>
  <si>
    <t xml:space="preserve">محطات أحياء مجاورة — تُستكمل من خرائط جوجل</t>
  </si>
  <si>
    <t xml:space="preserve">قرب من السكان وذروة مسائية (21:00) تناسب خدمات ما بعد الدوام والاحتياج اليومي.</t>
  </si>
  <si>
    <t xml:space="preserve">لا حملات موثّقة بعد — فرصة عروض شراكة متجر وربطها بتانكي.</t>
  </si>
  <si>
    <t xml:space="preserve">⛽ الوقود: بنزين 91 (غالب) · 95 | 🏪 الوحدات: ⚠️ جرد الوحدات يُستكمل ميدانياً</t>
  </si>
  <si>
    <t xml:space="preserve">المنافسون: ⚠️ محطات أحياء مجاورة — يُستكمل من الخرائط</t>
  </si>
  <si>
    <t xml:space="preserve">مخبز (عالية) | صيدلية (عالية) | بقالة/سوبرماركت (عالية) | مغسلة (متوسطة)</t>
  </si>
  <si>
    <t xml:space="preserve">وحدات التأجير — مكوّنات المحطة</t>
  </si>
  <si>
    <t xml:space="preserve">اسم الوحدة/المستأجر</t>
  </si>
  <si>
    <t xml:space="preserve">نوع الوحدة</t>
  </si>
  <si>
    <t xml:space="preserve">العدد</t>
  </si>
  <si>
    <t xml:space="preserve">قسم الخدمة</t>
  </si>
  <si>
    <t xml:space="preserve">النوع الفرعي</t>
  </si>
  <si>
    <t xml:space="preserve">الحالة</t>
  </si>
  <si>
    <t xml:space="preserve">الإيجار/شهر</t>
  </si>
  <si>
    <t xml:space="preserve">المساحة م²</t>
  </si>
  <si>
    <t xml:space="preserve">ماكدونالدز</t>
  </si>
  <si>
    <t xml:space="preserve">دريف ثرو</t>
  </si>
  <si>
    <t xml:space="preserve">مطاعم</t>
  </si>
  <si>
    <t xml:space="preserve">وجبات سريعة</t>
  </si>
  <si>
    <t xml:space="preserve">مؤجّرة</t>
  </si>
  <si>
    <t xml:space="preserve">بيتزا ريتا</t>
  </si>
  <si>
    <t xml:space="preserve">محل تجاري</t>
  </si>
  <si>
    <t xml:space="preserve">صامولجي</t>
  </si>
  <si>
    <t xml:space="preserve">كشك</t>
  </si>
  <si>
    <t xml:space="preserve">فطاير</t>
  </si>
  <si>
    <t xml:space="preserve">قيس آيسكريم</t>
  </si>
  <si>
    <t xml:space="preserve">آيس كريم</t>
  </si>
  <si>
    <t xml:space="preserve">آيسكريم</t>
  </si>
  <si>
    <t xml:space="preserve">المذاق المغربي</t>
  </si>
  <si>
    <t xml:space="preserve">كافيهات</t>
  </si>
  <si>
    <t xml:space="preserve">تجاري</t>
  </si>
  <si>
    <t xml:space="preserve">بوبا بيرلز</t>
  </si>
  <si>
    <t xml:space="preserve">رو (Raw)</t>
  </si>
  <si>
    <t xml:space="preserve">قهوة مختصة</t>
  </si>
  <si>
    <t xml:space="preserve">جوينت</t>
  </si>
  <si>
    <t xml:space="preserve">بنده</t>
  </si>
  <si>
    <t xml:space="preserve">سوبر ماركت</t>
  </si>
  <si>
    <t xml:space="preserve">ماركت صغير</t>
  </si>
  <si>
    <t xml:space="preserve">مغسلة سيارات</t>
  </si>
  <si>
    <t xml:space="preserve">مغاسل</t>
  </si>
  <si>
    <t xml:space="preserve">آلية</t>
  </si>
  <si>
    <t xml:space="preserve">تغيير زيت</t>
  </si>
  <si>
    <t xml:space="preserve">زيوت</t>
  </si>
  <si>
    <t xml:space="preserve">خدمة شاملة</t>
  </si>
  <si>
    <t xml:space="preserve">صراف آلي</t>
  </si>
  <si>
    <t xml:space="preserve">صراف</t>
  </si>
  <si>
    <t xml:space="preserve">مسجد / مصلّى</t>
  </si>
  <si>
    <t xml:space="preserve">أخرى</t>
  </si>
  <si>
    <t xml:space="preserve">عام</t>
  </si>
  <si>
    <t xml:space="preserve">قهوة عالمية (مقترحة)</t>
  </si>
  <si>
    <t xml:space="preserve">شاغرة</t>
  </si>
  <si>
    <t xml:space="preserve">وحدة مطعم/كافيه</t>
  </si>
  <si>
    <t xml:space="preserve">خدمة سيارات</t>
  </si>
  <si>
    <t xml:space="preserve">أكشاك متاحة</t>
  </si>
  <si>
    <t xml:space="preserve">مخبز</t>
  </si>
  <si>
    <t xml:space="preserve">صيدلية</t>
  </si>
  <si>
    <t xml:space="preserve">بقالة</t>
  </si>
  <si>
    <t xml:space="preserve">الإجمالي</t>
  </si>
  <si>
    <t xml:space="preserve">مبيعات المستأجرين الشهرية</t>
  </si>
  <si>
    <t xml:space="preserve">نسبة الإيجار = الإيجار ÷ مبيعات آخر شهر (الصحّي ≤ ١٥٪) · مبيعات/م² = مبيعات آخر شهر ÷ المساحة</t>
  </si>
  <si>
    <t xml:space="preserve">المستأجر</t>
  </si>
  <si>
    <t xml:space="preserve">يناير 2026</t>
  </si>
  <si>
    <t xml:space="preserve">فبراير 2026</t>
  </si>
  <si>
    <t xml:space="preserve">مارس 2026</t>
  </si>
  <si>
    <t xml:space="preserve">أبريل 2026</t>
  </si>
  <si>
    <t xml:space="preserve">مايو 2026</t>
  </si>
  <si>
    <t xml:space="preserve">يونيو 2026</t>
  </si>
  <si>
    <t xml:space="preserve">نسبة الإيجار</t>
  </si>
  <si>
    <t xml:space="preserve">مبيعات/م²</t>
  </si>
  <si>
    <t xml:space="preserve">مبيعات الوقود — مزيج المنتجات</t>
  </si>
  <si>
    <t xml:space="preserve">لتر المنتج = الحصة × إجمالي اللترات · ربح المنتج = لتر المنتج × هامش الوقود</t>
  </si>
  <si>
    <t xml:space="preserve">المنتج</t>
  </si>
  <si>
    <t xml:space="preserve">الحصة %</t>
  </si>
  <si>
    <t xml:space="preserve">إجمالي اللترات/شهر</t>
  </si>
  <si>
    <t xml:space="preserve">هامش ر.س/لتر</t>
  </si>
  <si>
    <t xml:space="preserve">لتر المنتج/شهر</t>
  </si>
  <si>
    <t xml:space="preserve">ربح المنتج/شهر</t>
  </si>
  <si>
    <t xml:space="preserve">بنزين 91</t>
  </si>
  <si>
    <t xml:space="preserve">بنزين 95</t>
  </si>
  <si>
    <t xml:space="preserve">ديزل</t>
  </si>
  <si>
    <t xml:space="preserve">الاتجاه الشهري (مليون لتر)</t>
  </si>
  <si>
    <t xml:space="preserve">فرص المبيعات — الجوار التجاري (B2B)</t>
  </si>
  <si>
    <t xml:space="preserve">الجهة</t>
  </si>
  <si>
    <t xml:space="preserve">النشاط / الوصف</t>
  </si>
  <si>
    <t xml:space="preserve">قناة البيع</t>
  </si>
  <si>
    <t xml:space="preserve">القيمة ر.س/شهر</t>
  </si>
  <si>
    <t xml:space="preserve">الأولوية</t>
  </si>
  <si>
    <t xml:space="preserve">المراعي (Almarai)</t>
  </si>
  <si>
    <t xml:space="preserve">🚚 أسطول توزيع — ديزل</t>
  </si>
  <si>
    <t xml:space="preserve">⛽ وقود أسطول</t>
  </si>
  <si>
    <t xml:space="preserve">فرصة</t>
  </si>
  <si>
    <t xml:space="preserve">عالية</t>
  </si>
  <si>
    <t xml:space="preserve">ميداء لخدمات المعتمرين</t>
  </si>
  <si>
    <t xml:space="preserve">🚌 أساطيل نقل معتمرين · 4.9★/109</t>
  </si>
  <si>
    <t xml:space="preserve">تواصل</t>
  </si>
  <si>
    <t xml:space="preserve">i كومكس</t>
  </si>
  <si>
    <t xml:space="preserve">📦 أسطول شحن وتوصيل · 4.9★/875</t>
  </si>
  <si>
    <t xml:space="preserve">مرساة قهوة عالمية</t>
  </si>
  <si>
    <t xml:space="preserve">☕ سدّ الفجوة مقابل تيم هورتنز</t>
  </si>
  <si>
    <t xml:space="preserve">🏪 تأجير</t>
  </si>
  <si>
    <t xml:space="preserve">حنيذ الغربي / مندي وبس</t>
  </si>
  <si>
    <t xml:space="preserve">🍽️ مطعم شعبي · 4.4★/560</t>
  </si>
  <si>
    <t xml:space="preserve">واحد تكا</t>
  </si>
  <si>
    <t xml:space="preserve">🍔 وجبات سريعة · 4.9★/285</t>
  </si>
  <si>
    <t xml:space="preserve">مجموعة ريتاج العربية</t>
  </si>
  <si>
    <t xml:space="preserve">🍽️ مورد أطعمة/تموين للمستأجرين</t>
  </si>
  <si>
    <t xml:space="preserve">🤝 شراكة</t>
  </si>
  <si>
    <t xml:space="preserve">اجواد الكرم</t>
  </si>
  <si>
    <t xml:space="preserve">🛒 سوبرماركت · 4.1★/465</t>
  </si>
  <si>
    <t xml:space="preserve">🔄 بيع متقاطع</t>
  </si>
  <si>
    <t xml:space="preserve">منخفضة</t>
  </si>
  <si>
    <t xml:space="preserve">سيارة اب (فليت مانجمنت B2B)</t>
  </si>
  <si>
    <t xml:space="preserve">🚗 منصّة إدارة أساطيل — تضم مكاتب التأجير القريبة: ذيب · يلو · الغزال · حسين · المصباح (٦ مكاتب ضمن 2.3كم)</t>
  </si>
  <si>
    <t xml:space="preserve">جوتكس للخدمات اللوجستية</t>
  </si>
  <si>
    <t xml:space="preserve">🚚 لوجستيات وشحن · 4.1★/16 · 0.8كم</t>
  </si>
  <si>
    <t xml:space="preserve">الحربي للنقل (حج وعمرة)</t>
  </si>
  <si>
    <t xml:space="preserve">🚌 نقل حجاج ومعتمرين · 4.6★/42 · 3.3كم</t>
  </si>
  <si>
    <t xml:space="preserve">مشغّل مطعم/كافيه</t>
  </si>
  <si>
    <t xml:space="preserve">🍽️ عابرون وزوّار</t>
  </si>
  <si>
    <t xml:space="preserve">خدمة سيارات (زيوت/كفرات)</t>
  </si>
  <si>
    <t xml:space="preserve">🚗 صيانة سريعة</t>
  </si>
  <si>
    <t xml:space="preserve">عرض متجر مشترك</t>
  </si>
  <si>
    <t xml:space="preserve">🤝 شراكة تسويقية</t>
  </si>
  <si>
    <t xml:space="preserve">عملاء الممتاز 95</t>
  </si>
  <si>
    <t xml:space="preserve">⭐ عروض بنزين 95</t>
  </si>
  <si>
    <t xml:space="preserve">🥖 احتياج يومي</t>
  </si>
  <si>
    <t xml:space="preserve">💊 خدمة أساسية</t>
  </si>
  <si>
    <t xml:space="preserve">بقالة/سوبرماركت</t>
  </si>
  <si>
    <t xml:space="preserve">🛒 تسوق يومي</t>
  </si>
  <si>
    <t xml:space="preserve">مغسلة / نقطة توصيل</t>
  </si>
  <si>
    <t xml:space="preserve">🧺 خدمة مسائية</t>
  </si>
  <si>
    <t xml:space="preserve">إجمالي خط الأنابيب</t>
  </si>
  <si>
    <t xml:space="preserve">المتعاقد</t>
  </si>
  <si>
    <t xml:space="preserve">فرص مفتوحة</t>
  </si>
  <si>
    <t xml:space="preserve">عقود وقود الأساطيل (B2B)</t>
  </si>
  <si>
    <t xml:space="preserve">فئة الأسطول</t>
  </si>
  <si>
    <t xml:space="preserve">آلية التعاقد</t>
  </si>
  <si>
    <t xml:space="preserve">الجهات المستهدفة</t>
  </si>
  <si>
    <t xml:space="preserve">الحجم لتر/شهر</t>
  </si>
  <si>
    <t xml:space="preserve">ربح متوقّع/شهر</t>
  </si>
  <si>
    <t xml:space="preserve">🚌 باصات الحجاج والمعتمرين</t>
  </si>
  <si>
    <t xml:space="preserve">عقد موسمي (حج/عمرة) + بطاقة وقود أسطول + خصم حجمي + مسار حافلات سريع + دفع آجل ٣٠ يوم</t>
  </si>
  <si>
    <t xml:space="preserve">ميداء للمعتمرين · شركات النقل الجماعي · مؤسسات الطوافة · نقل تضامني</t>
  </si>
  <si>
    <t xml:space="preserve">🚚 شاحنات اللوجستيات</t>
  </si>
  <si>
    <t xml:space="preserve">بطاقة وقود أسطول + خصم حجمي متدرّج + عقد سنوي + دفع آجل + خدمة 24/7 ومسار شاحنات مخصّص</t>
  </si>
  <si>
    <t xml:space="preserve">المراعي · i كومكس · شركات الشحن والتوزيع العابرة</t>
  </si>
  <si>
    <t xml:space="preserve">🚕 تكاسي المسافرين للمدينة</t>
  </si>
  <si>
    <t xml:space="preserve">بنزين 91/95</t>
  </si>
  <si>
    <t xml:space="preserve">برنامج ولاء سائقين (تانكي) + بطاقة وقود للمكاتب + خصم جماعي + نقطة استراحة سائقين + ربط بالتطبيق</t>
  </si>
  <si>
    <t xml:space="preserve">الحربي للنقل (حج وعمرة، 3.3كم) · مكاتب الشبيكة/المعابدة · تطبيقات النقل</t>
  </si>
  <si>
    <t xml:space="preserve">🚗 سيارة اب — فليت مانجمنت (B2B)</t>
  </si>
  <si>
    <t xml:space="preserve">اتفاقية تزويد عبر منصّة إدارة الأساطيل: بطاقة وقود موحّدة لكل مركبة + فوترة مركزية شهرية + خصم حجمي على إجمالي أسطول المنصّة + تقارير استهلاك لكل مركبة + ربط رقمي (API/تطبيق) + تسعير تفضيلي مقابل توجيه التعبئة للمحطة</t>
  </si>
  <si>
    <t xml:space="preserve">محفظة عملاء المنصّة — شركات تأجير السيارات القريبة تدخل تحتها: ذيب · يلو · الغزال · حسين · المصباح (٦ مكاتب ضمن 2.3كم) + أساطيل الشركات</t>
  </si>
  <si>
    <t xml:space="preserve">🚌 حافلات وعابرون</t>
  </si>
  <si>
    <t xml:space="preserve">بطاقة وقود + خصم حجمي + مسار سريع — يُستكمل</t>
  </si>
  <si>
    <t xml:space="preserve">شركات النقل العابرة على خط السفر</t>
  </si>
  <si>
    <t xml:space="preserve">🚕 تكاسي ونقل</t>
  </si>
  <si>
    <t xml:space="preserve">ولاء سائقين (تانكي) + اتفاق مع مكاتب النقل</t>
  </si>
  <si>
    <t xml:space="preserve">مكاتب النقل والأجرة المحلية</t>
  </si>
  <si>
    <t xml:space="preserve">🛵 مندوبو التوصيل</t>
  </si>
  <si>
    <t xml:space="preserve">برنامج ولاء سائقين (تانكي) + خصم جماعي + ربط بالتطبيق</t>
  </si>
  <si>
    <t xml:space="preserve">تطبيقات التوصيل المحلية · مطاعم الحي</t>
  </si>
  <si>
    <t xml:space="preserve">المكس التسويقي (٧Ps) — حسب نمط الموقع</t>
  </si>
  <si>
    <t xml:space="preserve">العنصر</t>
  </si>
  <si>
    <t xml:space="preserve">القرار الاستراتيجي</t>
  </si>
  <si>
    <t xml:space="preserve">📦 المنتج</t>
  </si>
  <si>
    <t xml:space="preserve">الزيارة الكاملة: وقود (91/95/ديزل) + وجبات سريعة + قهوة عالمية (فجوة) + خدمات معتمرين + مسجد ومرافق.</t>
  </si>
  <si>
    <t xml:space="preserve">🏷️ السعر</t>
  </si>
  <si>
    <t xml:space="preserve">الوقود مقنَّن ⇒ خصم حجمي للأساطيل · إيجار = ثابت + نسبة من مبيعات المستأجر · تانكي بدل الخصم السعري.</t>
  </si>
  <si>
    <t xml:space="preserve">📍 المكان</t>
  </si>
  <si>
    <t xml:space="preserve">وجهة على ممر المعتمرين + مسار سريع للحافلات والشاحنات + التطبيق كمنفذ رقمي.</t>
  </si>
  <si>
    <t xml:space="preserve">📣 الترويج</t>
  </si>
  <si>
    <t xml:space="preserve">تفعيل التطبيق عند المضخة · حملات موسمية (حج/عمرة) · حملات مشتركة مع المستأجرين (نموذج المذاق المغربي +9.5٪).</t>
  </si>
  <si>
    <t xml:space="preserve">👥 الناس</t>
  </si>
  <si>
    <t xml:space="preserve">مندوب متكامل للأساطيل والجوار + موظف المحطة كنقطة تفعيل بحافز · خدمة متعددة اللغات (معتمرون).</t>
  </si>
  <si>
    <t xml:space="preserve">⚙️ العمليات</t>
  </si>
  <si>
    <t xml:space="preserve">سرعة الخدمة عند ذروة 17:00 · تفعيل رقمي بخطوة واحدة · عقد أسطول (بطاقة + فوترة + تقارير).</t>
  </si>
  <si>
    <t xml:space="preserve">🏛️ الدليل المادي</t>
  </si>
  <si>
    <t xml:space="preserve">المسجد والمرافق ودورات المياه — ميزة موثّقة في التقييمات (4.8★) · النظافة والتوجيه.</t>
  </si>
  <si>
    <t xml:space="preserve">استراحة عابرين: بنزين 95 (49.8٪ من المزيج) + قهوة ووجبة + خدمة سيارات (زيوت/كفرات).</t>
  </si>
  <si>
    <t xml:space="preserve">الوقود مقنَّن ⇒ عروض قيمة على غير الوقود · إيجار ثابت + نسبة · تانكي للولاء.</t>
  </si>
  <si>
    <t xml:space="preserve">خط سفر مميز ومساحة ~20 ألف م² تتيح وحدات متعددة — الوحدات الشاغرة أولوية.</t>
  </si>
  <si>
    <t xml:space="preserve">تفعيل التطبيق عند المضخة · عروض حول ذروة 17:00 والخميس · عروض متجر مشتركة.</t>
  </si>
  <si>
    <t xml:space="preserve">مندوب لتغطية الوحدات الشاغرة + موظف سريع الخدمة للعابرين.</t>
  </si>
  <si>
    <t xml:space="preserve">سرعة التعبئة والخروج · تفعيل رقمي بخطوة واحدة · معيار اختيار مستأجر يضمن استدامته.</t>
  </si>
  <si>
    <t xml:space="preserve">نظافة ومرافق استراحة ولوحات توجيه واضحة على الطريق.</t>
  </si>
  <si>
    <t xml:space="preserve">احتياج يومي للحي: بنزين 91 (58.7٪) + مخبز وبقالة وصيدلية + خدمات مسائية.</t>
  </si>
  <si>
    <t xml:space="preserve">حساسية سعرية عالية ⇒ تنافسية 91 + قيمة عبر تانكي · إيجار يناسب حجم الحي.</t>
  </si>
  <si>
    <t xml:space="preserve">داخل الحي السكني — قرب وسهولة وصول؛ التطبيق للطلب والتوصيل.</t>
  </si>
  <si>
    <t xml:space="preserve">تانكي لرفع تكرار الزيارة · عروض مسائية حول ذروة 21:00 والخميس · عروض متجر مشتركة.</t>
  </si>
  <si>
    <t xml:space="preserve">ألفة الموظفين مع سكان الحي (عملاء متكرّرون) + تفعيل التطبيق عند المضخة.</t>
  </si>
  <si>
    <t xml:space="preserve">خدمة سريعة مسائية · تفعيل رقمي بخطوة واحدة.</t>
  </si>
  <si>
    <t xml:space="preserve">إضاءة ونظافة وأمان مسائي — عامل حاسم لعملاء الحي بعد الدوام.</t>
  </si>
  <si>
    <t xml:space="preserve">توزيع ميزانية الترويج</t>
  </si>
  <si>
    <t xml:space="preserve">البند</t>
  </si>
  <si>
    <t xml:space="preserve">تفعيل التطبيق</t>
  </si>
  <si>
    <t xml:space="preserve">حملات مشتركة مع المستأجرين</t>
  </si>
  <si>
    <t xml:space="preserve">ترويج B2B مباشر</t>
  </si>
  <si>
    <t xml:space="preserve">الدليل المادي والهوية</t>
  </si>
  <si>
    <t xml:space="preserve">المجموع (يجب أن يساوي ١٠٠٪)</t>
  </si>
  <si>
    <t xml:space="preserve">الحملات</t>
  </si>
  <si>
    <t xml:space="preserve">الحملة</t>
  </si>
  <si>
    <t xml:space="preserve">النوع</t>
  </si>
  <si>
    <t xml:space="preserve">المموّل</t>
  </si>
  <si>
    <t xml:space="preserve">التكلفة ر.س</t>
  </si>
  <si>
    <t xml:space="preserve">الأثر %</t>
  </si>
  <si>
    <t xml:space="preserve">اليوم العالمي للشاي × المذاق المغربي</t>
  </si>
  <si>
    <t xml:space="preserve">حملة مشتركة مع مستأجر</t>
  </si>
  <si>
    <t xml:space="preserve">الشريك</t>
  </si>
  <si>
    <t xml:space="preserve">منفّذة</t>
  </si>
  <si>
    <t xml:space="preserve">تفعيل التطبيق عند المضخة</t>
  </si>
  <si>
    <t xml:space="preserve">تحويل رقمي</t>
  </si>
  <si>
    <t xml:space="preserve">التسويق</t>
  </si>
  <si>
    <t xml:space="preserve">مقترحة</t>
  </si>
  <si>
    <t xml:space="preserve">موسم العمرة — باقة تعبئة + وجبة</t>
  </si>
  <si>
    <t xml:space="preserve">باقة مجمّعة</t>
  </si>
  <si>
    <t xml:space="preserve">مشترك</t>
  </si>
  <si>
    <t xml:space="preserve">عروض ذروة 17:00</t>
  </si>
  <si>
    <t xml:space="preserve">عرض توقيت</t>
  </si>
  <si>
    <t xml:space="preserve">تانكي — تكرار الزيارة</t>
  </si>
  <si>
    <t xml:space="preserve">ولاء</t>
  </si>
  <si>
    <t xml:space="preserve">عروض مسائية 21:00</t>
  </si>
  <si>
    <t xml:space="preserve">إجمالي تكلفة الحملات</t>
  </si>
  <si>
    <t xml:space="preserve">منها على ميزانية التسويق</t>
  </si>
  <si>
    <t xml:space="preserve">مموّل من الشركاء/المستأجرين</t>
  </si>
  <si>
    <t xml:space="preserve">النموذج المالي لكل منفذ (شهرياً)</t>
  </si>
  <si>
    <t xml:space="preserve">المُدخلات بالأزرق · النتائج بالأسود (معادلات). عدّل أي مُدخل ليعاد الحساب.</t>
  </si>
  <si>
    <t xml:space="preserve">الوحدة</t>
  </si>
  <si>
    <t xml:space="preserve">MK007
درب — العمرة الجديدة</t>
  </si>
  <si>
    <t xml:space="preserve">MK003
درب — العوالي</t>
  </si>
  <si>
    <t xml:space="preserve">MK008
درب — الحسينية</t>
  </si>
  <si>
    <t xml:space="preserve">المحفظة</t>
  </si>
  <si>
    <t xml:space="preserve">⛽ الوقود</t>
  </si>
  <si>
    <t xml:space="preserve">اللترات</t>
  </si>
  <si>
    <t xml:space="preserve">لتر/شهر</t>
  </si>
  <si>
    <t xml:space="preserve">هامش الوقود</t>
  </si>
  <si>
    <t xml:space="preserve">ر.س/لتر</t>
  </si>
  <si>
    <t xml:space="preserve">دخل الوقود</t>
  </si>
  <si>
    <t xml:space="preserve">ر.س</t>
  </si>
  <si>
    <t xml:space="preserve">🏪 التأجير والخدمات</t>
  </si>
  <si>
    <t xml:space="preserve">عدد الوحدات</t>
  </si>
  <si>
    <t xml:space="preserve">وحدة</t>
  </si>
  <si>
    <t xml:space="preserve">نسبة الإشغال</t>
  </si>
  <si>
    <t xml:space="preserve">%</t>
  </si>
  <si>
    <t xml:space="preserve">متوسط الإيجار للوحدة</t>
  </si>
  <si>
    <t xml:space="preserve">دخل المتجر/الخدمات</t>
  </si>
  <si>
    <t xml:space="preserve">دخل التأجير</t>
  </si>
  <si>
    <t xml:space="preserve">إجمالي غير الوقود</t>
  </si>
  <si>
    <t xml:space="preserve">💸 المصاريف</t>
  </si>
  <si>
    <t xml:space="preserve">رواتب</t>
  </si>
  <si>
    <t xml:space="preserve">إيجار/تشغيل</t>
  </si>
  <si>
    <t xml:space="preserve">كهرباء وماء</t>
  </si>
  <si>
    <t xml:space="preserve">صيانة وأخرى</t>
  </si>
  <si>
    <t xml:space="preserve">إجمالي المصاريف</t>
  </si>
  <si>
    <t xml:space="preserve">🏭 التشغيل</t>
  </si>
  <si>
    <t xml:space="preserve">عامل</t>
  </si>
  <si>
    <t xml:space="preserve">سعة الخزان</t>
  </si>
  <si>
    <t xml:space="preserve">لتر</t>
  </si>
  <si>
    <t xml:space="preserve">مضخة</t>
  </si>
  <si>
    <t xml:space="preserve">الزيارات</t>
  </si>
  <si>
    <t xml:space="preserve">زيارة/شهر</t>
  </si>
  <si>
    <t xml:space="preserve">📊 النتائج</t>
  </si>
  <si>
    <t xml:space="preserve">إجمالي الدخل</t>
  </si>
  <si>
    <t xml:space="preserve">صافي الربح/الخسارة</t>
  </si>
  <si>
    <t xml:space="preserve">الربح لكل زيارة</t>
  </si>
  <si>
    <t xml:space="preserve">تكلفة التشغيل/لتر</t>
  </si>
  <si>
    <t xml:space="preserve">تكلفة الرواتب/عامل</t>
  </si>
  <si>
    <t xml:space="preserve">تغطية غير الوقود للمصاريف</t>
  </si>
  <si>
    <t xml:space="preserve">أيام تغطية الخزان</t>
  </si>
  <si>
    <t xml:space="preserve">يوم</t>
  </si>
  <si>
    <t xml:space="preserve">لتر لكل مضخة</t>
  </si>
  <si>
    <t xml:space="preserve">نقطة التعادل (لترات)</t>
  </si>
  <si>
    <t xml:space="preserve">بطاقة الأداء المشتركة — المؤشرات التي تُقاس عليها الإدارات معاً</t>
  </si>
  <si>
    <t xml:space="preserve">القيم مرتبطة بورقة «النموذج المالي» — أي تعديل هناك ينعكس هنا تلقائياً.</t>
  </si>
  <si>
    <t xml:space="preserve">المنفذ</t>
  </si>
  <si>
    <t xml:space="preserve">الربح/الزيارة</t>
  </si>
  <si>
    <t xml:space="preserve">حصة التطبيق</t>
  </si>
  <si>
    <t xml:space="preserve">مستهدف التطبيق</t>
  </si>
  <si>
    <t xml:space="preserve">تغطية غير الوقود</t>
  </si>
  <si>
    <t xml:space="preserve">ربح المنفذ</t>
  </si>
  <si>
    <t xml:space="preserve">أثر رفع غير الوقود ١ ر.س لكل زيارة</t>
  </si>
  <si>
    <t xml:space="preserve">ر.س/شهر على مستوى المحفظة</t>
  </si>
  <si>
    <t xml:space="preserve">خطة التنفيذ — التكامل بين الإدارات</t>
  </si>
  <si>
    <t xml:space="preserve">الوقود يجلب الحركة · غير الوقود يصنع الربح · التطبيق يربطهما · المندوب ينفّذها</t>
  </si>
  <si>
    <t xml:space="preserve">وحدة القياس المشتركة: الربح لكل زيارة في كل منفذ — لأن هامش الوقود مُقنَّن ومساحة النمو في غير الوقود.</t>
  </si>
  <si>
    <t xml:space="preserve">الركائز الهيكلية</t>
  </si>
  <si>
    <t xml:space="preserve">الركيزة</t>
  </si>
  <si>
    <t xml:space="preserve">التفصيل</t>
  </si>
  <si>
    <t xml:space="preserve">مالك منفذ واحد (P&amp;L)</t>
  </si>
  <si>
    <t xml:space="preserve">مسؤول عن ربح المحطة الكامل، والإدارات الأربع خدمات مشتركة تخدمه.</t>
  </si>
  <si>
    <t xml:space="preserve">بطاقة أداء موحّدة</t>
  </si>
  <si>
    <t xml:space="preserve">مؤشر الإدارة (مساءلة) + مؤشر مشترك (تكامل) على نفس البطاقة.</t>
  </si>
  <si>
    <t xml:space="preserve">حوافز مشتركة ٦٠/٤٠</t>
  </si>
  <si>
    <t xml:space="preserve">٦٠٪ على هدف الإدارة و٤٠٪ على ربح المنفذ المشترك.</t>
  </si>
  <si>
    <t xml:space="preserve">دورة النمو</t>
  </si>
  <si>
    <t xml:space="preserve">#</t>
  </si>
  <si>
    <t xml:space="preserve">المرحلة</t>
  </si>
  <si>
    <t xml:space="preserve">الأثر</t>
  </si>
  <si>
    <t xml:space="preserve">🤝 عقود الأساطيل</t>
  </si>
  <si>
    <t xml:space="preserve">حجم وقود مضمون + تدفّق متكرّر</t>
  </si>
  <si>
    <t xml:space="preserve">🏪 جاذبية الموقع</t>
  </si>
  <si>
    <t xml:space="preserve">إشغال وإيجار أعلى</t>
  </si>
  <si>
    <t xml:space="preserve">⛽ سبب زيارة إضافي</t>
  </si>
  <si>
    <t xml:space="preserve">وقود أكثر لكل زيارة</t>
  </si>
  <si>
    <t xml:space="preserve">📱 التطبيق يلتقط الهوية</t>
  </si>
  <si>
    <t xml:space="preserve">إعادة استهداف مُقاسة</t>
  </si>
  <si>
    <t xml:space="preserve">📣 تكرار الزيارة</t>
  </si>
  <si>
    <t xml:space="preserve">مبيعات مستأجر أعلى → إيجار أعلى</t>
  </si>
  <si>
    <t xml:space="preserve">قواعد فضّ التعارض</t>
  </si>
  <si>
    <t xml:space="preserve">التعارض</t>
  </si>
  <si>
    <t xml:space="preserve">القاعدة الحاكمة</t>
  </si>
  <si>
    <t xml:space="preserve">التسويق يريد خصماً · الوقود يحمي الهامش</t>
  </si>
  <si>
    <t xml:space="preserve">الخصم يُموَّل من هامش غير الوقود أو ميزانية الشريك — لا من هامش الوقود</t>
  </si>
  <si>
    <t xml:space="preserve">التأجير يريد أعلى إيجار · الوقود يريد جاذب حركة</t>
  </si>
  <si>
    <t xml:space="preserve">المستأجر يُقيَّم على (الإيجار + مساهمته في الحركة) — لا الإيجار وحده</t>
  </si>
  <si>
    <t xml:space="preserve">الشراكات تعد بأسعار · التشغيل يتحمّلها</t>
  </si>
  <si>
    <t xml:space="preserve">أي التزام سعري يمرّ باعتماد مالك المنفذ</t>
  </si>
  <si>
    <t xml:space="preserve">محطتان متجاورتان على نفس العميل</t>
  </si>
  <si>
    <t xml:space="preserve">تُدار المنطقة كمحفظة واحدة لتفادي التغذية الذاتية</t>
  </si>
  <si>
    <t xml:space="preserve">التسلسل التنفيذي</t>
  </si>
  <si>
    <t xml:space="preserve">التركيز</t>
  </si>
  <si>
    <t xml:space="preserve">المبادرات</t>
  </si>
  <si>
    <t xml:space="preserve">المبرّر</t>
  </si>
  <si>
    <t xml:space="preserve">المسؤول</t>
  </si>
  <si>
    <t xml:space="preserve">٠–٣ أشهر</t>
  </si>
  <si>
    <t xml:space="preserve">التأسيس</t>
  </si>
  <si>
    <t xml:space="preserve">مالك منفذ · بطاقة موحّدة · تفعيل التطبيق عند المضخة</t>
  </si>
  <si>
    <t xml:space="preserve">البنية التحتية للقياس</t>
  </si>
  <si>
    <t xml:space="preserve">٣–٦ أشهر</t>
  </si>
  <si>
    <t xml:space="preserve">ملء الطاقة</t>
  </si>
  <si>
    <t xml:space="preserve">تغطية الوحدات الشاغرة + عقود الأساطيل</t>
  </si>
  <si>
    <t xml:space="preserve">أكبر مجمّعَي إيراد جاهزَين</t>
  </si>
  <si>
    <t xml:space="preserve">٦–١٢ شهراً</t>
  </si>
  <si>
    <t xml:space="preserve">تسييل الدورة</t>
  </si>
  <si>
    <t xml:space="preserve">المستأجر يشتري وصولاً للتطبيق · عروض مجمّعة · تسعير بالشريحة</t>
  </si>
  <si>
    <t xml:space="preserve">تحويل التكامل إلى ربح</t>
  </si>
  <si>
    <t xml:space="preserve">الخلايا الصفراء (المسؤول/الحالة) تُعبَّأ عند الاعتماد.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</si>
</sst>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.00;\(#,##0.00\);\-"/>
    <numFmt numFmtId="168" formatCode="#,##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9C6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2"/>
      <color rgb="FF9C6500"/>
      <name val="Arial"/>
      <family val="0"/>
      <charset val="1"/>
    </font>
    <font>
      <sz val="10"/>
      <color rgb="FFB91C1C"/>
      <name val="Arial"/>
      <family val="0"/>
      <charset val="1"/>
    </font>
    <font>
      <sz val="10"/>
      <color rgb="FF15803D"/>
      <name val="Arial"/>
      <family val="0"/>
      <charset val="1"/>
    </font>
    <font>
      <b val="true"/>
      <sz val="10"/>
      <color rgb="FFC2410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8A2B"/>
        <bgColor rgb="FFFF8080"/>
      </patternFill>
    </fill>
    <fill>
      <patternFill patternType="solid">
        <fgColor rgb="FFFFF3CD"/>
        <bgColor rgb="FFFDE8D3"/>
      </patternFill>
    </fill>
    <fill>
      <patternFill patternType="solid">
        <fgColor rgb="FFFDE8D3"/>
        <bgColor rgb="FFFFF3C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15803D"/>
      <rgbColor rgb="FFC0C0C0"/>
      <rgbColor rgb="FF808080"/>
      <rgbColor rgb="FF9999FF"/>
      <rgbColor rgb="FFB91C1C"/>
      <rgbColor rgb="FFFFF3CD"/>
      <rgbColor rgb="FFCCFFFF"/>
      <rgbColor rgb="FF660066"/>
      <rgbColor rgb="FFFF8080"/>
      <rgbColor rgb="FF0066CC"/>
      <rgbColor rgb="FFD0D4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D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18A2B"/>
      <rgbColor rgb="FFFF6600"/>
      <rgbColor rgb="FF6B7280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D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1.9" hidden="false" customHeight="fals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6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6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6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6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6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6" t="s">
        <v>25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6" t="s">
        <v>28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6" t="s">
        <v>31</v>
      </c>
    </row>
    <row r="14" customFormat="false" ht="15" hidden="false" customHeight="false" outlineLevel="0" collapsed="false">
      <c r="A14" s="4" t="s">
        <v>32</v>
      </c>
      <c r="B14" s="5" t="s">
        <v>33</v>
      </c>
      <c r="C14" s="6" t="s">
        <v>34</v>
      </c>
    </row>
    <row r="15" customFormat="false" ht="15" hidden="false" customHeight="false" outlineLevel="0" collapsed="false">
      <c r="A15" s="4" t="s">
        <v>35</v>
      </c>
      <c r="B15" s="5" t="s">
        <v>36</v>
      </c>
      <c r="C15" s="6" t="s">
        <v>37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6" t="s">
        <v>40</v>
      </c>
    </row>
    <row r="18" customFormat="false" ht="15" hidden="false" customHeight="false" outlineLevel="0" collapsed="false">
      <c r="A18" s="7" t="s">
        <v>41</v>
      </c>
      <c r="B18" s="8" t="s">
        <v>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L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60"/>
  </cols>
  <sheetData>
    <row r="1" customFormat="false" ht="24" hidden="false" customHeight="true" outlineLevel="0" collapsed="false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</row>
    <row r="4" customFormat="false" ht="45.75" hidden="false" customHeight="true" outlineLevel="0" collapsed="false">
      <c r="A4" s="9" t="s">
        <v>55</v>
      </c>
      <c r="B4" s="10" t="s">
        <v>56</v>
      </c>
      <c r="C4" s="10" t="s">
        <v>57</v>
      </c>
      <c r="D4" s="11" t="s">
        <v>58</v>
      </c>
      <c r="E4" s="10" t="s">
        <v>59</v>
      </c>
      <c r="F4" s="12" t="s">
        <v>60</v>
      </c>
      <c r="G4" s="12" t="s">
        <v>61</v>
      </c>
      <c r="H4" s="13" t="n">
        <v>20</v>
      </c>
      <c r="I4" s="14" t="n">
        <v>300000</v>
      </c>
      <c r="J4" s="13" t="n">
        <v>30</v>
      </c>
      <c r="K4" s="14" t="n">
        <v>127775</v>
      </c>
      <c r="L4" s="11" t="s">
        <v>62</v>
      </c>
    </row>
    <row r="5" customFormat="false" ht="45.75" hidden="false" customHeight="true" outlineLevel="0" collapsed="false">
      <c r="A5" s="9" t="s">
        <v>63</v>
      </c>
      <c r="B5" s="10" t="s">
        <v>64</v>
      </c>
      <c r="C5" s="10" t="s">
        <v>57</v>
      </c>
      <c r="D5" s="11" t="s">
        <v>65</v>
      </c>
      <c r="E5" s="10" t="s">
        <v>66</v>
      </c>
      <c r="F5" s="12" t="s">
        <v>67</v>
      </c>
      <c r="G5" s="12" t="s">
        <v>61</v>
      </c>
      <c r="H5" s="13" t="n">
        <v>12</v>
      </c>
      <c r="I5" s="14" t="n">
        <v>180000</v>
      </c>
      <c r="J5" s="13" t="n">
        <v>18</v>
      </c>
      <c r="K5" s="14" t="n">
        <v>106830</v>
      </c>
      <c r="L5" s="11" t="s">
        <v>68</v>
      </c>
    </row>
    <row r="6" customFormat="false" ht="45.75" hidden="false" customHeight="true" outlineLevel="0" collapsed="false">
      <c r="A6" s="9" t="s">
        <v>69</v>
      </c>
      <c r="B6" s="10" t="s">
        <v>70</v>
      </c>
      <c r="C6" s="10" t="s">
        <v>57</v>
      </c>
      <c r="D6" s="11" t="s">
        <v>71</v>
      </c>
      <c r="E6" s="10" t="s">
        <v>72</v>
      </c>
      <c r="F6" s="12" t="s">
        <v>73</v>
      </c>
      <c r="G6" s="12" t="s">
        <v>61</v>
      </c>
      <c r="H6" s="13" t="n">
        <v>6</v>
      </c>
      <c r="I6" s="14" t="n">
        <v>90000</v>
      </c>
      <c r="J6" s="13" t="n">
        <v>10</v>
      </c>
      <c r="K6" s="14" t="n">
        <v>49290</v>
      </c>
      <c r="L6" s="11" t="s">
        <v>74</v>
      </c>
    </row>
    <row r="8" customFormat="false" ht="15" hidden="false" customHeight="false" outlineLevel="0" collapsed="false">
      <c r="A8" s="15" t="s">
        <v>75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46"/>
  </cols>
  <sheetData>
    <row r="1" customFormat="false" ht="24" hidden="false" customHeight="true" outlineLevel="0" collapsed="false">
      <c r="A1" s="1" t="s">
        <v>76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3" t="s">
        <v>43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</row>
    <row r="4" customFormat="false" ht="43.5" hidden="false" customHeight="true" outlineLevel="0" collapsed="false">
      <c r="A4" s="16" t="s">
        <v>55</v>
      </c>
      <c r="B4" s="4" t="s">
        <v>82</v>
      </c>
      <c r="C4" s="11" t="s">
        <v>83</v>
      </c>
      <c r="D4" s="11" t="s">
        <v>84</v>
      </c>
      <c r="E4" s="11" t="s">
        <v>85</v>
      </c>
      <c r="F4" s="11" t="s">
        <v>86</v>
      </c>
    </row>
    <row r="5" customFormat="false" ht="43.5" hidden="false" customHeight="true" outlineLevel="0" collapsed="false">
      <c r="A5" s="16" t="s">
        <v>55</v>
      </c>
      <c r="B5" s="4" t="s">
        <v>87</v>
      </c>
      <c r="C5" s="11" t="s">
        <v>88</v>
      </c>
      <c r="D5" s="11" t="s">
        <v>89</v>
      </c>
      <c r="E5" s="11" t="s">
        <v>90</v>
      </c>
      <c r="F5" s="11" t="s">
        <v>91</v>
      </c>
    </row>
    <row r="6" customFormat="false" ht="43.5" hidden="false" customHeight="true" outlineLevel="0" collapsed="false">
      <c r="A6" s="16" t="s">
        <v>55</v>
      </c>
      <c r="B6" s="4" t="s">
        <v>92</v>
      </c>
      <c r="C6" s="11" t="s">
        <v>93</v>
      </c>
      <c r="D6" s="11" t="s">
        <v>94</v>
      </c>
      <c r="E6" s="11" t="s">
        <v>95</v>
      </c>
      <c r="F6" s="11" t="s">
        <v>96</v>
      </c>
    </row>
    <row r="7" customFormat="false" ht="43.5" hidden="false" customHeight="true" outlineLevel="0" collapsed="false">
      <c r="A7" s="16" t="s">
        <v>63</v>
      </c>
      <c r="B7" s="4" t="s">
        <v>97</v>
      </c>
      <c r="C7" s="11" t="s">
        <v>83</v>
      </c>
      <c r="D7" s="11" t="s">
        <v>98</v>
      </c>
      <c r="E7" s="11" t="s">
        <v>99</v>
      </c>
      <c r="F7" s="11" t="s">
        <v>100</v>
      </c>
    </row>
    <row r="8" customFormat="false" ht="43.5" hidden="false" customHeight="true" outlineLevel="0" collapsed="false">
      <c r="A8" s="16" t="s">
        <v>63</v>
      </c>
      <c r="B8" s="4" t="s">
        <v>101</v>
      </c>
      <c r="C8" s="11" t="s">
        <v>102</v>
      </c>
      <c r="D8" s="11" t="s">
        <v>103</v>
      </c>
      <c r="E8" s="11" t="s">
        <v>104</v>
      </c>
      <c r="F8" s="11" t="s">
        <v>105</v>
      </c>
    </row>
    <row r="9" customFormat="false" ht="43.5" hidden="false" customHeight="true" outlineLevel="0" collapsed="false">
      <c r="A9" s="16" t="s">
        <v>63</v>
      </c>
      <c r="B9" s="4" t="s">
        <v>106</v>
      </c>
      <c r="C9" s="11" t="s">
        <v>107</v>
      </c>
      <c r="D9" s="11" t="s">
        <v>108</v>
      </c>
      <c r="E9" s="11" t="s">
        <v>109</v>
      </c>
      <c r="F9" s="11" t="s">
        <v>110</v>
      </c>
    </row>
    <row r="10" customFormat="false" ht="43.5" hidden="false" customHeight="true" outlineLevel="0" collapsed="false">
      <c r="A10" s="16" t="s">
        <v>69</v>
      </c>
      <c r="B10" s="4" t="s">
        <v>92</v>
      </c>
      <c r="C10" s="11" t="s">
        <v>83</v>
      </c>
      <c r="D10" s="11" t="s">
        <v>111</v>
      </c>
      <c r="E10" s="11" t="s">
        <v>112</v>
      </c>
      <c r="F10" s="11" t="s">
        <v>113</v>
      </c>
    </row>
    <row r="11" customFormat="false" ht="43.5" hidden="false" customHeight="true" outlineLevel="0" collapsed="false">
      <c r="A11" s="16" t="s">
        <v>69</v>
      </c>
      <c r="B11" s="4" t="s">
        <v>114</v>
      </c>
      <c r="C11" s="11" t="s">
        <v>115</v>
      </c>
      <c r="D11" s="11" t="s">
        <v>116</v>
      </c>
      <c r="E11" s="11" t="s">
        <v>117</v>
      </c>
      <c r="F11" s="11" t="s">
        <v>118</v>
      </c>
    </row>
    <row r="12" customFormat="false" ht="43.5" hidden="false" customHeight="true" outlineLevel="0" collapsed="false">
      <c r="A12" s="16" t="s">
        <v>69</v>
      </c>
      <c r="B12" s="4" t="s">
        <v>119</v>
      </c>
      <c r="C12" s="11" t="s">
        <v>120</v>
      </c>
      <c r="D12" s="11" t="s">
        <v>121</v>
      </c>
      <c r="E12" s="11" t="s">
        <v>122</v>
      </c>
      <c r="F12" s="11" t="s">
        <v>123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D3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4" min="3" style="0" width="30"/>
  </cols>
  <sheetData>
    <row r="1" customFormat="false" ht="24" hidden="false" customHeight="true" outlineLevel="0" collapsed="false">
      <c r="A1" s="1" t="s">
        <v>124</v>
      </c>
      <c r="B1" s="1"/>
      <c r="C1" s="1"/>
      <c r="D1" s="1"/>
    </row>
    <row r="3" customFormat="false" ht="14.15" hidden="false" customHeight="false" outlineLevel="0" collapsed="false">
      <c r="A3" s="17" t="s">
        <v>125</v>
      </c>
      <c r="B3" s="17"/>
      <c r="C3" s="17"/>
      <c r="D3" s="17"/>
    </row>
    <row r="4" customFormat="false" ht="30" hidden="false" customHeight="true" outlineLevel="0" collapsed="false">
      <c r="A4" s="18" t="s">
        <v>126</v>
      </c>
      <c r="B4" s="11" t="s">
        <v>127</v>
      </c>
      <c r="C4" s="11"/>
      <c r="D4" s="11"/>
    </row>
    <row r="5" customFormat="false" ht="30" hidden="false" customHeight="true" outlineLevel="0" collapsed="false">
      <c r="A5" s="18" t="s">
        <v>128</v>
      </c>
      <c r="B5" s="11" t="s">
        <v>129</v>
      </c>
      <c r="C5" s="11"/>
      <c r="D5" s="11"/>
    </row>
    <row r="6" customFormat="false" ht="30" hidden="false" customHeight="true" outlineLevel="0" collapsed="false">
      <c r="A6" s="18" t="s">
        <v>130</v>
      </c>
      <c r="B6" s="11" t="s">
        <v>131</v>
      </c>
      <c r="C6" s="11"/>
      <c r="D6" s="11"/>
    </row>
    <row r="7" customFormat="false" ht="30" hidden="false" customHeight="true" outlineLevel="0" collapsed="false">
      <c r="A7" s="18" t="s">
        <v>132</v>
      </c>
      <c r="B7" s="11" t="s">
        <v>133</v>
      </c>
      <c r="C7" s="11"/>
      <c r="D7" s="11"/>
    </row>
    <row r="8" customFormat="false" ht="30" hidden="false" customHeight="true" outlineLevel="0" collapsed="false">
      <c r="A8" s="18" t="s">
        <v>134</v>
      </c>
      <c r="B8" s="11" t="s">
        <v>135</v>
      </c>
      <c r="C8" s="11"/>
      <c r="D8" s="11"/>
    </row>
    <row r="9" customFormat="false" ht="30" hidden="false" customHeight="true" outlineLevel="0" collapsed="false">
      <c r="A9" s="18" t="s">
        <v>136</v>
      </c>
      <c r="B9" s="11" t="s">
        <v>137</v>
      </c>
      <c r="C9" s="11"/>
      <c r="D9" s="11"/>
    </row>
    <row r="10" customFormat="false" ht="30" hidden="false" customHeight="true" outlineLevel="0" collapsed="false">
      <c r="A10" s="18" t="s">
        <v>138</v>
      </c>
      <c r="B10" s="11" t="s">
        <v>139</v>
      </c>
      <c r="C10" s="11"/>
      <c r="D10" s="11"/>
    </row>
    <row r="11" customFormat="false" ht="30" hidden="false" customHeight="true" outlineLevel="0" collapsed="false">
      <c r="A11" s="18" t="s">
        <v>140</v>
      </c>
      <c r="B11" s="11" t="s">
        <v>141</v>
      </c>
      <c r="C11" s="11"/>
      <c r="D11" s="11"/>
    </row>
    <row r="12" customFormat="false" ht="30" hidden="false" customHeight="true" outlineLevel="0" collapsed="false">
      <c r="A12" s="18" t="s">
        <v>142</v>
      </c>
      <c r="B12" s="11" t="s">
        <v>143</v>
      </c>
      <c r="C12" s="11"/>
      <c r="D12" s="11"/>
    </row>
    <row r="14" customFormat="false" ht="14.15" hidden="false" customHeight="false" outlineLevel="0" collapsed="false">
      <c r="A14" s="17" t="s">
        <v>144</v>
      </c>
      <c r="B14" s="17"/>
      <c r="C14" s="17"/>
      <c r="D14" s="17"/>
    </row>
    <row r="15" customFormat="false" ht="30" hidden="false" customHeight="true" outlineLevel="0" collapsed="false">
      <c r="A15" s="18" t="s">
        <v>126</v>
      </c>
      <c r="B15" s="11" t="s">
        <v>145</v>
      </c>
      <c r="C15" s="11"/>
      <c r="D15" s="11"/>
    </row>
    <row r="16" customFormat="false" ht="30" hidden="false" customHeight="true" outlineLevel="0" collapsed="false">
      <c r="A16" s="18" t="s">
        <v>128</v>
      </c>
      <c r="B16" s="11" t="s">
        <v>146</v>
      </c>
      <c r="C16" s="11"/>
      <c r="D16" s="11"/>
    </row>
    <row r="17" customFormat="false" ht="30" hidden="false" customHeight="true" outlineLevel="0" collapsed="false">
      <c r="A17" s="18" t="s">
        <v>130</v>
      </c>
      <c r="B17" s="11" t="s">
        <v>146</v>
      </c>
      <c r="C17" s="11"/>
      <c r="D17" s="11"/>
    </row>
    <row r="18" customFormat="false" ht="30" hidden="false" customHeight="true" outlineLevel="0" collapsed="false">
      <c r="A18" s="18" t="s">
        <v>132</v>
      </c>
      <c r="B18" s="11" t="s">
        <v>147</v>
      </c>
      <c r="C18" s="11"/>
      <c r="D18" s="11"/>
    </row>
    <row r="19" customFormat="false" ht="30" hidden="false" customHeight="true" outlineLevel="0" collapsed="false">
      <c r="A19" s="18" t="s">
        <v>134</v>
      </c>
      <c r="B19" s="11" t="s">
        <v>148</v>
      </c>
      <c r="C19" s="11"/>
      <c r="D19" s="11"/>
    </row>
    <row r="20" customFormat="false" ht="30" hidden="false" customHeight="true" outlineLevel="0" collapsed="false">
      <c r="A20" s="18" t="s">
        <v>136</v>
      </c>
      <c r="B20" s="11" t="s">
        <v>149</v>
      </c>
      <c r="C20" s="11"/>
      <c r="D20" s="11"/>
    </row>
    <row r="21" customFormat="false" ht="30" hidden="false" customHeight="true" outlineLevel="0" collapsed="false">
      <c r="A21" s="18" t="s">
        <v>138</v>
      </c>
      <c r="B21" s="11" t="s">
        <v>150</v>
      </c>
      <c r="C21" s="11"/>
      <c r="D21" s="11"/>
    </row>
    <row r="22" customFormat="false" ht="30" hidden="false" customHeight="true" outlineLevel="0" collapsed="false">
      <c r="A22" s="18" t="s">
        <v>140</v>
      </c>
      <c r="B22" s="11" t="s">
        <v>151</v>
      </c>
      <c r="C22" s="11"/>
      <c r="D22" s="11"/>
    </row>
    <row r="23" customFormat="false" ht="30" hidden="false" customHeight="true" outlineLevel="0" collapsed="false">
      <c r="A23" s="18" t="s">
        <v>142</v>
      </c>
      <c r="B23" s="11" t="s">
        <v>152</v>
      </c>
      <c r="C23" s="11"/>
      <c r="D23" s="11"/>
    </row>
    <row r="25" customFormat="false" ht="14.15" hidden="false" customHeight="false" outlineLevel="0" collapsed="false">
      <c r="A25" s="17" t="s">
        <v>153</v>
      </c>
      <c r="B25" s="17"/>
      <c r="C25" s="17"/>
      <c r="D25" s="17"/>
    </row>
    <row r="26" customFormat="false" ht="30" hidden="false" customHeight="true" outlineLevel="0" collapsed="false">
      <c r="A26" s="18" t="s">
        <v>126</v>
      </c>
      <c r="B26" s="11" t="s">
        <v>154</v>
      </c>
      <c r="C26" s="11"/>
      <c r="D26" s="11"/>
    </row>
    <row r="27" customFormat="false" ht="30" hidden="false" customHeight="true" outlineLevel="0" collapsed="false">
      <c r="A27" s="18" t="s">
        <v>128</v>
      </c>
      <c r="B27" s="11" t="s">
        <v>146</v>
      </c>
      <c r="C27" s="11"/>
      <c r="D27" s="11"/>
    </row>
    <row r="28" customFormat="false" ht="30" hidden="false" customHeight="true" outlineLevel="0" collapsed="false">
      <c r="A28" s="18" t="s">
        <v>130</v>
      </c>
      <c r="B28" s="11" t="s">
        <v>146</v>
      </c>
      <c r="C28" s="11"/>
      <c r="D28" s="11"/>
    </row>
    <row r="29" customFormat="false" ht="30" hidden="false" customHeight="true" outlineLevel="0" collapsed="false">
      <c r="A29" s="18" t="s">
        <v>132</v>
      </c>
      <c r="B29" s="11" t="s">
        <v>155</v>
      </c>
      <c r="C29" s="11"/>
      <c r="D29" s="11"/>
    </row>
    <row r="30" customFormat="false" ht="30" hidden="false" customHeight="true" outlineLevel="0" collapsed="false">
      <c r="A30" s="18" t="s">
        <v>134</v>
      </c>
      <c r="B30" s="11" t="s">
        <v>156</v>
      </c>
      <c r="C30" s="11"/>
      <c r="D30" s="11"/>
    </row>
    <row r="31" customFormat="false" ht="30" hidden="false" customHeight="true" outlineLevel="0" collapsed="false">
      <c r="A31" s="18" t="s">
        <v>136</v>
      </c>
      <c r="B31" s="11" t="s">
        <v>157</v>
      </c>
      <c r="C31" s="11"/>
      <c r="D31" s="11"/>
    </row>
    <row r="32" customFormat="false" ht="30" hidden="false" customHeight="true" outlineLevel="0" collapsed="false">
      <c r="A32" s="18" t="s">
        <v>138</v>
      </c>
      <c r="B32" s="11" t="s">
        <v>158</v>
      </c>
      <c r="C32" s="11"/>
      <c r="D32" s="11"/>
    </row>
    <row r="33" customFormat="false" ht="30" hidden="false" customHeight="true" outlineLevel="0" collapsed="false">
      <c r="A33" s="18" t="s">
        <v>140</v>
      </c>
      <c r="B33" s="11" t="s">
        <v>159</v>
      </c>
      <c r="C33" s="11"/>
      <c r="D33" s="11"/>
    </row>
    <row r="34" customFormat="false" ht="30" hidden="false" customHeight="true" outlineLevel="0" collapsed="false">
      <c r="A34" s="18" t="s">
        <v>142</v>
      </c>
      <c r="B34" s="11" t="s">
        <v>160</v>
      </c>
      <c r="C34" s="11"/>
      <c r="D34" s="11"/>
    </row>
  </sheetData>
  <mergeCells count="31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A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I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3" t="s">
        <v>43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  <c r="G3" s="3" t="s">
        <v>167</v>
      </c>
      <c r="H3" s="3" t="s">
        <v>168</v>
      </c>
      <c r="I3" s="3" t="s">
        <v>169</v>
      </c>
    </row>
    <row r="4" customFormat="false" ht="15" hidden="false" customHeight="false" outlineLevel="0" collapsed="false">
      <c r="A4" s="16" t="s">
        <v>55</v>
      </c>
      <c r="B4" s="11" t="s">
        <v>170</v>
      </c>
      <c r="C4" s="12" t="s">
        <v>171</v>
      </c>
      <c r="D4" s="13" t="n">
        <v>1</v>
      </c>
      <c r="E4" s="12" t="s">
        <v>172</v>
      </c>
      <c r="F4" s="12" t="s">
        <v>173</v>
      </c>
      <c r="G4" s="12" t="s">
        <v>174</v>
      </c>
      <c r="H4" s="14" t="n">
        <v>15000</v>
      </c>
      <c r="I4" s="13" t="n">
        <v>120</v>
      </c>
    </row>
    <row r="5" customFormat="false" ht="15" hidden="false" customHeight="false" outlineLevel="0" collapsed="false">
      <c r="A5" s="16" t="s">
        <v>55</v>
      </c>
      <c r="B5" s="11" t="s">
        <v>175</v>
      </c>
      <c r="C5" s="12" t="s">
        <v>176</v>
      </c>
      <c r="D5" s="13" t="n">
        <v>1</v>
      </c>
      <c r="E5" s="12" t="s">
        <v>172</v>
      </c>
      <c r="F5" s="12" t="s">
        <v>173</v>
      </c>
      <c r="G5" s="12" t="s">
        <v>174</v>
      </c>
      <c r="H5" s="14" t="n">
        <v>0</v>
      </c>
      <c r="I5" s="13" t="n">
        <v>0</v>
      </c>
    </row>
    <row r="6" customFormat="false" ht="15" hidden="false" customHeight="false" outlineLevel="0" collapsed="false">
      <c r="A6" s="16" t="s">
        <v>55</v>
      </c>
      <c r="B6" s="11" t="s">
        <v>177</v>
      </c>
      <c r="C6" s="12" t="s">
        <v>178</v>
      </c>
      <c r="D6" s="13" t="n">
        <v>1</v>
      </c>
      <c r="E6" s="12" t="s">
        <v>172</v>
      </c>
      <c r="F6" s="12" t="s">
        <v>179</v>
      </c>
      <c r="G6" s="12" t="s">
        <v>174</v>
      </c>
      <c r="H6" s="14" t="n">
        <v>0</v>
      </c>
      <c r="I6" s="13" t="n">
        <v>0</v>
      </c>
    </row>
    <row r="7" customFormat="false" ht="15" hidden="false" customHeight="false" outlineLevel="0" collapsed="false">
      <c r="A7" s="16" t="s">
        <v>55</v>
      </c>
      <c r="B7" s="11" t="s">
        <v>180</v>
      </c>
      <c r="C7" s="12" t="s">
        <v>178</v>
      </c>
      <c r="D7" s="13" t="n">
        <v>1</v>
      </c>
      <c r="E7" s="12" t="s">
        <v>181</v>
      </c>
      <c r="F7" s="12" t="s">
        <v>182</v>
      </c>
      <c r="G7" s="12" t="s">
        <v>174</v>
      </c>
      <c r="H7" s="14" t="n">
        <v>0</v>
      </c>
      <c r="I7" s="13" t="n">
        <v>0</v>
      </c>
    </row>
    <row r="8" customFormat="false" ht="15" hidden="false" customHeight="false" outlineLevel="0" collapsed="false">
      <c r="A8" s="16" t="s">
        <v>55</v>
      </c>
      <c r="B8" s="11" t="s">
        <v>183</v>
      </c>
      <c r="C8" s="12" t="s">
        <v>176</v>
      </c>
      <c r="D8" s="13" t="n">
        <v>1</v>
      </c>
      <c r="E8" s="12" t="s">
        <v>184</v>
      </c>
      <c r="F8" s="12" t="s">
        <v>185</v>
      </c>
      <c r="G8" s="12" t="s">
        <v>174</v>
      </c>
      <c r="H8" s="14" t="n">
        <v>10000</v>
      </c>
      <c r="I8" s="13" t="n">
        <v>80</v>
      </c>
    </row>
    <row r="9" customFormat="false" ht="15" hidden="false" customHeight="false" outlineLevel="0" collapsed="false">
      <c r="A9" s="16" t="s">
        <v>55</v>
      </c>
      <c r="B9" s="11" t="s">
        <v>186</v>
      </c>
      <c r="C9" s="12" t="s">
        <v>178</v>
      </c>
      <c r="D9" s="13" t="n">
        <v>1</v>
      </c>
      <c r="E9" s="12" t="s">
        <v>184</v>
      </c>
      <c r="F9" s="12" t="s">
        <v>185</v>
      </c>
      <c r="G9" s="12" t="s">
        <v>174</v>
      </c>
      <c r="H9" s="14" t="n">
        <v>0</v>
      </c>
      <c r="I9" s="13" t="n">
        <v>0</v>
      </c>
    </row>
    <row r="10" customFormat="false" ht="15" hidden="false" customHeight="false" outlineLevel="0" collapsed="false">
      <c r="A10" s="16" t="s">
        <v>55</v>
      </c>
      <c r="B10" s="11" t="s">
        <v>187</v>
      </c>
      <c r="C10" s="12" t="s">
        <v>176</v>
      </c>
      <c r="D10" s="13" t="n">
        <v>1</v>
      </c>
      <c r="E10" s="12" t="s">
        <v>184</v>
      </c>
      <c r="F10" s="12" t="s">
        <v>188</v>
      </c>
      <c r="G10" s="12" t="s">
        <v>174</v>
      </c>
      <c r="H10" s="14" t="n">
        <v>9000</v>
      </c>
      <c r="I10" s="13" t="n">
        <v>60</v>
      </c>
    </row>
    <row r="11" customFormat="false" ht="15" hidden="false" customHeight="false" outlineLevel="0" collapsed="false">
      <c r="A11" s="16" t="s">
        <v>55</v>
      </c>
      <c r="B11" s="11" t="s">
        <v>189</v>
      </c>
      <c r="C11" s="12" t="s">
        <v>178</v>
      </c>
      <c r="D11" s="13" t="n">
        <v>1</v>
      </c>
      <c r="E11" s="12" t="s">
        <v>184</v>
      </c>
      <c r="F11" s="12" t="s">
        <v>188</v>
      </c>
      <c r="G11" s="12" t="s">
        <v>174</v>
      </c>
      <c r="H11" s="14" t="n">
        <v>0</v>
      </c>
      <c r="I11" s="13" t="n">
        <v>0</v>
      </c>
    </row>
    <row r="12" customFormat="false" ht="15" hidden="false" customHeight="false" outlineLevel="0" collapsed="false">
      <c r="A12" s="16" t="s">
        <v>55</v>
      </c>
      <c r="B12" s="11" t="s">
        <v>190</v>
      </c>
      <c r="C12" s="12" t="s">
        <v>191</v>
      </c>
      <c r="D12" s="13" t="n">
        <v>1</v>
      </c>
      <c r="E12" s="12" t="s">
        <v>191</v>
      </c>
      <c r="F12" s="12" t="s">
        <v>192</v>
      </c>
      <c r="G12" s="12" t="s">
        <v>174</v>
      </c>
      <c r="H12" s="14" t="n">
        <v>22000</v>
      </c>
      <c r="I12" s="13" t="n">
        <v>300</v>
      </c>
    </row>
    <row r="13" customFormat="false" ht="15" hidden="false" customHeight="false" outlineLevel="0" collapsed="false">
      <c r="A13" s="16" t="s">
        <v>55</v>
      </c>
      <c r="B13" s="11" t="s">
        <v>193</v>
      </c>
      <c r="C13" s="12" t="s">
        <v>176</v>
      </c>
      <c r="D13" s="13" t="n">
        <v>1</v>
      </c>
      <c r="E13" s="12" t="s">
        <v>194</v>
      </c>
      <c r="F13" s="12" t="s">
        <v>195</v>
      </c>
      <c r="G13" s="12" t="s">
        <v>174</v>
      </c>
      <c r="H13" s="14" t="n">
        <v>0</v>
      </c>
      <c r="I13" s="13" t="n">
        <v>0</v>
      </c>
    </row>
    <row r="14" customFormat="false" ht="15" hidden="false" customHeight="false" outlineLevel="0" collapsed="false">
      <c r="A14" s="16" t="s">
        <v>55</v>
      </c>
      <c r="B14" s="11" t="s">
        <v>196</v>
      </c>
      <c r="C14" s="12" t="s">
        <v>176</v>
      </c>
      <c r="D14" s="13" t="n">
        <v>1</v>
      </c>
      <c r="E14" s="12" t="s">
        <v>197</v>
      </c>
      <c r="F14" s="12" t="s">
        <v>198</v>
      </c>
      <c r="G14" s="12" t="s">
        <v>174</v>
      </c>
      <c r="H14" s="14" t="n">
        <v>0</v>
      </c>
      <c r="I14" s="13" t="n">
        <v>0</v>
      </c>
    </row>
    <row r="15" customFormat="false" ht="15" hidden="false" customHeight="false" outlineLevel="0" collapsed="false">
      <c r="A15" s="16" t="s">
        <v>55</v>
      </c>
      <c r="B15" s="11" t="s">
        <v>199</v>
      </c>
      <c r="C15" s="12" t="s">
        <v>178</v>
      </c>
      <c r="D15" s="13" t="n">
        <v>1</v>
      </c>
      <c r="E15" s="12" t="s">
        <v>200</v>
      </c>
      <c r="F15" s="12" t="s">
        <v>199</v>
      </c>
      <c r="G15" s="12" t="s">
        <v>174</v>
      </c>
      <c r="H15" s="14" t="n">
        <v>0</v>
      </c>
      <c r="I15" s="13" t="n">
        <v>0</v>
      </c>
    </row>
    <row r="16" customFormat="false" ht="15" hidden="false" customHeight="false" outlineLevel="0" collapsed="false">
      <c r="A16" s="16" t="s">
        <v>55</v>
      </c>
      <c r="B16" s="11" t="s">
        <v>201</v>
      </c>
      <c r="C16" s="12" t="s">
        <v>202</v>
      </c>
      <c r="D16" s="13" t="n">
        <v>1</v>
      </c>
      <c r="E16" s="12" t="s">
        <v>202</v>
      </c>
      <c r="F16" s="12" t="s">
        <v>203</v>
      </c>
      <c r="G16" s="12" t="s">
        <v>174</v>
      </c>
      <c r="H16" s="14" t="n">
        <v>0</v>
      </c>
      <c r="I16" s="13" t="n">
        <v>0</v>
      </c>
    </row>
    <row r="17" customFormat="false" ht="15" hidden="false" customHeight="false" outlineLevel="0" collapsed="false">
      <c r="A17" s="16" t="s">
        <v>55</v>
      </c>
      <c r="B17" s="11" t="s">
        <v>204</v>
      </c>
      <c r="C17" s="12" t="s">
        <v>171</v>
      </c>
      <c r="D17" s="13" t="n">
        <v>1</v>
      </c>
      <c r="E17" s="12" t="s">
        <v>184</v>
      </c>
      <c r="F17" s="12" t="s">
        <v>188</v>
      </c>
      <c r="G17" s="12" t="s">
        <v>205</v>
      </c>
      <c r="H17" s="14" t="n">
        <v>0</v>
      </c>
      <c r="I17" s="13" t="n">
        <v>0</v>
      </c>
    </row>
    <row r="18" customFormat="false" ht="15" hidden="false" customHeight="false" outlineLevel="0" collapsed="false">
      <c r="A18" s="16" t="s">
        <v>63</v>
      </c>
      <c r="B18" s="11" t="s">
        <v>206</v>
      </c>
      <c r="C18" s="12" t="s">
        <v>176</v>
      </c>
      <c r="D18" s="13" t="n">
        <v>1</v>
      </c>
      <c r="E18" s="12" t="s">
        <v>172</v>
      </c>
      <c r="F18" s="12" t="s">
        <v>173</v>
      </c>
      <c r="G18" s="12" t="s">
        <v>205</v>
      </c>
      <c r="H18" s="14" t="n">
        <v>0</v>
      </c>
      <c r="I18" s="13" t="n">
        <v>0</v>
      </c>
    </row>
    <row r="19" customFormat="false" ht="15" hidden="false" customHeight="false" outlineLevel="0" collapsed="false">
      <c r="A19" s="16" t="s">
        <v>63</v>
      </c>
      <c r="B19" s="11" t="s">
        <v>207</v>
      </c>
      <c r="C19" s="12" t="s">
        <v>176</v>
      </c>
      <c r="D19" s="13" t="n">
        <v>1</v>
      </c>
      <c r="E19" s="12" t="s">
        <v>197</v>
      </c>
      <c r="F19" s="12" t="s">
        <v>198</v>
      </c>
      <c r="G19" s="12" t="s">
        <v>205</v>
      </c>
      <c r="H19" s="14" t="n">
        <v>0</v>
      </c>
      <c r="I19" s="13" t="n">
        <v>0</v>
      </c>
    </row>
    <row r="20" customFormat="false" ht="15" hidden="false" customHeight="false" outlineLevel="0" collapsed="false">
      <c r="A20" s="16" t="s">
        <v>63</v>
      </c>
      <c r="B20" s="11" t="s">
        <v>208</v>
      </c>
      <c r="C20" s="12" t="s">
        <v>178</v>
      </c>
      <c r="D20" s="13" t="n">
        <v>2</v>
      </c>
      <c r="E20" s="12" t="s">
        <v>202</v>
      </c>
      <c r="F20" s="12" t="s">
        <v>203</v>
      </c>
      <c r="G20" s="12" t="s">
        <v>205</v>
      </c>
      <c r="H20" s="14" t="n">
        <v>0</v>
      </c>
      <c r="I20" s="13" t="n">
        <v>0</v>
      </c>
    </row>
    <row r="21" customFormat="false" ht="15" hidden="false" customHeight="false" outlineLevel="0" collapsed="false">
      <c r="A21" s="16" t="s">
        <v>69</v>
      </c>
      <c r="B21" s="11" t="s">
        <v>209</v>
      </c>
      <c r="C21" s="12" t="s">
        <v>178</v>
      </c>
      <c r="D21" s="13" t="n">
        <v>1</v>
      </c>
      <c r="E21" s="12" t="s">
        <v>172</v>
      </c>
      <c r="F21" s="12" t="s">
        <v>179</v>
      </c>
      <c r="G21" s="12" t="s">
        <v>205</v>
      </c>
      <c r="H21" s="14" t="n">
        <v>0</v>
      </c>
      <c r="I21" s="13" t="n">
        <v>0</v>
      </c>
    </row>
    <row r="22" customFormat="false" ht="15" hidden="false" customHeight="false" outlineLevel="0" collapsed="false">
      <c r="A22" s="16" t="s">
        <v>69</v>
      </c>
      <c r="B22" s="11" t="s">
        <v>210</v>
      </c>
      <c r="C22" s="12" t="s">
        <v>176</v>
      </c>
      <c r="D22" s="13" t="n">
        <v>1</v>
      </c>
      <c r="E22" s="12" t="s">
        <v>210</v>
      </c>
      <c r="F22" s="12" t="s">
        <v>210</v>
      </c>
      <c r="G22" s="12" t="s">
        <v>205</v>
      </c>
      <c r="H22" s="14" t="n">
        <v>0</v>
      </c>
      <c r="I22" s="13" t="n">
        <v>0</v>
      </c>
    </row>
    <row r="23" customFormat="false" ht="15" hidden="false" customHeight="false" outlineLevel="0" collapsed="false">
      <c r="A23" s="16" t="s">
        <v>69</v>
      </c>
      <c r="B23" s="11" t="s">
        <v>211</v>
      </c>
      <c r="C23" s="12" t="s">
        <v>176</v>
      </c>
      <c r="D23" s="13" t="n">
        <v>1</v>
      </c>
      <c r="E23" s="12" t="s">
        <v>191</v>
      </c>
      <c r="F23" s="12" t="s">
        <v>192</v>
      </c>
      <c r="G23" s="12" t="s">
        <v>205</v>
      </c>
      <c r="H23" s="14" t="n">
        <v>0</v>
      </c>
      <c r="I23" s="13" t="n">
        <v>0</v>
      </c>
    </row>
    <row r="24" customFormat="false" ht="15" hidden="false" customHeight="false" outlineLevel="0" collapsed="false">
      <c r="A24" s="19" t="s">
        <v>212</v>
      </c>
      <c r="B24" s="20"/>
      <c r="C24" s="20"/>
      <c r="D24" s="21" t="n">
        <f aca="false">SUM(D4:D23)</f>
        <v>21</v>
      </c>
      <c r="E24" s="20"/>
      <c r="F24" s="20"/>
      <c r="G24" s="20"/>
      <c r="H24" s="22" t="n">
        <f aca="false">SUM(H4:H23)</f>
        <v>56000</v>
      </c>
      <c r="I24" s="21" t="n">
        <f aca="false">SUM(I4:I23)</f>
        <v>560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M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10" min="4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43</v>
      </c>
      <c r="B4" s="3" t="s">
        <v>215</v>
      </c>
      <c r="C4" s="3" t="s">
        <v>165</v>
      </c>
      <c r="D4" s="3" t="s">
        <v>216</v>
      </c>
      <c r="E4" s="3" t="s">
        <v>217</v>
      </c>
      <c r="F4" s="3" t="s">
        <v>218</v>
      </c>
      <c r="G4" s="3" t="s">
        <v>219</v>
      </c>
      <c r="H4" s="3" t="s">
        <v>220</v>
      </c>
      <c r="I4" s="3" t="s">
        <v>221</v>
      </c>
      <c r="J4" s="3" t="s">
        <v>168</v>
      </c>
      <c r="K4" s="3" t="s">
        <v>169</v>
      </c>
      <c r="L4" s="3" t="s">
        <v>222</v>
      </c>
      <c r="M4" s="3" t="s">
        <v>223</v>
      </c>
    </row>
    <row r="5" customFormat="false" ht="15" hidden="false" customHeight="false" outlineLevel="0" collapsed="false">
      <c r="A5" s="16" t="s">
        <v>55</v>
      </c>
      <c r="B5" s="11" t="s">
        <v>170</v>
      </c>
      <c r="C5" s="12" t="s">
        <v>172</v>
      </c>
      <c r="D5" s="14" t="n">
        <v>82000</v>
      </c>
      <c r="E5" s="14" t="n">
        <v>88000</v>
      </c>
      <c r="F5" s="14" t="n">
        <v>90000</v>
      </c>
      <c r="G5" s="14" t="n">
        <v>79000</v>
      </c>
      <c r="H5" s="14" t="n">
        <v>85000</v>
      </c>
      <c r="I5" s="14" t="n">
        <v>92000</v>
      </c>
      <c r="J5" s="14" t="n">
        <v>15000</v>
      </c>
      <c r="K5" s="13" t="n">
        <v>120</v>
      </c>
      <c r="L5" s="23" t="n">
        <f aca="false">IFERROR(J5/I5,"")</f>
        <v>0.16304347826087</v>
      </c>
      <c r="M5" s="24" t="n">
        <f aca="false">IFERROR(I5/K5,"")</f>
        <v>766.666666666667</v>
      </c>
    </row>
    <row r="6" customFormat="false" ht="15" hidden="false" customHeight="false" outlineLevel="0" collapsed="false">
      <c r="A6" s="16" t="s">
        <v>55</v>
      </c>
      <c r="B6" s="11" t="s">
        <v>175</v>
      </c>
      <c r="C6" s="12" t="s">
        <v>172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3" t="n">
        <v>0</v>
      </c>
      <c r="L6" s="23" t="str">
        <f aca="false">IFERROR(J6/I6,"")</f>
        <v/>
      </c>
      <c r="M6" s="24" t="str">
        <f aca="false">IFERROR(I6/K6,"")</f>
        <v/>
      </c>
    </row>
    <row r="7" customFormat="false" ht="15" hidden="false" customHeight="false" outlineLevel="0" collapsed="false">
      <c r="A7" s="16" t="s">
        <v>55</v>
      </c>
      <c r="B7" s="11" t="s">
        <v>177</v>
      </c>
      <c r="C7" s="12" t="s">
        <v>172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3" t="n">
        <v>0</v>
      </c>
      <c r="L7" s="23" t="str">
        <f aca="false">IFERROR(J7/I7,"")</f>
        <v/>
      </c>
      <c r="M7" s="24" t="str">
        <f aca="false">IFERROR(I7/K7,"")</f>
        <v/>
      </c>
    </row>
    <row r="8" customFormat="false" ht="15" hidden="false" customHeight="false" outlineLevel="0" collapsed="false">
      <c r="A8" s="16" t="s">
        <v>55</v>
      </c>
      <c r="B8" s="11" t="s">
        <v>180</v>
      </c>
      <c r="C8" s="12" t="s">
        <v>181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3" t="n">
        <v>0</v>
      </c>
      <c r="L8" s="23" t="str">
        <f aca="false">IFERROR(J8/I8,"")</f>
        <v/>
      </c>
      <c r="M8" s="24" t="str">
        <f aca="false">IFERROR(I8/K8,"")</f>
        <v/>
      </c>
    </row>
    <row r="9" customFormat="false" ht="15" hidden="false" customHeight="false" outlineLevel="0" collapsed="false">
      <c r="A9" s="16" t="s">
        <v>55</v>
      </c>
      <c r="B9" s="11" t="s">
        <v>183</v>
      </c>
      <c r="C9" s="12" t="s">
        <v>184</v>
      </c>
      <c r="D9" s="14" t="n">
        <v>48000</v>
      </c>
      <c r="E9" s="14" t="n">
        <v>52000</v>
      </c>
      <c r="F9" s="14" t="n">
        <v>55000</v>
      </c>
      <c r="G9" s="14" t="n">
        <v>50000</v>
      </c>
      <c r="H9" s="14" t="n">
        <v>53000</v>
      </c>
      <c r="I9" s="14" t="n">
        <v>58000</v>
      </c>
      <c r="J9" s="14" t="n">
        <v>10000</v>
      </c>
      <c r="K9" s="13" t="n">
        <v>80</v>
      </c>
      <c r="L9" s="23" t="n">
        <f aca="false">IFERROR(J9/I9,"")</f>
        <v>0.172413793103448</v>
      </c>
      <c r="M9" s="24" t="n">
        <f aca="false">IFERROR(I9/K9,"")</f>
        <v>725</v>
      </c>
    </row>
    <row r="10" customFormat="false" ht="15" hidden="false" customHeight="false" outlineLevel="0" collapsed="false">
      <c r="A10" s="16" t="s">
        <v>55</v>
      </c>
      <c r="B10" s="11" t="s">
        <v>186</v>
      </c>
      <c r="C10" s="12" t="s">
        <v>184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3" t="n">
        <v>0</v>
      </c>
      <c r="L10" s="23" t="str">
        <f aca="false">IFERROR(J10/I10,"")</f>
        <v/>
      </c>
      <c r="M10" s="24" t="str">
        <f aca="false">IFERROR(I10/K10,"")</f>
        <v/>
      </c>
    </row>
    <row r="11" customFormat="false" ht="15" hidden="false" customHeight="false" outlineLevel="0" collapsed="false">
      <c r="A11" s="16" t="s">
        <v>55</v>
      </c>
      <c r="B11" s="11" t="s">
        <v>187</v>
      </c>
      <c r="C11" s="12" t="s">
        <v>184</v>
      </c>
      <c r="D11" s="14" t="n">
        <v>36000</v>
      </c>
      <c r="E11" s="14" t="n">
        <v>40000</v>
      </c>
      <c r="F11" s="14" t="n">
        <v>42000</v>
      </c>
      <c r="G11" s="14" t="n">
        <v>38000</v>
      </c>
      <c r="H11" s="14" t="n">
        <v>39000</v>
      </c>
      <c r="I11" s="14" t="n">
        <v>44000</v>
      </c>
      <c r="J11" s="14" t="n">
        <v>9000</v>
      </c>
      <c r="K11" s="13" t="n">
        <v>60</v>
      </c>
      <c r="L11" s="23" t="n">
        <f aca="false">IFERROR(J11/I11,"")</f>
        <v>0.204545454545455</v>
      </c>
      <c r="M11" s="24" t="n">
        <f aca="false">IFERROR(I11/K11,"")</f>
        <v>733.333333333333</v>
      </c>
    </row>
    <row r="12" customFormat="false" ht="15" hidden="false" customHeight="false" outlineLevel="0" collapsed="false">
      <c r="A12" s="16" t="s">
        <v>55</v>
      </c>
      <c r="B12" s="11" t="s">
        <v>189</v>
      </c>
      <c r="C12" s="12" t="s">
        <v>184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3" t="n">
        <v>0</v>
      </c>
      <c r="L12" s="23" t="str">
        <f aca="false">IFERROR(J12/I12,"")</f>
        <v/>
      </c>
      <c r="M12" s="24" t="str">
        <f aca="false">IFERROR(I12/K12,"")</f>
        <v/>
      </c>
    </row>
    <row r="13" customFormat="false" ht="15" hidden="false" customHeight="false" outlineLevel="0" collapsed="false">
      <c r="A13" s="16" t="s">
        <v>55</v>
      </c>
      <c r="B13" s="11" t="s">
        <v>190</v>
      </c>
      <c r="C13" s="12" t="s">
        <v>191</v>
      </c>
      <c r="D13" s="14" t="n">
        <v>165000</v>
      </c>
      <c r="E13" s="14" t="n">
        <v>172000</v>
      </c>
      <c r="F13" s="14" t="n">
        <v>180000</v>
      </c>
      <c r="G13" s="14" t="n">
        <v>168000</v>
      </c>
      <c r="H13" s="14" t="n">
        <v>175000</v>
      </c>
      <c r="I13" s="14" t="n">
        <v>185000</v>
      </c>
      <c r="J13" s="14" t="n">
        <v>22000</v>
      </c>
      <c r="K13" s="13" t="n">
        <v>300</v>
      </c>
      <c r="L13" s="23" t="n">
        <f aca="false">IFERROR(J13/I13,"")</f>
        <v>0.118918918918919</v>
      </c>
      <c r="M13" s="24" t="n">
        <f aca="false">IFERROR(I13/K13,"")</f>
        <v>616.666666666667</v>
      </c>
    </row>
    <row r="14" customFormat="false" ht="15" hidden="false" customHeight="false" outlineLevel="0" collapsed="false">
      <c r="A14" s="16" t="s">
        <v>55</v>
      </c>
      <c r="B14" s="11" t="s">
        <v>193</v>
      </c>
      <c r="C14" s="12" t="s">
        <v>194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3" t="n">
        <v>0</v>
      </c>
      <c r="L14" s="23" t="str">
        <f aca="false">IFERROR(J14/I14,"")</f>
        <v/>
      </c>
      <c r="M14" s="24" t="str">
        <f aca="false">IFERROR(I14/K14,"")</f>
        <v/>
      </c>
    </row>
    <row r="15" customFormat="false" ht="15" hidden="false" customHeight="false" outlineLevel="0" collapsed="false">
      <c r="A15" s="16" t="s">
        <v>55</v>
      </c>
      <c r="B15" s="11" t="s">
        <v>196</v>
      </c>
      <c r="C15" s="12" t="s">
        <v>197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3" t="n">
        <v>0</v>
      </c>
      <c r="L15" s="23" t="str">
        <f aca="false">IFERROR(J15/I15,"")</f>
        <v/>
      </c>
      <c r="M15" s="24" t="str">
        <f aca="false">IFERROR(I15/K15,"")</f>
        <v/>
      </c>
    </row>
    <row r="16" customFormat="false" ht="15" hidden="false" customHeight="false" outlineLevel="0" collapsed="false">
      <c r="A16" s="16" t="s">
        <v>55</v>
      </c>
      <c r="B16" s="11" t="s">
        <v>199</v>
      </c>
      <c r="C16" s="12" t="s">
        <v>200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3" t="n">
        <v>0</v>
      </c>
      <c r="L16" s="23" t="str">
        <f aca="false">IFERROR(J16/I16,"")</f>
        <v/>
      </c>
      <c r="M16" s="24" t="str">
        <f aca="false">IFERROR(I16/K16,"")</f>
        <v/>
      </c>
    </row>
    <row r="17" customFormat="false" ht="15" hidden="false" customHeight="false" outlineLevel="0" collapsed="false">
      <c r="A17" s="16" t="s">
        <v>55</v>
      </c>
      <c r="B17" s="11" t="s">
        <v>201</v>
      </c>
      <c r="C17" s="12" t="s">
        <v>202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3" t="n">
        <v>0</v>
      </c>
      <c r="L17" s="23" t="str">
        <f aca="false">IFERROR(J17/I17,"")</f>
        <v/>
      </c>
      <c r="M17" s="24" t="str">
        <f aca="false">IFERROR(I17/K17,"")</f>
        <v/>
      </c>
    </row>
    <row r="18" customFormat="false" ht="15" hidden="false" customHeight="false" outlineLevel="0" collapsed="false">
      <c r="A18" s="19" t="s">
        <v>212</v>
      </c>
      <c r="B18" s="20"/>
      <c r="C18" s="20"/>
      <c r="D18" s="22" t="n">
        <f aca="false">SUM(D5:D17)</f>
        <v>331000</v>
      </c>
      <c r="E18" s="22" t="n">
        <f aca="false">SUM(E5:E17)</f>
        <v>352000</v>
      </c>
      <c r="F18" s="22" t="n">
        <f aca="false">SUM(F5:F17)</f>
        <v>367000</v>
      </c>
      <c r="G18" s="22" t="n">
        <f aca="false">SUM(G5:G17)</f>
        <v>335000</v>
      </c>
      <c r="H18" s="22" t="n">
        <f aca="false">SUM(H5:H17)</f>
        <v>352000</v>
      </c>
      <c r="I18" s="22" t="n">
        <f aca="false">SUM(I5:I17)</f>
        <v>379000</v>
      </c>
      <c r="J18" s="22" t="n">
        <f aca="false">SUM(J5:J17)</f>
        <v>56000</v>
      </c>
      <c r="K18" s="21" t="n">
        <f aca="false">SUM(K5:K17)</f>
        <v>560</v>
      </c>
      <c r="L18" s="25" t="n">
        <f aca="false">IFERROR(J18/I18,"")</f>
        <v>0.147757255936675</v>
      </c>
      <c r="M18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G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3"/>
  </cols>
  <sheetData>
    <row r="1" customFormat="false" ht="24" hidden="false" customHeight="true" outlineLevel="0" collapsed="false">
      <c r="A1" s="1" t="s">
        <v>224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43</v>
      </c>
      <c r="B4" s="3" t="s">
        <v>226</v>
      </c>
      <c r="C4" s="3" t="s">
        <v>227</v>
      </c>
      <c r="D4" s="3" t="s">
        <v>228</v>
      </c>
      <c r="E4" s="3" t="s">
        <v>229</v>
      </c>
      <c r="F4" s="3" t="s">
        <v>230</v>
      </c>
      <c r="G4" s="3" t="s">
        <v>231</v>
      </c>
    </row>
    <row r="5" customFormat="false" ht="15" hidden="false" customHeight="false" outlineLevel="0" collapsed="false">
      <c r="A5" s="16" t="s">
        <v>55</v>
      </c>
      <c r="B5" s="12" t="s">
        <v>232</v>
      </c>
      <c r="C5" s="26" t="n">
        <v>0.357</v>
      </c>
      <c r="D5" s="14" t="n">
        <v>3915547</v>
      </c>
      <c r="E5" s="27" t="n">
        <v>0.15</v>
      </c>
      <c r="F5" s="24" t="n">
        <f aca="false">C5*D5</f>
        <v>1397850.279</v>
      </c>
      <c r="G5" s="24" t="n">
        <f aca="false">F5*E5</f>
        <v>209677.54185</v>
      </c>
    </row>
    <row r="6" customFormat="false" ht="15" hidden="false" customHeight="false" outlineLevel="0" collapsed="false">
      <c r="A6" s="16" t="s">
        <v>55</v>
      </c>
      <c r="B6" s="12" t="s">
        <v>233</v>
      </c>
      <c r="C6" s="26" t="n">
        <v>0.362</v>
      </c>
      <c r="D6" s="14" t="n">
        <v>3915547</v>
      </c>
      <c r="E6" s="27" t="n">
        <v>0.15</v>
      </c>
      <c r="F6" s="24" t="n">
        <f aca="false">C6*D6</f>
        <v>1417428.014</v>
      </c>
      <c r="G6" s="24" t="n">
        <f aca="false">F6*E6</f>
        <v>212614.2021</v>
      </c>
    </row>
    <row r="7" customFormat="false" ht="15" hidden="false" customHeight="false" outlineLevel="0" collapsed="false">
      <c r="A7" s="16" t="s">
        <v>55</v>
      </c>
      <c r="B7" s="12" t="s">
        <v>234</v>
      </c>
      <c r="C7" s="26" t="n">
        <v>0.281</v>
      </c>
      <c r="D7" s="14" t="n">
        <v>3915547</v>
      </c>
      <c r="E7" s="27" t="n">
        <v>0.15</v>
      </c>
      <c r="F7" s="24" t="n">
        <f aca="false">C7*D7</f>
        <v>1100268.707</v>
      </c>
      <c r="G7" s="24" t="n">
        <f aca="false">F7*E7</f>
        <v>165040.30605</v>
      </c>
    </row>
    <row r="8" customFormat="false" ht="15" hidden="false" customHeight="false" outlineLevel="0" collapsed="false">
      <c r="A8" s="16" t="s">
        <v>63</v>
      </c>
      <c r="B8" s="12" t="s">
        <v>232</v>
      </c>
      <c r="C8" s="26" t="n">
        <v>0.495</v>
      </c>
      <c r="D8" s="14" t="n">
        <v>2914000</v>
      </c>
      <c r="E8" s="27" t="n">
        <v>0.15</v>
      </c>
      <c r="F8" s="24" t="n">
        <f aca="false">C8*D8</f>
        <v>1442430</v>
      </c>
      <c r="G8" s="24" t="n">
        <f aca="false">F8*E8</f>
        <v>216364.5</v>
      </c>
    </row>
    <row r="9" customFormat="false" ht="15" hidden="false" customHeight="false" outlineLevel="0" collapsed="false">
      <c r="A9" s="16" t="s">
        <v>63</v>
      </c>
      <c r="B9" s="12" t="s">
        <v>233</v>
      </c>
      <c r="C9" s="26" t="n">
        <v>0.498</v>
      </c>
      <c r="D9" s="14" t="n">
        <v>2914000</v>
      </c>
      <c r="E9" s="27" t="n">
        <v>0.15</v>
      </c>
      <c r="F9" s="24" t="n">
        <f aca="false">C9*D9</f>
        <v>1451172</v>
      </c>
      <c r="G9" s="24" t="n">
        <f aca="false">F9*E9</f>
        <v>217675.8</v>
      </c>
    </row>
    <row r="10" customFormat="false" ht="15" hidden="false" customHeight="false" outlineLevel="0" collapsed="false">
      <c r="A10" s="16" t="s">
        <v>63</v>
      </c>
      <c r="B10" s="12" t="s">
        <v>234</v>
      </c>
      <c r="C10" s="26" t="n">
        <v>0.007</v>
      </c>
      <c r="D10" s="14" t="n">
        <v>2914000</v>
      </c>
      <c r="E10" s="27" t="n">
        <v>0.15</v>
      </c>
      <c r="F10" s="24" t="n">
        <f aca="false">C10*D10</f>
        <v>20398</v>
      </c>
      <c r="G10" s="24" t="n">
        <f aca="false">F10*E10</f>
        <v>3059.7</v>
      </c>
    </row>
    <row r="11" customFormat="false" ht="15" hidden="false" customHeight="false" outlineLevel="0" collapsed="false">
      <c r="A11" s="16" t="s">
        <v>69</v>
      </c>
      <c r="B11" s="12" t="s">
        <v>232</v>
      </c>
      <c r="C11" s="26" t="n">
        <v>0.587</v>
      </c>
      <c r="D11" s="14" t="n">
        <v>955000</v>
      </c>
      <c r="E11" s="27" t="n">
        <v>0.15</v>
      </c>
      <c r="F11" s="24" t="n">
        <f aca="false">C11*D11</f>
        <v>560585</v>
      </c>
      <c r="G11" s="24" t="n">
        <f aca="false">F11*E11</f>
        <v>84087.75</v>
      </c>
    </row>
    <row r="12" customFormat="false" ht="15" hidden="false" customHeight="false" outlineLevel="0" collapsed="false">
      <c r="A12" s="16" t="s">
        <v>69</v>
      </c>
      <c r="B12" s="12" t="s">
        <v>233</v>
      </c>
      <c r="C12" s="26" t="n">
        <v>0.408</v>
      </c>
      <c r="D12" s="14" t="n">
        <v>955000</v>
      </c>
      <c r="E12" s="27" t="n">
        <v>0.15</v>
      </c>
      <c r="F12" s="24" t="n">
        <f aca="false">C12*D12</f>
        <v>389640</v>
      </c>
      <c r="G12" s="24" t="n">
        <f aca="false">F12*E12</f>
        <v>58446</v>
      </c>
    </row>
    <row r="13" customFormat="false" ht="15" hidden="false" customHeight="false" outlineLevel="0" collapsed="false">
      <c r="A13" s="16" t="s">
        <v>69</v>
      </c>
      <c r="B13" s="12" t="s">
        <v>234</v>
      </c>
      <c r="C13" s="26" t="n">
        <v>0.005</v>
      </c>
      <c r="D13" s="14" t="n">
        <v>955000</v>
      </c>
      <c r="E13" s="27" t="n">
        <v>0.15</v>
      </c>
      <c r="F13" s="24" t="n">
        <f aca="false">C13*D13</f>
        <v>4775</v>
      </c>
      <c r="G13" s="24" t="n">
        <f aca="false">F13*E13</f>
        <v>716.25</v>
      </c>
    </row>
    <row r="15" customFormat="false" ht="15" hidden="false" customHeight="false" outlineLevel="0" collapsed="false">
      <c r="A15" s="28" t="s">
        <v>235</v>
      </c>
    </row>
    <row r="16" customFormat="false" ht="30" hidden="false" customHeight="true" outlineLevel="0" collapsed="false">
      <c r="A16" s="3" t="s">
        <v>43</v>
      </c>
      <c r="B16" s="3" t="s">
        <v>216</v>
      </c>
      <c r="C16" s="3" t="s">
        <v>217</v>
      </c>
      <c r="D16" s="3" t="s">
        <v>218</v>
      </c>
      <c r="E16" s="3" t="s">
        <v>219</v>
      </c>
      <c r="F16" s="3" t="s">
        <v>220</v>
      </c>
      <c r="G16" s="3" t="s">
        <v>221</v>
      </c>
    </row>
    <row r="17" customFormat="false" ht="15" hidden="false" customHeight="false" outlineLevel="0" collapsed="false">
      <c r="A17" s="16" t="s">
        <v>55</v>
      </c>
      <c r="B17" s="27" t="n">
        <v>4.25</v>
      </c>
      <c r="C17" s="27" t="n">
        <v>4.17</v>
      </c>
      <c r="D17" s="27" t="n">
        <v>4.91</v>
      </c>
      <c r="E17" s="27" t="n">
        <v>3.6</v>
      </c>
      <c r="F17" s="27" t="n">
        <v>3.13</v>
      </c>
      <c r="G17" s="27" t="n">
        <v>3.43</v>
      </c>
    </row>
    <row r="18" customFormat="false" ht="15" hidden="false" customHeight="false" outlineLevel="0" collapsed="false">
      <c r="A18" s="16" t="s">
        <v>63</v>
      </c>
      <c r="B18" s="27" t="n">
        <v>2.85</v>
      </c>
      <c r="C18" s="27" t="n">
        <v>2.92</v>
      </c>
      <c r="D18" s="27" t="n">
        <v>3.05</v>
      </c>
      <c r="E18" s="27" t="n">
        <v>2.88</v>
      </c>
      <c r="F18" s="27" t="n">
        <v>2.8</v>
      </c>
      <c r="G18" s="27" t="n">
        <v>2.95</v>
      </c>
    </row>
    <row r="19" customFormat="false" ht="15" hidden="false" customHeight="false" outlineLevel="0" collapsed="false">
      <c r="A19" s="16" t="s">
        <v>69</v>
      </c>
      <c r="B19" s="27" t="n">
        <v>0.98</v>
      </c>
      <c r="C19" s="27" t="n">
        <v>0.95</v>
      </c>
      <c r="D19" s="27" t="n">
        <v>1.02</v>
      </c>
      <c r="E19" s="27" t="n">
        <v>0.93</v>
      </c>
      <c r="F19" s="27" t="n">
        <v>0.9</v>
      </c>
      <c r="G19" s="27" t="n">
        <v>0.96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G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24" hidden="false" customHeight="true" outlineLevel="0" collapsed="false">
      <c r="A1" s="1" t="s">
        <v>236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3" t="s">
        <v>43</v>
      </c>
      <c r="B3" s="3" t="s">
        <v>237</v>
      </c>
      <c r="C3" s="3" t="s">
        <v>238</v>
      </c>
      <c r="D3" s="3" t="s">
        <v>239</v>
      </c>
      <c r="E3" s="3" t="s">
        <v>240</v>
      </c>
      <c r="F3" s="3" t="s">
        <v>167</v>
      </c>
      <c r="G3" s="3" t="s">
        <v>241</v>
      </c>
    </row>
    <row r="4" customFormat="false" ht="30" hidden="false" customHeight="true" outlineLevel="0" collapsed="false">
      <c r="A4" s="16" t="s">
        <v>55</v>
      </c>
      <c r="B4" s="11" t="s">
        <v>242</v>
      </c>
      <c r="C4" s="11" t="s">
        <v>243</v>
      </c>
      <c r="D4" s="12" t="s">
        <v>244</v>
      </c>
      <c r="E4" s="14" t="n">
        <v>60000</v>
      </c>
      <c r="F4" s="12" t="s">
        <v>245</v>
      </c>
      <c r="G4" s="12" t="s">
        <v>246</v>
      </c>
    </row>
    <row r="5" customFormat="false" ht="30" hidden="false" customHeight="true" outlineLevel="0" collapsed="false">
      <c r="A5" s="16" t="s">
        <v>55</v>
      </c>
      <c r="B5" s="11" t="s">
        <v>247</v>
      </c>
      <c r="C5" s="11" t="s">
        <v>248</v>
      </c>
      <c r="D5" s="12" t="s">
        <v>244</v>
      </c>
      <c r="E5" s="14" t="n">
        <v>45000</v>
      </c>
      <c r="F5" s="12" t="s">
        <v>249</v>
      </c>
      <c r="G5" s="12" t="s">
        <v>246</v>
      </c>
    </row>
    <row r="6" customFormat="false" ht="30" hidden="false" customHeight="true" outlineLevel="0" collapsed="false">
      <c r="A6" s="16" t="s">
        <v>55</v>
      </c>
      <c r="B6" s="11" t="s">
        <v>250</v>
      </c>
      <c r="C6" s="11" t="s">
        <v>251</v>
      </c>
      <c r="D6" s="12" t="s">
        <v>244</v>
      </c>
      <c r="E6" s="14" t="n">
        <v>22000</v>
      </c>
      <c r="F6" s="12" t="s">
        <v>245</v>
      </c>
      <c r="G6" s="12" t="s">
        <v>72</v>
      </c>
    </row>
    <row r="7" customFormat="false" ht="30" hidden="false" customHeight="true" outlineLevel="0" collapsed="false">
      <c r="A7" s="16" t="s">
        <v>55</v>
      </c>
      <c r="B7" s="11" t="s">
        <v>252</v>
      </c>
      <c r="C7" s="11" t="s">
        <v>253</v>
      </c>
      <c r="D7" s="12" t="s">
        <v>254</v>
      </c>
      <c r="E7" s="14" t="n">
        <v>28000</v>
      </c>
      <c r="F7" s="12" t="s">
        <v>245</v>
      </c>
      <c r="G7" s="12" t="s">
        <v>246</v>
      </c>
    </row>
    <row r="8" customFormat="false" ht="30" hidden="false" customHeight="true" outlineLevel="0" collapsed="false">
      <c r="A8" s="16" t="s">
        <v>55</v>
      </c>
      <c r="B8" s="11" t="s">
        <v>255</v>
      </c>
      <c r="C8" s="11" t="s">
        <v>256</v>
      </c>
      <c r="D8" s="12" t="s">
        <v>254</v>
      </c>
      <c r="E8" s="14" t="n">
        <v>18000</v>
      </c>
      <c r="F8" s="12" t="s">
        <v>245</v>
      </c>
      <c r="G8" s="12" t="s">
        <v>246</v>
      </c>
    </row>
    <row r="9" customFormat="false" ht="30" hidden="false" customHeight="true" outlineLevel="0" collapsed="false">
      <c r="A9" s="16" t="s">
        <v>55</v>
      </c>
      <c r="B9" s="11" t="s">
        <v>257</v>
      </c>
      <c r="C9" s="11" t="s">
        <v>258</v>
      </c>
      <c r="D9" s="12" t="s">
        <v>254</v>
      </c>
      <c r="E9" s="14" t="n">
        <v>12000</v>
      </c>
      <c r="F9" s="12" t="s">
        <v>245</v>
      </c>
      <c r="G9" s="12" t="s">
        <v>72</v>
      </c>
    </row>
    <row r="10" customFormat="false" ht="30" hidden="false" customHeight="true" outlineLevel="0" collapsed="false">
      <c r="A10" s="16" t="s">
        <v>55</v>
      </c>
      <c r="B10" s="11" t="s">
        <v>259</v>
      </c>
      <c r="C10" s="11" t="s">
        <v>260</v>
      </c>
      <c r="D10" s="12" t="s">
        <v>261</v>
      </c>
      <c r="E10" s="14" t="n">
        <v>12000</v>
      </c>
      <c r="F10" s="12" t="s">
        <v>245</v>
      </c>
      <c r="G10" s="12" t="s">
        <v>72</v>
      </c>
    </row>
    <row r="11" customFormat="false" ht="30" hidden="false" customHeight="true" outlineLevel="0" collapsed="false">
      <c r="A11" s="16" t="s">
        <v>55</v>
      </c>
      <c r="B11" s="11" t="s">
        <v>262</v>
      </c>
      <c r="C11" s="11" t="s">
        <v>263</v>
      </c>
      <c r="D11" s="12" t="s">
        <v>264</v>
      </c>
      <c r="E11" s="14" t="n">
        <v>6000</v>
      </c>
      <c r="F11" s="12" t="s">
        <v>245</v>
      </c>
      <c r="G11" s="12" t="s">
        <v>265</v>
      </c>
    </row>
    <row r="12" customFormat="false" ht="30" hidden="false" customHeight="true" outlineLevel="0" collapsed="false">
      <c r="A12" s="16" t="s">
        <v>55</v>
      </c>
      <c r="B12" s="11" t="s">
        <v>266</v>
      </c>
      <c r="C12" s="11" t="s">
        <v>267</v>
      </c>
      <c r="D12" s="12" t="s">
        <v>244</v>
      </c>
      <c r="E12" s="14" t="n">
        <v>49000</v>
      </c>
      <c r="F12" s="12" t="s">
        <v>245</v>
      </c>
      <c r="G12" s="12" t="s">
        <v>246</v>
      </c>
    </row>
    <row r="13" customFormat="false" ht="30" hidden="false" customHeight="true" outlineLevel="0" collapsed="false">
      <c r="A13" s="16" t="s">
        <v>55</v>
      </c>
      <c r="B13" s="11" t="s">
        <v>268</v>
      </c>
      <c r="C13" s="11" t="s">
        <v>269</v>
      </c>
      <c r="D13" s="12" t="s">
        <v>244</v>
      </c>
      <c r="E13" s="14" t="n">
        <v>20000</v>
      </c>
      <c r="F13" s="12" t="s">
        <v>245</v>
      </c>
      <c r="G13" s="12" t="s">
        <v>246</v>
      </c>
    </row>
    <row r="14" customFormat="false" ht="30" hidden="false" customHeight="true" outlineLevel="0" collapsed="false">
      <c r="A14" s="16" t="s">
        <v>55</v>
      </c>
      <c r="B14" s="11" t="s">
        <v>270</v>
      </c>
      <c r="C14" s="11" t="s">
        <v>271</v>
      </c>
      <c r="D14" s="12" t="s">
        <v>244</v>
      </c>
      <c r="E14" s="14" t="n">
        <v>25000</v>
      </c>
      <c r="F14" s="12" t="s">
        <v>245</v>
      </c>
      <c r="G14" s="12" t="s">
        <v>246</v>
      </c>
    </row>
    <row r="15" customFormat="false" ht="30" hidden="false" customHeight="true" outlineLevel="0" collapsed="false">
      <c r="A15" s="16" t="s">
        <v>63</v>
      </c>
      <c r="B15" s="11" t="s">
        <v>272</v>
      </c>
      <c r="C15" s="11" t="s">
        <v>273</v>
      </c>
      <c r="D15" s="12" t="s">
        <v>254</v>
      </c>
      <c r="E15" s="14" t="n">
        <v>20000</v>
      </c>
      <c r="F15" s="12" t="s">
        <v>245</v>
      </c>
      <c r="G15" s="12" t="s">
        <v>246</v>
      </c>
    </row>
    <row r="16" customFormat="false" ht="30" hidden="false" customHeight="true" outlineLevel="0" collapsed="false">
      <c r="A16" s="16" t="s">
        <v>63</v>
      </c>
      <c r="B16" s="11" t="s">
        <v>274</v>
      </c>
      <c r="C16" s="11" t="s">
        <v>275</v>
      </c>
      <c r="D16" s="12" t="s">
        <v>254</v>
      </c>
      <c r="E16" s="14" t="n">
        <v>15000</v>
      </c>
      <c r="F16" s="12" t="s">
        <v>245</v>
      </c>
      <c r="G16" s="12" t="s">
        <v>246</v>
      </c>
    </row>
    <row r="17" customFormat="false" ht="30" hidden="false" customHeight="true" outlineLevel="0" collapsed="false">
      <c r="A17" s="16" t="s">
        <v>63</v>
      </c>
      <c r="B17" s="11" t="s">
        <v>276</v>
      </c>
      <c r="C17" s="11" t="s">
        <v>277</v>
      </c>
      <c r="D17" s="12" t="s">
        <v>261</v>
      </c>
      <c r="E17" s="14" t="n">
        <v>8000</v>
      </c>
      <c r="F17" s="12" t="s">
        <v>245</v>
      </c>
      <c r="G17" s="12" t="s">
        <v>72</v>
      </c>
    </row>
    <row r="18" customFormat="false" ht="30" hidden="false" customHeight="true" outlineLevel="0" collapsed="false">
      <c r="A18" s="16" t="s">
        <v>63</v>
      </c>
      <c r="B18" s="11" t="s">
        <v>278</v>
      </c>
      <c r="C18" s="11" t="s">
        <v>279</v>
      </c>
      <c r="D18" s="12" t="s">
        <v>264</v>
      </c>
      <c r="E18" s="14" t="n">
        <v>10000</v>
      </c>
      <c r="F18" s="12" t="s">
        <v>245</v>
      </c>
      <c r="G18" s="12" t="s">
        <v>72</v>
      </c>
    </row>
    <row r="19" customFormat="false" ht="30" hidden="false" customHeight="true" outlineLevel="0" collapsed="false">
      <c r="A19" s="16" t="s">
        <v>69</v>
      </c>
      <c r="B19" s="11" t="s">
        <v>209</v>
      </c>
      <c r="C19" s="11" t="s">
        <v>280</v>
      </c>
      <c r="D19" s="12" t="s">
        <v>254</v>
      </c>
      <c r="E19" s="14" t="n">
        <v>9000</v>
      </c>
      <c r="F19" s="12" t="s">
        <v>245</v>
      </c>
      <c r="G19" s="12" t="s">
        <v>246</v>
      </c>
    </row>
    <row r="20" customFormat="false" ht="30" hidden="false" customHeight="true" outlineLevel="0" collapsed="false">
      <c r="A20" s="16" t="s">
        <v>69</v>
      </c>
      <c r="B20" s="11" t="s">
        <v>210</v>
      </c>
      <c r="C20" s="11" t="s">
        <v>281</v>
      </c>
      <c r="D20" s="12" t="s">
        <v>254</v>
      </c>
      <c r="E20" s="14" t="n">
        <v>12000</v>
      </c>
      <c r="F20" s="12" t="s">
        <v>245</v>
      </c>
      <c r="G20" s="12" t="s">
        <v>246</v>
      </c>
    </row>
    <row r="21" customFormat="false" ht="30" hidden="false" customHeight="true" outlineLevel="0" collapsed="false">
      <c r="A21" s="16" t="s">
        <v>69</v>
      </c>
      <c r="B21" s="11" t="s">
        <v>282</v>
      </c>
      <c r="C21" s="11" t="s">
        <v>283</v>
      </c>
      <c r="D21" s="12" t="s">
        <v>254</v>
      </c>
      <c r="E21" s="14" t="n">
        <v>8000</v>
      </c>
      <c r="F21" s="12" t="s">
        <v>245</v>
      </c>
      <c r="G21" s="12" t="s">
        <v>246</v>
      </c>
    </row>
    <row r="22" customFormat="false" ht="30" hidden="false" customHeight="true" outlineLevel="0" collapsed="false">
      <c r="A22" s="16" t="s">
        <v>69</v>
      </c>
      <c r="B22" s="11" t="s">
        <v>284</v>
      </c>
      <c r="C22" s="11" t="s">
        <v>285</v>
      </c>
      <c r="D22" s="12" t="s">
        <v>254</v>
      </c>
      <c r="E22" s="14" t="n">
        <v>6000</v>
      </c>
      <c r="F22" s="12" t="s">
        <v>245</v>
      </c>
      <c r="G22" s="12" t="s">
        <v>72</v>
      </c>
    </row>
    <row r="23" customFormat="false" ht="15" hidden="false" customHeight="false" outlineLevel="0" collapsed="false">
      <c r="A23" s="19" t="s">
        <v>286</v>
      </c>
      <c r="B23" s="20"/>
      <c r="C23" s="20"/>
      <c r="D23" s="20"/>
      <c r="E23" s="22" t="n">
        <f aca="false">SUM(E4:E22)</f>
        <v>385000</v>
      </c>
      <c r="F23" s="20"/>
      <c r="G23" s="20"/>
    </row>
    <row r="25" customFormat="false" ht="15" hidden="false" customHeight="false" outlineLevel="0" collapsed="false">
      <c r="A25" s="7" t="s">
        <v>287</v>
      </c>
      <c r="B25" s="24" t="n">
        <f aca="false">SUMIF(F4:F22,"متعاقد",E4:E22)</f>
        <v>0</v>
      </c>
    </row>
    <row r="26" customFormat="false" ht="15" hidden="false" customHeight="false" outlineLevel="0" collapsed="false">
      <c r="A26" s="7" t="s">
        <v>288</v>
      </c>
      <c r="B26" s="24" t="n">
        <f aca="false">E23-B25</f>
        <v>385000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I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5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" t="s">
        <v>289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3" t="s">
        <v>43</v>
      </c>
      <c r="B3" s="3" t="s">
        <v>290</v>
      </c>
      <c r="C3" s="3" t="s">
        <v>226</v>
      </c>
      <c r="D3" s="3" t="s">
        <v>291</v>
      </c>
      <c r="E3" s="3" t="s">
        <v>292</v>
      </c>
      <c r="F3" s="3" t="s">
        <v>293</v>
      </c>
      <c r="G3" s="3" t="s">
        <v>229</v>
      </c>
      <c r="H3" s="3" t="s">
        <v>294</v>
      </c>
      <c r="I3" s="3" t="s">
        <v>167</v>
      </c>
    </row>
    <row r="4" customFormat="false" ht="57.75" hidden="false" customHeight="true" outlineLevel="0" collapsed="false">
      <c r="A4" s="16" t="s">
        <v>55</v>
      </c>
      <c r="B4" s="4" t="s">
        <v>295</v>
      </c>
      <c r="C4" s="12" t="s">
        <v>234</v>
      </c>
      <c r="D4" s="11" t="s">
        <v>296</v>
      </c>
      <c r="E4" s="11" t="s">
        <v>297</v>
      </c>
      <c r="F4" s="14" t="n">
        <v>90000</v>
      </c>
      <c r="G4" s="27" t="n">
        <v>0.15</v>
      </c>
      <c r="H4" s="24" t="n">
        <f aca="false">F4*G4</f>
        <v>13500</v>
      </c>
      <c r="I4" s="12" t="s">
        <v>249</v>
      </c>
    </row>
    <row r="5" customFormat="false" ht="57.75" hidden="false" customHeight="true" outlineLevel="0" collapsed="false">
      <c r="A5" s="16" t="s">
        <v>55</v>
      </c>
      <c r="B5" s="4" t="s">
        <v>298</v>
      </c>
      <c r="C5" s="12" t="s">
        <v>234</v>
      </c>
      <c r="D5" s="11" t="s">
        <v>299</v>
      </c>
      <c r="E5" s="11" t="s">
        <v>300</v>
      </c>
      <c r="F5" s="14" t="n">
        <v>120000</v>
      </c>
      <c r="G5" s="27" t="n">
        <v>0.15</v>
      </c>
      <c r="H5" s="24" t="n">
        <f aca="false">F5*G5</f>
        <v>18000</v>
      </c>
      <c r="I5" s="12" t="s">
        <v>245</v>
      </c>
    </row>
    <row r="6" customFormat="false" ht="57.75" hidden="false" customHeight="true" outlineLevel="0" collapsed="false">
      <c r="A6" s="16" t="s">
        <v>55</v>
      </c>
      <c r="B6" s="4" t="s">
        <v>301</v>
      </c>
      <c r="C6" s="12" t="s">
        <v>302</v>
      </c>
      <c r="D6" s="11" t="s">
        <v>303</v>
      </c>
      <c r="E6" s="11" t="s">
        <v>304</v>
      </c>
      <c r="F6" s="14" t="n">
        <v>40000</v>
      </c>
      <c r="G6" s="27" t="n">
        <v>0.15</v>
      </c>
      <c r="H6" s="24" t="n">
        <f aca="false">F6*G6</f>
        <v>6000</v>
      </c>
      <c r="I6" s="12" t="s">
        <v>245</v>
      </c>
    </row>
    <row r="7" customFormat="false" ht="57.75" hidden="false" customHeight="true" outlineLevel="0" collapsed="false">
      <c r="A7" s="16" t="s">
        <v>55</v>
      </c>
      <c r="B7" s="4" t="s">
        <v>305</v>
      </c>
      <c r="C7" s="12" t="s">
        <v>302</v>
      </c>
      <c r="D7" s="11" t="s">
        <v>306</v>
      </c>
      <c r="E7" s="11" t="s">
        <v>307</v>
      </c>
      <c r="F7" s="14" t="n">
        <v>55000</v>
      </c>
      <c r="G7" s="27" t="n">
        <v>0.15</v>
      </c>
      <c r="H7" s="24" t="n">
        <f aca="false">F7*G7</f>
        <v>8250</v>
      </c>
      <c r="I7" s="12" t="s">
        <v>245</v>
      </c>
    </row>
    <row r="8" customFormat="false" ht="57.75" hidden="false" customHeight="true" outlineLevel="0" collapsed="false">
      <c r="A8" s="16" t="s">
        <v>63</v>
      </c>
      <c r="B8" s="4" t="s">
        <v>308</v>
      </c>
      <c r="C8" s="12" t="s">
        <v>234</v>
      </c>
      <c r="D8" s="11" t="s">
        <v>309</v>
      </c>
      <c r="E8" s="11" t="s">
        <v>310</v>
      </c>
      <c r="F8" s="14" t="n">
        <v>30000</v>
      </c>
      <c r="G8" s="27" t="n">
        <v>0.15</v>
      </c>
      <c r="H8" s="24" t="n">
        <f aca="false">F8*G8</f>
        <v>4500</v>
      </c>
      <c r="I8" s="12" t="s">
        <v>245</v>
      </c>
    </row>
    <row r="9" customFormat="false" ht="57.75" hidden="false" customHeight="true" outlineLevel="0" collapsed="false">
      <c r="A9" s="16" t="s">
        <v>63</v>
      </c>
      <c r="B9" s="4" t="s">
        <v>311</v>
      </c>
      <c r="C9" s="12" t="s">
        <v>302</v>
      </c>
      <c r="D9" s="11" t="s">
        <v>312</v>
      </c>
      <c r="E9" s="11" t="s">
        <v>313</v>
      </c>
      <c r="F9" s="14" t="n">
        <v>15000</v>
      </c>
      <c r="G9" s="27" t="n">
        <v>0.15</v>
      </c>
      <c r="H9" s="24" t="n">
        <f aca="false">F9*G9</f>
        <v>2250</v>
      </c>
      <c r="I9" s="12" t="s">
        <v>245</v>
      </c>
    </row>
    <row r="10" customFormat="false" ht="57.75" hidden="false" customHeight="true" outlineLevel="0" collapsed="false">
      <c r="A10" s="16" t="s">
        <v>69</v>
      </c>
      <c r="B10" s="4" t="s">
        <v>314</v>
      </c>
      <c r="C10" s="12" t="s">
        <v>232</v>
      </c>
      <c r="D10" s="11" t="s">
        <v>315</v>
      </c>
      <c r="E10" s="11" t="s">
        <v>316</v>
      </c>
      <c r="F10" s="14" t="n">
        <v>8000</v>
      </c>
      <c r="G10" s="27" t="n">
        <v>0.15</v>
      </c>
      <c r="H10" s="24" t="n">
        <f aca="false">F10*G10</f>
        <v>1200</v>
      </c>
      <c r="I10" s="12" t="s">
        <v>245</v>
      </c>
    </row>
    <row r="11" customFormat="false" ht="15" hidden="false" customHeight="false" outlineLevel="0" collapsed="false">
      <c r="A11" s="19" t="s">
        <v>212</v>
      </c>
      <c r="B11" s="20"/>
      <c r="C11" s="20"/>
      <c r="D11" s="20"/>
      <c r="E11" s="20"/>
      <c r="F11" s="22" t="n">
        <f aca="false">SUM(F4:F10)</f>
        <v>358000</v>
      </c>
      <c r="G11" s="20"/>
      <c r="H11" s="22" t="n">
        <f aca="false">SUM(H4:H10)</f>
        <v>53700</v>
      </c>
      <c r="I11" s="2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G5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7" topLeftCell="A4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317</v>
      </c>
      <c r="B1" s="1"/>
      <c r="C1" s="1"/>
    </row>
    <row r="3" customFormat="false" ht="30" hidden="false" customHeight="true" outlineLevel="0" collapsed="false">
      <c r="A3" s="3" t="s">
        <v>43</v>
      </c>
      <c r="B3" s="3" t="s">
        <v>318</v>
      </c>
      <c r="C3" s="3" t="s">
        <v>319</v>
      </c>
    </row>
    <row r="4" customFormat="false" ht="42" hidden="false" customHeight="true" outlineLevel="0" collapsed="false">
      <c r="A4" s="16" t="s">
        <v>55</v>
      </c>
      <c r="B4" s="9" t="s">
        <v>320</v>
      </c>
      <c r="C4" s="11" t="s">
        <v>321</v>
      </c>
    </row>
    <row r="5" customFormat="false" ht="42" hidden="false" customHeight="true" outlineLevel="0" collapsed="false">
      <c r="A5" s="16" t="s">
        <v>55</v>
      </c>
      <c r="B5" s="9" t="s">
        <v>322</v>
      </c>
      <c r="C5" s="11" t="s">
        <v>323</v>
      </c>
    </row>
    <row r="6" customFormat="false" ht="42" hidden="false" customHeight="true" outlineLevel="0" collapsed="false">
      <c r="A6" s="16" t="s">
        <v>55</v>
      </c>
      <c r="B6" s="9" t="s">
        <v>324</v>
      </c>
      <c r="C6" s="11" t="s">
        <v>325</v>
      </c>
    </row>
    <row r="7" customFormat="false" ht="42" hidden="false" customHeight="true" outlineLevel="0" collapsed="false">
      <c r="A7" s="16" t="s">
        <v>55</v>
      </c>
      <c r="B7" s="9" t="s">
        <v>326</v>
      </c>
      <c r="C7" s="11" t="s">
        <v>327</v>
      </c>
    </row>
    <row r="8" customFormat="false" ht="42" hidden="false" customHeight="true" outlineLevel="0" collapsed="false">
      <c r="A8" s="16" t="s">
        <v>55</v>
      </c>
      <c r="B8" s="9" t="s">
        <v>328</v>
      </c>
      <c r="C8" s="11" t="s">
        <v>329</v>
      </c>
    </row>
    <row r="9" customFormat="false" ht="42" hidden="false" customHeight="true" outlineLevel="0" collapsed="false">
      <c r="A9" s="16" t="s">
        <v>55</v>
      </c>
      <c r="B9" s="9" t="s">
        <v>330</v>
      </c>
      <c r="C9" s="11" t="s">
        <v>331</v>
      </c>
    </row>
    <row r="10" customFormat="false" ht="42" hidden="false" customHeight="true" outlineLevel="0" collapsed="false">
      <c r="A10" s="16" t="s">
        <v>55</v>
      </c>
      <c r="B10" s="9" t="s">
        <v>332</v>
      </c>
      <c r="C10" s="11" t="s">
        <v>333</v>
      </c>
    </row>
    <row r="11" customFormat="false" ht="42" hidden="false" customHeight="true" outlineLevel="0" collapsed="false">
      <c r="A11" s="16" t="s">
        <v>63</v>
      </c>
      <c r="B11" s="9" t="s">
        <v>320</v>
      </c>
      <c r="C11" s="11" t="s">
        <v>334</v>
      </c>
    </row>
    <row r="12" customFormat="false" ht="42" hidden="false" customHeight="true" outlineLevel="0" collapsed="false">
      <c r="A12" s="16" t="s">
        <v>63</v>
      </c>
      <c r="B12" s="9" t="s">
        <v>322</v>
      </c>
      <c r="C12" s="11" t="s">
        <v>335</v>
      </c>
    </row>
    <row r="13" customFormat="false" ht="42" hidden="false" customHeight="true" outlineLevel="0" collapsed="false">
      <c r="A13" s="16" t="s">
        <v>63</v>
      </c>
      <c r="B13" s="9" t="s">
        <v>324</v>
      </c>
      <c r="C13" s="11" t="s">
        <v>336</v>
      </c>
    </row>
    <row r="14" customFormat="false" ht="42" hidden="false" customHeight="true" outlineLevel="0" collapsed="false">
      <c r="A14" s="16" t="s">
        <v>63</v>
      </c>
      <c r="B14" s="9" t="s">
        <v>326</v>
      </c>
      <c r="C14" s="11" t="s">
        <v>337</v>
      </c>
    </row>
    <row r="15" customFormat="false" ht="42" hidden="false" customHeight="true" outlineLevel="0" collapsed="false">
      <c r="A15" s="16" t="s">
        <v>63</v>
      </c>
      <c r="B15" s="9" t="s">
        <v>328</v>
      </c>
      <c r="C15" s="11" t="s">
        <v>338</v>
      </c>
    </row>
    <row r="16" customFormat="false" ht="42" hidden="false" customHeight="true" outlineLevel="0" collapsed="false">
      <c r="A16" s="16" t="s">
        <v>63</v>
      </c>
      <c r="B16" s="9" t="s">
        <v>330</v>
      </c>
      <c r="C16" s="11" t="s">
        <v>339</v>
      </c>
    </row>
    <row r="17" customFormat="false" ht="42" hidden="false" customHeight="true" outlineLevel="0" collapsed="false">
      <c r="A17" s="16" t="s">
        <v>63</v>
      </c>
      <c r="B17" s="9" t="s">
        <v>332</v>
      </c>
      <c r="C17" s="11" t="s">
        <v>340</v>
      </c>
    </row>
    <row r="18" customFormat="false" ht="42" hidden="false" customHeight="true" outlineLevel="0" collapsed="false">
      <c r="A18" s="16" t="s">
        <v>69</v>
      </c>
      <c r="B18" s="9" t="s">
        <v>320</v>
      </c>
      <c r="C18" s="11" t="s">
        <v>341</v>
      </c>
    </row>
    <row r="19" customFormat="false" ht="42" hidden="false" customHeight="true" outlineLevel="0" collapsed="false">
      <c r="A19" s="16" t="s">
        <v>69</v>
      </c>
      <c r="B19" s="9" t="s">
        <v>322</v>
      </c>
      <c r="C19" s="11" t="s">
        <v>342</v>
      </c>
    </row>
    <row r="20" customFormat="false" ht="42" hidden="false" customHeight="true" outlineLevel="0" collapsed="false">
      <c r="A20" s="16" t="s">
        <v>69</v>
      </c>
      <c r="B20" s="9" t="s">
        <v>324</v>
      </c>
      <c r="C20" s="11" t="s">
        <v>343</v>
      </c>
    </row>
    <row r="21" customFormat="false" ht="42" hidden="false" customHeight="true" outlineLevel="0" collapsed="false">
      <c r="A21" s="16" t="s">
        <v>69</v>
      </c>
      <c r="B21" s="9" t="s">
        <v>326</v>
      </c>
      <c r="C21" s="11" t="s">
        <v>344</v>
      </c>
    </row>
    <row r="22" customFormat="false" ht="42" hidden="false" customHeight="true" outlineLevel="0" collapsed="false">
      <c r="A22" s="16" t="s">
        <v>69</v>
      </c>
      <c r="B22" s="9" t="s">
        <v>328</v>
      </c>
      <c r="C22" s="11" t="s">
        <v>345</v>
      </c>
    </row>
    <row r="23" customFormat="false" ht="42" hidden="false" customHeight="true" outlineLevel="0" collapsed="false">
      <c r="A23" s="16" t="s">
        <v>69</v>
      </c>
      <c r="B23" s="9" t="s">
        <v>330</v>
      </c>
      <c r="C23" s="11" t="s">
        <v>346</v>
      </c>
    </row>
    <row r="24" customFormat="false" ht="42" hidden="false" customHeight="true" outlineLevel="0" collapsed="false">
      <c r="A24" s="16" t="s">
        <v>69</v>
      </c>
      <c r="B24" s="9" t="s">
        <v>332</v>
      </c>
      <c r="C24" s="11" t="s">
        <v>347</v>
      </c>
    </row>
    <row r="26" customFormat="false" ht="15" hidden="false" customHeight="false" outlineLevel="0" collapsed="false">
      <c r="A26" s="28" t="s">
        <v>348</v>
      </c>
    </row>
    <row r="27" customFormat="false" ht="30" hidden="false" customHeight="true" outlineLevel="0" collapsed="false">
      <c r="A27" s="3" t="s">
        <v>43</v>
      </c>
      <c r="B27" s="3" t="s">
        <v>349</v>
      </c>
      <c r="C27" s="3" t="s">
        <v>227</v>
      </c>
    </row>
    <row r="28" customFormat="false" ht="15" hidden="false" customHeight="false" outlineLevel="0" collapsed="false">
      <c r="A28" s="16" t="s">
        <v>55</v>
      </c>
      <c r="B28" s="10" t="s">
        <v>350</v>
      </c>
      <c r="C28" s="26" t="n">
        <v>0.5</v>
      </c>
    </row>
    <row r="29" customFormat="false" ht="15" hidden="false" customHeight="false" outlineLevel="0" collapsed="false">
      <c r="A29" s="16" t="s">
        <v>55</v>
      </c>
      <c r="B29" s="10" t="s">
        <v>351</v>
      </c>
      <c r="C29" s="26" t="n">
        <v>0.2</v>
      </c>
    </row>
    <row r="30" customFormat="false" ht="15" hidden="false" customHeight="false" outlineLevel="0" collapsed="false">
      <c r="A30" s="16" t="s">
        <v>55</v>
      </c>
      <c r="B30" s="10" t="s">
        <v>352</v>
      </c>
      <c r="C30" s="26" t="n">
        <v>0.2</v>
      </c>
    </row>
    <row r="31" customFormat="false" ht="15" hidden="false" customHeight="false" outlineLevel="0" collapsed="false">
      <c r="A31" s="16" t="s">
        <v>55</v>
      </c>
      <c r="B31" s="10" t="s">
        <v>353</v>
      </c>
      <c r="C31" s="26" t="n">
        <v>0.1</v>
      </c>
    </row>
    <row r="32" customFormat="false" ht="15" hidden="false" customHeight="false" outlineLevel="0" collapsed="false">
      <c r="A32" s="20"/>
      <c r="B32" s="19" t="s">
        <v>354</v>
      </c>
      <c r="C32" s="25" t="n">
        <f aca="false">SUM(C28:C31)</f>
        <v>1</v>
      </c>
    </row>
    <row r="34" customFormat="false" ht="15" hidden="false" customHeight="false" outlineLevel="0" collapsed="false">
      <c r="A34" s="16" t="s">
        <v>63</v>
      </c>
      <c r="B34" s="10" t="s">
        <v>350</v>
      </c>
      <c r="C34" s="26" t="n">
        <v>0.5</v>
      </c>
    </row>
    <row r="35" customFormat="false" ht="15" hidden="false" customHeight="false" outlineLevel="0" collapsed="false">
      <c r="A35" s="16" t="s">
        <v>63</v>
      </c>
      <c r="B35" s="10" t="s">
        <v>351</v>
      </c>
      <c r="C35" s="26" t="n">
        <v>0.2</v>
      </c>
    </row>
    <row r="36" customFormat="false" ht="15" hidden="false" customHeight="false" outlineLevel="0" collapsed="false">
      <c r="A36" s="16" t="s">
        <v>63</v>
      </c>
      <c r="B36" s="10" t="s">
        <v>352</v>
      </c>
      <c r="C36" s="26" t="n">
        <v>0.2</v>
      </c>
    </row>
    <row r="37" customFormat="false" ht="15" hidden="false" customHeight="false" outlineLevel="0" collapsed="false">
      <c r="A37" s="16" t="s">
        <v>63</v>
      </c>
      <c r="B37" s="10" t="s">
        <v>353</v>
      </c>
      <c r="C37" s="26" t="n">
        <v>0.1</v>
      </c>
    </row>
    <row r="38" customFormat="false" ht="15" hidden="false" customHeight="false" outlineLevel="0" collapsed="false">
      <c r="A38" s="20"/>
      <c r="B38" s="19" t="s">
        <v>354</v>
      </c>
      <c r="C38" s="25" t="n">
        <f aca="false">SUM(C34:C37)</f>
        <v>1</v>
      </c>
    </row>
    <row r="40" customFormat="false" ht="15" hidden="false" customHeight="false" outlineLevel="0" collapsed="false">
      <c r="A40" s="16" t="s">
        <v>69</v>
      </c>
      <c r="B40" s="10" t="s">
        <v>350</v>
      </c>
      <c r="C40" s="26" t="n">
        <v>0.5</v>
      </c>
    </row>
    <row r="41" customFormat="false" ht="15" hidden="false" customHeight="false" outlineLevel="0" collapsed="false">
      <c r="A41" s="16" t="s">
        <v>69</v>
      </c>
      <c r="B41" s="10" t="s">
        <v>351</v>
      </c>
      <c r="C41" s="26" t="n">
        <v>0.2</v>
      </c>
    </row>
    <row r="42" customFormat="false" ht="15" hidden="false" customHeight="false" outlineLevel="0" collapsed="false">
      <c r="A42" s="16" t="s">
        <v>69</v>
      </c>
      <c r="B42" s="10" t="s">
        <v>352</v>
      </c>
      <c r="C42" s="26" t="n">
        <v>0.2</v>
      </c>
    </row>
    <row r="43" customFormat="false" ht="15" hidden="false" customHeight="false" outlineLevel="0" collapsed="false">
      <c r="A43" s="16" t="s">
        <v>69</v>
      </c>
      <c r="B43" s="10" t="s">
        <v>353</v>
      </c>
      <c r="C43" s="26" t="n">
        <v>0.1</v>
      </c>
    </row>
    <row r="44" customFormat="false" ht="15" hidden="false" customHeight="false" outlineLevel="0" collapsed="false">
      <c r="A44" s="20"/>
      <c r="B44" s="19" t="s">
        <v>354</v>
      </c>
      <c r="C44" s="25" t="n">
        <f aca="false">SUM(C40:C43)</f>
        <v>1</v>
      </c>
    </row>
    <row r="46" customFormat="false" ht="15" hidden="false" customHeight="false" outlineLevel="0" collapsed="false">
      <c r="A46" s="28" t="s">
        <v>355</v>
      </c>
    </row>
    <row r="47" customFormat="false" ht="30" hidden="false" customHeight="true" outlineLevel="0" collapsed="false">
      <c r="A47" s="3" t="s">
        <v>43</v>
      </c>
      <c r="B47" s="3" t="s">
        <v>356</v>
      </c>
      <c r="C47" s="3" t="s">
        <v>357</v>
      </c>
      <c r="D47" s="3" t="s">
        <v>358</v>
      </c>
      <c r="E47" s="3" t="s">
        <v>359</v>
      </c>
      <c r="F47" s="3" t="s">
        <v>360</v>
      </c>
      <c r="G47" s="3" t="s">
        <v>167</v>
      </c>
    </row>
    <row r="48" customFormat="false" ht="15" hidden="false" customHeight="false" outlineLevel="0" collapsed="false">
      <c r="A48" s="16" t="s">
        <v>55</v>
      </c>
      <c r="B48" s="11" t="s">
        <v>361</v>
      </c>
      <c r="C48" s="11" t="s">
        <v>362</v>
      </c>
      <c r="D48" s="12" t="s">
        <v>363</v>
      </c>
      <c r="E48" s="14" t="n">
        <v>0</v>
      </c>
      <c r="F48" s="26" t="n">
        <v>0.095</v>
      </c>
      <c r="G48" s="12" t="s">
        <v>364</v>
      </c>
    </row>
    <row r="49" customFormat="false" ht="15" hidden="false" customHeight="false" outlineLevel="0" collapsed="false">
      <c r="A49" s="16" t="s">
        <v>55</v>
      </c>
      <c r="B49" s="11" t="s">
        <v>365</v>
      </c>
      <c r="C49" s="11" t="s">
        <v>366</v>
      </c>
      <c r="D49" s="12" t="s">
        <v>367</v>
      </c>
      <c r="E49" s="14" t="n">
        <v>40000</v>
      </c>
      <c r="F49" s="26" t="n">
        <v>0</v>
      </c>
      <c r="G49" s="12" t="s">
        <v>368</v>
      </c>
    </row>
    <row r="50" customFormat="false" ht="15" hidden="false" customHeight="false" outlineLevel="0" collapsed="false">
      <c r="A50" s="16" t="s">
        <v>55</v>
      </c>
      <c r="B50" s="11" t="s">
        <v>369</v>
      </c>
      <c r="C50" s="11" t="s">
        <v>370</v>
      </c>
      <c r="D50" s="12" t="s">
        <v>371</v>
      </c>
      <c r="E50" s="14" t="n">
        <v>25000</v>
      </c>
      <c r="F50" s="26" t="n">
        <v>0</v>
      </c>
      <c r="G50" s="12" t="s">
        <v>368</v>
      </c>
    </row>
    <row r="51" customFormat="false" ht="15" hidden="false" customHeight="false" outlineLevel="0" collapsed="false">
      <c r="A51" s="16" t="s">
        <v>63</v>
      </c>
      <c r="B51" s="11" t="s">
        <v>365</v>
      </c>
      <c r="C51" s="11" t="s">
        <v>366</v>
      </c>
      <c r="D51" s="12" t="s">
        <v>367</v>
      </c>
      <c r="E51" s="14" t="n">
        <v>25000</v>
      </c>
      <c r="F51" s="26" t="n">
        <v>0</v>
      </c>
      <c r="G51" s="12" t="s">
        <v>368</v>
      </c>
    </row>
    <row r="52" customFormat="false" ht="15" hidden="false" customHeight="false" outlineLevel="0" collapsed="false">
      <c r="A52" s="16" t="s">
        <v>63</v>
      </c>
      <c r="B52" s="11" t="s">
        <v>372</v>
      </c>
      <c r="C52" s="11" t="s">
        <v>373</v>
      </c>
      <c r="D52" s="12" t="s">
        <v>371</v>
      </c>
      <c r="E52" s="14" t="n">
        <v>12000</v>
      </c>
      <c r="F52" s="26" t="n">
        <v>0</v>
      </c>
      <c r="G52" s="12" t="s">
        <v>368</v>
      </c>
    </row>
    <row r="53" customFormat="false" ht="15" hidden="false" customHeight="false" outlineLevel="0" collapsed="false">
      <c r="A53" s="16" t="s">
        <v>69</v>
      </c>
      <c r="B53" s="11" t="s">
        <v>374</v>
      </c>
      <c r="C53" s="11" t="s">
        <v>375</v>
      </c>
      <c r="D53" s="12" t="s">
        <v>367</v>
      </c>
      <c r="E53" s="14" t="n">
        <v>10000</v>
      </c>
      <c r="F53" s="26" t="n">
        <v>0</v>
      </c>
      <c r="G53" s="12" t="s">
        <v>368</v>
      </c>
    </row>
    <row r="54" customFormat="false" ht="15" hidden="false" customHeight="false" outlineLevel="0" collapsed="false">
      <c r="A54" s="16" t="s">
        <v>69</v>
      </c>
      <c r="B54" s="11" t="s">
        <v>376</v>
      </c>
      <c r="C54" s="11" t="s">
        <v>373</v>
      </c>
      <c r="D54" s="12" t="s">
        <v>371</v>
      </c>
      <c r="E54" s="14" t="n">
        <v>8000</v>
      </c>
      <c r="F54" s="26" t="n">
        <v>0</v>
      </c>
      <c r="G54" s="12" t="s">
        <v>368</v>
      </c>
    </row>
    <row r="55" customFormat="false" ht="15" hidden="false" customHeight="false" outlineLevel="0" collapsed="false">
      <c r="B55" s="19" t="s">
        <v>377</v>
      </c>
      <c r="E55" s="22" t="n">
        <f aca="false">SUM(E48:E54)</f>
        <v>120000</v>
      </c>
    </row>
    <row r="56" customFormat="false" ht="15" hidden="false" customHeight="false" outlineLevel="0" collapsed="false">
      <c r="B56" s="7" t="s">
        <v>378</v>
      </c>
      <c r="E56" s="24" t="n">
        <f aca="false">SUMIF(D48:D54,"التسويق",E48:E54)</f>
        <v>75000</v>
      </c>
    </row>
    <row r="57" customFormat="false" ht="15" hidden="false" customHeight="false" outlineLevel="0" collapsed="false">
      <c r="B57" s="7" t="s">
        <v>379</v>
      </c>
      <c r="E57" s="24" t="n">
        <f aca="false">E55-E56</f>
        <v>45000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F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17"/>
  </cols>
  <sheetData>
    <row r="1" customFormat="false" ht="24" hidden="false" customHeight="true" outlineLevel="0" collapsed="false">
      <c r="A1" s="1" t="s">
        <v>380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381</v>
      </c>
      <c r="B2" s="2"/>
      <c r="C2" s="2"/>
      <c r="D2" s="2"/>
      <c r="E2" s="2"/>
    </row>
    <row r="4" customFormat="false" ht="33.75" hidden="false" customHeight="true" outlineLevel="0" collapsed="false">
      <c r="A4" s="29" t="s">
        <v>349</v>
      </c>
      <c r="B4" s="29" t="s">
        <v>382</v>
      </c>
      <c r="C4" s="30" t="s">
        <v>383</v>
      </c>
      <c r="D4" s="30" t="s">
        <v>384</v>
      </c>
      <c r="E4" s="30" t="s">
        <v>385</v>
      </c>
      <c r="F4" s="29" t="s">
        <v>386</v>
      </c>
    </row>
    <row r="5" customFormat="false" ht="15" hidden="false" customHeight="false" outlineLevel="0" collapsed="false">
      <c r="A5" s="18" t="s">
        <v>387</v>
      </c>
      <c r="B5" s="31"/>
      <c r="C5" s="31"/>
      <c r="D5" s="31"/>
      <c r="E5" s="31"/>
      <c r="F5" s="31"/>
    </row>
    <row r="6" customFormat="false" ht="15" hidden="false" customHeight="false" outlineLevel="0" collapsed="false">
      <c r="A6" s="32" t="s">
        <v>388</v>
      </c>
      <c r="B6" s="33" t="s">
        <v>389</v>
      </c>
      <c r="C6" s="14" t="n">
        <v>3915547</v>
      </c>
      <c r="D6" s="14" t="n">
        <v>2914000</v>
      </c>
      <c r="E6" s="14" t="n">
        <v>955000</v>
      </c>
    </row>
    <row r="7" customFormat="false" ht="15" hidden="false" customHeight="false" outlineLevel="0" collapsed="false">
      <c r="A7" s="32" t="s">
        <v>390</v>
      </c>
      <c r="B7" s="33" t="s">
        <v>391</v>
      </c>
      <c r="C7" s="27" t="n">
        <v>0.15</v>
      </c>
      <c r="D7" s="27" t="n">
        <v>0.15</v>
      </c>
      <c r="E7" s="27" t="n">
        <v>0.15</v>
      </c>
    </row>
    <row r="8" customFormat="false" ht="15" hidden="false" customHeight="false" outlineLevel="0" collapsed="false">
      <c r="A8" s="7" t="s">
        <v>392</v>
      </c>
      <c r="B8" s="33" t="s">
        <v>393</v>
      </c>
      <c r="C8" s="34" t="n">
        <f aca="false">C6*C7</f>
        <v>587332.05</v>
      </c>
      <c r="D8" s="34" t="n">
        <f aca="false">D6*D7</f>
        <v>437100</v>
      </c>
      <c r="E8" s="34" t="n">
        <f aca="false">E6*E7</f>
        <v>143250</v>
      </c>
      <c r="F8" s="34" t="n">
        <f aca="false">C8+D8+E8</f>
        <v>1167682.05</v>
      </c>
    </row>
    <row r="9" customFormat="false" ht="15" hidden="false" customHeight="false" outlineLevel="0" collapsed="false">
      <c r="A9" s="18" t="s">
        <v>394</v>
      </c>
      <c r="B9" s="31"/>
      <c r="C9" s="31"/>
      <c r="D9" s="31"/>
      <c r="E9" s="31"/>
      <c r="F9" s="31"/>
    </row>
    <row r="10" customFormat="false" ht="15" hidden="false" customHeight="false" outlineLevel="0" collapsed="false">
      <c r="A10" s="32" t="s">
        <v>395</v>
      </c>
      <c r="B10" s="33" t="s">
        <v>396</v>
      </c>
      <c r="C10" s="14" t="n">
        <v>35</v>
      </c>
      <c r="D10" s="14" t="n">
        <v>20</v>
      </c>
      <c r="E10" s="14" t="n">
        <v>12</v>
      </c>
    </row>
    <row r="11" customFormat="false" ht="15" hidden="false" customHeight="false" outlineLevel="0" collapsed="false">
      <c r="A11" s="32" t="s">
        <v>397</v>
      </c>
      <c r="B11" s="33" t="s">
        <v>398</v>
      </c>
      <c r="C11" s="14" t="n">
        <v>90</v>
      </c>
      <c r="D11" s="14" t="n">
        <v>70</v>
      </c>
      <c r="E11" s="14" t="n">
        <v>60</v>
      </c>
    </row>
    <row r="12" customFormat="false" ht="15" hidden="false" customHeight="false" outlineLevel="0" collapsed="false">
      <c r="A12" s="32" t="s">
        <v>399</v>
      </c>
      <c r="B12" s="33" t="s">
        <v>393</v>
      </c>
      <c r="C12" s="14" t="n">
        <v>8000</v>
      </c>
      <c r="D12" s="14" t="n">
        <v>7000</v>
      </c>
      <c r="E12" s="14" t="n">
        <v>5000</v>
      </c>
    </row>
    <row r="13" customFormat="false" ht="15" hidden="false" customHeight="false" outlineLevel="0" collapsed="false">
      <c r="A13" s="32" t="s">
        <v>400</v>
      </c>
      <c r="B13" s="33" t="s">
        <v>393</v>
      </c>
      <c r="C13" s="14" t="n">
        <v>120000</v>
      </c>
      <c r="D13" s="14" t="n">
        <v>60000</v>
      </c>
      <c r="E13" s="14" t="n">
        <v>30000</v>
      </c>
    </row>
    <row r="14" customFormat="false" ht="15" hidden="false" customHeight="false" outlineLevel="0" collapsed="false">
      <c r="A14" s="7" t="s">
        <v>401</v>
      </c>
      <c r="B14" s="33" t="s">
        <v>393</v>
      </c>
      <c r="C14" s="34" t="n">
        <f aca="false">C10*C11/100*C12</f>
        <v>252000</v>
      </c>
      <c r="D14" s="34" t="n">
        <f aca="false">D10*D11/100*D12</f>
        <v>98000</v>
      </c>
      <c r="E14" s="34" t="n">
        <f aca="false">E10*E11/100*E12</f>
        <v>36000</v>
      </c>
      <c r="F14" s="34" t="n">
        <f aca="false">C14+D14+E14</f>
        <v>386000</v>
      </c>
    </row>
    <row r="15" customFormat="false" ht="15" hidden="false" customHeight="false" outlineLevel="0" collapsed="false">
      <c r="A15" s="7" t="s">
        <v>402</v>
      </c>
      <c r="B15" s="33" t="s">
        <v>393</v>
      </c>
      <c r="C15" s="34" t="n">
        <f aca="false">C14+C13</f>
        <v>372000</v>
      </c>
      <c r="D15" s="34" t="n">
        <f aca="false">D14+D13</f>
        <v>158000</v>
      </c>
      <c r="E15" s="34" t="n">
        <f aca="false">E14+E13</f>
        <v>66000</v>
      </c>
      <c r="F15" s="34" t="n">
        <f aca="false">C15+D15+E15</f>
        <v>596000</v>
      </c>
    </row>
    <row r="16" customFormat="false" ht="15" hidden="false" customHeight="false" outlineLevel="0" collapsed="false">
      <c r="A16" s="18" t="s">
        <v>403</v>
      </c>
      <c r="B16" s="31"/>
      <c r="C16" s="31"/>
      <c r="D16" s="31"/>
      <c r="E16" s="31"/>
      <c r="F16" s="31"/>
    </row>
    <row r="17" customFormat="false" ht="15" hidden="false" customHeight="false" outlineLevel="0" collapsed="false">
      <c r="A17" s="32" t="s">
        <v>404</v>
      </c>
      <c r="B17" s="33" t="s">
        <v>393</v>
      </c>
      <c r="C17" s="14" t="n">
        <v>120000</v>
      </c>
      <c r="D17" s="14" t="n">
        <v>90000</v>
      </c>
      <c r="E17" s="14" t="n">
        <v>60000</v>
      </c>
    </row>
    <row r="18" customFormat="false" ht="15" hidden="false" customHeight="false" outlineLevel="0" collapsed="false">
      <c r="A18" s="32" t="s">
        <v>405</v>
      </c>
      <c r="B18" s="33" t="s">
        <v>393</v>
      </c>
      <c r="C18" s="14" t="n">
        <v>80000</v>
      </c>
      <c r="D18" s="14" t="n">
        <v>60000</v>
      </c>
      <c r="E18" s="14" t="n">
        <v>35000</v>
      </c>
    </row>
    <row r="19" customFormat="false" ht="15" hidden="false" customHeight="false" outlineLevel="0" collapsed="false">
      <c r="A19" s="32" t="s">
        <v>406</v>
      </c>
      <c r="B19" s="33" t="s">
        <v>393</v>
      </c>
      <c r="C19" s="14" t="n">
        <v>40000</v>
      </c>
      <c r="D19" s="14" t="n">
        <v>30000</v>
      </c>
      <c r="E19" s="14" t="n">
        <v>20000</v>
      </c>
    </row>
    <row r="20" customFormat="false" ht="15" hidden="false" customHeight="false" outlineLevel="0" collapsed="false">
      <c r="A20" s="32" t="s">
        <v>407</v>
      </c>
      <c r="B20" s="33" t="s">
        <v>393</v>
      </c>
      <c r="C20" s="14" t="n">
        <v>40000</v>
      </c>
      <c r="D20" s="14" t="n">
        <v>25000</v>
      </c>
      <c r="E20" s="14" t="n">
        <v>15000</v>
      </c>
    </row>
    <row r="21" customFormat="false" ht="15" hidden="false" customHeight="false" outlineLevel="0" collapsed="false">
      <c r="A21" s="7" t="s">
        <v>408</v>
      </c>
      <c r="B21" s="33" t="s">
        <v>393</v>
      </c>
      <c r="C21" s="34" t="n">
        <f aca="false">SUM(C17:C20)</f>
        <v>280000</v>
      </c>
      <c r="D21" s="34" t="n">
        <f aca="false">SUM(D17:D20)</f>
        <v>205000</v>
      </c>
      <c r="E21" s="34" t="n">
        <f aca="false">SUM(E17:E20)</f>
        <v>130000</v>
      </c>
      <c r="F21" s="34" t="n">
        <f aca="false">C21+D21+E21</f>
        <v>615000</v>
      </c>
    </row>
    <row r="22" customFormat="false" ht="15" hidden="false" customHeight="false" outlineLevel="0" collapsed="false">
      <c r="A22" s="18" t="s">
        <v>409</v>
      </c>
      <c r="B22" s="31"/>
      <c r="C22" s="31"/>
      <c r="D22" s="31"/>
      <c r="E22" s="31"/>
      <c r="F22" s="31"/>
    </row>
    <row r="23" customFormat="false" ht="15" hidden="false" customHeight="false" outlineLevel="0" collapsed="false">
      <c r="A23" s="32" t="s">
        <v>52</v>
      </c>
      <c r="B23" s="33" t="s">
        <v>410</v>
      </c>
      <c r="C23" s="14" t="n">
        <v>30</v>
      </c>
      <c r="D23" s="14" t="n">
        <v>18</v>
      </c>
      <c r="E23" s="14" t="n">
        <v>10</v>
      </c>
    </row>
    <row r="24" customFormat="false" ht="15" hidden="false" customHeight="false" outlineLevel="0" collapsed="false">
      <c r="A24" s="32" t="s">
        <v>411</v>
      </c>
      <c r="B24" s="33" t="s">
        <v>412</v>
      </c>
      <c r="C24" s="14" t="n">
        <v>300000</v>
      </c>
      <c r="D24" s="14" t="n">
        <v>180000</v>
      </c>
      <c r="E24" s="14" t="n">
        <v>90000</v>
      </c>
    </row>
    <row r="25" customFormat="false" ht="15" hidden="false" customHeight="false" outlineLevel="0" collapsed="false">
      <c r="A25" s="32" t="s">
        <v>50</v>
      </c>
      <c r="B25" s="33" t="s">
        <v>413</v>
      </c>
      <c r="C25" s="14" t="n">
        <v>20</v>
      </c>
      <c r="D25" s="14" t="n">
        <v>12</v>
      </c>
      <c r="E25" s="14" t="n">
        <v>6</v>
      </c>
    </row>
    <row r="26" customFormat="false" ht="15" hidden="false" customHeight="false" outlineLevel="0" collapsed="false">
      <c r="A26" s="32" t="s">
        <v>414</v>
      </c>
      <c r="B26" s="33" t="s">
        <v>415</v>
      </c>
      <c r="C26" s="14" t="n">
        <v>127775</v>
      </c>
      <c r="D26" s="14" t="n">
        <v>106830</v>
      </c>
      <c r="E26" s="14" t="n">
        <v>49290</v>
      </c>
    </row>
    <row r="27" customFormat="false" ht="15" hidden="false" customHeight="false" outlineLevel="0" collapsed="false">
      <c r="A27" s="18" t="s">
        <v>416</v>
      </c>
      <c r="B27" s="31"/>
      <c r="C27" s="31"/>
      <c r="D27" s="31"/>
      <c r="E27" s="31"/>
      <c r="F27" s="31"/>
    </row>
    <row r="28" customFormat="false" ht="15" hidden="false" customHeight="false" outlineLevel="0" collapsed="false">
      <c r="A28" s="7" t="s">
        <v>417</v>
      </c>
      <c r="B28" s="33" t="s">
        <v>393</v>
      </c>
      <c r="C28" s="34" t="n">
        <f aca="false">C8+C15</f>
        <v>959332.05</v>
      </c>
      <c r="D28" s="34" t="n">
        <f aca="false">D8+D15</f>
        <v>595100</v>
      </c>
      <c r="E28" s="34" t="n">
        <f aca="false">E8+E15</f>
        <v>209250</v>
      </c>
      <c r="F28" s="34" t="n">
        <f aca="false">C28+D28+E28</f>
        <v>1763682.05</v>
      </c>
    </row>
    <row r="29" customFormat="false" ht="15" hidden="false" customHeight="false" outlineLevel="0" collapsed="false">
      <c r="A29" s="19" t="s">
        <v>418</v>
      </c>
      <c r="B29" s="35" t="s">
        <v>393</v>
      </c>
      <c r="C29" s="22" t="n">
        <f aca="false">C28-C21</f>
        <v>679332.05</v>
      </c>
      <c r="D29" s="22" t="n">
        <f aca="false">D28-D21</f>
        <v>390100</v>
      </c>
      <c r="E29" s="22" t="n">
        <f aca="false">E28-E21</f>
        <v>79250</v>
      </c>
      <c r="F29" s="22" t="n">
        <f aca="false">C29+D29+E29</f>
        <v>1148682.05</v>
      </c>
    </row>
    <row r="30" customFormat="false" ht="15" hidden="false" customHeight="false" outlineLevel="0" collapsed="false">
      <c r="A30" s="7" t="s">
        <v>419</v>
      </c>
      <c r="B30" s="33" t="s">
        <v>393</v>
      </c>
      <c r="C30" s="36" t="n">
        <f aca="false">IFERROR(C29/C26,"")</f>
        <v>5.31662727450597</v>
      </c>
      <c r="D30" s="36" t="n">
        <f aca="false">IFERROR(D29/D26,"")</f>
        <v>3.65159599363475</v>
      </c>
      <c r="E30" s="36" t="n">
        <f aca="false">IFERROR(E29/E26,"")</f>
        <v>1.60783120308379</v>
      </c>
      <c r="F30" s="36" t="n">
        <f aca="false">IFERROR(F29/(C26+D26+E26),"")</f>
        <v>4.0461510417584</v>
      </c>
    </row>
    <row r="31" customFormat="false" ht="15" hidden="false" customHeight="false" outlineLevel="0" collapsed="false">
      <c r="A31" s="32" t="s">
        <v>420</v>
      </c>
      <c r="B31" s="33" t="s">
        <v>393</v>
      </c>
      <c r="C31" s="37" t="n">
        <f aca="false">IFERROR(C21/C6,"")</f>
        <v>0.0715098043772684</v>
      </c>
      <c r="D31" s="37" t="n">
        <f aca="false">IFERROR(D21/D6,"")</f>
        <v>0.0703500343170899</v>
      </c>
      <c r="E31" s="37" t="n">
        <f aca="false">IFERROR(E21/E6,"")</f>
        <v>0.136125654450262</v>
      </c>
      <c r="F31" s="32"/>
    </row>
    <row r="32" customFormat="false" ht="15" hidden="false" customHeight="false" outlineLevel="0" collapsed="false">
      <c r="A32" s="32" t="s">
        <v>421</v>
      </c>
      <c r="B32" s="33" t="s">
        <v>393</v>
      </c>
      <c r="C32" s="24" t="n">
        <f aca="false">IFERROR(C17/C23,"")</f>
        <v>4000</v>
      </c>
      <c r="D32" s="24" t="n">
        <f aca="false">IFERROR(D17/D23,"")</f>
        <v>5000</v>
      </c>
      <c r="E32" s="24" t="n">
        <f aca="false">IFERROR(E17/E23,"")</f>
        <v>6000</v>
      </c>
      <c r="F32" s="32"/>
    </row>
    <row r="33" customFormat="false" ht="15" hidden="false" customHeight="false" outlineLevel="0" collapsed="false">
      <c r="A33" s="32" t="s">
        <v>422</v>
      </c>
      <c r="B33" s="33" t="s">
        <v>398</v>
      </c>
      <c r="C33" s="23" t="n">
        <f aca="false">IFERROR(C15/C21,"")</f>
        <v>1.32857142857143</v>
      </c>
      <c r="D33" s="23" t="n">
        <f aca="false">IFERROR(D15/D21,"")</f>
        <v>0.770731707317073</v>
      </c>
      <c r="E33" s="23" t="n">
        <f aca="false">IFERROR(E15/E21,"")</f>
        <v>0.507692307692308</v>
      </c>
      <c r="F33" s="32"/>
    </row>
    <row r="34" customFormat="false" ht="15" hidden="false" customHeight="false" outlineLevel="0" collapsed="false">
      <c r="A34" s="32" t="s">
        <v>423</v>
      </c>
      <c r="B34" s="33" t="s">
        <v>424</v>
      </c>
      <c r="C34" s="38" t="n">
        <f aca="false">IFERROR(C24/(C6/30),"")</f>
        <v>2.2985294264122</v>
      </c>
      <c r="D34" s="38" t="n">
        <f aca="false">IFERROR(D24/(D6/30),"")</f>
        <v>1.85312285518188</v>
      </c>
      <c r="E34" s="38" t="n">
        <f aca="false">IFERROR(E24/(E6/30),"")</f>
        <v>2.82722513089005</v>
      </c>
      <c r="F34" s="32"/>
    </row>
    <row r="35" customFormat="false" ht="15" hidden="false" customHeight="false" outlineLevel="0" collapsed="false">
      <c r="A35" s="32" t="s">
        <v>425</v>
      </c>
      <c r="B35" s="33" t="s">
        <v>389</v>
      </c>
      <c r="C35" s="24" t="n">
        <f aca="false">IFERROR(C6/C25,"")</f>
        <v>195777.35</v>
      </c>
      <c r="D35" s="24" t="n">
        <f aca="false">IFERROR(D6/D25,"")</f>
        <v>242833.333333333</v>
      </c>
      <c r="E35" s="24" t="n">
        <f aca="false">IFERROR(E6/E25,"")</f>
        <v>159166.666666667</v>
      </c>
      <c r="F35" s="32"/>
    </row>
    <row r="36" customFormat="false" ht="15" hidden="false" customHeight="false" outlineLevel="0" collapsed="false">
      <c r="A36" s="32" t="s">
        <v>426</v>
      </c>
      <c r="B36" s="33" t="s">
        <v>412</v>
      </c>
      <c r="C36" s="24" t="n">
        <f aca="false">IFERROR(MAX(0,C21-C15)/C7,"")</f>
        <v>0</v>
      </c>
      <c r="D36" s="24" t="n">
        <f aca="false">IFERROR(MAX(0,D21-D15)/D7,"")</f>
        <v>313333.333333333</v>
      </c>
      <c r="E36" s="24" t="n">
        <f aca="false">IFERROR(MAX(0,E21-E15)/E7,"")</f>
        <v>426666.666666667</v>
      </c>
      <c r="F36" s="32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H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24" hidden="false" customHeight="true" outlineLevel="0" collapsed="false">
      <c r="A1" s="1" t="s">
        <v>427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428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43</v>
      </c>
      <c r="B4" s="3" t="s">
        <v>429</v>
      </c>
      <c r="C4" s="3" t="s">
        <v>53</v>
      </c>
      <c r="D4" s="3" t="s">
        <v>430</v>
      </c>
      <c r="E4" s="3" t="s">
        <v>431</v>
      </c>
      <c r="F4" s="3" t="s">
        <v>432</v>
      </c>
      <c r="G4" s="3" t="s">
        <v>433</v>
      </c>
      <c r="H4" s="3" t="s">
        <v>434</v>
      </c>
    </row>
    <row r="5" customFormat="false" ht="15" hidden="false" customHeight="false" outlineLevel="0" collapsed="false">
      <c r="A5" s="16" t="s">
        <v>55</v>
      </c>
      <c r="B5" s="10" t="s">
        <v>56</v>
      </c>
      <c r="C5" s="39" t="n">
        <f aca="false">'النموذج المالي'!C26</f>
        <v>127775</v>
      </c>
      <c r="D5" s="40" t="n">
        <f aca="false">'النموذج المالي'!C30</f>
        <v>5.31662727450597</v>
      </c>
      <c r="E5" s="26" t="n">
        <v>0.006</v>
      </c>
      <c r="F5" s="26" t="n">
        <v>0.05</v>
      </c>
      <c r="G5" s="41" t="n">
        <f aca="false">IFERROR('النموذج المالي'!C15/'النموذج المالي'!C21,"")</f>
        <v>1.32857142857143</v>
      </c>
      <c r="H5" s="39" t="n">
        <f aca="false">'النموذج المالي'!C29</f>
        <v>679332.05</v>
      </c>
    </row>
    <row r="6" customFormat="false" ht="15" hidden="false" customHeight="false" outlineLevel="0" collapsed="false">
      <c r="A6" s="16" t="s">
        <v>63</v>
      </c>
      <c r="B6" s="10" t="s">
        <v>64</v>
      </c>
      <c r="C6" s="39" t="n">
        <f aca="false">'النموذج المالي'!D26</f>
        <v>106830</v>
      </c>
      <c r="D6" s="40" t="n">
        <f aca="false">'النموذج المالي'!D30</f>
        <v>3.65159599363475</v>
      </c>
      <c r="E6" s="26" t="n">
        <v>0.005</v>
      </c>
      <c r="F6" s="26" t="n">
        <v>0.05</v>
      </c>
      <c r="G6" s="41" t="n">
        <f aca="false">IFERROR('النموذج المالي'!D15/'النموذج المالي'!D21,"")</f>
        <v>0.770731707317073</v>
      </c>
      <c r="H6" s="39" t="n">
        <f aca="false">'النموذج المالي'!D29</f>
        <v>390100</v>
      </c>
    </row>
    <row r="7" customFormat="false" ht="15" hidden="false" customHeight="false" outlineLevel="0" collapsed="false">
      <c r="A7" s="16" t="s">
        <v>69</v>
      </c>
      <c r="B7" s="10" t="s">
        <v>70</v>
      </c>
      <c r="C7" s="39" t="n">
        <f aca="false">'النموذج المالي'!E26</f>
        <v>49290</v>
      </c>
      <c r="D7" s="40" t="n">
        <f aca="false">'النموذج المالي'!E30</f>
        <v>1.60783120308379</v>
      </c>
      <c r="E7" s="26" t="n">
        <v>0.003</v>
      </c>
      <c r="F7" s="26" t="n">
        <v>0.05</v>
      </c>
      <c r="G7" s="41" t="n">
        <f aca="false">IFERROR('النموذج المالي'!E15/'النموذج المالي'!E21,"")</f>
        <v>0.507692307692308</v>
      </c>
      <c r="H7" s="39" t="n">
        <f aca="false">'النموذج المالي'!E29</f>
        <v>79250</v>
      </c>
    </row>
    <row r="8" customFormat="false" ht="15" hidden="false" customHeight="false" outlineLevel="0" collapsed="false">
      <c r="A8" s="20"/>
      <c r="B8" s="19" t="s">
        <v>386</v>
      </c>
      <c r="C8" s="22" t="n">
        <f aca="false">SUM(C5:C7)</f>
        <v>283895</v>
      </c>
      <c r="D8" s="42" t="n">
        <f aca="false">IFERROR(H8/C8,"")</f>
        <v>4.0461510417584</v>
      </c>
      <c r="E8" s="20"/>
      <c r="F8" s="20"/>
      <c r="G8" s="20"/>
      <c r="H8" s="22" t="n">
        <f aca="false">SUM(H5:H7)</f>
        <v>1148682.05</v>
      </c>
    </row>
    <row r="10" customFormat="false" ht="15" hidden="false" customHeight="false" outlineLevel="0" collapsed="false">
      <c r="A10" s="7" t="s">
        <v>435</v>
      </c>
      <c r="B10" s="7"/>
      <c r="C10" s="43" t="n">
        <f aca="false">C8</f>
        <v>283895</v>
      </c>
      <c r="D10" s="44" t="s">
        <v>436</v>
      </c>
    </row>
  </sheetData>
  <mergeCells count="3">
    <mergeCell ref="A1:G1"/>
    <mergeCell ref="A2:G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A2B"/>
    <pageSetUpPr fitToPage="false"/>
  </sheetPr>
  <dimension ref="A1:F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8" topLeftCell="A2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437</v>
      </c>
      <c r="B1" s="1"/>
      <c r="C1" s="1"/>
      <c r="D1" s="1"/>
    </row>
    <row r="3" customFormat="false" ht="27.75" hidden="false" customHeight="true" outlineLevel="0" collapsed="false">
      <c r="A3" s="45" t="s">
        <v>438</v>
      </c>
      <c r="B3" s="45"/>
      <c r="C3" s="45"/>
      <c r="D3" s="45"/>
    </row>
    <row r="4" customFormat="false" ht="30" hidden="false" customHeight="true" outlineLevel="0" collapsed="false">
      <c r="A4" s="5" t="s">
        <v>439</v>
      </c>
      <c r="B4" s="5"/>
      <c r="C4" s="5"/>
      <c r="D4" s="5"/>
    </row>
    <row r="6" customFormat="false" ht="15" hidden="false" customHeight="false" outlineLevel="0" collapsed="false">
      <c r="A6" s="28" t="s">
        <v>440</v>
      </c>
    </row>
    <row r="7" customFormat="false" ht="30" hidden="false" customHeight="true" outlineLevel="0" collapsed="false">
      <c r="A7" s="3" t="s">
        <v>441</v>
      </c>
      <c r="B7" s="3" t="s">
        <v>442</v>
      </c>
    </row>
    <row r="8" customFormat="false" ht="31.5" hidden="false" customHeight="true" outlineLevel="0" collapsed="false">
      <c r="A8" s="4" t="s">
        <v>443</v>
      </c>
      <c r="B8" s="11" t="s">
        <v>444</v>
      </c>
    </row>
    <row r="9" customFormat="false" ht="31.5" hidden="false" customHeight="true" outlineLevel="0" collapsed="false">
      <c r="A9" s="4" t="s">
        <v>445</v>
      </c>
      <c r="B9" s="11" t="s">
        <v>446</v>
      </c>
    </row>
    <row r="10" customFormat="false" ht="31.5" hidden="false" customHeight="true" outlineLevel="0" collapsed="false">
      <c r="A10" s="4" t="s">
        <v>447</v>
      </c>
      <c r="B10" s="11" t="s">
        <v>448</v>
      </c>
    </row>
    <row r="12" customFormat="false" ht="15" hidden="false" customHeight="false" outlineLevel="0" collapsed="false">
      <c r="A12" s="28" t="s">
        <v>449</v>
      </c>
    </row>
    <row r="13" customFormat="false" ht="30" hidden="false" customHeight="true" outlineLevel="0" collapsed="false">
      <c r="A13" s="3" t="s">
        <v>450</v>
      </c>
      <c r="B13" s="3" t="s">
        <v>451</v>
      </c>
      <c r="C13" s="3" t="s">
        <v>452</v>
      </c>
    </row>
    <row r="14" customFormat="false" ht="15" hidden="false" customHeight="false" outlineLevel="0" collapsed="false">
      <c r="A14" s="16" t="n">
        <v>1</v>
      </c>
      <c r="B14" s="7" t="s">
        <v>453</v>
      </c>
      <c r="C14" s="11" t="s">
        <v>454</v>
      </c>
    </row>
    <row r="15" customFormat="false" ht="15" hidden="false" customHeight="false" outlineLevel="0" collapsed="false">
      <c r="A15" s="16" t="n">
        <v>2</v>
      </c>
      <c r="B15" s="7" t="s">
        <v>455</v>
      </c>
      <c r="C15" s="11" t="s">
        <v>456</v>
      </c>
    </row>
    <row r="16" customFormat="false" ht="15" hidden="false" customHeight="false" outlineLevel="0" collapsed="false">
      <c r="A16" s="16" t="n">
        <v>3</v>
      </c>
      <c r="B16" s="7" t="s">
        <v>457</v>
      </c>
      <c r="C16" s="11" t="s">
        <v>458</v>
      </c>
    </row>
    <row r="17" customFormat="false" ht="15" hidden="false" customHeight="false" outlineLevel="0" collapsed="false">
      <c r="A17" s="16" t="n">
        <v>4</v>
      </c>
      <c r="B17" s="7" t="s">
        <v>459</v>
      </c>
      <c r="C17" s="11" t="s">
        <v>460</v>
      </c>
    </row>
    <row r="18" customFormat="false" ht="15" hidden="false" customHeight="false" outlineLevel="0" collapsed="false">
      <c r="A18" s="16" t="n">
        <v>5</v>
      </c>
      <c r="B18" s="7" t="s">
        <v>461</v>
      </c>
      <c r="C18" s="11" t="s">
        <v>462</v>
      </c>
    </row>
    <row r="20" customFormat="false" ht="15" hidden="false" customHeight="false" outlineLevel="0" collapsed="false">
      <c r="A20" s="28" t="s">
        <v>463</v>
      </c>
    </row>
    <row r="21" customFormat="false" ht="30" hidden="false" customHeight="true" outlineLevel="0" collapsed="false">
      <c r="A21" s="3" t="s">
        <v>464</v>
      </c>
      <c r="B21" s="3" t="s">
        <v>465</v>
      </c>
    </row>
    <row r="22" customFormat="false" ht="31.5" hidden="false" customHeight="true" outlineLevel="0" collapsed="false">
      <c r="A22" s="46" t="s">
        <v>466</v>
      </c>
      <c r="B22" s="47" t="s">
        <v>467</v>
      </c>
    </row>
    <row r="23" customFormat="false" ht="31.5" hidden="false" customHeight="true" outlineLevel="0" collapsed="false">
      <c r="A23" s="46" t="s">
        <v>468</v>
      </c>
      <c r="B23" s="47" t="s">
        <v>469</v>
      </c>
    </row>
    <row r="24" customFormat="false" ht="31.5" hidden="false" customHeight="true" outlineLevel="0" collapsed="false">
      <c r="A24" s="46" t="s">
        <v>470</v>
      </c>
      <c r="B24" s="47" t="s">
        <v>471</v>
      </c>
    </row>
    <row r="25" customFormat="false" ht="31.5" hidden="false" customHeight="true" outlineLevel="0" collapsed="false">
      <c r="A25" s="46" t="s">
        <v>472</v>
      </c>
      <c r="B25" s="47" t="s">
        <v>473</v>
      </c>
    </row>
    <row r="27" customFormat="false" ht="15" hidden="false" customHeight="false" outlineLevel="0" collapsed="false">
      <c r="A27" s="28" t="s">
        <v>474</v>
      </c>
    </row>
    <row r="28" customFormat="false" ht="30" hidden="false" customHeight="true" outlineLevel="0" collapsed="false">
      <c r="A28" s="3" t="s">
        <v>451</v>
      </c>
      <c r="B28" s="3" t="s">
        <v>475</v>
      </c>
      <c r="C28" s="3" t="s">
        <v>476</v>
      </c>
      <c r="D28" s="3" t="s">
        <v>477</v>
      </c>
      <c r="E28" s="3" t="s">
        <v>478</v>
      </c>
      <c r="F28" s="3" t="s">
        <v>167</v>
      </c>
    </row>
    <row r="29" customFormat="false" ht="39.75" hidden="false" customHeight="true" outlineLevel="0" collapsed="false">
      <c r="A29" s="48" t="s">
        <v>479</v>
      </c>
      <c r="B29" s="7" t="s">
        <v>480</v>
      </c>
      <c r="C29" s="11" t="s">
        <v>481</v>
      </c>
      <c r="D29" s="6" t="s">
        <v>482</v>
      </c>
      <c r="E29" s="49"/>
      <c r="F29" s="50"/>
    </row>
    <row r="30" customFormat="false" ht="39.75" hidden="false" customHeight="true" outlineLevel="0" collapsed="false">
      <c r="A30" s="48" t="s">
        <v>483</v>
      </c>
      <c r="B30" s="7" t="s">
        <v>484</v>
      </c>
      <c r="C30" s="11" t="s">
        <v>485</v>
      </c>
      <c r="D30" s="6" t="s">
        <v>486</v>
      </c>
      <c r="E30" s="49"/>
      <c r="F30" s="50"/>
    </row>
    <row r="31" customFormat="false" ht="39.75" hidden="false" customHeight="true" outlineLevel="0" collapsed="false">
      <c r="A31" s="48" t="s">
        <v>487</v>
      </c>
      <c r="B31" s="7" t="s">
        <v>488</v>
      </c>
      <c r="C31" s="11" t="s">
        <v>489</v>
      </c>
      <c r="D31" s="6" t="s">
        <v>490</v>
      </c>
      <c r="E31" s="49"/>
      <c r="F31" s="50"/>
    </row>
    <row r="33" customFormat="false" ht="15" hidden="false" customHeight="false" outlineLevel="0" collapsed="false">
      <c r="A33" s="51" t="s">
        <v>491</v>
      </c>
    </row>
  </sheetData>
  <mergeCells count="3">
    <mergeCell ref="A1:D1"/>
    <mergeCell ref="A3:D3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2026-07-25T18:16:59Z</dcterms:created>
  <dc:creator>openpyxl</dc:creator>
  <dc:description/>
  <dc:language>en-US</dc:language>
  <cp:lastModifiedBy/>
  <dcterms:modified xsi:type="dcterms:W3CDTF">2026-07-25T18:16:59Z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