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الإطار" sheetId="1" state="visible" r:id="rId1"/>
    <sheet xmlns:r="http://schemas.openxmlformats.org/officeDocument/2006/relationships" name="الأداء المالي — يوليو ٢٠٢٦" sheetId="2" state="visible" r:id="rId2"/>
    <sheet xmlns:r="http://schemas.openxmlformats.org/officeDocument/2006/relationships" name="وقود · أفراد" sheetId="3" state="visible" r:id="rId3"/>
    <sheet xmlns:r="http://schemas.openxmlformats.org/officeDocument/2006/relationships" name="المنافسون" sheetId="4" state="visible" r:id="rId4"/>
    <sheet xmlns:r="http://schemas.openxmlformats.org/officeDocument/2006/relationships" name="السيطرة الميدانية" sheetId="5" state="visible" r:id="rId5"/>
    <sheet xmlns:r="http://schemas.openxmlformats.org/officeDocument/2006/relationships" name="وقود · شركات" sheetId="6" state="visible" r:id="rId6"/>
    <sheet xmlns:r="http://schemas.openxmlformats.org/officeDocument/2006/relationships" name="العقار والتأجير" sheetId="7" state="visible" r:id="rId7"/>
    <sheet xmlns:r="http://schemas.openxmlformats.org/officeDocument/2006/relationships" name="الإكسسوارات" sheetId="8" state="visible" r:id="rId8"/>
    <sheet xmlns:r="http://schemas.openxmlformats.org/officeDocument/2006/relationships" name="تكلفة اللتر" sheetId="9" state="visible" r:id="rId9"/>
    <sheet xmlns:r="http://schemas.openxmlformats.org/officeDocument/2006/relationships" name="تجريبي — ثلاث محطات" sheetId="10" state="visible" r:id="rId10"/>
    <sheet xmlns:r="http://schemas.openxmlformats.org/officeDocument/2006/relationships" name="تشخيص فقدان الحركة" sheetId="11" state="visible" r:id="rId11"/>
    <sheet xmlns:r="http://schemas.openxmlformats.org/officeDocument/2006/relationships" name="نموذج العامل" sheetId="12" state="visible" r:id="rId12"/>
    <sheet xmlns:r="http://schemas.openxmlformats.org/officeDocument/2006/relationships" name="مطابقة الوردية مع الطلب" sheetId="13" state="visible" r:id="rId13"/>
    <sheet xmlns:r="http://schemas.openxmlformats.org/officeDocument/2006/relationships" name="تجربة الشرايع" sheetId="14" state="visible" r:id="rId14"/>
    <sheet xmlns:r="http://schemas.openxmlformats.org/officeDocument/2006/relationships" name="البيانات" sheetId="15" state="visible" r:id="rId15"/>
    <sheet xmlns:r="http://schemas.openxmlformats.org/officeDocument/2006/relationships" name="بيانات الورديات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8">
    <numFmt numFmtId="164" formatCode="#,##0&quot; م&quot;"/>
    <numFmt numFmtId="165" formatCode="0.0"/>
    <numFmt numFmtId="166" formatCode="\+0.0;\-0.0"/>
    <numFmt numFmtId="167" formatCode="\+0%;\-0%"/>
    <numFmt numFmtId="168" formatCode="0;;\—"/>
    <numFmt numFmtId="169" formatCode="0.0000"/>
    <numFmt numFmtId="170" formatCode="0.0%"/>
    <numFmt numFmtId="171" formatCode="\+#,##0;\-#,##0"/>
    <numFmt numFmtId="172" formatCode="\+0.00;\-0.00"/>
    <numFmt numFmtId="173" formatCode="#,##0.##"/>
    <numFmt numFmtId="174" formatCode="\+#,##0.##;\-#,##0.##"/>
    <numFmt numFmtId="175" formatCode="\+0.0%;\-0.0%"/>
    <numFmt numFmtId="176" formatCode="0.00;\-0.00;&quot;&quot;"/>
    <numFmt numFmtId="177" formatCode="#,##0;;&quot;&quot;"/>
    <numFmt numFmtId="178" formatCode="0;;&quot;&quot;"/>
    <numFmt numFmtId="179" formatCode="0.0%;;&quot;&quot;"/>
    <numFmt numFmtId="180" formatCode="\+0.0%;\-0.0%;\—"/>
    <numFmt numFmtId="181" formatCode="+0.0;-0.0"/>
    <numFmt numFmtId="182" formatCode="+0%;-0%"/>
    <numFmt numFmtId="183" formatCode="0;;&quot;—&quot;"/>
    <numFmt numFmtId="184" formatCode="0.00;-0.00;&quot;&quot;"/>
    <numFmt numFmtId="185" formatCode="+#,##0;-#,##0"/>
    <numFmt numFmtId="186" formatCode="+0.0%;-0.0%"/>
    <numFmt numFmtId="187" formatCode="#,##0;(#,##0)"/>
    <numFmt numFmtId="188" formatCode="+#,##0;(#,##0)"/>
    <numFmt numFmtId="189" formatCode="#,##0.0"/>
    <numFmt numFmtId="190" formatCode="(#,##0)"/>
    <numFmt numFmtId="191" formatCode="0.00;;&quot;&quot;"/>
  </numFmts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color rgb="FF44546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C00000"/>
      <sz val="10"/>
    </font>
    <font>
      <name val="DIN Next Arabic"/>
      <charset val="1"/>
      <family val="0"/>
      <b val="1"/>
      <color rgb="FF55565A"/>
      <sz val="16"/>
    </font>
    <font>
      <name val="DIN Next Arabic"/>
      <charset val="1"/>
      <family val="0"/>
      <color rgb="FF6E6A64"/>
      <sz val="10"/>
    </font>
    <font>
      <name val="DIN Next Arabic"/>
      <charset val="1"/>
      <family val="0"/>
      <b val="1"/>
      <color rgb="FFFFFFFF"/>
      <sz val="10"/>
    </font>
    <font>
      <name val="DIN Next Arabic"/>
      <charset val="1"/>
      <family val="0"/>
      <color rgb="FF3D3D3D"/>
      <sz val="10"/>
    </font>
    <font>
      <name val="DIN Next Arabic"/>
      <charset val="1"/>
      <family val="0"/>
      <b val="1"/>
      <color rgb="FF3D3D3D"/>
      <sz val="10"/>
    </font>
    <font>
      <name val="DIN Next Arabic"/>
      <charset val="1"/>
      <family val="0"/>
      <b val="1"/>
      <color rgb="FF9A3E2C"/>
      <sz val="10"/>
    </font>
    <font>
      <name val="DIN Next Arabic"/>
      <charset val="1"/>
      <family val="0"/>
      <b val="1"/>
      <color rgb="FF55565A"/>
      <sz val="10"/>
    </font>
    <font>
      <name val="DIN Next Arabic"/>
      <charset val="1"/>
      <family val="0"/>
      <sz val="10"/>
    </font>
    <font>
      <name val="DIN Next Arabic"/>
      <charset val="1"/>
      <family val="0"/>
      <b val="1"/>
      <color rgb="FFC00000"/>
      <sz val="10"/>
    </font>
    <font>
      <name val="DIN Next Arabic"/>
      <charset val="1"/>
      <family val="0"/>
      <b val="1"/>
      <color rgb="FFF5831F"/>
      <sz val="12"/>
    </font>
    <font>
      <name val="DIN Next Arabic"/>
      <charset val="1"/>
      <family val="0"/>
      <color rgb="FF9B968E"/>
      <sz val="9"/>
    </font>
    <font>
      <name val="Arial"/>
      <charset val="1"/>
      <family val="0"/>
      <b val="1"/>
      <color rgb="FF1F3864"/>
      <sz val="12"/>
    </font>
    <font>
      <name val="Arial"/>
      <charset val="1"/>
      <family val="0"/>
      <color rgb="FF0000FF"/>
      <sz val="10"/>
    </font>
    <font>
      <name val="DIN Next Arabic"/>
      <charset val="1"/>
      <family val="0"/>
      <color rgb="FF3E6E8E"/>
      <sz val="10"/>
    </font>
    <font>
      <name val="DIN Next Arabic"/>
      <charset val="1"/>
      <family val="0"/>
      <color rgb="FF2E8B6F"/>
      <sz val="10"/>
    </font>
    <font>
      <name val="DIN Next Arabic"/>
      <charset val="1"/>
      <family val="0"/>
      <color rgb="FF9A3E2C"/>
      <sz val="9"/>
    </font>
    <font>
      <name val="DIN Next Arabic"/>
      <b val="1"/>
      <color rgb="0055565A"/>
      <sz val="16"/>
    </font>
    <font>
      <name val="DIN Next Arabic"/>
      <color rgb="006E6A64"/>
      <sz val="10"/>
    </font>
    <font>
      <name val="DIN Next Arabic"/>
      <b val="1"/>
      <color rgb="00FFFFFF"/>
      <sz val="10"/>
    </font>
    <font>
      <name val="DIN Next Arabic"/>
      <color rgb="003D3D3D"/>
      <sz val="10"/>
    </font>
    <font>
      <name val="DIN Next Arabic"/>
      <b val="1"/>
      <color rgb="003D3D3D"/>
      <sz val="10"/>
    </font>
    <font>
      <name val="DIN Next Arabic"/>
      <b val="1"/>
      <color rgb="009A3E2C"/>
      <sz val="10"/>
    </font>
    <font>
      <name val="DIN Next Arabic"/>
      <b val="1"/>
      <color rgb="0055565A"/>
      <sz val="10"/>
    </font>
    <font>
      <name val="DIN Next Arabic"/>
      <sz val="10"/>
    </font>
    <font>
      <name val="DIN Next Arabic"/>
      <b val="1"/>
      <color rgb="00C00000"/>
      <sz val="10"/>
    </font>
    <font>
      <name val="DIN Next Arabic"/>
      <b val="1"/>
      <color rgb="00F5831F"/>
      <sz val="12"/>
    </font>
    <font>
      <name val="DIN Next Arabic"/>
      <color rgb="009B968E"/>
      <sz val="9"/>
    </font>
    <font>
      <name val="DIN Next Arabic"/>
      <color rgb="003E6E8E"/>
      <sz val="10"/>
    </font>
    <font>
      <name val="DIN Next Arabic"/>
      <color rgb="002E8B6F"/>
      <sz val="10"/>
    </font>
    <font>
      <name val="DIN Next Arabic"/>
      <color rgb="009A3E2C"/>
      <sz val="9"/>
    </font>
    <font>
      <name val="DIN Next Arabic"/>
      <color theme="1"/>
      <sz val="11"/>
    </font>
    <font>
      <name val="DIN Next Arabic"/>
      <b val="1"/>
      <color rgb="FFFFFFFF"/>
      <sz val="10"/>
    </font>
    <font>
      <name val="DIN Next Arabic"/>
      <b val="1"/>
      <sz val="10"/>
    </font>
  </fonts>
  <fills count="24">
    <fill>
      <patternFill/>
    </fill>
    <fill>
      <patternFill patternType="gray125"/>
    </fill>
    <fill>
      <patternFill patternType="solid">
        <fgColor rgb="FF1F3864"/>
        <bgColor rgb="FF3D3D3D"/>
      </patternFill>
    </fill>
    <fill>
      <patternFill patternType="solid">
        <fgColor rgb="FF55565A"/>
        <bgColor rgb="FF44546A"/>
      </patternFill>
    </fill>
    <fill>
      <patternFill patternType="solid">
        <fgColor rgb="FFFCE7C8"/>
        <bgColor rgb="FFFBEEE0"/>
      </patternFill>
    </fill>
    <fill>
      <patternFill patternType="solid">
        <fgColor rgb="FFF2DAD4"/>
        <bgColor rgb="FFE3DCD1"/>
      </patternFill>
    </fill>
    <fill>
      <patternFill patternType="solid">
        <fgColor rgb="FFFBEEE0"/>
        <bgColor rgb="FFF5F2ED"/>
      </patternFill>
    </fill>
    <fill>
      <patternFill patternType="solid">
        <fgColor rgb="FFDDEBF7"/>
        <bgColor rgb="FFD9E2F3"/>
      </patternFill>
    </fill>
    <fill>
      <patternFill patternType="solid">
        <fgColor rgb="FFFFFF00"/>
        <bgColor rgb="FFFFE699"/>
      </patternFill>
    </fill>
    <fill>
      <patternFill patternType="solid">
        <fgColor rgb="FFF8CBAD"/>
        <bgColor rgb="FFF2DAD4"/>
      </patternFill>
    </fill>
    <fill>
      <patternFill patternType="solid">
        <fgColor rgb="FFD9E2F3"/>
        <bgColor rgb="FFDDEBF7"/>
      </patternFill>
    </fill>
    <fill>
      <patternFill patternType="solid">
        <fgColor rgb="FFFFE699"/>
        <bgColor rgb="FFFCE7C8"/>
      </patternFill>
    </fill>
    <fill>
      <patternFill patternType="solid">
        <fgColor rgb="FFC6E0B4"/>
        <bgColor rgb="FFD6E9E1"/>
      </patternFill>
    </fill>
    <fill>
      <patternFill patternType="solid">
        <fgColor rgb="FFE7E6E6"/>
        <bgColor rgb="FFEDE7DE"/>
      </patternFill>
    </fill>
    <fill>
      <patternFill patternType="solid">
        <fgColor rgb="FFF5F2ED"/>
        <bgColor rgb="FFFBEEE0"/>
      </patternFill>
    </fill>
    <fill>
      <patternFill patternType="solid">
        <fgColor rgb="FFEDE7DE"/>
        <bgColor rgb="FFE7E6E6"/>
      </patternFill>
    </fill>
    <fill>
      <patternFill patternType="solid">
        <fgColor rgb="0055565A"/>
      </patternFill>
    </fill>
    <fill>
      <patternFill patternType="solid">
        <fgColor rgb="00FCE7C8"/>
      </patternFill>
    </fill>
    <fill>
      <patternFill patternType="solid">
        <fgColor rgb="00F2DAD4"/>
      </patternFill>
    </fill>
    <fill>
      <patternFill patternType="solid">
        <fgColor rgb="00FBEEE0"/>
      </patternFill>
    </fill>
    <fill>
      <patternFill patternType="solid">
        <fgColor rgb="00F5F2ED"/>
      </patternFill>
    </fill>
    <fill>
      <patternFill patternType="solid">
        <fgColor rgb="00EDE7DE"/>
      </patternFill>
    </fill>
    <fill>
      <patternFill patternType="solid">
        <fgColor rgb="00D6E9E1"/>
      </patternFill>
    </fill>
    <fill>
      <patternFill patternType="solid">
        <fgColor rgb="00F5831F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3DCD1"/>
      </left>
      <right style="thin">
        <color rgb="FFE3DCD1"/>
      </right>
      <top style="thin">
        <color rgb="FFE3DCD1"/>
      </top>
      <bottom style="thin">
        <color rgb="FFE3DCD1"/>
      </bottom>
      <diagonal/>
    </border>
    <border>
      <left style="thin">
        <color rgb="FFE3DCD1"/>
      </left>
      <right/>
      <top style="thin">
        <color rgb="FFE3DCD1"/>
      </top>
      <bottom style="thin">
        <color rgb="FFE3DCD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E3DCD1"/>
      </top>
      <bottom/>
      <diagonal/>
    </border>
    <border>
      <left/>
      <right/>
      <top style="thin">
        <color rgb="FFE3DCD1"/>
      </top>
      <bottom style="thin">
        <color rgb="FFE3DCD1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E3DCD1"/>
      </left>
      <right style="thin">
        <color rgb="00E3DCD1"/>
      </right>
      <top style="thin">
        <color rgb="00E3DCD1"/>
      </top>
      <bottom style="thin">
        <color rgb="00E3DCD1"/>
      </bottom>
    </border>
    <border>
      <left style="thin">
        <color rgb="00E3DCD1"/>
      </left>
      <right/>
      <top style="thin">
        <color rgb="00E3DCD1"/>
      </top>
      <bottom style="thin">
        <color rgb="00E3DCD1"/>
      </bottom>
    </border>
    <border>
      <left/>
      <right/>
      <top style="thin">
        <color rgb="00E3DCD1"/>
      </top>
      <bottom style="thin">
        <color rgb="00E3DCD1"/>
      </bottom>
    </border>
    <border>
      <left/>
      <right/>
      <top style="thin">
        <color rgb="00E3DCD1"/>
      </top>
      <bottom/>
      <diagonal/>
    </border>
    <border>
      <left/>
      <right style="thin">
        <color rgb="00E3DCD1"/>
      </right>
      <top style="thin">
        <color rgb="00E3DCD1"/>
      </top>
      <bottom/>
      <diagonal/>
    </border>
    <border>
      <left/>
      <right/>
      <top style="thin">
        <color rgb="00E3DCD1"/>
      </top>
      <bottom style="thin">
        <color rgb="00E3DCD1"/>
      </bottom>
      <diagonal/>
    </border>
    <border>
      <left/>
      <right style="thin">
        <color rgb="00E3DCD1"/>
      </right>
      <top style="thin">
        <color rgb="00E3DCD1"/>
      </top>
      <bottom style="thin">
        <color rgb="00E3DC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 readingOrder="2"/>
    </xf>
    <xf numFmtId="0" fontId="5" fillId="0" borderId="0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9" fillId="0" borderId="0" applyAlignment="1" pivotButton="0" quotePrefix="0" xfId="0">
      <alignment horizontal="right" vertical="center" readingOrder="2"/>
    </xf>
    <xf numFmtId="0" fontId="7" fillId="0" borderId="0" applyAlignment="1" pivotButton="0" quotePrefix="0" xfId="0">
      <alignment horizontal="right" vertical="center" readingOrder="2"/>
    </xf>
    <xf numFmtId="0" fontId="10" fillId="0" borderId="0" applyAlignment="1" pivotButton="0" quotePrefix="0" xfId="0">
      <alignment horizontal="right" vertical="center" readingOrder="2"/>
    </xf>
    <xf numFmtId="0" fontId="11" fillId="0" borderId="0" applyAlignment="1" pivotButton="0" quotePrefix="0" xfId="0">
      <alignment horizontal="right" vertical="center" readingOrder="2"/>
    </xf>
    <xf numFmtId="0" fontId="12" fillId="0" borderId="0" applyAlignment="1" pivotButton="0" quotePrefix="0" xfId="0">
      <alignment horizontal="right" vertical="center" readingOrder="2"/>
    </xf>
    <xf numFmtId="0" fontId="13" fillId="3" borderId="2" applyAlignment="1" pivotButton="0" quotePrefix="0" xfId="0">
      <alignment horizontal="center" vertical="center" wrapText="1" readingOrder="2"/>
    </xf>
    <xf numFmtId="0" fontId="14" fillId="0" borderId="2" applyAlignment="1" pivotButton="0" quotePrefix="0" xfId="0">
      <alignment horizontal="center" vertical="center" wrapText="1" readingOrder="2"/>
    </xf>
    <xf numFmtId="0" fontId="15" fillId="0" borderId="2" applyAlignment="1" pivotButton="0" quotePrefix="0" xfId="0">
      <alignment horizontal="center" vertical="center" wrapText="1" readingOrder="2"/>
    </xf>
    <xf numFmtId="0" fontId="14" fillId="0" borderId="2" applyAlignment="1" pivotButton="0" quotePrefix="0" xfId="0">
      <alignment horizontal="right" vertical="top" wrapText="1" readingOrder="2"/>
    </xf>
    <xf numFmtId="0" fontId="14" fillId="4" borderId="2" applyAlignment="1" pivotButton="0" quotePrefix="0" xfId="0">
      <alignment horizontal="right" vertical="top" wrapText="1" readingOrder="2"/>
    </xf>
    <xf numFmtId="0" fontId="14" fillId="5" borderId="2" applyAlignment="1" pivotButton="0" quotePrefix="0" xfId="0">
      <alignment horizontal="center" vertical="center" wrapText="1" readingOrder="2"/>
    </xf>
    <xf numFmtId="0" fontId="16" fillId="5" borderId="2" applyAlignment="1" pivotButton="0" quotePrefix="0" xfId="0">
      <alignment horizontal="center" vertical="center" wrapText="1" readingOrder="2"/>
    </xf>
    <xf numFmtId="0" fontId="14" fillId="5" borderId="2" applyAlignment="1" pivotButton="0" quotePrefix="0" xfId="0">
      <alignment horizontal="right" vertical="top" wrapText="1" readingOrder="2"/>
    </xf>
    <xf numFmtId="0" fontId="17" fillId="0" borderId="0" applyAlignment="1" pivotButton="0" quotePrefix="0" xfId="0">
      <alignment horizontal="right" vertical="center" readingOrder="2"/>
    </xf>
    <xf numFmtId="0" fontId="18" fillId="0" borderId="0" applyAlignment="1" pivotButton="0" quotePrefix="0" xfId="0">
      <alignment horizontal="right" vertical="center" readingOrder="2"/>
    </xf>
    <xf numFmtId="0" fontId="19" fillId="0" borderId="0" applyAlignment="1" pivotButton="0" quotePrefix="0" xfId="0">
      <alignment horizontal="right" vertical="center" readingOrder="2"/>
    </xf>
    <xf numFmtId="0" fontId="20" fillId="6" borderId="3" applyAlignment="1" pivotButton="0" quotePrefix="0" xfId="0">
      <alignment horizontal="right" vertical="center" readingOrder="2"/>
    </xf>
    <xf numFmtId="3" fontId="14" fillId="0" borderId="2" applyAlignment="1" pivotButton="0" quotePrefix="0" xfId="0">
      <alignment horizontal="center" vertical="center" wrapText="1" readingOrder="2"/>
    </xf>
    <xf numFmtId="9" fontId="14" fillId="0" borderId="2" applyAlignment="1" pivotButton="0" quotePrefix="0" xfId="0">
      <alignment horizontal="center" vertical="center" wrapText="1" readingOrder="2"/>
    </xf>
    <xf numFmtId="164" fontId="14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right" vertical="top" wrapText="1" readingOrder="2"/>
    </xf>
    <xf numFmtId="0" fontId="21" fillId="0" borderId="0" applyAlignment="1" pivotButton="0" quotePrefix="0" xfId="0">
      <alignment horizontal="right" vertical="center" readingOrder="2"/>
    </xf>
    <xf numFmtId="165" fontId="14" fillId="0" borderId="2" applyAlignment="1" pivotButton="0" quotePrefix="0" xfId="0">
      <alignment horizontal="center" vertical="center" wrapText="1" readingOrder="2"/>
    </xf>
    <xf numFmtId="166" fontId="14" fillId="0" borderId="2" applyAlignment="1" pivotButton="0" quotePrefix="0" xfId="0">
      <alignment horizontal="center" vertical="center" wrapText="1" readingOrder="2"/>
    </xf>
    <xf numFmtId="167" fontId="14" fillId="0" borderId="2" applyAlignment="1" pivotButton="0" quotePrefix="0" xfId="0">
      <alignment horizontal="center" vertical="center" wrapText="1" readingOrder="2"/>
    </xf>
    <xf numFmtId="168" fontId="14" fillId="0" borderId="2" applyAlignment="1" pivotButton="0" quotePrefix="0" xfId="0">
      <alignment horizontal="center" vertical="center" wrapText="1" readingOrder="2"/>
    </xf>
    <xf numFmtId="0" fontId="22" fillId="7" borderId="4" applyAlignment="1" pivotButton="0" quotePrefix="0" xfId="0">
      <alignment horizontal="right" vertical="center" readingOrder="2"/>
    </xf>
    <xf numFmtId="0" fontId="8" fillId="0" borderId="0" applyAlignment="1" pivotButton="0" quotePrefix="0" xfId="0">
      <alignment horizontal="general" vertical="bottom"/>
    </xf>
    <xf numFmtId="169" fontId="23" fillId="8" borderId="1" applyAlignment="1" pivotButton="0" quotePrefix="0" xfId="0">
      <alignment horizontal="center" vertical="center" wrapText="1" readingOrder="2"/>
    </xf>
    <xf numFmtId="2" fontId="23" fillId="8" borderId="1" applyAlignment="1" pivotButton="0" quotePrefix="0" xfId="0">
      <alignment horizontal="center" vertical="center" wrapText="1" readingOrder="2"/>
    </xf>
    <xf numFmtId="170" fontId="23" fillId="8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center" vertical="center" wrapText="1" readingOrder="2"/>
    </xf>
    <xf numFmtId="171" fontId="7" fillId="0" borderId="1" applyAlignment="1" pivotButton="0" quotePrefix="0" xfId="0">
      <alignment horizontal="center" vertical="center" wrapText="1" readingOrder="2"/>
    </xf>
    <xf numFmtId="0" fontId="7" fillId="9" borderId="1" applyAlignment="1" pivotButton="0" quotePrefix="0" xfId="0">
      <alignment horizontal="center" vertical="center" wrapText="1" readingOrder="2"/>
    </xf>
    <xf numFmtId="0" fontId="8" fillId="10" borderId="1" applyAlignment="1" pivotButton="0" quotePrefix="0" xfId="0">
      <alignment horizontal="center" vertical="center" wrapText="1" readingOrder="2"/>
    </xf>
    <xf numFmtId="3" fontId="8" fillId="10" borderId="1" applyAlignment="1" pivotButton="0" quotePrefix="0" xfId="0">
      <alignment horizontal="center" vertical="center" wrapText="1" readingOrder="2"/>
    </xf>
    <xf numFmtId="3" fontId="23" fillId="8" borderId="1" applyAlignment="1" pivotButton="0" quotePrefix="0" xfId="0">
      <alignment horizontal="center" vertical="center" wrapText="1" readingOrder="2"/>
    </xf>
    <xf numFmtId="2" fontId="7" fillId="0" borderId="1" applyAlignment="1" pivotButton="0" quotePrefix="0" xfId="0">
      <alignment horizontal="center" vertical="center" wrapText="1" readingOrder="2"/>
    </xf>
    <xf numFmtId="170" fontId="7" fillId="0" borderId="1" applyAlignment="1" pivotButton="0" quotePrefix="0" xfId="0">
      <alignment horizontal="center" vertical="center" wrapText="1" readingOrder="2"/>
    </xf>
    <xf numFmtId="3" fontId="7" fillId="10" borderId="1" applyAlignment="1" pivotButton="0" quotePrefix="0" xfId="0">
      <alignment horizontal="center" vertical="center" wrapText="1" readingOrder="2"/>
    </xf>
    <xf numFmtId="170" fontId="7" fillId="10" borderId="1" applyAlignment="1" pivotButton="0" quotePrefix="0" xfId="0">
      <alignment horizontal="center" vertical="center" wrapText="1" readingOrder="2"/>
    </xf>
    <xf numFmtId="165" fontId="7" fillId="0" borderId="1" applyAlignment="1" pivotButton="0" quotePrefix="0" xfId="0">
      <alignment horizontal="center" vertical="center" wrapText="1" readingOrder="2"/>
    </xf>
    <xf numFmtId="1" fontId="23" fillId="8" borderId="1" applyAlignment="1" pivotButton="0" quotePrefix="0" xfId="0">
      <alignment horizontal="center" vertical="center" wrapText="1" readingOrder="2"/>
    </xf>
    <xf numFmtId="171" fontId="7" fillId="10" borderId="1" applyAlignment="1" pivotButton="0" quotePrefix="0" xfId="0">
      <alignment horizontal="center" vertical="center" wrapText="1" readingOrder="2"/>
    </xf>
    <xf numFmtId="0" fontId="23" fillId="8" borderId="1" applyAlignment="1" pivotButton="0" quotePrefix="0" xfId="0">
      <alignment horizontal="center" vertical="center" wrapText="1" readingOrder="2"/>
    </xf>
    <xf numFmtId="172" fontId="7" fillId="0" borderId="1" applyAlignment="1" pivotButton="0" quotePrefix="0" xfId="0">
      <alignment horizontal="center" vertical="center" wrapText="1" readingOrder="2"/>
    </xf>
    <xf numFmtId="0" fontId="7" fillId="10" borderId="1" applyAlignment="1" pivotButton="0" quotePrefix="0" xfId="0">
      <alignment horizontal="center" vertical="center" wrapText="1" readingOrder="2"/>
    </xf>
    <xf numFmtId="0" fontId="8" fillId="10" borderId="1" applyAlignment="1" pivotButton="0" quotePrefix="0" xfId="0">
      <alignment horizontal="general" vertical="bottom"/>
    </xf>
    <xf numFmtId="2" fontId="7" fillId="10" borderId="1" applyAlignment="1" pivotButton="0" quotePrefix="0" xfId="0">
      <alignment horizontal="center" vertical="center" wrapText="1" readingOrder="2"/>
    </xf>
    <xf numFmtId="172" fontId="7" fillId="10" borderId="1" applyAlignment="1" pivotButton="0" quotePrefix="0" xfId="0">
      <alignment horizontal="center" vertical="center" wrapText="1" readingOrder="2"/>
    </xf>
    <xf numFmtId="0" fontId="7" fillId="10" borderId="1" applyAlignment="1" pivotButton="0" quotePrefix="0" xfId="0">
      <alignment horizontal="right" vertical="top" wrapText="1" readingOrder="2"/>
    </xf>
    <xf numFmtId="173" fontId="7" fillId="0" borderId="1" applyAlignment="1" pivotButton="0" quotePrefix="0" xfId="0">
      <alignment horizontal="center" vertical="center" wrapText="1" readingOrder="2"/>
    </xf>
    <xf numFmtId="174" fontId="7" fillId="0" borderId="1" applyAlignment="1" pivotButton="0" quotePrefix="0" xfId="0">
      <alignment horizontal="center" vertical="center" wrapText="1" readingOrder="2"/>
    </xf>
    <xf numFmtId="175" fontId="7" fillId="9" borderId="1" applyAlignment="1" pivotButton="0" quotePrefix="0" xfId="0">
      <alignment horizontal="center" vertical="center" wrapText="1" readingOrder="2"/>
    </xf>
    <xf numFmtId="175" fontId="7" fillId="11" borderId="1" applyAlignment="1" pivotButton="0" quotePrefix="0" xfId="0">
      <alignment horizontal="center" vertical="center" wrapText="1" readingOrder="2"/>
    </xf>
    <xf numFmtId="175" fontId="7" fillId="12" borderId="1" applyAlignment="1" pivotButton="0" quotePrefix="0" xfId="0">
      <alignment horizontal="center" vertical="center" wrapText="1" readingOrder="2"/>
    </xf>
    <xf numFmtId="0" fontId="7" fillId="11" borderId="1" applyAlignment="1" pivotButton="0" quotePrefix="0" xfId="0">
      <alignment horizontal="center" vertical="center" wrapText="1" readingOrder="2"/>
    </xf>
    <xf numFmtId="0" fontId="7" fillId="13" borderId="1" applyAlignment="1" pivotButton="0" quotePrefix="0" xfId="0">
      <alignment horizontal="center" vertical="center" wrapText="1" readingOrder="2"/>
    </xf>
    <xf numFmtId="0" fontId="15" fillId="0" borderId="0" applyAlignment="1" pivotButton="0" quotePrefix="0" xfId="0">
      <alignment horizontal="right" vertical="center" readingOrder="2"/>
    </xf>
    <xf numFmtId="0" fontId="24" fillId="4" borderId="2" applyAlignment="1" pivotButton="0" quotePrefix="0" xfId="0">
      <alignment horizontal="center" vertical="center" wrapText="1" readingOrder="2"/>
    </xf>
    <xf numFmtId="0" fontId="21" fillId="0" borderId="0" applyAlignment="1" pivotButton="0" quotePrefix="0" xfId="0">
      <alignment horizontal="center" vertical="center" wrapText="1" readingOrder="2"/>
    </xf>
    <xf numFmtId="176" fontId="25" fillId="14" borderId="2" applyAlignment="1" pivotButton="0" quotePrefix="0" xfId="0">
      <alignment horizontal="center" vertical="center" wrapText="1" readingOrder="2"/>
    </xf>
    <xf numFmtId="177" fontId="25" fillId="14" borderId="2" applyAlignment="1" pivotButton="0" quotePrefix="0" xfId="0">
      <alignment horizontal="center" vertical="center" wrapText="1" readingOrder="2"/>
    </xf>
    <xf numFmtId="178" fontId="25" fillId="14" borderId="2" applyAlignment="1" pivotButton="0" quotePrefix="0" xfId="0">
      <alignment horizontal="center" vertical="center" wrapText="1" readingOrder="2"/>
    </xf>
    <xf numFmtId="179" fontId="25" fillId="14" borderId="2" applyAlignment="1" pivotButton="0" quotePrefix="0" xfId="0">
      <alignment horizontal="center" vertical="center" wrapText="1" readingOrder="2"/>
    </xf>
    <xf numFmtId="2" fontId="24" fillId="4" borderId="2" applyAlignment="1" pivotButton="0" quotePrefix="0" xfId="0">
      <alignment horizontal="center" vertical="center" wrapText="1" readingOrder="2"/>
    </xf>
    <xf numFmtId="170" fontId="24" fillId="4" borderId="2" applyAlignment="1" pivotButton="0" quotePrefix="0" xfId="0">
      <alignment horizontal="center" vertical="center" wrapText="1" readingOrder="2"/>
    </xf>
    <xf numFmtId="3" fontId="24" fillId="4" borderId="2" applyAlignment="1" pivotButton="0" quotePrefix="0" xfId="0">
      <alignment horizontal="center" vertical="center" wrapText="1" readingOrder="2"/>
    </xf>
    <xf numFmtId="1" fontId="24" fillId="4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177" fontId="14" fillId="14" borderId="2" applyAlignment="1" pivotButton="0" quotePrefix="0" xfId="0">
      <alignment horizontal="center" vertical="center" wrapText="1" readingOrder="2"/>
    </xf>
    <xf numFmtId="177" fontId="24" fillId="4" borderId="2" applyAlignment="1" pivotButton="0" quotePrefix="0" xfId="0">
      <alignment horizontal="center" vertical="center" wrapText="1" readingOrder="2"/>
    </xf>
    <xf numFmtId="3" fontId="14" fillId="14" borderId="2" applyAlignment="1" pivotButton="0" quotePrefix="0" xfId="0">
      <alignment horizontal="center" vertical="center" wrapText="1" readingOrder="2"/>
    </xf>
    <xf numFmtId="171" fontId="14" fillId="14" borderId="2" applyAlignment="1" pivotButton="0" quotePrefix="0" xfId="0">
      <alignment horizontal="center" vertical="center" wrapText="1" readingOrder="2"/>
    </xf>
    <xf numFmtId="9" fontId="14" fillId="14" borderId="2" applyAlignment="1" pivotButton="0" quotePrefix="0" xfId="0">
      <alignment horizontal="center" vertical="center" wrapText="1" readingOrder="2"/>
    </xf>
    <xf numFmtId="3" fontId="14" fillId="15" borderId="2" applyAlignment="1" pivotButton="0" quotePrefix="0" xfId="0">
      <alignment horizontal="center" vertical="center" wrapText="1" readingOrder="2"/>
    </xf>
    <xf numFmtId="0" fontId="15" fillId="15" borderId="2" applyAlignment="1" pivotButton="0" quotePrefix="0" xfId="0">
      <alignment horizontal="center" vertical="center" wrapText="1" readingOrder="2"/>
    </xf>
    <xf numFmtId="3" fontId="15" fillId="15" borderId="2" applyAlignment="1" pivotButton="0" quotePrefix="0" xfId="0">
      <alignment horizontal="center" vertical="center" wrapText="1" readingOrder="2"/>
    </xf>
    <xf numFmtId="9" fontId="15" fillId="15" borderId="2" applyAlignment="1" pivotButton="0" quotePrefix="0" xfId="0">
      <alignment horizontal="center" vertical="center" wrapText="1" readingOrder="2"/>
    </xf>
    <xf numFmtId="171" fontId="14" fillId="0" borderId="2" applyAlignment="1" pivotButton="0" quotePrefix="0" xfId="0">
      <alignment horizontal="center" vertical="center" wrapText="1" readingOrder="2"/>
    </xf>
    <xf numFmtId="170" fontId="14" fillId="0" borderId="2" applyAlignment="1" pivotButton="0" quotePrefix="0" xfId="0">
      <alignment horizontal="center" vertical="center" wrapText="1" readingOrder="2"/>
    </xf>
    <xf numFmtId="0" fontId="26" fillId="0" borderId="0" applyAlignment="1" pivotButton="0" quotePrefix="0" xfId="0">
      <alignment horizontal="right" vertical="center" readingOrder="2"/>
    </xf>
    <xf numFmtId="1" fontId="14" fillId="0" borderId="2" applyAlignment="1" pivotButton="0" quotePrefix="0" xfId="0">
      <alignment horizontal="center" vertical="center" wrapText="1" readingOrder="2"/>
    </xf>
    <xf numFmtId="175" fontId="14" fillId="0" borderId="2" applyAlignment="1" pivotButton="0" quotePrefix="0" xfId="0">
      <alignment horizontal="center" vertical="center" wrapText="1" readingOrder="2"/>
    </xf>
    <xf numFmtId="4" fontId="7" fillId="0" borderId="1" applyAlignment="1" pivotButton="0" quotePrefix="0" xfId="0">
      <alignment horizontal="center" vertical="center" wrapText="1" readingOrder="2"/>
    </xf>
    <xf numFmtId="9" fontId="23" fillId="8" borderId="1" applyAlignment="1" pivotButton="0" quotePrefix="0" xfId="0">
      <alignment horizontal="center" vertical="center" wrapText="1" readingOrder="2"/>
    </xf>
    <xf numFmtId="0" fontId="8" fillId="11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 readingOrder="2"/>
    </xf>
    <xf numFmtId="173" fontId="23" fillId="8" borderId="1" applyAlignment="1" pivotButton="0" quotePrefix="0" xfId="0">
      <alignment horizontal="center" vertical="center" wrapText="1" readingOrder="2"/>
    </xf>
    <xf numFmtId="180" fontId="7" fillId="9" borderId="1" applyAlignment="1" pivotButton="0" quotePrefix="0" xfId="0">
      <alignment horizontal="center" vertical="center" wrapText="1" readingOrder="2"/>
    </xf>
    <xf numFmtId="180" fontId="7" fillId="13" borderId="1" applyAlignment="1" pivotButton="0" quotePrefix="0" xfId="0">
      <alignment horizontal="center" vertical="center" wrapText="1" readingOrder="2"/>
    </xf>
    <xf numFmtId="180" fontId="7" fillId="12" borderId="1" applyAlignment="1" pivotButton="0" quotePrefix="0" xfId="0">
      <alignment horizontal="center" vertical="center" wrapText="1" readingOrder="2"/>
    </xf>
    <xf numFmtId="180" fontId="7" fillId="11" borderId="1" applyAlignment="1" pivotButton="0" quotePrefix="0" xfId="0">
      <alignment horizontal="center" vertical="center" wrapText="1" readingOrder="2"/>
    </xf>
    <xf numFmtId="0" fontId="15" fillId="0" borderId="0" applyAlignment="1" pivotButton="0" quotePrefix="0" xfId="0">
      <alignment horizontal="general" vertical="bottom"/>
    </xf>
    <xf numFmtId="2" fontId="14" fillId="0" borderId="2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7" fillId="0" borderId="0" applyAlignment="1" pivotButton="0" quotePrefix="0" xfId="0">
      <alignment horizontal="right" vertical="center" readingOrder="2"/>
    </xf>
    <xf numFmtId="0" fontId="41" fillId="0" borderId="0" pivotButton="0" quotePrefix="0" xfId="0"/>
    <xf numFmtId="0" fontId="28" fillId="0" borderId="0" applyAlignment="1" pivotButton="0" quotePrefix="0" xfId="0">
      <alignment horizontal="right" vertical="center" readingOrder="2"/>
    </xf>
    <xf numFmtId="0" fontId="42" fillId="16" borderId="9" applyAlignment="1" pivotButton="0" quotePrefix="0" xfId="0">
      <alignment horizontal="center" vertical="center" wrapText="1" readingOrder="2"/>
    </xf>
    <xf numFmtId="0" fontId="34" fillId="0" borderId="9" applyAlignment="1" pivotButton="0" quotePrefix="0" xfId="0">
      <alignment horizontal="center" vertical="center" wrapText="1" readingOrder="2"/>
    </xf>
    <xf numFmtId="0" fontId="43" fillId="0" borderId="9" applyAlignment="1" pivotButton="0" quotePrefix="0" xfId="0">
      <alignment horizontal="right" vertical="top" wrapText="1" readingOrder="2"/>
    </xf>
    <xf numFmtId="0" fontId="34" fillId="0" borderId="9" applyAlignment="1" pivotButton="0" quotePrefix="0" xfId="0">
      <alignment horizontal="right" vertical="top" wrapText="1" readingOrder="2"/>
    </xf>
    <xf numFmtId="0" fontId="33" fillId="0" borderId="0" applyAlignment="1" pivotButton="0" quotePrefix="0" xfId="0">
      <alignment horizontal="right" vertical="center" readingOrder="2"/>
    </xf>
    <xf numFmtId="0" fontId="34" fillId="0" borderId="0" applyAlignment="1" pivotButton="0" quotePrefix="0" xfId="0">
      <alignment horizontal="right" vertical="center" readingOrder="2"/>
    </xf>
    <xf numFmtId="0" fontId="32" fillId="0" borderId="0" applyAlignment="1" pivotButton="0" quotePrefix="0" xfId="0">
      <alignment horizontal="right" vertical="center" readingOrder="2"/>
    </xf>
    <xf numFmtId="0" fontId="27" fillId="0" borderId="0" applyAlignment="1" pivotButton="0" quotePrefix="0" xfId="0">
      <alignment horizontal="right" vertical="center" readingOrder="2"/>
    </xf>
    <xf numFmtId="0" fontId="28" fillId="0" borderId="0" applyAlignment="1" pivotButton="0" quotePrefix="0" xfId="0">
      <alignment horizontal="right" vertical="center" readingOrder="2"/>
    </xf>
    <xf numFmtId="0" fontId="29" fillId="16" borderId="9" applyAlignment="1" pivotButton="0" quotePrefix="0" xfId="0">
      <alignment horizontal="center" vertical="center" wrapText="1" readingOrder="2"/>
    </xf>
    <xf numFmtId="0" fontId="30" fillId="0" borderId="9" applyAlignment="1" pivotButton="0" quotePrefix="0" xfId="0">
      <alignment horizontal="center" vertical="center" wrapText="1" readingOrder="2"/>
    </xf>
    <xf numFmtId="0" fontId="31" fillId="0" borderId="9" applyAlignment="1" pivotButton="0" quotePrefix="0" xfId="0">
      <alignment horizontal="center" vertical="center" wrapText="1" readingOrder="2"/>
    </xf>
    <xf numFmtId="0" fontId="30" fillId="0" borderId="9" applyAlignment="1" pivotButton="0" quotePrefix="0" xfId="0">
      <alignment horizontal="right" vertical="top" wrapText="1" readingOrder="2"/>
    </xf>
    <xf numFmtId="0" fontId="30" fillId="17" borderId="9" applyAlignment="1" pivotButton="0" quotePrefix="0" xfId="0">
      <alignment horizontal="right" vertical="top" wrapText="1" readingOrder="2"/>
    </xf>
    <xf numFmtId="0" fontId="30" fillId="18" borderId="9" applyAlignment="1" pivotButton="0" quotePrefix="0" xfId="0">
      <alignment horizontal="center" vertical="center" wrapText="1" readingOrder="2"/>
    </xf>
    <xf numFmtId="0" fontId="32" fillId="18" borderId="9" applyAlignment="1" pivotButton="0" quotePrefix="0" xfId="0">
      <alignment horizontal="center" vertical="center" wrapText="1" readingOrder="2"/>
    </xf>
    <xf numFmtId="0" fontId="30" fillId="18" borderId="9" applyAlignment="1" pivotButton="0" quotePrefix="0" xfId="0">
      <alignment horizontal="right" vertical="top" wrapText="1" readingOrder="2"/>
    </xf>
    <xf numFmtId="0" fontId="33" fillId="0" borderId="0" applyAlignment="1" pivotButton="0" quotePrefix="0" xfId="0">
      <alignment horizontal="right" vertical="center" readingOrder="2"/>
    </xf>
    <xf numFmtId="0" fontId="34" fillId="0" borderId="0" applyAlignment="1" pivotButton="0" quotePrefix="0" xfId="0">
      <alignment horizontal="right" vertical="center" readingOrder="2"/>
    </xf>
    <xf numFmtId="0" fontId="35" fillId="0" borderId="0" applyAlignment="1" pivotButton="0" quotePrefix="0" xfId="0">
      <alignment horizontal="right" vertical="center" readingOrder="2"/>
    </xf>
    <xf numFmtId="0" fontId="36" fillId="19" borderId="9" applyAlignment="1" pivotButton="0" quotePrefix="0" xfId="0">
      <alignment horizontal="right" vertical="center" readingOrder="2"/>
    </xf>
    <xf numFmtId="3" fontId="30" fillId="0" borderId="9" applyAlignment="1" pivotButton="0" quotePrefix="0" xfId="0">
      <alignment horizontal="center" vertical="center" wrapText="1" readingOrder="2"/>
    </xf>
    <xf numFmtId="9" fontId="30" fillId="0" borderId="9" applyAlignment="1" pivotButton="0" quotePrefix="0" xfId="0">
      <alignment horizontal="center" vertical="center" wrapText="1" readingOrder="2"/>
    </xf>
    <xf numFmtId="164" fontId="30" fillId="0" borderId="9" applyAlignment="1" pivotButton="0" quotePrefix="0" xfId="0">
      <alignment horizontal="center" vertical="center" wrapText="1" readingOrder="2"/>
    </xf>
    <xf numFmtId="0" fontId="0" fillId="0" borderId="9" pivotButton="0" quotePrefix="0" xfId="0"/>
    <xf numFmtId="0" fontId="0" fillId="0" borderId="9" applyAlignment="1" pivotButton="0" quotePrefix="0" xfId="0">
      <alignment horizontal="right" vertical="top" wrapText="1" readingOrder="2"/>
    </xf>
    <xf numFmtId="0" fontId="37" fillId="0" borderId="0" applyAlignment="1" pivotButton="0" quotePrefix="0" xfId="0">
      <alignment horizontal="right" vertical="center" readingOrder="2"/>
    </xf>
    <xf numFmtId="165" fontId="30" fillId="0" borderId="9" applyAlignment="1" pivotButton="0" quotePrefix="0" xfId="0">
      <alignment horizontal="center" vertical="center" wrapText="1" readingOrder="2"/>
    </xf>
    <xf numFmtId="181" fontId="30" fillId="0" borderId="9" applyAlignment="1" pivotButton="0" quotePrefix="0" xfId="0">
      <alignment horizontal="center" vertical="center" wrapText="1" readingOrder="2"/>
    </xf>
    <xf numFmtId="182" fontId="30" fillId="0" borderId="9" applyAlignment="1" pivotButton="0" quotePrefix="0" xfId="0">
      <alignment horizontal="center" vertical="center" wrapText="1" readingOrder="2"/>
    </xf>
    <xf numFmtId="183" fontId="30" fillId="0" borderId="9" applyAlignment="1" pivotButton="0" quotePrefix="0" xfId="0">
      <alignment horizontal="center" vertical="center" wrapText="1" readingOrder="2"/>
    </xf>
    <xf numFmtId="0" fontId="36" fillId="19" borderId="10" applyAlignment="1" pivotButton="0" quotePrefix="0" xfId="0">
      <alignment horizontal="right" vertical="center" readingOrder="2"/>
    </xf>
    <xf numFmtId="0" fontId="41" fillId="0" borderId="11" pivotButton="0" quotePrefix="0" xfId="0"/>
    <xf numFmtId="0" fontId="43" fillId="0" borderId="0" applyAlignment="1" pivotButton="0" quotePrefix="0" xfId="0">
      <alignment horizontal="general" vertical="bottom"/>
    </xf>
    <xf numFmtId="169" fontId="38" fillId="17" borderId="9" applyAlignment="1" pivotButton="0" quotePrefix="0" xfId="0">
      <alignment horizontal="center" vertical="center" wrapText="1" readingOrder="2"/>
    </xf>
    <xf numFmtId="2" fontId="38" fillId="17" borderId="9" applyAlignment="1" pivotButton="0" quotePrefix="0" xfId="0">
      <alignment horizontal="center" vertical="center" wrapText="1" readingOrder="2"/>
    </xf>
    <xf numFmtId="170" fontId="38" fillId="17" borderId="9" applyAlignment="1" pivotButton="0" quotePrefix="0" xfId="0">
      <alignment horizontal="center" vertical="center" wrapText="1" readingOrder="2"/>
    </xf>
    <xf numFmtId="0" fontId="43" fillId="0" borderId="9" applyAlignment="1" pivotButton="0" quotePrefix="0" xfId="0">
      <alignment horizontal="general" vertical="bottom"/>
    </xf>
    <xf numFmtId="3" fontId="34" fillId="0" borderId="9" applyAlignment="1" pivotButton="0" quotePrefix="0" xfId="0">
      <alignment horizontal="center" vertical="center" wrapText="1" readingOrder="2"/>
    </xf>
    <xf numFmtId="171" fontId="34" fillId="0" borderId="9" applyAlignment="1" pivotButton="0" quotePrefix="0" xfId="0">
      <alignment horizontal="center" vertical="center" wrapText="1" readingOrder="2"/>
    </xf>
    <xf numFmtId="0" fontId="34" fillId="18" borderId="9" applyAlignment="1" pivotButton="0" quotePrefix="0" xfId="0">
      <alignment horizontal="center" vertical="center" wrapText="1" readingOrder="2"/>
    </xf>
    <xf numFmtId="0" fontId="43" fillId="21" borderId="9" applyAlignment="1" pivotButton="0" quotePrefix="0" xfId="0">
      <alignment horizontal="center" vertical="center" wrapText="1" readingOrder="2"/>
    </xf>
    <xf numFmtId="3" fontId="43" fillId="21" borderId="9" applyAlignment="1" pivotButton="0" quotePrefix="0" xfId="0">
      <alignment horizontal="center" vertical="center" wrapText="1" readingOrder="2"/>
    </xf>
    <xf numFmtId="3" fontId="38" fillId="17" borderId="9" applyAlignment="1" pivotButton="0" quotePrefix="0" xfId="0">
      <alignment horizontal="center" vertical="center" wrapText="1" readingOrder="2"/>
    </xf>
    <xf numFmtId="2" fontId="34" fillId="0" borderId="9" applyAlignment="1" pivotButton="0" quotePrefix="0" xfId="0">
      <alignment horizontal="center" vertical="center" wrapText="1" readingOrder="2"/>
    </xf>
    <xf numFmtId="170" fontId="34" fillId="0" borderId="9" applyAlignment="1" pivotButton="0" quotePrefix="0" xfId="0">
      <alignment horizontal="center" vertical="center" wrapText="1" readingOrder="2"/>
    </xf>
    <xf numFmtId="3" fontId="34" fillId="21" borderId="9" applyAlignment="1" pivotButton="0" quotePrefix="0" xfId="0">
      <alignment horizontal="center" vertical="center" wrapText="1" readingOrder="2"/>
    </xf>
    <xf numFmtId="170" fontId="34" fillId="21" borderId="9" applyAlignment="1" pivotButton="0" quotePrefix="0" xfId="0">
      <alignment horizontal="center" vertical="center" wrapText="1" readingOrder="2"/>
    </xf>
    <xf numFmtId="165" fontId="34" fillId="0" borderId="9" applyAlignment="1" pivotButton="0" quotePrefix="0" xfId="0">
      <alignment horizontal="center" vertical="center" wrapText="1" readingOrder="2"/>
    </xf>
    <xf numFmtId="1" fontId="38" fillId="17" borderId="9" applyAlignment="1" pivotButton="0" quotePrefix="0" xfId="0">
      <alignment horizontal="center" vertical="center" wrapText="1" readingOrder="2"/>
    </xf>
    <xf numFmtId="171" fontId="34" fillId="21" borderId="9" applyAlignment="1" pivotButton="0" quotePrefix="0" xfId="0">
      <alignment horizontal="center" vertical="center" wrapText="1" readingOrder="2"/>
    </xf>
    <xf numFmtId="0" fontId="38" fillId="17" borderId="9" applyAlignment="1" pivotButton="0" quotePrefix="0" xfId="0">
      <alignment horizontal="center" vertical="center" wrapText="1" readingOrder="2"/>
    </xf>
    <xf numFmtId="172" fontId="34" fillId="0" borderId="9" applyAlignment="1" pivotButton="0" quotePrefix="0" xfId="0">
      <alignment horizontal="center" vertical="center" wrapText="1" readingOrder="2"/>
    </xf>
    <xf numFmtId="0" fontId="34" fillId="21" borderId="9" applyAlignment="1" pivotButton="0" quotePrefix="0" xfId="0">
      <alignment horizontal="center" vertical="center" wrapText="1" readingOrder="2"/>
    </xf>
    <xf numFmtId="0" fontId="43" fillId="21" borderId="9" applyAlignment="1" pivotButton="0" quotePrefix="0" xfId="0">
      <alignment horizontal="general" vertical="bottom"/>
    </xf>
    <xf numFmtId="2" fontId="34" fillId="21" borderId="9" applyAlignment="1" pivotButton="0" quotePrefix="0" xfId="0">
      <alignment horizontal="center" vertical="center" wrapText="1" readingOrder="2"/>
    </xf>
    <xf numFmtId="172" fontId="34" fillId="21" borderId="9" applyAlignment="1" pivotButton="0" quotePrefix="0" xfId="0">
      <alignment horizontal="center" vertical="center" wrapText="1" readingOrder="2"/>
    </xf>
    <xf numFmtId="0" fontId="34" fillId="21" borderId="9" applyAlignment="1" pivotButton="0" quotePrefix="0" xfId="0">
      <alignment horizontal="right" vertical="top" wrapText="1" readingOrder="2"/>
    </xf>
    <xf numFmtId="173" fontId="34" fillId="0" borderId="9" applyAlignment="1" pivotButton="0" quotePrefix="0" xfId="0">
      <alignment horizontal="center" vertical="center" wrapText="1" readingOrder="2"/>
    </xf>
    <xf numFmtId="174" fontId="34" fillId="0" borderId="9" applyAlignment="1" pivotButton="0" quotePrefix="0" xfId="0">
      <alignment horizontal="center" vertical="center" wrapText="1" readingOrder="2"/>
    </xf>
    <xf numFmtId="175" fontId="34" fillId="18" borderId="9" applyAlignment="1" pivotButton="0" quotePrefix="0" xfId="0">
      <alignment horizontal="center" vertical="center" wrapText="1" readingOrder="2"/>
    </xf>
    <xf numFmtId="175" fontId="34" fillId="17" borderId="9" applyAlignment="1" pivotButton="0" quotePrefix="0" xfId="0">
      <alignment horizontal="center" vertical="center" wrapText="1" readingOrder="2"/>
    </xf>
    <xf numFmtId="175" fontId="34" fillId="22" borderId="9" applyAlignment="1" pivotButton="0" quotePrefix="0" xfId="0">
      <alignment horizontal="center" vertical="center" wrapText="1" readingOrder="2"/>
    </xf>
    <xf numFmtId="0" fontId="34" fillId="17" borderId="9" applyAlignment="1" pivotButton="0" quotePrefix="0" xfId="0">
      <alignment horizontal="center" vertical="center" wrapText="1" readingOrder="2"/>
    </xf>
    <xf numFmtId="0" fontId="34" fillId="13" borderId="9" applyAlignment="1" pivotButton="0" quotePrefix="0" xfId="0">
      <alignment horizontal="center" vertical="center" wrapText="1" readingOrder="2"/>
    </xf>
    <xf numFmtId="0" fontId="31" fillId="0" borderId="0" applyAlignment="1" pivotButton="0" quotePrefix="0" xfId="0">
      <alignment horizontal="right" vertical="center" readingOrder="2"/>
    </xf>
    <xf numFmtId="0" fontId="38" fillId="17" borderId="9" applyAlignment="1" pivotButton="0" quotePrefix="0" xfId="0">
      <alignment horizontal="center" vertical="center" wrapText="1" readingOrder="2"/>
    </xf>
    <xf numFmtId="0" fontId="37" fillId="0" borderId="0" applyAlignment="1" pivotButton="0" quotePrefix="0" xfId="0">
      <alignment horizontal="center" vertical="center" wrapText="1" readingOrder="2"/>
    </xf>
    <xf numFmtId="184" fontId="39" fillId="20" borderId="9" applyAlignment="1" pivotButton="0" quotePrefix="0" xfId="0">
      <alignment horizontal="center" vertical="center" wrapText="1" readingOrder="2"/>
    </xf>
    <xf numFmtId="177" fontId="39" fillId="20" borderId="9" applyAlignment="1" pivotButton="0" quotePrefix="0" xfId="0">
      <alignment horizontal="center" vertical="center" wrapText="1" readingOrder="2"/>
    </xf>
    <xf numFmtId="178" fontId="39" fillId="20" borderId="9" applyAlignment="1" pivotButton="0" quotePrefix="0" xfId="0">
      <alignment horizontal="center" vertical="center" wrapText="1" readingOrder="2"/>
    </xf>
    <xf numFmtId="179" fontId="39" fillId="20" borderId="9" applyAlignment="1" pivotButton="0" quotePrefix="0" xfId="0">
      <alignment horizontal="center" vertical="center" wrapText="1" readingOrder="2"/>
    </xf>
    <xf numFmtId="2" fontId="38" fillId="17" borderId="9" applyAlignment="1" pivotButton="0" quotePrefix="0" xfId="0">
      <alignment horizontal="center" vertical="center" wrapText="1" readingOrder="2"/>
    </xf>
    <xf numFmtId="170" fontId="38" fillId="17" borderId="9" applyAlignment="1" pivotButton="0" quotePrefix="0" xfId="0">
      <alignment horizontal="center" vertical="center" wrapText="1" readingOrder="2"/>
    </xf>
    <xf numFmtId="3" fontId="38" fillId="17" borderId="9" applyAlignment="1" pivotButton="0" quotePrefix="0" xfId="0">
      <alignment horizontal="center" vertical="center" wrapText="1" readingOrder="2"/>
    </xf>
    <xf numFmtId="1" fontId="38" fillId="17" borderId="9" applyAlignment="1" pivotButton="0" quotePrefix="0" xfId="0">
      <alignment horizontal="center" vertical="center" wrapText="1" readingOrder="2"/>
    </xf>
    <xf numFmtId="0" fontId="0" fillId="0" borderId="9" applyAlignment="1" pivotButton="0" quotePrefix="0" xfId="0">
      <alignment horizontal="center" vertical="center" wrapText="1" readingOrder="2"/>
    </xf>
    <xf numFmtId="177" fontId="30" fillId="20" borderId="9" applyAlignment="1" pivotButton="0" quotePrefix="0" xfId="0">
      <alignment horizontal="center" vertical="center" wrapText="1" readingOrder="2"/>
    </xf>
    <xf numFmtId="177" fontId="38" fillId="17" borderId="9" applyAlignment="1" pivotButton="0" quotePrefix="0" xfId="0">
      <alignment horizontal="center" vertical="center" wrapText="1" readingOrder="2"/>
    </xf>
    <xf numFmtId="3" fontId="30" fillId="20" borderId="9" applyAlignment="1" pivotButton="0" quotePrefix="0" xfId="0">
      <alignment horizontal="center" vertical="center" wrapText="1" readingOrder="2"/>
    </xf>
    <xf numFmtId="185" fontId="30" fillId="20" borderId="9" applyAlignment="1" pivotButton="0" quotePrefix="0" xfId="0">
      <alignment horizontal="center" vertical="center" wrapText="1" readingOrder="2"/>
    </xf>
    <xf numFmtId="9" fontId="30" fillId="20" borderId="9" applyAlignment="1" pivotButton="0" quotePrefix="0" xfId="0">
      <alignment horizontal="center" vertical="center" wrapText="1" readingOrder="2"/>
    </xf>
    <xf numFmtId="3" fontId="30" fillId="21" borderId="9" applyAlignment="1" pivotButton="0" quotePrefix="0" xfId="0">
      <alignment horizontal="center" vertical="center" wrapText="1" readingOrder="2"/>
    </xf>
    <xf numFmtId="0" fontId="31" fillId="21" borderId="9" applyAlignment="1" pivotButton="0" quotePrefix="0" xfId="0">
      <alignment horizontal="center" vertical="center" wrapText="1" readingOrder="2"/>
    </xf>
    <xf numFmtId="3" fontId="31" fillId="21" borderId="9" applyAlignment="1" pivotButton="0" quotePrefix="0" xfId="0">
      <alignment horizontal="center" vertical="center" wrapText="1" readingOrder="2"/>
    </xf>
    <xf numFmtId="9" fontId="31" fillId="21" borderId="9" applyAlignment="1" pivotButton="0" quotePrefix="0" xfId="0">
      <alignment horizontal="center" vertical="center" wrapText="1" readingOrder="2"/>
    </xf>
    <xf numFmtId="185" fontId="30" fillId="0" borderId="9" applyAlignment="1" pivotButton="0" quotePrefix="0" xfId="0">
      <alignment horizontal="center" vertical="center" wrapText="1" readingOrder="2"/>
    </xf>
    <xf numFmtId="170" fontId="30" fillId="0" borderId="9" applyAlignment="1" pivotButton="0" quotePrefix="0" xfId="0">
      <alignment horizontal="center" vertical="center" wrapText="1" readingOrder="2"/>
    </xf>
    <xf numFmtId="0" fontId="40" fillId="0" borderId="0" applyAlignment="1" pivotButton="0" quotePrefix="0" xfId="0">
      <alignment horizontal="right" vertical="center" readingOrder="2"/>
    </xf>
    <xf numFmtId="1" fontId="30" fillId="0" borderId="9" applyAlignment="1" pivotButton="0" quotePrefix="0" xfId="0">
      <alignment horizontal="center" vertical="center" wrapText="1" readingOrder="2"/>
    </xf>
    <xf numFmtId="186" fontId="30" fillId="0" borderId="9" applyAlignment="1" pivotButton="0" quotePrefix="0" xfId="0">
      <alignment horizontal="center" vertical="center" wrapText="1" readingOrder="2"/>
    </xf>
    <xf numFmtId="4" fontId="34" fillId="0" borderId="9" applyAlignment="1" pivotButton="0" quotePrefix="0" xfId="0">
      <alignment horizontal="center" vertical="center" wrapText="1" readingOrder="2"/>
    </xf>
    <xf numFmtId="9" fontId="38" fillId="17" borderId="9" applyAlignment="1" pivotButton="0" quotePrefix="0" xfId="0">
      <alignment horizontal="center" vertical="center" wrapText="1" readingOrder="2"/>
    </xf>
    <xf numFmtId="0" fontId="43" fillId="17" borderId="9" applyAlignment="1" pivotButton="0" quotePrefix="0" xfId="0">
      <alignment horizontal="general" vertical="bottom"/>
    </xf>
    <xf numFmtId="0" fontId="43" fillId="0" borderId="9" applyAlignment="1" pivotButton="0" quotePrefix="0" xfId="0">
      <alignment horizontal="center" vertical="center" wrapText="1" readingOrder="2"/>
    </xf>
    <xf numFmtId="173" fontId="38" fillId="17" borderId="9" applyAlignment="1" pivotButton="0" quotePrefix="0" xfId="0">
      <alignment horizontal="center" vertical="center" wrapText="1" readingOrder="2"/>
    </xf>
    <xf numFmtId="180" fontId="34" fillId="18" borderId="9" applyAlignment="1" pivotButton="0" quotePrefix="0" xfId="0">
      <alignment horizontal="center" vertical="center" wrapText="1" readingOrder="2"/>
    </xf>
    <xf numFmtId="180" fontId="34" fillId="13" borderId="9" applyAlignment="1" pivotButton="0" quotePrefix="0" xfId="0">
      <alignment horizontal="center" vertical="center" wrapText="1" readingOrder="2"/>
    </xf>
    <xf numFmtId="180" fontId="34" fillId="22" borderId="9" applyAlignment="1" pivotButton="0" quotePrefix="0" xfId="0">
      <alignment horizontal="center" vertical="center" wrapText="1" readingOrder="2"/>
    </xf>
    <xf numFmtId="180" fontId="34" fillId="17" borderId="9" applyAlignment="1" pivotButton="0" quotePrefix="0" xfId="0">
      <alignment horizontal="center" vertical="center" wrapText="1" readingOrder="2"/>
    </xf>
    <xf numFmtId="0" fontId="31" fillId="0" borderId="0" pivotButton="0" quotePrefix="0" xfId="0"/>
    <xf numFmtId="2" fontId="30" fillId="0" borderId="9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center" vertical="center" wrapText="1" readingOrder="2"/>
    </xf>
    <xf numFmtId="0" fontId="41" fillId="23" borderId="0" pivotButton="0" quotePrefix="0" xfId="0"/>
    <xf numFmtId="187" fontId="30" fillId="0" borderId="9" applyAlignment="1" pivotButton="0" quotePrefix="0" xfId="0">
      <alignment horizontal="center" vertical="center" wrapText="1" readingOrder="2"/>
    </xf>
    <xf numFmtId="188" fontId="30" fillId="0" borderId="9" applyAlignment="1" pivotButton="0" quotePrefix="0" xfId="0">
      <alignment horizontal="center" vertical="center" wrapText="1" readingOrder="2"/>
    </xf>
    <xf numFmtId="0" fontId="30" fillId="0" borderId="9" pivotButton="0" quotePrefix="0" xfId="0"/>
    <xf numFmtId="0" fontId="30" fillId="21" borderId="9" applyAlignment="1" pivotButton="0" quotePrefix="0" xfId="0">
      <alignment horizontal="center" vertical="center" wrapText="1" readingOrder="2"/>
    </xf>
    <xf numFmtId="187" fontId="30" fillId="21" borderId="9" applyAlignment="1" pivotButton="0" quotePrefix="0" xfId="0">
      <alignment horizontal="center" vertical="center" wrapText="1" readingOrder="2"/>
    </xf>
    <xf numFmtId="188" fontId="30" fillId="21" borderId="9" applyAlignment="1" pivotButton="0" quotePrefix="0" xfId="0">
      <alignment horizontal="center" vertical="center" wrapText="1" readingOrder="2"/>
    </xf>
    <xf numFmtId="0" fontId="30" fillId="21" borderId="9" pivotButton="0" quotePrefix="0" xfId="0"/>
    <xf numFmtId="189" fontId="30" fillId="0" borderId="9" applyAlignment="1" pivotButton="0" quotePrefix="0" xfId="0">
      <alignment horizontal="center" vertical="center" wrapText="1" readingOrder="2"/>
    </xf>
    <xf numFmtId="190" fontId="30" fillId="0" borderId="9" applyAlignment="1" pivotButton="0" quotePrefix="0" xfId="0">
      <alignment horizontal="center" vertical="center" wrapText="1" readingOrder="2"/>
    </xf>
    <xf numFmtId="0" fontId="41" fillId="0" borderId="9" applyAlignment="1" pivotButton="0" quotePrefix="0" xfId="0">
      <alignment horizontal="right" vertical="top" wrapText="1" readingOrder="2"/>
    </xf>
    <xf numFmtId="1" fontId="31" fillId="21" borderId="9" applyAlignment="1" pivotButton="0" quotePrefix="0" xfId="0">
      <alignment horizontal="center" vertical="center" wrapText="1" readingOrder="2"/>
    </xf>
    <xf numFmtId="189" fontId="31" fillId="21" borderId="9" applyAlignment="1" pivotButton="0" quotePrefix="0" xfId="0">
      <alignment horizontal="center" vertical="center" wrapText="1" readingOrder="2"/>
    </xf>
    <xf numFmtId="2" fontId="31" fillId="21" borderId="9" applyAlignment="1" pivotButton="0" quotePrefix="0" xfId="0">
      <alignment horizontal="center" vertical="center" wrapText="1" readingOrder="2"/>
    </xf>
    <xf numFmtId="188" fontId="31" fillId="21" borderId="9" applyAlignment="1" pivotButton="0" quotePrefix="0" xfId="0">
      <alignment horizontal="center" vertical="center" wrapText="1" readingOrder="2"/>
    </xf>
    <xf numFmtId="190" fontId="31" fillId="21" borderId="9" applyAlignment="1" pivotButton="0" quotePrefix="0" xfId="0">
      <alignment horizontal="center" vertical="center" wrapText="1" readingOrder="2"/>
    </xf>
    <xf numFmtId="0" fontId="31" fillId="0" borderId="9" applyAlignment="1" pivotButton="0" quotePrefix="0" xfId="0">
      <alignment horizontal="right" vertical="center" readingOrder="2"/>
    </xf>
    <xf numFmtId="0" fontId="41" fillId="0" borderId="0" applyAlignment="1" pivotButton="0" quotePrefix="0" xfId="0">
      <alignment horizontal="right" vertical="top" wrapText="1" readingOrder="2"/>
    </xf>
    <xf numFmtId="1" fontId="30" fillId="20" borderId="9" applyAlignment="1" pivotButton="0" quotePrefix="0" xfId="0">
      <alignment horizontal="center" vertical="center" wrapText="1" readingOrder="2"/>
    </xf>
    <xf numFmtId="189" fontId="30" fillId="20" borderId="9" applyAlignment="1" pivotButton="0" quotePrefix="0" xfId="0">
      <alignment horizontal="center" vertical="center" wrapText="1" readingOrder="2"/>
    </xf>
    <xf numFmtId="191" fontId="39" fillId="20" borderId="9" applyAlignment="1" pivotButton="0" quotePrefix="0" xfId="0">
      <alignment horizontal="center" vertical="center" wrapText="1" readingOrder="2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ont>
        <name val="DIN Next Arabic"/>
        <charset val="1"/>
        <family val="0"/>
        <b val="1"/>
        <color rgb="FF9A3E2C"/>
        <sz val="10"/>
      </font>
      <fill>
        <patternFill>
          <bgColor rgb="FFF2DAD4"/>
        </patternFill>
      </fill>
    </dxf>
    <dxf>
      <font>
        <name val="DIN Next Arabic"/>
        <charset val="1"/>
        <family val="0"/>
        <b val="1"/>
        <color rgb="FF1F5E4A"/>
        <sz val="10"/>
      </font>
      <fill>
        <patternFill>
          <bgColor rgb="FFD6E9E1"/>
        </patternFill>
      </fill>
    </dxf>
    <dxf>
      <font>
        <name val="DIN Next Arabic"/>
        <charset val="1"/>
        <family val="0"/>
        <color rgb="FF9A3E2C"/>
        <sz val="10"/>
      </font>
      <fill>
        <patternFill>
          <bgColor rgb="FFF2DAD4"/>
        </patternFill>
      </fill>
    </dxf>
    <dxf>
      <font>
        <name val="DIN Next Arabic"/>
        <charset val="1"/>
        <family val="0"/>
        <color rgb="FF1F5E4A"/>
        <sz val="10"/>
      </font>
      <fill>
        <patternFill>
          <bgColor rgb="FFD6E9E1"/>
        </patternFill>
      </fill>
    </dxf>
    <dxf>
      <font>
        <name val="DIN Next Arabic"/>
        <charset val="1"/>
        <family val="0"/>
        <b val="1"/>
        <color rgb="FFA8681A"/>
        <sz val="10"/>
      </font>
      <fill>
        <patternFill>
          <bgColor rgb="FFFCE7C8"/>
        </patternFill>
      </fill>
    </dxf>
    <dxf>
      <fill>
        <patternFill>
          <bgColor rgb="FFD6E9E1"/>
        </patternFill>
      </fill>
    </dxf>
    <dxf>
      <fill>
        <patternFill>
          <bgColor rgb="FFFCE7C8"/>
        </patternFill>
      </fill>
    </dxf>
    <dxf>
      <font>
        <name val="DIN Next Arabic"/>
        <b val="1"/>
        <color rgb="009A3E2C"/>
        <sz val="10"/>
      </font>
      <fill>
        <patternFill patternType="solid">
          <fgColor rgb="00F2DAD4"/>
        </patternFill>
      </fill>
    </dxf>
    <dxf>
      <font>
        <name val="DIN Next Arabic"/>
        <b val="1"/>
        <color rgb="001F5E4A"/>
        <sz val="10"/>
      </font>
      <fill>
        <patternFill patternType="solid">
          <fgColor rgb="00D6E9E1"/>
        </patternFill>
      </fill>
    </dxf>
    <dxf>
      <font>
        <name val="DIN Next Arabic"/>
        <color rgb="009A3E2C"/>
        <sz val="10"/>
      </font>
      <fill>
        <patternFill patternType="solid">
          <fgColor rgb="00F2DAD4"/>
        </patternFill>
      </fill>
    </dxf>
    <dxf>
      <font>
        <name val="DIN Next Arabic"/>
        <color rgb="001F5E4A"/>
        <sz val="10"/>
      </font>
      <fill>
        <patternFill patternType="solid">
          <fgColor rgb="00D6E9E1"/>
        </patternFill>
      </fill>
    </dxf>
    <dxf>
      <font>
        <name val="DIN Next Arabic"/>
        <b val="1"/>
        <color rgb="00A8681A"/>
        <sz val="10"/>
      </font>
      <fill>
        <patternFill patternType="solid">
          <fgColor rgb="00FCE7C8"/>
        </patternFill>
      </fill>
    </dxf>
    <dxf>
      <fill>
        <patternFill patternType="solid">
          <fgColor rgb="00D6E9E1"/>
        </patternFill>
      </fill>
    </dxf>
    <dxf>
      <fill>
        <patternFill patternType="solid">
          <fgColor rgb="00FCE7C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81A"/>
      <rgbColor rgb="FF800080"/>
      <rgbColor rgb="FF1F5E4A"/>
      <rgbColor rgb="FFBFBFBF"/>
      <rgbColor rgb="FF55565A"/>
      <rgbColor rgb="FFE7E6E6"/>
      <rgbColor rgb="FF993366"/>
      <rgbColor rgb="FFFBEEE0"/>
      <rgbColor rgb="FFDDEBF7"/>
      <rgbColor rgb="FF660066"/>
      <rgbColor rgb="FFFF8080"/>
      <rgbColor rgb="FF0066CC"/>
      <rgbColor rgb="FFD9E2F3"/>
      <rgbColor rgb="FF000080"/>
      <rgbColor rgb="FFFF00FF"/>
      <rgbColor rgb="FFFCE7C8"/>
      <rgbColor rgb="FF00FFFF"/>
      <rgbColor rgb="FF800080"/>
      <rgbColor rgb="FF800000"/>
      <rgbColor rgb="FF3E6E8E"/>
      <rgbColor rgb="FF0000FF"/>
      <rgbColor rgb="FF00CCFF"/>
      <rgbColor rgb="FFF5F2ED"/>
      <rgbColor rgb="FFD6E9E1"/>
      <rgbColor rgb="FFFFE699"/>
      <rgbColor rgb="FFC6E0B4"/>
      <rgbColor rgb="FFF2DAD4"/>
      <rgbColor rgb="FFE3DCD1"/>
      <rgbColor rgb="FFF8CBAD"/>
      <rgbColor rgb="FF3366FF"/>
      <rgbColor rgb="FF33CCCC"/>
      <rgbColor rgb="FF99CC00"/>
      <rgbColor rgb="FFEDE7DE"/>
      <rgbColor rgb="FFF5831F"/>
      <rgbColor rgb="FFFF6600"/>
      <rgbColor rgb="FF6E6A64"/>
      <rgbColor rgb="FF9B968E"/>
      <rgbColor rgb="FF1F3864"/>
      <rgbColor rgb="FF2E8B6F"/>
      <rgbColor rgb="FF003300"/>
      <rgbColor rgb="FF333300"/>
      <rgbColor rgb="FF9A3E2C"/>
      <rgbColor rgb="FF993366"/>
      <rgbColor rgb="FF44546A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0" customWidth="1" style="106" min="2" max="2"/>
    <col width="16" customWidth="1" style="106" min="3" max="3"/>
    <col width="26" customWidth="1" style="106" min="4" max="4"/>
    <col width="22" customWidth="1" style="106" min="5" max="5"/>
    <col width="40" customWidth="1" style="106" min="6" max="6"/>
  </cols>
  <sheetData>
    <row r="1" ht="25.5" customHeight="1" s="107">
      <c r="A1" s="118" t="inlineStr">
        <is>
          <t>الخطة التجارية — ثلاثة منافذ بيع</t>
        </is>
      </c>
      <c r="B1" s="109" t="n"/>
      <c r="C1" s="109" t="n"/>
      <c r="D1" s="109" t="n"/>
      <c r="E1" s="109" t="n"/>
      <c r="F1" s="109" t="n"/>
    </row>
    <row r="2" ht="18" customHeight="1" s="107">
      <c r="A2" s="119" t="inlineStr">
        <is>
          <t>الوقود (شركات · أفراد) · العقار والتأجير · الإكسسوارات</t>
        </is>
      </c>
      <c r="B2" s="109" t="n"/>
      <c r="C2" s="109" t="n"/>
      <c r="D2" s="109" t="n"/>
      <c r="E2" s="109" t="n"/>
      <c r="F2" s="109" t="n"/>
    </row>
    <row r="3">
      <c r="A3" s="109" t="n"/>
      <c r="B3" s="109" t="n"/>
      <c r="C3" s="109" t="n"/>
      <c r="D3" s="109" t="n"/>
      <c r="E3" s="109" t="n"/>
      <c r="F3" s="109" t="n"/>
    </row>
    <row r="4" ht="30" customHeight="1" s="107">
      <c r="A4" s="111" t="inlineStr">
        <is>
          <t>#</t>
        </is>
      </c>
      <c r="B4" s="111" t="inlineStr">
        <is>
          <t>المنفذ</t>
        </is>
      </c>
      <c r="C4" s="111" t="inlineStr">
        <is>
          <t>القناة</t>
        </is>
      </c>
      <c r="D4" s="111" t="inlineStr">
        <is>
          <t>المسيطر على السوق</t>
        </is>
      </c>
      <c r="E4" s="111" t="inlineStr">
        <is>
          <t>موقعنا</t>
        </is>
      </c>
      <c r="F4" s="111" t="inlineStr">
        <is>
          <t>محور الخطة</t>
        </is>
      </c>
    </row>
    <row r="5" ht="43.5" customHeight="1" s="107">
      <c r="A5" s="112" t="n">
        <v>1</v>
      </c>
      <c r="B5" s="113" t="inlineStr">
        <is>
          <t>الوقود</t>
        </is>
      </c>
      <c r="C5" s="112" t="inlineStr">
        <is>
          <t>أفراد</t>
        </is>
      </c>
      <c r="D5" s="114" t="inlineStr">
        <is>
          <t>كل مشغّلي المحطات — الدريس · ساسكو · أرامكو</t>
        </is>
      </c>
      <c r="E5" s="114" t="inlineStr">
        <is>
          <t>126 محطة تحت الهوية</t>
        </is>
      </c>
      <c r="F5" s="114" t="inlineStr">
        <is>
          <t>سرعة الخدمة: تدريب العمالة · مستهدف لكل محطة · حافز لكل عامل · خفض المصاريف</t>
        </is>
      </c>
    </row>
    <row r="6" ht="43.5" customHeight="1" s="107">
      <c r="A6" s="112" t="n">
        <v>2</v>
      </c>
      <c r="B6" s="113" t="inlineStr">
        <is>
          <t>الوقود</t>
        </is>
      </c>
      <c r="C6" s="112" t="inlineStr">
        <is>
          <t>شركات</t>
        </is>
      </c>
      <c r="D6" s="114" t="inlineStr">
        <is>
          <t>بترو آب · واعي · سيارة آب · Fleet Plus · كنترول</t>
        </is>
      </c>
      <c r="E6" s="114" t="inlineStr">
        <is>
          <t>حجم قائم بلا عقود</t>
        </is>
      </c>
      <c r="F6" s="114" t="inlineStr">
        <is>
          <t>مندوب أساطيل الحج والعمرة · خصم هللة لكل لتر · الاشتراك في كل منصة</t>
        </is>
      </c>
    </row>
    <row r="7" ht="43.5" customHeight="1" s="107">
      <c r="A7" s="112" t="n">
        <v>3</v>
      </c>
      <c r="B7" s="113" t="inlineStr">
        <is>
          <t>العقار والتأجير</t>
        </is>
      </c>
      <c r="C7" s="112" t="inlineStr">
        <is>
          <t>وسطاء</t>
        </is>
      </c>
      <c r="D7" s="114" t="inlineStr">
        <is>
          <t>الوسطاء العقاريون — لا سلسلة مسيطرة</t>
        </is>
      </c>
      <c r="E7" s="114" t="inlineStr">
        <is>
          <t>96 وحدة شاغرة · إشغال 25%</t>
        </is>
      </c>
      <c r="F7" s="114" t="inlineStr">
        <is>
          <t>شبكة وسطاء بعمولة · ومعيار افتتاح: مغسلة وسوبرماركت مع كل محطة</t>
        </is>
      </c>
    </row>
    <row r="8" ht="43.5" customHeight="1" s="107">
      <c r="A8" s="112" t="n">
        <v>4</v>
      </c>
      <c r="B8" s="113" t="inlineStr">
        <is>
          <t>الإكسسوارات</t>
        </is>
      </c>
      <c r="C8" s="112" t="inlineStr">
        <is>
          <t>تجزئة</t>
        </is>
      </c>
      <c r="D8" s="114" t="inlineStr">
        <is>
          <t>أصحاب محلات التجزئة — سوق مجزّأ</t>
        </is>
      </c>
      <c r="E8" s="114" t="inlineStr">
        <is>
          <t>غير مُفعّل</t>
        </is>
      </c>
      <c r="F8" s="114" t="inlineStr">
        <is>
          <t>تأجير مساحة بيع ومساحة في التطبيق مقابل نسبة من المبيعات</t>
        </is>
      </c>
    </row>
    <row r="9">
      <c r="A9" s="109" t="n"/>
      <c r="B9" s="109" t="n"/>
      <c r="C9" s="109" t="n"/>
      <c r="D9" s="109" t="n"/>
      <c r="E9" s="109" t="n"/>
      <c r="F9" s="109" t="n"/>
    </row>
    <row r="10" ht="15" customHeight="1" s="107">
      <c r="A10" s="109" t="n"/>
      <c r="B10" s="128" t="inlineStr">
        <is>
          <t>المبدأ</t>
        </is>
      </c>
      <c r="C10" s="109" t="n"/>
      <c r="D10" s="109" t="n"/>
      <c r="E10" s="109" t="n"/>
      <c r="F10" s="109" t="n"/>
    </row>
    <row r="11" ht="15.75" customHeight="1" s="107">
      <c r="A11" s="109" t="n"/>
      <c r="B11" s="109" t="n"/>
      <c r="C11" s="129" t="inlineStr">
        <is>
          <t>•  ثلاثة منافذ فقط — وكل ما عداها يخدمها أو يتبعها</t>
        </is>
      </c>
      <c r="D11" s="109" t="n"/>
      <c r="E11" s="109" t="n"/>
      <c r="F11" s="109" t="n"/>
    </row>
    <row r="12" ht="15.75" customHeight="1" s="107">
      <c r="A12" s="109" t="n"/>
      <c r="B12" s="109" t="n"/>
      <c r="C12" s="129" t="inlineStr">
        <is>
          <t>•  الوقود قناتان مختلفتان تماماً في العميل وأداة البيع والمنافس</t>
        </is>
      </c>
      <c r="D12" s="109" t="n"/>
      <c r="E12" s="109" t="n"/>
      <c r="F12" s="109" t="n"/>
    </row>
    <row r="13" ht="15.75" customHeight="1" s="107">
      <c r="A13" s="109" t="n"/>
      <c r="B13" s="109" t="n"/>
      <c r="C13" s="129" t="inlineStr">
        <is>
          <t>•  في العقار والإكسسوارات لا مسيطر — وهما أضعف منافذنا وأقلّها منافسة</t>
        </is>
      </c>
      <c r="D13" s="109" t="n"/>
      <c r="E13" s="109" t="n"/>
      <c r="F13" s="109" t="n"/>
    </row>
    <row r="14">
      <c r="A14" s="109" t="n"/>
      <c r="B14" s="109" t="n"/>
      <c r="C14" s="109" t="n"/>
      <c r="D14" s="109" t="n"/>
      <c r="E14" s="109" t="n"/>
      <c r="F14" s="109" t="n"/>
    </row>
    <row r="15" ht="15" customHeight="1" s="107">
      <c r="A15" s="109" t="n"/>
      <c r="B15" s="117" t="inlineStr">
        <is>
          <t>قاعدة القرار</t>
        </is>
      </c>
      <c r="C15" s="109" t="n"/>
      <c r="D15" s="109" t="n"/>
      <c r="E15" s="109" t="n"/>
      <c r="F15" s="109" t="n"/>
    </row>
    <row r="16" ht="15.75" customHeight="1" s="107">
      <c r="A16" s="109" t="n"/>
      <c r="B16" s="109" t="n"/>
      <c r="C16" s="129" t="inlineStr">
        <is>
          <t>•  الوحدة الشاغرة تُحسب تكلفة لا فرصة ضائعة — التمويل والإهلاك مدفوعان</t>
        </is>
      </c>
      <c r="D16" s="109" t="n"/>
      <c r="E16" s="109" t="n"/>
      <c r="F16" s="109" t="n"/>
    </row>
    <row r="17" ht="15.75" customHeight="1" s="107">
      <c r="A17" s="109" t="n"/>
      <c r="B17" s="109" t="n"/>
      <c r="C17" s="129" t="inlineStr">
        <is>
          <t>•  فعمولة الوسيط أرخص من بقاء الوحدة شاغرة</t>
        </is>
      </c>
      <c r="D17" s="109" t="n"/>
      <c r="E17" s="109" t="n"/>
      <c r="F17" s="109" t="n"/>
    </row>
    <row r="18" ht="15.75" customHeight="1" s="107">
      <c r="A18" s="109" t="n"/>
      <c r="B18" s="109" t="n"/>
      <c r="C18" s="129" t="inlineStr">
        <is>
          <t>•  وسعر الوقود مقنَّن — فالربح من الحجم والخدمة لا من السعر</t>
        </is>
      </c>
      <c r="D18" s="109" t="n"/>
      <c r="E18" s="109" t="n"/>
      <c r="F18" s="109" t="n"/>
    </row>
  </sheetData>
  <mergeCells count="8">
    <mergeCell ref="C13:F13"/>
    <mergeCell ref="A2:F2"/>
    <mergeCell ref="C18:F18"/>
    <mergeCell ref="C17:F17"/>
    <mergeCell ref="A1:F1"/>
    <mergeCell ref="C12:F12"/>
    <mergeCell ref="C16:F16"/>
    <mergeCell ref="C11:F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7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style="107" min="1" max="1"/>
    <col width="30" customWidth="1" style="107" min="2" max="2"/>
    <col width="14" customWidth="1" style="107" min="3" max="3"/>
    <col width="14" customWidth="1" style="107" min="4" max="4"/>
    <col width="13" customWidth="1" style="107" min="5" max="5"/>
    <col width="14" customWidth="1" style="107" min="6" max="6"/>
    <col width="12" customWidth="1" style="107" min="7" max="7"/>
    <col width="12" customWidth="1" style="107" min="8" max="8"/>
    <col width="12" customWidth="1" style="107" min="9" max="9"/>
    <col width="12" customWidth="1" style="107" min="10" max="10"/>
    <col width="40" customWidth="1" style="107" min="11" max="11"/>
  </cols>
  <sheetData>
    <row r="1" ht="26" customHeight="1" s="107">
      <c r="A1" s="118" t="inlineStr">
        <is>
          <t>الأداء المالي — يناير إلى يوليو ٢٠٢٦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</row>
    <row r="2" ht="16" customHeight="1" s="107">
      <c r="A2" s="119" t="inlineStr">
        <is>
          <t>من تقرير درب التجاري (النسخة المصححة) · ألف ريال سعودي</t>
        </is>
      </c>
      <c r="B2" s="109" t="n"/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</row>
    <row r="3" ht="3.5" customHeight="1" s="107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2" customHeight="1" s="107">
      <c r="A4" s="131" t="inlineStr">
        <is>
          <t>① قائمة الدخل التراكمية</t>
        </is>
      </c>
      <c r="B4" s="109" t="n"/>
      <c r="C4" s="109" t="n"/>
      <c r="D4" s="109" t="n"/>
      <c r="E4" s="109" t="n"/>
      <c r="F4" s="109" t="n"/>
      <c r="G4" s="109" t="n"/>
      <c r="H4" s="109" t="n"/>
      <c r="I4" s="109" t="n"/>
      <c r="J4" s="109" t="n"/>
      <c r="K4" s="109" t="n"/>
    </row>
    <row r="5" ht="30" customHeight="1" s="107">
      <c r="A5" s="120" t="inlineStr">
        <is>
          <t>#</t>
        </is>
      </c>
      <c r="B5" s="120" t="inlineStr">
        <is>
          <t>البند</t>
        </is>
      </c>
      <c r="C5" s="120" t="inlineStr">
        <is>
          <t>الفعلي</t>
        </is>
      </c>
      <c r="D5" s="120" t="inlineStr">
        <is>
          <t>الموازنة</t>
        </is>
      </c>
      <c r="E5" s="120" t="inlineStr">
        <is>
          <t>الفرق</t>
        </is>
      </c>
      <c r="F5" s="120" t="inlineStr">
        <is>
          <t>العام الماضي</t>
        </is>
      </c>
      <c r="G5" s="120" t="inlineStr"/>
      <c r="H5" s="120" t="inlineStr"/>
      <c r="I5" s="120" t="inlineStr"/>
      <c r="J5" s="120" t="inlineStr"/>
      <c r="K5" s="120" t="inlineStr">
        <is>
          <t>ملاحظة</t>
        </is>
      </c>
    </row>
    <row r="6" ht="19" customHeight="1" s="107">
      <c r="A6" s="121" t="n">
        <v>1</v>
      </c>
      <c r="B6" s="121" t="inlineStr">
        <is>
          <t>إيرادات الوقود</t>
        </is>
      </c>
      <c r="C6" s="215" t="n">
        <v>1173578</v>
      </c>
      <c r="D6" s="215" t="n">
        <v>1219570</v>
      </c>
      <c r="E6" s="216" t="n">
        <v>-45992</v>
      </c>
      <c r="F6" s="215" t="n">
        <v>411451</v>
      </c>
      <c r="G6" s="121" t="n"/>
      <c r="H6" s="121" t="n"/>
      <c r="I6" s="121" t="n"/>
      <c r="J6" s="121" t="n"/>
      <c r="K6" s="217" t="n"/>
    </row>
    <row r="7" ht="19" customHeight="1" s="107">
      <c r="A7" s="121" t="n">
        <v>2</v>
      </c>
      <c r="B7" s="121" t="inlineStr">
        <is>
          <t>تكلفة المبيعات</t>
        </is>
      </c>
      <c r="C7" s="215" t="n">
        <v>-1133905</v>
      </c>
      <c r="D7" s="215" t="n">
        <v>-1177404</v>
      </c>
      <c r="E7" s="216" t="n">
        <v>43499</v>
      </c>
      <c r="F7" s="215" t="n">
        <v>-391474</v>
      </c>
      <c r="G7" s="121" t="n"/>
      <c r="H7" s="121" t="n"/>
      <c r="I7" s="121" t="n"/>
      <c r="J7" s="121" t="n"/>
      <c r="K7" s="217" t="n"/>
    </row>
    <row r="8" ht="19" customHeight="1" s="107">
      <c r="A8" s="218" t="n">
        <v>3</v>
      </c>
      <c r="B8" s="194" t="inlineStr">
        <is>
          <t>هامش المساهمة — الوقود</t>
        </is>
      </c>
      <c r="C8" s="219" t="n">
        <v>39673</v>
      </c>
      <c r="D8" s="219" t="n">
        <v>42166</v>
      </c>
      <c r="E8" s="220" t="n">
        <v>-2493</v>
      </c>
      <c r="F8" s="219" t="n">
        <v>19976</v>
      </c>
      <c r="G8" s="218" t="n"/>
      <c r="H8" s="218" t="n"/>
      <c r="I8" s="218" t="n"/>
      <c r="J8" s="218" t="n"/>
      <c r="K8" s="221" t="n"/>
    </row>
    <row r="9" ht="19" customHeight="1" s="107">
      <c r="A9" s="121" t="n">
        <v>4</v>
      </c>
      <c r="B9" s="121" t="inlineStr">
        <is>
          <t>صافي الإيراد العقاري</t>
        </is>
      </c>
      <c r="C9" s="215" t="n">
        <v>31465</v>
      </c>
      <c r="D9" s="215" t="n">
        <v>33138</v>
      </c>
      <c r="E9" s="216" t="n">
        <v>-1673</v>
      </c>
      <c r="F9" s="215" t="n">
        <v>24887</v>
      </c>
      <c r="G9" s="121" t="n"/>
      <c r="H9" s="121" t="n"/>
      <c r="I9" s="121" t="n"/>
      <c r="J9" s="121" t="n"/>
      <c r="K9" s="217" t="n"/>
    </row>
    <row r="10" ht="19" customHeight="1" s="107">
      <c r="A10" s="121" t="n">
        <v>5</v>
      </c>
      <c r="B10" s="121" t="inlineStr">
        <is>
          <t>إهلاك أصول حق الاستخدام</t>
        </is>
      </c>
      <c r="C10" s="215" t="n">
        <v>-15347</v>
      </c>
      <c r="D10" s="215" t="n">
        <v>-15999</v>
      </c>
      <c r="E10" s="216" t="n">
        <v>652</v>
      </c>
      <c r="F10" s="215" t="n">
        <v>-12391</v>
      </c>
      <c r="G10" s="121" t="n"/>
      <c r="H10" s="121" t="n"/>
      <c r="I10" s="121" t="n"/>
      <c r="J10" s="121" t="n"/>
      <c r="K10" s="217" t="n"/>
    </row>
    <row r="11" ht="19" customHeight="1" s="107">
      <c r="A11" s="121" t="n">
        <v>6</v>
      </c>
      <c r="B11" s="121" t="inlineStr">
        <is>
          <t>تكلفة التمويل</t>
        </is>
      </c>
      <c r="C11" s="215" t="n">
        <v>-15525</v>
      </c>
      <c r="D11" s="215" t="n">
        <v>-14569</v>
      </c>
      <c r="E11" s="216" t="n">
        <v>-956</v>
      </c>
      <c r="F11" s="215" t="n">
        <v>-9828</v>
      </c>
      <c r="G11" s="121" t="n"/>
      <c r="H11" s="121" t="n"/>
      <c r="I11" s="121" t="n"/>
      <c r="J11" s="121" t="n"/>
      <c r="K11" s="217" t="n"/>
    </row>
    <row r="12" ht="19" customHeight="1" s="107">
      <c r="A12" s="121" t="n">
        <v>7</v>
      </c>
      <c r="B12" s="121" t="inlineStr">
        <is>
          <t>هامش المساهمة — العقارات</t>
        </is>
      </c>
      <c r="C12" s="215" t="n">
        <v>593</v>
      </c>
      <c r="D12" s="215" t="n">
        <v>2570</v>
      </c>
      <c r="E12" s="216" t="n">
        <v>-1977</v>
      </c>
      <c r="F12" s="215" t="n">
        <v>2669</v>
      </c>
      <c r="G12" s="121" t="n"/>
      <c r="H12" s="121" t="n"/>
      <c r="I12" s="121" t="n"/>
      <c r="J12" s="121" t="n"/>
      <c r="K12" s="217" t="n"/>
    </row>
    <row r="13" ht="19" customHeight="1" s="107">
      <c r="A13" s="121" t="n">
        <v>8</v>
      </c>
      <c r="B13" s="121" t="inlineStr">
        <is>
          <t>مصاريف التشغيل</t>
        </is>
      </c>
      <c r="C13" s="215" t="n">
        <v>-28704</v>
      </c>
      <c r="D13" s="215" t="n">
        <v>-27760</v>
      </c>
      <c r="E13" s="216" t="n">
        <v>-944</v>
      </c>
      <c r="F13" s="215" t="n">
        <v>-13962</v>
      </c>
      <c r="G13" s="121" t="n"/>
      <c r="H13" s="121" t="n"/>
      <c r="I13" s="121" t="n"/>
      <c r="J13" s="121" t="n"/>
      <c r="K13" s="217" t="n"/>
    </row>
    <row r="14" ht="19" customHeight="1" s="107">
      <c r="A14" s="218" t="n">
        <v>9</v>
      </c>
      <c r="B14" s="194" t="inlineStr">
        <is>
          <t>مجمل الربح</t>
        </is>
      </c>
      <c r="C14" s="219" t="n">
        <v>11563</v>
      </c>
      <c r="D14" s="219" t="n">
        <v>16976</v>
      </c>
      <c r="E14" s="220" t="n">
        <v>-5413</v>
      </c>
      <c r="F14" s="219" t="n">
        <v>8683</v>
      </c>
      <c r="G14" s="218" t="n"/>
      <c r="H14" s="218" t="n"/>
      <c r="I14" s="218" t="n"/>
      <c r="J14" s="218" t="n"/>
      <c r="K14" s="221" t="n"/>
    </row>
    <row r="15" ht="19" customHeight="1" s="107">
      <c r="A15" s="121" t="n">
        <v>10</v>
      </c>
      <c r="B15" s="121" t="inlineStr">
        <is>
          <t>عمومية وإدارية + بيع وتوزيع</t>
        </is>
      </c>
      <c r="C15" s="215" t="n">
        <v>-13958</v>
      </c>
      <c r="D15" s="215" t="n">
        <v>-10927</v>
      </c>
      <c r="E15" s="216" t="n">
        <v>-3031</v>
      </c>
      <c r="F15" s="215" t="n">
        <v>-12063</v>
      </c>
      <c r="G15" s="121" t="n"/>
      <c r="H15" s="121" t="n"/>
      <c r="I15" s="121" t="n"/>
      <c r="J15" s="121" t="n"/>
      <c r="K15" s="217" t="n"/>
    </row>
    <row r="16" ht="19" customHeight="1" s="107">
      <c r="A16" s="121" t="n">
        <v>11</v>
      </c>
      <c r="B16" s="121" t="inlineStr">
        <is>
          <t>فوائد القروض</t>
        </is>
      </c>
      <c r="C16" s="215" t="n">
        <v>-3043</v>
      </c>
      <c r="D16" s="215" t="n">
        <v>-1653</v>
      </c>
      <c r="E16" s="216" t="n">
        <v>-1390</v>
      </c>
      <c r="F16" s="215" t="n">
        <v>-459</v>
      </c>
      <c r="G16" s="121" t="n"/>
      <c r="H16" s="121" t="n"/>
      <c r="I16" s="121" t="n"/>
      <c r="J16" s="121" t="n"/>
      <c r="K16" s="217" t="n"/>
    </row>
    <row r="17" ht="19" customHeight="1" s="107">
      <c r="A17" s="121" t="n">
        <v>12</v>
      </c>
      <c r="B17" s="121" t="inlineStr">
        <is>
          <t>الزكاة</t>
        </is>
      </c>
      <c r="C17" s="215" t="n">
        <v>-120</v>
      </c>
      <c r="D17" s="215" t="n">
        <v>-110</v>
      </c>
      <c r="E17" s="216" t="n">
        <v>-10</v>
      </c>
      <c r="F17" s="215" t="n">
        <v>-101</v>
      </c>
      <c r="G17" s="121" t="n"/>
      <c r="H17" s="121" t="n"/>
      <c r="I17" s="121" t="n"/>
      <c r="J17" s="121" t="n"/>
      <c r="K17" s="217" t="n"/>
    </row>
    <row r="18" ht="19" customHeight="1" s="107">
      <c r="A18" s="218" t="n">
        <v>13</v>
      </c>
      <c r="B18" s="194" t="inlineStr">
        <is>
          <t>صافي الدخل</t>
        </is>
      </c>
      <c r="C18" s="219" t="n">
        <v>-5535</v>
      </c>
      <c r="D18" s="219" t="n">
        <v>4285</v>
      </c>
      <c r="E18" s="220" t="n">
        <v>-9820</v>
      </c>
      <c r="F18" s="219" t="n">
        <v>-3941</v>
      </c>
      <c r="G18" s="218" t="n"/>
      <c r="H18" s="218" t="n"/>
      <c r="I18" s="218" t="n"/>
      <c r="J18" s="218" t="n"/>
      <c r="K18" s="221" t="n"/>
    </row>
    <row r="19">
      <c r="A19" s="109" t="n"/>
      <c r="B19" s="109" t="n"/>
      <c r="C19" s="109" t="n"/>
      <c r="D19" s="109" t="n"/>
      <c r="E19" s="109" t="n"/>
      <c r="F19" s="109" t="n"/>
      <c r="G19" s="109" t="n"/>
      <c r="H19" s="109" t="n"/>
      <c r="I19" s="109" t="n"/>
      <c r="J19" s="109" t="n"/>
      <c r="K19" s="109" t="n"/>
    </row>
    <row r="20" ht="22" customHeight="1" s="107">
      <c r="A20" s="131" t="inlineStr">
        <is>
          <t>② أداء نماذج العمل — قبل التحميل المركزي وبعده</t>
        </is>
      </c>
      <c r="B20" s="109" t="n"/>
      <c r="C20" s="109" t="n"/>
      <c r="D20" s="109" t="n"/>
      <c r="E20" s="109" t="n"/>
      <c r="F20" s="109" t="n"/>
      <c r="G20" s="109" t="n"/>
      <c r="H20" s="109" t="n"/>
      <c r="I20" s="109" t="n"/>
      <c r="J20" s="109" t="n"/>
      <c r="K20" s="109" t="n"/>
    </row>
    <row r="21" ht="30" customHeight="1" s="107">
      <c r="A21" s="120" t="inlineStr">
        <is>
          <t>#</t>
        </is>
      </c>
      <c r="B21" s="120" t="inlineStr">
        <is>
          <t>النموذج</t>
        </is>
      </c>
      <c r="C21" s="120" t="inlineStr">
        <is>
          <t>محطات</t>
        </is>
      </c>
      <c r="D21" s="120" t="inlineStr">
        <is>
          <t>لتر (مليون)</t>
        </is>
      </c>
      <c r="E21" s="120" t="inlineStr">
        <is>
          <t>الإيراد</t>
        </is>
      </c>
      <c r="F21" s="120" t="inlineStr">
        <is>
          <t>هامش الوقود</t>
        </is>
      </c>
      <c r="G21" s="120" t="inlineStr">
        <is>
          <t>هللة/لتر</t>
        </is>
      </c>
      <c r="H21" s="120" t="inlineStr">
        <is>
          <t>قبل التحميل</t>
        </is>
      </c>
      <c r="I21" s="120" t="inlineStr">
        <is>
          <t>التحميل</t>
        </is>
      </c>
      <c r="J21" s="120" t="inlineStr">
        <is>
          <t>صافي الربح</t>
        </is>
      </c>
      <c r="K21" s="120" t="inlineStr">
        <is>
          <t>القراءة</t>
        </is>
      </c>
    </row>
    <row r="22" ht="24" customHeight="1" s="107">
      <c r="A22" s="121" t="n">
        <v>1</v>
      </c>
      <c r="B22" s="122" t="inlineStr">
        <is>
          <t>استثماري</t>
        </is>
      </c>
      <c r="C22" s="200" t="n">
        <v>6</v>
      </c>
      <c r="D22" s="222" t="n">
        <v>91.8</v>
      </c>
      <c r="E22" s="132" t="n">
        <v>174309</v>
      </c>
      <c r="F22" s="132" t="n">
        <v>10765</v>
      </c>
      <c r="G22" s="212" t="n">
        <v>11.72657952069717</v>
      </c>
      <c r="H22" s="216" t="n">
        <v>9505</v>
      </c>
      <c r="I22" s="223" t="n">
        <v>-4279</v>
      </c>
      <c r="J22" s="216" t="n">
        <v>2722</v>
      </c>
      <c r="K22" s="224" t="inlineStr">
        <is>
          <t>الوحيد الرابح — وأعلى هامش لكل لتر</t>
        </is>
      </c>
    </row>
    <row r="23" ht="24" customHeight="1" s="107">
      <c r="A23" s="121" t="n">
        <v>2</v>
      </c>
      <c r="B23" s="122" t="inlineStr">
        <is>
          <t>إيجاري</t>
        </is>
      </c>
      <c r="C23" s="200" t="n">
        <v>17</v>
      </c>
      <c r="D23" s="222" t="n">
        <v>77.7</v>
      </c>
      <c r="E23" s="132" t="n">
        <v>146564</v>
      </c>
      <c r="F23" s="132" t="n">
        <v>8787</v>
      </c>
      <c r="G23" s="212" t="n">
        <v>11.30888030888031</v>
      </c>
      <c r="H23" s="216" t="n">
        <v>-1290</v>
      </c>
      <c r="I23" s="223" t="n">
        <v>-4279</v>
      </c>
      <c r="J23" s="216" t="n">
        <v>-7038</v>
      </c>
      <c r="K23" s="224" t="inlineStr">
        <is>
          <t>الخسارة من إهلاك حق الاستخدام والتمويل لا من التشغيل</t>
        </is>
      </c>
    </row>
    <row r="24" ht="24" customHeight="1" s="107">
      <c r="A24" s="121" t="n">
        <v>3</v>
      </c>
      <c r="B24" s="122" t="inlineStr">
        <is>
          <t>تشغيلي</t>
        </is>
      </c>
      <c r="C24" s="200" t="n">
        <v>26</v>
      </c>
      <c r="D24" s="222" t="n">
        <v>141.2</v>
      </c>
      <c r="E24" s="132" t="n">
        <v>268915</v>
      </c>
      <c r="F24" s="132" t="n">
        <v>15984</v>
      </c>
      <c r="G24" s="212" t="n">
        <v>11.32011331444759</v>
      </c>
      <c r="H24" s="216" t="n">
        <v>6864</v>
      </c>
      <c r="I24" s="223" t="n">
        <v>-5135</v>
      </c>
      <c r="J24" s="216" t="n">
        <v>-1869</v>
      </c>
      <c r="K24" s="224" t="inlineStr">
        <is>
          <t>يربح قبل التحميل ويخسر بعده</t>
        </is>
      </c>
    </row>
    <row r="25" ht="24" customHeight="1" s="107">
      <c r="A25" s="121" t="n">
        <v>4</v>
      </c>
      <c r="B25" s="122" t="inlineStr">
        <is>
          <t>امتياز</t>
        </is>
      </c>
      <c r="C25" s="200" t="n">
        <v>92</v>
      </c>
      <c r="D25" s="222" t="n">
        <v>350.8</v>
      </c>
      <c r="E25" s="132" t="n">
        <v>583790</v>
      </c>
      <c r="F25" s="132" t="n">
        <v>4136</v>
      </c>
      <c r="G25" s="212" t="n">
        <v>1.179019384264538</v>
      </c>
      <c r="H25" s="216" t="n">
        <v>3296</v>
      </c>
      <c r="I25" s="223" t="n">
        <v>-3424</v>
      </c>
      <c r="J25" s="216" t="n">
        <v>609</v>
      </c>
      <c r="K25" s="224" t="inlineStr">
        <is>
          <t>نصف اللترات وعُشر الهامش — ١٫١٨ هللة/لتر</t>
        </is>
      </c>
    </row>
    <row r="26">
      <c r="A26" s="194" t="n"/>
      <c r="B26" s="194" t="inlineStr">
        <is>
          <t>الإجمالي</t>
        </is>
      </c>
      <c r="C26" s="225">
        <f>SUM(C22:C25)</f>
        <v/>
      </c>
      <c r="D26" s="226">
        <f>SUM(D22:D25)</f>
        <v/>
      </c>
      <c r="E26" s="195">
        <f>SUM(E22:E25)</f>
        <v/>
      </c>
      <c r="F26" s="195">
        <f>SUM(F22:F25)</f>
        <v/>
      </c>
      <c r="G26" s="227">
        <f>IFERROR(F26*1000/(D26*1000000)*100,"")</f>
        <v/>
      </c>
      <c r="H26" s="228">
        <f>SUM(H22:H25)</f>
        <v/>
      </c>
      <c r="I26" s="229">
        <f>SUM(I22:I25)</f>
        <v/>
      </c>
      <c r="J26" s="228">
        <f>SUM(J22:J25)</f>
        <v/>
      </c>
      <c r="K26" s="194" t="n"/>
    </row>
    <row r="27">
      <c r="A27" s="109" t="n"/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</row>
    <row r="28" ht="22" customHeight="1" s="107">
      <c r="A28" s="131" t="inlineStr">
        <is>
          <t>③ نقطة التعادل — أين تقف الشركة</t>
        </is>
      </c>
      <c r="B28" s="109" t="n"/>
      <c r="C28" s="109" t="n"/>
      <c r="D28" s="109" t="n"/>
      <c r="E28" s="109" t="n"/>
      <c r="F28" s="109" t="n"/>
      <c r="G28" s="109" t="n"/>
      <c r="H28" s="109" t="n"/>
      <c r="I28" s="109" t="n"/>
      <c r="J28" s="109" t="n"/>
      <c r="K28" s="109" t="n"/>
    </row>
    <row r="29" ht="20" customHeight="1" s="107">
      <c r="A29" s="109" t="n"/>
      <c r="B29" s="230" t="inlineStr">
        <is>
          <t>مجمل الربح</t>
        </is>
      </c>
      <c r="C29" s="190">
        <f>C14</f>
        <v/>
      </c>
      <c r="D29" s="109" t="n"/>
      <c r="E29" s="109" t="n"/>
      <c r="F29" s="109" t="n"/>
      <c r="G29" s="109" t="n"/>
      <c r="H29" s="109" t="n"/>
      <c r="I29" s="109" t="n"/>
      <c r="J29" s="109" t="n"/>
      <c r="K29" s="231" t="inlineStr">
        <is>
          <t>من قائمة الدخل أعلاه</t>
        </is>
      </c>
    </row>
    <row r="30" ht="20" customHeight="1" s="107">
      <c r="A30" s="109" t="n"/>
      <c r="B30" s="230" t="inlineStr">
        <is>
          <t>التحميل المركزي</t>
        </is>
      </c>
      <c r="C30" s="190">
        <f>-I26</f>
        <v/>
      </c>
      <c r="D30" s="109" t="n"/>
      <c r="E30" s="109" t="n"/>
      <c r="F30" s="109" t="n"/>
      <c r="G30" s="109" t="n"/>
      <c r="H30" s="109" t="n"/>
      <c r="I30" s="109" t="n"/>
      <c r="J30" s="109" t="n"/>
      <c r="K30" s="231" t="inlineStr">
        <is>
          <t>بيع وتوزيع + عمومية + فوائد محمّلة</t>
        </is>
      </c>
    </row>
    <row r="31" ht="20" customHeight="1" s="107">
      <c r="A31" s="109" t="n"/>
      <c r="B31" s="230" t="inlineStr">
        <is>
          <t>التحميل ÷ مجمل الربح</t>
        </is>
      </c>
      <c r="C31" s="192">
        <f>C30/C29</f>
        <v/>
      </c>
      <c r="D31" s="109" t="n"/>
      <c r="E31" s="109" t="n"/>
      <c r="F31" s="109" t="n"/>
      <c r="G31" s="109" t="n"/>
      <c r="H31" s="109" t="n"/>
      <c r="I31" s="109" t="n"/>
      <c r="J31" s="109" t="n"/>
      <c r="K31" s="231" t="inlineStr">
        <is>
          <t>التحميل يتجاوز مجمل الربح — هنا أصل الخسارة</t>
        </is>
      </c>
    </row>
    <row r="32" ht="20" customHeight="1" s="107">
      <c r="A32" s="109" t="n"/>
      <c r="B32" s="230" t="inlineStr">
        <is>
          <t>المحطات النشطة</t>
        </is>
      </c>
      <c r="C32" s="232" t="inlineStr">
        <is>
          <t>146</t>
        </is>
      </c>
      <c r="D32" s="109" t="n"/>
      <c r="E32" s="109" t="n"/>
      <c r="F32" s="109" t="n"/>
      <c r="G32" s="109" t="n"/>
      <c r="H32" s="109" t="n"/>
      <c r="I32" s="109" t="n"/>
      <c r="J32" s="109" t="n"/>
      <c r="K32" s="231" t="inlineStr">
        <is>
          <t>خطة يوليو ١٩٨ · هدف ديسمبر ٢٣٢</t>
        </is>
      </c>
    </row>
    <row r="33" ht="20" customHeight="1" s="107">
      <c r="A33" s="109" t="n"/>
      <c r="B33" s="230" t="inlineStr">
        <is>
          <t>مجمل الربح لكل محطة</t>
        </is>
      </c>
      <c r="C33" s="233">
        <f>C29/C32</f>
        <v/>
      </c>
      <c r="D33" s="109" t="n"/>
      <c r="E33" s="109" t="n"/>
      <c r="F33" s="109" t="n"/>
      <c r="G33" s="109" t="n"/>
      <c r="H33" s="109" t="n"/>
      <c r="I33" s="109" t="n"/>
      <c r="J33" s="109" t="n"/>
      <c r="K33" s="231" t="inlineStr">
        <is>
          <t>ألف ريال / ٧ أشهر</t>
        </is>
      </c>
    </row>
    <row r="34" ht="20" customHeight="1" s="107">
      <c r="A34" s="109" t="n"/>
      <c r="B34" s="230" t="inlineStr">
        <is>
          <t>محطات التعادل المطلوبة</t>
        </is>
      </c>
      <c r="C34" s="232">
        <f>ROUND(C30/C33,0)</f>
        <v/>
      </c>
      <c r="D34" s="109" t="n"/>
      <c r="E34" s="109" t="n"/>
      <c r="F34" s="109" t="n"/>
      <c r="G34" s="109" t="n"/>
      <c r="H34" s="109" t="n"/>
      <c r="I34" s="109" t="n"/>
      <c r="J34" s="109" t="n"/>
      <c r="K34" s="231" t="inlineStr">
        <is>
          <t>عند مجمل الربح الحالي لكل محطة — الموازنة نفسها (١٩٨) كانت دون التعادل</t>
        </is>
      </c>
    </row>
    <row r="35">
      <c r="A35" s="109" t="n"/>
      <c r="B35" s="109" t="n"/>
      <c r="C35" s="109" t="n"/>
      <c r="D35" s="109" t="n"/>
      <c r="E35" s="109" t="n"/>
      <c r="F35" s="109" t="n"/>
      <c r="G35" s="109" t="n"/>
      <c r="H35" s="109" t="n"/>
      <c r="I35" s="109" t="n"/>
      <c r="J35" s="109" t="n"/>
      <c r="K35" s="109" t="n"/>
    </row>
    <row r="36">
      <c r="A36" s="109" t="n"/>
      <c r="B36" s="109" t="n"/>
      <c r="C36" s="109" t="n"/>
      <c r="D36" s="109" t="n"/>
      <c r="E36" s="109" t="n"/>
      <c r="F36" s="109" t="n"/>
      <c r="G36" s="109" t="n"/>
      <c r="H36" s="109" t="n"/>
      <c r="I36" s="109" t="n"/>
      <c r="J36" s="109" t="n"/>
      <c r="K36" s="109" t="n"/>
    </row>
    <row r="37">
      <c r="A37" s="109" t="n"/>
      <c r="B37" s="128" t="inlineStr">
        <is>
          <t>ما تقوله الأرقام</t>
        </is>
      </c>
      <c r="C37" s="109" t="n"/>
      <c r="D37" s="109" t="n"/>
      <c r="E37" s="109" t="n"/>
      <c r="F37" s="109" t="n"/>
      <c r="G37" s="109" t="n"/>
      <c r="H37" s="109" t="n"/>
      <c r="I37" s="109" t="n"/>
      <c r="J37" s="109" t="n"/>
      <c r="K37" s="109" t="n"/>
    </row>
    <row r="38" ht="16" customHeight="1" s="107">
      <c r="A38" s="109" t="n"/>
      <c r="B38" s="109" t="n"/>
      <c r="C38" s="129" t="inlineStr">
        <is>
          <t>•  المحطات تربح +١٨٫٤ مليون قبل التحميل المركزي — والشركة تخسر (٥٫٥) بعده</t>
        </is>
      </c>
      <c r="D38" s="109" t="n"/>
      <c r="E38" s="109" t="n"/>
      <c r="F38" s="109" t="n"/>
      <c r="G38" s="109" t="n"/>
      <c r="H38" s="109" t="n"/>
      <c r="I38" s="109" t="n"/>
      <c r="J38" s="109" t="n"/>
      <c r="K38" s="109" t="n"/>
    </row>
    <row r="39" ht="16" customHeight="1" s="107">
      <c r="A39" s="109" t="n"/>
      <c r="B39" s="109" t="n"/>
      <c r="C39" s="129" t="inlineStr">
        <is>
          <t>•  الامتياز ٥٣٪ من اللترات و١٠٪ من الهامش: ١٫١٨ هللة/لتر مقابل ١١٫٣ لبقية النماذج</t>
        </is>
      </c>
      <c r="D39" s="109" t="n"/>
      <c r="E39" s="109" t="n"/>
      <c r="F39" s="109" t="n"/>
      <c r="G39" s="109" t="n"/>
      <c r="H39" s="109" t="n"/>
      <c r="I39" s="109" t="n"/>
      <c r="J39" s="109" t="n"/>
      <c r="K39" s="109" t="n"/>
    </row>
    <row r="40" ht="16" customHeight="1" s="107">
      <c r="A40" s="109" t="n"/>
      <c r="B40" s="109" t="n"/>
      <c r="C40" s="129" t="inlineStr">
        <is>
          <t>•  محطة استثمارية واحدة تعادل ٦٩ محطة امتياز في صافي الربح</t>
        </is>
      </c>
      <c r="D40" s="109" t="n"/>
      <c r="E40" s="109" t="n"/>
      <c r="F40" s="109" t="n"/>
      <c r="G40" s="109" t="n"/>
      <c r="H40" s="109" t="n"/>
      <c r="I40" s="109" t="n"/>
      <c r="J40" s="109" t="n"/>
      <c r="K40" s="109" t="n"/>
    </row>
    <row r="41" ht="16" customHeight="1" s="107">
      <c r="A41" s="109" t="n"/>
      <c r="B41" s="109" t="n"/>
      <c r="C41" s="129" t="inlineStr">
        <is>
          <t>•  الفوائد ٦٫٦ أضعاف العام الماضي وتجاوز الموازنة ٨٤٪ — أسرع بند نمواً</t>
        </is>
      </c>
      <c r="D41" s="109" t="n"/>
      <c r="E41" s="109" t="n"/>
      <c r="F41" s="109" t="n"/>
      <c r="G41" s="109" t="n"/>
      <c r="H41" s="109" t="n"/>
      <c r="I41" s="109" t="n"/>
      <c r="J41" s="109" t="n"/>
      <c r="K41" s="109" t="n"/>
    </row>
    <row r="42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</row>
    <row r="43">
      <c r="A43" s="109" t="n"/>
      <c r="B43" s="117" t="inlineStr">
        <is>
          <t>ما يحتاج تحققاً قبل أي قرار</t>
        </is>
      </c>
      <c r="C43" s="109" t="n"/>
      <c r="D43" s="109" t="n"/>
      <c r="E43" s="109" t="n"/>
      <c r="F43" s="109" t="n"/>
      <c r="G43" s="109" t="n"/>
      <c r="H43" s="109" t="n"/>
      <c r="I43" s="109" t="n"/>
      <c r="J43" s="109" t="n"/>
      <c r="K43" s="109" t="n"/>
    </row>
    <row r="44" ht="16" customHeight="1" s="107">
      <c r="A44" s="109" t="n"/>
      <c r="B44" s="109" t="n"/>
      <c r="C44" s="129" t="inlineStr">
        <is>
          <t>•  مفتاح توزيع العمومية غير مُفسَّر: ٦ محطات استثمارية تحمل ما تحمله ١٧ إيجارية</t>
        </is>
      </c>
      <c r="D44" s="109" t="n"/>
      <c r="E44" s="109" t="n"/>
      <c r="F44" s="109" t="n"/>
      <c r="G44" s="109" t="n"/>
      <c r="H44" s="109" t="n"/>
      <c r="I44" s="109" t="n"/>
      <c r="J44" s="109" t="n"/>
      <c r="K44" s="109" t="n"/>
    </row>
    <row r="45" ht="16" customHeight="1" s="107">
      <c r="A45" s="109" t="n"/>
      <c r="B45" s="109" t="n"/>
      <c r="C45" s="129" t="inlineStr">
        <is>
          <t>•  خسارة العقار قد تكون محاسبية لا نقدية — تمويل IFRS 16 مُقدَّم التحميل والعقود جديدة</t>
        </is>
      </c>
      <c r="D45" s="109" t="n"/>
      <c r="E45" s="109" t="n"/>
      <c r="F45" s="109" t="n"/>
      <c r="G45" s="109" t="n"/>
      <c r="H45" s="109" t="n"/>
      <c r="I45" s="109" t="n"/>
      <c r="J45" s="109" t="n"/>
      <c r="K45" s="109" t="n"/>
    </row>
    <row r="46" ht="16" customHeight="1" s="107">
      <c r="A46" s="109" t="n"/>
      <c r="B46" s="109" t="n"/>
      <c r="C46" s="129" t="inlineStr">
        <is>
          <t>•  رفع هامش الامتياز نقطة يعطي ٥٫٨ مليون، لكن هامش المُمتاز نفسه غير معروض</t>
        </is>
      </c>
      <c r="D46" s="109" t="n"/>
      <c r="E46" s="109" t="n"/>
      <c r="F46" s="109" t="n"/>
      <c r="G46" s="109" t="n"/>
      <c r="H46" s="109" t="n"/>
      <c r="I46" s="109" t="n"/>
      <c r="J46" s="109" t="n"/>
      <c r="K46" s="109" t="n"/>
    </row>
    <row r="47" ht="16" customHeight="1" s="107">
      <c r="A47" s="109" t="n"/>
      <c r="B47" s="109" t="n"/>
      <c r="C47" s="129" t="inlineStr">
        <is>
          <t>•  فجوة ٦٬٧٣٨ بين صافي المحطات ومجمل الربح ما زالت مفتوحة في التقرير</t>
        </is>
      </c>
      <c r="D47" s="109" t="n"/>
      <c r="E47" s="109" t="n"/>
      <c r="F47" s="109" t="n"/>
      <c r="G47" s="109" t="n"/>
      <c r="H47" s="109" t="n"/>
      <c r="I47" s="109" t="n"/>
      <c r="J47" s="109" t="n"/>
      <c r="K47" s="109" t="n"/>
    </row>
  </sheetData>
  <mergeCells count="13">
    <mergeCell ref="C38:K38"/>
    <mergeCell ref="C47:K47"/>
    <mergeCell ref="A4:K4"/>
    <mergeCell ref="A20:K20"/>
    <mergeCell ref="C41:K41"/>
    <mergeCell ref="C44:K44"/>
    <mergeCell ref="A2:K2"/>
    <mergeCell ref="C40:K40"/>
    <mergeCell ref="C45:K45"/>
    <mergeCell ref="A28:K28"/>
    <mergeCell ref="C39:K39"/>
    <mergeCell ref="A1:K1"/>
    <mergeCell ref="C46:K46"/>
  </mergeCells>
  <conditionalFormatting sqref="E6:E18">
    <cfRule type="cellIs" priority="1" operator="lessThan" dxfId="9">
      <formula>0</formula>
    </cfRule>
    <cfRule type="cellIs" priority="2" operator="greaterThan" dxfId="10">
      <formula>0</formula>
    </cfRule>
  </conditionalFormatting>
  <conditionalFormatting sqref="J22:J2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C31">
    <cfRule type="cellIs" priority="5" operator="greaterThan" dxfId="7">
      <formula>1</formula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8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4" customWidth="1" style="106" min="2" max="2"/>
    <col width="13" customWidth="1" style="106" min="3" max="4"/>
    <col width="12" customWidth="1" style="106" min="5" max="7"/>
    <col width="13" customWidth="1" style="106" min="8" max="10"/>
    <col width="34" customWidth="1" style="106" min="11" max="11"/>
  </cols>
  <sheetData>
    <row r="1" ht="25.5" customHeight="1" s="107">
      <c r="A1" s="118" t="inlineStr">
        <is>
          <t>الوقود — قناة الأفراد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</row>
    <row r="2" ht="18" customHeight="1" s="107">
      <c r="A2" s="119" t="inlineStr">
        <is>
          <t>المنافس: كل مشغّلي المحطات · السلاح: سرعة الخدمة · الأداة: مستهدف لكل محطة وحافز لكل عامل</t>
        </is>
      </c>
      <c r="B2" s="109" t="n"/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</row>
    <row r="3" ht="21.75" customHeight="1" s="107">
      <c r="A3" s="142" t="inlineStr">
        <is>
          <t>محاور الخطة الأربعة</t>
        </is>
      </c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</row>
    <row r="4" ht="30" customHeight="1" s="107">
      <c r="A4" s="112" t="n">
        <v>1</v>
      </c>
      <c r="B4" s="113" t="inlineStr">
        <is>
          <t>تدريب العمالة</t>
        </is>
      </c>
      <c r="C4" s="114" t="inlineStr">
        <is>
          <t>الشكاوى</t>
        </is>
      </c>
      <c r="D4" s="114" t="inlineStr">
        <is>
          <t>56% من الشكاوى عن العامل: بطء الخدمة وسلوك</t>
        </is>
      </c>
      <c r="E4" s="114" t="inlineStr">
        <is>
          <t>برنامج تدريب على زمن الخدمة والتعامل</t>
        </is>
      </c>
      <c r="F4" s="114" t="n"/>
      <c r="G4" s="114" t="n"/>
      <c r="H4" s="114" t="n"/>
      <c r="I4" s="114" t="n"/>
      <c r="J4" s="114" t="n"/>
      <c r="K4" s="114" t="inlineStr">
        <is>
          <t>يُقاس بانخفاض الشكاوى وزمن التعبئة</t>
        </is>
      </c>
    </row>
    <row r="5" ht="30" customHeight="1" s="107">
      <c r="A5" s="112" t="n">
        <v>2</v>
      </c>
      <c r="B5" s="113" t="inlineStr">
        <is>
          <t>فهم مشاكل العملاء</t>
        </is>
      </c>
      <c r="C5" s="114" t="inlineStr">
        <is>
          <t>الشكاوى + قوقل ماب</t>
        </is>
      </c>
      <c r="D5" s="114" t="inlineStr">
        <is>
          <t>41 من 103 شكوى منشورة على قوقل ماب</t>
        </is>
      </c>
      <c r="E5" s="114" t="inlineStr">
        <is>
          <t>تصنيف أسبوعي للشكاوى وإغلاقها بإجراء لا بتنبيه</t>
        </is>
      </c>
      <c r="F5" s="114" t="n"/>
      <c r="G5" s="114" t="n"/>
      <c r="H5" s="114" t="n"/>
      <c r="I5" s="114" t="n"/>
      <c r="J5" s="114" t="n"/>
      <c r="K5" s="114" t="inlineStr">
        <is>
          <t>من 58 شكوى: 31 انتهت بتنبيه وصفر إجراء</t>
        </is>
      </c>
    </row>
    <row r="6" ht="30" customHeight="1" s="107">
      <c r="A6" s="112" t="n">
        <v>3</v>
      </c>
      <c r="B6" s="113" t="inlineStr">
        <is>
          <t>مستهدف وحافز</t>
        </is>
      </c>
      <c r="C6" s="114" t="inlineStr">
        <is>
          <t>الجدول أدناه</t>
        </is>
      </c>
      <c r="D6" s="114" t="inlineStr">
        <is>
          <t>مستهدف لكل محطة وحافز مرتبط به</t>
        </is>
      </c>
      <c r="E6" s="114" t="inlineStr">
        <is>
          <t>الحافز نسبة من هامش اللتر الإضافي</t>
        </is>
      </c>
      <c r="F6" s="114" t="n"/>
      <c r="G6" s="114" t="n"/>
      <c r="H6" s="114" t="n"/>
      <c r="I6" s="114" t="n"/>
      <c r="J6" s="114" t="n"/>
      <c r="K6" s="114" t="inlineStr">
        <is>
          <t>يربط أجر العامل بنتيجة المحطة</t>
        </is>
      </c>
    </row>
    <row r="7" ht="30" customHeight="1" s="107">
      <c r="A7" s="112" t="n">
        <v>4</v>
      </c>
      <c r="B7" s="113" t="inlineStr">
        <is>
          <t>خفض مصاريف المحطة</t>
        </is>
      </c>
      <c r="C7" s="114" t="inlineStr">
        <is>
          <t>قائمة الدخل</t>
        </is>
      </c>
      <c r="D7" s="114" t="inlineStr">
        <is>
          <t>المصاريف النقدية 0.94 هللة لكل لتر فقط</t>
        </is>
      </c>
      <c r="E7" s="114" t="inlineStr">
        <is>
          <t>المجال ضيق — الأولوية للحجم لا للخفض</t>
        </is>
      </c>
      <c r="F7" s="114" t="n"/>
      <c r="G7" s="114" t="n"/>
      <c r="H7" s="114" t="n"/>
      <c r="I7" s="114" t="n"/>
      <c r="J7" s="114" t="n"/>
      <c r="K7" s="114" t="inlineStr">
        <is>
          <t>88% من المصاريف إهلاك غير قابل للخفض</t>
        </is>
      </c>
    </row>
    <row r="8">
      <c r="A8" s="109" t="n"/>
      <c r="B8" s="109" t="n"/>
      <c r="C8" s="109" t="n"/>
      <c r="D8" s="109" t="n"/>
      <c r="E8" s="109" t="n"/>
      <c r="F8" s="109" t="n"/>
      <c r="G8" s="109" t="n"/>
      <c r="H8" s="109" t="n"/>
      <c r="I8" s="109" t="n"/>
      <c r="J8" s="109" t="n"/>
      <c r="K8" s="109" t="n"/>
    </row>
    <row r="9" ht="21.75" customHeight="1" s="107">
      <c r="A9" s="142" t="inlineStr">
        <is>
          <t>مُدخلات النموذج</t>
        </is>
      </c>
      <c r="B9" s="143" t="n"/>
      <c r="C9" s="143" t="n"/>
      <c r="D9" s="143" t="n"/>
      <c r="E9" s="143" t="n"/>
      <c r="F9" s="143" t="n"/>
      <c r="G9" s="143" t="n"/>
      <c r="H9" s="143" t="n"/>
      <c r="I9" s="143" t="n"/>
      <c r="J9" s="143" t="n"/>
      <c r="K9" s="143" t="n"/>
    </row>
    <row r="10" ht="15" customHeight="1" s="107">
      <c r="A10" s="109" t="n"/>
      <c r="B10" s="144" t="inlineStr">
        <is>
          <t>سعر البيع المرجّح (ريال/لتر)</t>
        </is>
      </c>
      <c r="C10" s="145" t="n">
        <v>2.25</v>
      </c>
      <c r="D10" s="109" t="n"/>
      <c r="E10" s="109" t="n"/>
      <c r="F10" s="109" t="n"/>
      <c r="G10" s="109" t="n"/>
      <c r="H10" s="109" t="n"/>
      <c r="I10" s="109" t="n"/>
      <c r="J10" s="109" t="n"/>
      <c r="K10" s="109" t="n"/>
    </row>
    <row r="11" ht="15" customHeight="1" s="107">
      <c r="A11" s="109" t="n"/>
      <c r="B11" s="144" t="inlineStr">
        <is>
          <t>هامش المساهمة لكل لتر (هللة)</t>
        </is>
      </c>
      <c r="C11" s="183" t="n"/>
      <c r="D11" s="109" t="n"/>
      <c r="E11" s="109" t="n"/>
      <c r="F11" s="109" t="n"/>
      <c r="G11" s="109" t="n"/>
      <c r="H11" s="109" t="n"/>
      <c r="I11" s="109" t="n"/>
      <c r="J11" s="109" t="n"/>
      <c r="K11" s="109" t="n"/>
    </row>
    <row r="12" ht="15" customHeight="1" s="107">
      <c r="A12" s="109" t="n"/>
      <c r="B12" s="144" t="inlineStr">
        <is>
          <t>نسبة الحافز من الهامش الإضافي</t>
        </is>
      </c>
      <c r="C12" s="184" t="n"/>
      <c r="D12" s="109" t="n"/>
      <c r="E12" s="109" t="n"/>
      <c r="F12" s="109" t="n"/>
      <c r="G12" s="109" t="n"/>
      <c r="H12" s="109" t="n"/>
      <c r="I12" s="109" t="n"/>
      <c r="J12" s="109" t="n"/>
      <c r="K12" s="109" t="n"/>
    </row>
    <row r="13" ht="15" customHeight="1" s="107">
      <c r="A13" s="109" t="n"/>
      <c r="B13" s="144" t="inlineStr">
        <is>
          <t>معدل النمو المستهدف للبنزين</t>
        </is>
      </c>
      <c r="C13" s="184" t="n"/>
      <c r="D13" s="109" t="n"/>
      <c r="E13" s="109" t="n"/>
      <c r="F13" s="109" t="n"/>
      <c r="G13" s="109" t="n"/>
      <c r="H13" s="109" t="n"/>
      <c r="I13" s="109" t="n"/>
      <c r="J13" s="109" t="n"/>
      <c r="K13" s="109" t="n"/>
    </row>
    <row r="14">
      <c r="A14" s="109" t="n"/>
      <c r="B14" s="109" t="n"/>
      <c r="C14" s="109" t="n"/>
      <c r="D14" s="109" t="n"/>
      <c r="E14" s="109" t="n"/>
      <c r="F14" s="109" t="n"/>
      <c r="G14" s="109" t="n"/>
      <c r="H14" s="109" t="n"/>
      <c r="I14" s="109" t="n"/>
      <c r="J14" s="109" t="n"/>
      <c r="K14" s="109" t="n"/>
    </row>
    <row r="15" ht="21.75" customHeight="1" s="107">
      <c r="A15" s="142" t="inlineStr">
        <is>
          <t>المستهدف والحافز لكل محطة</t>
        </is>
      </c>
      <c r="B15" s="143" t="n"/>
      <c r="C15" s="143" t="n"/>
      <c r="D15" s="143" t="n"/>
      <c r="E15" s="143" t="n"/>
      <c r="F15" s="143" t="n"/>
      <c r="G15" s="143" t="n"/>
      <c r="H15" s="143" t="n"/>
      <c r="I15" s="143" t="n"/>
      <c r="J15" s="143" t="n"/>
      <c r="K15" s="143" t="n"/>
    </row>
    <row r="16" ht="30" customHeight="1" s="107">
      <c r="A16" s="111" t="inlineStr">
        <is>
          <t>#</t>
        </is>
      </c>
      <c r="B16" s="111" t="inlineStr">
        <is>
          <t>المحطة</t>
        </is>
      </c>
      <c r="C16" s="111" t="inlineStr">
        <is>
          <t>المنطقة</t>
        </is>
      </c>
      <c r="D16" s="111" t="inlineStr">
        <is>
          <t>بنزين سنوي</t>
        </is>
      </c>
      <c r="E16" s="111" t="inlineStr">
        <is>
          <t>زيارة/يوم</t>
        </is>
      </c>
      <c r="F16" s="111" t="inlineStr">
        <is>
          <t>عمال</t>
        </is>
      </c>
      <c r="G16" s="111" t="inlineStr">
        <is>
          <t>الشكاوى</t>
        </is>
      </c>
      <c r="H16" s="111" t="inlineStr">
        <is>
          <t>المستهدف</t>
        </is>
      </c>
      <c r="I16" s="111" t="inlineStr">
        <is>
          <t>الزيادة</t>
        </is>
      </c>
      <c r="J16" s="111" t="inlineStr">
        <is>
          <t>الحافز (ريال/سنة)</t>
        </is>
      </c>
      <c r="K16" s="111" t="inlineStr">
        <is>
          <t>لكل عامل شهرياً</t>
        </is>
      </c>
    </row>
    <row r="17" ht="18" customHeight="1" s="107">
      <c r="A17" s="112" t="n">
        <v>1</v>
      </c>
      <c r="B17" s="148" t="inlineStr">
        <is>
          <t>العوالي</t>
        </is>
      </c>
      <c r="C17" s="112" t="inlineStr">
        <is>
          <t>مكة</t>
        </is>
      </c>
      <c r="D17" s="149" t="n">
        <v>35464924</v>
      </c>
      <c r="E17" s="149" t="n">
        <v>3561</v>
      </c>
      <c r="F17" s="112" t="n">
        <v>42</v>
      </c>
      <c r="G17" s="112" t="n"/>
      <c r="H17" s="149">
        <f>IFERROR(D17*(1+$C$13),"")</f>
        <v/>
      </c>
      <c r="I17" s="150">
        <f>IFERROR(H17-D17,"")</f>
        <v/>
      </c>
      <c r="J17" s="149">
        <f>IFERROR(I17*$C$11/100*$C$12,"")</f>
        <v/>
      </c>
      <c r="K17" s="149">
        <f>IFERROR(J17/F17/12,"")</f>
        <v/>
      </c>
    </row>
    <row r="18" ht="18" customHeight="1" s="107">
      <c r="A18" s="112" t="n">
        <v>2</v>
      </c>
      <c r="B18" s="148" t="inlineStr">
        <is>
          <t>العمرة الجديدة</t>
        </is>
      </c>
      <c r="C18" s="112" t="inlineStr">
        <is>
          <t>مكة</t>
        </is>
      </c>
      <c r="D18" s="149" t="n">
        <v>34063312</v>
      </c>
      <c r="E18" s="149" t="n">
        <v>4236</v>
      </c>
      <c r="F18" s="112" t="n">
        <v>32</v>
      </c>
      <c r="G18" s="151" t="n">
        <v>58</v>
      </c>
      <c r="H18" s="149">
        <f>IFERROR(D18*(1+$C$13),"")</f>
        <v/>
      </c>
      <c r="I18" s="150">
        <f>IFERROR(H18-D18,"")</f>
        <v/>
      </c>
      <c r="J18" s="149">
        <f>IFERROR(I18*$C$11/100*$C$12,"")</f>
        <v/>
      </c>
      <c r="K18" s="149">
        <f>IFERROR(J18/F18/12,"")</f>
        <v/>
      </c>
    </row>
    <row r="19" ht="18" customHeight="1" s="107">
      <c r="A19" s="112" t="n">
        <v>3</v>
      </c>
      <c r="B19" s="148" t="inlineStr">
        <is>
          <t>عاصفة الصحراء</t>
        </is>
      </c>
      <c r="C19" s="112" t="inlineStr">
        <is>
          <t>الطائف</t>
        </is>
      </c>
      <c r="D19" s="149" t="n">
        <v>19648510</v>
      </c>
      <c r="E19" s="149" t="n">
        <v>2137</v>
      </c>
      <c r="F19" s="112" t="n">
        <v>19</v>
      </c>
      <c r="G19" s="112" t="n"/>
      <c r="H19" s="149">
        <f>IFERROR(D19*(1+$C$13),"")</f>
        <v/>
      </c>
      <c r="I19" s="150">
        <f>IFERROR(H19-D19,"")</f>
        <v/>
      </c>
      <c r="J19" s="149">
        <f>IFERROR(I19*$C$11/100*$C$12,"")</f>
        <v/>
      </c>
      <c r="K19" s="149">
        <f>IFERROR(J19/F19/12,"")</f>
        <v/>
      </c>
    </row>
    <row r="20" ht="18" customHeight="1" s="107">
      <c r="A20" s="112" t="n">
        <v>4</v>
      </c>
      <c r="B20" s="148" t="inlineStr">
        <is>
          <t>العزيزية</t>
        </is>
      </c>
      <c r="C20" s="112" t="inlineStr">
        <is>
          <t>مكة</t>
        </is>
      </c>
      <c r="D20" s="149" t="n">
        <v>16732843</v>
      </c>
      <c r="E20" s="149" t="n">
        <v>2359</v>
      </c>
      <c r="F20" s="112" t="n">
        <v>14</v>
      </c>
      <c r="G20" s="151" t="n">
        <v>28</v>
      </c>
      <c r="H20" s="149">
        <f>IFERROR(D20*(1+$C$13),"")</f>
        <v/>
      </c>
      <c r="I20" s="150">
        <f>IFERROR(H20-D20,"")</f>
        <v/>
      </c>
      <c r="J20" s="149">
        <f>IFERROR(I20*$C$11/100*$C$12,"")</f>
        <v/>
      </c>
      <c r="K20" s="149">
        <f>IFERROR(J20/F20/12,"")</f>
        <v/>
      </c>
    </row>
    <row r="21" ht="18" customHeight="1" s="107">
      <c r="A21" s="112" t="n">
        <v>5</v>
      </c>
      <c r="B21" s="148" t="inlineStr">
        <is>
          <t>الشيباني</t>
        </is>
      </c>
      <c r="C21" s="112" t="inlineStr">
        <is>
          <t>الطائف</t>
        </is>
      </c>
      <c r="D21" s="149" t="n">
        <v>16309064</v>
      </c>
      <c r="E21" s="149" t="n">
        <v>1726</v>
      </c>
      <c r="F21" s="112" t="n">
        <v>18</v>
      </c>
      <c r="G21" s="112" t="n"/>
      <c r="H21" s="149">
        <f>IFERROR(D21*(1+$C$13),"")</f>
        <v/>
      </c>
      <c r="I21" s="150">
        <f>IFERROR(H21-D21,"")</f>
        <v/>
      </c>
      <c r="J21" s="149">
        <f>IFERROR(I21*$C$11/100*$C$12,"")</f>
        <v/>
      </c>
      <c r="K21" s="149">
        <f>IFERROR(J21/F21/12,"")</f>
        <v/>
      </c>
    </row>
    <row r="22" ht="18" customHeight="1" s="107">
      <c r="A22" s="112" t="n">
        <v>6</v>
      </c>
      <c r="B22" s="148" t="inlineStr">
        <is>
          <t>النسيم</t>
        </is>
      </c>
      <c r="C22" s="112" t="inlineStr">
        <is>
          <t>جدة</t>
        </is>
      </c>
      <c r="D22" s="149" t="n">
        <v>16280701</v>
      </c>
      <c r="E22" s="149" t="n">
        <v>2041</v>
      </c>
      <c r="F22" s="112" t="n">
        <v>20</v>
      </c>
      <c r="G22" s="112" t="n"/>
      <c r="H22" s="149">
        <f>IFERROR(D22*(1+$C$13),"")</f>
        <v/>
      </c>
      <c r="I22" s="150">
        <f>IFERROR(H22-D22,"")</f>
        <v/>
      </c>
      <c r="J22" s="149">
        <f>IFERROR(I22*$C$11/100*$C$12,"")</f>
        <v/>
      </c>
      <c r="K22" s="149">
        <f>IFERROR(J22/F22/12,"")</f>
        <v/>
      </c>
    </row>
    <row r="23" ht="18" customHeight="1" s="107">
      <c r="A23" s="112" t="n">
        <v>7</v>
      </c>
      <c r="B23" s="148" t="inlineStr">
        <is>
          <t>أحلى مساء</t>
        </is>
      </c>
      <c r="C23" s="112" t="inlineStr">
        <is>
          <t>الطائف</t>
        </is>
      </c>
      <c r="D23" s="149" t="n">
        <v>14309768</v>
      </c>
      <c r="E23" s="149" t="n">
        <v>1414</v>
      </c>
      <c r="F23" s="112" t="n">
        <v>13</v>
      </c>
      <c r="G23" s="112" t="n"/>
      <c r="H23" s="149">
        <f>IFERROR(D23*(1+$C$13),"")</f>
        <v/>
      </c>
      <c r="I23" s="150">
        <f>IFERROR(H23-D23,"")</f>
        <v/>
      </c>
      <c r="J23" s="149">
        <f>IFERROR(I23*$C$11/100*$C$12,"")</f>
        <v/>
      </c>
      <c r="K23" s="149">
        <f>IFERROR(J23/F23/12,"")</f>
        <v/>
      </c>
    </row>
    <row r="24" ht="18" customHeight="1" s="107">
      <c r="A24" s="112" t="n">
        <v>8</v>
      </c>
      <c r="B24" s="148" t="inlineStr">
        <is>
          <t>الحليس - طريق الجنوب</t>
        </is>
      </c>
      <c r="C24" s="112" t="inlineStr">
        <is>
          <t>الطائف</t>
        </is>
      </c>
      <c r="D24" s="149" t="n">
        <v>13354076</v>
      </c>
      <c r="E24" s="149" t="n">
        <v>1694</v>
      </c>
      <c r="F24" s="112" t="n">
        <v>12</v>
      </c>
      <c r="G24" s="112" t="n"/>
      <c r="H24" s="149">
        <f>IFERROR(D24*(1+$C$13),"")</f>
        <v/>
      </c>
      <c r="I24" s="150">
        <f>IFERROR(H24-D24,"")</f>
        <v/>
      </c>
      <c r="J24" s="149">
        <f>IFERROR(I24*$C$11/100*$C$12,"")</f>
        <v/>
      </c>
      <c r="K24" s="149">
        <f>IFERROR(J24/F24/12,"")</f>
        <v/>
      </c>
    </row>
    <row r="25" ht="18" customHeight="1" s="107">
      <c r="A25" s="112" t="n">
        <v>9</v>
      </c>
      <c r="B25" s="148" t="inlineStr">
        <is>
          <t>جنوب الطائف</t>
        </is>
      </c>
      <c r="C25" s="112" t="inlineStr">
        <is>
          <t>الطائف</t>
        </is>
      </c>
      <c r="D25" s="149" t="n">
        <v>13311973</v>
      </c>
      <c r="E25" s="149" t="n">
        <v>1483</v>
      </c>
      <c r="F25" s="112" t="n">
        <v>13</v>
      </c>
      <c r="G25" s="112" t="n"/>
      <c r="H25" s="149">
        <f>IFERROR(D25*(1+$C$13),"")</f>
        <v/>
      </c>
      <c r="I25" s="150">
        <f>IFERROR(H25-D25,"")</f>
        <v/>
      </c>
      <c r="J25" s="149">
        <f>IFERROR(I25*$C$11/100*$C$12,"")</f>
        <v/>
      </c>
      <c r="K25" s="149">
        <f>IFERROR(J25/F25/12,"")</f>
        <v/>
      </c>
    </row>
    <row r="26" ht="18" customHeight="1" s="107">
      <c r="A26" s="112" t="n">
        <v>10</v>
      </c>
      <c r="B26" s="148" t="inlineStr">
        <is>
          <t>جبل النور</t>
        </is>
      </c>
      <c r="C26" s="112" t="inlineStr">
        <is>
          <t>مكة</t>
        </is>
      </c>
      <c r="D26" s="149" t="n">
        <v>13248903</v>
      </c>
      <c r="E26" s="149" t="n">
        <v>1872</v>
      </c>
      <c r="F26" s="112" t="n">
        <v>10</v>
      </c>
      <c r="G26" s="112" t="n"/>
      <c r="H26" s="149">
        <f>IFERROR(D26*(1+$C$13),"")</f>
        <v/>
      </c>
      <c r="I26" s="150">
        <f>IFERROR(H26-D26,"")</f>
        <v/>
      </c>
      <c r="J26" s="149">
        <f>IFERROR(I26*$C$11/100*$C$12,"")</f>
        <v/>
      </c>
      <c r="K26" s="149">
        <f>IFERROR(J26/F26/12,"")</f>
        <v/>
      </c>
    </row>
    <row r="27" ht="18" customHeight="1" s="107">
      <c r="A27" s="112" t="n">
        <v>11</v>
      </c>
      <c r="B27" s="148" t="inlineStr">
        <is>
          <t>الدائري الشمالي</t>
        </is>
      </c>
      <c r="C27" s="112" t="inlineStr">
        <is>
          <t>الرياض</t>
        </is>
      </c>
      <c r="D27" s="149" t="n">
        <v>13247588</v>
      </c>
      <c r="E27" s="149" t="n">
        <v>1169</v>
      </c>
      <c r="F27" s="112" t="n">
        <v>10</v>
      </c>
      <c r="G27" s="112" t="n"/>
      <c r="H27" s="149">
        <f>IFERROR(D27*(1+$C$13),"")</f>
        <v/>
      </c>
      <c r="I27" s="150">
        <f>IFERROR(H27-D27,"")</f>
        <v/>
      </c>
      <c r="J27" s="149">
        <f>IFERROR(I27*$C$11/100*$C$12,"")</f>
        <v/>
      </c>
      <c r="K27" s="149">
        <f>IFERROR(J27/F27/12,"")</f>
        <v/>
      </c>
    </row>
    <row r="28" ht="18" customHeight="1" s="107">
      <c r="A28" s="112" t="n">
        <v>12</v>
      </c>
      <c r="B28" s="148" t="inlineStr">
        <is>
          <t>القادسية</t>
        </is>
      </c>
      <c r="C28" s="112" t="inlineStr">
        <is>
          <t>مكة</t>
        </is>
      </c>
      <c r="D28" s="149" t="n">
        <v>12654914</v>
      </c>
      <c r="E28" s="149" t="n">
        <v>1702</v>
      </c>
      <c r="F28" s="112" t="n">
        <v>10</v>
      </c>
      <c r="G28" s="112" t="n"/>
      <c r="H28" s="149">
        <f>IFERROR(D28*(1+$C$13),"")</f>
        <v/>
      </c>
      <c r="I28" s="150">
        <f>IFERROR(H28-D28,"")</f>
        <v/>
      </c>
      <c r="J28" s="149">
        <f>IFERROR(I28*$C$11/100*$C$12,"")</f>
        <v/>
      </c>
      <c r="K28" s="149">
        <f>IFERROR(J28/F28/12,"")</f>
        <v/>
      </c>
    </row>
    <row r="29" ht="18" customHeight="1" s="107">
      <c r="A29" s="112" t="n">
        <v>13</v>
      </c>
      <c r="B29" s="148" t="inlineStr">
        <is>
          <t>الدائري الثالث - الذكرى</t>
        </is>
      </c>
      <c r="C29" s="112" t="inlineStr">
        <is>
          <t>مكة</t>
        </is>
      </c>
      <c r="D29" s="149" t="n">
        <v>11988986</v>
      </c>
      <c r="E29" s="149" t="n">
        <v>1566</v>
      </c>
      <c r="F29" s="112" t="n">
        <v>12</v>
      </c>
      <c r="G29" s="112" t="n"/>
      <c r="H29" s="149">
        <f>IFERROR(D29*(1+$C$13),"")</f>
        <v/>
      </c>
      <c r="I29" s="150">
        <f>IFERROR(H29-D29,"")</f>
        <v/>
      </c>
      <c r="J29" s="149">
        <f>IFERROR(I29*$C$11/100*$C$12,"")</f>
        <v/>
      </c>
      <c r="K29" s="149">
        <f>IFERROR(J29/F29/12,"")</f>
        <v/>
      </c>
    </row>
    <row r="30" ht="18" customHeight="1" s="107">
      <c r="A30" s="112" t="n">
        <v>14</v>
      </c>
      <c r="B30" s="148" t="inlineStr">
        <is>
          <t>الصفا - أحد المسارحة</t>
        </is>
      </c>
      <c r="C30" s="112" t="inlineStr">
        <is>
          <t>جازان</t>
        </is>
      </c>
      <c r="D30" s="149" t="n">
        <v>11882308</v>
      </c>
      <c r="E30" s="149" t="n">
        <v>1807</v>
      </c>
      <c r="F30" s="112" t="n"/>
      <c r="G30" s="112" t="n"/>
      <c r="H30" s="149">
        <f>IFERROR(D30*(1+$C$13),"")</f>
        <v/>
      </c>
      <c r="I30" s="150">
        <f>IFERROR(H30-D30,"")</f>
        <v/>
      </c>
      <c r="J30" s="149">
        <f>IFERROR(I30*$C$11/100*$C$12,"")</f>
        <v/>
      </c>
      <c r="K30" s="149">
        <f>IFERROR(J30/F30/12,"")</f>
        <v/>
      </c>
    </row>
    <row r="31" ht="18" customHeight="1" s="107">
      <c r="A31" s="112" t="n">
        <v>15</v>
      </c>
      <c r="B31" s="148" t="inlineStr">
        <is>
          <t>الحسينية</t>
        </is>
      </c>
      <c r="C31" s="112" t="inlineStr">
        <is>
          <t>مكة</t>
        </is>
      </c>
      <c r="D31" s="149" t="n">
        <v>11625662</v>
      </c>
      <c r="E31" s="149" t="n">
        <v>1643</v>
      </c>
      <c r="F31" s="112" t="n">
        <v>9</v>
      </c>
      <c r="G31" s="112" t="n"/>
      <c r="H31" s="149">
        <f>IFERROR(D31*(1+$C$13),"")</f>
        <v/>
      </c>
      <c r="I31" s="150">
        <f>IFERROR(H31-D31,"")</f>
        <v/>
      </c>
      <c r="J31" s="149">
        <f>IFERROR(I31*$C$11/100*$C$12,"")</f>
        <v/>
      </c>
      <c r="K31" s="149">
        <f>IFERROR(J31/F31/12,"")</f>
        <v/>
      </c>
    </row>
    <row r="32" ht="18" customHeight="1" s="107">
      <c r="A32" s="112" t="n">
        <v>16</v>
      </c>
      <c r="B32" s="148" t="inlineStr">
        <is>
          <t>الرصيفة</t>
        </is>
      </c>
      <c r="C32" s="112" t="inlineStr">
        <is>
          <t>مكة</t>
        </is>
      </c>
      <c r="D32" s="149" t="n">
        <v>11101203</v>
      </c>
      <c r="E32" s="149" t="n">
        <v>1573</v>
      </c>
      <c r="F32" s="112" t="n">
        <v>11</v>
      </c>
      <c r="G32" s="112" t="n"/>
      <c r="H32" s="149">
        <f>IFERROR(D32*(1+$C$13),"")</f>
        <v/>
      </c>
      <c r="I32" s="150">
        <f>IFERROR(H32-D32,"")</f>
        <v/>
      </c>
      <c r="J32" s="149">
        <f>IFERROR(I32*$C$11/100*$C$12,"")</f>
        <v/>
      </c>
      <c r="K32" s="149">
        <f>IFERROR(J32/F32/12,"")</f>
        <v/>
      </c>
    </row>
    <row r="33" ht="18" customHeight="1" s="107">
      <c r="A33" s="112" t="n">
        <v>17</v>
      </c>
      <c r="B33" s="148" t="inlineStr">
        <is>
          <t>طريق الليث - الفضيلة</t>
        </is>
      </c>
      <c r="C33" s="112" t="inlineStr">
        <is>
          <t>جدة</t>
        </is>
      </c>
      <c r="D33" s="149" t="n">
        <v>10864480</v>
      </c>
      <c r="E33" s="149" t="n">
        <v>1892</v>
      </c>
      <c r="F33" s="112" t="n"/>
      <c r="G33" s="112" t="n"/>
      <c r="H33" s="149">
        <f>IFERROR(D33*(1+$C$13),"")</f>
        <v/>
      </c>
      <c r="I33" s="150">
        <f>IFERROR(H33-D33,"")</f>
        <v/>
      </c>
      <c r="J33" s="149">
        <f>IFERROR(I33*$C$11/100*$C$12,"")</f>
        <v/>
      </c>
      <c r="K33" s="149">
        <f>IFERROR(J33/F33/12,"")</f>
        <v/>
      </c>
    </row>
    <row r="34" ht="18" customHeight="1" s="107">
      <c r="A34" s="112" t="n">
        <v>18</v>
      </c>
      <c r="B34" s="148" t="inlineStr">
        <is>
          <t>عرفات الشوقية</t>
        </is>
      </c>
      <c r="C34" s="112" t="inlineStr">
        <is>
          <t>مكة</t>
        </is>
      </c>
      <c r="D34" s="149" t="n">
        <v>9931491</v>
      </c>
      <c r="E34" s="149" t="n">
        <v>1290</v>
      </c>
      <c r="F34" s="112" t="n">
        <v>9</v>
      </c>
      <c r="G34" s="112" t="n">
        <v>8</v>
      </c>
      <c r="H34" s="149">
        <f>IFERROR(D34*(1+$C$13),"")</f>
        <v/>
      </c>
      <c r="I34" s="150">
        <f>IFERROR(H34-D34,"")</f>
        <v/>
      </c>
      <c r="J34" s="149">
        <f>IFERROR(I34*$C$11/100*$C$12,"")</f>
        <v/>
      </c>
      <c r="K34" s="149">
        <f>IFERROR(J34/F34/12,"")</f>
        <v/>
      </c>
    </row>
    <row r="35" ht="18" customHeight="1" s="107">
      <c r="A35" s="112" t="n">
        <v>19</v>
      </c>
      <c r="B35" s="148" t="inlineStr">
        <is>
          <t>ممشى الشوقية</t>
        </is>
      </c>
      <c r="C35" s="112" t="inlineStr">
        <is>
          <t>مكة</t>
        </is>
      </c>
      <c r="D35" s="149" t="n">
        <v>9558604</v>
      </c>
      <c r="E35" s="149" t="n">
        <v>1363</v>
      </c>
      <c r="F35" s="112" t="n">
        <v>9</v>
      </c>
      <c r="G35" s="112" t="n"/>
      <c r="H35" s="149">
        <f>IFERROR(D35*(1+$C$13),"")</f>
        <v/>
      </c>
      <c r="I35" s="150">
        <f>IFERROR(H35-D35,"")</f>
        <v/>
      </c>
      <c r="J35" s="149">
        <f>IFERROR(I35*$C$11/100*$C$12,"")</f>
        <v/>
      </c>
      <c r="K35" s="149">
        <f>IFERROR(J35/F35/12,"")</f>
        <v/>
      </c>
    </row>
    <row r="36" ht="18" customHeight="1" s="107">
      <c r="A36" s="112" t="n">
        <v>20</v>
      </c>
      <c r="B36" s="148" t="inlineStr">
        <is>
          <t>السواط - شهار</t>
        </is>
      </c>
      <c r="C36" s="112" t="inlineStr">
        <is>
          <t>الطائف</t>
        </is>
      </c>
      <c r="D36" s="149" t="n">
        <v>9064151</v>
      </c>
      <c r="E36" s="149" t="n">
        <v>1144</v>
      </c>
      <c r="F36" s="112" t="n">
        <v>9</v>
      </c>
      <c r="G36" s="112" t="n"/>
      <c r="H36" s="149">
        <f>IFERROR(D36*(1+$C$13),"")</f>
        <v/>
      </c>
      <c r="I36" s="150">
        <f>IFERROR(H36-D36,"")</f>
        <v/>
      </c>
      <c r="J36" s="149">
        <f>IFERROR(I36*$C$11/100*$C$12,"")</f>
        <v/>
      </c>
      <c r="K36" s="149">
        <f>IFERROR(J36/F36/12,"")</f>
        <v/>
      </c>
    </row>
    <row r="37" ht="18" customHeight="1" s="107">
      <c r="A37" s="112" t="n">
        <v>21</v>
      </c>
      <c r="B37" s="148" t="inlineStr">
        <is>
          <t>أبو وافي العمرة</t>
        </is>
      </c>
      <c r="C37" s="112" t="inlineStr">
        <is>
          <t>مكة</t>
        </is>
      </c>
      <c r="D37" s="149" t="n">
        <v>8548346</v>
      </c>
      <c r="E37" s="149" t="n">
        <v>1380</v>
      </c>
      <c r="F37" s="112" t="n">
        <v>13</v>
      </c>
      <c r="G37" s="112" t="n"/>
      <c r="H37" s="149">
        <f>IFERROR(D37*(1+$C$13),"")</f>
        <v/>
      </c>
      <c r="I37" s="150">
        <f>IFERROR(H37-D37,"")</f>
        <v/>
      </c>
      <c r="J37" s="149">
        <f>IFERROR(I37*$C$11/100*$C$12,"")</f>
        <v/>
      </c>
      <c r="K37" s="149">
        <f>IFERROR(J37/F37/12,"")</f>
        <v/>
      </c>
    </row>
    <row r="38" ht="18" customHeight="1" s="107">
      <c r="A38" s="112" t="n">
        <v>22</v>
      </c>
      <c r="B38" s="148" t="inlineStr">
        <is>
          <t>الفلاح - فلسطين</t>
        </is>
      </c>
      <c r="C38" s="112" t="inlineStr">
        <is>
          <t>جدة</t>
        </is>
      </c>
      <c r="D38" s="149" t="n">
        <v>7867941</v>
      </c>
      <c r="E38" s="149" t="n">
        <v>1328</v>
      </c>
      <c r="F38" s="112" t="n"/>
      <c r="G38" s="112" t="n"/>
      <c r="H38" s="149">
        <f>IFERROR(D38*(1+$C$13),"")</f>
        <v/>
      </c>
      <c r="I38" s="150">
        <f>IFERROR(H38-D38,"")</f>
        <v/>
      </c>
      <c r="J38" s="149">
        <f>IFERROR(I38*$C$11/100*$C$12,"")</f>
        <v/>
      </c>
      <c r="K38" s="149">
        <f>IFERROR(J38/F38/12,"")</f>
        <v/>
      </c>
    </row>
    <row r="39" ht="18" customHeight="1" s="107">
      <c r="A39" s="112" t="n">
        <v>23</v>
      </c>
      <c r="B39" s="148" t="inlineStr">
        <is>
          <t>كورنيش جيزان</t>
        </is>
      </c>
      <c r="C39" s="112" t="inlineStr">
        <is>
          <t>جازان</t>
        </is>
      </c>
      <c r="D39" s="149" t="n">
        <v>7444371</v>
      </c>
      <c r="E39" s="149" t="n">
        <v>922</v>
      </c>
      <c r="F39" s="112" t="n">
        <v>8</v>
      </c>
      <c r="G39" s="112" t="n"/>
      <c r="H39" s="149">
        <f>IFERROR(D39*(1+$C$13),"")</f>
        <v/>
      </c>
      <c r="I39" s="150">
        <f>IFERROR(H39-D39,"")</f>
        <v/>
      </c>
      <c r="J39" s="149">
        <f>IFERROR(I39*$C$11/100*$C$12,"")</f>
        <v/>
      </c>
      <c r="K39" s="149">
        <f>IFERROR(J39/F39/12,"")</f>
        <v/>
      </c>
    </row>
    <row r="40" ht="18" customHeight="1" s="107">
      <c r="A40" s="112" t="n">
        <v>24</v>
      </c>
      <c r="B40" s="148" t="inlineStr">
        <is>
          <t>الجعرانة</t>
        </is>
      </c>
      <c r="C40" s="112" t="inlineStr">
        <is>
          <t>مكة</t>
        </is>
      </c>
      <c r="D40" s="149" t="n">
        <v>7193020</v>
      </c>
      <c r="E40" s="149" t="n">
        <v>1112</v>
      </c>
      <c r="F40" s="112" t="n">
        <v>9</v>
      </c>
      <c r="G40" s="112" t="n"/>
      <c r="H40" s="149">
        <f>IFERROR(D40*(1+$C$13),"")</f>
        <v/>
      </c>
      <c r="I40" s="150">
        <f>IFERROR(H40-D40,"")</f>
        <v/>
      </c>
      <c r="J40" s="149">
        <f>IFERROR(I40*$C$11/100*$C$12,"")</f>
        <v/>
      </c>
      <c r="K40" s="149">
        <f>IFERROR(J40/F40/12,"")</f>
        <v/>
      </c>
    </row>
    <row r="41" ht="18" customHeight="1" s="107">
      <c r="A41" s="112" t="n">
        <v>25</v>
      </c>
      <c r="B41" s="148" t="inlineStr">
        <is>
          <t>الحمرا - طريق الملك عبدالله</t>
        </is>
      </c>
      <c r="C41" s="112" t="inlineStr">
        <is>
          <t>الخرج</t>
        </is>
      </c>
      <c r="D41" s="149" t="n">
        <v>7191456</v>
      </c>
      <c r="E41" s="149" t="n">
        <v>864</v>
      </c>
      <c r="F41" s="112" t="n">
        <v>7</v>
      </c>
      <c r="G41" s="112" t="n"/>
      <c r="H41" s="149">
        <f>IFERROR(D41*(1+$C$13),"")</f>
        <v/>
      </c>
      <c r="I41" s="150">
        <f>IFERROR(H41-D41,"")</f>
        <v/>
      </c>
      <c r="J41" s="149">
        <f>IFERROR(I41*$C$11/100*$C$12,"")</f>
        <v/>
      </c>
      <c r="K41" s="149">
        <f>IFERROR(J41/F41/12,"")</f>
        <v/>
      </c>
    </row>
    <row r="42" ht="18" customHeight="1" s="107">
      <c r="A42" s="112" t="n">
        <v>26</v>
      </c>
      <c r="B42" s="148" t="inlineStr">
        <is>
          <t>المعيصم</t>
        </is>
      </c>
      <c r="C42" s="112" t="inlineStr">
        <is>
          <t>مكة</t>
        </is>
      </c>
      <c r="D42" s="149" t="n">
        <v>6999984</v>
      </c>
      <c r="E42" s="149" t="n">
        <v>913</v>
      </c>
      <c r="F42" s="112" t="n">
        <v>7</v>
      </c>
      <c r="G42" s="112" t="n">
        <v>3</v>
      </c>
      <c r="H42" s="149">
        <f>IFERROR(D42*(1+$C$13),"")</f>
        <v/>
      </c>
      <c r="I42" s="150">
        <f>IFERROR(H42-D42,"")</f>
        <v/>
      </c>
      <c r="J42" s="149">
        <f>IFERROR(I42*$C$11/100*$C$12,"")</f>
        <v/>
      </c>
      <c r="K42" s="149">
        <f>IFERROR(J42/F42/12,"")</f>
        <v/>
      </c>
    </row>
    <row r="43" ht="18" customHeight="1" s="107">
      <c r="A43" s="112" t="n">
        <v>27</v>
      </c>
      <c r="B43" s="148" t="inlineStr">
        <is>
          <t>مدخل محايل</t>
        </is>
      </c>
      <c r="C43" s="112" t="inlineStr">
        <is>
          <t>عسير</t>
        </is>
      </c>
      <c r="D43" s="149" t="n">
        <v>6980426</v>
      </c>
      <c r="E43" s="149" t="n">
        <v>952</v>
      </c>
      <c r="F43" s="112" t="n">
        <v>7</v>
      </c>
      <c r="G43" s="112" t="n"/>
      <c r="H43" s="149">
        <f>IFERROR(D43*(1+$C$13),"")</f>
        <v/>
      </c>
      <c r="I43" s="150">
        <f>IFERROR(H43-D43,"")</f>
        <v/>
      </c>
      <c r="J43" s="149">
        <f>IFERROR(I43*$C$11/100*$C$12,"")</f>
        <v/>
      </c>
      <c r="K43" s="149">
        <f>IFERROR(J43/F43/12,"")</f>
        <v/>
      </c>
    </row>
    <row r="44" ht="18" customHeight="1" s="107">
      <c r="A44" s="112" t="n">
        <v>28</v>
      </c>
      <c r="B44" s="148" t="inlineStr">
        <is>
          <t>الرصيفة المسار</t>
        </is>
      </c>
      <c r="C44" s="112" t="inlineStr">
        <is>
          <t>مكة</t>
        </is>
      </c>
      <c r="D44" s="149" t="n">
        <v>6955614</v>
      </c>
      <c r="E44" s="149" t="n">
        <v>1025</v>
      </c>
      <c r="F44" s="112" t="n">
        <v>6</v>
      </c>
      <c r="G44" s="112" t="n"/>
      <c r="H44" s="149">
        <f>IFERROR(D44*(1+$C$13),"")</f>
        <v/>
      </c>
      <c r="I44" s="150">
        <f>IFERROR(H44-D44,"")</f>
        <v/>
      </c>
      <c r="J44" s="149">
        <f>IFERROR(I44*$C$11/100*$C$12,"")</f>
        <v/>
      </c>
      <c r="K44" s="149">
        <f>IFERROR(J44/F44/12,"")</f>
        <v/>
      </c>
    </row>
    <row r="45" ht="18" customHeight="1" s="107">
      <c r="A45" s="112" t="n">
        <v>29</v>
      </c>
      <c r="B45" s="148" t="inlineStr">
        <is>
          <t>الجمعية الوسام</t>
        </is>
      </c>
      <c r="C45" s="112" t="inlineStr">
        <is>
          <t>الطائف</t>
        </is>
      </c>
      <c r="D45" s="149" t="n">
        <v>6835043</v>
      </c>
      <c r="E45" s="149" t="n">
        <v>823</v>
      </c>
      <c r="F45" s="112" t="n">
        <v>6</v>
      </c>
      <c r="G45" s="112" t="n"/>
      <c r="H45" s="149">
        <f>IFERROR(D45*(1+$C$13),"")</f>
        <v/>
      </c>
      <c r="I45" s="150">
        <f>IFERROR(H45-D45,"")</f>
        <v/>
      </c>
      <c r="J45" s="149">
        <f>IFERROR(I45*$C$11/100*$C$12,"")</f>
        <v/>
      </c>
      <c r="K45" s="149">
        <f>IFERROR(J45/F45/12,"")</f>
        <v/>
      </c>
    </row>
    <row r="46" ht="18" customHeight="1" s="107">
      <c r="A46" s="112" t="n">
        <v>30</v>
      </c>
      <c r="B46" s="148" t="inlineStr">
        <is>
          <t>الجموم - الكنيدري</t>
        </is>
      </c>
      <c r="C46" s="112" t="inlineStr">
        <is>
          <t>مكة</t>
        </is>
      </c>
      <c r="D46" s="149" t="n">
        <v>6267957</v>
      </c>
      <c r="E46" s="149" t="n">
        <v>931</v>
      </c>
      <c r="F46" s="112" t="n">
        <v>7</v>
      </c>
      <c r="G46" s="112" t="n"/>
      <c r="H46" s="149">
        <f>IFERROR(D46*(1+$C$13),"")</f>
        <v/>
      </c>
      <c r="I46" s="150">
        <f>IFERROR(H46-D46,"")</f>
        <v/>
      </c>
      <c r="J46" s="149">
        <f>IFERROR(I46*$C$11/100*$C$12,"")</f>
        <v/>
      </c>
      <c r="K46" s="149">
        <f>IFERROR(J46/F46/12,"")</f>
        <v/>
      </c>
    </row>
    <row r="47" ht="18" customHeight="1" s="107">
      <c r="A47" s="112" t="n">
        <v>31</v>
      </c>
      <c r="B47" s="148" t="inlineStr">
        <is>
          <t>بطحاء قريش 1</t>
        </is>
      </c>
      <c r="C47" s="112" t="inlineStr">
        <is>
          <t>مكة</t>
        </is>
      </c>
      <c r="D47" s="149" t="n">
        <v>6241831</v>
      </c>
      <c r="E47" s="149" t="n">
        <v>816</v>
      </c>
      <c r="F47" s="112" t="n">
        <v>8</v>
      </c>
      <c r="G47" s="112" t="n"/>
      <c r="H47" s="149">
        <f>IFERROR(D47*(1+$C$13),"")</f>
        <v/>
      </c>
      <c r="I47" s="150">
        <f>IFERROR(H47-D47,"")</f>
        <v/>
      </c>
      <c r="J47" s="149">
        <f>IFERROR(I47*$C$11/100*$C$12,"")</f>
        <v/>
      </c>
      <c r="K47" s="149">
        <f>IFERROR(J47/F47/12,"")</f>
        <v/>
      </c>
    </row>
    <row r="48" ht="18" customHeight="1" s="107">
      <c r="A48" s="112" t="n">
        <v>32</v>
      </c>
      <c r="B48" s="148" t="inlineStr">
        <is>
          <t>طريق السيل</t>
        </is>
      </c>
      <c r="C48" s="112" t="inlineStr">
        <is>
          <t>مكة</t>
        </is>
      </c>
      <c r="D48" s="149" t="n">
        <v>6066855</v>
      </c>
      <c r="E48" s="149" t="n">
        <v>680</v>
      </c>
      <c r="F48" s="112" t="n">
        <v>11</v>
      </c>
      <c r="G48" s="112" t="n"/>
      <c r="H48" s="149">
        <f>IFERROR(D48*(1+$C$13),"")</f>
        <v/>
      </c>
      <c r="I48" s="150">
        <f>IFERROR(H48-D48,"")</f>
        <v/>
      </c>
      <c r="J48" s="149">
        <f>IFERROR(I48*$C$11/100*$C$12,"")</f>
        <v/>
      </c>
      <c r="K48" s="149">
        <f>IFERROR(J48/F48/12,"")</f>
        <v/>
      </c>
    </row>
    <row r="49" ht="18" customHeight="1" s="107">
      <c r="A49" s="112" t="n">
        <v>33</v>
      </c>
      <c r="B49" s="148" t="inlineStr">
        <is>
          <t>جنوب صبيا</t>
        </is>
      </c>
      <c r="C49" s="112" t="inlineStr">
        <is>
          <t>جازان</t>
        </is>
      </c>
      <c r="D49" s="149" t="n">
        <v>6046920</v>
      </c>
      <c r="E49" s="149" t="n">
        <v>1227</v>
      </c>
      <c r="F49" s="112" t="n"/>
      <c r="G49" s="112" t="n"/>
      <c r="H49" s="149">
        <f>IFERROR(D49*(1+$C$13),"")</f>
        <v/>
      </c>
      <c r="I49" s="150">
        <f>IFERROR(H49-D49,"")</f>
        <v/>
      </c>
      <c r="J49" s="149">
        <f>IFERROR(I49*$C$11/100*$C$12,"")</f>
        <v/>
      </c>
      <c r="K49" s="149">
        <f>IFERROR(J49/F49/12,"")</f>
        <v/>
      </c>
    </row>
    <row r="50" ht="18" customHeight="1" s="107">
      <c r="A50" s="112" t="n">
        <v>34</v>
      </c>
      <c r="B50" s="148" t="inlineStr">
        <is>
          <t>بن درويش</t>
        </is>
      </c>
      <c r="C50" s="112" t="inlineStr">
        <is>
          <t>مكة</t>
        </is>
      </c>
      <c r="D50" s="149" t="n">
        <v>5899223</v>
      </c>
      <c r="E50" s="149" t="n">
        <v>807</v>
      </c>
      <c r="F50" s="112" t="n">
        <v>7</v>
      </c>
      <c r="G50" s="112" t="n"/>
      <c r="H50" s="149">
        <f>IFERROR(D50*(1+$C$13),"")</f>
        <v/>
      </c>
      <c r="I50" s="150">
        <f>IFERROR(H50-D50,"")</f>
        <v/>
      </c>
      <c r="J50" s="149">
        <f>IFERROR(I50*$C$11/100*$C$12,"")</f>
        <v/>
      </c>
      <c r="K50" s="149">
        <f>IFERROR(J50/F50/12,"")</f>
        <v/>
      </c>
    </row>
    <row r="51" ht="18" customHeight="1" s="107">
      <c r="A51" s="112" t="n">
        <v>35</v>
      </c>
      <c r="B51" s="148" t="inlineStr">
        <is>
          <t>الأجاويد</t>
        </is>
      </c>
      <c r="C51" s="112" t="inlineStr">
        <is>
          <t>جدة</t>
        </is>
      </c>
      <c r="D51" s="149" t="n">
        <v>5722940</v>
      </c>
      <c r="E51" s="149" t="n">
        <v>938</v>
      </c>
      <c r="F51" s="112" t="n">
        <v>7</v>
      </c>
      <c r="G51" s="112" t="n"/>
      <c r="H51" s="149">
        <f>IFERROR(D51*(1+$C$13),"")</f>
        <v/>
      </c>
      <c r="I51" s="150">
        <f>IFERROR(H51-D51,"")</f>
        <v/>
      </c>
      <c r="J51" s="149">
        <f>IFERROR(I51*$C$11/100*$C$12,"")</f>
        <v/>
      </c>
      <c r="K51" s="149">
        <f>IFERROR(J51/F51/12,"")</f>
        <v/>
      </c>
    </row>
    <row r="52" ht="18" customHeight="1" s="107">
      <c r="A52" s="112" t="n">
        <v>36</v>
      </c>
      <c r="B52" s="148" t="inlineStr">
        <is>
          <t>القسوم - أحد المسارحة</t>
        </is>
      </c>
      <c r="C52" s="112" t="inlineStr">
        <is>
          <t>جازان</t>
        </is>
      </c>
      <c r="D52" s="149" t="n">
        <v>5647921</v>
      </c>
      <c r="E52" s="149" t="n">
        <v>800</v>
      </c>
      <c r="F52" s="112" t="n">
        <v>7</v>
      </c>
      <c r="G52" s="112" t="n"/>
      <c r="H52" s="149">
        <f>IFERROR(D52*(1+$C$13),"")</f>
        <v/>
      </c>
      <c r="I52" s="150">
        <f>IFERROR(H52-D52,"")</f>
        <v/>
      </c>
      <c r="J52" s="149">
        <f>IFERROR(I52*$C$11/100*$C$12,"")</f>
        <v/>
      </c>
      <c r="K52" s="149">
        <f>IFERROR(J52/F52/12,"")</f>
        <v/>
      </c>
    </row>
    <row r="53" ht="18" customHeight="1" s="107">
      <c r="A53" s="112" t="n">
        <v>37</v>
      </c>
      <c r="B53" s="148" t="inlineStr">
        <is>
          <t>الكر النازل</t>
        </is>
      </c>
      <c r="C53" s="112" t="inlineStr">
        <is>
          <t>مكة</t>
        </is>
      </c>
      <c r="D53" s="149" t="n">
        <v>5545862</v>
      </c>
      <c r="E53" s="149" t="n">
        <v>537</v>
      </c>
      <c r="F53" s="112" t="n">
        <v>8</v>
      </c>
      <c r="G53" s="112" t="n"/>
      <c r="H53" s="149">
        <f>IFERROR(D53*(1+$C$13),"")</f>
        <v/>
      </c>
      <c r="I53" s="150">
        <f>IFERROR(H53-D53,"")</f>
        <v/>
      </c>
      <c r="J53" s="149">
        <f>IFERROR(I53*$C$11/100*$C$12,"")</f>
        <v/>
      </c>
      <c r="K53" s="149">
        <f>IFERROR(J53/F53/12,"")</f>
        <v/>
      </c>
    </row>
    <row r="54" ht="18" customHeight="1" s="107">
      <c r="A54" s="112" t="n">
        <v>38</v>
      </c>
      <c r="B54" s="148" t="inlineStr">
        <is>
          <t>الملك خالد</t>
        </is>
      </c>
      <c r="C54" s="112" t="inlineStr">
        <is>
          <t>الطائف</t>
        </is>
      </c>
      <c r="D54" s="149" t="n">
        <v>5284855</v>
      </c>
      <c r="E54" s="149" t="n">
        <v>685</v>
      </c>
      <c r="F54" s="112" t="n">
        <v>5</v>
      </c>
      <c r="G54" s="112" t="n"/>
      <c r="H54" s="149">
        <f>IFERROR(D54*(1+$C$13),"")</f>
        <v/>
      </c>
      <c r="I54" s="150">
        <f>IFERROR(H54-D54,"")</f>
        <v/>
      </c>
      <c r="J54" s="149">
        <f>IFERROR(I54*$C$11/100*$C$12,"")</f>
        <v/>
      </c>
      <c r="K54" s="149">
        <f>IFERROR(J54/F54/12,"")</f>
        <v/>
      </c>
    </row>
    <row r="55" ht="18" customHeight="1" s="107">
      <c r="A55" s="112" t="n">
        <v>39</v>
      </c>
      <c r="B55" s="148" t="inlineStr">
        <is>
          <t>كورنيش الخبر</t>
        </is>
      </c>
      <c r="C55" s="112" t="inlineStr">
        <is>
          <t>الشرقية</t>
        </is>
      </c>
      <c r="D55" s="149" t="n">
        <v>5197774</v>
      </c>
      <c r="E55" s="149" t="n">
        <v>591</v>
      </c>
      <c r="F55" s="112" t="n">
        <v>6</v>
      </c>
      <c r="G55" s="112" t="n"/>
      <c r="H55" s="149">
        <f>IFERROR(D55*(1+$C$13),"")</f>
        <v/>
      </c>
      <c r="I55" s="150">
        <f>IFERROR(H55-D55,"")</f>
        <v/>
      </c>
      <c r="J55" s="149">
        <f>IFERROR(I55*$C$11/100*$C$12,"")</f>
        <v/>
      </c>
      <c r="K55" s="149">
        <f>IFERROR(J55/F55/12,"")</f>
        <v/>
      </c>
    </row>
    <row r="56" ht="18" customHeight="1" s="107">
      <c r="A56" s="112" t="n">
        <v>40</v>
      </c>
      <c r="B56" s="148" t="inlineStr">
        <is>
          <t>خبت نخلان</t>
        </is>
      </c>
      <c r="C56" s="112" t="inlineStr">
        <is>
          <t>جازان</t>
        </is>
      </c>
      <c r="D56" s="149" t="n">
        <v>4362115</v>
      </c>
      <c r="E56" s="149" t="n">
        <v>650</v>
      </c>
      <c r="F56" s="112" t="n">
        <v>8</v>
      </c>
      <c r="G56" s="112" t="n"/>
      <c r="H56" s="149">
        <f>IFERROR(D56*(1+$C$13),"")</f>
        <v/>
      </c>
      <c r="I56" s="150">
        <f>IFERROR(H56-D56,"")</f>
        <v/>
      </c>
      <c r="J56" s="149">
        <f>IFERROR(I56*$C$11/100*$C$12,"")</f>
        <v/>
      </c>
      <c r="K56" s="149">
        <f>IFERROR(J56/F56/12,"")</f>
        <v/>
      </c>
    </row>
    <row r="57" ht="18" customHeight="1" s="107">
      <c r="A57" s="112" t="n">
        <v>41</v>
      </c>
      <c r="B57" s="148" t="inlineStr">
        <is>
          <t>غرناطة - طريق الملك عبدالله</t>
        </is>
      </c>
      <c r="C57" s="112" t="inlineStr">
        <is>
          <t>الخرج</t>
        </is>
      </c>
      <c r="D57" s="149" t="n">
        <v>4341977</v>
      </c>
      <c r="E57" s="149" t="n">
        <v>469</v>
      </c>
      <c r="F57" s="112" t="n">
        <v>7</v>
      </c>
      <c r="G57" s="112" t="n"/>
      <c r="H57" s="149">
        <f>IFERROR(D57*(1+$C$13),"")</f>
        <v/>
      </c>
      <c r="I57" s="150">
        <f>IFERROR(H57-D57,"")</f>
        <v/>
      </c>
      <c r="J57" s="149">
        <f>IFERROR(I57*$C$11/100*$C$12,"")</f>
        <v/>
      </c>
      <c r="K57" s="149">
        <f>IFERROR(J57/F57/12,"")</f>
        <v/>
      </c>
    </row>
    <row r="58" ht="18" customHeight="1" s="107">
      <c r="A58" s="112" t="n">
        <v>42</v>
      </c>
      <c r="B58" s="148" t="inlineStr">
        <is>
          <t>طريق صبيا</t>
        </is>
      </c>
      <c r="C58" s="112" t="inlineStr">
        <is>
          <t>جازان</t>
        </is>
      </c>
      <c r="D58" s="149" t="n">
        <v>4191108</v>
      </c>
      <c r="E58" s="149" t="n">
        <v>538</v>
      </c>
      <c r="F58" s="112" t="n">
        <v>6</v>
      </c>
      <c r="G58" s="112" t="n"/>
      <c r="H58" s="149">
        <f>IFERROR(D58*(1+$C$13),"")</f>
        <v/>
      </c>
      <c r="I58" s="150">
        <f>IFERROR(H58-D58,"")</f>
        <v/>
      </c>
      <c r="J58" s="149">
        <f>IFERROR(I58*$C$11/100*$C$12,"")</f>
        <v/>
      </c>
      <c r="K58" s="149">
        <f>IFERROR(J58/F58/12,"")</f>
        <v/>
      </c>
    </row>
    <row r="59" ht="18" customHeight="1" s="107">
      <c r="A59" s="112" t="n">
        <v>43</v>
      </c>
      <c r="B59" s="148" t="inlineStr">
        <is>
          <t>بطحاء قريش 2</t>
        </is>
      </c>
      <c r="C59" s="112" t="inlineStr">
        <is>
          <t>مكة</t>
        </is>
      </c>
      <c r="D59" s="149" t="n">
        <v>4156161</v>
      </c>
      <c r="E59" s="149" t="n">
        <v>586</v>
      </c>
      <c r="F59" s="112" t="n">
        <v>5</v>
      </c>
      <c r="G59" s="112" t="n"/>
      <c r="H59" s="149">
        <f>IFERROR(D59*(1+$C$13),"")</f>
        <v/>
      </c>
      <c r="I59" s="150">
        <f>IFERROR(H59-D59,"")</f>
        <v/>
      </c>
      <c r="J59" s="149">
        <f>IFERROR(I59*$C$11/100*$C$12,"")</f>
        <v/>
      </c>
      <c r="K59" s="149">
        <f>IFERROR(J59/F59/12,"")</f>
        <v/>
      </c>
    </row>
    <row r="60" ht="18" customHeight="1" s="107">
      <c r="A60" s="112" t="n">
        <v>44</v>
      </c>
      <c r="B60" s="148" t="inlineStr">
        <is>
          <t>الشرايع</t>
        </is>
      </c>
      <c r="C60" s="112" t="inlineStr">
        <is>
          <t>مكة</t>
        </is>
      </c>
      <c r="D60" s="149" t="n">
        <v>3857645</v>
      </c>
      <c r="E60" s="149" t="n">
        <v>456</v>
      </c>
      <c r="F60" s="112" t="n">
        <v>5</v>
      </c>
      <c r="G60" s="112" t="n">
        <v>6</v>
      </c>
      <c r="H60" s="149">
        <f>IFERROR(D60*(1+$C$13),"")</f>
        <v/>
      </c>
      <c r="I60" s="150">
        <f>IFERROR(H60-D60,"")</f>
        <v/>
      </c>
      <c r="J60" s="149">
        <f>IFERROR(I60*$C$11/100*$C$12,"")</f>
        <v/>
      </c>
      <c r="K60" s="149">
        <f>IFERROR(J60/F60/12,"")</f>
        <v/>
      </c>
    </row>
    <row r="61" ht="18" customHeight="1" s="107">
      <c r="A61" s="112" t="n">
        <v>45</v>
      </c>
      <c r="B61" s="148" t="inlineStr">
        <is>
          <t>خليص</t>
        </is>
      </c>
      <c r="C61" s="112" t="inlineStr">
        <is>
          <t>مكة</t>
        </is>
      </c>
      <c r="D61" s="149" t="n">
        <v>3791200</v>
      </c>
      <c r="E61" s="149" t="n">
        <v>423</v>
      </c>
      <c r="F61" s="112" t="n">
        <v>9</v>
      </c>
      <c r="G61" s="112" t="n"/>
      <c r="H61" s="149">
        <f>IFERROR(D61*(1+$C$13),"")</f>
        <v/>
      </c>
      <c r="I61" s="150">
        <f>IFERROR(H61-D61,"")</f>
        <v/>
      </c>
      <c r="J61" s="149">
        <f>IFERROR(I61*$C$11/100*$C$12,"")</f>
        <v/>
      </c>
      <c r="K61" s="149">
        <f>IFERROR(J61/F61/12,"")</f>
        <v/>
      </c>
    </row>
    <row r="62" ht="18" customHeight="1" s="107">
      <c r="A62" s="112" t="n">
        <v>46</v>
      </c>
      <c r="B62" s="148" t="inlineStr">
        <is>
          <t>جبل ثور - جوهرة النسيم</t>
        </is>
      </c>
      <c r="C62" s="112" t="inlineStr">
        <is>
          <t>مكة</t>
        </is>
      </c>
      <c r="D62" s="149" t="n">
        <v>3708152</v>
      </c>
      <c r="E62" s="149" t="n">
        <v>451</v>
      </c>
      <c r="F62" s="112" t="n"/>
      <c r="G62" s="112" t="n"/>
      <c r="H62" s="149">
        <f>IFERROR(D62*(1+$C$13),"")</f>
        <v/>
      </c>
      <c r="I62" s="150">
        <f>IFERROR(H62-D62,"")</f>
        <v/>
      </c>
      <c r="J62" s="149">
        <f>IFERROR(I62*$C$11/100*$C$12,"")</f>
        <v/>
      </c>
      <c r="K62" s="149">
        <f>IFERROR(J62/F62/12,"")</f>
        <v/>
      </c>
    </row>
    <row r="63" ht="18" customHeight="1" s="107">
      <c r="A63" s="112" t="n">
        <v>47</v>
      </c>
      <c r="B63" s="148" t="inlineStr">
        <is>
          <t>الدائري الشرقي</t>
        </is>
      </c>
      <c r="C63" s="112" t="inlineStr">
        <is>
          <t>القصيم</t>
        </is>
      </c>
      <c r="D63" s="149" t="n">
        <v>3599745</v>
      </c>
      <c r="E63" s="149" t="n">
        <v>441</v>
      </c>
      <c r="F63" s="112" t="n">
        <v>6</v>
      </c>
      <c r="G63" s="112" t="n"/>
      <c r="H63" s="149">
        <f>IFERROR(D63*(1+$C$13),"")</f>
        <v/>
      </c>
      <c r="I63" s="150">
        <f>IFERROR(H63-D63,"")</f>
        <v/>
      </c>
      <c r="J63" s="149">
        <f>IFERROR(I63*$C$11/100*$C$12,"")</f>
        <v/>
      </c>
      <c r="K63" s="149">
        <f>IFERROR(J63/F63/12,"")</f>
        <v/>
      </c>
    </row>
    <row r="64" ht="18" customHeight="1" s="107">
      <c r="A64" s="112" t="n">
        <v>48</v>
      </c>
      <c r="B64" s="148" t="inlineStr">
        <is>
          <t>الناصفة</t>
        </is>
      </c>
      <c r="C64" s="112" t="inlineStr">
        <is>
          <t>الخرج</t>
        </is>
      </c>
      <c r="D64" s="149" t="n">
        <v>3433425</v>
      </c>
      <c r="E64" s="149" t="n">
        <v>402</v>
      </c>
      <c r="F64" s="112" t="n">
        <v>5</v>
      </c>
      <c r="G64" s="112" t="n"/>
      <c r="H64" s="149">
        <f>IFERROR(D64*(1+$C$13),"")</f>
        <v/>
      </c>
      <c r="I64" s="150">
        <f>IFERROR(H64-D64,"")</f>
        <v/>
      </c>
      <c r="J64" s="149">
        <f>IFERROR(I64*$C$11/100*$C$12,"")</f>
        <v/>
      </c>
      <c r="K64" s="149">
        <f>IFERROR(J64/F64/12,"")</f>
        <v/>
      </c>
    </row>
    <row r="65" ht="18" customHeight="1" s="107">
      <c r="A65" s="112" t="n">
        <v>49</v>
      </c>
      <c r="B65" s="148" t="inlineStr">
        <is>
          <t>البيعة</t>
        </is>
      </c>
      <c r="C65" s="112" t="inlineStr">
        <is>
          <t>الطائف</t>
        </is>
      </c>
      <c r="D65" s="149" t="n">
        <v>3315559</v>
      </c>
      <c r="E65" s="149" t="n">
        <v>455</v>
      </c>
      <c r="F65" s="112" t="n">
        <v>5</v>
      </c>
      <c r="G65" s="112" t="n"/>
      <c r="H65" s="149">
        <f>IFERROR(D65*(1+$C$13),"")</f>
        <v/>
      </c>
      <c r="I65" s="150">
        <f>IFERROR(H65-D65,"")</f>
        <v/>
      </c>
      <c r="J65" s="149">
        <f>IFERROR(I65*$C$11/100*$C$12,"")</f>
        <v/>
      </c>
      <c r="K65" s="149">
        <f>IFERROR(J65/F65/12,"")</f>
        <v/>
      </c>
    </row>
    <row r="66" ht="18" customHeight="1" s="107">
      <c r="A66" s="112" t="n">
        <v>50</v>
      </c>
      <c r="B66" s="148" t="inlineStr">
        <is>
          <t>العريفي</t>
        </is>
      </c>
      <c r="C66" s="112" t="inlineStr">
        <is>
          <t>حائل</t>
        </is>
      </c>
      <c r="D66" s="149" t="n">
        <v>2663618</v>
      </c>
      <c r="E66" s="149" t="n">
        <v>327</v>
      </c>
      <c r="F66" s="112" t="n">
        <v>6</v>
      </c>
      <c r="G66" s="112" t="n"/>
      <c r="H66" s="149">
        <f>IFERROR(D66*(1+$C$13),"")</f>
        <v/>
      </c>
      <c r="I66" s="150">
        <f>IFERROR(H66-D66,"")</f>
        <v/>
      </c>
      <c r="J66" s="149">
        <f>IFERROR(I66*$C$11/100*$C$12,"")</f>
        <v/>
      </c>
      <c r="K66" s="149">
        <f>IFERROR(J66/F66/12,"")</f>
        <v/>
      </c>
    </row>
    <row r="67" ht="18" customHeight="1" s="107">
      <c r="A67" s="112" t="n">
        <v>51</v>
      </c>
      <c r="B67" s="148" t="inlineStr">
        <is>
          <t>الكوثر</t>
        </is>
      </c>
      <c r="C67" s="112" t="inlineStr">
        <is>
          <t>جدة</t>
        </is>
      </c>
      <c r="D67" s="149" t="n">
        <v>2286567</v>
      </c>
      <c r="E67" s="149" t="n">
        <v>333</v>
      </c>
      <c r="F67" s="112" t="n">
        <v>6</v>
      </c>
      <c r="G67" s="112" t="n"/>
      <c r="H67" s="149">
        <f>IFERROR(D67*(1+$C$13),"")</f>
        <v/>
      </c>
      <c r="I67" s="150">
        <f>IFERROR(H67-D67,"")</f>
        <v/>
      </c>
      <c r="J67" s="149">
        <f>IFERROR(I67*$C$11/100*$C$12,"")</f>
        <v/>
      </c>
      <c r="K67" s="149">
        <f>IFERROR(J67/F67/12,"")</f>
        <v/>
      </c>
    </row>
    <row r="68" ht="18" customHeight="1" s="107">
      <c r="A68" s="112" t="n">
        <v>52</v>
      </c>
      <c r="B68" s="148" t="inlineStr">
        <is>
          <t>الروابي - المودة</t>
        </is>
      </c>
      <c r="C68" s="112" t="inlineStr">
        <is>
          <t>جازان</t>
        </is>
      </c>
      <c r="D68" s="149" t="n">
        <v>2086987</v>
      </c>
      <c r="E68" s="149" t="n">
        <v>281</v>
      </c>
      <c r="F68" s="112" t="n">
        <v>4</v>
      </c>
      <c r="G68" s="112" t="n"/>
      <c r="H68" s="149">
        <f>IFERROR(D68*(1+$C$13),"")</f>
        <v/>
      </c>
      <c r="I68" s="150">
        <f>IFERROR(H68-D68,"")</f>
        <v/>
      </c>
      <c r="J68" s="149">
        <f>IFERROR(I68*$C$11/100*$C$12,"")</f>
        <v/>
      </c>
      <c r="K68" s="149">
        <f>IFERROR(J68/F68/12,"")</f>
        <v/>
      </c>
    </row>
    <row r="69" ht="18" customHeight="1" s="107">
      <c r="A69" s="112" t="n">
        <v>53</v>
      </c>
      <c r="B69" s="148" t="inlineStr">
        <is>
          <t>صناعية صامطة</t>
        </is>
      </c>
      <c r="C69" s="112" t="inlineStr">
        <is>
          <t>جازان</t>
        </is>
      </c>
      <c r="D69" s="149" t="n">
        <v>1960098</v>
      </c>
      <c r="E69" s="149" t="n">
        <v>408</v>
      </c>
      <c r="F69" s="112" t="n">
        <v>4</v>
      </c>
      <c r="G69" s="112" t="n"/>
      <c r="H69" s="149">
        <f>IFERROR(D69*(1+$C$13),"")</f>
        <v/>
      </c>
      <c r="I69" s="150">
        <f>IFERROR(H69-D69,"")</f>
        <v/>
      </c>
      <c r="J69" s="149">
        <f>IFERROR(I69*$C$11/100*$C$12,"")</f>
        <v/>
      </c>
      <c r="K69" s="149">
        <f>IFERROR(J69/F69/12,"")</f>
        <v/>
      </c>
    </row>
    <row r="70" ht="18" customHeight="1" s="107">
      <c r="A70" s="112" t="n">
        <v>54</v>
      </c>
      <c r="B70" s="148" t="inlineStr">
        <is>
          <t>طريق السلام</t>
        </is>
      </c>
      <c r="C70" s="112" t="inlineStr">
        <is>
          <t>المدينة المنورة</t>
        </is>
      </c>
      <c r="D70" s="149" t="n">
        <v>1451309</v>
      </c>
      <c r="E70" s="149" t="n">
        <v>196</v>
      </c>
      <c r="F70" s="112" t="n"/>
      <c r="G70" s="112" t="n"/>
      <c r="H70" s="149">
        <f>IFERROR(D70*(1+$C$13),"")</f>
        <v/>
      </c>
      <c r="I70" s="150">
        <f>IFERROR(H70-D70,"")</f>
        <v/>
      </c>
      <c r="J70" s="149">
        <f>IFERROR(I70*$C$11/100*$C$12,"")</f>
        <v/>
      </c>
      <c r="K70" s="149">
        <f>IFERROR(J70/F70/12,"")</f>
        <v/>
      </c>
    </row>
    <row r="71" ht="18" customHeight="1" s="107">
      <c r="A71" s="112" t="n">
        <v>55</v>
      </c>
      <c r="B71" s="148" t="inlineStr">
        <is>
          <t>المركب</t>
        </is>
      </c>
      <c r="C71" s="112" t="inlineStr">
        <is>
          <t>نجران</t>
        </is>
      </c>
      <c r="D71" s="149" t="n">
        <v>1099275</v>
      </c>
      <c r="E71" s="149" t="n">
        <v>154</v>
      </c>
      <c r="F71" s="112" t="n">
        <v>5</v>
      </c>
      <c r="G71" s="112" t="n"/>
      <c r="H71" s="149">
        <f>IFERROR(D71*(1+$C$13),"")</f>
        <v/>
      </c>
      <c r="I71" s="150">
        <f>IFERROR(H71-D71,"")</f>
        <v/>
      </c>
      <c r="J71" s="149">
        <f>IFERROR(I71*$C$11/100*$C$12,"")</f>
        <v/>
      </c>
      <c r="K71" s="149">
        <f>IFERROR(J71/F71/12,"")</f>
        <v/>
      </c>
    </row>
    <row r="72" ht="15" customHeight="1" s="107">
      <c r="A72" s="152" t="n"/>
      <c r="B72" s="152" t="inlineStr">
        <is>
          <t>الإجمالي</t>
        </is>
      </c>
      <c r="C72" s="152" t="n"/>
      <c r="D72" s="153">
        <f>SUM(D17:D71)</f>
        <v/>
      </c>
      <c r="E72" s="153">
        <f>SUM(E17:E71)</f>
        <v/>
      </c>
      <c r="F72" s="153">
        <f>SUM(F17:F71)</f>
        <v/>
      </c>
      <c r="G72" s="153">
        <f>SUM(G17:G71)</f>
        <v/>
      </c>
      <c r="H72" s="153">
        <f>SUM(H17:H71)</f>
        <v/>
      </c>
      <c r="I72" s="153">
        <f>SUM(I17:I71)</f>
        <v/>
      </c>
      <c r="J72" s="153">
        <f>SUM(J17:J71)</f>
        <v/>
      </c>
      <c r="K72" s="152" t="n"/>
    </row>
    <row r="73">
      <c r="A73" s="109" t="n"/>
      <c r="B73" s="109" t="n"/>
      <c r="C73" s="109" t="n"/>
      <c r="D73" s="109" t="n"/>
      <c r="E73" s="109" t="n"/>
      <c r="F73" s="109" t="n"/>
      <c r="G73" s="109" t="n"/>
      <c r="H73" s="109" t="n"/>
      <c r="I73" s="109" t="n"/>
      <c r="J73" s="109" t="n"/>
      <c r="K73" s="109" t="n"/>
    </row>
    <row r="74" ht="15" customHeight="1" s="107">
      <c r="A74" s="109" t="n"/>
      <c r="B74" s="128" t="inlineStr">
        <is>
          <t>آلية الحافز</t>
        </is>
      </c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</row>
    <row r="75" ht="15.75" customHeight="1" s="107">
      <c r="A75" s="109" t="n"/>
      <c r="B75" s="109" t="n"/>
      <c r="C75" s="129" t="inlineStr">
        <is>
          <t>•  الحافز نسبة من هامش اللتر الإضافي — لا مبلغ ثابت</t>
        </is>
      </c>
      <c r="D75" s="109" t="n"/>
      <c r="E75" s="109" t="n"/>
      <c r="F75" s="109" t="n"/>
      <c r="G75" s="109" t="n"/>
      <c r="H75" s="109" t="n"/>
      <c r="I75" s="109" t="n"/>
      <c r="J75" s="109" t="n"/>
      <c r="K75" s="109" t="n"/>
    </row>
    <row r="76" ht="15.75" customHeight="1" s="107">
      <c r="A76" s="109" t="n"/>
      <c r="B76" s="109" t="n"/>
      <c r="C76" s="129" t="inlineStr">
        <is>
          <t>•  فلا يُصرف إلا إذا تحقق النمو، ويتناسب مع حجمه</t>
        </is>
      </c>
      <c r="D76" s="109" t="n"/>
      <c r="E76" s="109" t="n"/>
      <c r="F76" s="109" t="n"/>
      <c r="G76" s="109" t="n"/>
      <c r="H76" s="109" t="n"/>
      <c r="I76" s="109" t="n"/>
      <c r="J76" s="109" t="n"/>
      <c r="K76" s="109" t="n"/>
    </row>
    <row r="77" ht="15.75" customHeight="1" s="107">
      <c r="A77" s="109" t="n"/>
      <c r="B77" s="109" t="n"/>
      <c r="C77" s="129" t="inlineStr">
        <is>
          <t>•  التوزيع على عمال المحطة يربط الأجر بنتيجة المحطة مباشرة</t>
        </is>
      </c>
      <c r="D77" s="109" t="n"/>
      <c r="E77" s="109" t="n"/>
      <c r="F77" s="109" t="n"/>
      <c r="G77" s="109" t="n"/>
      <c r="H77" s="109" t="n"/>
      <c r="I77" s="109" t="n"/>
      <c r="J77" s="109" t="n"/>
      <c r="K77" s="109" t="n"/>
    </row>
    <row r="78">
      <c r="A78" s="109" t="n"/>
      <c r="B78" s="109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</row>
    <row r="79" ht="15" customHeight="1" s="107">
      <c r="A79" s="109" t="n"/>
      <c r="B79" s="117" t="inlineStr">
        <is>
          <t>شرط نجاحه</t>
        </is>
      </c>
      <c r="C79" s="109" t="n"/>
      <c r="D79" s="109" t="n"/>
      <c r="E79" s="109" t="n"/>
      <c r="F79" s="109" t="n"/>
      <c r="G79" s="109" t="n"/>
      <c r="H79" s="109" t="n"/>
      <c r="I79" s="109" t="n"/>
      <c r="J79" s="109" t="n"/>
      <c r="K79" s="109" t="n"/>
    </row>
    <row r="80" ht="15.75" customHeight="1" s="107">
      <c r="A80" s="109" t="n"/>
      <c r="B80" s="109" t="n"/>
      <c r="C80" s="129" t="inlineStr">
        <is>
          <t>•  قياس شهري معلن لكل محطة — العامل يرى موقعه من المستهدف</t>
        </is>
      </c>
      <c r="D80" s="109" t="n"/>
      <c r="E80" s="109" t="n"/>
      <c r="F80" s="109" t="n"/>
      <c r="G80" s="109" t="n"/>
      <c r="H80" s="109" t="n"/>
      <c r="I80" s="109" t="n"/>
      <c r="J80" s="109" t="n"/>
      <c r="K80" s="109" t="n"/>
    </row>
    <row r="81" ht="15.75" customHeight="1" s="107">
      <c r="A81" s="109" t="n"/>
      <c r="B81" s="109" t="n"/>
      <c r="C81" s="129" t="inlineStr">
        <is>
          <t>•  ربطه بمؤشر الخدمة أيضاً: الشكاوى وزمن التعبئة</t>
        </is>
      </c>
      <c r="D81" s="109" t="n"/>
      <c r="E81" s="109" t="n"/>
      <c r="F81" s="109" t="n"/>
      <c r="G81" s="109" t="n"/>
      <c r="H81" s="109" t="n"/>
      <c r="I81" s="109" t="n"/>
      <c r="J81" s="109" t="n"/>
      <c r="K81" s="109" t="n"/>
    </row>
    <row r="82" ht="15.75" customHeight="1" s="107">
      <c r="A82" s="109" t="n"/>
      <c r="B82" s="109" t="n"/>
      <c r="C82" s="129" t="inlineStr">
        <is>
          <t>•  بلا قياس زمن الخدمة يتحوّل الحافز إلى مكافأة حجم لا مكافأة أداء</t>
        </is>
      </c>
      <c r="D82" s="109" t="n"/>
      <c r="E82" s="109" t="n"/>
      <c r="F82" s="109" t="n"/>
      <c r="G82" s="109" t="n"/>
      <c r="H82" s="109" t="n"/>
      <c r="I82" s="109" t="n"/>
      <c r="J82" s="109" t="n"/>
      <c r="K82" s="109" t="n"/>
    </row>
    <row r="83">
      <c r="A83" s="109" t="n"/>
      <c r="B83" s="109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</row>
    <row r="84" ht="15" customHeight="1" s="107">
      <c r="A84" s="109" t="n"/>
      <c r="B84" s="117" t="inlineStr">
        <is>
          <t>حدّ خفض المصاريف</t>
        </is>
      </c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</row>
    <row r="85" ht="15.75" customHeight="1" s="107">
      <c r="A85" s="109" t="n"/>
      <c r="B85" s="109" t="n"/>
      <c r="C85" s="129" t="inlineStr">
        <is>
          <t>•  المصاريف النقدية 0.94 هللة لكل لتر — و88% من المصاريف إهلاك</t>
        </is>
      </c>
      <c r="D85" s="109" t="n"/>
      <c r="E85" s="109" t="n"/>
      <c r="F85" s="109" t="n"/>
      <c r="G85" s="109" t="n"/>
      <c r="H85" s="109" t="n"/>
      <c r="I85" s="109" t="n"/>
      <c r="J85" s="109" t="n"/>
      <c r="K85" s="109" t="n"/>
    </row>
    <row r="86" ht="15.75" customHeight="1" s="107">
      <c r="A86" s="109" t="n"/>
      <c r="B86" s="109" t="n"/>
      <c r="C86" s="129" t="inlineStr">
        <is>
          <t>•  فالخفض يعطي أقل من هللة، بينما النمو 5% يعطي أضعافه</t>
        </is>
      </c>
      <c r="D86" s="109" t="n"/>
      <c r="E86" s="109" t="n"/>
      <c r="F86" s="109" t="n"/>
      <c r="G86" s="109" t="n"/>
      <c r="H86" s="109" t="n"/>
      <c r="I86" s="109" t="n"/>
      <c r="J86" s="109" t="n"/>
      <c r="K86" s="109" t="n"/>
    </row>
    <row r="87" ht="15.75" customHeight="1" s="107">
      <c r="A87" s="109" t="n"/>
      <c r="B87" s="109" t="n"/>
      <c r="C87" s="129" t="inlineStr">
        <is>
          <t>•  الأولوية للحجم والخدمة لا لبند المصاريف</t>
        </is>
      </c>
      <c r="D87" s="109" t="n"/>
      <c r="E87" s="109" t="n"/>
      <c r="F87" s="109" t="n"/>
      <c r="G87" s="109" t="n"/>
      <c r="H87" s="109" t="n"/>
      <c r="I87" s="109" t="n"/>
      <c r="J87" s="109" t="n"/>
      <c r="K87" s="109" t="n"/>
    </row>
  </sheetData>
  <mergeCells count="14">
    <mergeCell ref="C82:K82"/>
    <mergeCell ref="C85:K85"/>
    <mergeCell ref="C81:K81"/>
    <mergeCell ref="C76:K76"/>
    <mergeCell ref="A3:K3"/>
    <mergeCell ref="A15:K15"/>
    <mergeCell ref="C75:K75"/>
    <mergeCell ref="A2:K2"/>
    <mergeCell ref="C80:K80"/>
    <mergeCell ref="C87:K87"/>
    <mergeCell ref="C77:K77"/>
    <mergeCell ref="A1:K1"/>
    <mergeCell ref="A9:K9"/>
    <mergeCell ref="C86:K8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107" min="1" max="1"/>
    <col width="20" customWidth="1" style="107" min="2" max="2"/>
    <col width="20" customWidth="1" style="107" min="3" max="3"/>
    <col width="26" customWidth="1" style="107" min="4" max="4"/>
    <col width="34" customWidth="1" style="107" min="5" max="5"/>
    <col width="40" customWidth="1" style="107" min="6" max="6"/>
    <col width="44" customWidth="1" style="107" min="7" max="7"/>
  </cols>
  <sheetData>
    <row r="1" ht="26" customHeight="1" s="107">
      <c r="A1" s="118" t="inlineStr">
        <is>
          <t>المنافسون حسب المنفذ</t>
        </is>
      </c>
    </row>
    <row r="2" ht="16" customHeight="1" s="107">
      <c r="A2" s="119" t="inlineStr">
        <is>
          <t>من يسيطر · وبماذا · وردّنا — مع الشاهد الميداني</t>
        </is>
      </c>
    </row>
    <row r="3" ht="30" customHeight="1" s="107">
      <c r="A3" s="120" t="inlineStr">
        <is>
          <t>#</t>
        </is>
      </c>
      <c r="B3" s="120" t="inlineStr">
        <is>
          <t>المنافس</t>
        </is>
      </c>
      <c r="C3" s="120" t="inlineStr">
        <is>
          <t>المنفذ والقناة</t>
        </is>
      </c>
      <c r="D3" s="120" t="inlineStr">
        <is>
          <t>الحجم</t>
        </is>
      </c>
      <c r="E3" s="120" t="inlineStr">
        <is>
          <t>مصدر السيطرة</t>
        </is>
      </c>
      <c r="F3" s="120" t="inlineStr">
        <is>
          <t>الردّ</t>
        </is>
      </c>
      <c r="G3" s="120" t="inlineStr">
        <is>
          <t>شاهد ميداني — خمس محطات مكة</t>
        </is>
      </c>
    </row>
    <row r="4" ht="30" customHeight="1" s="107">
      <c r="A4" s="121" t="n">
        <v>1</v>
      </c>
      <c r="B4" s="122" t="inlineStr">
        <is>
          <t>الدريس</t>
        </is>
      </c>
      <c r="C4" s="121" t="inlineStr">
        <is>
          <t>وقود · أفراد</t>
        </is>
      </c>
      <c r="D4" s="123" t="inlineStr">
        <is>
          <t>١٬٣٨٣ محطة · ١٨٫٩٥٪</t>
        </is>
      </c>
      <c r="E4" s="123" t="inlineStr">
        <is>
          <t>الانتشار وسرعة ضمّ المستقلين</t>
        </is>
      </c>
      <c r="F4" s="123" t="inlineStr">
        <is>
          <t>المنافسة على الخدمة والربح لكل زيارة لا على السعر</t>
        </is>
      </c>
      <c r="G4" s="124" t="inlineStr">
        <is>
          <t>٤٠٪ من أقرب المنافسين حول محطاتنا — وأقرب منافس في الفردوس (٤١١ م) والشرايع (٤٨٨ م)</t>
        </is>
      </c>
    </row>
    <row r="5" ht="30" customHeight="1" s="107">
      <c r="A5" s="121" t="n">
        <v>2</v>
      </c>
      <c r="B5" s="122" t="inlineStr">
        <is>
          <t>ساسكو</t>
        </is>
      </c>
      <c r="C5" s="121" t="inlineStr">
        <is>
          <t>وقود · أفراد</t>
        </is>
      </c>
      <c r="D5" s="123" t="inlineStr">
        <is>
          <t>~٦٨٣ محطة · تشمل نفط</t>
        </is>
      </c>
      <c r="E5" s="123" t="inlineStr">
        <is>
          <t>النمو بالاستحواذ · وتطبيق أفراد ناضج</t>
        </is>
      </c>
      <c r="F5" s="123" t="inlineStr">
        <is>
          <t>تحسين تجربة المحطة وربط التطبيق بالمستأجرين</t>
        </is>
      </c>
      <c r="G5" s="124" t="inlineStr">
        <is>
          <t>ساسكو ونفط مجتمعتين ١٢٪ فقط حول محطاتنا — الضغط أخف مما توحي الحصة الوطنية</t>
        </is>
      </c>
    </row>
    <row r="6" ht="30" customHeight="1" s="107">
      <c r="A6" s="121" t="n">
        <v>3</v>
      </c>
      <c r="B6" s="122" t="inlineStr">
        <is>
          <t>بترو آب</t>
        </is>
      </c>
      <c r="C6" s="121" t="inlineStr">
        <is>
          <t>وقود · شركات</t>
        </is>
      </c>
      <c r="D6" s="123" t="inlineStr">
        <is>
          <t>٥٠٠ ألف مركبة · ١٠ آلاف منشأة</t>
        </is>
      </c>
      <c r="E6" s="123" t="inlineStr">
        <is>
          <t>ملكية العلاقة مع المنشأة بلا أصول</t>
        </is>
      </c>
      <c r="F6" s="123" t="inlineStr">
        <is>
          <t>الاشتراك كنقطة قبول + التعاقد المباشر مع أساطيل الحج والعمرة</t>
        </is>
      </c>
      <c r="G6" s="123" t="inlineStr"/>
    </row>
    <row r="7" ht="30" customHeight="1" s="107">
      <c r="A7" s="121" t="n">
        <v>4</v>
      </c>
      <c r="B7" s="122" t="inlineStr">
        <is>
          <t>واعي (الدريس)</t>
        </is>
      </c>
      <c r="C7" s="121" t="inlineStr">
        <is>
          <t>وقود · شركات</t>
        </is>
      </c>
      <c r="D7" s="123" t="inlineStr">
        <is>
          <t>شبكة الدريس ١٬٣٨٣ محطة</t>
        </is>
      </c>
      <c r="E7" s="123" t="inlineStr">
        <is>
          <t>شريحة في فوهة المضخة تثبّت الأسطول</t>
        </is>
      </c>
      <c r="F7" s="123" t="inlineStr">
        <is>
          <t>خصم هللة لكل لتر يفوق ميزة الأداة التقنية</t>
        </is>
      </c>
      <c r="G7" s="123" t="inlineStr"/>
    </row>
    <row r="8" ht="30" customHeight="1" s="107">
      <c r="A8" s="121" t="n">
        <v>5</v>
      </c>
      <c r="B8" s="122" t="inlineStr">
        <is>
          <t>سيارة آب</t>
        </is>
      </c>
      <c r="C8" s="121" t="inlineStr">
        <is>
          <t>وقود · شركات</t>
        </is>
      </c>
      <c r="D8" s="123" t="inlineStr">
        <is>
          <t>٢٬٥٠٠+ محطة قبول</t>
        </is>
      </c>
      <c r="E8" s="123" t="inlineStr">
        <is>
          <t>منصة وشبكة معاً بعد استحواذ ٢٠٢٦</t>
        </is>
      </c>
      <c r="F8" s="123" t="inlineStr">
        <is>
          <t>شراكة قائمة — رفع أساطيلنا عليها</t>
        </is>
      </c>
      <c r="G8" s="123" t="inlineStr"/>
    </row>
    <row r="9" ht="30" customHeight="1" s="107">
      <c r="A9" s="125" t="n">
        <v>6</v>
      </c>
      <c r="B9" s="126" t="inlineStr">
        <is>
          <t>درب باي</t>
        </is>
      </c>
      <c r="C9" s="125" t="inlineStr">
        <is>
          <t>وقود · شركات</t>
        </is>
      </c>
      <c r="D9" s="127" t="inlineStr">
        <is>
          <t>مرخّصة من ساما — ١١ نوفمبر ٢٠٢٥</t>
        </is>
      </c>
      <c r="E9" s="127" t="inlineStr">
        <is>
          <t>لا تبني شبكة قبول — تركب على شبكة Visa فتُقبل في كل محطة</t>
        </is>
      </c>
      <c r="F9" s="127" t="inlineStr">
        <is>
          <t>لا سبيل للاشتراك معها — الردّ بالتعاقد المباشر مع الأسطول قبل أن تصله</t>
        </is>
      </c>
      <c r="G9" s="127" t="inlineStr">
        <is>
          <t>تشابه اسم مع علامتنا في القناة نفسها — والقضية منظورة</t>
        </is>
      </c>
    </row>
    <row r="10" ht="30" customHeight="1" s="107">
      <c r="A10" s="121" t="n">
        <v>7</v>
      </c>
      <c r="B10" s="122" t="inlineStr">
        <is>
          <t>Fleet Plus (كفرات بلس)</t>
        </is>
      </c>
      <c r="C10" s="121" t="inlineStr">
        <is>
          <t>إكسسوارات وخدمات · شركات</t>
        </is>
      </c>
      <c r="D10" s="123" t="inlineStr">
        <is>
          <t>٥٬٠٠٠+ مزوّد خدمة</t>
        </is>
      </c>
      <c r="E10" s="123" t="inlineStr">
        <is>
          <t>أصلها خدمات سيارات ثم أضافت الوقود — تنافس على الوحدة المؤجّرة قبل اللتر</t>
        </is>
      </c>
      <c r="F10" s="123" t="inlineStr">
        <is>
          <t>شراكة لا مواجهة — عرض مغاسلنا ومراكز خدمتنا كنقاط تنفيذ ضمن شبكتها</t>
        </is>
      </c>
      <c r="G10" s="123" t="inlineStr"/>
    </row>
    <row r="11" ht="30" customHeight="1" s="107">
      <c r="A11" s="121" t="n">
        <v>8</v>
      </c>
      <c r="B11" s="122" t="inlineStr">
        <is>
          <t>الوسطاء العقاريون</t>
        </is>
      </c>
      <c r="C11" s="121" t="inlineStr">
        <is>
          <t>عقار</t>
        </is>
      </c>
      <c r="D11" s="123" t="inlineStr">
        <is>
          <t>مجزّأ — لا سلسلة مسيطرة</t>
        </is>
      </c>
      <c r="E11" s="123" t="inlineStr">
        <is>
          <t>ملكية قائمة المستأجرين الباحثين</t>
        </is>
      </c>
      <c r="F11" s="123" t="inlineStr">
        <is>
          <t>التحالف لا المنافسة — عمولة مقابل إشغال</t>
        </is>
      </c>
      <c r="G11" s="123" t="inlineStr"/>
    </row>
    <row r="12" ht="30" customHeight="1" s="107">
      <c r="A12" s="121" t="n">
        <v>9</v>
      </c>
      <c r="B12" s="122" t="inlineStr">
        <is>
          <t>محلات التجزئة</t>
        </is>
      </c>
      <c r="C12" s="121" t="inlineStr">
        <is>
          <t>إكسسوارات</t>
        </is>
      </c>
      <c r="D12" s="123" t="inlineStr">
        <is>
          <t>مجزّأ — متاجر ومعارض</t>
        </is>
      </c>
      <c r="E12" s="123" t="inlineStr">
        <is>
          <t>المخزون والخبرة وعلاقة المورّد</t>
        </is>
      </c>
      <c r="F12" s="123" t="inlineStr">
        <is>
          <t>التعاقد لا المنافسة — مساحة مقابل نسبة</t>
        </is>
      </c>
      <c r="G12" s="123" t="inlineStr"/>
    </row>
    <row r="14">
      <c r="B14" s="128" t="inlineStr">
        <is>
          <t>القراءة</t>
        </is>
      </c>
    </row>
    <row r="15" ht="16" customHeight="1" s="107">
      <c r="C15" s="129" t="inlineStr">
        <is>
          <t>•  في قناة الأفراد المنافس مشغّل محطات — والسلاح تجربة الخدمة</t>
        </is>
      </c>
    </row>
    <row r="16" ht="16" customHeight="1" s="107">
      <c r="C16" s="129" t="inlineStr">
        <is>
          <t>•  في قناة الشركات المنافس منصة أو أداة — والسلاح السعر والعقد</t>
        </is>
      </c>
    </row>
    <row r="17" ht="16" customHeight="1" s="107">
      <c r="C17" s="129" t="inlineStr">
        <is>
          <t>•  في العقار والإكسسوارات لا مسيطر — والسلاح الشراكة لا المواجهة</t>
        </is>
      </c>
    </row>
    <row r="19">
      <c r="B19" s="130" t="inlineStr">
        <is>
          <t>منافسان يحتاجان تصنيفاً مختلفاً</t>
        </is>
      </c>
    </row>
    <row r="20" ht="16" customHeight="1" s="107">
      <c r="C20" s="129" t="inlineStr">
        <is>
          <t>•  درب باي وحدها لا يمكن التفاوض معها — لا تحتاج شبكتنا لأنها تُقبل عبر Visa</t>
        </is>
      </c>
    </row>
    <row r="21" ht="16" customHeight="1" s="107">
      <c r="C21" s="129" t="inlineStr">
        <is>
          <t>•  Fleet Plus أصلها خدمات سيارات لا وقود — فالأولى شراكتها على الوحدات المؤجّرة</t>
        </is>
      </c>
    </row>
  </sheetData>
  <mergeCells count="7">
    <mergeCell ref="C21:G21"/>
    <mergeCell ref="A1:G1"/>
    <mergeCell ref="C20:G20"/>
    <mergeCell ref="C16:G16"/>
    <mergeCell ref="C15:G15"/>
    <mergeCell ref="A2:G2"/>
    <mergeCell ref="C17:G17"/>
  </mergeCell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107" min="1" max="1"/>
    <col width="18" customWidth="1" style="107" min="2" max="2"/>
    <col width="10" customWidth="1" style="107" min="3" max="3"/>
    <col width="13" customWidth="1" style="107" min="4" max="4"/>
    <col width="13" customWidth="1" style="107" min="5" max="5"/>
    <col width="14" customWidth="1" style="107" min="6" max="6"/>
    <col width="10" customWidth="1" style="107" min="7" max="7"/>
    <col width="11" customWidth="1" style="107" min="8" max="8"/>
    <col width="10" customWidth="1" style="107" min="9" max="9"/>
    <col width="10" customWidth="1" style="107" min="10" max="10"/>
    <col width="36" customWidth="1" style="107" min="11" max="11"/>
  </cols>
  <sheetData>
    <row r="1" ht="26" customHeight="1" s="107">
      <c r="A1" s="118" t="inlineStr">
        <is>
          <t>السيطرة الميدانية — من يسيطر فعلاً حول محطاتنا</t>
        </is>
      </c>
    </row>
    <row r="2" ht="16" customHeight="1" s="107">
      <c r="A2" s="119" t="inlineStr">
        <is>
          <t>قياس القرب من خرائط جوجل (يوليو ٢٠٢٦) — خمس محطات مكة محل الدراسة</t>
        </is>
      </c>
    </row>
    <row r="3" ht="22" customHeight="1" s="107">
      <c r="A3" s="131" t="inlineStr">
        <is>
          <t>① العلامات المنافسة حول محطاتنا — من عيّنة أقرب المحطات</t>
        </is>
      </c>
    </row>
    <row r="4" ht="30" customHeight="1" s="107">
      <c r="A4" s="120" t="inlineStr">
        <is>
          <t>#</t>
        </is>
      </c>
      <c r="B4" s="120" t="inlineStr">
        <is>
          <t>العلامة</t>
        </is>
      </c>
      <c r="C4" s="120" t="inlineStr">
        <is>
          <t>مرات</t>
        </is>
      </c>
      <c r="D4" s="120" t="inlineStr">
        <is>
          <t>الحصة</t>
        </is>
      </c>
      <c r="E4" s="120" t="inlineStr">
        <is>
          <t>أقرب مسافة</t>
        </is>
      </c>
      <c r="F4" s="120" t="inlineStr">
        <is>
          <t>متوسط المسافة</t>
        </is>
      </c>
      <c r="G4" s="120" t="inlineStr"/>
      <c r="H4" s="120" t="inlineStr"/>
      <c r="I4" s="120" t="inlineStr"/>
      <c r="J4" s="120" t="inlineStr"/>
      <c r="K4" s="120" t="inlineStr">
        <is>
          <t>الدلالة</t>
        </is>
      </c>
    </row>
    <row r="5" ht="20" customHeight="1" s="107">
      <c r="A5" s="121" t="n">
        <v>1</v>
      </c>
      <c r="B5" s="122" t="inlineStr">
        <is>
          <t>الدريس</t>
        </is>
      </c>
      <c r="C5" s="132" t="n">
        <v>16</v>
      </c>
      <c r="D5" s="133" t="n">
        <v>0.4</v>
      </c>
      <c r="E5" s="134" t="n">
        <v>411</v>
      </c>
      <c r="F5" s="134" t="n">
        <v>1810</v>
      </c>
      <c r="G5" s="135" t="n"/>
      <c r="H5" s="135" t="n"/>
      <c r="I5" s="135" t="n"/>
      <c r="J5" s="135" t="n"/>
      <c r="K5" s="136" t="inlineStr">
        <is>
          <t>أقرب منافس في محطتين من خمس — الانتشار ليس دعوى سوقية بل واقع مقيس</t>
        </is>
      </c>
    </row>
    <row r="6" ht="20" customHeight="1" s="107">
      <c r="A6" s="121" t="n">
        <v>2</v>
      </c>
      <c r="B6" s="122" t="inlineStr">
        <is>
          <t>مستقلة/أخرى</t>
        </is>
      </c>
      <c r="C6" s="132" t="n">
        <v>13</v>
      </c>
      <c r="D6" s="133" t="n">
        <v>0.325</v>
      </c>
      <c r="E6" s="134" t="n">
        <v>181</v>
      </c>
      <c r="F6" s="134" t="n">
        <v>2123</v>
      </c>
      <c r="G6" s="135" t="n"/>
      <c r="H6" s="135" t="n"/>
      <c r="I6" s="135" t="n"/>
      <c r="J6" s="135" t="n"/>
      <c r="K6" s="136" t="inlineStr">
        <is>
          <t>سوق مجزّأ حول محطاتنا — لا علامة واحدة تحتكر الجوار</t>
        </is>
      </c>
    </row>
    <row r="7" ht="20" customHeight="1" s="107">
      <c r="A7" s="121" t="n">
        <v>3</v>
      </c>
      <c r="B7" s="122" t="inlineStr">
        <is>
          <t>بتروجين</t>
        </is>
      </c>
      <c r="C7" s="132" t="n">
        <v>3</v>
      </c>
      <c r="D7" s="133" t="n">
        <v>0.075</v>
      </c>
      <c r="E7" s="134" t="n">
        <v>923</v>
      </c>
      <c r="F7" s="134" t="n">
        <v>2259</v>
      </c>
      <c r="G7" s="135" t="n"/>
      <c r="H7" s="135" t="n"/>
      <c r="I7" s="135" t="n"/>
      <c r="J7" s="135" t="n"/>
      <c r="K7" s="136" t="inlineStr">
        <is>
          <t>حضور محدود لكنه بتقييم مرتفع — منافس على الخدمة لا على العدد</t>
        </is>
      </c>
    </row>
    <row r="8" ht="20" customHeight="1" s="107">
      <c r="A8" s="121" t="n">
        <v>4</v>
      </c>
      <c r="B8" s="122" t="inlineStr">
        <is>
          <t>ساسكو</t>
        </is>
      </c>
      <c r="C8" s="132" t="n">
        <v>3</v>
      </c>
      <c r="D8" s="133" t="n">
        <v>0.075</v>
      </c>
      <c r="E8" s="134" t="n">
        <v>1701</v>
      </c>
      <c r="F8" s="134" t="n">
        <v>1789</v>
      </c>
      <c r="G8" s="135" t="n"/>
      <c r="H8" s="135" t="n"/>
      <c r="I8" s="135" t="n"/>
      <c r="J8" s="135" t="n"/>
      <c r="K8" s="136" t="inlineStr">
        <is>
          <t>حضور متفرّق وبعيد نسبياً — الضغط منها أقل مما توحي حصتها الوطنية</t>
        </is>
      </c>
    </row>
    <row r="9" ht="20" customHeight="1" s="107">
      <c r="A9" s="121" t="n">
        <v>5</v>
      </c>
      <c r="B9" s="122" t="inlineStr">
        <is>
          <t>أومكو</t>
        </is>
      </c>
      <c r="C9" s="132" t="n">
        <v>3</v>
      </c>
      <c r="D9" s="133" t="n">
        <v>0.075</v>
      </c>
      <c r="E9" s="134" t="n">
        <v>1755</v>
      </c>
      <c r="F9" s="134" t="n">
        <v>2013</v>
      </c>
      <c r="G9" s="135" t="n"/>
      <c r="H9" s="135" t="n"/>
      <c r="I9" s="135" t="n"/>
      <c r="J9" s="135" t="n"/>
      <c r="K9" s="136" t="inlineStr">
        <is>
          <t>حضور هامشي بعيد</t>
        </is>
      </c>
    </row>
    <row r="10" ht="20" customHeight="1" s="107">
      <c r="A10" s="121" t="n">
        <v>6</v>
      </c>
      <c r="B10" s="122" t="inlineStr">
        <is>
          <t>نفط</t>
        </is>
      </c>
      <c r="C10" s="132" t="n">
        <v>2</v>
      </c>
      <c r="D10" s="133" t="n">
        <v>0.05</v>
      </c>
      <c r="E10" s="134" t="n">
        <v>695</v>
      </c>
      <c r="F10" s="134" t="n">
        <v>1038</v>
      </c>
      <c r="G10" s="135" t="n"/>
      <c r="H10" s="135" t="n"/>
      <c r="I10" s="135" t="n"/>
      <c r="J10" s="135" t="n"/>
      <c r="K10" s="136" t="inlineStr">
        <is>
          <t>تابعة لساسكو — تُحسب ضمن ثقلها الفعلي</t>
        </is>
      </c>
    </row>
    <row r="11">
      <c r="B11" s="137" t="inlineStr">
        <is>
          <t>ساسكو ونفط علامة واحدة بعد الاستحواذ: 5 مرة (12٪) — وتبقى دون نصف حضور الدريس</t>
        </is>
      </c>
    </row>
    <row r="12">
      <c r="B12" s="137" t="inlineStr">
        <is>
          <t>العيّنة 40 محطة (أقرب ١٠ لكل محطة) من أصل 79 محطة مرصودة ضمن ٥ كم</t>
        </is>
      </c>
    </row>
    <row r="14" ht="22" customHeight="1" s="107">
      <c r="A14" s="131" t="inlineStr">
        <is>
          <t>② المنافسة حول كل محطة — القرب مقابل النمو</t>
        </is>
      </c>
    </row>
    <row r="15" ht="30" customHeight="1" s="107">
      <c r="A15" s="120" t="inlineStr">
        <is>
          <t>#</t>
        </is>
      </c>
      <c r="B15" s="120" t="inlineStr">
        <is>
          <t>المحطة</t>
        </is>
      </c>
      <c r="C15" s="120" t="inlineStr">
        <is>
          <t>الكود</t>
        </is>
      </c>
      <c r="D15" s="120" t="inlineStr">
        <is>
          <t>منافسون ≤٥كم</t>
        </is>
      </c>
      <c r="E15" s="120" t="inlineStr">
        <is>
          <t>أقرب منافس</t>
        </is>
      </c>
      <c r="F15" s="120" t="inlineStr">
        <is>
          <t>مسافته</t>
        </is>
      </c>
      <c r="G15" s="120" t="inlineStr">
        <is>
          <t>تقييمنا</t>
        </is>
      </c>
      <c r="H15" s="120" t="inlineStr">
        <is>
          <t>متوسطهم</t>
        </is>
      </c>
      <c r="I15" s="120" t="inlineStr">
        <is>
          <t>الفارق</t>
        </is>
      </c>
      <c r="J15" s="120" t="inlineStr">
        <is>
          <t>النمو</t>
        </is>
      </c>
      <c r="K15" s="120" t="inlineStr">
        <is>
          <t>القراءة</t>
        </is>
      </c>
    </row>
    <row r="16" ht="22" customHeight="1" s="107">
      <c r="A16" s="121" t="n">
        <v>1</v>
      </c>
      <c r="B16" s="122" t="inlineStr">
        <is>
          <t>عرفات الشوقية</t>
        </is>
      </c>
      <c r="C16" s="121" t="inlineStr">
        <is>
          <t>MK017</t>
        </is>
      </c>
      <c r="D16" s="132" t="n">
        <v>6</v>
      </c>
      <c r="E16" s="121" t="inlineStr">
        <is>
          <t>محطة نوفل</t>
        </is>
      </c>
      <c r="F16" s="134" t="n">
        <v>2450</v>
      </c>
      <c r="G16" s="138" t="n">
        <v>4.9</v>
      </c>
      <c r="H16" s="138" t="n">
        <v>4.1</v>
      </c>
      <c r="I16" s="139" t="n">
        <v>0.8000000000000007</v>
      </c>
      <c r="J16" s="140" t="n">
        <v>0.07000000000000001</v>
      </c>
      <c r="K16" s="136" t="inlineStr">
        <is>
          <t>أبعد منافس وأقل كثافة — والوحيدة النامية</t>
        </is>
      </c>
    </row>
    <row r="17" ht="22" customHeight="1" s="107">
      <c r="A17" s="121" t="n">
        <v>2</v>
      </c>
      <c r="B17" s="122" t="inlineStr">
        <is>
          <t>النورية</t>
        </is>
      </c>
      <c r="C17" s="121" t="inlineStr">
        <is>
          <t>MK007</t>
        </is>
      </c>
      <c r="D17" s="132" t="n">
        <v>4</v>
      </c>
      <c r="E17" s="121" t="inlineStr">
        <is>
          <t>محطة المملكة</t>
        </is>
      </c>
      <c r="F17" s="134" t="n">
        <v>2194</v>
      </c>
      <c r="G17" s="138" t="n">
        <v>4.8</v>
      </c>
      <c r="H17" s="138" t="n">
        <v>4</v>
      </c>
      <c r="I17" s="139" t="n">
        <v>0.7999999999999998</v>
      </c>
      <c r="J17" s="140" t="n">
        <v>-0.22</v>
      </c>
      <c r="K17" s="136" t="inlineStr">
        <is>
          <t>جوار شبه خالٍ — تراجعها موسمي لا تنافسي، وقد تعافت</t>
        </is>
      </c>
    </row>
    <row r="18" ht="22" customHeight="1" s="107">
      <c r="A18" s="121" t="n">
        <v>3</v>
      </c>
      <c r="B18" s="122" t="inlineStr">
        <is>
          <t>عرفات الشرائع</t>
        </is>
      </c>
      <c r="C18" s="121" t="inlineStr">
        <is>
          <t>MK019</t>
        </is>
      </c>
      <c r="D18" s="132" t="n">
        <v>23</v>
      </c>
      <c r="E18" s="121" t="inlineStr">
        <is>
          <t>Aldrees</t>
        </is>
      </c>
      <c r="F18" s="134" t="n">
        <v>488</v>
      </c>
      <c r="G18" s="138" t="n">
        <v>4.9</v>
      </c>
      <c r="H18" s="138" t="n">
        <v>3.6</v>
      </c>
      <c r="I18" s="139" t="n">
        <v>1.3</v>
      </c>
      <c r="J18" s="140" t="n">
        <v>-0.25</v>
      </c>
      <c r="K18" s="136" t="inlineStr">
        <is>
          <t>منافس على ٤٨٨ م يعترض العميل قبلنا — يطابق ما تأكد ميدانياً</t>
        </is>
      </c>
    </row>
    <row r="19" ht="22" customHeight="1" s="107">
      <c r="A19" s="121" t="n">
        <v>4</v>
      </c>
      <c r="B19" s="122" t="inlineStr">
        <is>
          <t>الفردوس</t>
        </is>
      </c>
      <c r="C19" s="121" t="inlineStr">
        <is>
          <t>MK023</t>
        </is>
      </c>
      <c r="D19" s="132" t="n">
        <v>28</v>
      </c>
      <c r="E19" s="121" t="inlineStr">
        <is>
          <t>Aldrees</t>
        </is>
      </c>
      <c r="F19" s="134" t="n">
        <v>411</v>
      </c>
      <c r="G19" s="138" t="n">
        <v>4.9</v>
      </c>
      <c r="H19" s="138" t="n">
        <v>3.6</v>
      </c>
      <c r="I19" s="139" t="n">
        <v>1.3</v>
      </c>
      <c r="J19" s="140" t="n">
        <v>-0.12</v>
      </c>
      <c r="K19" s="136" t="inlineStr">
        <is>
          <t>أعلى كثافة في المجموعة (٢٨ محطة) ومنافس على ٤١١ م</t>
        </is>
      </c>
    </row>
    <row r="20" ht="22" customHeight="1" s="107">
      <c r="A20" s="121" t="n">
        <v>5</v>
      </c>
      <c r="B20" s="122" t="inlineStr">
        <is>
          <t>المعيصم</t>
        </is>
      </c>
      <c r="C20" s="121" t="inlineStr">
        <is>
          <t>MK002</t>
        </is>
      </c>
      <c r="D20" s="132" t="n">
        <v>18</v>
      </c>
      <c r="E20" s="121" t="inlineStr">
        <is>
          <t>محطة المعيصم</t>
        </is>
      </c>
      <c r="F20" s="134" t="n">
        <v>181</v>
      </c>
      <c r="G20" s="138" t="n">
        <v>4.8</v>
      </c>
      <c r="H20" s="138" t="n">
        <v>3.7</v>
      </c>
      <c r="I20" s="139" t="n">
        <v>1.1</v>
      </c>
      <c r="J20" s="140" t="n">
        <v>-0.53</v>
      </c>
      <c r="K20" s="136" t="inlineStr">
        <is>
          <t>منافس على ١٨١ م — لكن السبب الأول تغيّر مسار الطريق لا المنافسة</t>
        </is>
      </c>
    </row>
    <row r="22" ht="22" customHeight="1" s="107">
      <c r="A22" s="131" t="inlineStr">
        <is>
          <t>③ أي علامة عند أي محطة</t>
        </is>
      </c>
    </row>
    <row r="23" ht="30" customHeight="1" s="107">
      <c r="A23" s="120" t="inlineStr">
        <is>
          <t>#</t>
        </is>
      </c>
      <c r="B23" s="120" t="inlineStr">
        <is>
          <t>المحطة</t>
        </is>
      </c>
      <c r="C23" s="120" t="inlineStr">
        <is>
          <t>الدريس</t>
        </is>
      </c>
      <c r="D23" s="120" t="inlineStr">
        <is>
          <t>مستقلة/أخرى</t>
        </is>
      </c>
      <c r="E23" s="120" t="inlineStr">
        <is>
          <t>بتروجين</t>
        </is>
      </c>
      <c r="F23" s="120" t="inlineStr">
        <is>
          <t>ساسكو</t>
        </is>
      </c>
      <c r="G23" s="120" t="inlineStr">
        <is>
          <t>أومكو</t>
        </is>
      </c>
      <c r="H23" s="120" t="inlineStr">
        <is>
          <t>نفط</t>
        </is>
      </c>
      <c r="I23" s="120" t="inlineStr"/>
      <c r="J23" s="120" t="inlineStr"/>
      <c r="K23" s="120" t="inlineStr"/>
    </row>
    <row r="24" ht="19" customHeight="1" s="107">
      <c r="A24" s="121" t="n">
        <v>1</v>
      </c>
      <c r="B24" s="122" t="inlineStr">
        <is>
          <t>عرفات الشوقية</t>
        </is>
      </c>
      <c r="C24" s="141" t="n">
        <v>3</v>
      </c>
      <c r="D24" s="141" t="n">
        <v>2</v>
      </c>
      <c r="E24" s="141" t="n">
        <v>1</v>
      </c>
      <c r="F24" s="141" t="n">
        <v>0</v>
      </c>
      <c r="G24" s="141" t="n">
        <v>0</v>
      </c>
      <c r="H24" s="141" t="n">
        <v>0</v>
      </c>
      <c r="I24" s="121" t="n"/>
      <c r="J24" s="121" t="n"/>
      <c r="K24" s="121" t="n"/>
    </row>
    <row r="25" ht="19" customHeight="1" s="107">
      <c r="A25" s="121" t="n">
        <v>2</v>
      </c>
      <c r="B25" s="122" t="inlineStr">
        <is>
          <t>النورية</t>
        </is>
      </c>
      <c r="C25" s="141" t="n">
        <v>2</v>
      </c>
      <c r="D25" s="141" t="n">
        <v>2</v>
      </c>
      <c r="E25" s="141" t="n">
        <v>0</v>
      </c>
      <c r="F25" s="141" t="n">
        <v>0</v>
      </c>
      <c r="G25" s="141" t="n">
        <v>0</v>
      </c>
      <c r="H25" s="141" t="n">
        <v>0</v>
      </c>
      <c r="I25" s="121" t="n"/>
      <c r="J25" s="121" t="n"/>
      <c r="K25" s="121" t="n"/>
    </row>
    <row r="26" ht="19" customHeight="1" s="107">
      <c r="A26" s="121" t="n">
        <v>3</v>
      </c>
      <c r="B26" s="122" t="inlineStr">
        <is>
          <t>عرفات الشرائع</t>
        </is>
      </c>
      <c r="C26" s="141" t="n">
        <v>4</v>
      </c>
      <c r="D26" s="141" t="n">
        <v>2</v>
      </c>
      <c r="E26" s="141" t="n">
        <v>1</v>
      </c>
      <c r="F26" s="141" t="n">
        <v>1</v>
      </c>
      <c r="G26" s="141" t="n">
        <v>1</v>
      </c>
      <c r="H26" s="141" t="n">
        <v>1</v>
      </c>
      <c r="I26" s="121" t="n"/>
      <c r="J26" s="121" t="n"/>
      <c r="K26" s="121" t="n"/>
    </row>
    <row r="27" ht="19" customHeight="1" s="107">
      <c r="A27" s="121" t="n">
        <v>4</v>
      </c>
      <c r="B27" s="122" t="inlineStr">
        <is>
          <t>الفردوس</t>
        </is>
      </c>
      <c r="C27" s="141" t="n">
        <v>4</v>
      </c>
      <c r="D27" s="141" t="n">
        <v>4</v>
      </c>
      <c r="E27" s="141" t="n">
        <v>0</v>
      </c>
      <c r="F27" s="141" t="n">
        <v>1</v>
      </c>
      <c r="G27" s="141" t="n">
        <v>1</v>
      </c>
      <c r="H27" s="141" t="n">
        <v>0</v>
      </c>
      <c r="I27" s="121" t="n"/>
      <c r="J27" s="121" t="n"/>
      <c r="K27" s="121" t="n"/>
    </row>
    <row r="28" ht="19" customHeight="1" s="107">
      <c r="A28" s="121" t="n">
        <v>5</v>
      </c>
      <c r="B28" s="122" t="inlineStr">
        <is>
          <t>المعيصم</t>
        </is>
      </c>
      <c r="C28" s="141" t="n">
        <v>3</v>
      </c>
      <c r="D28" s="141" t="n">
        <v>3</v>
      </c>
      <c r="E28" s="141" t="n">
        <v>1</v>
      </c>
      <c r="F28" s="141" t="n">
        <v>1</v>
      </c>
      <c r="G28" s="141" t="n">
        <v>1</v>
      </c>
      <c r="H28" s="141" t="n">
        <v>1</v>
      </c>
      <c r="I28" s="121" t="n"/>
      <c r="J28" s="121" t="n"/>
      <c r="K28" s="121" t="n"/>
    </row>
    <row r="30">
      <c r="B30" s="128" t="inlineStr">
        <is>
          <t>ما يغيّره القياس في دعوى السيطرة</t>
        </is>
      </c>
    </row>
    <row r="31" ht="16" customHeight="1" s="107">
      <c r="C31" s="129" t="inlineStr">
        <is>
          <t>•  الدريس ٤٠٪ من أقرب المنافسين حولنا — أي ضعف حصتها الوطنية (١٨.٩٥٪) تقريباً</t>
        </is>
      </c>
    </row>
    <row r="32" ht="16" customHeight="1" s="107">
      <c r="C32" s="129" t="inlineStr">
        <is>
          <t>•  وهي صاحبة أقرب منافس في الفردوس (٤١١ م) والشرايع (٤٨٨ م) — المحطتان الهابطتان</t>
        </is>
      </c>
    </row>
    <row r="33" ht="16" customHeight="1" s="107">
      <c r="C33" s="129" t="inlineStr">
        <is>
          <t>•  ساسكو حضورها حول محطاتنا أقل بكثير مما توحي حصتها الوطنية — الضغط منها أخف</t>
        </is>
      </c>
    </row>
    <row r="34" ht="16" customHeight="1" s="107">
      <c r="C34" s="129" t="inlineStr">
        <is>
          <t>•  ثلث الجوار مستقلات — فالسوق حولنا مجزّأ ولا تحتكره علامة واحدة</t>
        </is>
      </c>
    </row>
    <row r="36">
      <c r="B36" s="128" t="inlineStr">
        <is>
          <t>ما لا يغيّره</t>
        </is>
      </c>
    </row>
    <row r="37" ht="16" customHeight="1" s="107">
      <c r="C37" s="129" t="inlineStr">
        <is>
          <t>•  درب أعلى تقييماً من كل منافسيها في المواقع الخمسة — الخسارة ليست في جودة الخدمة</t>
        </is>
      </c>
    </row>
    <row r="38" ht="16" customHeight="1" s="107">
      <c r="C38" s="129" t="inlineStr">
        <is>
          <t>•  المعيصم سببها الأول تغيّر مسار الطريق لا المنافسة — القرب عامل مساعد لا سبباً</t>
        </is>
      </c>
    </row>
    <row r="39" ht="16" customHeight="1" s="107">
      <c r="C39" s="129" t="inlineStr">
        <is>
          <t>•  النورية جوارها شبه خالٍ وتراجعها موسمي — لا يُقرأ ضمن ضغط المنافسة</t>
        </is>
      </c>
    </row>
    <row r="41">
      <c r="B41" s="130" t="inlineStr">
        <is>
          <t>حدود هذا القياس</t>
        </is>
      </c>
    </row>
    <row r="42" ht="16" customHeight="1" s="107">
      <c r="C42" s="129" t="inlineStr">
        <is>
          <t>•  العيّنة أقرب ١٠ محطات لكل موقع — لا كل المرصود ضمن ٥ كم</t>
        </is>
      </c>
    </row>
    <row r="43" ht="16" customHeight="1" s="107">
      <c r="C43" s="129" t="inlineStr">
        <is>
          <t>•  خرائط جوجل لا ترصد كل المحطات ولا تُحدّث فوراً — الأرقام أرضية لا سقف</t>
        </is>
      </c>
    </row>
    <row r="44" ht="16" customHeight="1" s="107">
      <c r="C44" s="129" t="inlineStr">
        <is>
          <t>•  القرب لا يقيس الحجم — محطة قريبة صغيرة أخف أثراً من بعيدة كبيرة</t>
        </is>
      </c>
    </row>
  </sheetData>
  <mergeCells count="15">
    <mergeCell ref="C38:K38"/>
    <mergeCell ref="A22:K22"/>
    <mergeCell ref="C33:K33"/>
    <mergeCell ref="A3:K3"/>
    <mergeCell ref="C42:K42"/>
    <mergeCell ref="C37:K37"/>
    <mergeCell ref="C44:K44"/>
    <mergeCell ref="C34:K34"/>
    <mergeCell ref="C43:K43"/>
    <mergeCell ref="A2:K2"/>
    <mergeCell ref="C31:K31"/>
    <mergeCell ref="C39:K39"/>
    <mergeCell ref="A14:K14"/>
    <mergeCell ref="A1:K1"/>
    <mergeCell ref="C32:K32"/>
  </mergeCells>
  <conditionalFormatting sqref="D5:D10">
    <cfRule type="colorScale" priority="1">
      <colorScale>
        <cfvo type="min"/>
        <cfvo type="max"/>
        <color rgb="00FFFFFF"/>
        <color rgb="00F2DAD4"/>
      </colorScale>
    </cfRule>
  </conditionalFormatting>
  <conditionalFormatting sqref="F16:F20">
    <cfRule type="cellIs" priority="2" operator="lessThan" dxfId="7">
      <formula>500</formula>
    </cfRule>
  </conditionalFormatting>
  <conditionalFormatting sqref="J16:J20">
    <cfRule type="cellIs" priority="3" operator="greaterThan" dxfId="8">
      <formula>0</formula>
    </cfRule>
    <cfRule type="cellIs" priority="4" operator="lessThan" dxfId="9">
      <formula>0</formula>
    </cfRule>
  </conditionalFormatting>
  <conditionalFormatting sqref="I16:I20">
    <cfRule type="cellIs" priority="5" operator="greaterThan" dxfId="8">
      <formula>0</formula>
    </cfRule>
  </conditionalFormatting>
  <conditionalFormatting sqref="C24:H28">
    <cfRule type="colorScale" priority="6">
      <colorScale>
        <cfvo type="num" val="0"/>
        <cfvo type="max"/>
        <color rgb="00FFFFFF"/>
        <color rgb="00F2DAD4"/>
      </colorScale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6" customWidth="1" style="106" min="2" max="2"/>
    <col width="16" customWidth="1" style="106" min="3" max="6"/>
    <col width="38" customWidth="1" style="106" min="7" max="7"/>
  </cols>
  <sheetData>
    <row r="1" ht="25.5" customHeight="1" s="107">
      <c r="A1" s="118" t="inlineStr">
        <is>
          <t>الوقود — قناة الشركات</t>
        </is>
      </c>
      <c r="B1" s="109" t="n"/>
      <c r="C1" s="109" t="n"/>
      <c r="D1" s="109" t="n"/>
      <c r="E1" s="109" t="n"/>
      <c r="F1" s="109" t="n"/>
      <c r="G1" s="109" t="n"/>
    </row>
    <row r="2" ht="18" customHeight="1" s="107">
      <c r="A2" s="119" t="inlineStr">
        <is>
          <t>المنافس: بترو آب وواعي والمنصات · السلاح: مندوب أساطيل + خصم هللة + الاشتراك في كل منصة</t>
        </is>
      </c>
      <c r="B2" s="109" t="n"/>
      <c r="C2" s="109" t="n"/>
      <c r="D2" s="109" t="n"/>
      <c r="E2" s="109" t="n"/>
      <c r="F2" s="109" t="n"/>
      <c r="G2" s="109" t="n"/>
    </row>
    <row r="3" ht="21.75" customHeight="1" s="107">
      <c r="A3" s="142" t="inlineStr">
        <is>
          <t>الخطة</t>
        </is>
      </c>
      <c r="B3" s="143" t="n"/>
      <c r="C3" s="143" t="n"/>
      <c r="D3" s="143" t="n"/>
      <c r="E3" s="143" t="n"/>
      <c r="F3" s="143" t="n"/>
      <c r="G3" s="143" t="n"/>
    </row>
    <row r="4" ht="27.75" customHeight="1" s="107">
      <c r="A4" s="112" t="n">
        <v>1</v>
      </c>
      <c r="B4" s="113" t="inlineStr">
        <is>
          <t>تعيين مندوب أساطيل</t>
        </is>
      </c>
      <c r="C4" s="114" t="inlineStr">
        <is>
          <t>حج وعمرة أولاً</t>
        </is>
      </c>
      <c r="D4" s="114" t="inlineStr">
        <is>
          <t>حصر الشركات والمكاتب والمشغّلين</t>
        </is>
      </c>
      <c r="E4" s="114" t="inlineStr">
        <is>
          <t>قائمة أساطيل مستهدفة بأرقام مركبات</t>
        </is>
      </c>
      <c r="F4" s="114" t="n"/>
      <c r="G4" s="114" t="inlineStr">
        <is>
          <t>الأساطيل موجودة في محطاتنا اليوم بلا عقد</t>
        </is>
      </c>
    </row>
    <row r="5" ht="27.75" customHeight="1" s="107">
      <c r="A5" s="112" t="n">
        <v>2</v>
      </c>
      <c r="B5" s="113" t="inlineStr">
        <is>
          <t>خصم هللة لكل لتر</t>
        </is>
      </c>
      <c r="C5" s="114" t="inlineStr">
        <is>
          <t>أداة التعاقد</t>
        </is>
      </c>
      <c r="D5" s="114" t="inlineStr">
        <is>
          <t>سعر تفضيلي مقابل التزام حجم</t>
        </is>
      </c>
      <c r="E5" s="114" t="inlineStr">
        <is>
          <t>عقد سنوي بحد أدنى شهري</t>
        </is>
      </c>
      <c r="F5" s="114" t="n"/>
      <c r="G5" s="114" t="inlineStr">
        <is>
          <t>الاقتصاديات في الجدول أدناه</t>
        </is>
      </c>
    </row>
    <row r="6" ht="27.75" customHeight="1" s="107">
      <c r="A6" s="112" t="n">
        <v>3</v>
      </c>
      <c r="B6" s="113" t="inlineStr">
        <is>
          <t>الرفع على سيارة آب</t>
        </is>
      </c>
      <c r="C6" s="114" t="inlineStr">
        <is>
          <t>الشراكة القائمة</t>
        </is>
      </c>
      <c r="D6" s="114" t="inlineStr">
        <is>
          <t>إدراج أساطيلنا على المنصة</t>
        </is>
      </c>
      <c r="E6" s="114" t="inlineStr">
        <is>
          <t>استفادة من شبكتها 2,500 محطة</t>
        </is>
      </c>
      <c r="F6" s="114" t="n"/>
      <c r="G6" s="114" t="inlineStr">
        <is>
          <t>شراكة قائمة — أسرع مسار</t>
        </is>
      </c>
    </row>
    <row r="7" ht="27.75" customHeight="1" s="107">
      <c r="A7" s="112" t="n">
        <v>4</v>
      </c>
      <c r="B7" s="113" t="inlineStr">
        <is>
          <t>الاشتراك في كل منصة</t>
        </is>
      </c>
      <c r="C7" s="114" t="inlineStr">
        <is>
          <t>بترو آب · Fleet Plus</t>
        </is>
      </c>
      <c r="D7" s="114" t="inlineStr">
        <is>
          <t>نقطة قبول في شبكاتها</t>
        </is>
      </c>
      <c r="E7" s="114" t="inlineStr">
        <is>
          <t>حجم فوري مقابل عمولة</t>
        </is>
      </c>
      <c r="F7" s="114" t="n"/>
      <c r="G7" s="114" t="inlineStr">
        <is>
          <t>500 ألف مركبة و10 آلاف منشأة خارج شبكتنا</t>
        </is>
      </c>
    </row>
    <row r="8">
      <c r="A8" s="109" t="n"/>
      <c r="B8" s="109" t="n"/>
      <c r="C8" s="109" t="n"/>
      <c r="D8" s="109" t="n"/>
      <c r="E8" s="109" t="n"/>
      <c r="F8" s="109" t="n"/>
      <c r="G8" s="109" t="n"/>
    </row>
    <row r="9" ht="21.75" customHeight="1" s="107">
      <c r="A9" s="142" t="inlineStr">
        <is>
          <t>اقتصاديات خصم الهللة</t>
        </is>
      </c>
      <c r="B9" s="143" t="n"/>
      <c r="C9" s="143" t="n"/>
      <c r="D9" s="143" t="n"/>
      <c r="E9" s="143" t="n"/>
      <c r="F9" s="143" t="n"/>
      <c r="G9" s="143" t="n"/>
    </row>
    <row r="10" ht="15" customHeight="1" s="107">
      <c r="A10" s="109" t="n"/>
      <c r="B10" s="144" t="inlineStr">
        <is>
          <t>هامش المساهمة قبل الخصم (هللة)</t>
        </is>
      </c>
      <c r="C10" s="183" t="n"/>
      <c r="D10" s="109" t="n"/>
      <c r="E10" s="109" t="n"/>
      <c r="F10" s="109" t="n"/>
      <c r="G10" s="109" t="n"/>
    </row>
    <row r="11" ht="15" customHeight="1" s="107">
      <c r="A11" s="109" t="n"/>
      <c r="B11" s="144" t="inlineStr">
        <is>
          <t>الخصم الممنوح (هللة)</t>
        </is>
      </c>
      <c r="C11" s="183" t="n">
        <v>1</v>
      </c>
      <c r="D11" s="109" t="n"/>
      <c r="E11" s="109" t="n"/>
      <c r="F11" s="109" t="n"/>
      <c r="G11" s="109" t="n"/>
    </row>
    <row r="12" ht="15" customHeight="1" s="107">
      <c r="A12" s="109" t="n"/>
      <c r="B12" s="144" t="inlineStr">
        <is>
          <t>اللترات المتعاقدة المستهدفة (سنوياً)</t>
        </is>
      </c>
      <c r="C12" s="185" t="n"/>
      <c r="D12" s="109" t="n"/>
      <c r="E12" s="109" t="n"/>
      <c r="F12" s="109" t="n"/>
      <c r="G12" s="109" t="n"/>
    </row>
    <row r="13" ht="30" customHeight="1" s="107">
      <c r="A13" s="111" t="inlineStr">
        <is>
          <t>#</t>
        </is>
      </c>
      <c r="B13" s="111" t="inlineStr">
        <is>
          <t>البند</t>
        </is>
      </c>
      <c r="C13" s="111" t="inlineStr">
        <is>
          <t>القيمة</t>
        </is>
      </c>
      <c r="D13" s="111" t="n"/>
      <c r="E13" s="111" t="n"/>
      <c r="F13" s="111" t="n"/>
      <c r="G13" s="111" t="inlineStr">
        <is>
          <t>الدلالة</t>
        </is>
      </c>
    </row>
    <row r="14" ht="19.5" customHeight="1" s="107">
      <c r="A14" s="112" t="n">
        <v>1</v>
      </c>
      <c r="B14" s="148" t="inlineStr">
        <is>
          <t>الهامش بعد الخصم (هللة)</t>
        </is>
      </c>
      <c r="C14" s="155">
        <f>C10-C11</f>
        <v/>
      </c>
      <c r="D14" s="112" t="n"/>
      <c r="E14" s="112" t="n"/>
      <c r="F14" s="112" t="n"/>
      <c r="G14" s="114" t="inlineStr">
        <is>
          <t>ما يتبقى لنا لكل لتر</t>
        </is>
      </c>
    </row>
    <row r="15" ht="19.5" customHeight="1" s="107">
      <c r="A15" s="112" t="n">
        <v>2</v>
      </c>
      <c r="B15" s="148" t="inlineStr">
        <is>
          <t>نسبة التنازل من الهامش</t>
        </is>
      </c>
      <c r="C15" s="156">
        <f>IFERROR(C11/C10,"")</f>
        <v/>
      </c>
      <c r="D15" s="112" t="n"/>
      <c r="E15" s="112" t="n"/>
      <c r="F15" s="112" t="n"/>
      <c r="G15" s="114" t="inlineStr">
        <is>
          <t>كلفة اكتساب العقد</t>
        </is>
      </c>
    </row>
    <row r="16" ht="19.5" customHeight="1" s="107">
      <c r="A16" s="112" t="n">
        <v>3</v>
      </c>
      <c r="B16" s="148" t="inlineStr">
        <is>
          <t>هامش اللترات المتعاقدة (ريال/سنة)</t>
        </is>
      </c>
      <c r="C16" s="149">
        <f>C12*(C10-C11)/100</f>
        <v/>
      </c>
      <c r="D16" s="112" t="n"/>
      <c r="E16" s="112" t="n"/>
      <c r="F16" s="112" t="n"/>
      <c r="G16" s="114" t="inlineStr">
        <is>
          <t>الربح من الحجم المتعاقد</t>
        </is>
      </c>
    </row>
    <row r="17" ht="19.5" customHeight="1" s="107">
      <c r="A17" s="112" t="n">
        <v>4</v>
      </c>
      <c r="B17" s="148" t="inlineStr">
        <is>
          <t>قيمة الخصم الممنوح (ريال/سنة)</t>
        </is>
      </c>
      <c r="C17" s="149">
        <f>C12*C11/100</f>
        <v/>
      </c>
      <c r="D17" s="112" t="n"/>
      <c r="E17" s="112" t="n"/>
      <c r="F17" s="112" t="n"/>
      <c r="G17" s="114" t="inlineStr">
        <is>
          <t>ما تنازلنا عنه</t>
        </is>
      </c>
    </row>
    <row r="18" ht="19.5" customHeight="1" s="107">
      <c r="A18" s="112" t="n">
        <v>5</v>
      </c>
      <c r="B18" s="148" t="inlineStr">
        <is>
          <t>نقطة التعادل — لتر إضافي مطلوب</t>
        </is>
      </c>
      <c r="C18" s="157">
        <f>IFERROR(C12*C11/(C10-C11),"")</f>
        <v/>
      </c>
      <c r="D18" s="112" t="n"/>
      <c r="E18" s="112" t="n"/>
      <c r="F18" s="112" t="n"/>
      <c r="G18" s="114" t="inlineStr">
        <is>
          <t>الحجم الإضافي الذي يعوّض الخصم</t>
        </is>
      </c>
    </row>
    <row r="19" ht="19.5" customHeight="1" s="107">
      <c r="A19" s="112" t="n">
        <v>6</v>
      </c>
      <c r="B19" s="148" t="inlineStr">
        <is>
          <t>نسبة النمو المطلوبة للتعادل</t>
        </is>
      </c>
      <c r="C19" s="158">
        <f>IFERROR(C11/(C10-C11),"")</f>
        <v/>
      </c>
      <c r="D19" s="112" t="n"/>
      <c r="E19" s="112" t="n"/>
      <c r="F19" s="112" t="n"/>
      <c r="G19" s="114" t="inlineStr">
        <is>
          <t>إن تحقق أقل منها فالخصم خاسر</t>
        </is>
      </c>
    </row>
    <row r="20">
      <c r="A20" s="109" t="n"/>
      <c r="B20" s="109" t="n"/>
      <c r="C20" s="109" t="n"/>
      <c r="D20" s="109" t="n"/>
      <c r="E20" s="109" t="n"/>
      <c r="F20" s="109" t="n"/>
      <c r="G20" s="109" t="n"/>
    </row>
    <row r="21" ht="21.75" customHeight="1" s="107">
      <c r="A21" s="142" t="inlineStr">
        <is>
          <t>السوق المتاح — بصمة الأسطول في بياناتنا</t>
        </is>
      </c>
      <c r="B21" s="143" t="n"/>
      <c r="C21" s="143" t="n"/>
      <c r="D21" s="143" t="n"/>
      <c r="E21" s="143" t="n"/>
      <c r="F21" s="143" t="n"/>
      <c r="G21" s="143" t="n"/>
    </row>
    <row r="22" ht="30" customHeight="1" s="107">
      <c r="A22" s="111" t="inlineStr">
        <is>
          <t>#</t>
        </is>
      </c>
      <c r="B22" s="111" t="inlineStr">
        <is>
          <t>المحطة</t>
        </is>
      </c>
      <c r="C22" s="111" t="inlineStr">
        <is>
          <t>حصة الديزل</t>
        </is>
      </c>
      <c r="D22" s="111" t="inlineStr">
        <is>
          <t>ديزل سنوي (لتر)</t>
        </is>
      </c>
      <c r="E22" s="111" t="inlineStr">
        <is>
          <t>لتر/زيارة</t>
        </is>
      </c>
      <c r="F22" s="111" t="n"/>
      <c r="G22" s="111" t="inlineStr">
        <is>
          <t>القراءة</t>
        </is>
      </c>
    </row>
    <row r="23" ht="18" customHeight="1" s="107">
      <c r="A23" s="112" t="n">
        <v>1</v>
      </c>
      <c r="B23" s="148" t="inlineStr">
        <is>
          <t>MK289 طريق الليث - الفضيلة</t>
        </is>
      </c>
      <c r="C23" s="156" t="n">
        <v>0.641</v>
      </c>
      <c r="D23" s="149" t="n">
        <v>19344811</v>
      </c>
      <c r="E23" s="159" t="n">
        <v>43.7</v>
      </c>
      <c r="F23" s="112" t="n"/>
      <c r="G23" s="114" t="inlineStr">
        <is>
          <t>أرقام أسطول لا أفراد</t>
        </is>
      </c>
    </row>
    <row r="24" ht="18" customHeight="1" s="107">
      <c r="A24" s="112" t="n">
        <v>2</v>
      </c>
      <c r="B24" s="148" t="inlineStr">
        <is>
          <t>MK014 خليص</t>
        </is>
      </c>
      <c r="C24" s="156" t="n">
        <v>0.5590000000000001</v>
      </c>
      <c r="D24" s="149" t="n">
        <v>4805625</v>
      </c>
      <c r="E24" s="159" t="n">
        <v>55.7</v>
      </c>
      <c r="F24" s="112" t="n"/>
      <c r="G24" s="114" t="inlineStr">
        <is>
          <t>أرقام أسطول لا أفراد</t>
        </is>
      </c>
    </row>
    <row r="25" ht="18" customHeight="1" s="107">
      <c r="A25" s="112" t="n">
        <v>3</v>
      </c>
      <c r="B25" s="148" t="inlineStr">
        <is>
          <t>MK033 أبو وافي العمرة</t>
        </is>
      </c>
      <c r="C25" s="156" t="n">
        <v>0.458</v>
      </c>
      <c r="D25" s="149" t="n">
        <v>7210207</v>
      </c>
      <c r="E25" s="159" t="n">
        <v>31.3</v>
      </c>
      <c r="F25" s="112" t="n"/>
      <c r="G25" s="114" t="n"/>
    </row>
    <row r="26" ht="18" customHeight="1" s="107">
      <c r="A26" s="112" t="n">
        <v>4</v>
      </c>
      <c r="B26" s="148" t="inlineStr">
        <is>
          <t>QS055 الدائري الشرقي</t>
        </is>
      </c>
      <c r="C26" s="156" t="n">
        <v>0.392</v>
      </c>
      <c r="D26" s="149" t="n">
        <v>2324712</v>
      </c>
      <c r="E26" s="159" t="n">
        <v>36.9</v>
      </c>
      <c r="F26" s="112" t="n"/>
      <c r="G26" s="114" t="inlineStr">
        <is>
          <t>أرقام أسطول لا أفراد</t>
        </is>
      </c>
    </row>
    <row r="27" ht="18" customHeight="1" s="107">
      <c r="A27" s="112" t="n">
        <v>5</v>
      </c>
      <c r="B27" s="148" t="inlineStr">
        <is>
          <t>JA061 طريق صبيا</t>
        </is>
      </c>
      <c r="C27" s="156" t="n">
        <v>0.373</v>
      </c>
      <c r="D27" s="149" t="n">
        <v>2493275</v>
      </c>
      <c r="E27" s="159" t="n">
        <v>34</v>
      </c>
      <c r="F27" s="112" t="n"/>
      <c r="G27" s="114" t="n"/>
    </row>
    <row r="28" ht="18" customHeight="1" s="107">
      <c r="A28" s="112" t="n">
        <v>6</v>
      </c>
      <c r="B28" s="148" t="inlineStr">
        <is>
          <t>MK054 طريق السيل</t>
        </is>
      </c>
      <c r="C28" s="156" t="n">
        <v>0.349</v>
      </c>
      <c r="D28" s="149" t="n">
        <v>3252431</v>
      </c>
      <c r="E28" s="159" t="n">
        <v>37.5</v>
      </c>
      <c r="F28" s="112" t="n"/>
      <c r="G28" s="114" t="inlineStr">
        <is>
          <t>أرقام أسطول لا أفراد</t>
        </is>
      </c>
    </row>
    <row r="29" ht="18" customHeight="1" s="107">
      <c r="A29" s="112" t="n">
        <v>7</v>
      </c>
      <c r="B29" s="148" t="inlineStr">
        <is>
          <t>MK004 عاصفة الصحراء</t>
        </is>
      </c>
      <c r="C29" s="156" t="n">
        <v>0.344</v>
      </c>
      <c r="D29" s="149" t="n">
        <v>10303487</v>
      </c>
      <c r="E29" s="159" t="n">
        <v>38.4</v>
      </c>
      <c r="F29" s="112" t="n"/>
      <c r="G29" s="114" t="inlineStr">
        <is>
          <t>أرقام أسطول لا أفراد</t>
        </is>
      </c>
    </row>
    <row r="30" ht="18" customHeight="1" s="107">
      <c r="A30" s="112" t="n">
        <v>8</v>
      </c>
      <c r="B30" s="148" t="inlineStr">
        <is>
          <t>MK210 الفلاح - فلسطين</t>
        </is>
      </c>
      <c r="C30" s="156" t="n">
        <v>0.329</v>
      </c>
      <c r="D30" s="149" t="n">
        <v>3857753</v>
      </c>
      <c r="E30" s="159" t="n">
        <v>24.2</v>
      </c>
      <c r="F30" s="112" t="n"/>
      <c r="G30" s="114" t="n"/>
    </row>
    <row r="31">
      <c r="A31" s="109" t="n"/>
      <c r="B31" s="109" t="n"/>
      <c r="C31" s="109" t="n"/>
      <c r="D31" s="109" t="n"/>
      <c r="E31" s="109" t="n"/>
      <c r="F31" s="109" t="n"/>
      <c r="G31" s="109" t="n"/>
    </row>
    <row r="32" ht="15" customHeight="1" s="107">
      <c r="A32" s="109" t="n"/>
      <c r="B32" s="128" t="inlineStr">
        <is>
          <t>حجم الفرصة</t>
        </is>
      </c>
      <c r="C32" s="109" t="n"/>
      <c r="D32" s="109" t="n"/>
      <c r="E32" s="109" t="n"/>
      <c r="F32" s="109" t="n"/>
      <c r="G32" s="109" t="n"/>
    </row>
    <row r="33" ht="15.75" customHeight="1" s="107">
      <c r="A33" s="109" t="n"/>
      <c r="B33" s="109" t="n"/>
      <c r="C33" s="129" t="inlineStr">
        <is>
          <t>•  الديزل 109.4 مليون لتر سنوياً — وهو سوق الأساطيل المتاح داخل شبكتنا</t>
        </is>
      </c>
      <c r="D33" s="109" t="n"/>
      <c r="E33" s="109" t="n"/>
      <c r="F33" s="109" t="n"/>
      <c r="G33" s="109" t="n"/>
    </row>
    <row r="34" ht="15.75" customHeight="1" s="107">
      <c r="A34" s="109" t="n"/>
      <c r="B34" s="109" t="n"/>
      <c r="C34" s="129" t="inlineStr">
        <is>
          <t>•  MK289 ديزلها 64% و43.7 لتر لكل زيارة — أرقام أسطول لا أفراد</t>
        </is>
      </c>
      <c r="D34" s="109" t="n"/>
      <c r="E34" s="109" t="n"/>
      <c r="F34" s="109" t="n"/>
      <c r="G34" s="109" t="n"/>
    </row>
    <row r="35" ht="15.75" customHeight="1" s="107">
      <c r="A35" s="109" t="n"/>
      <c r="B35" s="109" t="n"/>
      <c r="C35" s="129" t="inlineStr">
        <is>
          <t>•  الحجم يمرّ عندنا اليوم بلا عقد — فالتعاقد تثبيت لا اكتساب</t>
        </is>
      </c>
      <c r="D35" s="109" t="n"/>
      <c r="E35" s="109" t="n"/>
      <c r="F35" s="109" t="n"/>
      <c r="G35" s="109" t="n"/>
    </row>
    <row r="36">
      <c r="A36" s="109" t="n"/>
      <c r="B36" s="109" t="n"/>
      <c r="C36" s="109" t="n"/>
      <c r="D36" s="109" t="n"/>
      <c r="E36" s="109" t="n"/>
      <c r="F36" s="109" t="n"/>
      <c r="G36" s="109" t="n"/>
    </row>
    <row r="37" ht="15" customHeight="1" s="107">
      <c r="A37" s="109" t="n"/>
      <c r="B37" s="128" t="inlineStr">
        <is>
          <t>لماذا المساران معاً</t>
        </is>
      </c>
      <c r="C37" s="109" t="n"/>
      <c r="D37" s="109" t="n"/>
      <c r="E37" s="109" t="n"/>
      <c r="F37" s="109" t="n"/>
      <c r="G37" s="109" t="n"/>
    </row>
    <row r="38" ht="15.75" customHeight="1" s="107">
      <c r="A38" s="109" t="n"/>
      <c r="B38" s="109" t="n"/>
      <c r="C38" s="129" t="inlineStr">
        <is>
          <t>•  المندوب يصل إلى أساطيل الحج والعمرة مباشرة — عقد وبيانات وهامش كامل</t>
        </is>
      </c>
      <c r="D38" s="109" t="n"/>
      <c r="E38" s="109" t="n"/>
      <c r="F38" s="109" t="n"/>
      <c r="G38" s="109" t="n"/>
    </row>
    <row r="39" ht="15.75" customHeight="1" s="107">
      <c r="A39" s="109" t="n"/>
      <c r="B39" s="109" t="n"/>
      <c r="C39" s="129" t="inlineStr">
        <is>
          <t>•  والمنصات تلتقط ما لا يصله المندوب مقابل عمولة</t>
        </is>
      </c>
      <c r="D39" s="109" t="n"/>
      <c r="E39" s="109" t="n"/>
      <c r="F39" s="109" t="n"/>
      <c r="G39" s="109" t="n"/>
    </row>
    <row r="40" ht="15.75" customHeight="1" s="107">
      <c r="A40" s="109" t="n"/>
      <c r="B40" s="109" t="n"/>
      <c r="C40" s="129" t="inlineStr">
        <is>
          <t>•  المعيار: عمولة المنصة لكل لتر مقابل تكلفة المندوب لكل لتر — يُراجع كل ربع</t>
        </is>
      </c>
      <c r="D40" s="109" t="n"/>
      <c r="E40" s="109" t="n"/>
      <c r="F40" s="109" t="n"/>
      <c r="G40" s="109" t="n"/>
    </row>
    <row r="41">
      <c r="A41" s="109" t="n"/>
      <c r="B41" s="109" t="n"/>
      <c r="C41" s="109" t="n"/>
      <c r="D41" s="109" t="n"/>
      <c r="E41" s="109" t="n"/>
      <c r="F41" s="109" t="n"/>
      <c r="G41" s="109" t="n"/>
    </row>
    <row r="42" ht="15" customHeight="1" s="107">
      <c r="A42" s="109" t="n"/>
      <c r="B42" s="117" t="inlineStr">
        <is>
          <t>شرط التنفيذ</t>
        </is>
      </c>
      <c r="C42" s="109" t="n"/>
      <c r="D42" s="109" t="n"/>
      <c r="E42" s="109" t="n"/>
      <c r="F42" s="109" t="n"/>
      <c r="G42" s="109" t="n"/>
    </row>
    <row r="43" ht="15.75" customHeight="1" s="107">
      <c r="A43" s="109" t="n"/>
      <c r="B43" s="109" t="n"/>
      <c r="C43" s="129" t="inlineStr">
        <is>
          <t>•  آلية ائتمان وفوترة قبل أول عقد — لا يمكن بيع الأسطول نقداً</t>
        </is>
      </c>
      <c r="D43" s="109" t="n"/>
      <c r="E43" s="109" t="n"/>
      <c r="F43" s="109" t="n"/>
      <c r="G43" s="109" t="n"/>
    </row>
    <row r="44" ht="15.75" customHeight="1" s="107">
      <c r="A44" s="109" t="n"/>
      <c r="B44" s="109" t="n"/>
      <c r="C44" s="129" t="inlineStr">
        <is>
          <t>•  تعريف الحد الأدنى للحجم الذي يستحق الخصم</t>
        </is>
      </c>
      <c r="D44" s="109" t="n"/>
      <c r="E44" s="109" t="n"/>
      <c r="F44" s="109" t="n"/>
      <c r="G44" s="109" t="n"/>
    </row>
  </sheetData>
  <mergeCells count="13">
    <mergeCell ref="C35:G35"/>
    <mergeCell ref="C43:G43"/>
    <mergeCell ref="A1:G1"/>
    <mergeCell ref="C34:G34"/>
    <mergeCell ref="A9:G9"/>
    <mergeCell ref="A3:G3"/>
    <mergeCell ref="A21:G21"/>
    <mergeCell ref="C38:G38"/>
    <mergeCell ref="C33:G33"/>
    <mergeCell ref="C44:G44"/>
    <mergeCell ref="A2:G2"/>
    <mergeCell ref="C39:G39"/>
    <mergeCell ref="C40:G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6" customWidth="1" style="106" min="2" max="2"/>
    <col width="15" customWidth="1" style="106" min="3" max="6"/>
    <col width="38" customWidth="1" style="106" min="7" max="7"/>
  </cols>
  <sheetData>
    <row r="1" ht="25.5" customHeight="1" s="107">
      <c r="A1" s="118" t="inlineStr">
        <is>
          <t>العقار والتأجير</t>
        </is>
      </c>
      <c r="B1" s="109" t="n"/>
      <c r="C1" s="109" t="n"/>
      <c r="D1" s="109" t="n"/>
      <c r="E1" s="109" t="n"/>
      <c r="F1" s="109" t="n"/>
      <c r="G1" s="109" t="n"/>
    </row>
    <row r="2" ht="18" customHeight="1" s="107">
      <c r="A2" s="119" t="inlineStr">
        <is>
          <t>المسيطر: الوسطاء · القاعدة: الوحدة الشاغرة تكلفة لا فرصة ضائعة</t>
        </is>
      </c>
      <c r="B2" s="109" t="n"/>
      <c r="C2" s="109" t="n"/>
      <c r="D2" s="109" t="n"/>
      <c r="E2" s="109" t="n"/>
      <c r="F2" s="109" t="n"/>
      <c r="G2" s="109" t="n"/>
    </row>
    <row r="3" ht="21.75" customHeight="1" s="107">
      <c r="A3" s="142" t="inlineStr">
        <is>
          <t>الخطة</t>
        </is>
      </c>
      <c r="B3" s="143" t="n"/>
      <c r="C3" s="143" t="n"/>
      <c r="D3" s="143" t="n"/>
      <c r="E3" s="143" t="n"/>
      <c r="F3" s="143" t="n"/>
      <c r="G3" s="143" t="n"/>
    </row>
    <row r="4" ht="27.75" customHeight="1" s="107">
      <c r="A4" s="112" t="n">
        <v>1</v>
      </c>
      <c r="B4" s="113" t="inlineStr">
        <is>
          <t>شبكة وسطاء وطنية</t>
        </is>
      </c>
      <c r="C4" s="114" t="inlineStr">
        <is>
          <t>الوسطاء يملكون قائمة المستأجرين</t>
        </is>
      </c>
      <c r="D4" s="114" t="inlineStr">
        <is>
          <t>عمولة مقابل إشغال</t>
        </is>
      </c>
      <c r="E4" s="114" t="inlineStr">
        <is>
          <t>التحالف لا المنافسة</t>
        </is>
      </c>
      <c r="F4" s="114" t="n"/>
      <c r="G4" s="114" t="inlineStr">
        <is>
          <t>أرخص من بقاء الوحدة شاغرة</t>
        </is>
      </c>
    </row>
    <row r="5" ht="27.75" customHeight="1" s="107">
      <c r="A5" s="112" t="n">
        <v>2</v>
      </c>
      <c r="B5" s="113" t="inlineStr">
        <is>
          <t>تسعير العمولة</t>
        </is>
      </c>
      <c r="C5" s="114" t="inlineStr">
        <is>
          <t>نسبة من الإيجار السنوي</t>
        </is>
      </c>
      <c r="D5" s="114" t="inlineStr">
        <is>
          <t>تُقارن بتكلفة الشغور الشهرية</t>
        </is>
      </c>
      <c r="E5" s="114" t="inlineStr">
        <is>
          <t>النموذج أدناه</t>
        </is>
      </c>
      <c r="F5" s="114" t="n"/>
      <c r="G5" s="114" t="inlineStr">
        <is>
          <t>الحد الأعلى للعمولة = تكلفة الشغور</t>
        </is>
      </c>
    </row>
    <row r="6" ht="27.75" customHeight="1" s="107">
      <c r="A6" s="112" t="n">
        <v>3</v>
      </c>
      <c r="B6" s="113" t="inlineStr">
        <is>
          <t>معيار افتتاح إلزامي</t>
        </is>
      </c>
      <c r="C6" s="114" t="inlineStr">
        <is>
          <t>مغسلة + سوبرماركت</t>
        </is>
      </c>
      <c r="D6" s="114" t="inlineStr">
        <is>
          <t>مع كل محطة جديدة</t>
        </is>
      </c>
      <c r="E6" s="114" t="inlineStr">
        <is>
          <t>يمنع تكرار الشغور</t>
        </is>
      </c>
      <c r="F6" s="114" t="n"/>
      <c r="G6" s="114" t="inlineStr">
        <is>
          <t>52 محطة تحت الإنشاء — النافذة مفتوحة الآن</t>
        </is>
      </c>
    </row>
    <row r="7" ht="27.75" customHeight="1" s="107">
      <c r="A7" s="112" t="n">
        <v>4</v>
      </c>
      <c r="B7" s="113" t="inlineStr">
        <is>
          <t>حصر وتصنيف الشواغر</t>
        </is>
      </c>
      <c r="C7" s="114" t="inlineStr">
        <is>
          <t>60 وحدة بلا نوع</t>
        </is>
      </c>
      <c r="D7" s="114" t="inlineStr">
        <is>
          <t>شرط لأي تسويق</t>
        </is>
      </c>
      <c r="E7" s="114" t="inlineStr">
        <is>
          <t>عمل ميداني 4–6 أسابيع</t>
        </is>
      </c>
      <c r="F7" s="114" t="n"/>
      <c r="G7" s="114" t="inlineStr">
        <is>
          <t>ما لم يُحصر لا يُسوَّق</t>
        </is>
      </c>
    </row>
    <row r="8">
      <c r="A8" s="109" t="n"/>
      <c r="B8" s="109" t="n"/>
      <c r="C8" s="109" t="n"/>
      <c r="D8" s="109" t="n"/>
      <c r="E8" s="109" t="n"/>
      <c r="F8" s="109" t="n"/>
      <c r="G8" s="109" t="n"/>
    </row>
    <row r="9" ht="21.75" customHeight="1" s="107">
      <c r="A9" s="142" t="inlineStr">
        <is>
          <t>الوحدة الشاغرة تكلفة — نموذج العمولة</t>
        </is>
      </c>
      <c r="B9" s="143" t="n"/>
      <c r="C9" s="143" t="n"/>
      <c r="D9" s="143" t="n"/>
      <c r="E9" s="143" t="n"/>
      <c r="F9" s="143" t="n"/>
      <c r="G9" s="143" t="n"/>
    </row>
    <row r="10" ht="15" customHeight="1" s="107">
      <c r="A10" s="109" t="n"/>
      <c r="B10" s="144" t="inlineStr">
        <is>
          <t>الإيجار السنوي المتوقع للوحدة</t>
        </is>
      </c>
      <c r="C10" s="185" t="n"/>
      <c r="D10" s="109" t="n"/>
      <c r="E10" s="109" t="n"/>
      <c r="F10" s="109" t="n"/>
      <c r="G10" s="109" t="n"/>
    </row>
    <row r="11" ht="15" customHeight="1" s="107">
      <c r="A11" s="109" t="n"/>
      <c r="B11" s="144" t="inlineStr">
        <is>
          <t>تكلفة التمويل والإهلاك للوحدة سنوياً</t>
        </is>
      </c>
      <c r="C11" s="185" t="n"/>
      <c r="D11" s="109" t="n"/>
      <c r="E11" s="109" t="n"/>
      <c r="F11" s="109" t="n"/>
      <c r="G11" s="109" t="n"/>
    </row>
    <row r="12" ht="15" customHeight="1" s="107">
      <c r="A12" s="109" t="n"/>
      <c r="B12" s="144" t="inlineStr">
        <is>
          <t>عمولة الوسيط (% من الإيجار السنوي)</t>
        </is>
      </c>
      <c r="C12" s="184" t="n"/>
      <c r="D12" s="109" t="n"/>
      <c r="E12" s="109" t="n"/>
      <c r="F12" s="109" t="n"/>
      <c r="G12" s="109" t="n"/>
    </row>
    <row r="13" ht="15" customHeight="1" s="107">
      <c r="A13" s="109" t="n"/>
      <c r="B13" s="144" t="inlineStr">
        <is>
          <t>أشهر الشغور المتوقعة بلا وسيط</t>
        </is>
      </c>
      <c r="C13" s="186" t="n"/>
      <c r="D13" s="109" t="n"/>
      <c r="E13" s="109" t="n"/>
      <c r="F13" s="109" t="n"/>
      <c r="G13" s="109" t="n"/>
    </row>
    <row r="14" ht="30" customHeight="1" s="107">
      <c r="A14" s="111" t="inlineStr">
        <is>
          <t>#</t>
        </is>
      </c>
      <c r="B14" s="111" t="inlineStr">
        <is>
          <t>البند</t>
        </is>
      </c>
      <c r="C14" s="111" t="inlineStr">
        <is>
          <t>القيمة</t>
        </is>
      </c>
      <c r="D14" s="111" t="n"/>
      <c r="E14" s="111" t="n"/>
      <c r="F14" s="111" t="n"/>
      <c r="G14" s="111" t="inlineStr">
        <is>
          <t>الدلالة</t>
        </is>
      </c>
    </row>
    <row r="15" ht="19.5" customHeight="1" s="107">
      <c r="A15" s="112" t="n">
        <v>1</v>
      </c>
      <c r="B15" s="148" t="inlineStr">
        <is>
          <t>تكلفة الوحدة الشاغرة شهرياً</t>
        </is>
      </c>
      <c r="C15" s="149">
        <f>C11/12</f>
        <v/>
      </c>
      <c r="D15" s="112" t="n"/>
      <c r="E15" s="112" t="n"/>
      <c r="F15" s="112" t="n"/>
      <c r="G15" s="114" t="inlineStr">
        <is>
          <t>تُدفع سواء أُجّرت أم لا</t>
        </is>
      </c>
    </row>
    <row r="16" ht="19.5" customHeight="1" s="107">
      <c r="A16" s="112" t="n">
        <v>2</v>
      </c>
      <c r="B16" s="148" t="inlineStr">
        <is>
          <t>خسارة الشغور المتوقعة</t>
        </is>
      </c>
      <c r="C16" s="149">
        <f>C11/12*C13+C10/12*C13</f>
        <v/>
      </c>
      <c r="D16" s="112" t="n"/>
      <c r="E16" s="112" t="n"/>
      <c r="F16" s="112" t="n"/>
      <c r="G16" s="114" t="inlineStr">
        <is>
          <t>التكلفة الثابتة + الإيجار الفائت</t>
        </is>
      </c>
    </row>
    <row r="17" ht="19.5" customHeight="1" s="107">
      <c r="A17" s="112" t="n">
        <v>3</v>
      </c>
      <c r="B17" s="148" t="inlineStr">
        <is>
          <t>قيمة عمولة الوسيط</t>
        </is>
      </c>
      <c r="C17" s="149">
        <f>C10*C12</f>
        <v/>
      </c>
      <c r="D17" s="112" t="n"/>
      <c r="E17" s="112" t="n"/>
      <c r="F17" s="112" t="n"/>
      <c r="G17" s="114" t="inlineStr">
        <is>
          <t>تُدفع مرة واحدة</t>
        </is>
      </c>
    </row>
    <row r="18" ht="19.5" customHeight="1" s="107">
      <c r="A18" s="112" t="n">
        <v>4</v>
      </c>
      <c r="B18" s="148" t="inlineStr">
        <is>
          <t>صافي الفرق لصالح الوسيط</t>
        </is>
      </c>
      <c r="C18" s="161">
        <f>C16-C17</f>
        <v/>
      </c>
      <c r="D18" s="112" t="n"/>
      <c r="E18" s="112" t="n"/>
      <c r="F18" s="112" t="n"/>
      <c r="G18" s="114" t="inlineStr">
        <is>
          <t>موجب يعني أن العمولة أرخص</t>
        </is>
      </c>
    </row>
    <row r="19" ht="19.5" customHeight="1" s="107">
      <c r="A19" s="112" t="n">
        <v>5</v>
      </c>
      <c r="B19" s="148" t="inlineStr">
        <is>
          <t>الحد الأعلى المبرَّر للعمولة</t>
        </is>
      </c>
      <c r="C19" s="158">
        <f>IFERROR(C16/C10,"")</f>
        <v/>
      </c>
      <c r="D19" s="112" t="n"/>
      <c r="E19" s="112" t="n"/>
      <c r="F19" s="112" t="n"/>
      <c r="G19" s="114" t="inlineStr">
        <is>
          <t>النسبة التي تتساوى عندها العمولة مع خسارة الشغور</t>
        </is>
      </c>
    </row>
    <row r="20">
      <c r="A20" s="109" t="n"/>
      <c r="B20" s="109" t="n"/>
      <c r="C20" s="109" t="n"/>
      <c r="D20" s="109" t="n"/>
      <c r="E20" s="109" t="n"/>
      <c r="F20" s="109" t="n"/>
      <c r="G20" s="109" t="n"/>
    </row>
    <row r="21" ht="21.75" customHeight="1" s="107">
      <c r="A21" s="142" t="inlineStr">
        <is>
          <t>معيار افتتاح المحطة الجديدة</t>
        </is>
      </c>
      <c r="B21" s="143" t="n"/>
      <c r="C21" s="143" t="n"/>
      <c r="D21" s="143" t="n"/>
      <c r="E21" s="143" t="n"/>
      <c r="F21" s="143" t="n"/>
      <c r="G21" s="143" t="n"/>
    </row>
    <row r="22" ht="30" customHeight="1" s="107">
      <c r="A22" s="111" t="inlineStr">
        <is>
          <t>#</t>
        </is>
      </c>
      <c r="B22" s="111" t="inlineStr">
        <is>
          <t>النشاط</t>
        </is>
      </c>
      <c r="C22" s="111" t="inlineStr">
        <is>
          <t>الإلزام</t>
        </is>
      </c>
      <c r="D22" s="111" t="inlineStr">
        <is>
          <t>التوقيت</t>
        </is>
      </c>
      <c r="E22" s="111" t="inlineStr">
        <is>
          <t>المسؤول</t>
        </is>
      </c>
      <c r="F22" s="111" t="n"/>
      <c r="G22" s="111" t="inlineStr">
        <is>
          <t>السبب</t>
        </is>
      </c>
    </row>
    <row r="23" ht="24" customHeight="1" s="107">
      <c r="A23" s="112" t="n">
        <v>1</v>
      </c>
      <c r="B23" s="113" t="inlineStr">
        <is>
          <t>مغسلة</t>
        </is>
      </c>
      <c r="C23" s="112" t="inlineStr">
        <is>
          <t>إلزامي</t>
        </is>
      </c>
      <c r="D23" s="112" t="inlineStr">
        <is>
          <t>قبل الافتتاح</t>
        </is>
      </c>
      <c r="E23" s="112" t="inlineStr">
        <is>
          <t>التأجير</t>
        </is>
      </c>
      <c r="F23" s="114" t="n"/>
      <c r="G23" s="114" t="inlineStr">
        <is>
          <t>تفتح نافذة مكوث 20 دقيقة وتغذّي القهوة والماركت</t>
        </is>
      </c>
    </row>
    <row r="24" ht="24" customHeight="1" s="107">
      <c r="A24" s="112" t="n">
        <v>2</v>
      </c>
      <c r="B24" s="113" t="inlineStr">
        <is>
          <t>سوبرماركت</t>
        </is>
      </c>
      <c r="C24" s="112" t="inlineStr">
        <is>
          <t>إلزامي</t>
        </is>
      </c>
      <c r="D24" s="112" t="inlineStr">
        <is>
          <t>قبل الافتتاح</t>
        </is>
      </c>
      <c r="E24" s="112" t="inlineStr">
        <is>
          <t>التأجير</t>
        </is>
      </c>
      <c r="F24" s="114" t="n"/>
      <c r="G24" s="114" t="inlineStr">
        <is>
          <t>أعلى اختراق مثبت — فريش واي في 17 محطة</t>
        </is>
      </c>
    </row>
    <row r="25" ht="24" customHeight="1" s="107">
      <c r="A25" s="112" t="n">
        <v>3</v>
      </c>
      <c r="B25" s="113" t="inlineStr">
        <is>
          <t>قهوة</t>
        </is>
      </c>
      <c r="C25" s="112" t="inlineStr">
        <is>
          <t>مُوصى به</t>
        </is>
      </c>
      <c r="D25" s="112" t="inlineStr">
        <is>
          <t>قبل الافتتاح</t>
        </is>
      </c>
      <c r="E25" s="112" t="inlineStr">
        <is>
          <t>التأجير</t>
        </is>
      </c>
      <c r="F25" s="114" t="n"/>
      <c r="G25" s="114" t="inlineStr">
        <is>
          <t>49% اختراق حالي · يرفع سلة الزيارة</t>
        </is>
      </c>
    </row>
    <row r="26" ht="24" customHeight="1" s="107">
      <c r="A26" s="112" t="n">
        <v>4</v>
      </c>
      <c r="B26" s="113" t="inlineStr">
        <is>
          <t>خدمات سيارات</t>
        </is>
      </c>
      <c r="C26" s="112" t="inlineStr">
        <is>
          <t>مُوصى به</t>
        </is>
      </c>
      <c r="D26" s="112" t="inlineStr">
        <is>
          <t>خلال سنة</t>
        </is>
      </c>
      <c r="E26" s="112" t="inlineStr">
        <is>
          <t>الشراكات</t>
        </is>
      </c>
      <c r="F26" s="114" t="n"/>
      <c r="G26" s="114" t="inlineStr">
        <is>
          <t>أعلى سلة · 61 محطة بلا خدمة إطارات</t>
        </is>
      </c>
    </row>
    <row r="27" ht="24" customHeight="1" s="107">
      <c r="A27" s="112" t="n">
        <v>5</v>
      </c>
      <c r="B27" s="113" t="inlineStr">
        <is>
          <t>صراف آلي</t>
        </is>
      </c>
      <c r="C27" s="112" t="inlineStr">
        <is>
          <t>مُوصى به</t>
        </is>
      </c>
      <c r="D27" s="112" t="inlineStr">
        <is>
          <t>خلال سنة</t>
        </is>
      </c>
      <c r="E27" s="112" t="inlineStr">
        <is>
          <t>الشراكات</t>
        </is>
      </c>
      <c r="F27" s="114" t="n"/>
      <c r="G27" s="114" t="inlineStr">
        <is>
          <t>إيراد ثابت بلا تشغيل — البنك يركّب</t>
        </is>
      </c>
    </row>
    <row r="28" ht="24" customHeight="1" s="107">
      <c r="A28" s="112" t="n">
        <v>6</v>
      </c>
      <c r="B28" s="113" t="inlineStr">
        <is>
          <t>مساحة إكسسوارات</t>
        </is>
      </c>
      <c r="C28" s="112" t="inlineStr">
        <is>
          <t>مُوصى به</t>
        </is>
      </c>
      <c r="D28" s="112" t="inlineStr">
        <is>
          <t>خلال سنة</t>
        </is>
      </c>
      <c r="E28" s="112" t="inlineStr">
        <is>
          <t>التأجير</t>
        </is>
      </c>
      <c r="F28" s="114" t="n"/>
      <c r="G28" s="114" t="inlineStr">
        <is>
          <t>تُؤجَّر بنسبة لا بإيجار ثابت</t>
        </is>
      </c>
    </row>
    <row r="29">
      <c r="A29" s="109" t="n"/>
      <c r="B29" s="109" t="n"/>
      <c r="C29" s="109" t="n"/>
      <c r="D29" s="109" t="n"/>
      <c r="E29" s="109" t="n"/>
      <c r="F29" s="109" t="n"/>
      <c r="G29" s="109" t="n"/>
    </row>
    <row r="30" ht="15" customHeight="1" s="107">
      <c r="A30" s="109" t="n"/>
      <c r="B30" s="128" t="inlineStr">
        <is>
          <t>لماذا الوسطاء</t>
        </is>
      </c>
      <c r="C30" s="109" t="n"/>
      <c r="D30" s="109" t="n"/>
      <c r="E30" s="109" t="n"/>
      <c r="F30" s="109" t="n"/>
      <c r="G30" s="109" t="n"/>
    </row>
    <row r="31" ht="15.75" customHeight="1" s="107">
      <c r="A31" s="109" t="n"/>
      <c r="B31" s="109" t="n"/>
      <c r="C31" s="129" t="inlineStr">
        <is>
          <t>•  الوسيط يملك قائمة المستأجرين الباحثين — ونحن لا نملكها</t>
        </is>
      </c>
      <c r="D31" s="109" t="n"/>
      <c r="E31" s="109" t="n"/>
      <c r="F31" s="109" t="n"/>
      <c r="G31" s="109" t="n"/>
    </row>
    <row r="32" ht="15.75" customHeight="1" s="107">
      <c r="A32" s="109" t="n"/>
      <c r="B32" s="109" t="n"/>
      <c r="C32" s="129" t="inlineStr">
        <is>
          <t>•  ووكيل الامتياز هو من يقرّر أين تفتح العلامة فرعها لا العلامة نفسها</t>
        </is>
      </c>
      <c r="D32" s="109" t="n"/>
      <c r="E32" s="109" t="n"/>
      <c r="F32" s="109" t="n"/>
      <c r="G32" s="109" t="n"/>
    </row>
    <row r="33" ht="15.75" customHeight="1" s="107">
      <c r="A33" s="109" t="n"/>
      <c r="B33" s="109" t="n"/>
      <c r="C33" s="129" t="inlineStr">
        <is>
          <t>•  العمولة تكلفة متغيرة تُدفع عند الإشغال فقط</t>
        </is>
      </c>
      <c r="D33" s="109" t="n"/>
      <c r="E33" s="109" t="n"/>
      <c r="F33" s="109" t="n"/>
      <c r="G33" s="109" t="n"/>
    </row>
    <row r="34">
      <c r="A34" s="109" t="n"/>
      <c r="B34" s="109" t="n"/>
      <c r="C34" s="109" t="n"/>
      <c r="D34" s="109" t="n"/>
      <c r="E34" s="109" t="n"/>
      <c r="F34" s="109" t="n"/>
      <c r="G34" s="109" t="n"/>
    </row>
    <row r="35" ht="15" customHeight="1" s="107">
      <c r="A35" s="109" t="n"/>
      <c r="B35" s="117" t="inlineStr">
        <is>
          <t>الحساب الحاسم</t>
        </is>
      </c>
      <c r="C35" s="109" t="n"/>
      <c r="D35" s="109" t="n"/>
      <c r="E35" s="109" t="n"/>
      <c r="F35" s="109" t="n"/>
      <c r="G35" s="109" t="n"/>
    </row>
    <row r="36" ht="15.75" customHeight="1" s="107">
      <c r="A36" s="109" t="n"/>
      <c r="B36" s="109" t="n"/>
      <c r="C36" s="129" t="inlineStr">
        <is>
          <t>•  التمويل وإهلاك حق الاستخدام مدفوعان على الأرض كاملة</t>
        </is>
      </c>
      <c r="D36" s="109" t="n"/>
      <c r="E36" s="109" t="n"/>
      <c r="F36" s="109" t="n"/>
      <c r="G36" s="109" t="n"/>
    </row>
    <row r="37" ht="15.75" customHeight="1" s="107">
      <c r="A37" s="109" t="n"/>
      <c r="B37" s="109" t="n"/>
      <c r="C37" s="129" t="inlineStr">
        <is>
          <t>•  في العمرة يلتهمان 63% من دخل الإيجار وفي الشرايع 106%</t>
        </is>
      </c>
      <c r="D37" s="109" t="n"/>
      <c r="E37" s="109" t="n"/>
      <c r="F37" s="109" t="n"/>
      <c r="G37" s="109" t="n"/>
    </row>
    <row r="38" ht="15.75" customHeight="1" s="107">
      <c r="A38" s="109" t="n"/>
      <c r="B38" s="109" t="n"/>
      <c r="C38" s="129" t="inlineStr">
        <is>
          <t>•  فكل ريال إيجار إضافي يتدفّق إلى الربح شبه كاملاً</t>
        </is>
      </c>
      <c r="D38" s="109" t="n"/>
      <c r="E38" s="109" t="n"/>
      <c r="F38" s="109" t="n"/>
      <c r="G38" s="109" t="n"/>
    </row>
    <row r="39">
      <c r="A39" s="109" t="n"/>
      <c r="B39" s="109" t="n"/>
      <c r="C39" s="109" t="n"/>
      <c r="D39" s="109" t="n"/>
      <c r="E39" s="109" t="n"/>
      <c r="F39" s="109" t="n"/>
      <c r="G39" s="109" t="n"/>
    </row>
    <row r="40" ht="15" customHeight="1" s="107">
      <c r="A40" s="109" t="n"/>
      <c r="B40" s="117" t="inlineStr">
        <is>
          <t>النافذة</t>
        </is>
      </c>
      <c r="C40" s="109" t="n"/>
      <c r="D40" s="109" t="n"/>
      <c r="E40" s="109" t="n"/>
      <c r="F40" s="109" t="n"/>
      <c r="G40" s="109" t="n"/>
    </row>
    <row r="41" ht="15.75" customHeight="1" s="107">
      <c r="A41" s="109" t="n"/>
      <c r="B41" s="109" t="n"/>
      <c r="C41" s="129" t="inlineStr">
        <is>
          <t>•  52 محطة تحت الإنشاء — إدراج المغسلة والسوبرماركت في تصميمها الآن</t>
        </is>
      </c>
      <c r="D41" s="109" t="n"/>
      <c r="E41" s="109" t="n"/>
      <c r="F41" s="109" t="n"/>
      <c r="G41" s="109" t="n"/>
    </row>
    <row r="42" ht="15.75" customHeight="1" s="107">
      <c r="A42" s="109" t="n"/>
      <c r="B42" s="109" t="n"/>
      <c r="C42" s="129" t="inlineStr">
        <is>
          <t>•  التعاقد قبل الافتتاح أرخص وأسرع من ملء محطة عاملة</t>
        </is>
      </c>
      <c r="D42" s="109" t="n"/>
      <c r="E42" s="109" t="n"/>
      <c r="F42" s="109" t="n"/>
      <c r="G42" s="109" t="n"/>
    </row>
  </sheetData>
  <mergeCells count="13">
    <mergeCell ref="A1:G1"/>
    <mergeCell ref="A9:G9"/>
    <mergeCell ref="C32:G32"/>
    <mergeCell ref="A3:G3"/>
    <mergeCell ref="A21:G21"/>
    <mergeCell ref="C38:G38"/>
    <mergeCell ref="C42:G42"/>
    <mergeCell ref="C33:G33"/>
    <mergeCell ref="C41:G41"/>
    <mergeCell ref="A2:G2"/>
    <mergeCell ref="C37:G37"/>
    <mergeCell ref="C36:G36"/>
    <mergeCell ref="C31:G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6" customWidth="1" style="106" min="2" max="2"/>
    <col width="16" customWidth="1" style="106" min="3" max="6"/>
    <col width="38" customWidth="1" style="106" min="7" max="7"/>
  </cols>
  <sheetData>
    <row r="1" ht="25.5" customHeight="1" s="107">
      <c r="A1" s="118" t="inlineStr">
        <is>
          <t>الإكسسوارات</t>
        </is>
      </c>
      <c r="B1" s="109" t="n"/>
      <c r="C1" s="109" t="n"/>
      <c r="D1" s="109" t="n"/>
      <c r="E1" s="109" t="n"/>
      <c r="F1" s="109" t="n"/>
      <c r="G1" s="109" t="n"/>
    </row>
    <row r="2" ht="18" customHeight="1" s="107">
      <c r="A2" s="119" t="inlineStr">
        <is>
          <t>المسيطر: أصحاب محلات التجزئة · النموذج: مساحة بيع ومساحة في التطبيق مقابل نسبة</t>
        </is>
      </c>
      <c r="B2" s="109" t="n"/>
      <c r="C2" s="109" t="n"/>
      <c r="D2" s="109" t="n"/>
      <c r="E2" s="109" t="n"/>
      <c r="F2" s="109" t="n"/>
      <c r="G2" s="109" t="n"/>
    </row>
    <row r="3" ht="21.75" customHeight="1" s="107">
      <c r="A3" s="142" t="inlineStr">
        <is>
          <t>الخطة</t>
        </is>
      </c>
      <c r="B3" s="143" t="n"/>
      <c r="C3" s="143" t="n"/>
      <c r="D3" s="143" t="n"/>
      <c r="E3" s="143" t="n"/>
      <c r="F3" s="143" t="n"/>
      <c r="G3" s="143" t="n"/>
    </row>
    <row r="4" ht="27.75" customHeight="1" s="107">
      <c r="A4" s="112" t="n">
        <v>1</v>
      </c>
      <c r="B4" s="113" t="inlineStr">
        <is>
          <t>التعاقد مع محلات التجزئة</t>
        </is>
      </c>
      <c r="C4" s="114" t="inlineStr">
        <is>
          <t>لا تشغيل ذاتي</t>
        </is>
      </c>
      <c r="D4" s="114" t="inlineStr">
        <is>
          <t>المخزون والمرتجعات على الشريك</t>
        </is>
      </c>
      <c r="E4" s="114" t="inlineStr">
        <is>
          <t>التجزئة تملك الخبرة والمورّد</t>
        </is>
      </c>
      <c r="F4" s="114" t="n"/>
      <c r="G4" s="114" t="inlineStr">
        <is>
          <t>سوق مجزّأ بلا سلسلة مسيطرة</t>
        </is>
      </c>
    </row>
    <row r="5" ht="27.75" customHeight="1" s="107">
      <c r="A5" s="112" t="n">
        <v>2</v>
      </c>
      <c r="B5" s="113" t="inlineStr">
        <is>
          <t>تأجير مساحة البيع</t>
        </is>
      </c>
      <c r="C5" s="114" t="inlineStr">
        <is>
          <t>وحدة أو ركن</t>
        </is>
      </c>
      <c r="D5" s="114" t="inlineStr">
        <is>
          <t>داخل المحطة</t>
        </is>
      </c>
      <c r="E5" s="114" t="inlineStr">
        <is>
          <t>من الوحدات الشاغرة القائمة</t>
        </is>
      </c>
      <c r="F5" s="114" t="n"/>
      <c r="G5" s="114" t="inlineStr">
        <is>
          <t>لا يحتاج استثماراً جديداً</t>
        </is>
      </c>
    </row>
    <row r="6" ht="27.75" customHeight="1" s="107">
      <c r="A6" s="112" t="n">
        <v>3</v>
      </c>
      <c r="B6" s="113" t="inlineStr">
        <is>
          <t>تأجير مساحة في التطبيق</t>
        </is>
      </c>
      <c r="C6" s="114" t="inlineStr">
        <is>
          <t>واجهة بيع رقمية</t>
        </is>
      </c>
      <c r="D6" s="114" t="inlineStr">
        <is>
          <t>ظهور للمنتجات</t>
        </is>
      </c>
      <c r="E6" s="114" t="inlineStr">
        <is>
          <t>أصل رقمي نملكه</t>
        </is>
      </c>
      <c r="F6" s="114" t="n"/>
      <c r="G6" s="114" t="inlineStr">
        <is>
          <t>يوسّع السوق خارج المحطة</t>
        </is>
      </c>
    </row>
    <row r="7" ht="27.75" customHeight="1" s="107">
      <c r="A7" s="112" t="n">
        <v>4</v>
      </c>
      <c r="B7" s="113" t="inlineStr">
        <is>
          <t>نسبة من المبيعات</t>
        </is>
      </c>
      <c r="C7" s="114" t="inlineStr">
        <is>
          <t>بدل الإيجار الثابت</t>
        </is>
      </c>
      <c r="D7" s="114" t="inlineStr">
        <is>
          <t>أو حد أدنى مضمون + نسبة</t>
        </is>
      </c>
      <c r="E7" s="114" t="inlineStr">
        <is>
          <t>يربط عائدنا بأداء الشريك</t>
        </is>
      </c>
      <c r="F7" s="114" t="n"/>
      <c r="G7" s="114" t="inlineStr">
        <is>
          <t>يخفض مخاطرة الشريك ويرفع سقف عائدنا</t>
        </is>
      </c>
    </row>
    <row r="8">
      <c r="A8" s="109" t="n"/>
      <c r="B8" s="109" t="n"/>
      <c r="C8" s="109" t="n"/>
      <c r="D8" s="109" t="n"/>
      <c r="E8" s="109" t="n"/>
      <c r="F8" s="109" t="n"/>
      <c r="G8" s="109" t="n"/>
    </row>
    <row r="9" ht="21.75" customHeight="1" s="107">
      <c r="A9" s="142" t="inlineStr">
        <is>
          <t>نموذج التعاقد — يُعبّأ لكل شريك</t>
        </is>
      </c>
      <c r="B9" s="143" t="n"/>
      <c r="C9" s="143" t="n"/>
      <c r="D9" s="143" t="n"/>
      <c r="E9" s="143" t="n"/>
      <c r="F9" s="143" t="n"/>
      <c r="G9" s="143" t="n"/>
    </row>
    <row r="10" ht="30" customHeight="1" s="107">
      <c r="A10" s="111" t="inlineStr">
        <is>
          <t>#</t>
        </is>
      </c>
      <c r="B10" s="111" t="inlineStr">
        <is>
          <t>الحقل</t>
        </is>
      </c>
      <c r="C10" s="111" t="inlineStr">
        <is>
          <t>القيمة</t>
        </is>
      </c>
      <c r="D10" s="111" t="inlineStr">
        <is>
          <t>الوحدة</t>
        </is>
      </c>
      <c r="E10" s="111" t="inlineStr">
        <is>
          <t>المصدر</t>
        </is>
      </c>
      <c r="F10" s="111" t="n"/>
      <c r="G10" s="111" t="inlineStr">
        <is>
          <t>ملاحظة</t>
        </is>
      </c>
    </row>
    <row r="11" ht="18.75" customHeight="1" s="107">
      <c r="A11" s="112" t="n">
        <v>1</v>
      </c>
      <c r="B11" s="148" t="inlineStr">
        <is>
          <t>اسم الشريك</t>
        </is>
      </c>
      <c r="C11" s="177" t="n"/>
      <c r="D11" s="112" t="inlineStr">
        <is>
          <t>نص</t>
        </is>
      </c>
      <c r="E11" s="112" t="inlineStr">
        <is>
          <t>يدوي</t>
        </is>
      </c>
      <c r="F11" s="112" t="n"/>
      <c r="G11" s="114" t="n"/>
    </row>
    <row r="12" ht="18.75" customHeight="1" s="107">
      <c r="A12" s="112" t="n">
        <v>2</v>
      </c>
      <c r="B12" s="148" t="inlineStr">
        <is>
          <t>الفئة</t>
        </is>
      </c>
      <c r="C12" s="177" t="n"/>
      <c r="D12" s="112" t="inlineStr">
        <is>
          <t>نص</t>
        </is>
      </c>
      <c r="E12" s="112" t="inlineStr">
        <is>
          <t>يدوي</t>
        </is>
      </c>
      <c r="F12" s="112" t="n"/>
      <c r="G12" s="114" t="n"/>
    </row>
    <row r="13" ht="18.75" customHeight="1" s="107">
      <c r="A13" s="112" t="n">
        <v>3</v>
      </c>
      <c r="B13" s="148" t="inlineStr">
        <is>
          <t>المحطات المشمولة</t>
        </is>
      </c>
      <c r="C13" s="185" t="n"/>
      <c r="D13" s="112" t="inlineStr">
        <is>
          <t>عدد</t>
        </is>
      </c>
      <c r="E13" s="112" t="inlineStr">
        <is>
          <t>يدوي</t>
        </is>
      </c>
      <c r="F13" s="112" t="n"/>
      <c r="G13" s="114" t="n"/>
    </row>
    <row r="14" ht="18.75" customHeight="1" s="107">
      <c r="A14" s="112" t="n">
        <v>4</v>
      </c>
      <c r="B14" s="148" t="inlineStr">
        <is>
          <t>مساحة البيع لكل محطة</t>
        </is>
      </c>
      <c r="C14" s="185" t="n"/>
      <c r="D14" s="112" t="inlineStr">
        <is>
          <t>م²</t>
        </is>
      </c>
      <c r="E14" s="112" t="inlineStr">
        <is>
          <t>يدوي</t>
        </is>
      </c>
      <c r="F14" s="112" t="n"/>
      <c r="G14" s="114" t="n"/>
    </row>
    <row r="15" ht="18.75" customHeight="1" s="107">
      <c r="A15" s="112" t="n">
        <v>5</v>
      </c>
      <c r="B15" s="148" t="inlineStr">
        <is>
          <t>مساحة التطبيق</t>
        </is>
      </c>
      <c r="C15" s="177" t="n"/>
      <c r="D15" s="112" t="inlineStr">
        <is>
          <t>نعم / لا</t>
        </is>
      </c>
      <c r="E15" s="112" t="inlineStr">
        <is>
          <t>يدوي</t>
        </is>
      </c>
      <c r="F15" s="112" t="n"/>
      <c r="G15" s="114" t="n"/>
    </row>
    <row r="16" ht="18.75" customHeight="1" s="107">
      <c r="A16" s="112" t="n">
        <v>6</v>
      </c>
      <c r="B16" s="148" t="inlineStr">
        <is>
          <t>الحد الأدنى المضمون شهرياً</t>
        </is>
      </c>
      <c r="C16" s="185" t="n"/>
      <c r="D16" s="112" t="inlineStr">
        <is>
          <t>ريال</t>
        </is>
      </c>
      <c r="E16" s="112" t="inlineStr">
        <is>
          <t>يدوي</t>
        </is>
      </c>
      <c r="F16" s="112" t="n"/>
      <c r="G16" s="114" t="n"/>
    </row>
    <row r="17" ht="18.75" customHeight="1" s="107">
      <c r="A17" s="112" t="n">
        <v>7</v>
      </c>
      <c r="B17" s="148" t="inlineStr">
        <is>
          <t>نسبة درب من المبيعات</t>
        </is>
      </c>
      <c r="C17" s="184" t="n"/>
      <c r="D17" s="112" t="inlineStr">
        <is>
          <t>%</t>
        </is>
      </c>
      <c r="E17" s="112" t="inlineStr">
        <is>
          <t>يدوي</t>
        </is>
      </c>
      <c r="F17" s="112" t="n"/>
      <c r="G17" s="114" t="n"/>
    </row>
    <row r="18" ht="18.75" customHeight="1" s="107">
      <c r="A18" s="112" t="n">
        <v>8</v>
      </c>
      <c r="B18" s="148" t="inlineStr">
        <is>
          <t>مبيعات الشريك المتوقعة شهرياً</t>
        </is>
      </c>
      <c r="C18" s="185" t="n"/>
      <c r="D18" s="112" t="inlineStr">
        <is>
          <t>ريال</t>
        </is>
      </c>
      <c r="E18" s="112" t="inlineStr">
        <is>
          <t>يدوي</t>
        </is>
      </c>
      <c r="F18" s="112" t="n"/>
      <c r="G18" s="114" t="n"/>
    </row>
    <row r="19" ht="18.75" customHeight="1" s="107">
      <c r="A19" s="112" t="n">
        <v>9</v>
      </c>
      <c r="B19" s="148" t="inlineStr">
        <is>
          <t>عائد النسبة شهرياً</t>
        </is>
      </c>
      <c r="C19" s="157">
        <f>IFERROR(C18*C17,"")</f>
        <v/>
      </c>
      <c r="D19" s="112" t="inlineStr">
        <is>
          <t>ريال</t>
        </is>
      </c>
      <c r="E19" s="112" t="inlineStr">
        <is>
          <t>صيغة</t>
        </is>
      </c>
      <c r="F19" s="112" t="n"/>
      <c r="G19" s="114" t="inlineStr">
        <is>
          <t>المبيعات × النسبة</t>
        </is>
      </c>
    </row>
    <row r="20" ht="18.75" customHeight="1" s="107">
      <c r="A20" s="112" t="n">
        <v>10</v>
      </c>
      <c r="B20" s="148" t="inlineStr">
        <is>
          <t>العائد الفعلي (الأعلى بين الحد والنسبة)</t>
        </is>
      </c>
      <c r="C20" s="157">
        <f>IFERROR(MAX(C16,C19),"")</f>
        <v/>
      </c>
      <c r="D20" s="112" t="inlineStr">
        <is>
          <t>ريال</t>
        </is>
      </c>
      <c r="E20" s="112" t="inlineStr">
        <is>
          <t>صيغة</t>
        </is>
      </c>
      <c r="F20" s="112" t="n"/>
      <c r="G20" s="114" t="inlineStr">
        <is>
          <t>الأعلى بين الحد الأدنى وعائد النسبة</t>
        </is>
      </c>
    </row>
    <row r="21" ht="18.75" customHeight="1" s="107">
      <c r="A21" s="112" t="n">
        <v>11</v>
      </c>
      <c r="B21" s="148" t="inlineStr">
        <is>
          <t>العائد السنوي لكل المحطات</t>
        </is>
      </c>
      <c r="C21" s="157">
        <f>IFERROR(C20*12*C13,"")</f>
        <v/>
      </c>
      <c r="D21" s="112" t="inlineStr">
        <is>
          <t>ريال</t>
        </is>
      </c>
      <c r="E21" s="112" t="inlineStr">
        <is>
          <t>صيغة</t>
        </is>
      </c>
      <c r="F21" s="112" t="n"/>
      <c r="G21" s="114" t="inlineStr">
        <is>
          <t>العائد الشهري × 12 × عدد المحطات</t>
        </is>
      </c>
    </row>
    <row r="22" ht="18.75" customHeight="1" s="107">
      <c r="A22" s="112" t="n">
        <v>12</v>
      </c>
      <c r="B22" s="148" t="inlineStr">
        <is>
          <t>مدة العقد</t>
        </is>
      </c>
      <c r="C22" s="185" t="n"/>
      <c r="D22" s="112" t="inlineStr">
        <is>
          <t>شهر</t>
        </is>
      </c>
      <c r="E22" s="112" t="inlineStr">
        <is>
          <t>يدوي</t>
        </is>
      </c>
      <c r="F22" s="112" t="n"/>
      <c r="G22" s="114" t="n"/>
    </row>
    <row r="23" ht="18.75" customHeight="1" s="107">
      <c r="A23" s="112" t="n">
        <v>13</v>
      </c>
      <c r="B23" s="148" t="inlineStr">
        <is>
          <t>شرط مشاركة بيانات المبيعات</t>
        </is>
      </c>
      <c r="C23" s="177" t="n"/>
      <c r="D23" s="112" t="inlineStr">
        <is>
          <t>نعم / لا</t>
        </is>
      </c>
      <c r="E23" s="112" t="inlineStr">
        <is>
          <t>يدوي</t>
        </is>
      </c>
      <c r="F23" s="112" t="n"/>
      <c r="G23" s="114" t="inlineStr">
        <is>
          <t>شرط أساسي — بدونه لا يمكن التحقق من النسبة</t>
        </is>
      </c>
    </row>
    <row r="24">
      <c r="A24" s="109" t="n"/>
      <c r="B24" s="109" t="n"/>
      <c r="C24" s="109" t="n"/>
      <c r="D24" s="109" t="n"/>
      <c r="E24" s="109" t="n"/>
      <c r="F24" s="109" t="n"/>
      <c r="G24" s="109" t="n"/>
    </row>
    <row r="25">
      <c r="A25" s="109" t="n"/>
      <c r="B25" s="109" t="n"/>
      <c r="C25" s="109" t="n"/>
      <c r="D25" s="109" t="n"/>
      <c r="E25" s="109" t="n"/>
      <c r="F25" s="109" t="n"/>
      <c r="G25" s="109" t="n"/>
    </row>
    <row r="26" ht="15" customHeight="1" s="107">
      <c r="A26" s="109" t="n"/>
      <c r="B26" s="128" t="inlineStr">
        <is>
          <t>لماذا النسبة لا الإيجار الثابت</t>
        </is>
      </c>
      <c r="C26" s="109" t="n"/>
      <c r="D26" s="109" t="n"/>
      <c r="E26" s="109" t="n"/>
      <c r="F26" s="109" t="n"/>
      <c r="G26" s="109" t="n"/>
    </row>
    <row r="27" ht="15.75" customHeight="1" s="107">
      <c r="A27" s="109" t="n"/>
      <c r="B27" s="109" t="n"/>
      <c r="C27" s="129" t="inlineStr">
        <is>
          <t>•  المخزون بطيء والمرتجعات عالية — والمخاطرة على الشريك</t>
        </is>
      </c>
      <c r="D27" s="109" t="n"/>
      <c r="E27" s="109" t="n"/>
      <c r="F27" s="109" t="n"/>
      <c r="G27" s="109" t="n"/>
    </row>
    <row r="28" ht="15.75" customHeight="1" s="107">
      <c r="A28" s="109" t="n"/>
      <c r="B28" s="109" t="n"/>
      <c r="C28" s="129" t="inlineStr">
        <is>
          <t>•  الحد الأدنى المضمون يحمي عائدنا والنسبة ترفع سقفه</t>
        </is>
      </c>
      <c r="D28" s="109" t="n"/>
      <c r="E28" s="109" t="n"/>
      <c r="F28" s="109" t="n"/>
      <c r="G28" s="109" t="n"/>
    </row>
    <row r="29" ht="15.75" customHeight="1" s="107">
      <c r="A29" s="109" t="n"/>
      <c r="B29" s="109" t="n"/>
      <c r="C29" s="129" t="inlineStr">
        <is>
          <t>•  شرط مشاركة بيانات المبيعات أساس العقد — بدونه لا يمكن التحقق</t>
        </is>
      </c>
      <c r="D29" s="109" t="n"/>
      <c r="E29" s="109" t="n"/>
      <c r="F29" s="109" t="n"/>
      <c r="G29" s="109" t="n"/>
    </row>
    <row r="30">
      <c r="A30" s="109" t="n"/>
      <c r="B30" s="109" t="n"/>
      <c r="C30" s="109" t="n"/>
      <c r="D30" s="109" t="n"/>
      <c r="E30" s="109" t="n"/>
      <c r="F30" s="109" t="n"/>
      <c r="G30" s="109" t="n"/>
    </row>
    <row r="31" ht="15" customHeight="1" s="107">
      <c r="A31" s="109" t="n"/>
      <c r="B31" s="128" t="inlineStr">
        <is>
          <t>مساحة التطبيق</t>
        </is>
      </c>
      <c r="C31" s="109" t="n"/>
      <c r="D31" s="109" t="n"/>
      <c r="E31" s="109" t="n"/>
      <c r="F31" s="109" t="n"/>
      <c r="G31" s="109" t="n"/>
    </row>
    <row r="32" ht="15.75" customHeight="1" s="107">
      <c r="A32" s="109" t="n"/>
      <c r="B32" s="109" t="n"/>
      <c r="C32" s="129" t="inlineStr">
        <is>
          <t>•  أصل رقمي نملكه ولا نبيعه اليوم</t>
        </is>
      </c>
      <c r="D32" s="109" t="n"/>
      <c r="E32" s="109" t="n"/>
      <c r="F32" s="109" t="n"/>
      <c r="G32" s="109" t="n"/>
    </row>
    <row r="33" ht="15.75" customHeight="1" s="107">
      <c r="A33" s="109" t="n"/>
      <c r="B33" s="109" t="n"/>
      <c r="C33" s="129" t="inlineStr">
        <is>
          <t>•  تُسعَّر ضمن الحزمة مع مساحة البيع</t>
        </is>
      </c>
      <c r="D33" s="109" t="n"/>
      <c r="E33" s="109" t="n"/>
      <c r="F33" s="109" t="n"/>
      <c r="G33" s="109" t="n"/>
    </row>
    <row r="34" ht="15.75" customHeight="1" s="107">
      <c r="A34" s="109" t="n"/>
      <c r="B34" s="109" t="n"/>
      <c r="C34" s="129" t="inlineStr">
        <is>
          <t>•  توسّع سوق الشريك خارج المحطة وترفع قيمة التطبيق نفسه</t>
        </is>
      </c>
      <c r="D34" s="109" t="n"/>
      <c r="E34" s="109" t="n"/>
      <c r="F34" s="109" t="n"/>
      <c r="G34" s="109" t="n"/>
    </row>
    <row r="35">
      <c r="A35" s="109" t="n"/>
      <c r="B35" s="109" t="n"/>
      <c r="C35" s="109" t="n"/>
      <c r="D35" s="109" t="n"/>
      <c r="E35" s="109" t="n"/>
      <c r="F35" s="109" t="n"/>
      <c r="G35" s="109" t="n"/>
    </row>
    <row r="36" ht="15" customHeight="1" s="107">
      <c r="A36" s="109" t="n"/>
      <c r="B36" s="128" t="inlineStr">
        <is>
          <t>الشريحتان</t>
        </is>
      </c>
      <c r="C36" s="109" t="n"/>
      <c r="D36" s="109" t="n"/>
      <c r="E36" s="109" t="n"/>
      <c r="F36" s="109" t="n"/>
      <c r="G36" s="109" t="n"/>
    </row>
    <row r="37" ht="15.75" customHeight="1" s="107">
      <c r="A37" s="109" t="n"/>
      <c r="B37" s="109" t="n"/>
      <c r="C37" s="129" t="inlineStr">
        <is>
          <t>•  سريع الدوران (زيوت · معطرات · شواحن): رفّ عند الكاشير — يبدأ فوراً</t>
        </is>
      </c>
      <c r="D37" s="109" t="n"/>
      <c r="E37" s="109" t="n"/>
      <c r="F37" s="109" t="n"/>
      <c r="G37" s="109" t="n"/>
    </row>
    <row r="38" ht="15.75" customHeight="1" s="107">
      <c r="A38" s="109" t="n"/>
      <c r="B38" s="109" t="n"/>
      <c r="C38" s="129" t="inlineStr">
        <is>
          <t>•  الزينة والتجهيز (تظليل · أفلام · إضاءة): وحدة مستقلة لمتخصص</t>
        </is>
      </c>
      <c r="D38" s="109" t="n"/>
      <c r="E38" s="109" t="n"/>
      <c r="F38" s="109" t="n"/>
      <c r="G38" s="109" t="n"/>
    </row>
  </sheetData>
  <mergeCells count="12">
    <mergeCell ref="C29:G29"/>
    <mergeCell ref="A1:G1"/>
    <mergeCell ref="C34:G34"/>
    <mergeCell ref="A9:G9"/>
    <mergeCell ref="C32:G32"/>
    <mergeCell ref="A3:G3"/>
    <mergeCell ref="C38:G38"/>
    <mergeCell ref="C33:G33"/>
    <mergeCell ref="C28:G28"/>
    <mergeCell ref="C27:G27"/>
    <mergeCell ref="A2:G2"/>
    <mergeCell ref="C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30" customWidth="1" style="106" min="2" max="2"/>
    <col width="15" customWidth="1" style="106" min="3" max="4"/>
    <col width="13" customWidth="1" style="106" min="5" max="5"/>
    <col width="40" customWidth="1" style="106" min="6" max="6"/>
  </cols>
  <sheetData>
    <row r="1" ht="25.5" customHeight="1" s="107">
      <c r="A1" s="118" t="inlineStr">
        <is>
          <t>اقتصاديات اللتر</t>
        </is>
      </c>
      <c r="B1" s="109" t="n"/>
      <c r="C1" s="109" t="n"/>
      <c r="D1" s="109" t="n"/>
      <c r="E1" s="109" t="n"/>
      <c r="F1" s="109" t="n"/>
    </row>
    <row r="2" ht="18" customHeight="1" s="107">
      <c r="A2" s="119" t="inlineStr">
        <is>
          <t>أرقام محققة من قائمة الدخل — النصف الأول 2026 · الوحدة: هللة</t>
        </is>
      </c>
      <c r="B2" s="109" t="n"/>
      <c r="C2" s="109" t="n"/>
      <c r="D2" s="109" t="n"/>
      <c r="E2" s="109" t="n"/>
      <c r="F2" s="109" t="n"/>
    </row>
    <row r="3" ht="30" customHeight="1" s="107">
      <c r="A3" s="111" t="inlineStr">
        <is>
          <t>#</t>
        </is>
      </c>
      <c r="B3" s="111" t="inlineStr">
        <is>
          <t>البند</t>
        </is>
      </c>
      <c r="C3" s="111" t="inlineStr">
        <is>
          <t>MK007 العمرة</t>
        </is>
      </c>
      <c r="D3" s="111" t="inlineStr">
        <is>
          <t>MK019 الشرايع</t>
        </is>
      </c>
      <c r="E3" s="111" t="inlineStr">
        <is>
          <t>الفارق</t>
        </is>
      </c>
      <c r="F3" s="111" t="inlineStr">
        <is>
          <t>الدلالة</t>
        </is>
      </c>
    </row>
    <row r="4" ht="21.75" customHeight="1" s="107">
      <c r="A4" s="112" t="n">
        <v>1</v>
      </c>
      <c r="B4" s="148" t="inlineStr">
        <is>
          <t>الإيراد لكل لتر</t>
        </is>
      </c>
      <c r="C4" s="155" t="n">
        <v>182.51</v>
      </c>
      <c r="D4" s="155" t="n">
        <v>196.77</v>
      </c>
      <c r="E4" s="163">
        <f>C4-D4</f>
        <v/>
      </c>
      <c r="F4" s="114" t="inlineStr">
        <is>
          <t>قسمة الإيراد على اللترات</t>
        </is>
      </c>
    </row>
    <row r="5" ht="21.75" customHeight="1" s="107">
      <c r="A5" s="112" t="n">
        <v>2</v>
      </c>
      <c r="B5" s="148" t="inlineStr">
        <is>
          <t>تكلفة البضاعة</t>
        </is>
      </c>
      <c r="C5" s="155" t="n">
        <v>-170</v>
      </c>
      <c r="D5" s="155" t="n">
        <v>-180.67</v>
      </c>
      <c r="E5" s="163">
        <f>C5-D5</f>
        <v/>
      </c>
      <c r="F5" s="114" t="inlineStr">
        <is>
          <t>93% من الإيراد — خارج سيطرتنا</t>
        </is>
      </c>
    </row>
    <row r="6" ht="21.75" customHeight="1" s="107">
      <c r="A6" s="112" t="n">
        <v>3</v>
      </c>
      <c r="B6" s="148" t="inlineStr">
        <is>
          <t>النقل</t>
        </is>
      </c>
      <c r="C6" s="155" t="n">
        <v>-1.89</v>
      </c>
      <c r="D6" s="155" t="n">
        <v>-1.88</v>
      </c>
      <c r="E6" s="163">
        <f>C6-D6</f>
        <v/>
      </c>
      <c r="F6" s="114" t="inlineStr">
        <is>
          <t>أجرة الرحلة الفعلية 623 ريال</t>
        </is>
      </c>
    </row>
    <row r="7" ht="21.75" customHeight="1" s="107">
      <c r="A7" s="112" t="n">
        <v>4</v>
      </c>
      <c r="B7" s="148" t="inlineStr">
        <is>
          <t>التبخّر</t>
        </is>
      </c>
      <c r="C7" s="155" t="n">
        <v>-0.54</v>
      </c>
      <c r="D7" s="155" t="n">
        <v>-0.84</v>
      </c>
      <c r="E7" s="163">
        <f>C7-D7</f>
        <v/>
      </c>
      <c r="F7" s="114" t="inlineStr">
        <is>
          <t>0.32% من التكلفة</t>
        </is>
      </c>
    </row>
    <row r="8" ht="21.75" customHeight="1" s="107">
      <c r="A8" s="164" t="n">
        <v>5</v>
      </c>
      <c r="B8" s="165" t="inlineStr">
        <is>
          <t>هامش مساهمة الوقود</t>
        </is>
      </c>
      <c r="C8" s="166" t="n">
        <v>10.07</v>
      </c>
      <c r="D8" s="166" t="n">
        <v>13.38</v>
      </c>
      <c r="E8" s="167">
        <f>C8-D8</f>
        <v/>
      </c>
      <c r="F8" s="168" t="inlineStr">
        <is>
          <t>الهدف 15 هللة</t>
        </is>
      </c>
    </row>
    <row r="9" ht="21.75" customHeight="1" s="107">
      <c r="A9" s="112" t="n">
        <v>6</v>
      </c>
      <c r="B9" s="148" t="inlineStr">
        <is>
          <t>صافي التأجير</t>
        </is>
      </c>
      <c r="C9" s="155" t="n">
        <v>5.3</v>
      </c>
      <c r="D9" s="155" t="n">
        <v>-2.25</v>
      </c>
      <c r="E9" s="163">
        <f>C9-D9</f>
        <v/>
      </c>
      <c r="F9" s="114" t="inlineStr">
        <is>
          <t>سالب في الشرايع</t>
        </is>
      </c>
    </row>
    <row r="10" ht="21.75" customHeight="1" s="107">
      <c r="A10" s="112" t="n">
        <v>7</v>
      </c>
      <c r="B10" s="148" t="inlineStr">
        <is>
          <t>المصاريف التشغيلية</t>
        </is>
      </c>
      <c r="C10" s="155" t="n">
        <v>-10.23</v>
      </c>
      <c r="D10" s="155" t="n">
        <v>-7.21</v>
      </c>
      <c r="E10" s="163">
        <f>C10-D10</f>
        <v/>
      </c>
      <c r="F10" s="114" t="inlineStr">
        <is>
          <t>88% منها إهلاك غير نقدي</t>
        </is>
      </c>
    </row>
    <row r="11" ht="21.75" customHeight="1" s="107">
      <c r="A11" s="164" t="n">
        <v>8</v>
      </c>
      <c r="B11" s="165" t="inlineStr">
        <is>
          <t>صافي الربح</t>
        </is>
      </c>
      <c r="C11" s="166" t="n">
        <v>5.15</v>
      </c>
      <c r="D11" s="166" t="n">
        <v>3.87</v>
      </c>
      <c r="E11" s="167">
        <f>C11-D11</f>
        <v/>
      </c>
      <c r="F11" s="168" t="inlineStr">
        <is>
          <t>الفجوة عن الهدف 9.9 و11.1 هللة</t>
        </is>
      </c>
    </row>
    <row r="12">
      <c r="A12" s="109" t="n"/>
      <c r="B12" s="109" t="n"/>
      <c r="C12" s="109" t="n"/>
      <c r="D12" s="109" t="n"/>
      <c r="E12" s="109" t="n"/>
      <c r="F12" s="109" t="n"/>
    </row>
    <row r="13" ht="15" customHeight="1" s="107">
      <c r="A13" s="109" t="n"/>
      <c r="B13" s="117" t="inlineStr">
        <is>
          <t>لماذا لا يمرّ الحل عبر التكلفة</t>
        </is>
      </c>
      <c r="C13" s="109" t="n"/>
      <c r="D13" s="109" t="n"/>
      <c r="E13" s="109" t="n"/>
      <c r="F13" s="109" t="n"/>
    </row>
    <row r="14" ht="15.75" customHeight="1" s="107">
      <c r="A14" s="109" t="n"/>
      <c r="B14" s="109" t="n"/>
      <c r="C14" s="129" t="inlineStr">
        <is>
          <t>•  المصاريف النقدية 0.94 هللة لكل لتر فقط</t>
        </is>
      </c>
      <c r="D14" s="109" t="n"/>
      <c r="E14" s="109" t="n"/>
      <c r="F14" s="109" t="n"/>
    </row>
    <row r="15" ht="15.75" customHeight="1" s="107">
      <c r="A15" s="109" t="n"/>
      <c r="B15" s="109" t="n"/>
      <c r="C15" s="129" t="inlineStr">
        <is>
          <t>•  الإهلاك 88% من المصاريف — غير نقدي وغير قابل للخفض</t>
        </is>
      </c>
      <c r="D15" s="109" t="n"/>
      <c r="E15" s="109" t="n"/>
      <c r="F15" s="109" t="n"/>
    </row>
    <row r="16" ht="15.75" customHeight="1" s="107">
      <c r="A16" s="109" t="n"/>
      <c r="B16" s="109" t="n"/>
      <c r="C16" s="129" t="inlineStr">
        <is>
          <t>•  فرفع الحجم 5% يعطي أضعاف ما يعطيه أي خفض ممكن</t>
        </is>
      </c>
      <c r="D16" s="109" t="n"/>
      <c r="E16" s="109" t="n"/>
      <c r="F16" s="109" t="n"/>
    </row>
    <row r="17">
      <c r="A17" s="109" t="n"/>
      <c r="B17" s="109" t="n"/>
      <c r="C17" s="109" t="n"/>
      <c r="D17" s="109" t="n"/>
      <c r="E17" s="109" t="n"/>
      <c r="F17" s="109" t="n"/>
    </row>
    <row r="18" ht="15" customHeight="1" s="107">
      <c r="A18" s="109" t="n"/>
      <c r="B18" s="128" t="inlineStr">
        <is>
          <t>الديزل يسحب الهامش</t>
        </is>
      </c>
      <c r="C18" s="109" t="n"/>
      <c r="D18" s="109" t="n"/>
      <c r="E18" s="109" t="n"/>
      <c r="F18" s="109" t="n"/>
    </row>
    <row r="19" ht="15.75" customHeight="1" s="107">
      <c r="A19" s="109" t="n"/>
      <c r="B19" s="109" t="n"/>
      <c r="C19" s="129" t="inlineStr">
        <is>
          <t>•  العمرة ديزلها 28% وهامشها 10.07 هللة</t>
        </is>
      </c>
      <c r="D19" s="109" t="n"/>
      <c r="E19" s="109" t="n"/>
      <c r="F19" s="109" t="n"/>
    </row>
    <row r="20" ht="15.75" customHeight="1" s="107">
      <c r="A20" s="109" t="n"/>
      <c r="B20" s="109" t="n"/>
      <c r="C20" s="129" t="inlineStr">
        <is>
          <t>•  الشرايع بلا ديزل وهامشها 13.36 هللة</t>
        </is>
      </c>
      <c r="D20" s="109" t="n"/>
      <c r="E20" s="109" t="n"/>
      <c r="F20" s="109" t="n"/>
    </row>
    <row r="21" ht="15.75" customHeight="1" s="107">
      <c r="A21" s="109" t="n"/>
      <c r="B21" s="109" t="n"/>
      <c r="C21" s="129" t="inlineStr">
        <is>
          <t>•  ورفع حصة البنزين رفع مباشر للهامش لا مجرد زيادة إيراد</t>
        </is>
      </c>
      <c r="D21" s="109" t="n"/>
      <c r="E21" s="109" t="n"/>
      <c r="F21" s="109" t="n"/>
    </row>
    <row r="22">
      <c r="A22" s="109" t="n"/>
      <c r="B22" s="109" t="n"/>
      <c r="C22" s="109" t="n"/>
      <c r="D22" s="109" t="n"/>
      <c r="E22" s="109" t="n"/>
      <c r="F22" s="109" t="n"/>
    </row>
    <row r="23" ht="15" customHeight="1" s="107">
      <c r="A23" s="109" t="n"/>
      <c r="B23" s="117" t="inlineStr">
        <is>
          <t>التأجير رافعة الربح</t>
        </is>
      </c>
      <c r="C23" s="109" t="n"/>
      <c r="D23" s="109" t="n"/>
      <c r="E23" s="109" t="n"/>
      <c r="F23" s="109" t="n"/>
    </row>
    <row r="24" ht="15.75" customHeight="1" s="107">
      <c r="A24" s="109" t="n"/>
      <c r="B24" s="109" t="n"/>
      <c r="C24" s="129" t="inlineStr">
        <is>
          <t>•  التمويل وإهلاك حق الاستخدام ثابتان ومدفوعان</t>
        </is>
      </c>
      <c r="D24" s="109" t="n"/>
      <c r="E24" s="109" t="n"/>
      <c r="F24" s="109" t="n"/>
    </row>
    <row r="25" ht="15.75" customHeight="1" s="107">
      <c r="A25" s="109" t="n"/>
      <c r="B25" s="109" t="n"/>
      <c r="C25" s="129" t="inlineStr">
        <is>
          <t>•  يلتهمان 63% من دخل الإيجار في العمرة و106% في الشرايع</t>
        </is>
      </c>
      <c r="D25" s="109" t="n"/>
      <c r="E25" s="109" t="n"/>
      <c r="F25" s="109" t="n"/>
    </row>
    <row r="26" ht="15.75" customHeight="1" s="107">
      <c r="A26" s="109" t="n"/>
      <c r="B26" s="109" t="n"/>
      <c r="C26" s="129" t="inlineStr">
        <is>
          <t>•  فكل إيجار إضافي ربح شبه صافٍ</t>
        </is>
      </c>
      <c r="D26" s="109" t="n"/>
      <c r="E26" s="109" t="n"/>
      <c r="F26" s="109" t="n"/>
    </row>
  </sheetData>
  <mergeCells count="11">
    <mergeCell ref="A2:F2"/>
    <mergeCell ref="C26:F26"/>
    <mergeCell ref="A1:F1"/>
    <mergeCell ref="C20:F20"/>
    <mergeCell ref="C21:F21"/>
    <mergeCell ref="C16:F16"/>
    <mergeCell ref="C15:F15"/>
    <mergeCell ref="C25:F25"/>
    <mergeCell ref="C24:F24"/>
    <mergeCell ref="C19:F19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6" customWidth="1" style="106" min="2" max="2"/>
    <col width="16" customWidth="1" style="106" min="3" max="5"/>
    <col width="38" customWidth="1" style="106" min="6" max="6"/>
  </cols>
  <sheetData>
    <row r="1" ht="25.5" customHeight="1" s="107">
      <c r="A1" s="118" t="inlineStr">
        <is>
          <t>النموذج التجريبي</t>
        </is>
      </c>
      <c r="B1" s="109" t="n"/>
      <c r="C1" s="109" t="n"/>
      <c r="D1" s="109" t="n"/>
      <c r="E1" s="109" t="n"/>
      <c r="F1" s="109" t="n"/>
    </row>
    <row r="2" ht="18" customHeight="1" s="107">
      <c r="A2" s="119" t="inlineStr">
        <is>
          <t>محطتان للوقود ومحطة للمستأجرين</t>
        </is>
      </c>
      <c r="B2" s="109" t="n"/>
      <c r="C2" s="109" t="n"/>
      <c r="D2" s="109" t="n"/>
      <c r="E2" s="109" t="n"/>
      <c r="F2" s="109" t="n"/>
    </row>
    <row r="3" ht="21.75" customHeight="1" s="107">
      <c r="A3" s="142" t="inlineStr">
        <is>
          <t>التصميم</t>
        </is>
      </c>
      <c r="B3" s="143" t="n"/>
      <c r="C3" s="143" t="n"/>
      <c r="D3" s="143" t="n"/>
      <c r="E3" s="143" t="n"/>
      <c r="F3" s="143" t="n"/>
    </row>
    <row r="4" ht="21.75" customHeight="1" s="107">
      <c r="A4" s="112" t="n">
        <v>1</v>
      </c>
      <c r="B4" s="113" t="inlineStr">
        <is>
          <t>عرفات الشوقية MK017</t>
        </is>
      </c>
      <c r="C4" s="112" t="inlineStr">
        <is>
          <t>وقود</t>
        </is>
      </c>
      <c r="D4" s="114" t="inlineStr">
        <is>
          <t>نامية +6.9%</t>
        </is>
      </c>
      <c r="E4" s="114" t="n"/>
      <c r="F4" s="114" t="inlineStr">
        <is>
          <t>المرجع — ماذا تفعل الناجحة</t>
        </is>
      </c>
    </row>
    <row r="5" ht="21.75" customHeight="1" s="107">
      <c r="A5" s="112" t="n">
        <v>2</v>
      </c>
      <c r="B5" s="113" t="inlineStr">
        <is>
          <t>بن درويش MK023</t>
        </is>
      </c>
      <c r="C5" s="112" t="inlineStr">
        <is>
          <t>وقود</t>
        </is>
      </c>
      <c r="D5" s="114" t="inlineStr">
        <is>
          <t>هابطة −12.1%</t>
        </is>
      </c>
      <c r="E5" s="114" t="n"/>
      <c r="F5" s="114" t="inlineStr">
        <is>
          <t>الهدف — ما الذي يمكن تغييره</t>
        </is>
      </c>
    </row>
    <row r="6" ht="21.75" customHeight="1" s="107">
      <c r="A6" s="112" t="n">
        <v>3</v>
      </c>
      <c r="B6" s="113" t="inlineStr">
        <is>
          <t>النورية MK007</t>
        </is>
      </c>
      <c r="C6" s="112" t="inlineStr">
        <is>
          <t>مستأجرون</t>
        </is>
      </c>
      <c r="D6" s="114" t="inlineStr">
        <is>
          <t>أعلى حركة 4,236 زيارة/يوم</t>
        </is>
      </c>
      <c r="E6" s="114" t="n"/>
      <c r="F6" s="114" t="inlineStr">
        <is>
          <t>حملات المستأجرين وقياس أثرها</t>
        </is>
      </c>
    </row>
    <row r="7">
      <c r="A7" s="109" t="n"/>
      <c r="B7" s="109" t="n"/>
      <c r="C7" s="109" t="n"/>
      <c r="D7" s="109" t="n"/>
      <c r="E7" s="109" t="n"/>
      <c r="F7" s="109" t="n"/>
    </row>
    <row r="8" ht="21.75" customHeight="1" s="107">
      <c r="A8" s="142" t="inlineStr">
        <is>
          <t>مقارنة محطتَي الوقود</t>
        </is>
      </c>
      <c r="B8" s="143" t="n"/>
      <c r="C8" s="143" t="n"/>
      <c r="D8" s="143" t="n"/>
      <c r="E8" s="143" t="n"/>
      <c r="F8" s="143" t="n"/>
    </row>
    <row r="9" ht="30" customHeight="1" s="107">
      <c r="A9" s="111" t="inlineStr">
        <is>
          <t>#</t>
        </is>
      </c>
      <c r="B9" s="111" t="inlineStr">
        <is>
          <t>المؤشر</t>
        </is>
      </c>
      <c r="C9" s="111" t="inlineStr">
        <is>
          <t>عرفات الشوقية</t>
        </is>
      </c>
      <c r="D9" s="111" t="inlineStr">
        <is>
          <t>بن درويش</t>
        </is>
      </c>
      <c r="E9" s="111" t="inlineStr">
        <is>
          <t>الفارق</t>
        </is>
      </c>
      <c r="F9" s="111" t="inlineStr">
        <is>
          <t>الدلالة</t>
        </is>
      </c>
    </row>
    <row r="10" ht="18.75" customHeight="1" s="107">
      <c r="A10" s="112" t="n">
        <v>1</v>
      </c>
      <c r="B10" s="148" t="inlineStr">
        <is>
          <t>النمو</t>
        </is>
      </c>
      <c r="C10" s="112" t="inlineStr">
        <is>
          <t>+6.9%</t>
        </is>
      </c>
      <c r="D10" s="112" t="inlineStr">
        <is>
          <t>-12.1%</t>
        </is>
      </c>
      <c r="E10" s="112" t="n"/>
      <c r="F10" s="114" t="inlineStr">
        <is>
          <t>المتغيّر المراد تفسيره</t>
        </is>
      </c>
    </row>
    <row r="11" ht="18.75" customHeight="1" s="107">
      <c r="A11" s="112" t="n">
        <v>2</v>
      </c>
      <c r="B11" s="148" t="inlineStr">
        <is>
          <t>المنطقة والنمط</t>
        </is>
      </c>
      <c r="C11" s="112" t="inlineStr">
        <is>
          <t>مكة · حيوية</t>
        </is>
      </c>
      <c r="D11" s="112" t="inlineStr">
        <is>
          <t>مكة · حيوية</t>
        </is>
      </c>
      <c r="E11" s="112" t="n"/>
      <c r="F11" s="114" t="inlineStr">
        <is>
          <t>متطابق</t>
        </is>
      </c>
    </row>
    <row r="12" ht="18.75" customHeight="1" s="107">
      <c r="A12" s="112" t="n">
        <v>3</v>
      </c>
      <c r="B12" s="148" t="inlineStr">
        <is>
          <t>المزيج</t>
        </is>
      </c>
      <c r="C12" s="112" t="inlineStr">
        <is>
          <t>51.7 / 48.3</t>
        </is>
      </c>
      <c r="D12" s="112" t="inlineStr">
        <is>
          <t>54.0 / 46.0</t>
        </is>
      </c>
      <c r="E12" s="112" t="n"/>
      <c r="F12" s="114" t="inlineStr">
        <is>
          <t>متطابق · بلا ديزل</t>
        </is>
      </c>
    </row>
    <row r="13" ht="18.75" customHeight="1" s="107">
      <c r="A13" s="112" t="n">
        <v>4</v>
      </c>
      <c r="B13" s="148" t="inlineStr">
        <is>
          <t>طريقة الدفع</t>
        </is>
      </c>
      <c r="C13" s="112" t="inlineStr">
        <is>
          <t>نقد 100%</t>
        </is>
      </c>
      <c r="D13" s="112" t="inlineStr">
        <is>
          <t>نقد 100%</t>
        </is>
      </c>
      <c r="E13" s="112" t="n"/>
      <c r="F13" s="114" t="inlineStr">
        <is>
          <t>صفر شبكة وصفر تطبيق</t>
        </is>
      </c>
    </row>
    <row r="14" ht="18.75" customHeight="1" s="107">
      <c r="A14" s="112" t="n">
        <v>5</v>
      </c>
      <c r="B14" s="148" t="inlineStr">
        <is>
          <t>الزيارات يومياً</t>
        </is>
      </c>
      <c r="C14" s="169" t="n">
        <v>1290</v>
      </c>
      <c r="D14" s="169" t="n">
        <v>807</v>
      </c>
      <c r="E14" s="170">
        <f>C14-D14</f>
        <v/>
      </c>
      <c r="F14" s="114" t="n"/>
    </row>
    <row r="15" ht="18.75" customHeight="1" s="107">
      <c r="A15" s="112" t="n">
        <v>6</v>
      </c>
      <c r="B15" s="148" t="inlineStr">
        <is>
          <t>اللترات يومياً</t>
        </is>
      </c>
      <c r="C15" s="169" t="n">
        <v>27210</v>
      </c>
      <c r="D15" s="169" t="n">
        <v>16162</v>
      </c>
      <c r="E15" s="170">
        <f>C15-D15</f>
        <v/>
      </c>
      <c r="F15" s="114" t="n"/>
    </row>
    <row r="16" ht="18.75" customHeight="1" s="107">
      <c r="A16" s="112" t="n">
        <v>7</v>
      </c>
      <c r="B16" s="148" t="inlineStr">
        <is>
          <t>لتر لكل زيارة</t>
        </is>
      </c>
      <c r="C16" s="169" t="n">
        <v>21.1</v>
      </c>
      <c r="D16" s="169" t="n">
        <v>20.04</v>
      </c>
      <c r="E16" s="170">
        <f>C16-D16</f>
        <v/>
      </c>
      <c r="F16" s="114" t="inlineStr">
        <is>
          <t>سلة أكبر في عرفات</t>
        </is>
      </c>
    </row>
    <row r="17" ht="18.75" customHeight="1" s="107">
      <c r="A17" s="112" t="n">
        <v>8</v>
      </c>
      <c r="B17" s="148" t="inlineStr">
        <is>
          <t>المضخات</t>
        </is>
      </c>
      <c r="C17" s="169" t="n">
        <v>9</v>
      </c>
      <c r="D17" s="169" t="n">
        <v>4</v>
      </c>
      <c r="E17" s="170">
        <f>C17-D17</f>
        <v/>
      </c>
      <c r="F17" s="114" t="n"/>
    </row>
    <row r="18" ht="18.75" customHeight="1" s="107">
      <c r="A18" s="112" t="n">
        <v>9</v>
      </c>
      <c r="B18" s="148" t="inlineStr">
        <is>
          <t>زيارة لكل مضخة</t>
        </is>
      </c>
      <c r="C18" s="169" t="n">
        <v>143</v>
      </c>
      <c r="D18" s="169" t="n">
        <v>202</v>
      </c>
      <c r="E18" s="170">
        <f>C18-D18</f>
        <v/>
      </c>
      <c r="F18" s="114" t="inlineStr">
        <is>
          <t>بن درويش أزحم رغم أنها أصغر</t>
        </is>
      </c>
    </row>
    <row r="19" ht="18.75" customHeight="1" s="107">
      <c r="A19" s="112" t="n">
        <v>10</v>
      </c>
      <c r="B19" s="148" t="inlineStr">
        <is>
          <t>العمال</t>
        </is>
      </c>
      <c r="C19" s="169" t="n">
        <v>9</v>
      </c>
      <c r="D19" s="169" t="n">
        <v>7</v>
      </c>
      <c r="E19" s="170">
        <f>C19-D19</f>
        <v/>
      </c>
      <c r="F19" s="114" t="inlineStr">
        <is>
          <t>مطابق للمتفق عليه</t>
        </is>
      </c>
    </row>
    <row r="20" ht="18.75" customHeight="1" s="107">
      <c r="A20" s="112" t="n">
        <v>11</v>
      </c>
      <c r="B20" s="148" t="inlineStr">
        <is>
          <t>الشكاوى</t>
        </is>
      </c>
      <c r="C20" s="169" t="n">
        <v>8</v>
      </c>
      <c r="D20" s="169" t="n">
        <v>0</v>
      </c>
      <c r="E20" s="170">
        <f>C20-D20</f>
        <v/>
      </c>
      <c r="F20" s="114" t="inlineStr">
        <is>
          <t>بن درويش بلا شكاوى رغم تراجعها</t>
        </is>
      </c>
    </row>
    <row r="21">
      <c r="A21" s="109" t="n"/>
      <c r="B21" s="109" t="n"/>
      <c r="C21" s="109" t="n"/>
      <c r="D21" s="109" t="n"/>
      <c r="E21" s="109" t="n"/>
      <c r="F21" s="109" t="n"/>
    </row>
    <row r="22" ht="15" customHeight="1" s="107">
      <c r="A22" s="109" t="n"/>
      <c r="B22" s="128" t="inlineStr">
        <is>
          <t>ما يعزله التصميم</t>
        </is>
      </c>
      <c r="C22" s="109" t="n"/>
      <c r="D22" s="109" t="n"/>
      <c r="E22" s="109" t="n"/>
      <c r="F22" s="109" t="n"/>
    </row>
    <row r="23" ht="15.75" customHeight="1" s="107">
      <c r="A23" s="109" t="n"/>
      <c r="B23" s="109" t="n"/>
      <c r="C23" s="129" t="inlineStr">
        <is>
          <t>•  نفس المنطقة والنمط والمزيج وطريقة الدفع</t>
        </is>
      </c>
      <c r="D23" s="109" t="n"/>
      <c r="E23" s="109" t="n"/>
      <c r="F23" s="109" t="n"/>
    </row>
    <row r="24" ht="15.75" customHeight="1" s="107">
      <c r="A24" s="109" t="n"/>
      <c r="B24" s="109" t="n"/>
      <c r="C24" s="129" t="inlineStr">
        <is>
          <t>•  فالفارق لا يُفسَّر بالموقع ولا المنتج ولا نوع العميل</t>
        </is>
      </c>
      <c r="D24" s="109" t="n"/>
      <c r="E24" s="109" t="n"/>
      <c r="F24" s="109" t="n"/>
    </row>
    <row r="25">
      <c r="A25" s="109" t="n"/>
      <c r="B25" s="109" t="n"/>
      <c r="C25" s="109" t="n"/>
      <c r="D25" s="109" t="n"/>
      <c r="E25" s="109" t="n"/>
      <c r="F25" s="109" t="n"/>
    </row>
    <row r="26" ht="15" customHeight="1" s="107">
      <c r="A26" s="109" t="n"/>
      <c r="B26" s="128" t="inlineStr">
        <is>
          <t>ما يُقاس ميدانياً</t>
        </is>
      </c>
      <c r="C26" s="109" t="n"/>
      <c r="D26" s="109" t="n"/>
      <c r="E26" s="109" t="n"/>
      <c r="F26" s="109" t="n"/>
    </row>
    <row r="27" ht="15.75" customHeight="1" s="107">
      <c r="A27" s="109" t="n"/>
      <c r="B27" s="109" t="n"/>
      <c r="C27" s="129" t="inlineStr">
        <is>
          <t>•  زمن الخدمة لكل تعبئة في ساعة الذروة (21)</t>
        </is>
      </c>
      <c r="D27" s="109" t="n"/>
      <c r="E27" s="109" t="n"/>
      <c r="F27" s="109" t="n"/>
    </row>
    <row r="28" ht="15.75" customHeight="1" s="107">
      <c r="A28" s="109" t="n"/>
      <c r="B28" s="109" t="n"/>
      <c r="C28" s="129" t="inlineStr">
        <is>
          <t>•  عدد المركبات التي تدخل ولا تعبّئ</t>
        </is>
      </c>
      <c r="D28" s="109" t="n"/>
      <c r="E28" s="109" t="n"/>
      <c r="F28" s="109" t="n"/>
    </row>
    <row r="29" ht="15.75" customHeight="1" s="107">
      <c r="A29" s="109" t="n"/>
      <c r="B29" s="109" t="n"/>
      <c r="C29" s="129" t="inlineStr">
        <is>
          <t>•  المنافس الأقرب والمسافة إليه · وتغيّرات المسار</t>
        </is>
      </c>
      <c r="D29" s="109" t="n"/>
      <c r="E29" s="109" t="n"/>
      <c r="F29" s="109" t="n"/>
    </row>
    <row r="30">
      <c r="A30" s="109" t="n"/>
      <c r="B30" s="109" t="n"/>
      <c r="C30" s="109" t="n"/>
      <c r="D30" s="109" t="n"/>
      <c r="E30" s="109" t="n"/>
      <c r="F30" s="109" t="n"/>
    </row>
    <row r="31" ht="15" customHeight="1" s="107">
      <c r="A31" s="109" t="n"/>
      <c r="B31" s="117" t="inlineStr">
        <is>
          <t>فرصة فورية مشتركة</t>
        </is>
      </c>
      <c r="C31" s="109" t="n"/>
      <c r="D31" s="109" t="n"/>
      <c r="E31" s="109" t="n"/>
      <c r="F31" s="109" t="n"/>
    </row>
    <row r="32" ht="15.75" customHeight="1" s="107">
      <c r="A32" s="109" t="n"/>
      <c r="B32" s="109" t="n"/>
      <c r="C32" s="129" t="inlineStr">
        <is>
          <t>•  الدفع نقد 100% في المحطتين — تفعيل الشبكة والتطبيق يبني قاعدة تعريف من الصفر</t>
        </is>
      </c>
      <c r="D32" s="109" t="n"/>
      <c r="E32" s="109" t="n"/>
      <c r="F32" s="109" t="n"/>
    </row>
    <row r="33" ht="15.75" customHeight="1" s="107">
      <c r="A33" s="109" t="n"/>
      <c r="B33" s="109" t="n"/>
      <c r="C33" s="129" t="inlineStr">
        <is>
          <t>•  بن درويش 4 مضخات لـ807 زيارة — أقل من نصف طاقة عرفات</t>
        </is>
      </c>
      <c r="D33" s="109" t="n"/>
      <c r="E33" s="109" t="n"/>
      <c r="F33" s="109" t="n"/>
    </row>
  </sheetData>
  <mergeCells count="11">
    <mergeCell ref="A2:F2"/>
    <mergeCell ref="C23:F23"/>
    <mergeCell ref="A3:F3"/>
    <mergeCell ref="A1:F1"/>
    <mergeCell ref="A8:F8"/>
    <mergeCell ref="C29:F29"/>
    <mergeCell ref="C33:F33"/>
    <mergeCell ref="C32:F32"/>
    <mergeCell ref="C27:F27"/>
    <mergeCell ref="C24:F24"/>
    <mergeCell ref="C28:F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2" customWidth="1" style="106" min="2" max="2"/>
    <col width="15" customWidth="1" style="106" min="3" max="6"/>
    <col width="40" customWidth="1" style="106" min="7" max="7"/>
  </cols>
  <sheetData>
    <row r="1" ht="25.5" customHeight="1" s="107">
      <c r="A1" s="118" t="inlineStr">
        <is>
          <t>تشخيص فقدان الحركة — مكة</t>
        </is>
      </c>
      <c r="B1" s="109" t="n"/>
      <c r="C1" s="109" t="n"/>
      <c r="D1" s="109" t="n"/>
      <c r="E1" s="109" t="n"/>
      <c r="F1" s="109" t="n"/>
      <c r="G1" s="109" t="n"/>
    </row>
    <row r="2" ht="18" customHeight="1" s="107">
      <c r="A2" s="119" t="inlineStr">
        <is>
          <t>بيانات يناير – 4 أغسطس 2026 · السبب مؤكَّد ميدانياً لكل حالة</t>
        </is>
      </c>
      <c r="B2" s="109" t="n"/>
      <c r="C2" s="109" t="n"/>
      <c r="D2" s="109" t="n"/>
      <c r="E2" s="109" t="n"/>
      <c r="F2" s="109" t="n"/>
      <c r="G2" s="109" t="n"/>
    </row>
    <row r="3" ht="21.75" customHeight="1" s="107">
      <c r="A3" s="142" t="inlineStr">
        <is>
          <t>الاكتشاف: التراجع في عدد الزيارات لا في سلة العميل</t>
        </is>
      </c>
      <c r="B3" s="143" t="n"/>
      <c r="C3" s="143" t="n"/>
      <c r="D3" s="143" t="n"/>
      <c r="E3" s="143" t="n"/>
      <c r="F3" s="143" t="n"/>
      <c r="G3" s="143" t="n"/>
    </row>
    <row r="4" ht="30" customHeight="1" s="107">
      <c r="A4" s="111" t="inlineStr">
        <is>
          <t>#</t>
        </is>
      </c>
      <c r="B4" s="111" t="inlineStr">
        <is>
          <t>المحطة</t>
        </is>
      </c>
      <c r="C4" s="111" t="inlineStr">
        <is>
          <t>زيارات يناير</t>
        </is>
      </c>
      <c r="D4" s="111" t="inlineStr">
        <is>
          <t>زيارات يونيو–يوليو</t>
        </is>
      </c>
      <c r="E4" s="111" t="inlineStr">
        <is>
          <t>التغيّر</t>
        </is>
      </c>
      <c r="F4" s="111" t="inlineStr">
        <is>
          <t>لتر/زيارة</t>
        </is>
      </c>
      <c r="G4" s="111" t="inlineStr">
        <is>
          <t>السبب المؤكَّد</t>
        </is>
      </c>
    </row>
    <row r="5" ht="21.75" customHeight="1" s="107">
      <c r="A5" s="112" t="n">
        <v>1</v>
      </c>
      <c r="B5" s="148" t="inlineStr">
        <is>
          <t>MK002 المعيصم</t>
        </is>
      </c>
      <c r="C5" s="149" t="n">
        <v>2163</v>
      </c>
      <c r="D5" s="149" t="n">
        <v>601</v>
      </c>
      <c r="E5" s="171">
        <f>IFERROR(D5/C5-1,"")</f>
        <v/>
      </c>
      <c r="F5" s="112" t="inlineStr">
        <is>
          <t>20.51 ← 20.90</t>
        </is>
      </c>
      <c r="G5" s="114" t="inlineStr">
        <is>
          <t>تغيّر مسار الطريق</t>
        </is>
      </c>
    </row>
    <row r="6" ht="21.75" customHeight="1" s="107">
      <c r="A6" s="112" t="n">
        <v>2</v>
      </c>
      <c r="B6" s="148" t="inlineStr">
        <is>
          <t>MK019 الشرايع</t>
        </is>
      </c>
      <c r="C6" s="149" t="n">
        <v>830</v>
      </c>
      <c r="D6" s="149" t="n">
        <v>380</v>
      </c>
      <c r="E6" s="171">
        <f>IFERROR(D6/C6-1,"")</f>
        <v/>
      </c>
      <c r="F6" s="112" t="inlineStr">
        <is>
          <t>22.10 ← 23.15</t>
        </is>
      </c>
      <c r="G6" s="114" t="inlineStr">
        <is>
          <t>منافس فتح قبلنا على المسار</t>
        </is>
      </c>
    </row>
    <row r="7" ht="21.75" customHeight="1" s="107">
      <c r="A7" s="112" t="n">
        <v>3</v>
      </c>
      <c r="B7" s="148" t="inlineStr">
        <is>
          <t>MK072 العزيزية</t>
        </is>
      </c>
      <c r="C7" s="149" t="n">
        <v>2778</v>
      </c>
      <c r="D7" s="149" t="n">
        <v>2488</v>
      </c>
      <c r="E7" s="172">
        <f>IFERROR(D7/C7-1,"")</f>
        <v/>
      </c>
      <c r="F7" s="112" t="inlineStr">
        <is>
          <t>— ← 20.29</t>
        </is>
      </c>
      <c r="G7" s="114" t="inlineStr">
        <is>
          <t>تراجع موسمي · تعافت من يونيو</t>
        </is>
      </c>
    </row>
    <row r="8" ht="21.75" customHeight="1" s="107">
      <c r="A8" s="112" t="n">
        <v>4</v>
      </c>
      <c r="B8" s="148" t="inlineStr">
        <is>
          <t>MK007 العمرة الجديدة</t>
        </is>
      </c>
      <c r="C8" s="149" t="n">
        <v>4322</v>
      </c>
      <c r="D8" s="149" t="n">
        <v>4266</v>
      </c>
      <c r="E8" s="173">
        <f>IFERROR(D8/C8-1,"")</f>
        <v/>
      </c>
      <c r="F8" s="112" t="inlineStr">
        <is>
          <t>31.72 ← 28.99</t>
        </is>
      </c>
      <c r="G8" s="114" t="inlineStr">
        <is>
          <t>تراجع موسمي · عادت لمستوى يناير</t>
        </is>
      </c>
    </row>
    <row r="9" ht="21.75" customHeight="1" s="107">
      <c r="A9" s="112" t="n">
        <v>5</v>
      </c>
      <c r="B9" s="148" t="inlineStr">
        <is>
          <t>MK017 عرفات الشوقية</t>
        </is>
      </c>
      <c r="C9" s="149" t="n">
        <v>1210</v>
      </c>
      <c r="D9" s="149" t="n">
        <v>1391</v>
      </c>
      <c r="E9" s="173">
        <f>IFERROR(D9/C9-1,"")</f>
        <v/>
      </c>
      <c r="F9" s="112" t="inlineStr">
        <is>
          <t>20.44 ← 20.84</t>
        </is>
      </c>
      <c r="G9" s="114" t="inlineStr">
        <is>
          <t>نمو — المرجع</t>
        </is>
      </c>
    </row>
    <row r="10">
      <c r="A10" s="109" t="n"/>
      <c r="B10" s="109" t="n"/>
      <c r="C10" s="109" t="n"/>
      <c r="D10" s="109" t="n"/>
      <c r="E10" s="109" t="n"/>
      <c r="F10" s="109" t="n"/>
      <c r="G10" s="109" t="n"/>
    </row>
    <row r="11" ht="21.75" customHeight="1" s="107">
      <c r="A11" s="142" t="inlineStr">
        <is>
          <t>أثر الحدثين</t>
        </is>
      </c>
      <c r="B11" s="143" t="n"/>
      <c r="C11" s="143" t="n"/>
      <c r="D11" s="143" t="n"/>
      <c r="E11" s="143" t="n"/>
      <c r="F11" s="143" t="n"/>
      <c r="G11" s="143" t="n"/>
    </row>
    <row r="12" ht="30" customHeight="1" s="107">
      <c r="A12" s="111" t="inlineStr">
        <is>
          <t>#</t>
        </is>
      </c>
      <c r="B12" s="111" t="inlineStr">
        <is>
          <t>البند</t>
        </is>
      </c>
      <c r="C12" s="111" t="inlineStr">
        <is>
          <t>MK002 المعيصم</t>
        </is>
      </c>
      <c r="D12" s="111" t="inlineStr">
        <is>
          <t>MK019 الشرايع</t>
        </is>
      </c>
      <c r="E12" s="111" t="inlineStr">
        <is>
          <t>المجموع</t>
        </is>
      </c>
      <c r="F12" s="111" t="n"/>
      <c r="G12" s="111" t="inlineStr">
        <is>
          <t>الدلالة</t>
        </is>
      </c>
    </row>
    <row r="13" ht="21.75" customHeight="1" s="107">
      <c r="A13" s="112" t="n">
        <v>1</v>
      </c>
      <c r="B13" s="148" t="inlineStr">
        <is>
          <t>الزيارات المفقودة يومياً</t>
        </is>
      </c>
      <c r="C13" s="149" t="n">
        <v>1562</v>
      </c>
      <c r="D13" s="149" t="n">
        <v>451</v>
      </c>
      <c r="E13" s="149">
        <f>C13+D13</f>
        <v/>
      </c>
      <c r="F13" s="112" t="inlineStr">
        <is>
          <t>زيارة</t>
        </is>
      </c>
      <c r="G13" s="114" t="inlineStr">
        <is>
          <t>العميل لم يعد يمرّ</t>
        </is>
      </c>
    </row>
    <row r="14" ht="21.75" customHeight="1" s="107">
      <c r="A14" s="112" t="n">
        <v>2</v>
      </c>
      <c r="B14" s="148" t="inlineStr">
        <is>
          <t>اللترات المفقودة سنوياً</t>
        </is>
      </c>
      <c r="C14" s="149" t="n">
        <v>11920000</v>
      </c>
      <c r="D14" s="149" t="n">
        <v>3810000</v>
      </c>
      <c r="E14" s="149">
        <f>C14+D14</f>
        <v/>
      </c>
      <c r="F14" s="112" t="inlineStr">
        <is>
          <t>لتر</t>
        </is>
      </c>
      <c r="G14" s="114" t="inlineStr">
        <is>
          <t>بسلة ثابتة لكل زيارة</t>
        </is>
      </c>
    </row>
    <row r="15" ht="21.75" customHeight="1" s="107">
      <c r="A15" s="112" t="n">
        <v>3</v>
      </c>
      <c r="B15" s="148" t="inlineStr">
        <is>
          <t>الهامش المفقود سنوياً</t>
        </is>
      </c>
      <c r="C15" s="157" t="n">
        <v>1590000</v>
      </c>
      <c r="D15" s="157" t="n">
        <v>510000</v>
      </c>
      <c r="E15" s="157">
        <f>C15+D15</f>
        <v/>
      </c>
      <c r="F15" s="112" t="inlineStr">
        <is>
          <t>ريال</t>
        </is>
      </c>
      <c r="G15" s="114" t="inlineStr">
        <is>
          <t>بهامش 13.36 هللة لكل لتر</t>
        </is>
      </c>
    </row>
    <row r="16">
      <c r="A16" s="109" t="n"/>
      <c r="B16" s="109" t="n"/>
      <c r="C16" s="109" t="n"/>
      <c r="D16" s="109" t="n"/>
      <c r="E16" s="109" t="n"/>
      <c r="F16" s="109" t="n"/>
      <c r="G16" s="109" t="n"/>
    </row>
    <row r="17" ht="21.75" customHeight="1" s="107">
      <c r="A17" s="142" t="inlineStr">
        <is>
          <t>الردّ — مختلف لكل حالة</t>
        </is>
      </c>
      <c r="B17" s="143" t="n"/>
      <c r="C17" s="143" t="n"/>
      <c r="D17" s="143" t="n"/>
      <c r="E17" s="143" t="n"/>
      <c r="F17" s="143" t="n"/>
      <c r="G17" s="143" t="n"/>
    </row>
    <row r="18" ht="30" customHeight="1" s="107">
      <c r="A18" s="111" t="inlineStr">
        <is>
          <t>#</t>
        </is>
      </c>
      <c r="B18" s="111" t="inlineStr">
        <is>
          <t>الحالة</t>
        </is>
      </c>
      <c r="C18" s="111" t="inlineStr">
        <is>
          <t>طبيعة الفقد</t>
        </is>
      </c>
      <c r="D18" s="111" t="inlineStr">
        <is>
          <t>هل يُسترد؟</t>
        </is>
      </c>
      <c r="E18" s="111" t="inlineStr">
        <is>
          <t>الردّ</t>
        </is>
      </c>
      <c r="F18" s="111" t="n"/>
      <c r="G18" s="111" t="inlineStr">
        <is>
          <t>المؤشر</t>
        </is>
      </c>
    </row>
    <row r="19" ht="51.75" customHeight="1" s="107">
      <c r="A19" s="112" t="n">
        <v>1</v>
      </c>
      <c r="B19" s="148" t="inlineStr">
        <is>
          <t>MK002 — تغيّر المسار</t>
        </is>
      </c>
      <c r="C19" s="151" t="inlineStr">
        <is>
          <t>دائم</t>
        </is>
      </c>
      <c r="D19" s="114" t="inlineStr">
        <is>
          <t>لا يُسترد بالسعر ولا بالخدمة</t>
        </is>
      </c>
      <c r="E19" s="114" t="inlineStr">
        <is>
          <t>تحويل المحطة من ممرّ إلى وجهة: مغسلة وسوبرماركت ومطعم · وإعادة تحجيم العمالة والمصاريف على الحركة الجديدة</t>
        </is>
      </c>
      <c r="F19" s="112" t="n"/>
      <c r="G19" s="114" t="inlineStr">
        <is>
          <t>إيراد غير وقودي لكل زيارة</t>
        </is>
      </c>
    </row>
    <row r="20" ht="51.75" customHeight="1" s="107">
      <c r="A20" s="112" t="n">
        <v>2</v>
      </c>
      <c r="B20" s="148" t="inlineStr">
        <is>
          <t>MK019 — منافس قبلنا</t>
        </is>
      </c>
      <c r="C20" s="174" t="inlineStr">
        <is>
          <t>قابل للاسترداد</t>
        </is>
      </c>
      <c r="D20" s="114" t="inlineStr">
        <is>
          <t>المنافس يعترض العميل قبل وصوله</t>
        </is>
      </c>
      <c r="E20" s="114" t="inlineStr">
        <is>
          <t>سبب للتجاوز: عرض سعري أو خدمة لا توجد عنده · ولافتات مبكرة قبل نقطة اعتراضه · وتعاقد مع الأساطيل المارّة</t>
        </is>
      </c>
      <c r="F20" s="112" t="n"/>
      <c r="G20" s="114" t="inlineStr">
        <is>
          <t>الزيارات اليومية مقابل خط الأساس</t>
        </is>
      </c>
    </row>
    <row r="21" ht="51.75" customHeight="1" s="107">
      <c r="A21" s="112" t="n">
        <v>3</v>
      </c>
      <c r="B21" s="148" t="inlineStr">
        <is>
          <t>عام — كل الشبكة</t>
        </is>
      </c>
      <c r="C21" s="175" t="inlineStr">
        <is>
          <t>مخاطرة قائمة</t>
        </is>
      </c>
      <c r="D21" s="114" t="inlineStr">
        <is>
          <t>اكتُشف بعد شهور من وقوعه</t>
        </is>
      </c>
      <c r="E21" s="114" t="inlineStr">
        <is>
          <t>إنذار مبكر: تنبيه آلي عند انخفاض الزيارات أسبوعياً بأكثر من 15% مقابل المتوسط · ومسح ربعي للمنافسين وأعمال الطرق</t>
        </is>
      </c>
      <c r="F21" s="112" t="n"/>
      <c r="G21" s="114" t="inlineStr">
        <is>
          <t>زمن اكتشاف الحدث</t>
        </is>
      </c>
    </row>
    <row r="22">
      <c r="A22" s="109" t="n"/>
      <c r="B22" s="109" t="n"/>
      <c r="C22" s="109" t="n"/>
      <c r="D22" s="109" t="n"/>
      <c r="E22" s="109" t="n"/>
      <c r="F22" s="109" t="n"/>
      <c r="G22" s="109" t="n"/>
    </row>
    <row r="23" ht="15" customHeight="1" s="107">
      <c r="A23" s="109" t="n"/>
      <c r="B23" s="128" t="inlineStr">
        <is>
          <t>ما تثبته البيانات</t>
        </is>
      </c>
      <c r="C23" s="109" t="n"/>
      <c r="D23" s="109" t="n"/>
      <c r="E23" s="109" t="n"/>
      <c r="F23" s="109" t="n"/>
      <c r="G23" s="109" t="n"/>
    </row>
    <row r="24" ht="15.75" customHeight="1" s="107">
      <c r="A24" s="109" t="n"/>
      <c r="B24" s="109" t="n"/>
      <c r="C24" s="129" t="inlineStr">
        <is>
          <t>•  سلة العميل ثابتة في كل المحطات — فالفقد في عدد العملاء لا في سلوكهم</t>
        </is>
      </c>
      <c r="D24" s="109" t="n"/>
      <c r="E24" s="109" t="n"/>
      <c r="F24" s="109" t="n"/>
      <c r="G24" s="109" t="n"/>
    </row>
    <row r="25" ht="15.75" customHeight="1" s="107">
      <c r="A25" s="109" t="n"/>
      <c r="B25" s="109" t="n"/>
      <c r="C25" s="129" t="inlineStr">
        <is>
          <t>•  المعيصم والشرايع سقطتا في فبراير بنسبة 60% و53% في شهر واحد</t>
        </is>
      </c>
      <c r="D25" s="109" t="n"/>
      <c r="E25" s="109" t="n"/>
      <c r="F25" s="109" t="n"/>
      <c r="G25" s="109" t="n"/>
    </row>
    <row r="26" ht="15.75" customHeight="1" s="107">
      <c r="A26" s="109" t="n"/>
      <c r="B26" s="109" t="n"/>
      <c r="C26" s="129" t="inlineStr">
        <is>
          <t>•  العمرة والعزيزية تراجعتا موسمياً في أبريل–مايو ثم تعافتا في يونيو–يوليو</t>
        </is>
      </c>
      <c r="D26" s="109" t="n"/>
      <c r="E26" s="109" t="n"/>
      <c r="F26" s="109" t="n"/>
      <c r="G26" s="109" t="n"/>
    </row>
    <row r="27">
      <c r="A27" s="109" t="n"/>
      <c r="B27" s="109" t="n"/>
      <c r="C27" s="109" t="n"/>
      <c r="D27" s="109" t="n"/>
      <c r="E27" s="109" t="n"/>
      <c r="F27" s="109" t="n"/>
      <c r="G27" s="109" t="n"/>
    </row>
    <row r="28" ht="15" customHeight="1" s="107">
      <c r="A28" s="109" t="n"/>
      <c r="B28" s="117" t="inlineStr">
        <is>
          <t>ما ينفيه</t>
        </is>
      </c>
      <c r="C28" s="109" t="n"/>
      <c r="D28" s="109" t="n"/>
      <c r="E28" s="109" t="n"/>
      <c r="F28" s="109" t="n"/>
      <c r="G28" s="109" t="n"/>
    </row>
    <row r="29" ht="15.75" customHeight="1" s="107">
      <c r="A29" s="109" t="n"/>
      <c r="B29" s="109" t="n"/>
      <c r="C29" s="129" t="inlineStr">
        <is>
          <t>•  الخدمة ليست السبب — لو كانت لانخفضت السلة أو لتدرّج الأثر</t>
        </is>
      </c>
      <c r="D29" s="109" t="n"/>
      <c r="E29" s="109" t="n"/>
      <c r="F29" s="109" t="n"/>
      <c r="G29" s="109" t="n"/>
    </row>
    <row r="30" ht="15.75" customHeight="1" s="107">
      <c r="A30" s="109" t="n"/>
      <c r="B30" s="109" t="n"/>
      <c r="C30" s="129" t="inlineStr">
        <is>
          <t>•  المضخات ليست السبب — الطاقة لم تتغيّر والزيارات هي التي اختفت</t>
        </is>
      </c>
      <c r="D30" s="109" t="n"/>
      <c r="E30" s="109" t="n"/>
      <c r="F30" s="109" t="n"/>
      <c r="G30" s="109" t="n"/>
    </row>
    <row r="31" ht="15.75" customHeight="1" s="107">
      <c r="A31" s="109" t="n"/>
      <c r="B31" s="109" t="n"/>
      <c r="C31" s="129" t="inlineStr">
        <is>
          <t>•  التسعير ليس السبب — السعر مقنَّن وموحّد</t>
        </is>
      </c>
      <c r="D31" s="109" t="n"/>
      <c r="E31" s="109" t="n"/>
      <c r="F31" s="109" t="n"/>
      <c r="G31" s="109" t="n"/>
    </row>
    <row r="32">
      <c r="A32" s="109" t="n"/>
      <c r="B32" s="109" t="n"/>
      <c r="C32" s="109" t="n"/>
      <c r="D32" s="109" t="n"/>
      <c r="E32" s="109" t="n"/>
      <c r="F32" s="109" t="n"/>
      <c r="G32" s="109" t="n"/>
    </row>
    <row r="33" ht="15" customHeight="1" s="107">
      <c r="A33" s="109" t="n"/>
      <c r="B33" s="117" t="inlineStr">
        <is>
          <t>الدرس الأهم</t>
        </is>
      </c>
      <c r="C33" s="109" t="n"/>
      <c r="D33" s="109" t="n"/>
      <c r="E33" s="109" t="n"/>
      <c r="F33" s="109" t="n"/>
      <c r="G33" s="109" t="n"/>
    </row>
    <row r="34" ht="15.75" customHeight="1" s="107">
      <c r="A34" s="109" t="n"/>
      <c r="B34" s="109" t="n"/>
      <c r="C34" s="129" t="inlineStr">
        <is>
          <t>•  حدثان خارجيان كلّفانا 2.1 مليون ريال هامش سنوياً</t>
        </is>
      </c>
      <c r="D34" s="109" t="n"/>
      <c r="E34" s="109" t="n"/>
      <c r="F34" s="109" t="n"/>
      <c r="G34" s="109" t="n"/>
    </row>
    <row r="35" ht="15.75" customHeight="1" s="107">
      <c r="A35" s="109" t="n"/>
      <c r="B35" s="109" t="n"/>
      <c r="C35" s="129" t="inlineStr">
        <is>
          <t>•  واكتُشفا بعد شهور — لا بنظام إنذار بل بتحليل لاحق</t>
        </is>
      </c>
      <c r="D35" s="109" t="n"/>
      <c r="E35" s="109" t="n"/>
      <c r="F35" s="109" t="n"/>
      <c r="G35" s="109" t="n"/>
    </row>
    <row r="36" ht="15.75" customHeight="1" s="107">
      <c r="A36" s="109" t="n"/>
      <c r="B36" s="109" t="n"/>
      <c r="C36" s="129" t="inlineStr">
        <is>
          <t>•  الأولوية: نظام تنبيه أسبوعي على مستوى المحطة قبل أي مبادرة أخرى</t>
        </is>
      </c>
      <c r="D36" s="109" t="n"/>
      <c r="E36" s="109" t="n"/>
      <c r="F36" s="109" t="n"/>
      <c r="G36" s="109" t="n"/>
    </row>
  </sheetData>
  <mergeCells count="14">
    <mergeCell ref="C29:G29"/>
    <mergeCell ref="C30:G30"/>
    <mergeCell ref="C35:G35"/>
    <mergeCell ref="A1:G1"/>
    <mergeCell ref="A17:G17"/>
    <mergeCell ref="C34:G34"/>
    <mergeCell ref="A3:G3"/>
    <mergeCell ref="C24:G24"/>
    <mergeCell ref="C25:G25"/>
    <mergeCell ref="A2:G2"/>
    <mergeCell ref="C36:G36"/>
    <mergeCell ref="C31:G31"/>
    <mergeCell ref="A11:G11"/>
    <mergeCell ref="C26:G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88"/>
  <sheetViews>
    <sheetView showGridLines="0" rightToLeft="1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107" min="1" max="1"/>
    <col width="17" customWidth="1" style="107" min="2" max="2"/>
    <col width="11" customWidth="1" style="107" min="3" max="3"/>
    <col width="14" customWidth="1" style="107" min="4" max="4"/>
    <col width="11" customWidth="1" style="107" min="5" max="5"/>
    <col width="12" customWidth="1" style="107" min="6" max="6"/>
    <col width="11" customWidth="1" style="107" min="7" max="7"/>
    <col width="10" customWidth="1" style="107" min="8" max="8"/>
    <col width="11" customWidth="1" style="107" min="9" max="9"/>
    <col width="13" customWidth="1" style="107" min="10" max="10"/>
    <col width="11" customWidth="1" style="107" min="11" max="11"/>
    <col width="32" customWidth="1" style="107" min="12" max="12"/>
  </cols>
  <sheetData>
    <row r="1" ht="26" customHeight="1" s="107">
      <c r="A1" s="118" t="inlineStr">
        <is>
          <t>نموذج مبيعات العامل — مستهدف وحافز</t>
        </is>
      </c>
    </row>
    <row r="2" ht="16" customHeight="1" s="107">
      <c r="A2" s="119" t="inlineStr">
        <is>
          <t>خط الأساس يُشتق من حصة الوردية الفعلية من الزيارات ÷ عدد عمالها — لا يُقدَّر يدوياً</t>
        </is>
      </c>
    </row>
    <row r="3" ht="22" customHeight="1" s="107">
      <c r="A3" s="131" t="inlineStr">
        <is>
          <t>① مُدخلات المحطة — اختر المحطة والباقي يُعبَّأ من بيانات التشغيل</t>
        </is>
      </c>
    </row>
    <row r="4">
      <c r="B4" s="176" t="inlineStr">
        <is>
          <t>المحطة</t>
        </is>
      </c>
      <c r="C4" s="177" t="n"/>
      <c r="D4" s="178">
        <f>IFERROR("ذروة "&amp;INDEX('بيانات الورديات'!$I$4:$I$8,MATCH($C$4,'بيانات الورديات'!$B$4:$B$8,0)),"")</f>
        <v/>
      </c>
      <c r="E4" s="137" t="inlineStr">
        <is>
          <t>اختر من القائمة ▼</t>
        </is>
      </c>
    </row>
    <row r="5">
      <c r="B5" s="176" t="inlineStr">
        <is>
          <t>الشهر</t>
        </is>
      </c>
      <c r="C5" s="177" t="n"/>
      <c r="E5" s="137" t="inlineStr">
        <is>
          <t>مثال: أغسطس ٢٠٢٦</t>
        </is>
      </c>
    </row>
    <row r="6">
      <c r="B6" s="176" t="inlineStr">
        <is>
          <t>لتر لكل زيارة</t>
        </is>
      </c>
      <c r="C6" s="179">
        <f>IFERROR(INDEX('بيانات الورديات'!$C$4:$C$8,MATCH($C$4,'بيانات الورديات'!$B$4:$B$8,0)),0)</f>
        <v/>
      </c>
      <c r="E6" s="137" t="inlineStr">
        <is>
          <t>من بيانات المحطة</t>
        </is>
      </c>
    </row>
    <row r="7">
      <c r="B7" s="176" t="inlineStr">
        <is>
          <t>زيارات المحطة (زيارة/يوم)</t>
        </is>
      </c>
      <c r="C7" s="180">
        <f>IFERROR(INDEX('بيانات الورديات'!$D$4:$D$8,MATCH($C$4,'بيانات الورديات'!$B$4:$B$8,0)),0)</f>
        <v/>
      </c>
      <c r="E7" s="137" t="inlineStr">
        <is>
          <t>متوسط ٢١٢ يوماً</t>
        </is>
      </c>
    </row>
    <row r="8">
      <c r="B8" s="176" t="inlineStr">
        <is>
          <t>عمال المضخات — صباحية</t>
        </is>
      </c>
      <c r="C8" s="181">
        <f>IFERROR(INDEX('بيانات الورديات'!$E$4:$E$8,MATCH($C$4,'بيانات الورديات'!$B$4:$B$8,0)),0)</f>
        <v/>
      </c>
      <c r="E8" s="137" t="inlineStr">
        <is>
          <t>٦ ص – ٦ م</t>
        </is>
      </c>
    </row>
    <row r="9">
      <c r="B9" s="176" t="inlineStr">
        <is>
          <t>عمال المضخات — مسائية</t>
        </is>
      </c>
      <c r="C9" s="181">
        <f>IFERROR(INDEX('بيانات الورديات'!$F$4:$F$8,MATCH($C$4,'بيانات الورديات'!$B$4:$B$8,0)),0)</f>
        <v/>
      </c>
      <c r="E9" s="137" t="inlineStr">
        <is>
          <t>٦ م – ٦ ص</t>
        </is>
      </c>
    </row>
    <row r="10">
      <c r="B10" s="176" t="inlineStr">
        <is>
          <t>حصة الصباح من الزيارات</t>
        </is>
      </c>
      <c r="C10" s="182">
        <f>IFERROR(INDEX('بيانات الورديات'!$G$4:$G$8,MATCH($C$4,'بيانات الورديات'!$B$4:$B$8,0)),0)</f>
        <v/>
      </c>
      <c r="E10" s="137" t="inlineStr">
        <is>
          <t>من الحركة الفعلية</t>
        </is>
      </c>
    </row>
    <row r="11">
      <c r="B11" s="176" t="inlineStr">
        <is>
          <t>حصة المساء من الزيارات</t>
        </is>
      </c>
      <c r="C11" s="182">
        <f>IFERROR(INDEX('بيانات الورديات'!$H$4:$H$8,MATCH($C$4,'بيانات الورديات'!$B$4:$B$8,0)),0)</f>
        <v/>
      </c>
      <c r="E11" s="137" t="inlineStr">
        <is>
          <t>من الحركة الفعلية</t>
        </is>
      </c>
    </row>
    <row r="12">
      <c r="B12" s="176" t="inlineStr">
        <is>
          <t>هامش المساهمة (هللة/لتر)</t>
        </is>
      </c>
      <c r="C12" s="234">
        <f>IFERROR(INDEX('بيانات الورديات'!$P$4:$P$8,MATCH($C$4,'بيانات الورديات'!$B$4:$B$8,0)),0)</f>
        <v/>
      </c>
      <c r="E12" s="137" t="inlineStr">
        <is>
          <t>من تقرير يوليو ٢٠٢٦</t>
        </is>
      </c>
    </row>
    <row r="13">
      <c r="B13" s="176" t="inlineStr">
        <is>
          <t>نسبة الحافز من الهامش</t>
        </is>
      </c>
      <c r="C13" s="184" t="n">
        <v>0.15</v>
      </c>
      <c r="E13" s="137" t="inlineStr">
        <is>
          <t>قرار الإدارة</t>
        </is>
      </c>
    </row>
    <row r="14">
      <c r="B14" s="176" t="inlineStr">
        <is>
          <t>سقف الحافز الشهري للعامل</t>
        </is>
      </c>
      <c r="C14" s="185" t="n">
        <v>100</v>
      </c>
      <c r="E14" s="137" t="inlineStr">
        <is>
          <t>معتمد: ١٠٠ ريال</t>
        </is>
      </c>
    </row>
    <row r="15">
      <c r="B15" s="176" t="inlineStr">
        <is>
          <t>أيام الشهر</t>
        </is>
      </c>
      <c r="C15" s="186" t="n">
        <v>30</v>
      </c>
      <c r="E15" s="137" t="inlineStr"/>
    </row>
    <row r="16">
      <c r="B16" s="176" t="inlineStr">
        <is>
          <t>نسبة النمو المستهدف</t>
        </is>
      </c>
      <c r="C16" s="184" t="n">
        <v>0.05</v>
      </c>
      <c r="E16" s="137" t="inlineStr">
        <is>
          <t>حرّكها ← تتحرك كل المستهدفات</t>
        </is>
      </c>
    </row>
    <row r="17">
      <c r="B17" s="176" t="inlineStr">
        <is>
          <t>يُشترط صافي محطة موجب</t>
        </is>
      </c>
      <c r="C17" s="177" t="inlineStr">
        <is>
          <t>نعم</t>
        </is>
      </c>
      <c r="E17" s="137" t="inlineStr">
        <is>
          <t>يحمي نسبة الـ١٥٪</t>
        </is>
      </c>
    </row>
    <row r="19" ht="22" customHeight="1" s="107">
      <c r="A19" s="131" t="inlineStr">
        <is>
          <t>② بطاقة العامل — اختر الوردية فيُشتق خط الأساس · عبّئ الفعلي وبوابة الجودة</t>
        </is>
      </c>
    </row>
    <row r="20" ht="30" customHeight="1" s="107">
      <c r="A20" s="120" t="inlineStr">
        <is>
          <t>#</t>
        </is>
      </c>
      <c r="B20" s="120" t="inlineStr">
        <is>
          <t>اسم العامل</t>
        </is>
      </c>
      <c r="C20" s="120" t="inlineStr">
        <is>
          <t>الوردية</t>
        </is>
      </c>
      <c r="D20" s="120" t="inlineStr">
        <is>
          <t>خط الأساس المشتق</t>
        </is>
      </c>
      <c r="E20" s="120" t="inlineStr">
        <is>
          <t>تعديل معتمد</t>
        </is>
      </c>
      <c r="F20" s="120" t="inlineStr">
        <is>
          <t>المستهدف</t>
        </is>
      </c>
      <c r="G20" s="120" t="inlineStr">
        <is>
          <t>الفعلي</t>
        </is>
      </c>
      <c r="H20" s="120" t="inlineStr">
        <is>
          <t>الفارق</t>
        </is>
      </c>
      <c r="I20" s="120" t="inlineStr">
        <is>
          <t>نسبة الإنجاز</t>
        </is>
      </c>
      <c r="J20" s="120" t="inlineStr">
        <is>
          <t>بوابة الجودة</t>
        </is>
      </c>
      <c r="K20" s="120" t="inlineStr">
        <is>
          <t>الحافز (ريال)</t>
        </is>
      </c>
      <c r="L20" s="120" t="inlineStr">
        <is>
          <t>ملاحظة</t>
        </is>
      </c>
    </row>
    <row r="21" ht="19" customHeight="1" s="107">
      <c r="A21" s="187" t="n">
        <v>1</v>
      </c>
      <c r="B21" s="177" t="n"/>
      <c r="C21" s="177" t="n"/>
      <c r="D21" s="188">
        <f>IF(OR($C21="",$C$7=0),"",ROUND(IF($C21="صباحية",$C$7*$C$10/MAX($C$8,1),$C$7*$C$11/MAX($C$9,1)),0))</f>
        <v/>
      </c>
      <c r="E21" s="189" t="n"/>
      <c r="F21" s="190">
        <f>IF($D21="","",ROUND(IF($E21="",$D21,$E21)*(1+$C$16),0))</f>
        <v/>
      </c>
      <c r="G21" s="185" t="n"/>
      <c r="H21" s="191">
        <f>IF(OR($G21="",$F21=""),"",$G21-$F21)</f>
        <v/>
      </c>
      <c r="I21" s="192">
        <f>IFERROR(IF($F21="","",$G21/$F21),"")</f>
        <v/>
      </c>
      <c r="J21" s="177" t="n"/>
      <c r="K21" s="193">
        <f>IF(OR($H21="",$J21&lt;&gt;"مستوفاة"),0,IF(AND($C$17="نعم",$H$41&lt;=0),0,MIN(MAX($H21,0)*$C$6*$C$12/100*$C$13*$C$15,$C$14)))</f>
        <v/>
      </c>
      <c r="L21" s="177" t="n"/>
    </row>
    <row r="22" ht="19" customHeight="1" s="107">
      <c r="A22" s="187" t="n">
        <v>2</v>
      </c>
      <c r="B22" s="177" t="n"/>
      <c r="C22" s="177" t="n"/>
      <c r="D22" s="188">
        <f>IF(OR($C22="",$C$7=0),"",ROUND(IF($C22="صباحية",$C$7*$C$10/MAX($C$8,1),$C$7*$C$11/MAX($C$9,1)),0))</f>
        <v/>
      </c>
      <c r="E22" s="189" t="n"/>
      <c r="F22" s="190">
        <f>IF($D22="","",ROUND(IF($E22="",$D22,$E22)*(1+$C$16),0))</f>
        <v/>
      </c>
      <c r="G22" s="185" t="n"/>
      <c r="H22" s="191">
        <f>IF(OR($G22="",$F22=""),"",$G22-$F22)</f>
        <v/>
      </c>
      <c r="I22" s="192">
        <f>IFERROR(IF($F22="","",$G22/$F22),"")</f>
        <v/>
      </c>
      <c r="J22" s="177" t="n"/>
      <c r="K22" s="193">
        <f>IF(OR($H22="",$J22&lt;&gt;"مستوفاة"),0,IF(AND($C$17="نعم",$H$41&lt;=0),0,MIN(MAX($H22,0)*$C$6*$C$12/100*$C$13*$C$15,$C$14)))</f>
        <v/>
      </c>
      <c r="L22" s="177" t="n"/>
    </row>
    <row r="23" ht="19" customHeight="1" s="107">
      <c r="A23" s="187" t="n">
        <v>3</v>
      </c>
      <c r="B23" s="177" t="n"/>
      <c r="C23" s="177" t="n"/>
      <c r="D23" s="188">
        <f>IF(OR($C23="",$C$7=0),"",ROUND(IF($C23="صباحية",$C$7*$C$10/MAX($C$8,1),$C$7*$C$11/MAX($C$9,1)),0))</f>
        <v/>
      </c>
      <c r="E23" s="189" t="n"/>
      <c r="F23" s="190">
        <f>IF($D23="","",ROUND(IF($E23="",$D23,$E23)*(1+$C$16),0))</f>
        <v/>
      </c>
      <c r="G23" s="185" t="n"/>
      <c r="H23" s="191">
        <f>IF(OR($G23="",$F23=""),"",$G23-$F23)</f>
        <v/>
      </c>
      <c r="I23" s="192">
        <f>IFERROR(IF($F23="","",$G23/$F23),"")</f>
        <v/>
      </c>
      <c r="J23" s="177" t="n"/>
      <c r="K23" s="193">
        <f>IF(OR($H23="",$J23&lt;&gt;"مستوفاة"),0,IF(AND($C$17="نعم",$H$41&lt;=0),0,MIN(MAX($H23,0)*$C$6*$C$12/100*$C$13*$C$15,$C$14)))</f>
        <v/>
      </c>
      <c r="L23" s="177" t="n"/>
    </row>
    <row r="24" ht="19" customHeight="1" s="107">
      <c r="A24" s="187" t="n">
        <v>4</v>
      </c>
      <c r="B24" s="177" t="n"/>
      <c r="C24" s="177" t="n"/>
      <c r="D24" s="188">
        <f>IF(OR($C24="",$C$7=0),"",ROUND(IF($C24="صباحية",$C$7*$C$10/MAX($C$8,1),$C$7*$C$11/MAX($C$9,1)),0))</f>
        <v/>
      </c>
      <c r="E24" s="189" t="n"/>
      <c r="F24" s="190">
        <f>IF($D24="","",ROUND(IF($E24="",$D24,$E24)*(1+$C$16),0))</f>
        <v/>
      </c>
      <c r="G24" s="185" t="n"/>
      <c r="H24" s="191">
        <f>IF(OR($G24="",$F24=""),"",$G24-$F24)</f>
        <v/>
      </c>
      <c r="I24" s="192">
        <f>IFERROR(IF($F24="","",$G24/$F24),"")</f>
        <v/>
      </c>
      <c r="J24" s="177" t="n"/>
      <c r="K24" s="193">
        <f>IF(OR($H24="",$J24&lt;&gt;"مستوفاة"),0,IF(AND($C$17="نعم",$H$41&lt;=0),0,MIN(MAX($H24,0)*$C$6*$C$12/100*$C$13*$C$15,$C$14)))</f>
        <v/>
      </c>
      <c r="L24" s="177" t="n"/>
    </row>
    <row r="25" ht="19" customHeight="1" s="107">
      <c r="A25" s="187" t="n">
        <v>5</v>
      </c>
      <c r="B25" s="177" t="n"/>
      <c r="C25" s="177" t="n"/>
      <c r="D25" s="188">
        <f>IF(OR($C25="",$C$7=0),"",ROUND(IF($C25="صباحية",$C$7*$C$10/MAX($C$8,1),$C$7*$C$11/MAX($C$9,1)),0))</f>
        <v/>
      </c>
      <c r="E25" s="189" t="n"/>
      <c r="F25" s="190">
        <f>IF($D25="","",ROUND(IF($E25="",$D25,$E25)*(1+$C$16),0))</f>
        <v/>
      </c>
      <c r="G25" s="185" t="n"/>
      <c r="H25" s="191">
        <f>IF(OR($G25="",$F25=""),"",$G25-$F25)</f>
        <v/>
      </c>
      <c r="I25" s="192">
        <f>IFERROR(IF($F25="","",$G25/$F25),"")</f>
        <v/>
      </c>
      <c r="J25" s="177" t="n"/>
      <c r="K25" s="193">
        <f>IF(OR($H25="",$J25&lt;&gt;"مستوفاة"),0,IF(AND($C$17="نعم",$H$41&lt;=0),0,MIN(MAX($H25,0)*$C$6*$C$12/100*$C$13*$C$15,$C$14)))</f>
        <v/>
      </c>
      <c r="L25" s="177" t="n"/>
    </row>
    <row r="26" ht="19" customHeight="1" s="107">
      <c r="A26" s="187" t="n">
        <v>6</v>
      </c>
      <c r="B26" s="177" t="n"/>
      <c r="C26" s="177" t="n"/>
      <c r="D26" s="188">
        <f>IF(OR($C26="",$C$7=0),"",ROUND(IF($C26="صباحية",$C$7*$C$10/MAX($C$8,1),$C$7*$C$11/MAX($C$9,1)),0))</f>
        <v/>
      </c>
      <c r="E26" s="189" t="n"/>
      <c r="F26" s="190">
        <f>IF($D26="","",ROUND(IF($E26="",$D26,$E26)*(1+$C$16),0))</f>
        <v/>
      </c>
      <c r="G26" s="185" t="n"/>
      <c r="H26" s="191">
        <f>IF(OR($G26="",$F26=""),"",$G26-$F26)</f>
        <v/>
      </c>
      <c r="I26" s="192">
        <f>IFERROR(IF($F26="","",$G26/$F26),"")</f>
        <v/>
      </c>
      <c r="J26" s="177" t="n"/>
      <c r="K26" s="193">
        <f>IF(OR($H26="",$J26&lt;&gt;"مستوفاة"),0,IF(AND($C$17="نعم",$H$41&lt;=0),0,MIN(MAX($H26,0)*$C$6*$C$12/100*$C$13*$C$15,$C$14)))</f>
        <v/>
      </c>
      <c r="L26" s="177" t="n"/>
    </row>
    <row r="27" ht="19" customHeight="1" s="107">
      <c r="A27" s="187" t="n">
        <v>7</v>
      </c>
      <c r="B27" s="177" t="n"/>
      <c r="C27" s="177" t="n"/>
      <c r="D27" s="188">
        <f>IF(OR($C27="",$C$7=0),"",ROUND(IF($C27="صباحية",$C$7*$C$10/MAX($C$8,1),$C$7*$C$11/MAX($C$9,1)),0))</f>
        <v/>
      </c>
      <c r="E27" s="189" t="n"/>
      <c r="F27" s="190">
        <f>IF($D27="","",ROUND(IF($E27="",$D27,$E27)*(1+$C$16),0))</f>
        <v/>
      </c>
      <c r="G27" s="185" t="n"/>
      <c r="H27" s="191">
        <f>IF(OR($G27="",$F27=""),"",$G27-$F27)</f>
        <v/>
      </c>
      <c r="I27" s="192">
        <f>IFERROR(IF($F27="","",$G27/$F27),"")</f>
        <v/>
      </c>
      <c r="J27" s="177" t="n"/>
      <c r="K27" s="193">
        <f>IF(OR($H27="",$J27&lt;&gt;"مستوفاة"),0,IF(AND($C$17="نعم",$H$41&lt;=0),0,MIN(MAX($H27,0)*$C$6*$C$12/100*$C$13*$C$15,$C$14)))</f>
        <v/>
      </c>
      <c r="L27" s="177" t="n"/>
    </row>
    <row r="28" ht="19" customHeight="1" s="107">
      <c r="A28" s="187" t="n">
        <v>8</v>
      </c>
      <c r="B28" s="177" t="n"/>
      <c r="C28" s="177" t="n"/>
      <c r="D28" s="188">
        <f>IF(OR($C28="",$C$7=0),"",ROUND(IF($C28="صباحية",$C$7*$C$10/MAX($C$8,1),$C$7*$C$11/MAX($C$9,1)),0))</f>
        <v/>
      </c>
      <c r="E28" s="189" t="n"/>
      <c r="F28" s="190">
        <f>IF($D28="","",ROUND(IF($E28="",$D28,$E28)*(1+$C$16),0))</f>
        <v/>
      </c>
      <c r="G28" s="185" t="n"/>
      <c r="H28" s="191">
        <f>IF(OR($G28="",$F28=""),"",$G28-$F28)</f>
        <v/>
      </c>
      <c r="I28" s="192">
        <f>IFERROR(IF($F28="","",$G28/$F28),"")</f>
        <v/>
      </c>
      <c r="J28" s="177" t="n"/>
      <c r="K28" s="193">
        <f>IF(OR($H28="",$J28&lt;&gt;"مستوفاة"),0,IF(AND($C$17="نعم",$H$41&lt;=0),0,MIN(MAX($H28,0)*$C$6*$C$12/100*$C$13*$C$15,$C$14)))</f>
        <v/>
      </c>
      <c r="L28" s="177" t="n"/>
    </row>
    <row r="29" ht="19" customHeight="1" s="107">
      <c r="A29" s="187" t="n">
        <v>9</v>
      </c>
      <c r="B29" s="177" t="n"/>
      <c r="C29" s="177" t="n"/>
      <c r="D29" s="188">
        <f>IF(OR($C29="",$C$7=0),"",ROUND(IF($C29="صباحية",$C$7*$C$10/MAX($C$8,1),$C$7*$C$11/MAX($C$9,1)),0))</f>
        <v/>
      </c>
      <c r="E29" s="189" t="n"/>
      <c r="F29" s="190">
        <f>IF($D29="","",ROUND(IF($E29="",$D29,$E29)*(1+$C$16),0))</f>
        <v/>
      </c>
      <c r="G29" s="185" t="n"/>
      <c r="H29" s="191">
        <f>IF(OR($G29="",$F29=""),"",$G29-$F29)</f>
        <v/>
      </c>
      <c r="I29" s="192">
        <f>IFERROR(IF($F29="","",$G29/$F29),"")</f>
        <v/>
      </c>
      <c r="J29" s="177" t="n"/>
      <c r="K29" s="193">
        <f>IF(OR($H29="",$J29&lt;&gt;"مستوفاة"),0,IF(AND($C$17="نعم",$H$41&lt;=0),0,MIN(MAX($H29,0)*$C$6*$C$12/100*$C$13*$C$15,$C$14)))</f>
        <v/>
      </c>
      <c r="L29" s="177" t="n"/>
    </row>
    <row r="30" ht="19" customHeight="1" s="107">
      <c r="A30" s="187" t="n">
        <v>10</v>
      </c>
      <c r="B30" s="177" t="n"/>
      <c r="C30" s="177" t="n"/>
      <c r="D30" s="188">
        <f>IF(OR($C30="",$C$7=0),"",ROUND(IF($C30="صباحية",$C$7*$C$10/MAX($C$8,1),$C$7*$C$11/MAX($C$9,1)),0))</f>
        <v/>
      </c>
      <c r="E30" s="189" t="n"/>
      <c r="F30" s="190">
        <f>IF($D30="","",ROUND(IF($E30="",$D30,$E30)*(1+$C$16),0))</f>
        <v/>
      </c>
      <c r="G30" s="185" t="n"/>
      <c r="H30" s="191">
        <f>IF(OR($G30="",$F30=""),"",$G30-$F30)</f>
        <v/>
      </c>
      <c r="I30" s="192">
        <f>IFERROR(IF($F30="","",$G30/$F30),"")</f>
        <v/>
      </c>
      <c r="J30" s="177" t="n"/>
      <c r="K30" s="193">
        <f>IF(OR($H30="",$J30&lt;&gt;"مستوفاة"),0,IF(AND($C$17="نعم",$H$41&lt;=0),0,MIN(MAX($H30,0)*$C$6*$C$12/100*$C$13*$C$15,$C$14)))</f>
        <v/>
      </c>
      <c r="L30" s="177" t="n"/>
    </row>
    <row r="31" ht="19" customHeight="1" s="107">
      <c r="A31" s="187" t="n">
        <v>11</v>
      </c>
      <c r="B31" s="177" t="n"/>
      <c r="C31" s="177" t="n"/>
      <c r="D31" s="188">
        <f>IF(OR($C31="",$C$7=0),"",ROUND(IF($C31="صباحية",$C$7*$C$10/MAX($C$8,1),$C$7*$C$11/MAX($C$9,1)),0))</f>
        <v/>
      </c>
      <c r="E31" s="189" t="n"/>
      <c r="F31" s="190">
        <f>IF($D31="","",ROUND(IF($E31="",$D31,$E31)*(1+$C$16),0))</f>
        <v/>
      </c>
      <c r="G31" s="185" t="n"/>
      <c r="H31" s="191">
        <f>IF(OR($G31="",$F31=""),"",$G31-$F31)</f>
        <v/>
      </c>
      <c r="I31" s="192">
        <f>IFERROR(IF($F31="","",$G31/$F31),"")</f>
        <v/>
      </c>
      <c r="J31" s="177" t="n"/>
      <c r="K31" s="193">
        <f>IF(OR($H31="",$J31&lt;&gt;"مستوفاة"),0,IF(AND($C$17="نعم",$H$41&lt;=0),0,MIN(MAX($H31,0)*$C$6*$C$12/100*$C$13*$C$15,$C$14)))</f>
        <v/>
      </c>
      <c r="L31" s="177" t="n"/>
    </row>
    <row r="32" ht="19" customHeight="1" s="107">
      <c r="A32" s="187" t="n">
        <v>12</v>
      </c>
      <c r="B32" s="177" t="n"/>
      <c r="C32" s="177" t="n"/>
      <c r="D32" s="188">
        <f>IF(OR($C32="",$C$7=0),"",ROUND(IF($C32="صباحية",$C$7*$C$10/MAX($C$8,1),$C$7*$C$11/MAX($C$9,1)),0))</f>
        <v/>
      </c>
      <c r="E32" s="189" t="n"/>
      <c r="F32" s="190">
        <f>IF($D32="","",ROUND(IF($E32="",$D32,$E32)*(1+$C$16),0))</f>
        <v/>
      </c>
      <c r="G32" s="185" t="n"/>
      <c r="H32" s="191">
        <f>IF(OR($G32="",$F32=""),"",$G32-$F32)</f>
        <v/>
      </c>
      <c r="I32" s="192">
        <f>IFERROR(IF($F32="","",$G32/$F32),"")</f>
        <v/>
      </c>
      <c r="J32" s="177" t="n"/>
      <c r="K32" s="193">
        <f>IF(OR($H32="",$J32&lt;&gt;"مستوفاة"),0,IF(AND($C$17="نعم",$H$41&lt;=0),0,MIN(MAX($H32,0)*$C$6*$C$12/100*$C$13*$C$15,$C$14)))</f>
        <v/>
      </c>
      <c r="L32" s="177" t="n"/>
    </row>
    <row r="33" ht="19" customHeight="1" s="107">
      <c r="A33" s="187" t="n">
        <v>13</v>
      </c>
      <c r="B33" s="177" t="n"/>
      <c r="C33" s="177" t="n"/>
      <c r="D33" s="188">
        <f>IF(OR($C33="",$C$7=0),"",ROUND(IF($C33="صباحية",$C$7*$C$10/MAX($C$8,1),$C$7*$C$11/MAX($C$9,1)),0))</f>
        <v/>
      </c>
      <c r="E33" s="189" t="n"/>
      <c r="F33" s="190">
        <f>IF($D33="","",ROUND(IF($E33="",$D33,$E33)*(1+$C$16),0))</f>
        <v/>
      </c>
      <c r="G33" s="185" t="n"/>
      <c r="H33" s="191">
        <f>IF(OR($G33="",$F33=""),"",$G33-$F33)</f>
        <v/>
      </c>
      <c r="I33" s="192">
        <f>IFERROR(IF($F33="","",$G33/$F33),"")</f>
        <v/>
      </c>
      <c r="J33" s="177" t="n"/>
      <c r="K33" s="193">
        <f>IF(OR($H33="",$J33&lt;&gt;"مستوفاة"),0,IF(AND($C$17="نعم",$H$41&lt;=0),0,MIN(MAX($H33,0)*$C$6*$C$12/100*$C$13*$C$15,$C$14)))</f>
        <v/>
      </c>
      <c r="L33" s="177" t="n"/>
    </row>
    <row r="34" ht="19" customHeight="1" s="107">
      <c r="A34" s="187" t="n">
        <v>14</v>
      </c>
      <c r="B34" s="177" t="n"/>
      <c r="C34" s="177" t="n"/>
      <c r="D34" s="188">
        <f>IF(OR($C34="",$C$7=0),"",ROUND(IF($C34="صباحية",$C$7*$C$10/MAX($C$8,1),$C$7*$C$11/MAX($C$9,1)),0))</f>
        <v/>
      </c>
      <c r="E34" s="189" t="n"/>
      <c r="F34" s="190">
        <f>IF($D34="","",ROUND(IF($E34="",$D34,$E34)*(1+$C$16),0))</f>
        <v/>
      </c>
      <c r="G34" s="185" t="n"/>
      <c r="H34" s="191">
        <f>IF(OR($G34="",$F34=""),"",$G34-$F34)</f>
        <v/>
      </c>
      <c r="I34" s="192">
        <f>IFERROR(IF($F34="","",$G34/$F34),"")</f>
        <v/>
      </c>
      <c r="J34" s="177" t="n"/>
      <c r="K34" s="193">
        <f>IF(OR($H34="",$J34&lt;&gt;"مستوفاة"),0,IF(AND($C$17="نعم",$H$41&lt;=0),0,MIN(MAX($H34,0)*$C$6*$C$12/100*$C$13*$C$15,$C$14)))</f>
        <v/>
      </c>
      <c r="L34" s="177" t="n"/>
    </row>
    <row r="35" ht="19" customHeight="1" s="107">
      <c r="A35" s="187" t="n">
        <v>15</v>
      </c>
      <c r="B35" s="177" t="n"/>
      <c r="C35" s="177" t="n"/>
      <c r="D35" s="188">
        <f>IF(OR($C35="",$C$7=0),"",ROUND(IF($C35="صباحية",$C$7*$C$10/MAX($C$8,1),$C$7*$C$11/MAX($C$9,1)),0))</f>
        <v/>
      </c>
      <c r="E35" s="189" t="n"/>
      <c r="F35" s="190">
        <f>IF($D35="","",ROUND(IF($E35="",$D35,$E35)*(1+$C$16),0))</f>
        <v/>
      </c>
      <c r="G35" s="185" t="n"/>
      <c r="H35" s="191">
        <f>IF(OR($G35="",$F35=""),"",$G35-$F35)</f>
        <v/>
      </c>
      <c r="I35" s="192">
        <f>IFERROR(IF($F35="","",$G35/$F35),"")</f>
        <v/>
      </c>
      <c r="J35" s="177" t="n"/>
      <c r="K35" s="193">
        <f>IF(OR($H35="",$J35&lt;&gt;"مستوفاة"),0,IF(AND($C$17="نعم",$H$41&lt;=0),0,MIN(MAX($H35,0)*$C$6*$C$12/100*$C$13*$C$15,$C$14)))</f>
        <v/>
      </c>
      <c r="L35" s="177" t="n"/>
    </row>
    <row r="36" ht="19" customHeight="1" s="107">
      <c r="A36" s="187" t="n">
        <v>16</v>
      </c>
      <c r="B36" s="177" t="n"/>
      <c r="C36" s="177" t="n"/>
      <c r="D36" s="188">
        <f>IF(OR($C36="",$C$7=0),"",ROUND(IF($C36="صباحية",$C$7*$C$10/MAX($C$8,1),$C$7*$C$11/MAX($C$9,1)),0))</f>
        <v/>
      </c>
      <c r="E36" s="189" t="n"/>
      <c r="F36" s="190">
        <f>IF($D36="","",ROUND(IF($E36="",$D36,$E36)*(1+$C$16),0))</f>
        <v/>
      </c>
      <c r="G36" s="185" t="n"/>
      <c r="H36" s="191">
        <f>IF(OR($G36="",$F36=""),"",$G36-$F36)</f>
        <v/>
      </c>
      <c r="I36" s="192">
        <f>IFERROR(IF($F36="","",$G36/$F36),"")</f>
        <v/>
      </c>
      <c r="J36" s="177" t="n"/>
      <c r="K36" s="193">
        <f>IF(OR($H36="",$J36&lt;&gt;"مستوفاة"),0,IF(AND($C$17="نعم",$H$41&lt;=0),0,MIN(MAX($H36,0)*$C$6*$C$12/100*$C$13*$C$15,$C$14)))</f>
        <v/>
      </c>
      <c r="L36" s="177" t="n"/>
    </row>
    <row r="37" ht="19" customHeight="1" s="107">
      <c r="A37" s="187" t="n">
        <v>17</v>
      </c>
      <c r="B37" s="177" t="n"/>
      <c r="C37" s="177" t="n"/>
      <c r="D37" s="188">
        <f>IF(OR($C37="",$C$7=0),"",ROUND(IF($C37="صباحية",$C$7*$C$10/MAX($C$8,1),$C$7*$C$11/MAX($C$9,1)),0))</f>
        <v/>
      </c>
      <c r="E37" s="189" t="n"/>
      <c r="F37" s="190">
        <f>IF($D37="","",ROUND(IF($E37="",$D37,$E37)*(1+$C$16),0))</f>
        <v/>
      </c>
      <c r="G37" s="185" t="n"/>
      <c r="H37" s="191">
        <f>IF(OR($G37="",$F37=""),"",$G37-$F37)</f>
        <v/>
      </c>
      <c r="I37" s="192">
        <f>IFERROR(IF($F37="","",$G37/$F37),"")</f>
        <v/>
      </c>
      <c r="J37" s="177" t="n"/>
      <c r="K37" s="193">
        <f>IF(OR($H37="",$J37&lt;&gt;"مستوفاة"),0,IF(AND($C$17="نعم",$H$41&lt;=0),0,MIN(MAX($H37,0)*$C$6*$C$12/100*$C$13*$C$15,$C$14)))</f>
        <v/>
      </c>
      <c r="L37" s="177" t="n"/>
    </row>
    <row r="38" ht="19" customHeight="1" s="107">
      <c r="A38" s="187" t="n">
        <v>18</v>
      </c>
      <c r="B38" s="177" t="n"/>
      <c r="C38" s="177" t="n"/>
      <c r="D38" s="188">
        <f>IF(OR($C38="",$C$7=0),"",ROUND(IF($C38="صباحية",$C$7*$C$10/MAX($C$8,1),$C$7*$C$11/MAX($C$9,1)),0))</f>
        <v/>
      </c>
      <c r="E38" s="189" t="n"/>
      <c r="F38" s="190">
        <f>IF($D38="","",ROUND(IF($E38="",$D38,$E38)*(1+$C$16),0))</f>
        <v/>
      </c>
      <c r="G38" s="185" t="n"/>
      <c r="H38" s="191">
        <f>IF(OR($G38="",$F38=""),"",$G38-$F38)</f>
        <v/>
      </c>
      <c r="I38" s="192">
        <f>IFERROR(IF($F38="","",$G38/$F38),"")</f>
        <v/>
      </c>
      <c r="J38" s="177" t="n"/>
      <c r="K38" s="193">
        <f>IF(OR($H38="",$J38&lt;&gt;"مستوفاة"),0,IF(AND($C$17="نعم",$H$41&lt;=0),0,MIN(MAX($H38,0)*$C$6*$C$12/100*$C$13*$C$15,$C$14)))</f>
        <v/>
      </c>
      <c r="L38" s="177" t="n"/>
    </row>
    <row r="39" ht="19" customHeight="1" s="107">
      <c r="A39" s="187" t="n">
        <v>19</v>
      </c>
      <c r="B39" s="177" t="n"/>
      <c r="C39" s="177" t="n"/>
      <c r="D39" s="188">
        <f>IF(OR($C39="",$C$7=0),"",ROUND(IF($C39="صباحية",$C$7*$C$10/MAX($C$8,1),$C$7*$C$11/MAX($C$9,1)),0))</f>
        <v/>
      </c>
      <c r="E39" s="189" t="n"/>
      <c r="F39" s="190">
        <f>IF($D39="","",ROUND(IF($E39="",$D39,$E39)*(1+$C$16),0))</f>
        <v/>
      </c>
      <c r="G39" s="185" t="n"/>
      <c r="H39" s="191">
        <f>IF(OR($G39="",$F39=""),"",$G39-$F39)</f>
        <v/>
      </c>
      <c r="I39" s="192">
        <f>IFERROR(IF($F39="","",$G39/$F39),"")</f>
        <v/>
      </c>
      <c r="J39" s="177" t="n"/>
      <c r="K39" s="193">
        <f>IF(OR($H39="",$J39&lt;&gt;"مستوفاة"),0,IF(AND($C$17="نعم",$H$41&lt;=0),0,MIN(MAX($H39,0)*$C$6*$C$12/100*$C$13*$C$15,$C$14)))</f>
        <v/>
      </c>
      <c r="L39" s="177" t="n"/>
    </row>
    <row r="40" ht="19" customHeight="1" s="107">
      <c r="A40" s="187" t="n">
        <v>20</v>
      </c>
      <c r="B40" s="177" t="n"/>
      <c r="C40" s="177" t="n"/>
      <c r="D40" s="188">
        <f>IF(OR($C40="",$C$7=0),"",ROUND(IF($C40="صباحية",$C$7*$C$10/MAX($C$8,1),$C$7*$C$11/MAX($C$9,1)),0))</f>
        <v/>
      </c>
      <c r="E40" s="189" t="n"/>
      <c r="F40" s="190">
        <f>IF($D40="","",ROUND(IF($E40="",$D40,$E40)*(1+$C$16),0))</f>
        <v/>
      </c>
      <c r="G40" s="185" t="n"/>
      <c r="H40" s="191">
        <f>IF(OR($G40="",$F40=""),"",$G40-$F40)</f>
        <v/>
      </c>
      <c r="I40" s="192">
        <f>IFERROR(IF($F40="","",$G40/$F40),"")</f>
        <v/>
      </c>
      <c r="J40" s="177" t="n"/>
      <c r="K40" s="193">
        <f>IF(OR($H40="",$J40&lt;&gt;"مستوفاة"),0,IF(AND($C$17="نعم",$H$41&lt;=0),0,MIN(MAX($H40,0)*$C$6*$C$12/100*$C$13*$C$15,$C$14)))</f>
        <v/>
      </c>
      <c r="L40" s="177" t="n"/>
    </row>
    <row r="41">
      <c r="A41" s="194" t="n"/>
      <c r="B41" s="194" t="inlineStr">
        <is>
          <t>الإجمالي</t>
        </is>
      </c>
      <c r="C41" s="194">
        <f>COUNTA($B21:$B40)&amp;" عامل"</f>
        <v/>
      </c>
      <c r="D41" s="195">
        <f>SUM(D21:D40)</f>
        <v/>
      </c>
      <c r="E41" s="194" t="n"/>
      <c r="F41" s="195">
        <f>SUM(F21:F40)</f>
        <v/>
      </c>
      <c r="G41" s="195">
        <f>SUM(G21:G40)</f>
        <v/>
      </c>
      <c r="H41" s="195">
        <f>SUM(H21:H40)</f>
        <v/>
      </c>
      <c r="I41" s="196">
        <f>IFERROR($G41/$F41,"")</f>
        <v/>
      </c>
      <c r="J41" s="194" t="n"/>
      <c r="K41" s="195">
        <f>SUM(K21:K40)</f>
        <v/>
      </c>
      <c r="L41" s="194" t="n"/>
    </row>
    <row r="43" ht="22" customHeight="1" s="107">
      <c r="A43" s="131" t="inlineStr">
        <is>
          <t>③ ملخص المحطة — يتحدّث مع كل رقم تُدخله</t>
        </is>
      </c>
    </row>
    <row r="44" ht="30" customHeight="1" s="107">
      <c r="A44" s="120" t="inlineStr">
        <is>
          <t>#</t>
        </is>
      </c>
      <c r="B44" s="120" t="inlineStr">
        <is>
          <t>البند</t>
        </is>
      </c>
      <c r="C44" s="120" t="inlineStr">
        <is>
          <t>القيمة</t>
        </is>
      </c>
      <c r="D44" s="120" t="inlineStr"/>
      <c r="E44" s="120" t="inlineStr"/>
      <c r="F44" s="120" t="inlineStr"/>
      <c r="G44" s="120" t="inlineStr"/>
      <c r="H44" s="120" t="inlineStr"/>
      <c r="I44" s="120" t="inlineStr"/>
      <c r="J44" s="120" t="inlineStr"/>
      <c r="K44" s="120" t="inlineStr"/>
      <c r="L44" s="120" t="inlineStr">
        <is>
          <t>الدلالة</t>
        </is>
      </c>
    </row>
    <row r="45" ht="20" customHeight="1" s="107">
      <c r="A45" s="121" t="n">
        <v>1</v>
      </c>
      <c r="B45" s="122" t="inlineStr">
        <is>
          <t>الزيادة الإجمالية (زيارة/يوم)</t>
        </is>
      </c>
      <c r="C45" s="132">
        <f>$H$41</f>
        <v/>
      </c>
      <c r="D45" s="121" t="n"/>
      <c r="E45" s="121" t="n"/>
      <c r="F45" s="121" t="n"/>
      <c r="G45" s="121" t="n"/>
      <c r="H45" s="121" t="n"/>
      <c r="I45" s="121" t="n"/>
      <c r="J45" s="121" t="n"/>
      <c r="K45" s="121" t="n"/>
      <c r="L45" s="123" t="inlineStr">
        <is>
          <t>مجموع فروق العمال</t>
        </is>
      </c>
    </row>
    <row r="46" ht="20" customHeight="1" s="107">
      <c r="A46" s="121" t="n">
        <v>2</v>
      </c>
      <c r="B46" s="122" t="inlineStr">
        <is>
          <t>اللترات الإضافية شهرياً</t>
        </is>
      </c>
      <c r="C46" s="132">
        <f>$C$45*$C$6*$C$15</f>
        <v/>
      </c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3" t="inlineStr">
        <is>
          <t>الزيادة × لتر/زيارة × الأيام</t>
        </is>
      </c>
    </row>
    <row r="47" ht="20" customHeight="1" s="107">
      <c r="A47" s="121" t="n">
        <v>3</v>
      </c>
      <c r="B47" s="122" t="inlineStr">
        <is>
          <t>الهامش الإضافي شهرياً (ريال)</t>
        </is>
      </c>
      <c r="C47" s="132">
        <f>$C$46*$C$12/100</f>
        <v/>
      </c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3" t="inlineStr">
        <is>
          <t>قبل خصم الحافز</t>
        </is>
      </c>
    </row>
    <row r="48" ht="20" customHeight="1" s="107">
      <c r="A48" s="121" t="n">
        <v>4</v>
      </c>
      <c r="B48" s="122" t="inlineStr">
        <is>
          <t>إجمالي الحافز شهرياً (ريال)</t>
        </is>
      </c>
      <c r="C48" s="132">
        <f>$K$41</f>
        <v/>
      </c>
      <c r="D48" s="121" t="n"/>
      <c r="E48" s="121" t="n"/>
      <c r="F48" s="121" t="n"/>
      <c r="G48" s="121" t="n"/>
      <c r="H48" s="121" t="n"/>
      <c r="I48" s="121" t="n"/>
      <c r="J48" s="121" t="n"/>
      <c r="K48" s="121" t="n"/>
      <c r="L48" s="123" t="inlineStr">
        <is>
          <t>ما يُصرف للعمال</t>
        </is>
      </c>
    </row>
    <row r="49" ht="20" customHeight="1" s="107">
      <c r="A49" s="121" t="n">
        <v>5</v>
      </c>
      <c r="B49" s="122" t="inlineStr">
        <is>
          <t>صافي المكسب للشركة (ريال)</t>
        </is>
      </c>
      <c r="C49" s="197">
        <f>$C$47-$C$48</f>
        <v/>
      </c>
      <c r="D49" s="121" t="n"/>
      <c r="E49" s="121" t="n"/>
      <c r="F49" s="121" t="n"/>
      <c r="G49" s="121" t="n"/>
      <c r="H49" s="121" t="n"/>
      <c r="I49" s="121" t="n"/>
      <c r="J49" s="121" t="n"/>
      <c r="K49" s="121" t="n"/>
      <c r="L49" s="123" t="inlineStr">
        <is>
          <t>الهامش ناقص الحافز</t>
        </is>
      </c>
    </row>
    <row r="50" ht="20" customHeight="1" s="107">
      <c r="A50" s="121" t="n">
        <v>6</v>
      </c>
      <c r="B50" s="122" t="inlineStr">
        <is>
          <t>نسبة الحافز من الهامش الفعلي</t>
        </is>
      </c>
      <c r="C50" s="198">
        <f>IFERROR($C$48/$C$47,"")</f>
        <v/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3" t="inlineStr">
        <is>
          <t>تتجاوز المعتمدة إذا ربح بعض العمال وخسر غيرهم — الحافز فردي والهامش صافٍ</t>
        </is>
      </c>
    </row>
    <row r="51" ht="20" customHeight="1" s="107">
      <c r="A51" s="121" t="n">
        <v>7</v>
      </c>
      <c r="B51" s="122" t="inlineStr">
        <is>
          <t>عدد من بلغوا السقف</t>
        </is>
      </c>
      <c r="C51" s="132">
        <f>COUNTIFS($K$21:$K$40,"="&amp;$C$14)</f>
        <v/>
      </c>
      <c r="D51" s="121" t="n"/>
      <c r="E51" s="121" t="n"/>
      <c r="F51" s="121" t="n"/>
      <c r="G51" s="121" t="n"/>
      <c r="H51" s="121" t="n"/>
      <c r="I51" s="121" t="n"/>
      <c r="J51" s="121" t="n"/>
      <c r="K51" s="121" t="n"/>
      <c r="L51" s="123" t="inlineStr">
        <is>
          <t>إن ارتفع العدد فالسقف يكبح التحفيز</t>
        </is>
      </c>
    </row>
    <row r="52" ht="20" customHeight="1" s="107">
      <c r="A52" s="121" t="n">
        <v>8</v>
      </c>
      <c r="B52" s="122" t="inlineStr">
        <is>
          <t>تعديلات يدوية على خط الأساس</t>
        </is>
      </c>
      <c r="C52" s="132">
        <f>COUNTA($E$21:$E$40)</f>
        <v/>
      </c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3" t="inlineStr">
        <is>
          <t>كل تعديل يحتاج مبرراً مكتوباً</t>
        </is>
      </c>
    </row>
    <row r="53">
      <c r="B53" s="199" t="inlineStr">
        <is>
          <t>إذا تجاوزت النسبة الفعلية المعتمدة فالسبب أن الحافز يُصرف على مكسب كل عامل بينما الشركة تقبض الصافي فقط — شرط «صافي محطة موجب» أعلاه يمنع الصرف في شهر خاسر.</t>
        </is>
      </c>
    </row>
    <row r="54" ht="22" customHeight="1" s="107">
      <c r="A54" s="131" t="inlineStr">
        <is>
          <t>④ ماذا لو — حرّك نسبة النمو وقارن</t>
        </is>
      </c>
    </row>
    <row r="55" ht="30" customHeight="1" s="107">
      <c r="A55" s="120" t="inlineStr">
        <is>
          <t>#</t>
        </is>
      </c>
      <c r="B55" s="120" t="inlineStr">
        <is>
          <t>السيناريو</t>
        </is>
      </c>
      <c r="C55" s="120" t="inlineStr">
        <is>
          <t>نسبة النمو</t>
        </is>
      </c>
      <c r="D55" s="120" t="inlineStr">
        <is>
          <t>زيارة/يوم إضافية</t>
        </is>
      </c>
      <c r="E55" s="120" t="inlineStr">
        <is>
          <t>لترات شهرياً</t>
        </is>
      </c>
      <c r="F55" s="120" t="inlineStr">
        <is>
          <t>الهامش الإضافي</t>
        </is>
      </c>
      <c r="G55" s="120" t="inlineStr">
        <is>
          <t>الحافز المتوقع</t>
        </is>
      </c>
      <c r="H55" s="120" t="inlineStr">
        <is>
          <t>صافي المكسب</t>
        </is>
      </c>
      <c r="I55" s="120" t="inlineStr"/>
      <c r="J55" s="120" t="inlineStr"/>
      <c r="K55" s="120" t="inlineStr"/>
      <c r="L55" s="120" t="inlineStr">
        <is>
          <t>الدلالة</t>
        </is>
      </c>
    </row>
    <row r="56" ht="20" customHeight="1" s="107">
      <c r="A56" s="121" t="n">
        <v>1</v>
      </c>
      <c r="B56" s="122" t="inlineStr">
        <is>
          <t>متحفظ</t>
        </is>
      </c>
      <c r="C56" s="184" t="n">
        <v>0.03</v>
      </c>
      <c r="D56" s="132">
        <f>ROUND($D$41*$C56,0)</f>
        <v/>
      </c>
      <c r="E56" s="132">
        <f>$D56*$C$6*$C$15</f>
        <v/>
      </c>
      <c r="F56" s="132">
        <f>$E56*$C$12/100</f>
        <v/>
      </c>
      <c r="G56" s="132">
        <f>MIN($F56*$C$13,COUNTA($B$21:$B$40)*$C$14)</f>
        <v/>
      </c>
      <c r="H56" s="197">
        <f>$F56-$G56</f>
        <v/>
      </c>
      <c r="I56" s="121" t="n"/>
      <c r="J56" s="121" t="n"/>
      <c r="K56" s="121" t="n"/>
      <c r="L56" s="123" t="inlineStr">
        <is>
          <t>زيادة يومية بسيطة تُدرَك بالانضباط وحده</t>
        </is>
      </c>
    </row>
    <row r="57" ht="20" customHeight="1" s="107">
      <c r="A57" s="121" t="n">
        <v>2</v>
      </c>
      <c r="B57" s="122" t="inlineStr">
        <is>
          <t>أساسي</t>
        </is>
      </c>
      <c r="C57" s="184" t="n">
        <v>0.05</v>
      </c>
      <c r="D57" s="132">
        <f>ROUND($D$41*$C57,0)</f>
        <v/>
      </c>
      <c r="E57" s="132">
        <f>$D57*$C$6*$C$15</f>
        <v/>
      </c>
      <c r="F57" s="132">
        <f>$E57*$C$12/100</f>
        <v/>
      </c>
      <c r="G57" s="132">
        <f>MIN($F57*$C$13,COUNTA($B$21:$B$40)*$C$14)</f>
        <v/>
      </c>
      <c r="H57" s="197">
        <f>$F57-$G57</f>
        <v/>
      </c>
      <c r="I57" s="121" t="n"/>
      <c r="J57" s="121" t="n"/>
      <c r="K57" s="121" t="n"/>
      <c r="L57" s="123" t="inlineStr">
        <is>
          <t>النسبة المعتمدة في النموذج أعلاه</t>
        </is>
      </c>
    </row>
    <row r="58" ht="20" customHeight="1" s="107">
      <c r="A58" s="121" t="n">
        <v>3</v>
      </c>
      <c r="B58" s="122" t="inlineStr">
        <is>
          <t>طموح</t>
        </is>
      </c>
      <c r="C58" s="184" t="n">
        <v>0.1</v>
      </c>
      <c r="D58" s="132">
        <f>ROUND($D$41*$C58,0)</f>
        <v/>
      </c>
      <c r="E58" s="132">
        <f>$D58*$C$6*$C$15</f>
        <v/>
      </c>
      <c r="F58" s="132">
        <f>$E58*$C$12/100</f>
        <v/>
      </c>
      <c r="G58" s="132">
        <f>MIN($F58*$C$13,COUNTA($B$21:$B$40)*$C$14)</f>
        <v/>
      </c>
      <c r="H58" s="197">
        <f>$F58-$G58</f>
        <v/>
      </c>
      <c r="I58" s="121" t="n"/>
      <c r="J58" s="121" t="n"/>
      <c r="K58" s="121" t="n"/>
      <c r="L58" s="123" t="inlineStr">
        <is>
          <t>يتطلب حملة ميدانية مصاحبة لا انضباطاً فقط</t>
        </is>
      </c>
    </row>
    <row r="59">
      <c r="B59" s="137" t="inlineStr">
        <is>
          <t>الخانة البرتقالية تعني أن السقف بلغ حدّه — الزيادة بعده تذهب كاملة للشركة</t>
        </is>
      </c>
    </row>
    <row r="61" ht="22" customHeight="1" s="107">
      <c r="A61" s="131" t="inlineStr">
        <is>
          <t>⑤ بوابة الجودة — تُقيَّم شهرياً لكل عامل</t>
        </is>
      </c>
    </row>
    <row r="62" ht="30" customHeight="1" s="107">
      <c r="A62" s="120" t="inlineStr">
        <is>
          <t>#</t>
        </is>
      </c>
      <c r="B62" s="120" t="inlineStr">
        <is>
          <t>الشرط</t>
        </is>
      </c>
      <c r="C62" s="120" t="inlineStr">
        <is>
          <t>المقياس</t>
        </is>
      </c>
      <c r="D62" s="120" t="inlineStr">
        <is>
          <t>الحد</t>
        </is>
      </c>
      <c r="E62" s="120" t="inlineStr"/>
      <c r="F62" s="120" t="inlineStr"/>
      <c r="G62" s="120" t="inlineStr"/>
      <c r="H62" s="120" t="inlineStr"/>
      <c r="I62" s="120" t="inlineStr"/>
      <c r="J62" s="120" t="inlineStr"/>
      <c r="K62" s="120" t="inlineStr"/>
      <c r="L62" s="120" t="inlineStr">
        <is>
          <t>لماذا</t>
        </is>
      </c>
    </row>
    <row r="63" ht="21" customHeight="1" s="107">
      <c r="A63" s="121" t="n">
        <v>1</v>
      </c>
      <c r="B63" s="122" t="inlineStr">
        <is>
          <t>لا شكوى مثبتة</t>
        </is>
      </c>
      <c r="C63" s="121" t="inlineStr">
        <is>
          <t>شكاوى العامل في الشهر</t>
        </is>
      </c>
      <c r="D63" s="121" t="inlineStr">
        <is>
          <t>صفر</t>
        </is>
      </c>
      <c r="E63" s="121" t="n"/>
      <c r="F63" s="121" t="n"/>
      <c r="G63" s="121" t="n"/>
      <c r="H63" s="121" t="n"/>
      <c r="I63" s="121" t="n"/>
      <c r="J63" s="121" t="n"/>
      <c r="K63" s="121" t="n"/>
      <c r="L63" s="123" t="inlineStr">
        <is>
          <t>الحافز مكافأة أداء لا مكافأة حجم</t>
        </is>
      </c>
    </row>
    <row r="64" ht="21" customHeight="1" s="107">
      <c r="A64" s="121" t="n">
        <v>2</v>
      </c>
      <c r="B64" s="122" t="inlineStr">
        <is>
          <t>زمن التعبئة</t>
        </is>
      </c>
      <c r="C64" s="121" t="inlineStr">
        <is>
          <t>متوسط الزمن في الذروة</t>
        </is>
      </c>
      <c r="D64" s="121" t="inlineStr">
        <is>
          <t>≤ الحد المعتمد</t>
        </is>
      </c>
      <c r="E64" s="121" t="n"/>
      <c r="F64" s="121" t="n"/>
      <c r="G64" s="121" t="n"/>
      <c r="H64" s="121" t="n"/>
      <c r="I64" s="121" t="n"/>
      <c r="J64" s="121" t="n"/>
      <c r="K64" s="121" t="n"/>
      <c r="L64" s="123" t="inlineStr">
        <is>
          <t>سرعة الخدمة هي ما يطلبه العميل</t>
        </is>
      </c>
    </row>
    <row r="65" ht="21" customHeight="1" s="107">
      <c r="A65" s="121" t="n">
        <v>3</v>
      </c>
      <c r="B65" s="122" t="inlineStr">
        <is>
          <t>الحضور في ساعات الذروة</t>
        </is>
      </c>
      <c r="C65" s="121" t="inlineStr">
        <is>
          <t>نسبة الحضور في ساعات المحطة</t>
        </is>
      </c>
      <c r="D65" s="121" t="inlineStr">
        <is>
          <t>100%</t>
        </is>
      </c>
      <c r="E65" s="121" t="n"/>
      <c r="F65" s="121" t="n"/>
      <c r="G65" s="121" t="n"/>
      <c r="H65" s="121" t="n"/>
      <c r="I65" s="121" t="n"/>
      <c r="J65" s="121" t="n"/>
      <c r="K65" s="121" t="n"/>
      <c r="L65" s="123" t="inlineStr">
        <is>
          <t>ساعات الذروة معروفة لكل محطة — انظر خانة المحطة أعلاه</t>
        </is>
      </c>
    </row>
    <row r="66" ht="21" customHeight="1" s="107">
      <c r="A66" s="121" t="n">
        <v>4</v>
      </c>
      <c r="B66" s="122" t="inlineStr">
        <is>
          <t>النظافة والمظهر</t>
        </is>
      </c>
      <c r="C66" s="121" t="inlineStr">
        <is>
          <t>تقييم المشرف الأسبوعي</t>
        </is>
      </c>
      <c r="D66" s="121" t="inlineStr">
        <is>
          <t>مقبول فأعلى</t>
        </is>
      </c>
      <c r="E66" s="121" t="n"/>
      <c r="F66" s="121" t="n"/>
      <c r="G66" s="121" t="n"/>
      <c r="H66" s="121" t="n"/>
      <c r="I66" s="121" t="n"/>
      <c r="J66" s="121" t="n"/>
      <c r="K66" s="121" t="n"/>
      <c r="L66" s="123" t="inlineStr">
        <is>
          <t>أول ما يراه العميل</t>
        </is>
      </c>
    </row>
    <row r="68">
      <c r="B68" s="128" t="inlineStr">
        <is>
          <t>كيف تستخدم الملف</t>
        </is>
      </c>
    </row>
    <row r="69" ht="16" customHeight="1" s="107">
      <c r="C69" s="129" t="inlineStr">
        <is>
          <t>•  اختر المحطة ← تُعبَّأ الزيارات وحصص الورديات وعدد العمال من بيانات التشغيل</t>
        </is>
      </c>
    </row>
    <row r="70" ht="16" customHeight="1" s="107">
      <c r="C70" s="129" t="inlineStr">
        <is>
          <t>•  اختر وردية العامل ← يُشتق خط أساسه تلقائياً من حصة ورديته ÷ عدد عمالها</t>
        </is>
      </c>
    </row>
    <row r="71" ht="16" customHeight="1" s="107">
      <c r="C71" s="129" t="inlineStr">
        <is>
          <t>•  لا تعبّئ إلا: الاسم · الوردية · الفعلي · بوابة الجودة</t>
        </is>
      </c>
    </row>
    <row r="72" ht="16" customHeight="1" s="107">
      <c r="C72" s="129" t="inlineStr">
        <is>
          <t>•  الأصفر مُدخل · الرمادي محسوب · الأخضر مسحوب من ورقة البيانات</t>
        </is>
      </c>
    </row>
    <row r="74">
      <c r="B74" s="128" t="inlineStr">
        <is>
          <t>لماذا يُشتق خط الأساس ولا يُقدَّر</t>
        </is>
      </c>
    </row>
    <row r="75" ht="16" customHeight="1" s="107">
      <c r="C75" s="129" t="inlineStr">
        <is>
          <t>•  خط الأساس المتساهل هو الطريقة الأولى لتفريغ الحافز من معناه</t>
        </is>
      </c>
    </row>
    <row r="76" ht="16" customHeight="1" s="107">
      <c r="C76" s="129" t="inlineStr">
        <is>
          <t>•  عامل المساء يخدم زيارات أكثر من عامل الصباح بنفس العدد — الاشتقاق ينصفه</t>
        </is>
      </c>
    </row>
    <row r="77" ht="16" customHeight="1" s="107">
      <c r="C77" s="129" t="inlineStr">
        <is>
          <t>•  خانة «تعديل معتمد» تُظهر أي تخفيض بالأحمر ويُحصى في الملخص</t>
        </is>
      </c>
    </row>
    <row r="79">
      <c r="B79" s="128" t="inlineStr">
        <is>
          <t>قواعد الاحتساب</t>
        </is>
      </c>
    </row>
    <row r="80" ht="16" customHeight="1" s="107">
      <c r="C80" s="129" t="inlineStr">
        <is>
          <t>•  الحافز على الزيادة فوق المستهدف فقط — لا على الحجم الكلي</t>
        </is>
      </c>
    </row>
    <row r="81" ht="16" customHeight="1" s="107">
      <c r="C81" s="129" t="inlineStr">
        <is>
          <t>•  لا يُصرف إطلاقاً إذا كانت بوابة الجودة غير مستوفاة</t>
        </is>
      </c>
    </row>
    <row r="82" ht="16" customHeight="1" s="107">
      <c r="C82" s="129" t="inlineStr">
        <is>
          <t>•  سقف ١٠٠ ريال شهرياً لكل عامل يمنع المبالغة في شهر استثنائي</t>
        </is>
      </c>
    </row>
    <row r="83" ht="16" customHeight="1" s="107">
      <c r="C83" s="129" t="inlineStr">
        <is>
          <t>•  الفارق السالب لا يُخصم — لكنه لا يُكافأ</t>
        </is>
      </c>
    </row>
    <row r="85">
      <c r="B85" s="130" t="inlineStr">
        <is>
          <t>ما يُبطل النموذج</t>
        </is>
      </c>
    </row>
    <row r="86" ht="16" customHeight="1" s="107">
      <c r="C86" s="129" t="inlineStr">
        <is>
          <t>•  تعديل خط الأساس بالخفض دون مبرر مكتوب</t>
        </is>
      </c>
    </row>
    <row r="87" ht="16" customHeight="1" s="107">
      <c r="C87" s="129" t="inlineStr">
        <is>
          <t>•  غياب قياس زمن الخدمة يفرّغ بوابة الجودة من معناها</t>
        </is>
      </c>
    </row>
    <row r="88" ht="16" customHeight="1" s="107">
      <c r="C88" s="129" t="inlineStr">
        <is>
          <t>•  الصرف في شهر صافيه سالب — الحافز فردي والشركة تقبض الصافي</t>
        </is>
      </c>
    </row>
  </sheetData>
  <mergeCells count="22">
    <mergeCell ref="C76:L76"/>
    <mergeCell ref="C71:L71"/>
    <mergeCell ref="A54:L54"/>
    <mergeCell ref="C70:L70"/>
    <mergeCell ref="C82:L82"/>
    <mergeCell ref="C81:L81"/>
    <mergeCell ref="A3:L3"/>
    <mergeCell ref="C72:L72"/>
    <mergeCell ref="A2:L2"/>
    <mergeCell ref="C69:L69"/>
    <mergeCell ref="C87:L87"/>
    <mergeCell ref="C77:L77"/>
    <mergeCell ref="C83:L83"/>
    <mergeCell ref="C86:L86"/>
    <mergeCell ref="B53:L53"/>
    <mergeCell ref="A43:L43"/>
    <mergeCell ref="A19:L19"/>
    <mergeCell ref="C88:L88"/>
    <mergeCell ref="C80:L80"/>
    <mergeCell ref="C75:L75"/>
    <mergeCell ref="A1:L1"/>
    <mergeCell ref="A61:L61"/>
  </mergeCells>
  <conditionalFormatting sqref="H21:H40">
    <cfRule type="cellIs" priority="1" operator="greaterThan" dxfId="10">
      <formula>0</formula>
    </cfRule>
    <cfRule type="cellIs" priority="2" operator="lessThan" dxfId="9">
      <formula>0</formula>
    </cfRule>
  </conditionalFormatting>
  <conditionalFormatting sqref="I21:I40">
    <cfRule type="dataBar" priority="3">
      <dataBar>
        <cfvo type="num" val="0"/>
        <cfvo type="num" val="1.3"/>
        <color rgb="00F5831F"/>
      </dataBar>
    </cfRule>
  </conditionalFormatting>
  <conditionalFormatting sqref="K21:K40">
    <cfRule type="cellIs" priority="4" operator="greaterThan" dxfId="8">
      <formula>0</formula>
    </cfRule>
    <cfRule type="expression" priority="8" dxfId="11">
      <formula>AND($K21&gt;0,$K21=$C$14)</formula>
    </cfRule>
  </conditionalFormatting>
  <conditionalFormatting sqref="J21:J40">
    <cfRule type="expression" priority="5" dxfId="12">
      <formula>$J21="مستوفاة"</formula>
    </cfRule>
    <cfRule type="expression" priority="6" dxfId="7">
      <formula>$J21="غير مستوفاة"</formula>
    </cfRule>
  </conditionalFormatting>
  <conditionalFormatting sqref="B21:B40">
    <cfRule type="expression" priority="7" dxfId="13">
      <formula>AND($H21&gt;0,$J21="غير مستوفاة")</formula>
    </cfRule>
  </conditionalFormatting>
  <conditionalFormatting sqref="E21:E40">
    <cfRule type="expression" priority="9" dxfId="7">
      <formula>AND($E21&lt;&gt;"",$E21&lt;$D21)</formula>
    </cfRule>
  </conditionalFormatting>
  <conditionalFormatting sqref="C49">
    <cfRule type="cellIs" priority="10" operator="greaterThan" dxfId="8">
      <formula>0</formula>
    </cfRule>
    <cfRule type="cellIs" priority="11" operator="lessThan" dxfId="7">
      <formula>0</formula>
    </cfRule>
  </conditionalFormatting>
  <conditionalFormatting sqref="C52">
    <cfRule type="cellIs" priority="12" operator="greaterThan" dxfId="11">
      <formula>0</formula>
    </cfRule>
  </conditionalFormatting>
  <conditionalFormatting sqref="C50">
    <cfRule type="expression" priority="13" dxfId="7">
      <formula>$C$50&gt;$C$13</formula>
    </cfRule>
  </conditionalFormatting>
  <conditionalFormatting sqref="H56:H58">
    <cfRule type="colorScale" priority="14">
      <colorScale>
        <cfvo type="min"/>
        <cfvo type="max"/>
        <color rgb="00FFFFFF"/>
        <color rgb="00C6E0B4"/>
      </colorScale>
    </cfRule>
  </conditionalFormatting>
  <conditionalFormatting sqref="G56:G58">
    <cfRule type="expression" priority="15" dxfId="11">
      <formula>$G56&gt;=(COUNTA($B$21:$B$40))*$C$14*0.99</formula>
    </cfRule>
  </conditionalFormatting>
  <dataValidations count="4">
    <dataValidation sqref="C4" showDropDown="0" showInputMessage="0" showErrorMessage="0" allowBlank="1" errorTitle="قيمة غير معتمدة" error="اختر محطة من القائمة" type="list">
      <formula1>='بيانات الورديات'!$B$4:$B$8</formula1>
    </dataValidation>
    <dataValidation sqref="C17" showDropDown="0" showInputMessage="0" showErrorMessage="0" allowBlank="0" type="list">
      <formula1>"نعم,لا"</formula1>
    </dataValidation>
    <dataValidation sqref="C21 C22 C23 C24 C25 C26 C27 C28 C29 C30 C31 C32 C33 C34 C35 C36 C37 C38 C39 C40" showDropDown="0" showInputMessage="0" showErrorMessage="0" allowBlank="1" type="list">
      <formula1>='بيانات الورديات'!$T$4:$T$5</formula1>
    </dataValidation>
    <dataValidation sqref="J21 J22 J23 J24 J25 J26 J27 J28 J29 J30 J31 J32 J33 J34 J35 J36 J37 J38 J39 J40" showDropDown="0" showInputMessage="0" showErrorMessage="0" allowBlank="1" errorTitle="قيمة غير معتمدة" error="اكتب: مستوفاة أو غير مستوفاة" type="list">
      <formula1>='بيانات الورديات'!$U$4:$U$5</formula1>
    </dataValidation>
  </dataValidations>
  <printOptions horizontalCentered="1"/>
  <pageMargins left="0.3" right="0.3" top="0.4" bottom="0.4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107" min="1" max="1"/>
    <col width="17" customWidth="1" style="107" min="2" max="2"/>
    <col width="11" customWidth="1" style="107" min="3" max="3"/>
    <col width="11" customWidth="1" style="107" min="4" max="4"/>
    <col width="10" customWidth="1" style="107" min="5" max="5"/>
    <col width="10" customWidth="1" style="107" min="6" max="6"/>
    <col width="11" customWidth="1" style="107" min="7" max="7"/>
    <col width="11" customWidth="1" style="107" min="8" max="8"/>
    <col width="11" customWidth="1" style="107" min="9" max="9"/>
    <col width="11" customWidth="1" style="107" min="10" max="10"/>
    <col width="10" customWidth="1" style="107" min="11" max="11"/>
    <col width="34" customWidth="1" style="107" min="12" max="12"/>
  </cols>
  <sheetData>
    <row r="1" ht="26" customHeight="1" s="107">
      <c r="A1" s="118" t="inlineStr">
        <is>
          <t>مطابقة الوردية مع الطلب</t>
        </is>
      </c>
    </row>
    <row r="2" ht="16" customHeight="1" s="107">
      <c r="A2" s="119" t="inlineStr">
        <is>
          <t>كل المحطات توزّع العمالة نصفين متساويين — بينما الطلب ليس نصفين</t>
        </is>
      </c>
    </row>
    <row r="3" ht="30" customHeight="1" s="107">
      <c r="A3" s="120" t="inlineStr">
        <is>
          <t>#</t>
        </is>
      </c>
      <c r="B3" s="120" t="inlineStr">
        <is>
          <t>المحطة</t>
        </is>
      </c>
      <c r="C3" s="120" t="inlineStr">
        <is>
          <t>زيارات الصباح</t>
        </is>
      </c>
      <c r="D3" s="120" t="inlineStr">
        <is>
          <t>زيارات المساء</t>
        </is>
      </c>
      <c r="E3" s="120" t="inlineStr">
        <is>
          <t>عمال صباحاً</t>
        </is>
      </c>
      <c r="F3" s="120" t="inlineStr">
        <is>
          <t>عمال مساءً</t>
        </is>
      </c>
      <c r="G3" s="120" t="inlineStr">
        <is>
          <t>حصة العمالة مساءً</t>
        </is>
      </c>
      <c r="H3" s="120" t="inlineStr">
        <is>
          <t>الفجوة</t>
        </is>
      </c>
      <c r="I3" s="120" t="inlineStr">
        <is>
          <t>حِمل عامل الصباح</t>
        </is>
      </c>
      <c r="J3" s="120" t="inlineStr">
        <is>
          <t>حِمل عامل المساء</t>
        </is>
      </c>
      <c r="K3" s="120" t="inlineStr">
        <is>
          <t>الفارق</t>
        </is>
      </c>
      <c r="L3" s="120" t="inlineStr">
        <is>
          <t>القرار</t>
        </is>
      </c>
    </row>
    <row r="4" ht="22" customHeight="1" s="107">
      <c r="A4" s="121" t="n">
        <v>1</v>
      </c>
      <c r="B4" s="122" t="inlineStr">
        <is>
          <t>النورية</t>
        </is>
      </c>
      <c r="C4" s="132" t="n">
        <v>2087</v>
      </c>
      <c r="D4" s="132" t="n">
        <v>2174</v>
      </c>
      <c r="E4" s="200" t="n">
        <v>11</v>
      </c>
      <c r="F4" s="200" t="n">
        <v>9</v>
      </c>
      <c r="G4" s="198" t="n">
        <v>0.45</v>
      </c>
      <c r="H4" s="201" t="n">
        <v>0.06009999999999999</v>
      </c>
      <c r="I4" s="132" t="n">
        <v>190</v>
      </c>
      <c r="J4" s="132" t="n">
        <v>242</v>
      </c>
      <c r="K4" s="201" t="n">
        <v>0.2726179946020728</v>
      </c>
      <c r="L4" s="123" t="inlineStr">
        <is>
          <t>انقل 1 عامل من الصباح إلى المساء</t>
        </is>
      </c>
    </row>
    <row r="5" ht="22" customHeight="1" s="107">
      <c r="A5" s="121" t="n">
        <v>2</v>
      </c>
      <c r="B5" s="122" t="inlineStr">
        <is>
          <t>عرفات الشوقية</t>
        </is>
      </c>
      <c r="C5" s="132" t="n">
        <v>567</v>
      </c>
      <c r="D5" s="132" t="n">
        <v>702</v>
      </c>
      <c r="E5" s="200" t="n">
        <v>3</v>
      </c>
      <c r="F5" s="200" t="n">
        <v>3</v>
      </c>
      <c r="G5" s="198" t="n">
        <v>0.5</v>
      </c>
      <c r="H5" s="201" t="n">
        <v>0.05289999999999995</v>
      </c>
      <c r="I5" s="132" t="n">
        <v>189</v>
      </c>
      <c r="J5" s="132" t="n">
        <v>234</v>
      </c>
      <c r="K5" s="201" t="n">
        <v>0.2366360993066428</v>
      </c>
      <c r="L5" s="123" t="inlineStr">
        <is>
          <t>الفجوة أقل من عامل — عالجها بمواعيد الدخول لا بالعدد</t>
        </is>
      </c>
    </row>
    <row r="6" ht="22" customHeight="1" s="107">
      <c r="A6" s="121" t="n">
        <v>3</v>
      </c>
      <c r="B6" s="122" t="inlineStr">
        <is>
          <t>المعيصم</t>
        </is>
      </c>
      <c r="C6" s="132" t="n">
        <v>429</v>
      </c>
      <c r="D6" s="132" t="n">
        <v>435</v>
      </c>
      <c r="E6" s="200" t="n">
        <v>2</v>
      </c>
      <c r="F6" s="200" t="n">
        <v>2</v>
      </c>
      <c r="G6" s="198" t="n">
        <v>0.5</v>
      </c>
      <c r="H6" s="201" t="n">
        <v>0.003600000000000048</v>
      </c>
      <c r="I6" s="132" t="n">
        <v>214</v>
      </c>
      <c r="J6" s="132" t="n">
        <v>218</v>
      </c>
      <c r="K6" s="201" t="n">
        <v>0.01450443190975026</v>
      </c>
      <c r="L6" s="123" t="inlineStr">
        <is>
          <t>الفجوة أقل من عامل — عالجها بمواعيد الدخول لا بالعدد</t>
        </is>
      </c>
    </row>
    <row r="7" ht="22" customHeight="1" s="107">
      <c r="A7" s="121" t="n">
        <v>4</v>
      </c>
      <c r="B7" s="122" t="inlineStr">
        <is>
          <t>الفردوس</t>
        </is>
      </c>
      <c r="C7" s="132" t="n">
        <v>356</v>
      </c>
      <c r="D7" s="132" t="n">
        <v>434</v>
      </c>
      <c r="E7" s="200" t="n">
        <v>2</v>
      </c>
      <c r="F7" s="200" t="n">
        <v>2</v>
      </c>
      <c r="G7" s="198" t="n">
        <v>0.5</v>
      </c>
      <c r="H7" s="201" t="n">
        <v>0.04890000000000005</v>
      </c>
      <c r="I7" s="132" t="n">
        <v>178</v>
      </c>
      <c r="J7" s="132" t="n">
        <v>217</v>
      </c>
      <c r="K7" s="201" t="n">
        <v>0.2168033695411218</v>
      </c>
      <c r="L7" s="123" t="inlineStr">
        <is>
          <t>الفجوة أقل من عامل — عالجها بمواعيد الدخول لا بالعدد</t>
        </is>
      </c>
    </row>
    <row r="8" ht="22" customHeight="1" s="107">
      <c r="A8" s="121" t="n">
        <v>5</v>
      </c>
      <c r="B8" s="122" t="inlineStr">
        <is>
          <t>عرفات الشرائع</t>
        </is>
      </c>
      <c r="C8" s="132" t="n">
        <v>194</v>
      </c>
      <c r="D8" s="132" t="n">
        <v>249</v>
      </c>
      <c r="E8" s="200" t="n">
        <v>2</v>
      </c>
      <c r="F8" s="200" t="n">
        <v>2</v>
      </c>
      <c r="G8" s="198" t="n">
        <v>0.5</v>
      </c>
      <c r="H8" s="201" t="n">
        <v>0.06100000000000005</v>
      </c>
      <c r="I8" s="132" t="n">
        <v>97</v>
      </c>
      <c r="J8" s="132" t="n">
        <v>124</v>
      </c>
      <c r="K8" s="201" t="n">
        <v>0.2779043280182234</v>
      </c>
      <c r="L8" s="123" t="inlineStr">
        <is>
          <t>الفجوة أقل من عامل — عالجها بمواعيد الدخول لا بالعدد</t>
        </is>
      </c>
    </row>
    <row r="10">
      <c r="B10" s="128" t="inlineStr">
        <is>
          <t>ما تقوله الأرقام</t>
        </is>
      </c>
    </row>
    <row r="11" ht="16" customHeight="1" s="107">
      <c r="C11" s="129" t="inlineStr">
        <is>
          <t>•  عامل المساء يخدم ٢٢–٢٨٪ زيارات أكثر من عامل الصباح في أربع محطات من خمس</t>
        </is>
      </c>
    </row>
    <row r="12" ht="16" customHeight="1" s="107">
      <c r="C12" s="129" t="inlineStr">
        <is>
          <t>•  السبب أن العمالة موزّعة ٥٠/٥٠ بينما الطلب المسائي ٥٥–٥٦٪ من الزيارات</t>
        </is>
      </c>
    </row>
    <row r="13" ht="16" customHeight="1" s="107">
      <c r="C13" s="129" t="inlineStr">
        <is>
          <t>•  المعيصم وحدها متوازنة — لأن ذروتها ٥ إلى ٧ مساءً لا بعد التاسعة</t>
        </is>
      </c>
    </row>
    <row r="15">
      <c r="B15" s="128" t="inlineStr">
        <is>
          <t>لماذا يهم هذا في نموذج الحافز</t>
        </is>
      </c>
    </row>
    <row r="16" ht="16" customHeight="1" s="107">
      <c r="C16" s="129" t="inlineStr">
        <is>
          <t>•  خط أساس موحّد لكل العمال يظلم عامل المساء ويكافئ عامل الصباح على أقل جهد</t>
        </is>
      </c>
    </row>
    <row r="17" ht="16" customHeight="1" s="107">
      <c r="C17" s="129" t="inlineStr">
        <is>
          <t>•  لذلك يُشتق خط الأساس من حصة الوردية الفعلية — لا من متوسط المحطة</t>
        </is>
      </c>
    </row>
    <row r="18" ht="16" customHeight="1" s="107">
      <c r="C18" s="129" t="inlineStr">
        <is>
          <t>•  الاشتقاق يجعل ٥٪ نمو تعني الجهد نفسه على الورديتين</t>
        </is>
      </c>
    </row>
    <row r="20">
      <c r="B20" s="130" t="inlineStr">
        <is>
          <t>حدود ما يمكن تنفيذه</t>
        </is>
      </c>
    </row>
    <row r="21" ht="16" customHeight="1" s="107">
      <c r="C21" s="129" t="inlineStr">
        <is>
          <t>•  النورية وحدها فيها عمالة تكفي لنقل عامل كامل (٢٠ عاملاً على المضخات)</t>
        </is>
      </c>
    </row>
    <row r="22" ht="16" customHeight="1" s="107">
      <c r="C22" s="129" t="inlineStr">
        <is>
          <t>•  بقية المحطات فجوتها أقل من عامل — الحل تعديل مواعيد الدخول لا زيادة العدد</t>
        </is>
      </c>
    </row>
    <row r="23" ht="16" customHeight="1" s="107">
      <c r="C23" s="129" t="inlineStr">
        <is>
          <t>•  تكديس الورديات بين ٨ و١٠ مساءً يغطي الذروة دون تكلفة إضافية</t>
        </is>
      </c>
    </row>
  </sheetData>
  <mergeCells count="11">
    <mergeCell ref="C13:L13"/>
    <mergeCell ref="A2:L2"/>
    <mergeCell ref="C23:L23"/>
    <mergeCell ref="C22:L22"/>
    <mergeCell ref="C18:L18"/>
    <mergeCell ref="A1:L1"/>
    <mergeCell ref="C17:L17"/>
    <mergeCell ref="C21:L21"/>
    <mergeCell ref="C12:L12"/>
    <mergeCell ref="C16:L16"/>
    <mergeCell ref="C11:L11"/>
  </mergeCells>
  <conditionalFormatting sqref="H4:H8">
    <cfRule type="cellIs" priority="1" operator="greaterThan" dxfId="7">
      <formula>0.02</formula>
    </cfRule>
  </conditionalFormatting>
  <conditionalFormatting sqref="K4:K8">
    <cfRule type="colorScale" priority="2">
      <colorScale>
        <cfvo type="min"/>
        <cfvo type="max"/>
        <color rgb="00FFFFFF"/>
        <color rgb="00F2DAD4"/>
      </colorScale>
    </cfRule>
  </conditionalFormatting>
  <printOptions horizontalCentered="1"/>
  <pageMargins left="0.3" right="0.3" top="0.4" bottom="0.4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G6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106" min="1" max="1"/>
    <col width="24" customWidth="1" style="106" min="2" max="2"/>
    <col width="15" customWidth="1" style="106" min="3" max="6"/>
    <col width="38" customWidth="1" style="106" min="7" max="7"/>
  </cols>
  <sheetData>
    <row r="1" ht="25.5" customHeight="1" s="107">
      <c r="A1" s="118" t="inlineStr">
        <is>
          <t>تجربة الشرايع MK019 — خدمة ممتازة وتوزيع مناديل</t>
        </is>
      </c>
      <c r="B1" s="109" t="n"/>
      <c r="C1" s="109" t="n"/>
      <c r="D1" s="109" t="n"/>
      <c r="E1" s="109" t="n"/>
      <c r="F1" s="109" t="n"/>
      <c r="G1" s="109" t="n"/>
    </row>
    <row r="2" ht="18" customHeight="1" s="107">
      <c r="A2" s="119" t="inlineStr">
        <is>
          <t>المنافس يعترض العميل قبلنا · والعميل ما زال يمرّ — فالتجربة اختبار لسبب التجاوز</t>
        </is>
      </c>
      <c r="B2" s="109" t="n"/>
      <c r="C2" s="109" t="n"/>
      <c r="D2" s="109" t="n"/>
      <c r="E2" s="109" t="n"/>
      <c r="F2" s="109" t="n"/>
      <c r="G2" s="109" t="n"/>
    </row>
    <row r="3" ht="21.75" customHeight="1" s="107">
      <c r="A3" s="142" t="inlineStr">
        <is>
          <t>خط الأساس</t>
        </is>
      </c>
      <c r="B3" s="143" t="n"/>
      <c r="C3" s="143" t="n"/>
      <c r="D3" s="143" t="n"/>
      <c r="E3" s="143" t="n"/>
      <c r="F3" s="143" t="n"/>
      <c r="G3" s="143" t="n"/>
    </row>
    <row r="4" ht="30" customHeight="1" s="107">
      <c r="A4" s="111" t="inlineStr">
        <is>
          <t>#</t>
        </is>
      </c>
      <c r="B4" s="111" t="inlineStr">
        <is>
          <t>المؤشر</t>
        </is>
      </c>
      <c r="C4" s="111" t="inlineStr">
        <is>
          <t>القيمة</t>
        </is>
      </c>
      <c r="D4" s="111" t="inlineStr">
        <is>
          <t>الفترة</t>
        </is>
      </c>
      <c r="E4" s="111" t="n"/>
      <c r="F4" s="111" t="n"/>
      <c r="G4" s="111" t="inlineStr">
        <is>
          <t>ملاحظة</t>
        </is>
      </c>
    </row>
    <row r="5" ht="19.5" customHeight="1" s="107">
      <c r="A5" s="112" t="n">
        <v>1</v>
      </c>
      <c r="B5" s="148" t="inlineStr">
        <is>
          <t>الزيارات يومياً</t>
        </is>
      </c>
      <c r="C5" s="149" t="n">
        <v>378</v>
      </c>
      <c r="D5" s="112" t="inlineStr">
        <is>
          <t>يونيو – 4 أغسطس</t>
        </is>
      </c>
      <c r="E5" s="112" t="n"/>
      <c r="F5" s="112" t="n"/>
      <c r="G5" s="114" t="inlineStr">
        <is>
          <t>يناير كان 830</t>
        </is>
      </c>
    </row>
    <row r="6" ht="19.5" customHeight="1" s="107">
      <c r="A6" s="112" t="n">
        <v>2</v>
      </c>
      <c r="B6" s="148" t="inlineStr">
        <is>
          <t>لتر لكل زيارة</t>
        </is>
      </c>
      <c r="C6" s="202" t="n">
        <v>23.15</v>
      </c>
      <c r="D6" s="112" t="inlineStr">
        <is>
          <t>ثابت طوال الفترة</t>
        </is>
      </c>
      <c r="E6" s="112" t="n"/>
      <c r="F6" s="112" t="n"/>
      <c r="G6" s="114" t="inlineStr">
        <is>
          <t>السلة لم تتأثر — الفقد في العدد</t>
        </is>
      </c>
    </row>
    <row r="7" ht="19.5" customHeight="1" s="107">
      <c r="A7" s="112" t="n">
        <v>3</v>
      </c>
      <c r="B7" s="148" t="inlineStr">
        <is>
          <t>هامش المساهمة لكل زيارة</t>
        </is>
      </c>
      <c r="C7" s="202" t="n">
        <v>3.09</v>
      </c>
      <c r="D7" s="112" t="inlineStr">
        <is>
          <t>ريال</t>
        </is>
      </c>
      <c r="E7" s="112" t="n"/>
      <c r="F7" s="112" t="n"/>
      <c r="G7" s="114" t="inlineStr">
        <is>
          <t>23.15 لتر × 13.36 هللة</t>
        </is>
      </c>
    </row>
    <row r="8" ht="19.5" customHeight="1" s="107">
      <c r="A8" s="112" t="n">
        <v>4</v>
      </c>
      <c r="B8" s="148" t="inlineStr">
        <is>
          <t>العمال</t>
        </is>
      </c>
      <c r="C8" s="149" t="n">
        <v>5</v>
      </c>
      <c r="D8" s="112" t="inlineStr">
        <is>
          <t>المتفق 6</t>
        </is>
      </c>
      <c r="E8" s="112" t="n"/>
      <c r="F8" s="112" t="n"/>
      <c r="G8" s="114" t="inlineStr">
        <is>
          <t>نقص عامل واحد</t>
        </is>
      </c>
    </row>
    <row r="9" ht="19.5" customHeight="1" s="107">
      <c r="A9" s="112" t="n">
        <v>5</v>
      </c>
      <c r="B9" s="148" t="inlineStr">
        <is>
          <t>المضخات</t>
        </is>
      </c>
      <c r="C9" s="149" t="n">
        <v>6</v>
      </c>
      <c r="D9" s="112" t="n"/>
      <c r="E9" s="112" t="n"/>
      <c r="F9" s="112" t="n"/>
      <c r="G9" s="114" t="inlineStr">
        <is>
          <t>الطاقة غير مقيِّدة</t>
        </is>
      </c>
    </row>
    <row r="10" ht="19.5" customHeight="1" s="107">
      <c r="A10" s="112" t="n">
        <v>6</v>
      </c>
      <c r="B10" s="148" t="inlineStr">
        <is>
          <t>ساعة الذروة</t>
        </is>
      </c>
      <c r="C10" s="149" t="n">
        <v>21</v>
      </c>
      <c r="D10" s="112" t="n"/>
      <c r="E10" s="112" t="n"/>
      <c r="F10" s="112" t="n"/>
      <c r="G10" s="114" t="inlineStr">
        <is>
          <t>توقيت التوزيع الأمثل</t>
        </is>
      </c>
    </row>
    <row r="11">
      <c r="A11" s="109" t="n"/>
      <c r="B11" s="109" t="n"/>
      <c r="C11" s="109" t="n"/>
      <c r="D11" s="109" t="n"/>
      <c r="E11" s="109" t="n"/>
      <c r="F11" s="109" t="n"/>
      <c r="G11" s="109" t="n"/>
    </row>
    <row r="12" ht="21.75" customHeight="1" s="107">
      <c r="A12" s="142" t="inlineStr">
        <is>
          <t>اقتصاديات التدخل</t>
        </is>
      </c>
      <c r="B12" s="143" t="n"/>
      <c r="C12" s="143" t="n"/>
      <c r="D12" s="143" t="n"/>
      <c r="E12" s="143" t="n"/>
      <c r="F12" s="143" t="n"/>
      <c r="G12" s="143" t="n"/>
    </row>
    <row r="13" ht="15" customHeight="1" s="107">
      <c r="A13" s="109" t="n"/>
      <c r="B13" s="144" t="inlineStr">
        <is>
          <t>تكلفة الوحدة الموزّعة (ريال)</t>
        </is>
      </c>
      <c r="C13" s="183" t="n"/>
      <c r="D13" s="109" t="n"/>
      <c r="E13" s="109" t="n"/>
      <c r="F13" s="109" t="n"/>
      <c r="G13" s="109" t="n"/>
    </row>
    <row r="14" ht="15" customHeight="1" s="107">
      <c r="A14" s="109" t="n"/>
      <c r="B14" s="144" t="inlineStr">
        <is>
          <t>نسبة الزيارات التي تُوزَّع عليها</t>
        </is>
      </c>
      <c r="C14" s="203" t="n"/>
      <c r="D14" s="109" t="n"/>
      <c r="E14" s="109" t="n"/>
      <c r="F14" s="109" t="n"/>
      <c r="G14" s="109" t="n"/>
    </row>
    <row r="15" ht="15" customHeight="1" s="107">
      <c r="A15" s="109" t="n"/>
      <c r="B15" s="144" t="inlineStr">
        <is>
          <t>تكلفة إضافية أخرى شهرياً (تدريب · مشرف)</t>
        </is>
      </c>
      <c r="C15" s="185" t="n"/>
      <c r="D15" s="109" t="n"/>
      <c r="E15" s="109" t="n"/>
      <c r="F15" s="109" t="n"/>
      <c r="G15" s="109" t="n"/>
    </row>
    <row r="16" ht="15" customHeight="1" s="107">
      <c r="A16" s="109" t="n"/>
      <c r="B16" s="144" t="inlineStr">
        <is>
          <t>مدة التجربة (أسبوع)</t>
        </is>
      </c>
      <c r="C16" s="186" t="n">
        <v>8</v>
      </c>
      <c r="D16" s="109" t="n"/>
      <c r="E16" s="109" t="n"/>
      <c r="F16" s="109" t="n"/>
      <c r="G16" s="109" t="n"/>
    </row>
    <row r="17">
      <c r="A17" s="109" t="n"/>
      <c r="B17" s="109" t="n"/>
      <c r="C17" s="109" t="n"/>
      <c r="D17" s="109" t="n"/>
      <c r="E17" s="109" t="n"/>
      <c r="F17" s="109" t="n"/>
      <c r="G17" s="109" t="n"/>
    </row>
    <row r="18" ht="30" customHeight="1" s="107">
      <c r="A18" s="111" t="inlineStr">
        <is>
          <t>#</t>
        </is>
      </c>
      <c r="B18" s="111" t="inlineStr">
        <is>
          <t>البند</t>
        </is>
      </c>
      <c r="C18" s="111" t="inlineStr">
        <is>
          <t>القيمة</t>
        </is>
      </c>
      <c r="D18" s="111" t="n"/>
      <c r="E18" s="111" t="n"/>
      <c r="F18" s="111" t="n"/>
      <c r="G18" s="111" t="inlineStr">
        <is>
          <t>الدلالة</t>
        </is>
      </c>
    </row>
    <row r="19" ht="19.5" customHeight="1" s="107">
      <c r="A19" s="112" t="n">
        <v>1</v>
      </c>
      <c r="B19" s="148" t="inlineStr">
        <is>
          <t>تكلفة التوزيع يومياً</t>
        </is>
      </c>
      <c r="C19" s="149">
        <f>378*C14*C13</f>
        <v/>
      </c>
      <c r="D19" s="112" t="n"/>
      <c r="E19" s="112" t="n"/>
      <c r="F19" s="112" t="n"/>
      <c r="G19" s="114" t="inlineStr">
        <is>
          <t>قبل أي نمو</t>
        </is>
      </c>
    </row>
    <row r="20" ht="19.5" customHeight="1" s="107">
      <c r="A20" s="112" t="n">
        <v>2</v>
      </c>
      <c r="B20" s="148" t="inlineStr">
        <is>
          <t>الزيارات الإضافية للتعادل</t>
        </is>
      </c>
      <c r="C20" s="149">
        <f>IFERROR(C19/3.09,"")</f>
        <v/>
      </c>
      <c r="D20" s="112" t="n"/>
      <c r="E20" s="112" t="n"/>
      <c r="F20" s="112" t="n"/>
      <c r="G20" s="114" t="inlineStr">
        <is>
          <t>الهامش لكل زيارة 3.09 ريال</t>
        </is>
      </c>
    </row>
    <row r="21" ht="19.5" customHeight="1" s="107">
      <c r="A21" s="112" t="n">
        <v>3</v>
      </c>
      <c r="B21" s="148" t="inlineStr">
        <is>
          <t>نسبة النمو المطلوبة للتعادل</t>
        </is>
      </c>
      <c r="C21" s="158">
        <f>IFERROR(C20/378,"")</f>
        <v/>
      </c>
      <c r="D21" s="112" t="n"/>
      <c r="E21" s="112" t="n"/>
      <c r="F21" s="112" t="n"/>
      <c r="G21" s="114" t="inlineStr">
        <is>
          <t>دون هذه النسبة التجربة خاسرة</t>
        </is>
      </c>
    </row>
    <row r="22" ht="19.5" customHeight="1" s="107">
      <c r="A22" s="112" t="n">
        <v>4</v>
      </c>
      <c r="B22" s="148" t="inlineStr">
        <is>
          <t>سقف الاسترداد الممكن</t>
        </is>
      </c>
      <c r="C22" s="149">
        <f>830-378</f>
        <v/>
      </c>
      <c r="D22" s="112" t="n"/>
      <c r="E22" s="112" t="n"/>
      <c r="F22" s="112" t="n"/>
      <c r="G22" s="114" t="inlineStr">
        <is>
          <t>العودة الكاملة لمستوى يناير</t>
        </is>
      </c>
    </row>
    <row r="23" ht="19.5" customHeight="1" s="107">
      <c r="A23" s="112" t="n">
        <v>5</v>
      </c>
      <c r="B23" s="148" t="inlineStr">
        <is>
          <t>أقصى نمو ممكن</t>
        </is>
      </c>
      <c r="C23" s="158">
        <f>IFERROR(C22/378,"")</f>
        <v/>
      </c>
      <c r="D23" s="112" t="n"/>
      <c r="E23" s="112" t="n"/>
      <c r="F23" s="112" t="n"/>
      <c r="G23" s="114" t="inlineStr">
        <is>
          <t>الحد الأعلى لما يمكن استرداده</t>
        </is>
      </c>
    </row>
    <row r="24">
      <c r="A24" s="109" t="n"/>
      <c r="B24" s="109" t="n"/>
      <c r="C24" s="109" t="n"/>
      <c r="D24" s="109" t="n"/>
      <c r="E24" s="109" t="n"/>
      <c r="F24" s="109" t="n"/>
      <c r="G24" s="109" t="n"/>
    </row>
    <row r="25" ht="21.75" customHeight="1" s="107">
      <c r="A25" s="142" t="inlineStr">
        <is>
          <t>المتابعة — ما يُسجَّل يومياً</t>
        </is>
      </c>
      <c r="B25" s="143" t="n"/>
      <c r="C25" s="143" t="n"/>
      <c r="D25" s="143" t="n"/>
      <c r="E25" s="143" t="n"/>
      <c r="F25" s="143" t="n"/>
      <c r="G25" s="143" t="n"/>
    </row>
    <row r="26" ht="30" customHeight="1" s="107">
      <c r="A26" s="111" t="inlineStr">
        <is>
          <t>#</t>
        </is>
      </c>
      <c r="B26" s="111" t="inlineStr">
        <is>
          <t>المؤشر</t>
        </is>
      </c>
      <c r="C26" s="111" t="inlineStr">
        <is>
          <t>المصدر</t>
        </is>
      </c>
      <c r="D26" s="111" t="inlineStr">
        <is>
          <t>التكرار</t>
        </is>
      </c>
      <c r="E26" s="111" t="inlineStr">
        <is>
          <t>المسؤول</t>
        </is>
      </c>
      <c r="F26" s="111" t="n"/>
      <c r="G26" s="111" t="inlineStr">
        <is>
          <t>لماذا هذا المؤشر</t>
        </is>
      </c>
    </row>
    <row r="27" ht="19.5" customHeight="1" s="107">
      <c r="A27" s="112" t="n">
        <v>1</v>
      </c>
      <c r="B27" s="148" t="inlineStr">
        <is>
          <t>الزيارات اليومية</t>
        </is>
      </c>
      <c r="C27" s="112" t="inlineStr">
        <is>
          <t>نظام المحطة</t>
        </is>
      </c>
      <c r="D27" s="112" t="inlineStr">
        <is>
          <t>يومي</t>
        </is>
      </c>
      <c r="E27" s="112" t="inlineStr">
        <is>
          <t>مدير المحطة</t>
        </is>
      </c>
      <c r="F27" s="112" t="n"/>
      <c r="G27" s="114" t="inlineStr">
        <is>
          <t>المؤشر الرئيسي — الفقد كان في العدد</t>
        </is>
      </c>
    </row>
    <row r="28" ht="19.5" customHeight="1" s="107">
      <c r="A28" s="112" t="n">
        <v>2</v>
      </c>
      <c r="B28" s="148" t="inlineStr">
        <is>
          <t>اللترات اليومية</t>
        </is>
      </c>
      <c r="C28" s="112" t="inlineStr">
        <is>
          <t>نظام المحطة</t>
        </is>
      </c>
      <c r="D28" s="112" t="inlineStr">
        <is>
          <t>يومي</t>
        </is>
      </c>
      <c r="E28" s="112" t="inlineStr">
        <is>
          <t>مدير المحطة</t>
        </is>
      </c>
      <c r="F28" s="112" t="n"/>
      <c r="G28" s="114" t="inlineStr">
        <is>
          <t>للتأكد أن السلة لم تنخفض</t>
        </is>
      </c>
    </row>
    <row r="29" ht="19.5" customHeight="1" s="107">
      <c r="A29" s="112" t="n">
        <v>3</v>
      </c>
      <c r="B29" s="148" t="inlineStr">
        <is>
          <t>لتر لكل زيارة</t>
        </is>
      </c>
      <c r="C29" s="112" t="inlineStr">
        <is>
          <t>محسوب</t>
        </is>
      </c>
      <c r="D29" s="112" t="inlineStr">
        <is>
          <t>يومي</t>
        </is>
      </c>
      <c r="E29" s="112" t="inlineStr">
        <is>
          <t>—</t>
        </is>
      </c>
      <c r="F29" s="112" t="n"/>
      <c r="G29" s="114" t="inlineStr">
        <is>
          <t>إن انخفض فالنمو من عملاء أصغر</t>
        </is>
      </c>
    </row>
    <row r="30" ht="19.5" customHeight="1" s="107">
      <c r="A30" s="112" t="n">
        <v>4</v>
      </c>
      <c r="B30" s="148" t="inlineStr">
        <is>
          <t>الوحدات الموزّعة</t>
        </is>
      </c>
      <c r="C30" s="112" t="inlineStr">
        <is>
          <t>سجل يدوي</t>
        </is>
      </c>
      <c r="D30" s="112" t="inlineStr">
        <is>
          <t>يومي</t>
        </is>
      </c>
      <c r="E30" s="112" t="inlineStr">
        <is>
          <t>المشرف</t>
        </is>
      </c>
      <c r="F30" s="112" t="n"/>
      <c r="G30" s="114" t="inlineStr">
        <is>
          <t>لربط التكلفة بالأثر</t>
        </is>
      </c>
    </row>
    <row r="31" ht="19.5" customHeight="1" s="107">
      <c r="A31" s="112" t="n">
        <v>5</v>
      </c>
      <c r="B31" s="148" t="inlineStr">
        <is>
          <t>زمن التعبئة في الذروة</t>
        </is>
      </c>
      <c r="C31" s="112" t="inlineStr">
        <is>
          <t>قياس عيّنة</t>
        </is>
      </c>
      <c r="D31" s="112" t="inlineStr">
        <is>
          <t>أسبوعي</t>
        </is>
      </c>
      <c r="E31" s="112" t="inlineStr">
        <is>
          <t>المشرف</t>
        </is>
      </c>
      <c r="F31" s="112" t="n"/>
      <c r="G31" s="114" t="inlineStr">
        <is>
          <t>الخدمة الممتازة يجب أن تُقاس</t>
        </is>
      </c>
    </row>
    <row r="32" ht="19.5" customHeight="1" s="107">
      <c r="A32" s="112" t="n">
        <v>6</v>
      </c>
      <c r="B32" s="148" t="inlineStr">
        <is>
          <t>الشكاوى</t>
        </is>
      </c>
      <c r="C32" s="112" t="inlineStr">
        <is>
          <t>خدمة العملاء</t>
        </is>
      </c>
      <c r="D32" s="112" t="inlineStr">
        <is>
          <t>أسبوعي</t>
        </is>
      </c>
      <c r="E32" s="112" t="inlineStr">
        <is>
          <t>خدمة العملاء</t>
        </is>
      </c>
      <c r="F32" s="112" t="n"/>
      <c r="G32" s="114" t="inlineStr">
        <is>
          <t>مؤشر عكسي للجودة</t>
        </is>
      </c>
    </row>
    <row r="33" ht="19.5" customHeight="1" s="107">
      <c r="A33" s="112" t="n">
        <v>7</v>
      </c>
      <c r="B33" s="204" t="inlineStr">
        <is>
          <t>زيارات المحطة المرجع</t>
        </is>
      </c>
      <c r="C33" s="112" t="inlineStr">
        <is>
          <t>نظام المحطة</t>
        </is>
      </c>
      <c r="D33" s="112" t="inlineStr">
        <is>
          <t>أسبوعي</t>
        </is>
      </c>
      <c r="E33" s="112" t="inlineStr">
        <is>
          <t>التحليل</t>
        </is>
      </c>
      <c r="F33" s="112" t="n"/>
      <c r="G33" s="114" t="inlineStr">
        <is>
          <t>لعزل أثر الموسم عن أثر التدخل</t>
        </is>
      </c>
    </row>
    <row r="34">
      <c r="A34" s="109" t="n"/>
      <c r="B34" s="109" t="n"/>
      <c r="C34" s="109" t="n"/>
      <c r="D34" s="109" t="n"/>
      <c r="E34" s="109" t="n"/>
      <c r="F34" s="109" t="n"/>
      <c r="G34" s="109" t="n"/>
    </row>
    <row r="35" ht="21.75" customHeight="1" s="107">
      <c r="A35" s="142" t="inlineStr">
        <is>
          <t>سجل المتابعة الأسبوعي</t>
        </is>
      </c>
      <c r="B35" s="143" t="n"/>
      <c r="C35" s="143" t="n"/>
      <c r="D35" s="143" t="n"/>
      <c r="E35" s="143" t="n"/>
      <c r="F35" s="143" t="n"/>
      <c r="G35" s="143" t="n"/>
    </row>
    <row r="36" ht="30" customHeight="1" s="107">
      <c r="A36" s="111" t="inlineStr">
        <is>
          <t>الأسبوع</t>
        </is>
      </c>
      <c r="B36" s="111" t="inlineStr">
        <is>
          <t>زيارة/يوم</t>
        </is>
      </c>
      <c r="C36" s="111" t="inlineStr">
        <is>
          <t>لتر/زيارة</t>
        </is>
      </c>
      <c r="D36" s="111" t="inlineStr">
        <is>
          <t>وحدات موزّعة</t>
        </is>
      </c>
      <c r="E36" s="111" t="inlineStr">
        <is>
          <t>التكلفة</t>
        </is>
      </c>
      <c r="F36" s="111" t="inlineStr">
        <is>
          <t>الفارق عن الأساس</t>
        </is>
      </c>
      <c r="G36" s="111" t="inlineStr">
        <is>
          <t>الحكم</t>
        </is>
      </c>
    </row>
    <row r="37" ht="18.75" customHeight="1" s="107">
      <c r="A37" s="205" t="inlineStr">
        <is>
          <t>أسبوع 1</t>
        </is>
      </c>
      <c r="B37" s="206" t="n"/>
      <c r="C37" s="206" t="n"/>
      <c r="D37" s="206" t="n"/>
      <c r="E37" s="206" t="n"/>
      <c r="F37" s="150">
        <f>IF(B37="","",B37-378)</f>
        <v/>
      </c>
      <c r="G37" s="112">
        <f>IF(B37="","",IF(F37*3.09&gt;E37/7,"مربح","دون التعادل"))</f>
        <v/>
      </c>
    </row>
    <row r="38" ht="18.75" customHeight="1" s="107">
      <c r="A38" s="205" t="inlineStr">
        <is>
          <t>أسبوع 2</t>
        </is>
      </c>
      <c r="B38" s="206" t="n"/>
      <c r="C38" s="206" t="n"/>
      <c r="D38" s="206" t="n"/>
      <c r="E38" s="206" t="n"/>
      <c r="F38" s="150">
        <f>IF(B38="","",B38-378)</f>
        <v/>
      </c>
      <c r="G38" s="112">
        <f>IF(B38="","",IF(F38*3.09&gt;E38/7,"مربح","دون التعادل"))</f>
        <v/>
      </c>
    </row>
    <row r="39" ht="18.75" customHeight="1" s="107">
      <c r="A39" s="205" t="inlineStr">
        <is>
          <t>أسبوع 3</t>
        </is>
      </c>
      <c r="B39" s="206" t="n"/>
      <c r="C39" s="206" t="n"/>
      <c r="D39" s="206" t="n"/>
      <c r="E39" s="206" t="n"/>
      <c r="F39" s="150">
        <f>IF(B39="","",B39-378)</f>
        <v/>
      </c>
      <c r="G39" s="112">
        <f>IF(B39="","",IF(F39*3.09&gt;E39/7,"مربح","دون التعادل"))</f>
        <v/>
      </c>
    </row>
    <row r="40" ht="18.75" customHeight="1" s="107">
      <c r="A40" s="205" t="inlineStr">
        <is>
          <t>أسبوع 4</t>
        </is>
      </c>
      <c r="B40" s="206" t="n"/>
      <c r="C40" s="206" t="n"/>
      <c r="D40" s="206" t="n"/>
      <c r="E40" s="206" t="n"/>
      <c r="F40" s="150">
        <f>IF(B40="","",B40-378)</f>
        <v/>
      </c>
      <c r="G40" s="112">
        <f>IF(B40="","",IF(F40*3.09&gt;E40/7,"مربح","دون التعادل"))</f>
        <v/>
      </c>
    </row>
    <row r="41" ht="18.75" customHeight="1" s="107">
      <c r="A41" s="205" t="inlineStr">
        <is>
          <t>أسبوع 5</t>
        </is>
      </c>
      <c r="B41" s="206" t="n"/>
      <c r="C41" s="206" t="n"/>
      <c r="D41" s="206" t="n"/>
      <c r="E41" s="206" t="n"/>
      <c r="F41" s="150">
        <f>IF(B41="","",B41-378)</f>
        <v/>
      </c>
      <c r="G41" s="112">
        <f>IF(B41="","",IF(F41*3.09&gt;E41/7,"مربح","دون التعادل"))</f>
        <v/>
      </c>
    </row>
    <row r="42" ht="18.75" customHeight="1" s="107">
      <c r="A42" s="205" t="inlineStr">
        <is>
          <t>أسبوع 6</t>
        </is>
      </c>
      <c r="B42" s="206" t="n"/>
      <c r="C42" s="206" t="n"/>
      <c r="D42" s="206" t="n"/>
      <c r="E42" s="206" t="n"/>
      <c r="F42" s="150">
        <f>IF(B42="","",B42-378)</f>
        <v/>
      </c>
      <c r="G42" s="112">
        <f>IF(B42="","",IF(F42*3.09&gt;E42/7,"مربح","دون التعادل"))</f>
        <v/>
      </c>
    </row>
    <row r="43" ht="18.75" customHeight="1" s="107">
      <c r="A43" s="205" t="inlineStr">
        <is>
          <t>أسبوع 7</t>
        </is>
      </c>
      <c r="B43" s="206" t="n"/>
      <c r="C43" s="206" t="n"/>
      <c r="D43" s="206" t="n"/>
      <c r="E43" s="206" t="n"/>
      <c r="F43" s="150">
        <f>IF(B43="","",B43-378)</f>
        <v/>
      </c>
      <c r="G43" s="112">
        <f>IF(B43="","",IF(F43*3.09&gt;E43/7,"مربح","دون التعادل"))</f>
        <v/>
      </c>
    </row>
    <row r="44" ht="18.75" customHeight="1" s="107">
      <c r="A44" s="205" t="inlineStr">
        <is>
          <t>أسبوع 8</t>
        </is>
      </c>
      <c r="B44" s="206" t="n"/>
      <c r="C44" s="206" t="n"/>
      <c r="D44" s="206" t="n"/>
      <c r="E44" s="206" t="n"/>
      <c r="F44" s="150">
        <f>IF(B44="","",B44-378)</f>
        <v/>
      </c>
      <c r="G44" s="112">
        <f>IF(B44="","",IF(F44*3.09&gt;E44/7,"مربح","دون التعادل"))</f>
        <v/>
      </c>
    </row>
    <row r="45">
      <c r="A45" s="109" t="n"/>
      <c r="B45" s="109" t="n"/>
      <c r="C45" s="109" t="n"/>
      <c r="D45" s="109" t="n"/>
      <c r="E45" s="109" t="n"/>
      <c r="F45" s="109" t="n"/>
      <c r="G45" s="109" t="n"/>
    </row>
    <row r="46">
      <c r="A46" s="109" t="n"/>
      <c r="B46" s="109" t="n"/>
      <c r="C46" s="109" t="n"/>
      <c r="D46" s="109" t="n"/>
      <c r="E46" s="109" t="n"/>
      <c r="F46" s="109" t="n"/>
      <c r="G46" s="109" t="n"/>
    </row>
    <row r="47" ht="15" customHeight="1" s="107">
      <c r="A47" s="109" t="n"/>
      <c r="B47" s="128" t="inlineStr">
        <is>
          <t>لماذا الشرايع تحديداً</t>
        </is>
      </c>
      <c r="C47" s="109" t="n"/>
      <c r="D47" s="109" t="n"/>
      <c r="E47" s="109" t="n"/>
      <c r="F47" s="109" t="n"/>
      <c r="G47" s="109" t="n"/>
    </row>
    <row r="48" ht="15.75" customHeight="1" s="107">
      <c r="A48" s="109" t="n"/>
      <c r="B48" s="109" t="n"/>
      <c r="C48" s="129" t="inlineStr">
        <is>
          <t>•  الفقد سببه اعتراض منافس — والعميل ما زال يمرّ على الطريق</t>
        </is>
      </c>
      <c r="D48" s="109" t="n"/>
      <c r="E48" s="109" t="n"/>
      <c r="F48" s="109" t="n"/>
      <c r="G48" s="109" t="n"/>
    </row>
    <row r="49" ht="15.75" customHeight="1" s="107">
      <c r="A49" s="109" t="n"/>
      <c r="B49" s="109" t="n"/>
      <c r="C49" s="129" t="inlineStr">
        <is>
          <t>•  فالتدخل يختبر سؤالاً واحداً: هل يعطي سبباً كافياً لتجاوز المنافس؟</t>
        </is>
      </c>
      <c r="D49" s="109" t="n"/>
      <c r="E49" s="109" t="n"/>
      <c r="F49" s="109" t="n"/>
      <c r="G49" s="109" t="n"/>
    </row>
    <row r="50" ht="15.75" customHeight="1" s="107">
      <c r="A50" s="109" t="n"/>
      <c r="B50" s="109" t="n"/>
      <c r="C50" s="129" t="inlineStr">
        <is>
          <t>•  بخلاف المعيصم حيث الطريق نفسه تغيّر — ولا تدخّل يعيد سيارة لا تمرّ</t>
        </is>
      </c>
      <c r="D50" s="109" t="n"/>
      <c r="E50" s="109" t="n"/>
      <c r="F50" s="109" t="n"/>
      <c r="G50" s="109" t="n"/>
    </row>
    <row r="51">
      <c r="A51" s="109" t="n"/>
      <c r="B51" s="109" t="n"/>
      <c r="C51" s="109" t="n"/>
      <c r="D51" s="109" t="n"/>
      <c r="E51" s="109" t="n"/>
      <c r="F51" s="109" t="n"/>
      <c r="G51" s="109" t="n"/>
    </row>
    <row r="52" ht="15" customHeight="1" s="107">
      <c r="A52" s="109" t="n"/>
      <c r="B52" s="117" t="inlineStr">
        <is>
          <t>تحذير من الأرقام</t>
        </is>
      </c>
      <c r="C52" s="109" t="n"/>
      <c r="D52" s="109" t="n"/>
      <c r="E52" s="109" t="n"/>
      <c r="F52" s="109" t="n"/>
      <c r="G52" s="109" t="n"/>
    </row>
    <row r="53" ht="15.75" customHeight="1" s="107">
      <c r="A53" s="109" t="n"/>
      <c r="B53" s="109" t="n"/>
      <c r="C53" s="129" t="inlineStr">
        <is>
          <t>•  الهامش لكل زيارة 3.09 ريال فقط — فتكلفة التوزيع تلتهمه بسرعة</t>
        </is>
      </c>
      <c r="D53" s="109" t="n"/>
      <c r="E53" s="109" t="n"/>
      <c r="F53" s="109" t="n"/>
      <c r="G53" s="109" t="n"/>
    </row>
    <row r="54" ht="15.75" customHeight="1" s="107">
      <c r="A54" s="109" t="n"/>
      <c r="B54" s="109" t="n"/>
      <c r="C54" s="129" t="inlineStr">
        <is>
          <t>•  توزيع بريال واحد على كل الزيارات يحتاج نمواً 32% لمجرد التعادل</t>
        </is>
      </c>
      <c r="D54" s="109" t="n"/>
      <c r="E54" s="109" t="n"/>
      <c r="F54" s="109" t="n"/>
      <c r="G54" s="109" t="n"/>
    </row>
    <row r="55" ht="15.75" customHeight="1" s="107">
      <c r="A55" s="109" t="n"/>
      <c r="B55" s="109" t="n"/>
      <c r="C55" s="129" t="inlineStr">
        <is>
          <t>•  وبريال على نصف الزيارات يحتاج 16% — وهو الأقرب للواقع</t>
        </is>
      </c>
      <c r="D55" s="109" t="n"/>
      <c r="E55" s="109" t="n"/>
      <c r="F55" s="109" t="n"/>
      <c r="G55" s="109" t="n"/>
    </row>
    <row r="56" ht="15.75" customHeight="1" s="107">
      <c r="A56" s="109" t="n"/>
      <c r="B56" s="109" t="n"/>
      <c r="C56" s="129" t="inlineStr">
        <is>
          <t>•  ابدأ بالنسبة الأقل والتكلفة الأدنى ثم ارفع إن ثبت الأثر</t>
        </is>
      </c>
      <c r="D56" s="109" t="n"/>
      <c r="E56" s="109" t="n"/>
      <c r="F56" s="109" t="n"/>
      <c r="G56" s="109" t="n"/>
    </row>
    <row r="57">
      <c r="A57" s="109" t="n"/>
      <c r="B57" s="109" t="n"/>
      <c r="C57" s="109" t="n"/>
      <c r="D57" s="109" t="n"/>
      <c r="E57" s="109" t="n"/>
      <c r="F57" s="109" t="n"/>
      <c r="G57" s="109" t="n"/>
    </row>
    <row r="58" ht="15" customHeight="1" s="107">
      <c r="A58" s="109" t="n"/>
      <c r="B58" s="117" t="inlineStr">
        <is>
          <t>شرط صحة القياس</t>
        </is>
      </c>
      <c r="C58" s="109" t="n"/>
      <c r="D58" s="109" t="n"/>
      <c r="E58" s="109" t="n"/>
      <c r="F58" s="109" t="n"/>
      <c r="G58" s="109" t="n"/>
    </row>
    <row r="59" ht="15.75" customHeight="1" s="107">
      <c r="A59" s="109" t="n"/>
      <c r="B59" s="109" t="n"/>
      <c r="C59" s="129" t="inlineStr">
        <is>
          <t>•  محطة مرجع تُقاس بالتوازي — عرفات الشوقية أو أي محطة مستقرة</t>
        </is>
      </c>
      <c r="D59" s="109" t="n"/>
      <c r="E59" s="109" t="n"/>
      <c r="F59" s="109" t="n"/>
      <c r="G59" s="109" t="n"/>
    </row>
    <row r="60" ht="15.75" customHeight="1" s="107">
      <c r="A60" s="109" t="n"/>
      <c r="B60" s="109" t="n"/>
      <c r="C60" s="129" t="inlineStr">
        <is>
          <t>•  بدونها لا يمكن التفريق بين أثر التدخل وأثر الموسم</t>
        </is>
      </c>
      <c r="D60" s="109" t="n"/>
      <c r="E60" s="109" t="n"/>
      <c r="F60" s="109" t="n"/>
      <c r="G60" s="109" t="n"/>
    </row>
    <row r="61" ht="15.75" customHeight="1" s="107">
      <c r="A61" s="109" t="n"/>
      <c r="B61" s="109" t="n"/>
      <c r="C61" s="129" t="inlineStr">
        <is>
          <t>•  والخدمة الممتازة يجب أن تُقاس بزمن التعبئة لا بالانطباع</t>
        </is>
      </c>
      <c r="D61" s="109" t="n"/>
      <c r="E61" s="109" t="n"/>
      <c r="F61" s="109" t="n"/>
      <c r="G61" s="109" t="n"/>
    </row>
    <row r="62">
      <c r="A62" s="109" t="n"/>
      <c r="B62" s="109" t="n"/>
      <c r="C62" s="109" t="n"/>
      <c r="D62" s="109" t="n"/>
      <c r="E62" s="109" t="n"/>
      <c r="F62" s="109" t="n"/>
      <c r="G62" s="109" t="n"/>
    </row>
    <row r="63" ht="15" customHeight="1" s="107">
      <c r="A63" s="109" t="n"/>
      <c r="B63" s="128" t="inlineStr">
        <is>
          <t>قرار الاستمرار</t>
        </is>
      </c>
      <c r="C63" s="109" t="n"/>
      <c r="D63" s="109" t="n"/>
      <c r="E63" s="109" t="n"/>
      <c r="F63" s="109" t="n"/>
      <c r="G63" s="109" t="n"/>
    </row>
    <row r="64" ht="15.75" customHeight="1" s="107">
      <c r="A64" s="109" t="n"/>
      <c r="B64" s="109" t="n"/>
      <c r="C64" s="129" t="inlineStr">
        <is>
          <t>•  بعد 8 أسابيع: إن تجاوز النمو نقطة التعادل يُعمَّم التدخل</t>
        </is>
      </c>
      <c r="D64" s="109" t="n"/>
      <c r="E64" s="109" t="n"/>
      <c r="F64" s="109" t="n"/>
      <c r="G64" s="109" t="n"/>
    </row>
    <row r="65" ht="15.75" customHeight="1" s="107">
      <c r="A65" s="109" t="n"/>
      <c r="B65" s="109" t="n"/>
      <c r="C65" s="129" t="inlineStr">
        <is>
          <t>•  إن كان دون التعادل لكن الاتجاه صاعد يُمدَّد 4 أسابيع بتكلفة أقل</t>
        </is>
      </c>
      <c r="D65" s="109" t="n"/>
      <c r="E65" s="109" t="n"/>
      <c r="F65" s="109" t="n"/>
      <c r="G65" s="109" t="n"/>
    </row>
    <row r="66" ht="15.75" customHeight="1" s="107">
      <c r="A66" s="109" t="n"/>
      <c r="B66" s="109" t="n"/>
      <c r="C66" s="129" t="inlineStr">
        <is>
          <t>•  إن لم يتحرك شيء فالسبب ليس الخدمة — والملف يعود لمعالجة الموقع</t>
        </is>
      </c>
      <c r="D66" s="109" t="n"/>
      <c r="E66" s="109" t="n"/>
      <c r="F66" s="109" t="n"/>
      <c r="G66" s="109" t="n"/>
    </row>
  </sheetData>
  <mergeCells count="19">
    <mergeCell ref="C49:G49"/>
    <mergeCell ref="A35:G35"/>
    <mergeCell ref="C64:G64"/>
    <mergeCell ref="C65:G65"/>
    <mergeCell ref="C54:G54"/>
    <mergeCell ref="C50:G50"/>
    <mergeCell ref="C55:G55"/>
    <mergeCell ref="C56:G56"/>
    <mergeCell ref="C59:G59"/>
    <mergeCell ref="A1:G1"/>
    <mergeCell ref="C60:G60"/>
    <mergeCell ref="A25:G25"/>
    <mergeCell ref="C61:G61"/>
    <mergeCell ref="C48:G48"/>
    <mergeCell ref="A3:G3"/>
    <mergeCell ref="A12:G12"/>
    <mergeCell ref="C66:G66"/>
    <mergeCell ref="A2:G2"/>
    <mergeCell ref="C53:G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59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5390625" defaultRowHeight="15" zeroHeight="0" outlineLevelRow="0"/>
  <cols>
    <col width="9" customWidth="1" style="106" min="1" max="1"/>
    <col width="26" customWidth="1" style="106" min="2" max="2"/>
    <col width="11" customWidth="1" style="106" min="3" max="3"/>
    <col width="12" customWidth="1" style="106" min="4" max="4"/>
    <col width="13" customWidth="1" style="106" min="5" max="5"/>
    <col width="14" customWidth="1" style="106" min="6" max="6"/>
    <col width="12" customWidth="1" style="106" min="7" max="7"/>
    <col width="11" customWidth="1" style="106" min="8" max="8"/>
    <col width="10" customWidth="1" style="106" min="9" max="11"/>
    <col width="9" customWidth="1" style="106" min="12" max="13"/>
  </cols>
  <sheetData>
    <row r="1" ht="25.5" customHeight="1" s="107">
      <c r="A1" s="118" t="inlineStr">
        <is>
          <t>بيانات المحطات</t>
        </is>
      </c>
      <c r="B1" s="109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M1" s="109" t="n"/>
    </row>
    <row r="2" ht="18" customHeight="1" s="107">
      <c r="A2" s="119" t="inlineStr">
        <is>
          <t>55 محطة · 1 يناير – 30 يونيو 2026 · 181 يوماً</t>
        </is>
      </c>
      <c r="B2" s="109" t="n"/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</row>
    <row r="3" ht="30" customHeight="1" s="107">
      <c r="A3" s="111" t="inlineStr">
        <is>
          <t>الرمز</t>
        </is>
      </c>
      <c r="B3" s="111" t="inlineStr">
        <is>
          <t>المحطة</t>
        </is>
      </c>
      <c r="C3" s="111" t="inlineStr">
        <is>
          <t>المنطقة</t>
        </is>
      </c>
      <c r="D3" s="111" t="inlineStr">
        <is>
          <t>نمط الموقع</t>
        </is>
      </c>
      <c r="E3" s="111" t="inlineStr">
        <is>
          <t>أيام البيانات</t>
        </is>
      </c>
      <c r="F3" s="111" t="inlineStr">
        <is>
          <t>بنزين سنوي</t>
        </is>
      </c>
      <c r="G3" s="111" t="inlineStr">
        <is>
          <t>ديزل سنوي</t>
        </is>
      </c>
      <c r="H3" s="111" t="inlineStr">
        <is>
          <t>زيارة/يوم</t>
        </is>
      </c>
      <c r="I3" s="111" t="inlineStr">
        <is>
          <t>النمو</t>
        </is>
      </c>
      <c r="J3" s="111" t="inlineStr">
        <is>
          <t>عمال</t>
        </is>
      </c>
      <c r="K3" s="111" t="inlineStr">
        <is>
          <t>مضخات</t>
        </is>
      </c>
      <c r="L3" s="111" t="inlineStr">
        <is>
          <t>شكاوى</t>
        </is>
      </c>
      <c r="M3" s="111" t="inlineStr">
        <is>
          <t>التطبيق</t>
        </is>
      </c>
    </row>
    <row r="4" ht="16.5" customHeight="1" s="107">
      <c r="A4" s="112" t="inlineStr">
        <is>
          <t>MK007</t>
        </is>
      </c>
      <c r="B4" s="113" t="inlineStr">
        <is>
          <t>العمرة الجديدة</t>
        </is>
      </c>
      <c r="C4" s="112" t="inlineStr">
        <is>
          <t>مكة</t>
        </is>
      </c>
      <c r="D4" s="112" t="inlineStr">
        <is>
          <t>حيوية</t>
        </is>
      </c>
      <c r="E4" s="112" t="n">
        <v>181</v>
      </c>
      <c r="F4" s="149" t="n">
        <v>34063312</v>
      </c>
      <c r="G4" s="149" t="n">
        <v>13312643</v>
      </c>
      <c r="H4" s="149" t="n">
        <v>4236</v>
      </c>
      <c r="I4" s="207" t="n">
        <v>-0.223</v>
      </c>
      <c r="J4" s="112" t="n">
        <v>32</v>
      </c>
      <c r="K4" s="112" t="n">
        <v>18</v>
      </c>
      <c r="L4" s="112" t="n">
        <v>58</v>
      </c>
      <c r="M4" s="156" t="n">
        <v>0.006</v>
      </c>
    </row>
    <row r="5" ht="16.5" customHeight="1" s="107">
      <c r="A5" s="112" t="inlineStr">
        <is>
          <t>MK003</t>
        </is>
      </c>
      <c r="B5" s="113" t="inlineStr">
        <is>
          <t>العوالي</t>
        </is>
      </c>
      <c r="C5" s="112" t="inlineStr">
        <is>
          <t>مكة</t>
        </is>
      </c>
      <c r="D5" s="112" t="inlineStr">
        <is>
          <t>خط سفر</t>
        </is>
      </c>
      <c r="E5" s="112" t="n">
        <v>91</v>
      </c>
      <c r="F5" s="149" t="n">
        <v>35464924</v>
      </c>
      <c r="G5" s="149" t="n">
        <v>0</v>
      </c>
      <c r="H5" s="149" t="n">
        <v>3561</v>
      </c>
      <c r="I5" s="208" t="n">
        <v>0</v>
      </c>
      <c r="J5" s="112" t="n">
        <v>42</v>
      </c>
      <c r="K5" s="112" t="n">
        <v>21</v>
      </c>
      <c r="L5" s="112" t="n"/>
      <c r="M5" s="156" t="n">
        <v>0</v>
      </c>
    </row>
    <row r="6" ht="16.5" customHeight="1" s="107">
      <c r="A6" s="112" t="inlineStr">
        <is>
          <t>MK289</t>
        </is>
      </c>
      <c r="B6" s="113" t="inlineStr">
        <is>
          <t>طريق الليث - الفضيلة</t>
        </is>
      </c>
      <c r="C6" s="112" t="inlineStr">
        <is>
          <t>جدة</t>
        </is>
      </c>
      <c r="D6" s="112" t="inlineStr">
        <is>
          <t>خط سفر</t>
        </is>
      </c>
      <c r="E6" s="112" t="n">
        <v>176</v>
      </c>
      <c r="F6" s="149" t="n">
        <v>10864480</v>
      </c>
      <c r="G6" s="149" t="n">
        <v>19344811</v>
      </c>
      <c r="H6" s="149" t="n">
        <v>1892</v>
      </c>
      <c r="I6" s="209" t="n">
        <v>0.273</v>
      </c>
      <c r="J6" s="112" t="n"/>
      <c r="K6" s="112" t="n"/>
      <c r="L6" s="112" t="n"/>
      <c r="M6" s="156" t="n">
        <v>0</v>
      </c>
    </row>
    <row r="7" ht="16.5" customHeight="1" s="107">
      <c r="A7" s="112" t="inlineStr">
        <is>
          <t>MK004</t>
        </is>
      </c>
      <c r="B7" s="113" t="inlineStr">
        <is>
          <t>عاصفة الصحراء</t>
        </is>
      </c>
      <c r="C7" s="112" t="inlineStr">
        <is>
          <t>الطائف</t>
        </is>
      </c>
      <c r="D7" s="112" t="inlineStr">
        <is>
          <t>حيوية</t>
        </is>
      </c>
      <c r="E7" s="112" t="n">
        <v>91</v>
      </c>
      <c r="F7" s="149" t="n">
        <v>19648510</v>
      </c>
      <c r="G7" s="149" t="n">
        <v>10303487</v>
      </c>
      <c r="H7" s="149" t="n">
        <v>2137</v>
      </c>
      <c r="I7" s="208" t="n">
        <v>0</v>
      </c>
      <c r="J7" s="112" t="n">
        <v>19</v>
      </c>
      <c r="K7" s="112" t="n">
        <v>12</v>
      </c>
      <c r="L7" s="112" t="n"/>
      <c r="M7" s="156" t="n">
        <v>0</v>
      </c>
    </row>
    <row r="8" ht="16.5" customHeight="1" s="107">
      <c r="A8" s="112" t="inlineStr">
        <is>
          <t>MK046</t>
        </is>
      </c>
      <c r="B8" s="113" t="inlineStr">
        <is>
          <t>الحليس - طريق الجنوب</t>
        </is>
      </c>
      <c r="C8" s="112" t="inlineStr">
        <is>
          <t>الطائف</t>
        </is>
      </c>
      <c r="D8" s="112" t="inlineStr">
        <is>
          <t>مختلط</t>
        </is>
      </c>
      <c r="E8" s="112" t="n">
        <v>55</v>
      </c>
      <c r="F8" s="149" t="n">
        <v>13354076</v>
      </c>
      <c r="G8" s="149" t="n">
        <v>5980304</v>
      </c>
      <c r="H8" s="149" t="n">
        <v>1694</v>
      </c>
      <c r="I8" s="208" t="n">
        <v>0</v>
      </c>
      <c r="J8" s="112" t="n">
        <v>12</v>
      </c>
      <c r="K8" s="112" t="n">
        <v>8</v>
      </c>
      <c r="L8" s="112" t="n"/>
      <c r="M8" s="156" t="n">
        <v>0</v>
      </c>
    </row>
    <row r="9" ht="16.5" customHeight="1" s="107">
      <c r="A9" s="112" t="inlineStr">
        <is>
          <t>MK072</t>
        </is>
      </c>
      <c r="B9" s="113" t="inlineStr">
        <is>
          <t>العزيزية</t>
        </is>
      </c>
      <c r="C9" s="112" t="inlineStr">
        <is>
          <t>مكة</t>
        </is>
      </c>
      <c r="D9" s="112" t="inlineStr">
        <is>
          <t>حيوية</t>
        </is>
      </c>
      <c r="E9" s="112" t="n">
        <v>180</v>
      </c>
      <c r="F9" s="149" t="n">
        <v>16732843</v>
      </c>
      <c r="G9" s="149" t="n">
        <v>2589147</v>
      </c>
      <c r="H9" s="149" t="n">
        <v>2359</v>
      </c>
      <c r="I9" s="207" t="n">
        <v>-0.211</v>
      </c>
      <c r="J9" s="112" t="n">
        <v>14</v>
      </c>
      <c r="K9" s="112" t="n">
        <v>6</v>
      </c>
      <c r="L9" s="112" t="n">
        <v>28</v>
      </c>
      <c r="M9" s="156" t="n">
        <v>0</v>
      </c>
    </row>
    <row r="10" ht="16.5" customHeight="1" s="107">
      <c r="A10" s="112" t="inlineStr">
        <is>
          <t>MK047</t>
        </is>
      </c>
      <c r="B10" s="113" t="inlineStr">
        <is>
          <t>القادسية</t>
        </is>
      </c>
      <c r="C10" s="112" t="inlineStr">
        <is>
          <t>مكة</t>
        </is>
      </c>
      <c r="D10" s="112" t="inlineStr">
        <is>
          <t>حيوية</t>
        </is>
      </c>
      <c r="E10" s="112" t="n">
        <v>181</v>
      </c>
      <c r="F10" s="149" t="n">
        <v>12654914</v>
      </c>
      <c r="G10" s="149" t="n">
        <v>4848425</v>
      </c>
      <c r="H10" s="149" t="n">
        <v>1702</v>
      </c>
      <c r="I10" s="207" t="n">
        <v>-0.09</v>
      </c>
      <c r="J10" s="112" t="n">
        <v>10</v>
      </c>
      <c r="K10" s="112" t="n">
        <v>9</v>
      </c>
      <c r="L10" s="112" t="n"/>
      <c r="M10" s="156" t="n">
        <v>0</v>
      </c>
    </row>
    <row r="11" ht="16.5" customHeight="1" s="107">
      <c r="A11" s="112" t="inlineStr">
        <is>
          <t>MK015</t>
        </is>
      </c>
      <c r="B11" s="113" t="inlineStr">
        <is>
          <t>النسيم</t>
        </is>
      </c>
      <c r="C11" s="112" t="inlineStr">
        <is>
          <t>جدة</t>
        </is>
      </c>
      <c r="D11" s="112" t="inlineStr">
        <is>
          <t>حيوية</t>
        </is>
      </c>
      <c r="E11" s="112" t="n">
        <v>65</v>
      </c>
      <c r="F11" s="149" t="n">
        <v>16280701</v>
      </c>
      <c r="G11" s="149" t="n">
        <v>0</v>
      </c>
      <c r="H11" s="149" t="n">
        <v>2041</v>
      </c>
      <c r="I11" s="208" t="n">
        <v>0</v>
      </c>
      <c r="J11" s="112" t="n">
        <v>20</v>
      </c>
      <c r="K11" s="112" t="n">
        <v>12</v>
      </c>
      <c r="L11" s="112" t="n"/>
      <c r="M11" s="156" t="n">
        <v>0</v>
      </c>
    </row>
    <row r="12" ht="16.5" customHeight="1" s="107">
      <c r="A12" s="112" t="inlineStr">
        <is>
          <t>MK005</t>
        </is>
      </c>
      <c r="B12" s="113" t="inlineStr">
        <is>
          <t>الشيباني</t>
        </is>
      </c>
      <c r="C12" s="112" t="inlineStr">
        <is>
          <t>الطائف</t>
        </is>
      </c>
      <c r="D12" s="112" t="inlineStr">
        <is>
          <t>حيوية</t>
        </is>
      </c>
      <c r="E12" s="112" t="n">
        <v>63</v>
      </c>
      <c r="F12" s="149" t="n">
        <v>16309064</v>
      </c>
      <c r="G12" s="149" t="n">
        <v>98445</v>
      </c>
      <c r="H12" s="149" t="n">
        <v>1726</v>
      </c>
      <c r="I12" s="208" t="n">
        <v>0</v>
      </c>
      <c r="J12" s="112" t="n">
        <v>18</v>
      </c>
      <c r="K12" s="112" t="n">
        <v>9</v>
      </c>
      <c r="L12" s="112" t="n"/>
      <c r="M12" s="156" t="n">
        <v>0</v>
      </c>
    </row>
    <row r="13" ht="16.5" customHeight="1" s="107">
      <c r="A13" s="112" t="inlineStr">
        <is>
          <t>MK033</t>
        </is>
      </c>
      <c r="B13" s="113" t="inlineStr">
        <is>
          <t>أبو وافي العمرة</t>
        </is>
      </c>
      <c r="C13" s="112" t="inlineStr">
        <is>
          <t>مكة</t>
        </is>
      </c>
      <c r="D13" s="112" t="inlineStr">
        <is>
          <t>خط سفر</t>
        </is>
      </c>
      <c r="E13" s="112" t="n">
        <v>181</v>
      </c>
      <c r="F13" s="149" t="n">
        <v>8548346</v>
      </c>
      <c r="G13" s="149" t="n">
        <v>7210207</v>
      </c>
      <c r="H13" s="149" t="n">
        <v>1380</v>
      </c>
      <c r="I13" s="207" t="n">
        <v>-0.217</v>
      </c>
      <c r="J13" s="112" t="n">
        <v>13</v>
      </c>
      <c r="K13" s="112" t="n">
        <v>10</v>
      </c>
      <c r="L13" s="112" t="n"/>
      <c r="M13" s="156" t="n">
        <v>0</v>
      </c>
    </row>
    <row r="14" ht="16.5" customHeight="1" s="107">
      <c r="A14" s="112" t="inlineStr">
        <is>
          <t>MK028</t>
        </is>
      </c>
      <c r="B14" s="113" t="inlineStr">
        <is>
          <t>أحلى مساء</t>
        </is>
      </c>
      <c r="C14" s="112" t="inlineStr">
        <is>
          <t>الطائف</t>
        </is>
      </c>
      <c r="D14" s="112" t="inlineStr">
        <is>
          <t>مختلط</t>
        </is>
      </c>
      <c r="E14" s="112" t="n">
        <v>181</v>
      </c>
      <c r="F14" s="149" t="n">
        <v>14309768</v>
      </c>
      <c r="G14" s="149" t="n">
        <v>1278215</v>
      </c>
      <c r="H14" s="149" t="n">
        <v>1414</v>
      </c>
      <c r="I14" s="207" t="n">
        <v>-0.119</v>
      </c>
      <c r="J14" s="112" t="n">
        <v>13</v>
      </c>
      <c r="K14" s="112" t="n">
        <v>9</v>
      </c>
      <c r="L14" s="112" t="n"/>
      <c r="M14" s="156" t="n">
        <v>0</v>
      </c>
    </row>
    <row r="15" ht="16.5" customHeight="1" s="107">
      <c r="A15" s="112" t="inlineStr">
        <is>
          <t>MK029</t>
        </is>
      </c>
      <c r="B15" s="113" t="inlineStr">
        <is>
          <t>الدائري الثالث - الذكرى</t>
        </is>
      </c>
      <c r="C15" s="112" t="inlineStr">
        <is>
          <t>مكة</t>
        </is>
      </c>
      <c r="D15" s="112" t="inlineStr">
        <is>
          <t>حيوية</t>
        </is>
      </c>
      <c r="E15" s="112" t="n">
        <v>181</v>
      </c>
      <c r="F15" s="149" t="n">
        <v>11988986</v>
      </c>
      <c r="G15" s="149" t="n">
        <v>3596696</v>
      </c>
      <c r="H15" s="149" t="n">
        <v>1566</v>
      </c>
      <c r="I15" s="210" t="n">
        <v>-0.034</v>
      </c>
      <c r="J15" s="112" t="n">
        <v>12</v>
      </c>
      <c r="K15" s="112" t="n">
        <v>8</v>
      </c>
      <c r="L15" s="112" t="n"/>
      <c r="M15" s="156" t="n">
        <v>0.038</v>
      </c>
    </row>
    <row r="16" ht="16.5" customHeight="1" s="107">
      <c r="A16" s="112" t="inlineStr">
        <is>
          <t>RY075</t>
        </is>
      </c>
      <c r="B16" s="113" t="inlineStr">
        <is>
          <t>الدائري الشمالي</t>
        </is>
      </c>
      <c r="C16" s="112" t="inlineStr">
        <is>
          <t>الرياض</t>
        </is>
      </c>
      <c r="D16" s="112" t="inlineStr">
        <is>
          <t>حيوية</t>
        </is>
      </c>
      <c r="E16" s="112" t="n">
        <v>181</v>
      </c>
      <c r="F16" s="149" t="n">
        <v>13247588</v>
      </c>
      <c r="G16" s="149" t="n">
        <v>1088450</v>
      </c>
      <c r="H16" s="149" t="n">
        <v>1169</v>
      </c>
      <c r="I16" s="209" t="n">
        <v>0.151</v>
      </c>
      <c r="J16" s="112" t="n">
        <v>10</v>
      </c>
      <c r="K16" s="112" t="n">
        <v>16</v>
      </c>
      <c r="L16" s="112" t="n"/>
      <c r="M16" s="156" t="n">
        <v>0</v>
      </c>
    </row>
    <row r="17" ht="16.5" customHeight="1" s="107">
      <c r="A17" s="112" t="inlineStr">
        <is>
          <t>MK006</t>
        </is>
      </c>
      <c r="B17" s="113" t="inlineStr">
        <is>
          <t>جنوب الطائف</t>
        </is>
      </c>
      <c r="C17" s="112" t="inlineStr">
        <is>
          <t>الطائف</t>
        </is>
      </c>
      <c r="D17" s="112" t="inlineStr">
        <is>
          <t>حيوية</t>
        </is>
      </c>
      <c r="E17" s="112" t="n">
        <v>57</v>
      </c>
      <c r="F17" s="149" t="n">
        <v>13311973</v>
      </c>
      <c r="G17" s="149" t="n">
        <v>0</v>
      </c>
      <c r="H17" s="149" t="n">
        <v>1483</v>
      </c>
      <c r="I17" s="208" t="n">
        <v>0</v>
      </c>
      <c r="J17" s="112" t="n">
        <v>13</v>
      </c>
      <c r="K17" s="112" t="n">
        <v>12</v>
      </c>
      <c r="L17" s="112" t="n"/>
      <c r="M17" s="156" t="n">
        <v>0</v>
      </c>
    </row>
    <row r="18" ht="16.5" customHeight="1" s="107">
      <c r="A18" s="112" t="inlineStr">
        <is>
          <t>MK001</t>
        </is>
      </c>
      <c r="B18" s="113" t="inlineStr">
        <is>
          <t>جبل النور</t>
        </is>
      </c>
      <c r="C18" s="112" t="inlineStr">
        <is>
          <t>مكة</t>
        </is>
      </c>
      <c r="D18" s="112" t="inlineStr">
        <is>
          <t>حيوية</t>
        </is>
      </c>
      <c r="E18" s="112" t="n">
        <v>181</v>
      </c>
      <c r="F18" s="149" t="n">
        <v>13248903</v>
      </c>
      <c r="G18" s="149" t="n">
        <v>0</v>
      </c>
      <c r="H18" s="149" t="n">
        <v>1872</v>
      </c>
      <c r="I18" s="210" t="n">
        <v>-0.03</v>
      </c>
      <c r="J18" s="112" t="n">
        <v>10</v>
      </c>
      <c r="K18" s="112" t="n">
        <v>4</v>
      </c>
      <c r="L18" s="112" t="n"/>
      <c r="M18" s="156" t="n">
        <v>0</v>
      </c>
    </row>
    <row r="19" ht="16.5" customHeight="1" s="107">
      <c r="A19" s="112" t="inlineStr">
        <is>
          <t>JA092</t>
        </is>
      </c>
      <c r="B19" s="113" t="inlineStr">
        <is>
          <t>الصفا - أحد المسارحة</t>
        </is>
      </c>
      <c r="C19" s="112" t="inlineStr">
        <is>
          <t>جازان</t>
        </is>
      </c>
      <c r="D19" s="112" t="inlineStr">
        <is>
          <t>غير مصنفة</t>
        </is>
      </c>
      <c r="E19" s="112" t="n">
        <v>130</v>
      </c>
      <c r="F19" s="149" t="n">
        <v>11882308</v>
      </c>
      <c r="G19" s="149" t="n">
        <v>599108</v>
      </c>
      <c r="H19" s="149" t="n">
        <v>1807</v>
      </c>
      <c r="I19" s="209" t="n">
        <v>0.275</v>
      </c>
      <c r="J19" s="112" t="n"/>
      <c r="K19" s="112" t="n"/>
      <c r="L19" s="112" t="n"/>
      <c r="M19" s="156" t="n">
        <v>0</v>
      </c>
    </row>
    <row r="20" ht="16.5" customHeight="1" s="107">
      <c r="A20" s="112" t="inlineStr">
        <is>
          <t>MK210</t>
        </is>
      </c>
      <c r="B20" s="113" t="inlineStr">
        <is>
          <t>الفلاح - فلسطين</t>
        </is>
      </c>
      <c r="C20" s="112" t="inlineStr">
        <is>
          <t>جدة</t>
        </is>
      </c>
      <c r="D20" s="112" t="inlineStr">
        <is>
          <t>حيوية</t>
        </is>
      </c>
      <c r="E20" s="112" t="n">
        <v>147</v>
      </c>
      <c r="F20" s="149" t="n">
        <v>7867941</v>
      </c>
      <c r="G20" s="149" t="n">
        <v>3857753</v>
      </c>
      <c r="H20" s="149" t="n">
        <v>1328</v>
      </c>
      <c r="I20" s="209" t="n">
        <v>0.068</v>
      </c>
      <c r="J20" s="112" t="n"/>
      <c r="K20" s="112" t="n"/>
      <c r="L20" s="112" t="n"/>
      <c r="M20" s="156" t="n">
        <v>0</v>
      </c>
    </row>
    <row r="21" ht="16.5" customHeight="1" s="107">
      <c r="A21" s="112" t="inlineStr">
        <is>
          <t>MK008</t>
        </is>
      </c>
      <c r="B21" s="113" t="inlineStr">
        <is>
          <t>الحسينية</t>
        </is>
      </c>
      <c r="C21" s="112" t="inlineStr">
        <is>
          <t>مكة</t>
        </is>
      </c>
      <c r="D21" s="112" t="inlineStr">
        <is>
          <t>حي</t>
        </is>
      </c>
      <c r="E21" s="112" t="n">
        <v>70</v>
      </c>
      <c r="F21" s="149" t="n">
        <v>11625662</v>
      </c>
      <c r="G21" s="149" t="n">
        <v>0</v>
      </c>
      <c r="H21" s="149" t="n">
        <v>1643</v>
      </c>
      <c r="I21" s="208" t="n">
        <v>0</v>
      </c>
      <c r="J21" s="112" t="n">
        <v>9</v>
      </c>
      <c r="K21" s="112" t="n">
        <v>6</v>
      </c>
      <c r="L21" s="112" t="n"/>
      <c r="M21" s="156" t="n">
        <v>0</v>
      </c>
    </row>
    <row r="22" ht="16.5" customHeight="1" s="107">
      <c r="A22" s="112" t="inlineStr">
        <is>
          <t>MK016</t>
        </is>
      </c>
      <c r="B22" s="113" t="inlineStr">
        <is>
          <t>الرصيفة</t>
        </is>
      </c>
      <c r="C22" s="112" t="inlineStr">
        <is>
          <t>مكة</t>
        </is>
      </c>
      <c r="D22" s="112" t="inlineStr">
        <is>
          <t>حيوية</t>
        </is>
      </c>
      <c r="E22" s="112" t="n">
        <v>181</v>
      </c>
      <c r="F22" s="149" t="n">
        <v>11101203</v>
      </c>
      <c r="G22" s="149" t="n">
        <v>0</v>
      </c>
      <c r="H22" s="149" t="n">
        <v>1573</v>
      </c>
      <c r="I22" s="207" t="n">
        <v>-0.112</v>
      </c>
      <c r="J22" s="112" t="n">
        <v>11</v>
      </c>
      <c r="K22" s="112" t="n">
        <v>9</v>
      </c>
      <c r="L22" s="112" t="n"/>
      <c r="M22" s="156" t="n">
        <v>0</v>
      </c>
    </row>
    <row r="23" ht="16.5" customHeight="1" s="107">
      <c r="A23" s="112" t="inlineStr">
        <is>
          <t>MK064</t>
        </is>
      </c>
      <c r="B23" s="113" t="inlineStr">
        <is>
          <t>الجعرانة</t>
        </is>
      </c>
      <c r="C23" s="112" t="inlineStr">
        <is>
          <t>مكة</t>
        </is>
      </c>
      <c r="D23" s="112" t="inlineStr">
        <is>
          <t>حي</t>
        </is>
      </c>
      <c r="E23" s="112" t="n">
        <v>181</v>
      </c>
      <c r="F23" s="149" t="n">
        <v>7193020</v>
      </c>
      <c r="G23" s="149" t="n">
        <v>2745883</v>
      </c>
      <c r="H23" s="149" t="n">
        <v>1112</v>
      </c>
      <c r="I23" s="210" t="n">
        <v>-0.033</v>
      </c>
      <c r="J23" s="112" t="n">
        <v>9</v>
      </c>
      <c r="K23" s="112" t="n">
        <v>6</v>
      </c>
      <c r="L23" s="112" t="n"/>
      <c r="M23" s="156" t="n">
        <v>0</v>
      </c>
    </row>
    <row r="24" ht="16.5" customHeight="1" s="107">
      <c r="A24" s="112" t="inlineStr">
        <is>
          <t>MK017</t>
        </is>
      </c>
      <c r="B24" s="113" t="inlineStr">
        <is>
          <t>عرفات الشوقية</t>
        </is>
      </c>
      <c r="C24" s="112" t="inlineStr">
        <is>
          <t>مكة</t>
        </is>
      </c>
      <c r="D24" s="112" t="inlineStr">
        <is>
          <t>حيوية</t>
        </is>
      </c>
      <c r="E24" s="112" t="n">
        <v>181</v>
      </c>
      <c r="F24" s="149" t="n">
        <v>9931491</v>
      </c>
      <c r="G24" s="149" t="n">
        <v>0</v>
      </c>
      <c r="H24" s="149" t="n">
        <v>1290</v>
      </c>
      <c r="I24" s="209" t="n">
        <v>0.06900000000000001</v>
      </c>
      <c r="J24" s="112" t="n">
        <v>9</v>
      </c>
      <c r="K24" s="112" t="n">
        <v>9</v>
      </c>
      <c r="L24" s="112" t="n">
        <v>8</v>
      </c>
      <c r="M24" s="156" t="n">
        <v>0</v>
      </c>
    </row>
    <row r="25" ht="16.5" customHeight="1" s="107">
      <c r="A25" s="112" t="inlineStr">
        <is>
          <t>MK063</t>
        </is>
      </c>
      <c r="B25" s="113" t="inlineStr">
        <is>
          <t>السواط - شهار</t>
        </is>
      </c>
      <c r="C25" s="112" t="inlineStr">
        <is>
          <t>الطائف</t>
        </is>
      </c>
      <c r="D25" s="112" t="inlineStr">
        <is>
          <t>مختلط</t>
        </is>
      </c>
      <c r="E25" s="112" t="n">
        <v>181</v>
      </c>
      <c r="F25" s="149" t="n">
        <v>9064151</v>
      </c>
      <c r="G25" s="149" t="n">
        <v>558090</v>
      </c>
      <c r="H25" s="149" t="n">
        <v>1144</v>
      </c>
      <c r="I25" s="209" t="n">
        <v>0.177</v>
      </c>
      <c r="J25" s="112" t="n">
        <v>9</v>
      </c>
      <c r="K25" s="112" t="n">
        <v>9</v>
      </c>
      <c r="L25" s="112" t="n"/>
      <c r="M25" s="156" t="n">
        <v>0</v>
      </c>
    </row>
    <row r="26" ht="16.5" customHeight="1" s="107">
      <c r="A26" s="112" t="inlineStr">
        <is>
          <t>MK020</t>
        </is>
      </c>
      <c r="B26" s="113" t="inlineStr">
        <is>
          <t>ممشى الشوقية</t>
        </is>
      </c>
      <c r="C26" s="112" t="inlineStr">
        <is>
          <t>مكة</t>
        </is>
      </c>
      <c r="D26" s="112" t="inlineStr">
        <is>
          <t>حيوية</t>
        </is>
      </c>
      <c r="E26" s="112" t="n">
        <v>181</v>
      </c>
      <c r="F26" s="149" t="n">
        <v>9558604</v>
      </c>
      <c r="G26" s="149" t="n">
        <v>0</v>
      </c>
      <c r="H26" s="149" t="n">
        <v>1363</v>
      </c>
      <c r="I26" s="210" t="n">
        <v>0.042</v>
      </c>
      <c r="J26" s="112" t="n">
        <v>9</v>
      </c>
      <c r="K26" s="112" t="n">
        <v>4</v>
      </c>
      <c r="L26" s="112" t="n"/>
      <c r="M26" s="156" t="n">
        <v>0</v>
      </c>
    </row>
    <row r="27" ht="16.5" customHeight="1" s="107">
      <c r="A27" s="112" t="inlineStr">
        <is>
          <t>MK035</t>
        </is>
      </c>
      <c r="B27" s="113" t="inlineStr">
        <is>
          <t>الجمعية الوسام</t>
        </is>
      </c>
      <c r="C27" s="112" t="inlineStr">
        <is>
          <t>الطائف</t>
        </is>
      </c>
      <c r="D27" s="112" t="inlineStr">
        <is>
          <t>مختلط</t>
        </is>
      </c>
      <c r="E27" s="112" t="n">
        <v>181</v>
      </c>
      <c r="F27" s="149" t="n">
        <v>6835043</v>
      </c>
      <c r="G27" s="149" t="n">
        <v>2528030</v>
      </c>
      <c r="H27" s="149" t="n">
        <v>823</v>
      </c>
      <c r="I27" s="209" t="n">
        <v>0.083</v>
      </c>
      <c r="J27" s="112" t="n">
        <v>6</v>
      </c>
      <c r="K27" s="112" t="n">
        <v>4</v>
      </c>
      <c r="L27" s="112" t="n"/>
      <c r="M27" s="156" t="n">
        <v>0</v>
      </c>
    </row>
    <row r="28" ht="16.5" customHeight="1" s="107">
      <c r="A28" s="112" t="inlineStr">
        <is>
          <t>MK054</t>
        </is>
      </c>
      <c r="B28" s="113" t="inlineStr">
        <is>
          <t>طريق السيل</t>
        </is>
      </c>
      <c r="C28" s="112" t="inlineStr">
        <is>
          <t>مكة</t>
        </is>
      </c>
      <c r="D28" s="112" t="inlineStr">
        <is>
          <t>خط سفر</t>
        </is>
      </c>
      <c r="E28" s="112" t="n">
        <v>111</v>
      </c>
      <c r="F28" s="149" t="n">
        <v>6066855</v>
      </c>
      <c r="G28" s="149" t="n">
        <v>3252431</v>
      </c>
      <c r="H28" s="149" t="n">
        <v>680</v>
      </c>
      <c r="I28" s="208" t="n">
        <v>-0.033</v>
      </c>
      <c r="J28" s="112" t="n">
        <v>11</v>
      </c>
      <c r="K28" s="112" t="n">
        <v>16</v>
      </c>
      <c r="L28" s="112" t="n"/>
      <c r="M28" s="156" t="n">
        <v>0</v>
      </c>
    </row>
    <row r="29" ht="16.5" customHeight="1" s="107">
      <c r="A29" s="112" t="inlineStr">
        <is>
          <t>MK022</t>
        </is>
      </c>
      <c r="B29" s="113" t="inlineStr">
        <is>
          <t>بطحاء قريش 1</t>
        </is>
      </c>
      <c r="C29" s="112" t="inlineStr">
        <is>
          <t>مكة</t>
        </is>
      </c>
      <c r="D29" s="112" t="inlineStr">
        <is>
          <t>حي</t>
        </is>
      </c>
      <c r="E29" s="112" t="n">
        <v>181</v>
      </c>
      <c r="F29" s="149" t="n">
        <v>6241831</v>
      </c>
      <c r="G29" s="149" t="n">
        <v>2950851</v>
      </c>
      <c r="H29" s="149" t="n">
        <v>816</v>
      </c>
      <c r="I29" s="210" t="n">
        <v>-0.045</v>
      </c>
      <c r="J29" s="112" t="n">
        <v>8</v>
      </c>
      <c r="K29" s="112" t="n">
        <v>6</v>
      </c>
      <c r="L29" s="112" t="n"/>
      <c r="M29" s="156" t="n">
        <v>0</v>
      </c>
    </row>
    <row r="30" ht="16.5" customHeight="1" s="107">
      <c r="A30" s="112" t="inlineStr">
        <is>
          <t>MK014</t>
        </is>
      </c>
      <c r="B30" s="113" t="inlineStr">
        <is>
          <t>خليص</t>
        </is>
      </c>
      <c r="C30" s="112" t="inlineStr">
        <is>
          <t>مكة</t>
        </is>
      </c>
      <c r="D30" s="112" t="inlineStr">
        <is>
          <t>خط سفر</t>
        </is>
      </c>
      <c r="E30" s="112" t="n">
        <v>181</v>
      </c>
      <c r="F30" s="149" t="n">
        <v>3791200</v>
      </c>
      <c r="G30" s="149" t="n">
        <v>4805625</v>
      </c>
      <c r="H30" s="149" t="n">
        <v>423</v>
      </c>
      <c r="I30" s="207" t="n">
        <v>-0.08400000000000001</v>
      </c>
      <c r="J30" s="112" t="n">
        <v>9</v>
      </c>
      <c r="K30" s="112" t="n">
        <v>6</v>
      </c>
      <c r="L30" s="112" t="n"/>
      <c r="M30" s="156" t="n">
        <v>0.015</v>
      </c>
    </row>
    <row r="31" ht="16.5" customHeight="1" s="107">
      <c r="A31" s="112" t="inlineStr">
        <is>
          <t>MK018</t>
        </is>
      </c>
      <c r="B31" s="113" t="inlineStr">
        <is>
          <t>الرصيفة المسار</t>
        </is>
      </c>
      <c r="C31" s="112" t="inlineStr">
        <is>
          <t>مكة</t>
        </is>
      </c>
      <c r="D31" s="112" t="inlineStr">
        <is>
          <t>حيوية</t>
        </is>
      </c>
      <c r="E31" s="112" t="n">
        <v>92</v>
      </c>
      <c r="F31" s="149" t="n">
        <v>6955614</v>
      </c>
      <c r="G31" s="149" t="n">
        <v>1485665</v>
      </c>
      <c r="H31" s="149" t="n">
        <v>1025</v>
      </c>
      <c r="I31" s="208" t="n">
        <v>0</v>
      </c>
      <c r="J31" s="112" t="n">
        <v>6</v>
      </c>
      <c r="K31" s="112" t="n">
        <v>8</v>
      </c>
      <c r="L31" s="112" t="n"/>
      <c r="M31" s="156" t="n">
        <v>0</v>
      </c>
    </row>
    <row r="32" ht="16.5" customHeight="1" s="107">
      <c r="A32" s="112" t="inlineStr">
        <is>
          <t>RY025</t>
        </is>
      </c>
      <c r="B32" s="113" t="inlineStr">
        <is>
          <t>الحمرا - طريق الملك عبدالله</t>
        </is>
      </c>
      <c r="C32" s="112" t="inlineStr">
        <is>
          <t>الخرج</t>
        </is>
      </c>
      <c r="D32" s="112" t="inlineStr">
        <is>
          <t>غير مصنفة</t>
        </is>
      </c>
      <c r="E32" s="112" t="n">
        <v>181</v>
      </c>
      <c r="F32" s="149" t="n">
        <v>7191456</v>
      </c>
      <c r="G32" s="149" t="n">
        <v>642374</v>
      </c>
      <c r="H32" s="149" t="n">
        <v>864</v>
      </c>
      <c r="I32" s="209" t="n">
        <v>0.186</v>
      </c>
      <c r="J32" s="112" t="n">
        <v>7</v>
      </c>
      <c r="K32" s="112" t="n">
        <v>15</v>
      </c>
      <c r="L32" s="112" t="n"/>
      <c r="M32" s="156" t="n">
        <v>0</v>
      </c>
    </row>
    <row r="33" ht="16.5" customHeight="1" s="107">
      <c r="A33" s="112" t="inlineStr">
        <is>
          <t>AS153</t>
        </is>
      </c>
      <c r="B33" s="113" t="inlineStr">
        <is>
          <t>مدخل محايل</t>
        </is>
      </c>
      <c r="C33" s="112" t="inlineStr">
        <is>
          <t>عسير</t>
        </is>
      </c>
      <c r="D33" s="112" t="inlineStr">
        <is>
          <t>غير مصنفة</t>
        </is>
      </c>
      <c r="E33" s="112" t="n">
        <v>69</v>
      </c>
      <c r="F33" s="149" t="n">
        <v>6980426</v>
      </c>
      <c r="G33" s="149" t="n">
        <v>801543</v>
      </c>
      <c r="H33" s="149" t="n">
        <v>952</v>
      </c>
      <c r="I33" s="208" t="n">
        <v>0</v>
      </c>
      <c r="J33" s="112" t="n">
        <v>7</v>
      </c>
      <c r="K33" s="112" t="n">
        <v>7</v>
      </c>
      <c r="L33" s="112" t="n"/>
      <c r="M33" s="156" t="n">
        <v>0</v>
      </c>
    </row>
    <row r="34" ht="16.5" customHeight="1" s="107">
      <c r="A34" s="112" t="inlineStr">
        <is>
          <t>JA069</t>
        </is>
      </c>
      <c r="B34" s="113" t="inlineStr">
        <is>
          <t>كورنيش جيزان</t>
        </is>
      </c>
      <c r="C34" s="112" t="inlineStr">
        <is>
          <t>جازان</t>
        </is>
      </c>
      <c r="D34" s="112" t="inlineStr">
        <is>
          <t>حيوية</t>
        </is>
      </c>
      <c r="E34" s="112" t="n">
        <v>181</v>
      </c>
      <c r="F34" s="149" t="n">
        <v>7444371</v>
      </c>
      <c r="G34" s="149" t="n">
        <v>175072</v>
      </c>
      <c r="H34" s="149" t="n">
        <v>922</v>
      </c>
      <c r="I34" s="209" t="n">
        <v>0.18</v>
      </c>
      <c r="J34" s="112" t="n">
        <v>8</v>
      </c>
      <c r="K34" s="112" t="n">
        <v>6</v>
      </c>
      <c r="L34" s="112" t="n"/>
      <c r="M34" s="156" t="n">
        <v>0</v>
      </c>
    </row>
    <row r="35" ht="16.5" customHeight="1" s="107">
      <c r="A35" s="112" t="inlineStr">
        <is>
          <t>MK068</t>
        </is>
      </c>
      <c r="B35" s="113" t="inlineStr">
        <is>
          <t>الجموم - الكنيدري</t>
        </is>
      </c>
      <c r="C35" s="112" t="inlineStr">
        <is>
          <t>مكة</t>
        </is>
      </c>
      <c r="D35" s="112" t="inlineStr">
        <is>
          <t>مختلط</t>
        </is>
      </c>
      <c r="E35" s="112" t="n">
        <v>181</v>
      </c>
      <c r="F35" s="149" t="n">
        <v>6267957</v>
      </c>
      <c r="G35" s="149" t="n">
        <v>814480</v>
      </c>
      <c r="H35" s="149" t="n">
        <v>931</v>
      </c>
      <c r="I35" s="207" t="n">
        <v>-0.068</v>
      </c>
      <c r="J35" s="112" t="n">
        <v>7</v>
      </c>
      <c r="K35" s="112" t="n">
        <v>4</v>
      </c>
      <c r="L35" s="112" t="n"/>
      <c r="M35" s="156" t="n">
        <v>0</v>
      </c>
    </row>
    <row r="36" ht="16.5" customHeight="1" s="107">
      <c r="A36" s="112" t="inlineStr">
        <is>
          <t>MK002</t>
        </is>
      </c>
      <c r="B36" s="113" t="inlineStr">
        <is>
          <t>المعيصم</t>
        </is>
      </c>
      <c r="C36" s="112" t="inlineStr">
        <is>
          <t>مكة</t>
        </is>
      </c>
      <c r="D36" s="112" t="inlineStr">
        <is>
          <t>حيوية</t>
        </is>
      </c>
      <c r="E36" s="112" t="n">
        <v>181</v>
      </c>
      <c r="F36" s="149" t="n">
        <v>6999984</v>
      </c>
      <c r="G36" s="149" t="n">
        <v>0</v>
      </c>
      <c r="H36" s="149" t="n">
        <v>913</v>
      </c>
      <c r="I36" s="207" t="n">
        <v>-0.533</v>
      </c>
      <c r="J36" s="112" t="n">
        <v>7</v>
      </c>
      <c r="K36" s="112" t="n">
        <v>10</v>
      </c>
      <c r="L36" s="112" t="n">
        <v>3</v>
      </c>
      <c r="M36" s="156" t="n">
        <v>0</v>
      </c>
    </row>
    <row r="37" ht="16.5" customHeight="1" s="107">
      <c r="A37" s="112" t="inlineStr">
        <is>
          <t>MK071</t>
        </is>
      </c>
      <c r="B37" s="113" t="inlineStr">
        <is>
          <t>الأجاويد</t>
        </is>
      </c>
      <c r="C37" s="112" t="inlineStr">
        <is>
          <t>جدة</t>
        </is>
      </c>
      <c r="D37" s="112" t="inlineStr">
        <is>
          <t>حيوية</t>
        </is>
      </c>
      <c r="E37" s="112" t="n">
        <v>181</v>
      </c>
      <c r="F37" s="149" t="n">
        <v>5722940</v>
      </c>
      <c r="G37" s="149" t="n">
        <v>1147336</v>
      </c>
      <c r="H37" s="149" t="n">
        <v>938</v>
      </c>
      <c r="I37" s="209" t="n">
        <v>0.083</v>
      </c>
      <c r="J37" s="112" t="n">
        <v>7</v>
      </c>
      <c r="K37" s="112" t="n">
        <v>3</v>
      </c>
      <c r="L37" s="112" t="n"/>
      <c r="M37" s="156" t="n">
        <v>0.015</v>
      </c>
    </row>
    <row r="38" ht="16.5" customHeight="1" s="107">
      <c r="A38" s="112" t="inlineStr">
        <is>
          <t>JA348</t>
        </is>
      </c>
      <c r="B38" s="113" t="inlineStr">
        <is>
          <t>جنوب صبيا</t>
        </is>
      </c>
      <c r="C38" s="112" t="inlineStr">
        <is>
          <t>جازان</t>
        </is>
      </c>
      <c r="D38" s="112" t="inlineStr">
        <is>
          <t>غير مصنفة</t>
        </is>
      </c>
      <c r="E38" s="112" t="n">
        <v>26</v>
      </c>
      <c r="F38" s="149" t="n">
        <v>6046920</v>
      </c>
      <c r="G38" s="149" t="n">
        <v>778046</v>
      </c>
      <c r="H38" s="149" t="n">
        <v>1227</v>
      </c>
      <c r="I38" s="208" t="n">
        <v>0</v>
      </c>
      <c r="J38" s="112" t="n"/>
      <c r="K38" s="112" t="n"/>
      <c r="L38" s="112" t="n"/>
      <c r="M38" s="156" t="n">
        <v>0</v>
      </c>
    </row>
    <row r="39" ht="16.5" customHeight="1" s="107">
      <c r="A39" s="112" t="inlineStr">
        <is>
          <t>JA061</t>
        </is>
      </c>
      <c r="B39" s="113" t="inlineStr">
        <is>
          <t>طريق صبيا</t>
        </is>
      </c>
      <c r="C39" s="112" t="inlineStr">
        <is>
          <t>جازان</t>
        </is>
      </c>
      <c r="D39" s="112" t="inlineStr">
        <is>
          <t>حيوية</t>
        </is>
      </c>
      <c r="E39" s="112" t="n">
        <v>181</v>
      </c>
      <c r="F39" s="149" t="n">
        <v>4191108</v>
      </c>
      <c r="G39" s="149" t="n">
        <v>2493275</v>
      </c>
      <c r="H39" s="149" t="n">
        <v>538</v>
      </c>
      <c r="I39" s="210" t="n">
        <v>-0.044</v>
      </c>
      <c r="J39" s="112" t="n">
        <v>6</v>
      </c>
      <c r="K39" s="112" t="n">
        <v>5</v>
      </c>
      <c r="L39" s="112" t="n"/>
      <c r="M39" s="156" t="n">
        <v>0</v>
      </c>
    </row>
    <row r="40" ht="16.5" customHeight="1" s="107">
      <c r="A40" s="112" t="inlineStr">
        <is>
          <t>MK084</t>
        </is>
      </c>
      <c r="B40" s="113" t="inlineStr">
        <is>
          <t>الكر النازل</t>
        </is>
      </c>
      <c r="C40" s="112" t="inlineStr">
        <is>
          <t>مكة</t>
        </is>
      </c>
      <c r="D40" s="112" t="inlineStr">
        <is>
          <t>خط سفر</t>
        </is>
      </c>
      <c r="E40" s="112" t="n">
        <v>181</v>
      </c>
      <c r="F40" s="149" t="n">
        <v>5545862</v>
      </c>
      <c r="G40" s="149" t="n">
        <v>657563</v>
      </c>
      <c r="H40" s="149" t="n">
        <v>537</v>
      </c>
      <c r="I40" s="207" t="n">
        <v>-0.126</v>
      </c>
      <c r="J40" s="112" t="n">
        <v>8</v>
      </c>
      <c r="K40" s="112" t="n">
        <v>9</v>
      </c>
      <c r="L40" s="112" t="n"/>
      <c r="M40" s="156" t="n">
        <v>0.002</v>
      </c>
    </row>
    <row r="41" ht="16.5" customHeight="1" s="107">
      <c r="A41" s="112" t="inlineStr">
        <is>
          <t>JA041</t>
        </is>
      </c>
      <c r="B41" s="113" t="inlineStr">
        <is>
          <t>القسوم - أحد المسارحة</t>
        </is>
      </c>
      <c r="C41" s="112" t="inlineStr">
        <is>
          <t>جازان</t>
        </is>
      </c>
      <c r="D41" s="112" t="inlineStr">
        <is>
          <t>غير مصنفة</t>
        </is>
      </c>
      <c r="E41" s="112" t="n">
        <v>68</v>
      </c>
      <c r="F41" s="149" t="n">
        <v>5647921</v>
      </c>
      <c r="G41" s="149" t="n">
        <v>335046</v>
      </c>
      <c r="H41" s="149" t="n">
        <v>800</v>
      </c>
      <c r="I41" s="208" t="n">
        <v>0</v>
      </c>
      <c r="J41" s="112" t="n">
        <v>7</v>
      </c>
      <c r="K41" s="112" t="n">
        <v>8</v>
      </c>
      <c r="L41" s="112" t="n"/>
      <c r="M41" s="156" t="n">
        <v>0</v>
      </c>
    </row>
    <row r="42" ht="16.5" customHeight="1" s="107">
      <c r="A42" s="112" t="inlineStr">
        <is>
          <t>QS055</t>
        </is>
      </c>
      <c r="B42" s="113" t="inlineStr">
        <is>
          <t>الدائري الشرقي</t>
        </is>
      </c>
      <c r="C42" s="112" t="inlineStr">
        <is>
          <t>القصيم</t>
        </is>
      </c>
      <c r="D42" s="112" t="inlineStr">
        <is>
          <t>غير مصنفة</t>
        </is>
      </c>
      <c r="E42" s="112" t="n">
        <v>181</v>
      </c>
      <c r="F42" s="149" t="n">
        <v>3599745</v>
      </c>
      <c r="G42" s="149" t="n">
        <v>2324712</v>
      </c>
      <c r="H42" s="149" t="n">
        <v>441</v>
      </c>
      <c r="I42" s="210" t="n">
        <v>-0.029</v>
      </c>
      <c r="J42" s="112" t="n">
        <v>6</v>
      </c>
      <c r="K42" s="112" t="n">
        <v>8</v>
      </c>
      <c r="L42" s="112" t="n"/>
      <c r="M42" s="156" t="n">
        <v>0.002</v>
      </c>
    </row>
    <row r="43" ht="16.5" customHeight="1" s="107">
      <c r="A43" s="112" t="inlineStr">
        <is>
          <t>MK023</t>
        </is>
      </c>
      <c r="B43" s="113" t="inlineStr">
        <is>
          <t>بن درويش</t>
        </is>
      </c>
      <c r="C43" s="112" t="inlineStr">
        <is>
          <t>مكة</t>
        </is>
      </c>
      <c r="D43" s="112" t="inlineStr">
        <is>
          <t>حيوية</t>
        </is>
      </c>
      <c r="E43" s="112" t="n">
        <v>181</v>
      </c>
      <c r="F43" s="149" t="n">
        <v>5899223</v>
      </c>
      <c r="G43" s="149" t="n">
        <v>0</v>
      </c>
      <c r="H43" s="149" t="n">
        <v>807</v>
      </c>
      <c r="I43" s="207" t="n">
        <v>-0.121</v>
      </c>
      <c r="J43" s="112" t="n">
        <v>7</v>
      </c>
      <c r="K43" s="112" t="n">
        <v>4</v>
      </c>
      <c r="L43" s="112" t="n"/>
      <c r="M43" s="156" t="n">
        <v>0</v>
      </c>
    </row>
    <row r="44" ht="16.5" customHeight="1" s="107">
      <c r="A44" s="112" t="inlineStr">
        <is>
          <t>MK093</t>
        </is>
      </c>
      <c r="B44" s="113" t="inlineStr">
        <is>
          <t>الملك خالد</t>
        </is>
      </c>
      <c r="C44" s="112" t="inlineStr">
        <is>
          <t>الطائف</t>
        </is>
      </c>
      <c r="D44" s="112" t="inlineStr">
        <is>
          <t>حي</t>
        </is>
      </c>
      <c r="E44" s="112" t="n">
        <v>181</v>
      </c>
      <c r="F44" s="149" t="n">
        <v>5284855</v>
      </c>
      <c r="G44" s="149" t="n">
        <v>440882</v>
      </c>
      <c r="H44" s="149" t="n">
        <v>685</v>
      </c>
      <c r="I44" s="209" t="n">
        <v>0.082</v>
      </c>
      <c r="J44" s="112" t="n">
        <v>5</v>
      </c>
      <c r="K44" s="112" t="n">
        <v>6</v>
      </c>
      <c r="L44" s="112" t="n"/>
      <c r="M44" s="156" t="n">
        <v>0.007</v>
      </c>
    </row>
    <row r="45" ht="16.5" customHeight="1" s="107">
      <c r="A45" s="112" t="inlineStr">
        <is>
          <t>EP051</t>
        </is>
      </c>
      <c r="B45" s="113" t="inlineStr">
        <is>
          <t>كورنيش الخبر</t>
        </is>
      </c>
      <c r="C45" s="112" t="inlineStr">
        <is>
          <t>الشرقية</t>
        </is>
      </c>
      <c r="D45" s="112" t="inlineStr">
        <is>
          <t>حيوية</t>
        </is>
      </c>
      <c r="E45" s="112" t="n">
        <v>181</v>
      </c>
      <c r="F45" s="149" t="n">
        <v>5197774</v>
      </c>
      <c r="G45" s="149" t="n">
        <v>367295</v>
      </c>
      <c r="H45" s="149" t="n">
        <v>591</v>
      </c>
      <c r="I45" s="209" t="n">
        <v>0.327</v>
      </c>
      <c r="J45" s="112" t="n">
        <v>6</v>
      </c>
      <c r="K45" s="112" t="n">
        <v>6</v>
      </c>
      <c r="L45" s="112" t="n"/>
      <c r="M45" s="156" t="n">
        <v>0.003</v>
      </c>
    </row>
    <row r="46" ht="16.5" customHeight="1" s="107">
      <c r="A46" s="112" t="inlineStr">
        <is>
          <t>MK031</t>
        </is>
      </c>
      <c r="B46" s="113" t="inlineStr">
        <is>
          <t>بطحاء قريش 2</t>
        </is>
      </c>
      <c r="C46" s="112" t="inlineStr">
        <is>
          <t>مكة</t>
        </is>
      </c>
      <c r="D46" s="112" t="inlineStr">
        <is>
          <t>حيوية</t>
        </is>
      </c>
      <c r="E46" s="112" t="n">
        <v>181</v>
      </c>
      <c r="F46" s="149" t="n">
        <v>4156161</v>
      </c>
      <c r="G46" s="149" t="n">
        <v>1282162</v>
      </c>
      <c r="H46" s="149" t="n">
        <v>586</v>
      </c>
      <c r="I46" s="207" t="n">
        <v>-0.123</v>
      </c>
      <c r="J46" s="112" t="n">
        <v>5</v>
      </c>
      <c r="K46" s="112" t="n">
        <v>6</v>
      </c>
      <c r="L46" s="112" t="n"/>
      <c r="M46" s="156" t="n">
        <v>0</v>
      </c>
    </row>
    <row r="47" ht="16.5" customHeight="1" s="107">
      <c r="A47" s="112" t="inlineStr">
        <is>
          <t>JA053</t>
        </is>
      </c>
      <c r="B47" s="113" t="inlineStr">
        <is>
          <t>خبت نخلان</t>
        </is>
      </c>
      <c r="C47" s="112" t="inlineStr">
        <is>
          <t>جازان</t>
        </is>
      </c>
      <c r="D47" s="112" t="inlineStr">
        <is>
          <t>نائية</t>
        </is>
      </c>
      <c r="E47" s="112" t="n">
        <v>181</v>
      </c>
      <c r="F47" s="149" t="n">
        <v>4362115</v>
      </c>
      <c r="G47" s="149" t="n">
        <v>983614</v>
      </c>
      <c r="H47" s="149" t="n">
        <v>650</v>
      </c>
      <c r="I47" s="210" t="n">
        <v>-0.008999999999999999</v>
      </c>
      <c r="J47" s="112" t="n">
        <v>8</v>
      </c>
      <c r="K47" s="112" t="n">
        <v>8</v>
      </c>
      <c r="L47" s="112" t="n"/>
      <c r="M47" s="156" t="n">
        <v>0.007</v>
      </c>
    </row>
    <row r="48" ht="16.5" customHeight="1" s="107">
      <c r="A48" s="112" t="inlineStr">
        <is>
          <t>RY024</t>
        </is>
      </c>
      <c r="B48" s="113" t="inlineStr">
        <is>
          <t>غرناطة - طريق الملك عبدالله</t>
        </is>
      </c>
      <c r="C48" s="112" t="inlineStr">
        <is>
          <t>الخرج</t>
        </is>
      </c>
      <c r="D48" s="112" t="inlineStr">
        <is>
          <t>غير مصنفة</t>
        </is>
      </c>
      <c r="E48" s="112" t="n">
        <v>181</v>
      </c>
      <c r="F48" s="149" t="n">
        <v>4341977</v>
      </c>
      <c r="G48" s="149" t="n">
        <v>0</v>
      </c>
      <c r="H48" s="149" t="n">
        <v>469</v>
      </c>
      <c r="I48" s="209" t="n">
        <v>0.064</v>
      </c>
      <c r="J48" s="112" t="n">
        <v>7</v>
      </c>
      <c r="K48" s="112" t="n">
        <v>9</v>
      </c>
      <c r="L48" s="112" t="n"/>
      <c r="M48" s="156" t="n">
        <v>0</v>
      </c>
    </row>
    <row r="49" ht="16.5" customHeight="1" s="107">
      <c r="A49" s="112" t="inlineStr">
        <is>
          <t>RY042</t>
        </is>
      </c>
      <c r="B49" s="113" t="inlineStr">
        <is>
          <t>الناصفة</t>
        </is>
      </c>
      <c r="C49" s="112" t="inlineStr">
        <is>
          <t>الخرج</t>
        </is>
      </c>
      <c r="D49" s="112" t="inlineStr">
        <is>
          <t>حي</t>
        </is>
      </c>
      <c r="E49" s="112" t="n">
        <v>181</v>
      </c>
      <c r="F49" s="149" t="n">
        <v>3433425</v>
      </c>
      <c r="G49" s="149" t="n">
        <v>864810</v>
      </c>
      <c r="H49" s="149" t="n">
        <v>402</v>
      </c>
      <c r="I49" s="209" t="n">
        <v>0.256</v>
      </c>
      <c r="J49" s="112" t="n">
        <v>5</v>
      </c>
      <c r="K49" s="112" t="n">
        <v>9</v>
      </c>
      <c r="L49" s="112" t="n"/>
      <c r="M49" s="156" t="n">
        <v>0</v>
      </c>
    </row>
    <row r="50" ht="16.5" customHeight="1" s="107">
      <c r="A50" s="112" t="inlineStr">
        <is>
          <t>MK019</t>
        </is>
      </c>
      <c r="B50" s="113" t="inlineStr">
        <is>
          <t>الشرايع</t>
        </is>
      </c>
      <c r="C50" s="112" t="inlineStr">
        <is>
          <t>مكة</t>
        </is>
      </c>
      <c r="D50" s="112" t="inlineStr">
        <is>
          <t>حيوية</t>
        </is>
      </c>
      <c r="E50" s="112" t="n">
        <v>181</v>
      </c>
      <c r="F50" s="149" t="n">
        <v>3857645</v>
      </c>
      <c r="G50" s="149" t="n">
        <v>0</v>
      </c>
      <c r="H50" s="149" t="n">
        <v>456</v>
      </c>
      <c r="I50" s="207" t="n">
        <v>-0.249</v>
      </c>
      <c r="J50" s="112" t="n">
        <v>5</v>
      </c>
      <c r="K50" s="112" t="n">
        <v>6</v>
      </c>
      <c r="L50" s="112" t="n">
        <v>6</v>
      </c>
      <c r="M50" s="156" t="n">
        <v>0</v>
      </c>
    </row>
    <row r="51" ht="16.5" customHeight="1" s="107">
      <c r="A51" s="112" t="inlineStr">
        <is>
          <t>MK323</t>
        </is>
      </c>
      <c r="B51" s="113" t="inlineStr">
        <is>
          <t>جبل ثور - جوهرة النسيم</t>
        </is>
      </c>
      <c r="C51" s="112" t="inlineStr">
        <is>
          <t>مكة</t>
        </is>
      </c>
      <c r="D51" s="112" t="inlineStr">
        <is>
          <t>حيوية</t>
        </is>
      </c>
      <c r="E51" s="112" t="n">
        <v>56</v>
      </c>
      <c r="F51" s="149" t="n">
        <v>3708152</v>
      </c>
      <c r="G51" s="149" t="n">
        <v>0</v>
      </c>
      <c r="H51" s="149" t="n">
        <v>451</v>
      </c>
      <c r="I51" s="208" t="n">
        <v>0</v>
      </c>
      <c r="J51" s="112" t="n"/>
      <c r="K51" s="112" t="n"/>
      <c r="L51" s="112" t="n"/>
      <c r="M51" s="156" t="n">
        <v>0</v>
      </c>
    </row>
    <row r="52" ht="16.5" customHeight="1" s="107">
      <c r="A52" s="112" t="inlineStr">
        <is>
          <t>MK099</t>
        </is>
      </c>
      <c r="B52" s="113" t="inlineStr">
        <is>
          <t>البيعة</t>
        </is>
      </c>
      <c r="C52" s="112" t="inlineStr">
        <is>
          <t>الطائف</t>
        </is>
      </c>
      <c r="D52" s="112" t="inlineStr">
        <is>
          <t>حي</t>
        </is>
      </c>
      <c r="E52" s="112" t="n">
        <v>181</v>
      </c>
      <c r="F52" s="149" t="n">
        <v>3315559</v>
      </c>
      <c r="G52" s="149" t="n">
        <v>57339</v>
      </c>
      <c r="H52" s="149" t="n">
        <v>455</v>
      </c>
      <c r="I52" s="209" t="n">
        <v>0.137</v>
      </c>
      <c r="J52" s="112" t="n">
        <v>5</v>
      </c>
      <c r="K52" s="112" t="n">
        <v>4</v>
      </c>
      <c r="L52" s="112" t="n"/>
      <c r="M52" s="156" t="n">
        <v>0.008</v>
      </c>
    </row>
    <row r="53" ht="16.5" customHeight="1" s="107">
      <c r="A53" s="112" t="inlineStr">
        <is>
          <t>MK100</t>
        </is>
      </c>
      <c r="B53" s="113" t="inlineStr">
        <is>
          <t>الكوثر</t>
        </is>
      </c>
      <c r="C53" s="112" t="inlineStr">
        <is>
          <t>جدة</t>
        </is>
      </c>
      <c r="D53" s="112" t="inlineStr">
        <is>
          <t>حيوية</t>
        </is>
      </c>
      <c r="E53" s="112" t="n">
        <v>181</v>
      </c>
      <c r="F53" s="149" t="n">
        <v>2286567</v>
      </c>
      <c r="G53" s="149" t="n">
        <v>943048</v>
      </c>
      <c r="H53" s="149" t="n">
        <v>333</v>
      </c>
      <c r="I53" s="210" t="n">
        <v>0.045</v>
      </c>
      <c r="J53" s="112" t="n">
        <v>6</v>
      </c>
      <c r="K53" s="112" t="n">
        <v>4</v>
      </c>
      <c r="L53" s="112" t="n"/>
      <c r="M53" s="156" t="n">
        <v>0.015</v>
      </c>
    </row>
    <row r="54" ht="16.5" customHeight="1" s="107">
      <c r="A54" s="112" t="inlineStr">
        <is>
          <t>HA043</t>
        </is>
      </c>
      <c r="B54" s="113" t="inlineStr">
        <is>
          <t>العريفي</t>
        </is>
      </c>
      <c r="C54" s="112" t="inlineStr">
        <is>
          <t>حائل</t>
        </is>
      </c>
      <c r="D54" s="112" t="inlineStr">
        <is>
          <t>غير مصنفة</t>
        </is>
      </c>
      <c r="E54" s="112" t="n">
        <v>181</v>
      </c>
      <c r="F54" s="149" t="n">
        <v>2663618</v>
      </c>
      <c r="G54" s="149" t="n">
        <v>222209</v>
      </c>
      <c r="H54" s="149" t="n">
        <v>327</v>
      </c>
      <c r="I54" s="210" t="n">
        <v>-0.028</v>
      </c>
      <c r="J54" s="112" t="n">
        <v>6</v>
      </c>
      <c r="K54" s="112" t="n">
        <v>6</v>
      </c>
      <c r="L54" s="112" t="n"/>
      <c r="M54" s="156" t="n">
        <v>0</v>
      </c>
    </row>
    <row r="55" ht="16.5" customHeight="1" s="107">
      <c r="A55" s="112" t="inlineStr">
        <is>
          <t>JA056</t>
        </is>
      </c>
      <c r="B55" s="113" t="inlineStr">
        <is>
          <t>الروابي - المودة</t>
        </is>
      </c>
      <c r="C55" s="112" t="inlineStr">
        <is>
          <t>جازان</t>
        </is>
      </c>
      <c r="D55" s="112" t="inlineStr">
        <is>
          <t>حي</t>
        </is>
      </c>
      <c r="E55" s="112" t="n">
        <v>181</v>
      </c>
      <c r="F55" s="149" t="n">
        <v>2086987</v>
      </c>
      <c r="G55" s="149" t="n">
        <v>458119</v>
      </c>
      <c r="H55" s="149" t="n">
        <v>281</v>
      </c>
      <c r="I55" s="209" t="n">
        <v>0.188</v>
      </c>
      <c r="J55" s="112" t="n">
        <v>4</v>
      </c>
      <c r="K55" s="112" t="n">
        <v>6</v>
      </c>
      <c r="L55" s="112" t="n"/>
      <c r="M55" s="156" t="n">
        <v>0.005</v>
      </c>
    </row>
    <row r="56" ht="16.5" customHeight="1" s="107">
      <c r="A56" s="112" t="inlineStr">
        <is>
          <t>JA060</t>
        </is>
      </c>
      <c r="B56" s="113" t="inlineStr">
        <is>
          <t>صناعية صامطة</t>
        </is>
      </c>
      <c r="C56" s="112" t="inlineStr">
        <is>
          <t>جازان</t>
        </is>
      </c>
      <c r="D56" s="112" t="inlineStr">
        <is>
          <t>حيوية</t>
        </is>
      </c>
      <c r="E56" s="112" t="n">
        <v>181</v>
      </c>
      <c r="F56" s="149" t="n">
        <v>1960098</v>
      </c>
      <c r="G56" s="149" t="n">
        <v>471201</v>
      </c>
      <c r="H56" s="149" t="n">
        <v>408</v>
      </c>
      <c r="I56" s="209" t="n">
        <v>0.06</v>
      </c>
      <c r="J56" s="112" t="n">
        <v>4</v>
      </c>
      <c r="K56" s="112" t="n">
        <v>7</v>
      </c>
      <c r="L56" s="112" t="n"/>
      <c r="M56" s="156" t="n">
        <v>0</v>
      </c>
    </row>
    <row r="57" ht="16.5" customHeight="1" s="107">
      <c r="A57" s="112" t="inlineStr">
        <is>
          <t>MD009</t>
        </is>
      </c>
      <c r="B57" s="113" t="inlineStr">
        <is>
          <t>طريق السلام</t>
        </is>
      </c>
      <c r="C57" s="112" t="inlineStr">
        <is>
          <t>المدينة المنورة</t>
        </is>
      </c>
      <c r="D57" s="112" t="inlineStr">
        <is>
          <t>غير مصنفة</t>
        </is>
      </c>
      <c r="E57" s="112" t="n">
        <v>39</v>
      </c>
      <c r="F57" s="149" t="n">
        <v>1451309</v>
      </c>
      <c r="G57" s="149" t="n">
        <v>480553</v>
      </c>
      <c r="H57" s="149" t="n">
        <v>196</v>
      </c>
      <c r="I57" s="208" t="n">
        <v>0</v>
      </c>
      <c r="J57" s="112" t="n"/>
      <c r="K57" s="112" t="n"/>
      <c r="L57" s="112" t="n"/>
      <c r="M57" s="156" t="n">
        <v>0</v>
      </c>
    </row>
    <row r="58" ht="16.5" customHeight="1" s="107">
      <c r="A58" s="112" t="inlineStr">
        <is>
          <t>NJ219</t>
        </is>
      </c>
      <c r="B58" s="113" t="inlineStr">
        <is>
          <t>المركب</t>
        </is>
      </c>
      <c r="C58" s="112" t="inlineStr">
        <is>
          <t>نجران</t>
        </is>
      </c>
      <c r="D58" s="112" t="inlineStr">
        <is>
          <t>غير مصنفة</t>
        </is>
      </c>
      <c r="E58" s="112" t="n">
        <v>6</v>
      </c>
      <c r="F58" s="149" t="n">
        <v>1099275</v>
      </c>
      <c r="G58" s="149" t="n">
        <v>220383</v>
      </c>
      <c r="H58" s="149" t="n">
        <v>154</v>
      </c>
      <c r="I58" s="208" t="n">
        <v>0</v>
      </c>
      <c r="J58" s="112" t="n">
        <v>5</v>
      </c>
      <c r="K58" s="112" t="n">
        <v>6</v>
      </c>
      <c r="L58" s="112" t="n"/>
      <c r="M58" s="156" t="n">
        <v>0</v>
      </c>
    </row>
    <row r="59" ht="15" customHeight="1" s="107">
      <c r="A59" s="152" t="n"/>
      <c r="B59" s="152" t="inlineStr">
        <is>
          <t>الإجمالي</t>
        </is>
      </c>
      <c r="C59" s="152" t="n"/>
      <c r="D59" s="152" t="n"/>
      <c r="E59" s="152" t="n"/>
      <c r="F59" s="153">
        <f>SUM(F4:F58)</f>
        <v/>
      </c>
      <c r="G59" s="153">
        <f>SUM(G4:G58)</f>
        <v/>
      </c>
      <c r="H59" s="153">
        <f>SUM(H4:H58)</f>
        <v/>
      </c>
      <c r="I59" s="152" t="n"/>
      <c r="J59" s="153">
        <f>SUM(J4:J58)</f>
        <v/>
      </c>
      <c r="K59" s="153">
        <f>SUM(K4:K58)</f>
        <v/>
      </c>
      <c r="L59" s="153">
        <f>SUM(L4:L58)</f>
        <v/>
      </c>
      <c r="M59" s="152" t="n"/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107" min="1" max="1"/>
    <col width="17" customWidth="1" style="107" min="2" max="2"/>
    <col width="10" customWidth="1" style="107" min="3" max="3"/>
    <col width="11" customWidth="1" style="107" min="4" max="4"/>
    <col width="12" customWidth="1" style="107" min="5" max="5"/>
    <col width="12" customWidth="1" style="107" min="6" max="6"/>
    <col width="11" customWidth="1" style="107" min="7" max="7"/>
    <col width="11" customWidth="1" style="107" min="8" max="8"/>
    <col width="20" customWidth="1" style="107" min="9" max="9"/>
    <col width="12" customWidth="1" style="107" min="10" max="10"/>
    <col width="9" customWidth="1" style="107" min="11" max="11"/>
    <col width="9" customWidth="1" style="107" min="12" max="12"/>
    <col width="15" customWidth="1" style="107" min="13" max="13"/>
    <col width="9" customWidth="1" style="107" min="14" max="14"/>
    <col width="9" customWidth="1" style="107" min="15" max="15"/>
    <col width="16" customWidth="1" style="107" min="16" max="16"/>
    <col width="11" customWidth="1" style="107" min="17" max="17"/>
    <col width="12" customWidth="1" style="107" min="20" max="20"/>
    <col width="14" customWidth="1" style="107" min="21" max="21"/>
  </cols>
  <sheetData>
    <row r="1" ht="26" customHeight="1" s="107">
      <c r="A1" s="118" t="inlineStr">
        <is>
          <t>بيانات المحطات المرجعية</t>
        </is>
      </c>
    </row>
    <row r="2" ht="16" customHeight="1" s="107">
      <c r="A2" s="119" t="inlineStr">
        <is>
          <t>من تقرير المطابقة التشغيلية — يناير إلى يوليو ٢٠٢٦ (٢١٢ يوماً فعلياً)</t>
        </is>
      </c>
    </row>
    <row r="3" ht="30" customHeight="1" s="107">
      <c r="A3" s="120" t="inlineStr">
        <is>
          <t>#</t>
        </is>
      </c>
      <c r="B3" s="120" t="inlineStr">
        <is>
          <t>المحطة</t>
        </is>
      </c>
      <c r="C3" s="120" t="inlineStr">
        <is>
          <t>لتر/زيارة</t>
        </is>
      </c>
      <c r="D3" s="120" t="inlineStr">
        <is>
          <t>زيارات/يوم</t>
        </is>
      </c>
      <c r="E3" s="120" t="inlineStr">
        <is>
          <t>عمال صباحية</t>
        </is>
      </c>
      <c r="F3" s="120" t="inlineStr">
        <is>
          <t>عمال مسائية</t>
        </is>
      </c>
      <c r="G3" s="120" t="inlineStr">
        <is>
          <t>حصة الصباح</t>
        </is>
      </c>
      <c r="H3" s="120" t="inlineStr">
        <is>
          <t>حصة المساء</t>
        </is>
      </c>
      <c r="I3" s="120" t="inlineStr">
        <is>
          <t>ساعات الذروة</t>
        </is>
      </c>
      <c r="J3" s="120" t="inlineStr">
        <is>
          <t>الطاقم المعياري</t>
        </is>
      </c>
      <c r="K3" s="120" t="inlineStr">
        <is>
          <t>الفعلي</t>
        </is>
      </c>
      <c r="L3" s="120" t="inlineStr">
        <is>
          <t>الكود</t>
        </is>
      </c>
      <c r="M3" s="120" t="inlineStr">
        <is>
          <t>اسم المقياس</t>
        </is>
      </c>
      <c r="N3" s="120" t="inlineStr">
        <is>
          <t>العقد</t>
        </is>
      </c>
      <c r="O3" s="120" t="inlineStr">
        <is>
          <t>المضخات</t>
        </is>
      </c>
      <c r="P3" s="120" t="inlineStr">
        <is>
          <t>هامش المساهمة (هللة/لتر)</t>
        </is>
      </c>
      <c r="Q3" s="120" t="inlineStr">
        <is>
          <t>نموذج العمل</t>
        </is>
      </c>
      <c r="T3" s="211" t="inlineStr">
        <is>
          <t>الورديات</t>
        </is>
      </c>
      <c r="U3" s="211" t="inlineStr">
        <is>
          <t>بوابة الجودة</t>
        </is>
      </c>
    </row>
    <row r="4" ht="20" customHeight="1" s="107">
      <c r="A4" s="121" t="n">
        <v>1</v>
      </c>
      <c r="B4" s="122" t="inlineStr">
        <is>
          <t>النورية</t>
        </is>
      </c>
      <c r="C4" s="212" t="n">
        <v>30.56</v>
      </c>
      <c r="D4" s="132" t="n">
        <v>4261</v>
      </c>
      <c r="E4" s="200" t="n">
        <v>11</v>
      </c>
      <c r="F4" s="200" t="n">
        <v>9</v>
      </c>
      <c r="G4" s="198" t="n">
        <v>0.4899</v>
      </c>
      <c r="H4" s="198" t="n">
        <v>0.5101</v>
      </c>
      <c r="I4" s="121" t="inlineStr">
        <is>
          <t>17:00 · 21:00 · 22:00</t>
        </is>
      </c>
      <c r="J4" s="200" t="n">
        <v>32</v>
      </c>
      <c r="K4" s="200" t="n">
        <v>34</v>
      </c>
      <c r="L4" s="121" t="inlineStr">
        <is>
          <t>MK007</t>
        </is>
      </c>
      <c r="M4" s="121" t="inlineStr">
        <is>
          <t>العمرة</t>
        </is>
      </c>
      <c r="N4" s="121" t="inlineStr">
        <is>
          <t>ايجار</t>
        </is>
      </c>
      <c r="O4" s="200" t="n">
        <v>18</v>
      </c>
      <c r="P4" s="212" t="n">
        <v>10.15</v>
      </c>
      <c r="Q4" s="121" t="inlineStr">
        <is>
          <t>استثماري</t>
        </is>
      </c>
      <c r="T4" s="213" t="inlineStr">
        <is>
          <t>صباحية</t>
        </is>
      </c>
      <c r="U4" s="213" t="inlineStr">
        <is>
          <t>مستوفاة</t>
        </is>
      </c>
    </row>
    <row r="5" ht="20" customHeight="1" s="107">
      <c r="A5" s="121" t="n">
        <v>2</v>
      </c>
      <c r="B5" s="122" t="inlineStr">
        <is>
          <t>عرفات الشوقية</t>
        </is>
      </c>
      <c r="C5" s="212" t="n">
        <v>21.07</v>
      </c>
      <c r="D5" s="132" t="n">
        <v>1269</v>
      </c>
      <c r="E5" s="200" t="n">
        <v>3</v>
      </c>
      <c r="F5" s="200" t="n">
        <v>3</v>
      </c>
      <c r="G5" s="198" t="n">
        <v>0.4471</v>
      </c>
      <c r="H5" s="198" t="n">
        <v>0.5528999999999999</v>
      </c>
      <c r="I5" s="121" t="inlineStr">
        <is>
          <t>17:00 · 21:00 · 22:00</t>
        </is>
      </c>
      <c r="J5" s="200" t="n">
        <v>9</v>
      </c>
      <c r="K5" s="200" t="n">
        <v>9</v>
      </c>
      <c r="L5" s="121" t="inlineStr">
        <is>
          <t>MK017</t>
        </is>
      </c>
      <c r="M5" s="121" t="inlineStr">
        <is>
          <t>عرفات الشوقية</t>
        </is>
      </c>
      <c r="N5" s="121" t="inlineStr">
        <is>
          <t>ايجار</t>
        </is>
      </c>
      <c r="O5" s="200" t="n">
        <v>9</v>
      </c>
      <c r="P5" s="212" t="n">
        <v>12.58</v>
      </c>
      <c r="Q5" s="121" t="inlineStr">
        <is>
          <t>إيجاري</t>
        </is>
      </c>
      <c r="T5" s="213" t="inlineStr">
        <is>
          <t>مسائية</t>
        </is>
      </c>
      <c r="U5" s="213" t="inlineStr">
        <is>
          <t>غير مستوفاة</t>
        </is>
      </c>
    </row>
    <row r="6" ht="20" customHeight="1" s="107">
      <c r="A6" s="121" t="n">
        <v>3</v>
      </c>
      <c r="B6" s="122" t="inlineStr">
        <is>
          <t>المعيصم</t>
        </is>
      </c>
      <c r="C6" s="212" t="n">
        <v>20.99</v>
      </c>
      <c r="D6" s="132" t="n">
        <v>864</v>
      </c>
      <c r="E6" s="200" t="n">
        <v>2</v>
      </c>
      <c r="F6" s="200" t="n">
        <v>2</v>
      </c>
      <c r="G6" s="198" t="n">
        <v>0.4964</v>
      </c>
      <c r="H6" s="198" t="n">
        <v>0.5036</v>
      </c>
      <c r="I6" s="121" t="inlineStr">
        <is>
          <t>17:00 · 18:00 · 19:00</t>
        </is>
      </c>
      <c r="J6" s="200" t="n">
        <v>7</v>
      </c>
      <c r="K6" s="200" t="n">
        <v>8</v>
      </c>
      <c r="L6" s="121" t="inlineStr">
        <is>
          <t>MK002</t>
        </is>
      </c>
      <c r="M6" s="121" t="inlineStr">
        <is>
          <t>المعيصم</t>
        </is>
      </c>
      <c r="N6" s="121" t="inlineStr">
        <is>
          <t>ايجار</t>
        </is>
      </c>
      <c r="O6" s="200" t="n">
        <v>10</v>
      </c>
      <c r="P6" s="212" t="n">
        <v>13.11</v>
      </c>
      <c r="Q6" s="121" t="inlineStr">
        <is>
          <t>إيجاري</t>
        </is>
      </c>
    </row>
    <row r="7" ht="20" customHeight="1" s="107">
      <c r="A7" s="121" t="n">
        <v>4</v>
      </c>
      <c r="B7" s="122" t="inlineStr">
        <is>
          <t>الفردوس</t>
        </is>
      </c>
      <c r="C7" s="212" t="n">
        <v>20.01</v>
      </c>
      <c r="D7" s="132" t="n">
        <v>790</v>
      </c>
      <c r="E7" s="200" t="n">
        <v>2</v>
      </c>
      <c r="F7" s="200" t="n">
        <v>2</v>
      </c>
      <c r="G7" s="198" t="n">
        <v>0.4511</v>
      </c>
      <c r="H7" s="198" t="n">
        <v>0.5489000000000001</v>
      </c>
      <c r="I7" s="121" t="inlineStr">
        <is>
          <t>17:00 · 21:00 · 22:00</t>
        </is>
      </c>
      <c r="J7" s="200" t="n">
        <v>7</v>
      </c>
      <c r="K7" s="200" t="n">
        <v>7</v>
      </c>
      <c r="L7" s="121" t="inlineStr">
        <is>
          <t>MK023</t>
        </is>
      </c>
      <c r="M7" s="121" t="inlineStr">
        <is>
          <t>بن درويش</t>
        </is>
      </c>
      <c r="N7" s="121" t="inlineStr">
        <is>
          <t>تشغيل</t>
        </is>
      </c>
      <c r="O7" s="200" t="n">
        <v>4</v>
      </c>
      <c r="P7" s="212" t="n">
        <v>11.29</v>
      </c>
      <c r="Q7" s="121" t="inlineStr">
        <is>
          <t>تشغيلي</t>
        </is>
      </c>
    </row>
    <row r="8" ht="20" customHeight="1" s="107">
      <c r="A8" s="121" t="n">
        <v>5</v>
      </c>
      <c r="B8" s="122" t="inlineStr">
        <is>
          <t>عرفات الشرائع</t>
        </is>
      </c>
      <c r="C8" s="212" t="n">
        <v>23.16</v>
      </c>
      <c r="D8" s="132" t="n">
        <v>443</v>
      </c>
      <c r="E8" s="200" t="n">
        <v>2</v>
      </c>
      <c r="F8" s="200" t="n">
        <v>2</v>
      </c>
      <c r="G8" s="198" t="n">
        <v>0.439</v>
      </c>
      <c r="H8" s="198" t="n">
        <v>0.5610000000000001</v>
      </c>
      <c r="I8" s="121" t="inlineStr">
        <is>
          <t>17:00 · 21:00 · 22:00</t>
        </is>
      </c>
      <c r="J8" s="200" t="n">
        <v>5</v>
      </c>
      <c r="K8" s="200" t="n">
        <v>6</v>
      </c>
      <c r="L8" s="121" t="inlineStr">
        <is>
          <t>MK019</t>
        </is>
      </c>
      <c r="M8" s="121" t="inlineStr">
        <is>
          <t>عرفات الشرائع</t>
        </is>
      </c>
      <c r="N8" s="121" t="inlineStr">
        <is>
          <t>ايجار</t>
        </is>
      </c>
      <c r="O8" s="200" t="n">
        <v>6</v>
      </c>
      <c r="P8" s="212" t="n">
        <v>11.4</v>
      </c>
      <c r="Q8" s="121" t="inlineStr">
        <is>
          <t>إيجاري</t>
        </is>
      </c>
    </row>
    <row r="10">
      <c r="B10" s="137" t="inlineStr">
        <is>
          <t>«حصة الصباح/المساء» من عدد الزيارات الفعلي — الوردية الصباحية ٦ ص إلى ٦ م والمسائية ٦ م إلى ٦ ص</t>
        </is>
      </c>
    </row>
    <row r="11">
      <c r="B11" s="137" t="inlineStr">
        <is>
          <t>«اسم المقياس» هو الاسم المستخدم في ملف العمالة — يختلف عن اسم السجل في محطتين</t>
        </is>
      </c>
    </row>
  </sheetData>
  <mergeCells count="2">
    <mergeCell ref="A2:Q2"/>
    <mergeCell ref="A1:Q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2026-08-06T08:57:57Z</dcterms:created>
  <dcterms:modified xmlns:dcterms="http://purl.org/dc/terms/" xmlns:xsi="http://www.w3.org/2001/XMLSchema-instance" xsi:type="dcterms:W3CDTF">2026-08-24T10:33:40Z</dcterms:modified>
  <cp:revision>0</cp:revision>
</cp:coreProperties>
</file>