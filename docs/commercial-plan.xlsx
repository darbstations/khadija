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وقود · أفراد" sheetId="3" state="visible" r:id="rId5"/>
    <sheet name="وقود · شركات" sheetId="4" state="visible" r:id="rId6"/>
    <sheet name="العقار والتأجير" sheetId="5" state="visible" r:id="rId7"/>
    <sheet name="الإكسسوارات" sheetId="6" state="visible" r:id="rId8"/>
    <sheet name="تكلفة اللتر" sheetId="7" state="visible" r:id="rId9"/>
    <sheet name="تجريبي — ثلاث محطات" sheetId="8" state="visible" r:id="rId10"/>
    <sheet name="تشخيص فقدان الحركة" sheetId="9" state="visible" r:id="rId11"/>
    <sheet name="نموذج العامل" sheetId="10" state="visible" r:id="rId12"/>
    <sheet name="مطابقة الوردية مع الطلب" sheetId="11" state="visible" r:id="rId13"/>
    <sheet name="تجربة الشرايع" sheetId="12" state="visible" r:id="rId14"/>
    <sheet name="البيانات" sheetId="13" state="visible" r:id="rId15"/>
    <sheet name="بيانات الورديات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<sst xmlns="http://schemas.openxmlformats.org/spreadsheetml/2006/main" count="1233" uniqueCount="861">
  <si>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</si>
  <si>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</si>
  <si>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</si>
  <si>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</si>
  <si>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</si>
  <si>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</si>
  <si>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</si>
  <si>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</si>
  <si>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</si>
  <si>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</si>
  <si>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</si>
  <si>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</si>
  <si>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</si>
  <si>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</si>
  <si>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</si>
  <si>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</si>
  <si>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</si>
  <si>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</si>
  <si>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</si>
  <si>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</si>
  <si>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</si>
  <si>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</si>
  <si>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</si>
  <si>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</si>
  <si>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</si>
  <si>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</si>
  <si>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</si>
  <si>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</si>
  <si>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</si>
  <si>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</si>
  <si>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</si>
  <si>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</si>
  <si>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</si>
  <si>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</si>
  <si>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</si>
  <si>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</si>
  <si>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مختصر — من يسيطر وبماذا وردّنا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</si>
  <si>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</si>
  <si>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</si>
  <si>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</si>
  <si>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</si>
  <si>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</si>
  <si>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الدريس</t>
  </si>
  <si>
    <t xml:space="preserve">وقود · أفراد</t>
  </si>
  <si>
    <t xml:space="preserve">1,383 محطة · 18.95%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</si>
  <si>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</si>
  <si>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</si>
  <si>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ساسكو</t>
  </si>
  <si>
    <t xml:space="preserve">~683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</si>
  <si>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</si>
  <si>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</si>
  <si>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بترو آب</t>
  </si>
  <si>
    <t xml:space="preserve">وقود · شركات</t>
  </si>
  <si>
    <t xml:space="preserve">500 ألف مركبة · 10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</si>
  <si>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</si>
  <si>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</si>
  <si>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</si>
  <si>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1,383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</si>
  <si>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</si>
  <si>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</si>
  <si>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</si>
  <si>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2,500+ محطة قبول</t>
  </si>
  <si>
    <t xml:space="preserve">منصة وشبكة معاً بعد استحواذ 2026</t>
  </si>
  <si>
    <t xml:space="preserve">شراكة قائمة — رفع أساطيلنا عليها</t>
  </si>
  <si>
    <t xml:space="preserve">Fleet Plus</t>
  </si>
  <si>
    <t xml:space="preserve">5,000+ مزوّد خدمة</t>
  </si>
  <si>
    <t xml:space="preserve">حزمة موحّدة بفوترة واحدة</t>
  </si>
  <si>
    <t xml:space="preserve">الاشتراك كنقطة قبول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</si>
  <si>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</si>
  <si>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</si>
  <si>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</si>
  <si>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</si>
  <si>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</si>
  <si>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</si>
  <si>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</si>
  <si>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</si>
  <si>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</si>
  <si>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</si>
  <si>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</si>
  <si>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</si>
  <si>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</si>
  <si>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</si>
  <si>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</si>
  <si>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</si>
  <si>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</si>
  <si>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</si>
  <si>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</si>
  <si>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</si>
  <si>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</si>
  <si>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</si>
  <si>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</si>
  <si>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</si>
  <si>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</si>
  <si>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</si>
  <si>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</si>
  <si>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</si>
  <si>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</si>
  <si>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</si>
  <si>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</si>
  <si>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</si>
  <si>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</si>
  <si>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</si>
  <si>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</si>
  <si>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</si>
  <si>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</si>
  <si>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</si>
  <si>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</si>
  <si>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</si>
  <si>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</si>
  <si>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</si>
  <si>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</si>
  <si>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</si>
  <si>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</si>
  <si>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</si>
  <si>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</si>
  <si>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</si>
  <si>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</si>
  <si>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</si>
  <si>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</si>
  <si>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</si>
  <si>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</si>
  <si>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</si>
  <si>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</si>
  <si>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</si>
  <si>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</si>
  <si>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</si>
  <si>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</si>
  <si>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</si>
  <si>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</si>
  <si>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</si>
  <si>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</si>
  <si>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</si>
  <si>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</si>
  <si>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</si>
  <si>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</si>
  <si>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</si>
  <si>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</si>
  <si>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</si>
  <si>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</si>
  <si>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</si>
  <si>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</si>
  <si>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</si>
  <si>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عرفات الشوقية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</si>
  <si>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</si>
  <si>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</si>
  <si>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</si>
  <si>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</si>
  <si>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</si>
  <si>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</si>
  <si>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</si>
  <si>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</si>
  <si>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المعيصم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</si>
  <si>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</si>
  <si>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</si>
  <si>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</si>
  <si>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</si>
  <si>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</si>
  <si>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</si>
  <si>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</si>
  <si>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</si>
  <si>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</si>
  <si>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</si>
  <si>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</si>
  <si>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</si>
  <si>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</si>
  <si>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</si>
  <si>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</si>
  <si>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</si>
  <si>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</si>
  <si>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</si>
  <si>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</si>
  <si>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</si>
  <si>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</si>
  <si>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</si>
  <si>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</si>
  <si>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</si>
  <si>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</si>
  <si>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</si>
  <si>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</si>
  <si>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</si>
  <si>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</si>
  <si>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</si>
  <si>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</si>
  <si>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</si>
  <si>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</si>
  <si>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</si>
  <si>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</si>
  <si>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</si>
  <si>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</si>
  <si>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</si>
  <si>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</si>
  <si>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</si>
  <si>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</si>
  <si>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</si>
  <si>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</si>
  <si>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</si>
  <si>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</si>
  <si>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</si>
  <si>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</si>
  <si>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</si>
  <si>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</si>
  <si>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</si>
  <si>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</si>
  <si>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</si>
  <si>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</si>
  <si>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</si>
  <si>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</si>
  <si>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</si>
  <si>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</si>
  <si>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</si>
  <si>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</si>
  <si>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</si>
  <si>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</si>
  <si>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</si>
  <si>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</si>
  <si>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</si>
  <si>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</si>
  <si>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</si>
  <si>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</si>
  <si>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</si>
  <si>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</si>
  <si>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</si>
  <si>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</si>
  <si>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</si>
  <si>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</si>
  <si>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</si>
  <si>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</si>
  <si>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</si>
  <si>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</si>
  <si>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الدلالة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</si>
  <si>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</si>
  <si>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</si>
  <si>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</si>
  <si>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</si>
  <si>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</si>
  <si>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</si>
  <si>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</si>
  <si>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</si>
  <si>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</si>
  <si>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</si>
  <si>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</si>
  <si>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</si>
  <si>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</si>
  <si>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</si>
  <si>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</si>
  <si>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</si>
  <si>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</si>
  <si>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</si>
  <si>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</si>
  <si>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</si>
  <si>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</si>
  <si>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</si>
  <si>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</si>
  <si>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</si>
  <si>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</si>
  <si>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</si>
  <si>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</si>
  <si>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</si>
  <si>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</si>
  <si>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</si>
  <si>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</si>
  <si>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</si>
  <si>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</si>
  <si>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</si>
  <si>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</si>
  <si>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</si>
  <si>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</si>
  <si>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</si>
  <si>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</si>
  <si>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</si>
  <si>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</si>
  <si>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</si>
  <si>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</si>
  <si>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</si>
  <si>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</si>
  <si>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</si>
  <si>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</si>
  <si>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</si>
  <si>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</si>
  <si>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</si>
  <si>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</si>
  <si>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</si>
  <si>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</si>
  <si>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</si>
  <si>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</si>
  <si>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</si>
  <si>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</si>
  <si>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</si>
  <si>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</si>
  <si>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</si>
  <si>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</si>
  <si>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</si>
  <si>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</si>
  <si>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</si>
  <si>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</si>
  <si>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</si>
  <si>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</si>
  <si>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</si>
  <si>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</si>
  <si>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</si>
  <si>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</si>
  <si>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</si>
  <si>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</si>
  <si>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</si>
  <si>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</si>
  <si>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</si>
  <si>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</si>
  <si>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</si>
  <si>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</si>
  <si>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</si>
  <si>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</si>
  <si>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</si>
  <si>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</si>
  <si>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</si>
  <si>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</si>
  <si>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</si>
  <si>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</si>
  <si>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</si>
  <si>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</si>
  <si>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</si>
  <si>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</si>
  <si>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</si>
  <si>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</si>
  <si>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</si>
  <si>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</si>
  <si>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</si>
  <si>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</si>
  <si>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</si>
  <si>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</si>
  <si>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</si>
  <si>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</si>
  <si>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</si>
  <si>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</si>
  <si>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</si>
  <si>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</si>
  <si>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</si>
  <si>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</si>
  <si>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</si>
  <si>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</si>
  <si>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</si>
  <si>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</si>
  <si>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</si>
  <si>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</si>
  <si>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</si>
  <si>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</si>
  <si>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</si>
  <si>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</si>
  <si>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</si>
  <si>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</si>
  <si>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</si>
  <si>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</si>
  <si>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</si>
  <si>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</si>
  <si>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</si>
  <si>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</si>
  <si>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</si>
  <si>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</si>
  <si>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</si>
  <si>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</si>
  <si>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</si>
  <si>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</si>
  <si>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</si>
  <si>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</si>
  <si>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</si>
  <si>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</si>
  <si>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</si>
  <si>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</si>
  <si>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</si>
  <si>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</si>
  <si>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</si>
  <si>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</si>
  <si>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</si>
  <si>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</si>
  <si>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</si>
  <si>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</si>
  <si>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</si>
  <si>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</si>
  <si>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</si>
  <si>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</si>
  <si>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</si>
  <si>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</si>
  <si>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</si>
  <si>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</si>
  <si>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</si>
  <si>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</si>
  <si>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</si>
  <si>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</si>
  <si>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</si>
  <si>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</si>
  <si>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</si>
  <si>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</si>
  <si>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</si>
  <si>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</si>
  <si>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</si>
  <si>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</si>
  <si>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</si>
  <si>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</si>
  <si>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</si>
  <si>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</si>
  <si>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</si>
  <si>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</si>
  <si>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</si>
  <si>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</si>
  <si>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الفارق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</si>
  <si>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</si>
  <si>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</si>
  <si>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</si>
  <si>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</si>
  <si>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</si>
  <si>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</si>
  <si>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</si>
  <si>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</si>
  <si>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</si>
  <si>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</si>
  <si>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</si>
  <si>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</si>
  <si>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</si>
  <si>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</si>
  <si>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</si>
  <si>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</si>
  <si>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</si>
  <si>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</si>
  <si>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</si>
  <si>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</si>
  <si>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</si>
  <si>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</si>
  <si>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</si>
  <si>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</si>
  <si>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</si>
  <si>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</si>
  <si>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</si>
  <si>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</si>
  <si>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</si>
  <si>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</si>
  <si>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</si>
  <si>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</si>
  <si>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</si>
  <si>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</si>
  <si>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</si>
  <si>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</si>
  <si>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</si>
  <si>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</si>
  <si>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</si>
  <si>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</si>
  <si>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</si>
  <si>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</si>
  <si>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</si>
  <si>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</si>
  <si>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النمو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</si>
  <si>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</si>
  <si>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</si>
  <si>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</si>
  <si>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</si>
  <si>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</si>
  <si>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</si>
  <si>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</si>
  <si>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</si>
  <si>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</si>
  <si>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</si>
  <si>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</si>
  <si>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</si>
  <si>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</si>
  <si>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</si>
  <si>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</si>
  <si>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</si>
  <si>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</si>
  <si>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</si>
  <si>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</si>
  <si>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</si>
  <si>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</si>
  <si>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</si>
  <si>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</si>
  <si>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</si>
  <si>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</si>
  <si>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</si>
  <si>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</si>
  <si>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</si>
  <si>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</si>
  <si>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</si>
  <si>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</si>
  <si>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</si>
  <si>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</si>
  <si>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تشخيص فقدان الحركة — مكة</t>
  </si>
  <si>
    <t xml:space="preserve">بيانات يناير – 4 أغسطس 2026 · السبب مؤكَّد ميدانياً لكل حالة</t>
  </si>
  <si>
    <t xml:space="preserve">الاكتشاف: التراجع في عدد الزيارات لا في سلة العميل</t>
  </si>
  <si>
    <t xml:space="preserve">زيارات يناير</t>
  </si>
  <si>
    <t xml:space="preserve">زيارات يونيو–يوليو</t>
  </si>
  <si>
    <t xml:space="preserve">التغيّر</t>
  </si>
  <si>
    <t xml:space="preserve">السبب المؤكَّد</t>
  </si>
  <si>
    <t xml:space="preserve">MK002 المعيصم</t>
  </si>
  <si>
    <t xml:space="preserve">20.51 ← 20.90</t>
  </si>
  <si>
    <t xml:space="preserve">تغيّر مسار الطريق</t>
  </si>
  <si>
    <t xml:space="preserve">22.10 ← 23.15</t>
  </si>
  <si>
    <t xml:space="preserve">منافس فتح قبلنا على المسار</t>
  </si>
  <si>
    <t xml:space="preserve">MK072 العزيزية</t>
  </si>
  <si>
    <t xml:space="preserve">— ← 20.29</t>
  </si>
  <si>
    <t xml:space="preserve">تراجع موسمي · تعافت من يونيو</t>
  </si>
  <si>
    <t xml:space="preserve">MK007 العمرة الجديدة</t>
  </si>
  <si>
    <t xml:space="preserve">31.72 ← 28.99</t>
  </si>
  <si>
    <t xml:space="preserve">تراجع موسمي · عادت لمستوى يناير</t>
  </si>
  <si>
    <t xml:space="preserve">MK017 عرفات الشوقية</t>
  </si>
  <si>
    <t xml:space="preserve">20.44 ← 20.84</t>
  </si>
  <si>
    <t xml:space="preserve">نمو — المرجع</t>
  </si>
  <si>
    <t xml:space="preserve">أثر الحدثين</t>
  </si>
  <si>
    <t xml:space="preserve">المجموع</t>
  </si>
  <si>
    <t xml:space="preserve">الزيارات المفقودة يومياً</t>
  </si>
  <si>
    <t xml:space="preserve">زيارة</t>
  </si>
  <si>
    <t xml:space="preserve">العميل لم يعد يمرّ</t>
  </si>
  <si>
    <t xml:space="preserve">اللترات المفقودة سنوياً</t>
  </si>
  <si>
    <t xml:space="preserve">لتر</t>
  </si>
  <si>
    <t xml:space="preserve">بسلة ثابتة لكل زيارة</t>
  </si>
  <si>
    <t xml:space="preserve">الهامش المفقود سنوياً</t>
  </si>
  <si>
    <t xml:space="preserve">بهامش 13.36 هللة لكل لتر</t>
  </si>
  <si>
    <t xml:space="preserve">الردّ — مختلف لكل حالة</t>
  </si>
  <si>
    <t xml:space="preserve">الحالة</t>
  </si>
  <si>
    <t xml:space="preserve">طبيعة الفقد</t>
  </si>
  <si>
    <t xml:space="preserve">هل يُسترد؟</t>
  </si>
  <si>
    <t xml:space="preserve">MK002 — تغيّر المسار</t>
  </si>
  <si>
    <t xml:space="preserve">دائم</t>
  </si>
  <si>
    <t xml:space="preserve">لا يُسترد بالسعر ولا بالخدمة</t>
  </si>
  <si>
    <t xml:space="preserve">تحويل المحطة من ممرّ إلى وجهة: مغسلة وسوبرماركت ومطعم · وإعادة تحجيم العمالة والمصاريف على الحركة الجديدة</t>
  </si>
  <si>
    <t xml:space="preserve">إيراد غير وقودي لكل زيارة</t>
  </si>
  <si>
    <t xml:space="preserve">MK019 — منافس قبلنا</t>
  </si>
  <si>
    <t xml:space="preserve">قابل للاسترداد</t>
  </si>
  <si>
    <t xml:space="preserve">المنافس يعترض العميل قبل وصوله</t>
  </si>
  <si>
    <t xml:space="preserve">سبب للتجاوز: عرض سعري أو خدمة لا توجد عنده · ولافتات مبكرة قبل نقطة اعتراضه · وتعاقد مع الأساطيل المارّة</t>
  </si>
  <si>
    <t xml:space="preserve">الزيارات اليومية مقابل خط الأساس</t>
  </si>
  <si>
    <t xml:space="preserve">عام — كل الشبكة</t>
  </si>
  <si>
    <t xml:space="preserve">مخاطرة قائمة</t>
  </si>
  <si>
    <t xml:space="preserve">اكتُشف بعد شهور من وقوعه</t>
  </si>
  <si>
    <t xml:space="preserve">إنذار مبكر: تنبيه آلي عند انخفاض الزيارات أسبوعياً بأكثر من 15% مقابل المتوسط · ومسح ربعي للمنافسين وأعمال الطرق</t>
  </si>
  <si>
    <t xml:space="preserve">زمن اكتشاف الحدث</t>
  </si>
  <si>
    <t xml:space="preserve">ما تثبته البيانات</t>
  </si>
  <si>
    <t xml:space="preserve">•  سلة العميل ثابتة في كل المحطات — فالفقد في عدد العملاء لا في سلوكهم</t>
  </si>
  <si>
    <t xml:space="preserve">•  المعيصم والشرايع سقطتا في فبراير بنسبة 60% و53% في شهر واحد</t>
  </si>
  <si>
    <t xml:space="preserve">•  العمرة والعزيزية تراجعتا موسمياً في أبريل–مايو ثم تعافتا في يونيو–يوليو</t>
  </si>
  <si>
    <t xml:space="preserve">ما ينفيه</t>
  </si>
  <si>
    <t xml:space="preserve">•  الخدمة ليست السبب — لو كانت لانخفضت السلة أو لتدرّج الأثر</t>
  </si>
  <si>
    <t xml:space="preserve">•  المضخات ليست السبب — الطاقة لم تتغيّر والزيارات هي التي اختفت</t>
  </si>
  <si>
    <t xml:space="preserve">•  التسعير ليس السبب — السعر مقنَّن وموحّد</t>
  </si>
  <si>
    <t xml:space="preserve">الدرس الأهم</t>
  </si>
  <si>
    <t xml:space="preserve">•  حدثان خارجيان كلّفانا 2.1 مليون ريال هامش سنوياً</t>
  </si>
  <si>
    <t xml:space="preserve">•  واكتُشفا بعد شهور — لا بنظام إنذار بل بتحليل لاحق</t>
  </si>
  <si>
    <t xml:space="preserve">•  الأولوية: نظام تنبيه أسبوعي على مستوى المحطة قبل أي مبادرة أخرى</t>
  </si>
  <si>
    <t xml:space="preserve">نموذج مبيعات العامل — مستهدف وحافز</t>
  </si>
  <si>
    <t xml:space="preserve">خط الأساس يُشتق من حصة الوردية الفعلية من الزيارات ÷ عدد عمالها — لا يُقدَّر يدوياً</t>
  </si>
  <si>
    <t xml:space="preserve">① مُدخلات المحطة — اختر المحطة والباقي يُعبَّأ من بيانات التشغيل</t>
  </si>
  <si>
    <t xml:space="preserve">اختر من القائمة ▼</t>
  </si>
  <si>
    <t xml:space="preserve">الشهر</t>
  </si>
  <si>
    <t xml:space="preserve">مثال: أغسطس ٢٠٢٦</t>
  </si>
  <si>
    <t xml:space="preserve">من بيانات المحطة</t>
  </si>
  <si>
    <t xml:space="preserve">زيارات المحطة (زيارة/يوم)</t>
  </si>
  <si>
    <t xml:space="preserve">متوسط ٢١٢ يوماً</t>
  </si>
  <si>
    <t xml:space="preserve">عمال المضخات — صباحية</t>
  </si>
  <si>
    <t xml:space="preserve">٦ ص – ٦ م</t>
  </si>
  <si>
    <t xml:space="preserve">عمال المضخات — مسائية</t>
  </si>
  <si>
    <t xml:space="preserve">٦ م – ٦ ص</t>
  </si>
  <si>
    <t xml:space="preserve">حصة الصباح من الزيارات</t>
  </si>
  <si>
    <t xml:space="preserve">من الحركة الفعلية</t>
  </si>
  <si>
    <t xml:space="preserve">حصة المساء من الزيارات</t>
  </si>
  <si>
    <t xml:space="preserve">هامش المساهمة (هللة/لتر)</t>
  </si>
  <si>
    <t xml:space="preserve">من قائمة الدخل</t>
  </si>
  <si>
    <t xml:space="preserve">نسبة الحافز من الهامش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</si>
  <si>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</si>
  <si>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</si>
  <si>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</si>
  <si>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</si>
  <si>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</si>
  <si>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</si>
  <si>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يُشترط صافي محطة موجب</t>
  </si>
  <si>
    <t xml:space="preserve">نعم</t>
  </si>
  <si>
    <t xml:space="preserve">يحمي نسبة الـ١٥٪</t>
  </si>
  <si>
    <t xml:space="preserve">② بطاقة العامل — اختر الوردية فيُشتق خط الأساس · عبّئ الفعلي وبوابة الجودة</t>
  </si>
  <si>
    <t xml:space="preserve">اسم العامل</t>
  </si>
  <si>
    <t xml:space="preserve">الوردية</t>
  </si>
  <si>
    <t xml:space="preserve">خط الأساس المشتق</t>
  </si>
  <si>
    <t xml:space="preserve">تعديل معتمد</t>
  </si>
  <si>
    <t xml:space="preserve">الفعلي</t>
  </si>
  <si>
    <t xml:space="preserve">نسبة الإنجاز</t>
  </si>
  <si>
    <t xml:space="preserve">بوابة الجودة</t>
  </si>
  <si>
    <t xml:space="preserve">الحافز (ريال)</t>
  </si>
  <si>
    <t xml:space="preserve">③ ملخص المحطة — يتحدّث مع كل رقم تُدخله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</si>
  <si>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</si>
  <si>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</si>
  <si>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</si>
  <si>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</si>
  <si>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</si>
  <si>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</si>
  <si>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</si>
  <si>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</si>
  <si>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</si>
  <si>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</si>
  <si>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 الفعلي</t>
  </si>
  <si>
    <t xml:space="preserve">تتجاوز المعتمدة إذا ربح بعض العمال وخسر غيرهم — الحافز فردي والهامش صافٍ</t>
  </si>
  <si>
    <t xml:space="preserve">عدد من بلغوا السقف</t>
  </si>
  <si>
    <t xml:space="preserve">إن ارتفع العدد فالسقف يكبح التحفيز</t>
  </si>
  <si>
    <t xml:space="preserve">تعديلات يدوية على خط الأساس</t>
  </si>
  <si>
    <t xml:space="preserve">كل تعديل يحتاج مبرراً مكتوباً</t>
  </si>
  <si>
    <t xml:space="preserve"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</si>
  <si>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</si>
  <si>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</si>
  <si>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</si>
  <si>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</si>
  <si>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</si>
  <si>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</si>
  <si>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</si>
  <si>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</si>
  <si>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</si>
  <si>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</si>
  <si>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</si>
  <si>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</si>
  <si>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</si>
  <si>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</si>
  <si>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تعني أن السقف بلغ حدّه — الزيادة بعده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</si>
  <si>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</si>
  <si>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</si>
  <si>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</si>
  <si>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</si>
  <si>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</si>
  <si>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</si>
  <si>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</si>
  <si>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</si>
  <si>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</si>
  <si>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</si>
  <si>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</si>
  <si>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</si>
  <si>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</si>
  <si>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ساعات الذروة</t>
  </si>
  <si>
    <t xml:space="preserve">نسبة الحضور في ساعات المحطة</t>
  </si>
  <si>
    <t xml:space="preserve">100%</t>
  </si>
  <si>
    <t xml:space="preserve">ساعات الذروة معروفة لكل محطة — انظر خانة المحطة أعلاه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</si>
  <si>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</si>
  <si>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</si>
  <si>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</si>
  <si>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</si>
  <si>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</si>
  <si>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← تُعبَّأ الزيارات وحصص الورديات وعدد العمال من بيانات التشغيل</t>
  </si>
  <si>
    <t xml:space="preserve">•  اختر وردية العامل ← يُشتق خط أساسه تلقائياً من حصة ورديته ÷ عدد عمالها</t>
  </si>
  <si>
    <t xml:space="preserve">•  لا تعبّئ إلا: الاسم · الوردية · الفعلي · بوابة الجودة</t>
  </si>
  <si>
    <t xml:space="preserve">•  الأصفر مُدخل · الرمادي محسوب · الأخضر مسحوب من ورقة البيانات</t>
  </si>
  <si>
    <t xml:space="preserve">لماذا يُشتق خط الأساس ولا يُقدَّر</t>
  </si>
  <si>
    <t xml:space="preserve">•  خط الأساس المتساهل هو الطريقة الأولى لتفريغ الحافز من معناه</t>
  </si>
  <si>
    <t xml:space="preserve">•  عامل المساء يخدم زيارات أكثر من عامل الصباح بنفس العدد — الاشتقاق ينصفه</t>
  </si>
  <si>
    <t xml:space="preserve">•  خانة «تعديل معتمد» تُظهر أي تخفيض بالأحمر ويُحصى في الملخص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</si>
  <si>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</si>
  <si>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</si>
  <si>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</si>
  <si>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</si>
  <si>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</si>
  <si>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ما يُبطل النموذج</t>
  </si>
  <si>
    <t xml:space="preserve">•  تعديل خط الأساس بالخفض دون مبرر مكتوب</t>
  </si>
  <si>
    <t xml:space="preserve">•  غياب قياس زمن الخدمة يفرّغ بوابة الجودة من معناها</t>
  </si>
  <si>
    <t xml:space="preserve">•  الصرف في شهر صافيه سالب — الحافز فردي والشركة تقبض الصافي</t>
  </si>
  <si>
    <t xml:space="preserve">مطابقة الوردية مع الطلب</t>
  </si>
  <si>
    <t xml:space="preserve">كل المحطات توزّع العمالة نصفين متساويين — بينما الطلب ليس نصفين</t>
  </si>
  <si>
    <t xml:space="preserve">زيارات الصباح</t>
  </si>
  <si>
    <t xml:space="preserve">زيارات المساء</t>
  </si>
  <si>
    <t xml:space="preserve">عمال صباحاً</t>
  </si>
  <si>
    <t xml:space="preserve">عمال مساءً</t>
  </si>
  <si>
    <t xml:space="preserve">حصة العمالة مساءً</t>
  </si>
  <si>
    <t xml:space="preserve">الفجوة</t>
  </si>
  <si>
    <t xml:space="preserve">حِمل عامل الصباح</t>
  </si>
  <si>
    <t xml:space="preserve">حِمل عامل المساء</t>
  </si>
  <si>
    <t xml:space="preserve">القرار</t>
  </si>
  <si>
    <t xml:space="preserve">النورية</t>
  </si>
  <si>
    <t xml:space="preserve">انقل 1 عامل من الصباح إلى المساء</t>
  </si>
  <si>
    <t xml:space="preserve">الفجوة أقل من عامل — عالجها بمواعيد الدخول لا بالعدد</t>
  </si>
  <si>
    <t xml:space="preserve">الفردوس</t>
  </si>
  <si>
    <t xml:space="preserve">عرفات الشرائع</t>
  </si>
  <si>
    <t xml:space="preserve">ما تقوله الأرقام</t>
  </si>
  <si>
    <t xml:space="preserve">•  عامل المساء يخدم ٢٢–٢٨٪ زيارات أكثر من عامل الصباح في أربع محطات من خمس</t>
  </si>
  <si>
    <t xml:space="preserve">•  السبب أن العمالة موزّعة ٥٠/٥٠ بينما الطلب المسائي ٥٥–٥٦٪ من الزيارات</t>
  </si>
  <si>
    <t xml:space="preserve">•  المعيصم وحدها متوازنة — لأن ذروتها ٥ إلى ٧ مساءً لا بعد التاسعة</t>
  </si>
  <si>
    <t xml:space="preserve">لماذا يهم هذا في نموذج الحافز</t>
  </si>
  <si>
    <t xml:space="preserve">•  خط أساس موحّد لكل العمال يظلم عامل المساء ويكافئ عامل الصباح على أقل جهد</t>
  </si>
  <si>
    <t xml:space="preserve">•  لذلك يُشتق خط الأساس من حصة الوردية الفعلية — لا من متوسط المحطة</t>
  </si>
  <si>
    <t xml:space="preserve">•  الاشتقاق يجعل ٥٪ نمو تعني الجهد نفسه على الورديتين</t>
  </si>
  <si>
    <t xml:space="preserve">حدود ما يمكن تنفيذه</t>
  </si>
  <si>
    <t xml:space="preserve">•  النورية وحدها فيها عمالة تكفي لنقل عامل كامل (٢٠ عاملاً على المضخات)</t>
  </si>
  <si>
    <t xml:space="preserve">•  بقية المحطات فجوتها أقل من عامل — الحل تعديل مواعيد الدخول لا زيادة العدد</t>
  </si>
  <si>
    <t xml:space="preserve">•  تكديس الورديات بين ٨ و١٠ مساءً يغطي الذروة دون تكلفة إضافية</t>
  </si>
  <si>
    <t xml:space="preserve">تجربة الشرايع MK019 — خدمة ممتازة وتوزيع مناديل</t>
  </si>
  <si>
    <t xml:space="preserve">المنافس يعترض العميل قبلنا · والعميل ما زال يمرّ — فالتجربة اختبار لسبب التجاوز</t>
  </si>
  <si>
    <t xml:space="preserve">خط الأساس</t>
  </si>
  <si>
    <t xml:space="preserve">الفترة</t>
  </si>
  <si>
    <t xml:space="preserve">يونيو – 4 أغسطس</t>
  </si>
  <si>
    <t xml:space="preserve">يناير كان 830</t>
  </si>
  <si>
    <t xml:space="preserve">ثابت طوال الفترة</t>
  </si>
  <si>
    <t xml:space="preserve">السلة لم تتأثر — الفقد في العدد</t>
  </si>
  <si>
    <t xml:space="preserve">هامش المساهمة لكل زيارة</t>
  </si>
  <si>
    <t xml:space="preserve">23.15 لتر × 13.36 هللة</t>
  </si>
  <si>
    <t xml:space="preserve">المتفق 6</t>
  </si>
  <si>
    <t xml:space="preserve">نقص عامل واحد</t>
  </si>
  <si>
    <t xml:space="preserve">الطاقة غير مقيِّدة</t>
  </si>
  <si>
    <t xml:space="preserve">ساعة الذروة</t>
  </si>
  <si>
    <t xml:space="preserve">توقيت التوزيع الأمثل</t>
  </si>
  <si>
    <t xml:space="preserve">اقتصاديات التدخل</t>
  </si>
  <si>
    <t xml:space="preserve">تكلفة الوحدة الموزّعة (ريال)</t>
  </si>
  <si>
    <t xml:space="preserve">نسبة الزيارات التي تُوزَّع عليها</t>
  </si>
  <si>
    <t xml:space="preserve">تكلفة إضافية أخرى شهرياً (تدريب · مشرف)</t>
  </si>
  <si>
    <t xml:space="preserve">مدة التجربة (أسبوع)</t>
  </si>
  <si>
    <t xml:space="preserve">تكلفة التوزيع يومياً</t>
  </si>
  <si>
    <t xml:space="preserve">قبل أي نمو</t>
  </si>
  <si>
    <t xml:space="preserve">الزيارات الإضافية للتعادل</t>
  </si>
  <si>
    <t xml:space="preserve">الهامش لكل زيارة 3.09 ريال</t>
  </si>
  <si>
    <t xml:space="preserve">دون هذه النسبة التجربة خاسرة</t>
  </si>
  <si>
    <t xml:space="preserve">سقف الاسترداد الممكن</t>
  </si>
  <si>
    <t xml:space="preserve">العودة الكاملة لمستوى يناير</t>
  </si>
  <si>
    <t xml:space="preserve">أقصى نمو ممكن</t>
  </si>
  <si>
    <t xml:space="preserve">الحد الأعلى لما يمكن استرداده</t>
  </si>
  <si>
    <t xml:space="preserve">المتابعة — ما يُسجَّل يومياً</t>
  </si>
  <si>
    <t xml:space="preserve">التكرار</t>
  </si>
  <si>
    <t xml:space="preserve">لماذا هذا المؤشر</t>
  </si>
  <si>
    <t xml:space="preserve">الزيارات اليومية</t>
  </si>
  <si>
    <t xml:space="preserve">نظام المحطة</t>
  </si>
  <si>
    <t xml:space="preserve">يومي</t>
  </si>
  <si>
    <t xml:space="preserve">مدير المحطة</t>
  </si>
  <si>
    <t xml:space="preserve">المؤشر الرئيسي — الفقد كان في العدد</t>
  </si>
  <si>
    <t xml:space="preserve">اللترات اليومية</t>
  </si>
  <si>
    <t xml:space="preserve">للتأكد أن السلة لم تنخفض</t>
  </si>
  <si>
    <t xml:space="preserve">محسوب</t>
  </si>
  <si>
    <t xml:space="preserve">—</t>
  </si>
  <si>
    <t xml:space="preserve">إن انخفض فالنمو من عملاء أصغر</t>
  </si>
  <si>
    <t xml:space="preserve">الوحدات الموزّعة</t>
  </si>
  <si>
    <t xml:space="preserve">سجل يدوي</t>
  </si>
  <si>
    <t xml:space="preserve">المشرف</t>
  </si>
  <si>
    <t xml:space="preserve">لربط التكلفة بالأثر</t>
  </si>
  <si>
    <t xml:space="preserve">زمن التعبئة في الذروة</t>
  </si>
  <si>
    <t xml:space="preserve">قياس عيّنة</t>
  </si>
  <si>
    <t xml:space="preserve">أسبوعي</t>
  </si>
  <si>
    <t xml:space="preserve">الخدمة الممتازة يجب أن تُقاس</t>
  </si>
  <si>
    <t xml:space="preserve">خدمة العملاء</t>
  </si>
  <si>
    <t xml:space="preserve">مؤشر عكسي للجودة</t>
  </si>
  <si>
    <t xml:space="preserve">زيارات المحطة المرجع</t>
  </si>
  <si>
    <t xml:space="preserve">التحليل</t>
  </si>
  <si>
    <t xml:space="preserve">لعزل أثر الموسم عن أثر التدخل</t>
  </si>
  <si>
    <t xml:space="preserve">سجل المتابعة الأسبوعي</t>
  </si>
  <si>
    <t xml:space="preserve">الأسبوع</t>
  </si>
  <si>
    <t xml:space="preserve">وحدات موزّعة</t>
  </si>
  <si>
    <t xml:space="preserve">التكلفة</t>
  </si>
  <si>
    <t xml:space="preserve">الفارق عن الأساس</t>
  </si>
  <si>
    <t xml:space="preserve">الحكم</t>
  </si>
  <si>
    <t xml:space="preserve">أسبوع 1</t>
  </si>
  <si>
    <t xml:space="preserve">أسبوع 2</t>
  </si>
  <si>
    <t xml:space="preserve">أسبوع 3</t>
  </si>
  <si>
    <t xml:space="preserve">أسبوع 4</t>
  </si>
  <si>
    <t xml:space="preserve">أسبوع 5</t>
  </si>
  <si>
    <t xml:space="preserve">أسبوع 6</t>
  </si>
  <si>
    <t xml:space="preserve">أسبوع 7</t>
  </si>
  <si>
    <t xml:space="preserve">أسبوع 8</t>
  </si>
  <si>
    <t xml:space="preserve">لماذا الشرايع تحديداً</t>
  </si>
  <si>
    <t xml:space="preserve">•  الفقد سببه اعتراض منافس — والعميل ما زال يمرّ على الطريق</t>
  </si>
  <si>
    <t xml:space="preserve">•  فالتدخل يختبر سؤالاً واحداً: هل يعطي سبباً كافياً لتجاوز المنافس؟</t>
  </si>
  <si>
    <t xml:space="preserve">•  بخلاف المعيصم حيث الطريق نفسه تغيّر — ولا تدخّل يعيد سيارة لا تمرّ</t>
  </si>
  <si>
    <t xml:space="preserve">تحذير من الأرقام</t>
  </si>
  <si>
    <t xml:space="preserve">•  الهامش لكل زيارة 3.09 ريال فقط — فتكلفة التوزيع تلتهمه بسرعة</t>
  </si>
  <si>
    <t xml:space="preserve">•  توزيع بريال واحد على كل الزيارات يحتاج نمواً 32% لمجرد التعادل</t>
  </si>
  <si>
    <t xml:space="preserve">•  وبريال على نصف الزيارات يحتاج 16% — وهو الأقرب للواقع</t>
  </si>
  <si>
    <t xml:space="preserve">•  ابدأ بالنسبة الأقل والتكلفة الأدنى ثم ارفع إن ثبت الأثر</t>
  </si>
  <si>
    <t xml:space="preserve">شرط صحة القياس</t>
  </si>
  <si>
    <t xml:space="preserve">•  محطة مرجع تُقاس بالتوازي — عرفات الشوقية أو أي محطة مستقرة</t>
  </si>
  <si>
    <t xml:space="preserve">•  بدونها لا يمكن التفريق بين أثر التدخل وأثر الموسم</t>
  </si>
  <si>
    <t xml:space="preserve">•  والخدمة الممتازة يجب أن تُقاس بزمن التعبئة لا بالانطباع</t>
  </si>
  <si>
    <t xml:space="preserve">قرار الاستمرار</t>
  </si>
  <si>
    <t xml:space="preserve">•  بعد 8 أسابيع: إن تجاوز النمو نقطة التعادل يُعمَّم التدخل</t>
  </si>
  <si>
    <t xml:space="preserve">•  إن كان دون التعادل لكن الاتجاه صاعد يُمدَّد 4 أسابيع بتكلفة أقل</t>
  </si>
  <si>
    <t xml:space="preserve">•  إن لم يتحرك شيء فالسبب ليس الخدمة — والملف يعود لمعالجة الموقع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</si>
  <si>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</si>
  <si>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</si>
  <si>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</si>
  <si>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</si>
  <si>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</si>
  <si>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</si>
  <si>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</si>
  <si>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</si>
  <si>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</si>
  <si>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MK007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</si>
  <si>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</si>
  <si>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</si>
  <si>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</si>
  <si>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</si>
  <si>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</si>
  <si>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</si>
  <si>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</si>
  <si>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</si>
  <si>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</si>
  <si>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</si>
  <si>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</si>
  <si>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</si>
  <si>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</si>
  <si>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</si>
  <si>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</si>
  <si>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</si>
  <si>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</si>
  <si>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</si>
  <si>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</si>
  <si>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</si>
  <si>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</si>
  <si>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</si>
  <si>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</si>
  <si>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</si>
  <si>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MK017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</si>
  <si>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</si>
  <si>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</si>
  <si>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</si>
  <si>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</si>
  <si>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</si>
  <si>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</si>
  <si>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</si>
  <si>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</si>
  <si>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</si>
  <si>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</si>
  <si>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</si>
  <si>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MK002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</si>
  <si>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</si>
  <si>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</si>
  <si>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</si>
  <si>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</si>
  <si>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</si>
  <si>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</si>
  <si>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MK023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</si>
  <si>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</si>
  <si>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</si>
  <si>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</si>
  <si>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</si>
  <si>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</si>
  <si>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</si>
  <si>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</si>
  <si>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MK019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</si>
  <si>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</si>
  <si>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</si>
  <si>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</si>
  <si>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</si>
  <si>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</si>
  <si>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</si>
  <si>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</si>
  <si>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</si>
  <si>
    <t xml:space="preserve">بيانات المحطات المرجعية</t>
  </si>
  <si>
    <t xml:space="preserve">من تقرير المطابقة التشغيلية — يناير إلى يوليو ٢٠٢٦ (٢١٢ يوماً فعلياً)</t>
  </si>
  <si>
    <t xml:space="preserve">زيارات/يوم</t>
  </si>
  <si>
    <t xml:space="preserve">عمال صباحية</t>
  </si>
  <si>
    <t xml:space="preserve">عمال مسائية</t>
  </si>
  <si>
    <t xml:space="preserve">حصة الصباح</t>
  </si>
  <si>
    <t xml:space="preserve">حصة المساء</t>
  </si>
  <si>
    <t xml:space="preserve">ساعات الذروة</t>
  </si>
  <si>
    <t xml:space="preserve">الطاقم المعياري</t>
  </si>
  <si>
    <t xml:space="preserve">الكود</t>
  </si>
  <si>
    <t xml:space="preserve">اسم المقياس</t>
  </si>
  <si>
    <t xml:space="preserve">العقد</t>
  </si>
  <si>
    <t xml:space="preserve">الورديات</t>
  </si>
  <si>
    <t xml:space="preserve">17:00 · 21:00 · 22:00</t>
  </si>
  <si>
    <t xml:space="preserve">العمرة</t>
  </si>
  <si>
    <t xml:space="preserve">ايجار</t>
  </si>
  <si>
    <t xml:space="preserve">صباحية</t>
  </si>
  <si>
    <t xml:space="preserve">مستوفاة</t>
  </si>
  <si>
    <t xml:space="preserve">مسائية</t>
  </si>
  <si>
    <t xml:space="preserve">غير مستوفاة</t>
  </si>
  <si>
    <t xml:space="preserve">17:00 · 18:00 · 19:00</t>
  </si>
  <si>
    <t xml:space="preserve">تشغيل</t>
  </si>
  <si>
    <t xml:space="preserve">«حصة الصباح/المساء» من عدد الزيارات الفعلي — الوردية الصباحية ٦ ص إلى ٦ م والمسائية ٦ م إلى ٦ ص</t>
  </si>
  <si>
    <t xml:space="preserve">«اسم المقياس» هو الاسم المستخدم في ملف العمالة — يختلف عن اسم السجل في محطتين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</si>
</sst>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000"/>
    <numFmt numFmtId="166" formatCode="0.00"/>
    <numFmt numFmtId="167" formatCode="0.0%"/>
    <numFmt numFmtId="168" formatCode="#,##0"/>
    <numFmt numFmtId="169" formatCode="\+#,##0;\-#,##0"/>
    <numFmt numFmtId="170" formatCode="0.0"/>
    <numFmt numFmtId="171" formatCode="0"/>
    <numFmt numFmtId="172" formatCode="\+0.00;\-0.00"/>
    <numFmt numFmtId="173" formatCode="#,##0.##"/>
    <numFmt numFmtId="174" formatCode="\+#,##0.##;\-#,##0.##"/>
    <numFmt numFmtId="175" formatCode="\+0.0%;\-0.0%"/>
    <numFmt numFmtId="176" formatCode="0.00;\-0.00;&quot;&quot;"/>
    <numFmt numFmtId="177" formatCode="#,##0;;&quot;&quot;"/>
    <numFmt numFmtId="178" formatCode="0;;&quot;&quot;"/>
    <numFmt numFmtId="179" formatCode="0.0%;;&quot;&quot;"/>
    <numFmt numFmtId="180" formatCode="0%"/>
    <numFmt numFmtId="181" formatCode="#,##0.00"/>
    <numFmt numFmtId="182" formatCode="\+0.0%;\-0.0%;\—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4546A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C0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FFE699"/>
        <bgColor rgb="FFF8CBAD"/>
      </patternFill>
    </fill>
    <fill>
      <patternFill patternType="solid">
        <fgColor rgb="FFC6E0B4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2F2F2"/>
        <bgColor rgb="FFE7E6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76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8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9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1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833C00"/>
        <sz val="10"/>
      </font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43.5" hidden="false" customHeight="true" outlineLevel="0" collapsed="false">
      <c r="A5" s="5" t="n">
        <v>1</v>
      </c>
      <c r="B5" s="6" t="s">
        <v>8</v>
      </c>
      <c r="C5" s="5" t="s">
        <v>9</v>
      </c>
      <c r="D5" s="7" t="s">
        <v>10</v>
      </c>
      <c r="E5" s="7" t="s">
        <v>11</v>
      </c>
      <c r="F5" s="7" t="s">
        <v>12</v>
      </c>
    </row>
    <row r="6" customFormat="false" ht="43.5" hidden="false" customHeight="true" outlineLevel="0" collapsed="false">
      <c r="A6" s="5" t="n">
        <v>2</v>
      </c>
      <c r="B6" s="6" t="s">
        <v>8</v>
      </c>
      <c r="C6" s="5" t="s">
        <v>13</v>
      </c>
      <c r="D6" s="7" t="s">
        <v>14</v>
      </c>
      <c r="E6" s="7" t="s">
        <v>15</v>
      </c>
      <c r="F6" s="7" t="s">
        <v>16</v>
      </c>
    </row>
    <row r="7" customFormat="false" ht="43.5" hidden="false" customHeight="true" outlineLevel="0" collapsed="false">
      <c r="A7" s="5" t="n">
        <v>3</v>
      </c>
      <c r="B7" s="6" t="s">
        <v>17</v>
      </c>
      <c r="C7" s="5" t="s">
        <v>18</v>
      </c>
      <c r="D7" s="7" t="s">
        <v>19</v>
      </c>
      <c r="E7" s="7" t="s">
        <v>20</v>
      </c>
      <c r="F7" s="7" t="s">
        <v>21</v>
      </c>
    </row>
    <row r="8" customFormat="false" ht="43.5" hidden="false" customHeight="true" outlineLevel="0" collapsed="false">
      <c r="A8" s="5" t="n">
        <v>4</v>
      </c>
      <c r="B8" s="6" t="s">
        <v>22</v>
      </c>
      <c r="C8" s="5" t="s">
        <v>23</v>
      </c>
      <c r="D8" s="7" t="s">
        <v>24</v>
      </c>
      <c r="E8" s="7" t="s">
        <v>25</v>
      </c>
      <c r="F8" s="7" t="s">
        <v>26</v>
      </c>
    </row>
    <row r="10" customFormat="false" ht="15" hidden="false" customHeight="true" outlineLevel="0" collapsed="false">
      <c r="B10" s="8" t="s">
        <v>27</v>
      </c>
    </row>
    <row r="11" customFormat="false" ht="15.75" hidden="false" customHeight="true" outlineLevel="0" collapsed="false">
      <c r="C11" s="9" t="s">
        <v>28</v>
      </c>
      <c r="D11" s="9"/>
      <c r="E11" s="9"/>
      <c r="F11" s="9"/>
    </row>
    <row r="12" customFormat="false" ht="15.75" hidden="false" customHeight="true" outlineLevel="0" collapsed="false">
      <c r="C12" s="9" t="s">
        <v>29</v>
      </c>
      <c r="D12" s="9"/>
      <c r="E12" s="9"/>
      <c r="F12" s="9"/>
    </row>
    <row r="13" customFormat="false" ht="15.75" hidden="false" customHeight="true" outlineLevel="0" collapsed="false">
      <c r="C13" s="9" t="s">
        <v>30</v>
      </c>
      <c r="D13" s="9"/>
      <c r="E13" s="9"/>
      <c r="F13" s="9"/>
    </row>
    <row r="15" customFormat="false" ht="15" hidden="false" customHeight="true" outlineLevel="0" collapsed="false">
      <c r="B15" s="10" t="s">
        <v>31</v>
      </c>
    </row>
    <row r="16" customFormat="false" ht="15.75" hidden="false" customHeight="true" outlineLevel="0" collapsed="false">
      <c r="C16" s="9" t="s">
        <v>32</v>
      </c>
      <c r="D16" s="9"/>
      <c r="E16" s="9"/>
      <c r="F16" s="9"/>
    </row>
    <row r="17" customFormat="false" ht="15.75" hidden="false" customHeight="true" outlineLevel="0" collapsed="false">
      <c r="C17" s="9" t="s">
        <v>33</v>
      </c>
      <c r="D17" s="9"/>
      <c r="E17" s="9"/>
      <c r="F17" s="9"/>
    </row>
    <row r="18" customFormat="false" ht="15.75" hidden="false" customHeight="true" outlineLevel="0" collapsed="false">
      <c r="C18" s="9" t="s">
        <v>34</v>
      </c>
      <c r="D18" s="9"/>
      <c r="E18" s="9"/>
      <c r="F18" s="9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34"/>
  </cols>
  <sheetData>
    <row r="1" customFormat="false" ht="25.5" hidden="false" customHeight="true" outlineLevel="0" collapsed="false">
      <c r="A1" s="2" t="s">
        <v>35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36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4" t="s">
        <v>2</v>
      </c>
      <c r="B3" s="4" t="s">
        <v>37</v>
      </c>
      <c r="C3" s="4" t="s">
        <v>38</v>
      </c>
      <c r="D3" s="4" t="s">
        <v>39</v>
      </c>
      <c r="E3" s="4" t="s">
        <v>40</v>
      </c>
      <c r="F3" s="4" t="s">
        <v>41</v>
      </c>
    </row>
    <row r="4" customFormat="false" ht="33.75" hidden="false" customHeight="true" outlineLevel="0" collapsed="false">
      <c r="A4" s="5" t="n">
        <v>1</v>
      </c>
      <c r="B4" s="6" t="s">
        <v>42</v>
      </c>
      <c r="C4" s="5" t="s">
        <v>43</v>
      </c>
      <c r="D4" s="7" t="s">
        <v>44</v>
      </c>
      <c r="E4" s="7" t="s">
        <v>45</v>
      </c>
      <c r="F4" s="7" t="s">
        <v>46</v>
      </c>
    </row>
    <row r="5" customFormat="false" ht="33.75" hidden="false" customHeight="true" outlineLevel="0" collapsed="false">
      <c r="A5" s="5" t="n">
        <v>2</v>
      </c>
      <c r="B5" s="6" t="s">
        <v>47</v>
      </c>
      <c r="C5" s="5" t="s">
        <v>43</v>
      </c>
      <c r="D5" s="7" t="s">
        <v>48</v>
      </c>
      <c r="E5" s="7" t="s">
        <v>49</v>
      </c>
      <c r="F5" s="7" t="s">
        <v>50</v>
      </c>
    </row>
    <row r="6" customFormat="false" ht="33.75" hidden="false" customHeight="true" outlineLevel="0" collapsed="false">
      <c r="A6" s="5" t="n">
        <v>3</v>
      </c>
      <c r="B6" s="6" t="s">
        <v>51</v>
      </c>
      <c r="C6" s="5" t="s">
        <v>52</v>
      </c>
      <c r="D6" s="7" t="s">
        <v>53</v>
      </c>
      <c r="E6" s="7" t="s">
        <v>54</v>
      </c>
      <c r="F6" s="7" t="s">
        <v>55</v>
      </c>
    </row>
    <row r="7" customFormat="false" ht="33.75" hidden="false" customHeight="true" outlineLevel="0" collapsed="false">
      <c r="A7" s="5" t="n">
        <v>4</v>
      </c>
      <c r="B7" s="6" t="s">
        <v>56</v>
      </c>
      <c r="C7" s="5" t="s">
        <v>52</v>
      </c>
      <c r="D7" s="7" t="s">
        <v>57</v>
      </c>
      <c r="E7" s="7" t="s">
        <v>58</v>
      </c>
      <c r="F7" s="7" t="s">
        <v>59</v>
      </c>
    </row>
    <row r="8" customFormat="false" ht="33.75" hidden="false" customHeight="true" outlineLevel="0" collapsed="false">
      <c r="A8" s="5" t="n">
        <v>5</v>
      </c>
      <c r="B8" s="6" t="s">
        <v>60</v>
      </c>
      <c r="C8" s="5" t="s">
        <v>52</v>
      </c>
      <c r="D8" s="7" t="s">
        <v>61</v>
      </c>
      <c r="E8" s="7" t="s">
        <v>62</v>
      </c>
      <c r="F8" s="7" t="s">
        <v>63</v>
      </c>
    </row>
    <row r="9" customFormat="false" ht="33.75" hidden="false" customHeight="true" outlineLevel="0" collapsed="false">
      <c r="A9" s="5" t="n">
        <v>6</v>
      </c>
      <c r="B9" s="6" t="s">
        <v>64</v>
      </c>
      <c r="C9" s="5" t="s">
        <v>52</v>
      </c>
      <c r="D9" s="7" t="s">
        <v>65</v>
      </c>
      <c r="E9" s="7" t="s">
        <v>66</v>
      </c>
      <c r="F9" s="7" t="s">
        <v>67</v>
      </c>
    </row>
    <row r="10" customFormat="false" ht="33.75" hidden="false" customHeight="true" outlineLevel="0" collapsed="false">
      <c r="A10" s="5" t="n">
        <v>7</v>
      </c>
      <c r="B10" s="6" t="s">
        <v>68</v>
      </c>
      <c r="C10" s="5" t="s">
        <v>69</v>
      </c>
      <c r="D10" s="7" t="s">
        <v>70</v>
      </c>
      <c r="E10" s="7" t="s">
        <v>71</v>
      </c>
      <c r="F10" s="7" t="s">
        <v>72</v>
      </c>
    </row>
    <row r="11" customFormat="false" ht="33.75" hidden="false" customHeight="true" outlineLevel="0" collapsed="false">
      <c r="A11" s="5" t="n">
        <v>8</v>
      </c>
      <c r="B11" s="6" t="s">
        <v>73</v>
      </c>
      <c r="C11" s="5" t="s">
        <v>74</v>
      </c>
      <c r="D11" s="7" t="s">
        <v>75</v>
      </c>
      <c r="E11" s="7" t="s">
        <v>76</v>
      </c>
      <c r="F11" s="7" t="s">
        <v>77</v>
      </c>
    </row>
    <row r="13" customFormat="false" ht="15" hidden="false" customHeight="true" outlineLevel="0" collapsed="false">
      <c r="B13" s="8" t="s">
        <v>78</v>
      </c>
    </row>
    <row r="14" customFormat="false" ht="15.75" hidden="false" customHeight="true" outlineLevel="0" collapsed="false">
      <c r="C14" s="9" t="s">
        <v>79</v>
      </c>
      <c r="D14" s="9"/>
      <c r="E14" s="9"/>
      <c r="F14" s="9"/>
    </row>
    <row r="15" customFormat="false" ht="15.75" hidden="false" customHeight="true" outlineLevel="0" collapsed="false">
      <c r="C15" s="9" t="s">
        <v>80</v>
      </c>
      <c r="D15" s="9"/>
      <c r="E15" s="9"/>
      <c r="F15" s="9"/>
    </row>
    <row r="16" customFormat="false" ht="15.75" hidden="false" customHeight="true" outlineLevel="0" collapsed="false">
      <c r="C16" s="9" t="s">
        <v>81</v>
      </c>
      <c r="D16" s="9"/>
      <c r="E16" s="9"/>
      <c r="F16" s="9"/>
    </row>
  </sheetData>
  <mergeCells count="5">
    <mergeCell ref="A1:F1"/>
    <mergeCell ref="A2:F2"/>
    <mergeCell ref="C14:F14"/>
    <mergeCell ref="C15:F15"/>
    <mergeCell ref="C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4" min="3" style="1" width="13"/>
    <col collapsed="false" customWidth="true" hidden="false" outlineLevel="0" max="7" min="5" style="1" width="12"/>
    <col collapsed="false" customWidth="true" hidden="false" outlineLevel="0" max="10" min="8" style="1" width="13"/>
    <col collapsed="false" customWidth="true" hidden="false" outlineLevel="0" max="11" min="11" style="1" width="34"/>
  </cols>
  <sheetData>
    <row r="1" customFormat="false" ht="25.5" hidden="false" customHeight="true" outlineLevel="0" collapsed="false">
      <c r="A1" s="2" t="s">
        <v>82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83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21.75" hidden="false" customHeight="true" outlineLevel="0" collapsed="false">
      <c r="A3" s="11" t="s">
        <v>84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30" hidden="false" customHeight="true" outlineLevel="0" collapsed="false">
      <c r="A4" s="5" t="n">
        <v>1</v>
      </c>
      <c r="B4" s="6" t="s">
        <v>85</v>
      </c>
      <c r="C4" s="7" t="s">
        <v>86</v>
      </c>
      <c r="D4" s="7" t="s">
        <v>87</v>
      </c>
      <c r="E4" s="7" t="s">
        <v>88</v>
      </c>
      <c r="F4" s="7"/>
      <c r="G4" s="7"/>
      <c r="H4" s="7"/>
      <c r="I4" s="7"/>
      <c r="J4" s="7"/>
      <c r="K4" s="7" t="s">
        <v>89</v>
      </c>
    </row>
    <row r="5" customFormat="false" ht="30" hidden="false" customHeight="true" outlineLevel="0" collapsed="false">
      <c r="A5" s="5" t="n">
        <v>2</v>
      </c>
      <c r="B5" s="6" t="s">
        <v>90</v>
      </c>
      <c r="C5" s="7" t="s">
        <v>91</v>
      </c>
      <c r="D5" s="7" t="s">
        <v>92</v>
      </c>
      <c r="E5" s="7" t="s">
        <v>93</v>
      </c>
      <c r="F5" s="7"/>
      <c r="G5" s="7"/>
      <c r="H5" s="7"/>
      <c r="I5" s="7"/>
      <c r="J5" s="7"/>
      <c r="K5" s="7" t="s">
        <v>94</v>
      </c>
    </row>
    <row r="6" customFormat="false" ht="30" hidden="false" customHeight="true" outlineLevel="0" collapsed="false">
      <c r="A6" s="5" t="n">
        <v>3</v>
      </c>
      <c r="B6" s="6" t="s">
        <v>95</v>
      </c>
      <c r="C6" s="7" t="s">
        <v>96</v>
      </c>
      <c r="D6" s="7" t="s">
        <v>97</v>
      </c>
      <c r="E6" s="7" t="s">
        <v>98</v>
      </c>
      <c r="F6" s="7"/>
      <c r="G6" s="7"/>
      <c r="H6" s="7"/>
      <c r="I6" s="7"/>
      <c r="J6" s="7"/>
      <c r="K6" s="7" t="s">
        <v>99</v>
      </c>
    </row>
    <row r="7" customFormat="false" ht="30" hidden="false" customHeight="true" outlineLevel="0" collapsed="false">
      <c r="A7" s="5" t="n">
        <v>4</v>
      </c>
      <c r="B7" s="6" t="s">
        <v>100</v>
      </c>
      <c r="C7" s="7" t="s">
        <v>101</v>
      </c>
      <c r="D7" s="7" t="s">
        <v>102</v>
      </c>
      <c r="E7" s="7" t="s">
        <v>103</v>
      </c>
      <c r="F7" s="7"/>
      <c r="G7" s="7"/>
      <c r="H7" s="7"/>
      <c r="I7" s="7"/>
      <c r="J7" s="7"/>
      <c r="K7" s="7" t="s">
        <v>104</v>
      </c>
    </row>
    <row r="9" customFormat="false" ht="21.75" hidden="false" customHeight="true" outlineLevel="0" collapsed="false">
      <c r="A9" s="11" t="s">
        <v>105</v>
      </c>
      <c r="B9" s="11"/>
      <c r="C9" s="11"/>
      <c r="D9" s="11"/>
      <c r="E9" s="11"/>
      <c r="F9" s="11"/>
      <c r="G9" s="11"/>
      <c r="H9" s="11"/>
      <c r="I9" s="11"/>
      <c r="J9" s="11"/>
      <c r="K9" s="11"/>
    </row>
    <row r="10" customFormat="false" ht="15" hidden="false" customHeight="true" outlineLevel="0" collapsed="false">
      <c r="B10" s="12" t="s">
        <v>106</v>
      </c>
      <c r="C10" s="13" t="n">
        <v>2.25</v>
      </c>
    </row>
    <row r="11" customFormat="false" ht="15" hidden="false" customHeight="true" outlineLevel="0" collapsed="false">
      <c r="B11" s="12" t="s">
        <v>107</v>
      </c>
      <c r="C11" s="14"/>
    </row>
    <row r="12" customFormat="false" ht="15" hidden="false" customHeight="true" outlineLevel="0" collapsed="false">
      <c r="B12" s="12" t="s">
        <v>108</v>
      </c>
      <c r="C12" s="15"/>
    </row>
    <row r="13" customFormat="false" ht="15" hidden="false" customHeight="true" outlineLevel="0" collapsed="false">
      <c r="B13" s="12" t="s">
        <v>109</v>
      </c>
      <c r="C13" s="15"/>
    </row>
    <row r="15" customFormat="false" ht="21.75" hidden="false" customHeight="true" outlineLevel="0" collapsed="false">
      <c r="A15" s="11" t="s">
        <v>110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customFormat="false" ht="30" hidden="false" customHeight="true" outlineLevel="0" collapsed="false">
      <c r="A16" s="4" t="s">
        <v>2</v>
      </c>
      <c r="B16" s="4" t="s">
        <v>111</v>
      </c>
      <c r="C16" s="4" t="s">
        <v>112</v>
      </c>
      <c r="D16" s="4" t="s">
        <v>113</v>
      </c>
      <c r="E16" s="4" t="s">
        <v>114</v>
      </c>
      <c r="F16" s="4" t="s">
        <v>115</v>
      </c>
      <c r="G16" s="4" t="s">
        <v>86</v>
      </c>
      <c r="H16" s="4" t="s">
        <v>116</v>
      </c>
      <c r="I16" s="4" t="s">
        <v>117</v>
      </c>
      <c r="J16" s="4" t="s">
        <v>118</v>
      </c>
      <c r="K16" s="4" t="s">
        <v>119</v>
      </c>
    </row>
    <row r="17" customFormat="false" ht="18" hidden="false" customHeight="true" outlineLevel="0" collapsed="false">
      <c r="A17" s="5" t="n">
        <v>1</v>
      </c>
      <c r="B17" s="16" t="s">
        <v>120</v>
      </c>
      <c r="C17" s="5" t="s">
        <v>121</v>
      </c>
      <c r="D17" s="17" t="n">
        <v>35464924</v>
      </c>
      <c r="E17" s="17" t="n">
        <v>3561</v>
      </c>
      <c r="F17" s="5" t="n">
        <v>42</v>
      </c>
      <c r="G17" s="5"/>
      <c r="H17" s="17" t="n">
        <f aca="false">IFERROR(D17*(1+$C$13),"")</f>
        <v>35464924</v>
      </c>
      <c r="I17" s="18" t="n">
        <f aca="false">IFERROR(H17-D17,"")</f>
        <v>0</v>
      </c>
      <c r="J17" s="17" t="n">
        <f aca="false">IFERROR(I17*$C$11/100*$C$12,"")</f>
        <v>0</v>
      </c>
      <c r="K17" s="17" t="n">
        <f aca="false">IFERROR(J17/F17/12,"")</f>
        <v>0</v>
      </c>
    </row>
    <row r="18" customFormat="false" ht="18" hidden="false" customHeight="true" outlineLevel="0" collapsed="false">
      <c r="A18" s="5" t="n">
        <v>2</v>
      </c>
      <c r="B18" s="16" t="s">
        <v>122</v>
      </c>
      <c r="C18" s="5" t="s">
        <v>121</v>
      </c>
      <c r="D18" s="17" t="n">
        <v>34063312</v>
      </c>
      <c r="E18" s="17" t="n">
        <v>4236</v>
      </c>
      <c r="F18" s="5" t="n">
        <v>32</v>
      </c>
      <c r="G18" s="19" t="n">
        <v>58</v>
      </c>
      <c r="H18" s="17" t="n">
        <f aca="false">IFERROR(D18*(1+$C$13),"")</f>
        <v>34063312</v>
      </c>
      <c r="I18" s="18" t="n">
        <f aca="false">IFERROR(H18-D18,"")</f>
        <v>0</v>
      </c>
      <c r="J18" s="17" t="n">
        <f aca="false">IFERROR(I18*$C$11/100*$C$12,"")</f>
        <v>0</v>
      </c>
      <c r="K18" s="17" t="n">
        <f aca="false">IFERROR(J18/F18/12,"")</f>
        <v>0</v>
      </c>
    </row>
    <row r="19" customFormat="false" ht="18" hidden="false" customHeight="true" outlineLevel="0" collapsed="false">
      <c r="A19" s="5" t="n">
        <v>3</v>
      </c>
      <c r="B19" s="16" t="s">
        <v>123</v>
      </c>
      <c r="C19" s="5" t="s">
        <v>124</v>
      </c>
      <c r="D19" s="17" t="n">
        <v>19648510</v>
      </c>
      <c r="E19" s="17" t="n">
        <v>2137</v>
      </c>
      <c r="F19" s="5" t="n">
        <v>19</v>
      </c>
      <c r="G19" s="5"/>
      <c r="H19" s="17" t="n">
        <f aca="false">IFERROR(D19*(1+$C$13),"")</f>
        <v>19648510</v>
      </c>
      <c r="I19" s="18" t="n">
        <f aca="false">IFERROR(H19-D19,"")</f>
        <v>0</v>
      </c>
      <c r="J19" s="17" t="n">
        <f aca="false">IFERROR(I19*$C$11/100*$C$12,"")</f>
        <v>0</v>
      </c>
      <c r="K19" s="17" t="n">
        <f aca="false">IFERROR(J19/F19/12,"")</f>
        <v>0</v>
      </c>
    </row>
    <row r="20" customFormat="false" ht="18" hidden="false" customHeight="true" outlineLevel="0" collapsed="false">
      <c r="A20" s="5" t="n">
        <v>4</v>
      </c>
      <c r="B20" s="16" t="s">
        <v>125</v>
      </c>
      <c r="C20" s="5" t="s">
        <v>121</v>
      </c>
      <c r="D20" s="17" t="n">
        <v>16732843</v>
      </c>
      <c r="E20" s="17" t="n">
        <v>2359</v>
      </c>
      <c r="F20" s="5" t="n">
        <v>14</v>
      </c>
      <c r="G20" s="19" t="n">
        <v>28</v>
      </c>
      <c r="H20" s="17" t="n">
        <f aca="false">IFERROR(D20*(1+$C$13),"")</f>
        <v>16732843</v>
      </c>
      <c r="I20" s="18" t="n">
        <f aca="false">IFERROR(H20-D20,"")</f>
        <v>0</v>
      </c>
      <c r="J20" s="17" t="n">
        <f aca="false">IFERROR(I20*$C$11/100*$C$12,"")</f>
        <v>0</v>
      </c>
      <c r="K20" s="17" t="n">
        <f aca="false">IFERROR(J20/F20/12,"")</f>
        <v>0</v>
      </c>
    </row>
    <row r="21" customFormat="false" ht="18" hidden="false" customHeight="true" outlineLevel="0" collapsed="false">
      <c r="A21" s="5" t="n">
        <v>5</v>
      </c>
      <c r="B21" s="16" t="s">
        <v>126</v>
      </c>
      <c r="C21" s="5" t="s">
        <v>124</v>
      </c>
      <c r="D21" s="17" t="n">
        <v>16309064</v>
      </c>
      <c r="E21" s="17" t="n">
        <v>1726</v>
      </c>
      <c r="F21" s="5" t="n">
        <v>18</v>
      </c>
      <c r="G21" s="5"/>
      <c r="H21" s="17" t="n">
        <f aca="false">IFERROR(D21*(1+$C$13),"")</f>
        <v>16309064</v>
      </c>
      <c r="I21" s="18" t="n">
        <f aca="false">IFERROR(H21-D21,"")</f>
        <v>0</v>
      </c>
      <c r="J21" s="17" t="n">
        <f aca="false">IFERROR(I21*$C$11/100*$C$12,"")</f>
        <v>0</v>
      </c>
      <c r="K21" s="17" t="n">
        <f aca="false">IFERROR(J21/F21/12,"")</f>
        <v>0</v>
      </c>
    </row>
    <row r="22" customFormat="false" ht="18" hidden="false" customHeight="true" outlineLevel="0" collapsed="false">
      <c r="A22" s="5" t="n">
        <v>6</v>
      </c>
      <c r="B22" s="16" t="s">
        <v>127</v>
      </c>
      <c r="C22" s="5" t="s">
        <v>128</v>
      </c>
      <c r="D22" s="17" t="n">
        <v>16280701</v>
      </c>
      <c r="E22" s="17" t="n">
        <v>2041</v>
      </c>
      <c r="F22" s="5" t="n">
        <v>20</v>
      </c>
      <c r="G22" s="5"/>
      <c r="H22" s="17" t="n">
        <f aca="false">IFERROR(D22*(1+$C$13),"")</f>
        <v>16280701</v>
      </c>
      <c r="I22" s="18" t="n">
        <f aca="false">IFERROR(H22-D22,"")</f>
        <v>0</v>
      </c>
      <c r="J22" s="17" t="n">
        <f aca="false">IFERROR(I22*$C$11/100*$C$12,"")</f>
        <v>0</v>
      </c>
      <c r="K22" s="17" t="n">
        <f aca="false">IFERROR(J22/F22/12,"")</f>
        <v>0</v>
      </c>
    </row>
    <row r="23" customFormat="false" ht="18" hidden="false" customHeight="true" outlineLevel="0" collapsed="false">
      <c r="A23" s="5" t="n">
        <v>7</v>
      </c>
      <c r="B23" s="16" t="s">
        <v>129</v>
      </c>
      <c r="C23" s="5" t="s">
        <v>124</v>
      </c>
      <c r="D23" s="17" t="n">
        <v>14309768</v>
      </c>
      <c r="E23" s="17" t="n">
        <v>1414</v>
      </c>
      <c r="F23" s="5" t="n">
        <v>13</v>
      </c>
      <c r="G23" s="5"/>
      <c r="H23" s="17" t="n">
        <f aca="false">IFERROR(D23*(1+$C$13),"")</f>
        <v>14309768</v>
      </c>
      <c r="I23" s="18" t="n">
        <f aca="false">IFERROR(H23-D23,"")</f>
        <v>0</v>
      </c>
      <c r="J23" s="17" t="n">
        <f aca="false">IFERROR(I23*$C$11/100*$C$12,"")</f>
        <v>0</v>
      </c>
      <c r="K23" s="17" t="n">
        <f aca="false">IFERROR(J23/F23/12,"")</f>
        <v>0</v>
      </c>
    </row>
    <row r="24" customFormat="false" ht="18" hidden="false" customHeight="true" outlineLevel="0" collapsed="false">
      <c r="A24" s="5" t="n">
        <v>8</v>
      </c>
      <c r="B24" s="16" t="s">
        <v>130</v>
      </c>
      <c r="C24" s="5" t="s">
        <v>124</v>
      </c>
      <c r="D24" s="17" t="n">
        <v>13354076</v>
      </c>
      <c r="E24" s="17" t="n">
        <v>1694</v>
      </c>
      <c r="F24" s="5" t="n">
        <v>12</v>
      </c>
      <c r="G24" s="5"/>
      <c r="H24" s="17" t="n">
        <f aca="false">IFERROR(D24*(1+$C$13),"")</f>
        <v>13354076</v>
      </c>
      <c r="I24" s="18" t="n">
        <f aca="false">IFERROR(H24-D24,"")</f>
        <v>0</v>
      </c>
      <c r="J24" s="17" t="n">
        <f aca="false">IFERROR(I24*$C$11/100*$C$12,"")</f>
        <v>0</v>
      </c>
      <c r="K24" s="17" t="n">
        <f aca="false">IFERROR(J24/F24/12,"")</f>
        <v>0</v>
      </c>
    </row>
    <row r="25" customFormat="false" ht="18" hidden="false" customHeight="true" outlineLevel="0" collapsed="false">
      <c r="A25" s="5" t="n">
        <v>9</v>
      </c>
      <c r="B25" s="16" t="s">
        <v>131</v>
      </c>
      <c r="C25" s="5" t="s">
        <v>124</v>
      </c>
      <c r="D25" s="17" t="n">
        <v>13311973</v>
      </c>
      <c r="E25" s="17" t="n">
        <v>1483</v>
      </c>
      <c r="F25" s="5" t="n">
        <v>13</v>
      </c>
      <c r="G25" s="5"/>
      <c r="H25" s="17" t="n">
        <f aca="false">IFERROR(D25*(1+$C$13),"")</f>
        <v>13311973</v>
      </c>
      <c r="I25" s="18" t="n">
        <f aca="false">IFERROR(H25-D25,"")</f>
        <v>0</v>
      </c>
      <c r="J25" s="17" t="n">
        <f aca="false">IFERROR(I25*$C$11/100*$C$12,"")</f>
        <v>0</v>
      </c>
      <c r="K25" s="17" t="n">
        <f aca="false">IFERROR(J25/F25/12,"")</f>
        <v>0</v>
      </c>
    </row>
    <row r="26" customFormat="false" ht="18" hidden="false" customHeight="true" outlineLevel="0" collapsed="false">
      <c r="A26" s="5" t="n">
        <v>10</v>
      </c>
      <c r="B26" s="16" t="s">
        <v>132</v>
      </c>
      <c r="C26" s="5" t="s">
        <v>121</v>
      </c>
      <c r="D26" s="17" t="n">
        <v>13248903</v>
      </c>
      <c r="E26" s="17" t="n">
        <v>1872</v>
      </c>
      <c r="F26" s="5" t="n">
        <v>10</v>
      </c>
      <c r="G26" s="5"/>
      <c r="H26" s="17" t="n">
        <f aca="false">IFERROR(D26*(1+$C$13),"")</f>
        <v>13248903</v>
      </c>
      <c r="I26" s="18" t="n">
        <f aca="false">IFERROR(H26-D26,"")</f>
        <v>0</v>
      </c>
      <c r="J26" s="17" t="n">
        <f aca="false">IFERROR(I26*$C$11/100*$C$12,"")</f>
        <v>0</v>
      </c>
      <c r="K26" s="17" t="n">
        <f aca="false">IFERROR(J26/F26/12,"")</f>
        <v>0</v>
      </c>
    </row>
    <row r="27" customFormat="false" ht="18" hidden="false" customHeight="true" outlineLevel="0" collapsed="false">
      <c r="A27" s="5" t="n">
        <v>11</v>
      </c>
      <c r="B27" s="16" t="s">
        <v>133</v>
      </c>
      <c r="C27" s="5" t="s">
        <v>134</v>
      </c>
      <c r="D27" s="17" t="n">
        <v>13247588</v>
      </c>
      <c r="E27" s="17" t="n">
        <v>1169</v>
      </c>
      <c r="F27" s="5" t="n">
        <v>10</v>
      </c>
      <c r="G27" s="5"/>
      <c r="H27" s="17" t="n">
        <f aca="false">IFERROR(D27*(1+$C$13),"")</f>
        <v>13247588</v>
      </c>
      <c r="I27" s="18" t="n">
        <f aca="false">IFERROR(H27-D27,"")</f>
        <v>0</v>
      </c>
      <c r="J27" s="17" t="n">
        <f aca="false">IFERROR(I27*$C$11/100*$C$12,"")</f>
        <v>0</v>
      </c>
      <c r="K27" s="17" t="n">
        <f aca="false">IFERROR(J27/F27/12,"")</f>
        <v>0</v>
      </c>
    </row>
    <row r="28" customFormat="false" ht="18" hidden="false" customHeight="true" outlineLevel="0" collapsed="false">
      <c r="A28" s="5" t="n">
        <v>12</v>
      </c>
      <c r="B28" s="16" t="s">
        <v>135</v>
      </c>
      <c r="C28" s="5" t="s">
        <v>121</v>
      </c>
      <c r="D28" s="17" t="n">
        <v>12654914</v>
      </c>
      <c r="E28" s="17" t="n">
        <v>1702</v>
      </c>
      <c r="F28" s="5" t="n">
        <v>10</v>
      </c>
      <c r="G28" s="5"/>
      <c r="H28" s="17" t="n">
        <f aca="false">IFERROR(D28*(1+$C$13),"")</f>
        <v>12654914</v>
      </c>
      <c r="I28" s="18" t="n">
        <f aca="false">IFERROR(H28-D28,"")</f>
        <v>0</v>
      </c>
      <c r="J28" s="17" t="n">
        <f aca="false">IFERROR(I28*$C$11/100*$C$12,"")</f>
        <v>0</v>
      </c>
      <c r="K28" s="17" t="n">
        <f aca="false">IFERROR(J28/F28/12,"")</f>
        <v>0</v>
      </c>
    </row>
    <row r="29" customFormat="false" ht="18" hidden="false" customHeight="true" outlineLevel="0" collapsed="false">
      <c r="A29" s="5" t="n">
        <v>13</v>
      </c>
      <c r="B29" s="16" t="s">
        <v>136</v>
      </c>
      <c r="C29" s="5" t="s">
        <v>121</v>
      </c>
      <c r="D29" s="17" t="n">
        <v>11988986</v>
      </c>
      <c r="E29" s="17" t="n">
        <v>1566</v>
      </c>
      <c r="F29" s="5" t="n">
        <v>12</v>
      </c>
      <c r="G29" s="5"/>
      <c r="H29" s="17" t="n">
        <f aca="false">IFERROR(D29*(1+$C$13),"")</f>
        <v>11988986</v>
      </c>
      <c r="I29" s="18" t="n">
        <f aca="false">IFERROR(H29-D29,"")</f>
        <v>0</v>
      </c>
      <c r="J29" s="17" t="n">
        <f aca="false">IFERROR(I29*$C$11/100*$C$12,"")</f>
        <v>0</v>
      </c>
      <c r="K29" s="17" t="n">
        <f aca="false">IFERROR(J29/F29/12,"")</f>
        <v>0</v>
      </c>
    </row>
    <row r="30" customFormat="false" ht="18" hidden="false" customHeight="true" outlineLevel="0" collapsed="false">
      <c r="A30" s="5" t="n">
        <v>14</v>
      </c>
      <c r="B30" s="16" t="s">
        <v>137</v>
      </c>
      <c r="C30" s="5" t="s">
        <v>138</v>
      </c>
      <c r="D30" s="17" t="n">
        <v>11882308</v>
      </c>
      <c r="E30" s="17" t="n">
        <v>1807</v>
      </c>
      <c r="F30" s="5"/>
      <c r="G30" s="5"/>
      <c r="H30" s="17" t="n">
        <f aca="false">IFERROR(D30*(1+$C$13),"")</f>
        <v>11882308</v>
      </c>
      <c r="I30" s="18" t="n">
        <f aca="false">IFERROR(H30-D30,"")</f>
        <v>0</v>
      </c>
      <c r="J30" s="17" t="n">
        <f aca="false">IFERROR(I30*$C$11/100*$C$12,"")</f>
        <v>0</v>
      </c>
      <c r="K30" s="17" t="str">
        <f aca="false">IFERROR(J30/F30/12,"")</f>
        <v/>
      </c>
    </row>
    <row r="31" customFormat="false" ht="18" hidden="false" customHeight="true" outlineLevel="0" collapsed="false">
      <c r="A31" s="5" t="n">
        <v>15</v>
      </c>
      <c r="B31" s="16" t="s">
        <v>139</v>
      </c>
      <c r="C31" s="5" t="s">
        <v>121</v>
      </c>
      <c r="D31" s="17" t="n">
        <v>11625662</v>
      </c>
      <c r="E31" s="17" t="n">
        <v>1643</v>
      </c>
      <c r="F31" s="5" t="n">
        <v>9</v>
      </c>
      <c r="G31" s="5"/>
      <c r="H31" s="17" t="n">
        <f aca="false">IFERROR(D31*(1+$C$13),"")</f>
        <v>11625662</v>
      </c>
      <c r="I31" s="18" t="n">
        <f aca="false">IFERROR(H31-D31,"")</f>
        <v>0</v>
      </c>
      <c r="J31" s="17" t="n">
        <f aca="false">IFERROR(I31*$C$11/100*$C$12,"")</f>
        <v>0</v>
      </c>
      <c r="K31" s="17" t="n">
        <f aca="false">IFERROR(J31/F31/12,"")</f>
        <v>0</v>
      </c>
    </row>
    <row r="32" customFormat="false" ht="18" hidden="false" customHeight="true" outlineLevel="0" collapsed="false">
      <c r="A32" s="5" t="n">
        <v>16</v>
      </c>
      <c r="B32" s="16" t="s">
        <v>140</v>
      </c>
      <c r="C32" s="5" t="s">
        <v>121</v>
      </c>
      <c r="D32" s="17" t="n">
        <v>11101203</v>
      </c>
      <c r="E32" s="17" t="n">
        <v>1573</v>
      </c>
      <c r="F32" s="5" t="n">
        <v>11</v>
      </c>
      <c r="G32" s="5"/>
      <c r="H32" s="17" t="n">
        <f aca="false">IFERROR(D32*(1+$C$13),"")</f>
        <v>11101203</v>
      </c>
      <c r="I32" s="18" t="n">
        <f aca="false">IFERROR(H32-D32,"")</f>
        <v>0</v>
      </c>
      <c r="J32" s="17" t="n">
        <f aca="false">IFERROR(I32*$C$11/100*$C$12,"")</f>
        <v>0</v>
      </c>
      <c r="K32" s="17" t="n">
        <f aca="false">IFERROR(J32/F32/12,"")</f>
        <v>0</v>
      </c>
    </row>
    <row r="33" customFormat="false" ht="18" hidden="false" customHeight="true" outlineLevel="0" collapsed="false">
      <c r="A33" s="5" t="n">
        <v>17</v>
      </c>
      <c r="B33" s="16" t="s">
        <v>141</v>
      </c>
      <c r="C33" s="5" t="s">
        <v>128</v>
      </c>
      <c r="D33" s="17" t="n">
        <v>10864480</v>
      </c>
      <c r="E33" s="17" t="n">
        <v>1892</v>
      </c>
      <c r="F33" s="5"/>
      <c r="G33" s="5"/>
      <c r="H33" s="17" t="n">
        <f aca="false">IFERROR(D33*(1+$C$13),"")</f>
        <v>10864480</v>
      </c>
      <c r="I33" s="18" t="n">
        <f aca="false">IFERROR(H33-D33,"")</f>
        <v>0</v>
      </c>
      <c r="J33" s="17" t="n">
        <f aca="false">IFERROR(I33*$C$11/100*$C$12,"")</f>
        <v>0</v>
      </c>
      <c r="K33" s="17" t="str">
        <f aca="false">IFERROR(J33/F33/12,"")</f>
        <v/>
      </c>
    </row>
    <row r="34" customFormat="false" ht="18" hidden="false" customHeight="true" outlineLevel="0" collapsed="false">
      <c r="A34" s="5" t="n">
        <v>18</v>
      </c>
      <c r="B34" s="16" t="s">
        <v>142</v>
      </c>
      <c r="C34" s="5" t="s">
        <v>121</v>
      </c>
      <c r="D34" s="17" t="n">
        <v>9931491</v>
      </c>
      <c r="E34" s="17" t="n">
        <v>1290</v>
      </c>
      <c r="F34" s="5" t="n">
        <v>9</v>
      </c>
      <c r="G34" s="5" t="n">
        <v>8</v>
      </c>
      <c r="H34" s="17" t="n">
        <f aca="false">IFERROR(D34*(1+$C$13),"")</f>
        <v>9931491</v>
      </c>
      <c r="I34" s="18" t="n">
        <f aca="false">IFERROR(H34-D34,"")</f>
        <v>0</v>
      </c>
      <c r="J34" s="17" t="n">
        <f aca="false">IFERROR(I34*$C$11/100*$C$12,"")</f>
        <v>0</v>
      </c>
      <c r="K34" s="17" t="n">
        <f aca="false">IFERROR(J34/F34/12,"")</f>
        <v>0</v>
      </c>
    </row>
    <row r="35" customFormat="false" ht="18" hidden="false" customHeight="true" outlineLevel="0" collapsed="false">
      <c r="A35" s="5" t="n">
        <v>19</v>
      </c>
      <c r="B35" s="16" t="s">
        <v>143</v>
      </c>
      <c r="C35" s="5" t="s">
        <v>121</v>
      </c>
      <c r="D35" s="17" t="n">
        <v>9558604</v>
      </c>
      <c r="E35" s="17" t="n">
        <v>1363</v>
      </c>
      <c r="F35" s="5" t="n">
        <v>9</v>
      </c>
      <c r="G35" s="5"/>
      <c r="H35" s="17" t="n">
        <f aca="false">IFERROR(D35*(1+$C$13),"")</f>
        <v>9558604</v>
      </c>
      <c r="I35" s="18" t="n">
        <f aca="false">IFERROR(H35-D35,"")</f>
        <v>0</v>
      </c>
      <c r="J35" s="17" t="n">
        <f aca="false">IFERROR(I35*$C$11/100*$C$12,"")</f>
        <v>0</v>
      </c>
      <c r="K35" s="17" t="n">
        <f aca="false">IFERROR(J35/F35/12,"")</f>
        <v>0</v>
      </c>
    </row>
    <row r="36" customFormat="false" ht="18" hidden="false" customHeight="true" outlineLevel="0" collapsed="false">
      <c r="A36" s="5" t="n">
        <v>20</v>
      </c>
      <c r="B36" s="16" t="s">
        <v>144</v>
      </c>
      <c r="C36" s="5" t="s">
        <v>124</v>
      </c>
      <c r="D36" s="17" t="n">
        <v>9064151</v>
      </c>
      <c r="E36" s="17" t="n">
        <v>1144</v>
      </c>
      <c r="F36" s="5" t="n">
        <v>9</v>
      </c>
      <c r="G36" s="5"/>
      <c r="H36" s="17" t="n">
        <f aca="false">IFERROR(D36*(1+$C$13),"")</f>
        <v>9064151</v>
      </c>
      <c r="I36" s="18" t="n">
        <f aca="false">IFERROR(H36-D36,"")</f>
        <v>0</v>
      </c>
      <c r="J36" s="17" t="n">
        <f aca="false">IFERROR(I36*$C$11/100*$C$12,"")</f>
        <v>0</v>
      </c>
      <c r="K36" s="17" t="n">
        <f aca="false">IFERROR(J36/F36/12,"")</f>
        <v>0</v>
      </c>
    </row>
    <row r="37" customFormat="false" ht="18" hidden="false" customHeight="true" outlineLevel="0" collapsed="false">
      <c r="A37" s="5" t="n">
        <v>21</v>
      </c>
      <c r="B37" s="16" t="s">
        <v>145</v>
      </c>
      <c r="C37" s="5" t="s">
        <v>121</v>
      </c>
      <c r="D37" s="17" t="n">
        <v>8548346</v>
      </c>
      <c r="E37" s="17" t="n">
        <v>1380</v>
      </c>
      <c r="F37" s="5" t="n">
        <v>13</v>
      </c>
      <c r="G37" s="5"/>
      <c r="H37" s="17" t="n">
        <f aca="false">IFERROR(D37*(1+$C$13),"")</f>
        <v>8548346</v>
      </c>
      <c r="I37" s="18" t="n">
        <f aca="false">IFERROR(H37-D37,"")</f>
        <v>0</v>
      </c>
      <c r="J37" s="17" t="n">
        <f aca="false">IFERROR(I37*$C$11/100*$C$12,"")</f>
        <v>0</v>
      </c>
      <c r="K37" s="17" t="n">
        <f aca="false">IFERROR(J37/F37/12,"")</f>
        <v>0</v>
      </c>
    </row>
    <row r="38" customFormat="false" ht="18" hidden="false" customHeight="true" outlineLevel="0" collapsed="false">
      <c r="A38" s="5" t="n">
        <v>22</v>
      </c>
      <c r="B38" s="16" t="s">
        <v>146</v>
      </c>
      <c r="C38" s="5" t="s">
        <v>128</v>
      </c>
      <c r="D38" s="17" t="n">
        <v>7867941</v>
      </c>
      <c r="E38" s="17" t="n">
        <v>1328</v>
      </c>
      <c r="F38" s="5"/>
      <c r="G38" s="5"/>
      <c r="H38" s="17" t="n">
        <f aca="false">IFERROR(D38*(1+$C$13),"")</f>
        <v>7867941</v>
      </c>
      <c r="I38" s="18" t="n">
        <f aca="false">IFERROR(H38-D38,"")</f>
        <v>0</v>
      </c>
      <c r="J38" s="17" t="n">
        <f aca="false">IFERROR(I38*$C$11/100*$C$12,"")</f>
        <v>0</v>
      </c>
      <c r="K38" s="17" t="str">
        <f aca="false">IFERROR(J38/F38/12,"")</f>
        <v/>
      </c>
    </row>
    <row r="39" customFormat="false" ht="18" hidden="false" customHeight="true" outlineLevel="0" collapsed="false">
      <c r="A39" s="5" t="n">
        <v>23</v>
      </c>
      <c r="B39" s="16" t="s">
        <v>147</v>
      </c>
      <c r="C39" s="5" t="s">
        <v>138</v>
      </c>
      <c r="D39" s="17" t="n">
        <v>7444371</v>
      </c>
      <c r="E39" s="17" t="n">
        <v>922</v>
      </c>
      <c r="F39" s="5" t="n">
        <v>8</v>
      </c>
      <c r="G39" s="5"/>
      <c r="H39" s="17" t="n">
        <f aca="false">IFERROR(D39*(1+$C$13),"")</f>
        <v>7444371</v>
      </c>
      <c r="I39" s="18" t="n">
        <f aca="false">IFERROR(H39-D39,"")</f>
        <v>0</v>
      </c>
      <c r="J39" s="17" t="n">
        <f aca="false">IFERROR(I39*$C$11/100*$C$12,"")</f>
        <v>0</v>
      </c>
      <c r="K39" s="17" t="n">
        <f aca="false">IFERROR(J39/F39/12,"")</f>
        <v>0</v>
      </c>
    </row>
    <row r="40" customFormat="false" ht="18" hidden="false" customHeight="true" outlineLevel="0" collapsed="false">
      <c r="A40" s="5" t="n">
        <v>24</v>
      </c>
      <c r="B40" s="16" t="s">
        <v>148</v>
      </c>
      <c r="C40" s="5" t="s">
        <v>121</v>
      </c>
      <c r="D40" s="17" t="n">
        <v>7193020</v>
      </c>
      <c r="E40" s="17" t="n">
        <v>1112</v>
      </c>
      <c r="F40" s="5" t="n">
        <v>9</v>
      </c>
      <c r="G40" s="5"/>
      <c r="H40" s="17" t="n">
        <f aca="false">IFERROR(D40*(1+$C$13),"")</f>
        <v>7193020</v>
      </c>
      <c r="I40" s="18" t="n">
        <f aca="false">IFERROR(H40-D40,"")</f>
        <v>0</v>
      </c>
      <c r="J40" s="17" t="n">
        <f aca="false">IFERROR(I40*$C$11/100*$C$12,"")</f>
        <v>0</v>
      </c>
      <c r="K40" s="17" t="n">
        <f aca="false">IFERROR(J40/F40/12,"")</f>
        <v>0</v>
      </c>
    </row>
    <row r="41" customFormat="false" ht="18" hidden="false" customHeight="true" outlineLevel="0" collapsed="false">
      <c r="A41" s="5" t="n">
        <v>25</v>
      </c>
      <c r="B41" s="16" t="s">
        <v>149</v>
      </c>
      <c r="C41" s="5" t="s">
        <v>150</v>
      </c>
      <c r="D41" s="17" t="n">
        <v>7191456</v>
      </c>
      <c r="E41" s="17" t="n">
        <v>864</v>
      </c>
      <c r="F41" s="5" t="n">
        <v>7</v>
      </c>
      <c r="G41" s="5"/>
      <c r="H41" s="17" t="n">
        <f aca="false">IFERROR(D41*(1+$C$13),"")</f>
        <v>7191456</v>
      </c>
      <c r="I41" s="18" t="n">
        <f aca="false">IFERROR(H41-D41,"")</f>
        <v>0</v>
      </c>
      <c r="J41" s="17" t="n">
        <f aca="false">IFERROR(I41*$C$11/100*$C$12,"")</f>
        <v>0</v>
      </c>
      <c r="K41" s="17" t="n">
        <f aca="false">IFERROR(J41/F41/12,"")</f>
        <v>0</v>
      </c>
    </row>
    <row r="42" customFormat="false" ht="18" hidden="false" customHeight="true" outlineLevel="0" collapsed="false">
      <c r="A42" s="5" t="n">
        <v>26</v>
      </c>
      <c r="B42" s="16" t="s">
        <v>151</v>
      </c>
      <c r="C42" s="5" t="s">
        <v>121</v>
      </c>
      <c r="D42" s="17" t="n">
        <v>6999984</v>
      </c>
      <c r="E42" s="17" t="n">
        <v>913</v>
      </c>
      <c r="F42" s="5" t="n">
        <v>7</v>
      </c>
      <c r="G42" s="5" t="n">
        <v>3</v>
      </c>
      <c r="H42" s="17" t="n">
        <f aca="false">IFERROR(D42*(1+$C$13),"")</f>
        <v>6999984</v>
      </c>
      <c r="I42" s="18" t="n">
        <f aca="false">IFERROR(H42-D42,"")</f>
        <v>0</v>
      </c>
      <c r="J42" s="17" t="n">
        <f aca="false">IFERROR(I42*$C$11/100*$C$12,"")</f>
        <v>0</v>
      </c>
      <c r="K42" s="17" t="n">
        <f aca="false">IFERROR(J42/F42/12,"")</f>
        <v>0</v>
      </c>
    </row>
    <row r="43" customFormat="false" ht="18" hidden="false" customHeight="true" outlineLevel="0" collapsed="false">
      <c r="A43" s="5" t="n">
        <v>27</v>
      </c>
      <c r="B43" s="16" t="s">
        <v>152</v>
      </c>
      <c r="C43" s="5" t="s">
        <v>153</v>
      </c>
      <c r="D43" s="17" t="n">
        <v>6980426</v>
      </c>
      <c r="E43" s="17" t="n">
        <v>952</v>
      </c>
      <c r="F43" s="5" t="n">
        <v>7</v>
      </c>
      <c r="G43" s="5"/>
      <c r="H43" s="17" t="n">
        <f aca="false">IFERROR(D43*(1+$C$13),"")</f>
        <v>6980426</v>
      </c>
      <c r="I43" s="18" t="n">
        <f aca="false">IFERROR(H43-D43,"")</f>
        <v>0</v>
      </c>
      <c r="J43" s="17" t="n">
        <f aca="false">IFERROR(I43*$C$11/100*$C$12,"")</f>
        <v>0</v>
      </c>
      <c r="K43" s="17" t="n">
        <f aca="false">IFERROR(J43/F43/12,"")</f>
        <v>0</v>
      </c>
    </row>
    <row r="44" customFormat="false" ht="18" hidden="false" customHeight="true" outlineLevel="0" collapsed="false">
      <c r="A44" s="5" t="n">
        <v>28</v>
      </c>
      <c r="B44" s="16" t="s">
        <v>154</v>
      </c>
      <c r="C44" s="5" t="s">
        <v>121</v>
      </c>
      <c r="D44" s="17" t="n">
        <v>6955614</v>
      </c>
      <c r="E44" s="17" t="n">
        <v>1025</v>
      </c>
      <c r="F44" s="5" t="n">
        <v>6</v>
      </c>
      <c r="G44" s="5"/>
      <c r="H44" s="17" t="n">
        <f aca="false">IFERROR(D44*(1+$C$13),"")</f>
        <v>6955614</v>
      </c>
      <c r="I44" s="18" t="n">
        <f aca="false">IFERROR(H44-D44,"")</f>
        <v>0</v>
      </c>
      <c r="J44" s="17" t="n">
        <f aca="false">IFERROR(I44*$C$11/100*$C$12,"")</f>
        <v>0</v>
      </c>
      <c r="K44" s="17" t="n">
        <f aca="false">IFERROR(J44/F44/12,"")</f>
        <v>0</v>
      </c>
    </row>
    <row r="45" customFormat="false" ht="18" hidden="false" customHeight="true" outlineLevel="0" collapsed="false">
      <c r="A45" s="5" t="n">
        <v>29</v>
      </c>
      <c r="B45" s="16" t="s">
        <v>155</v>
      </c>
      <c r="C45" s="5" t="s">
        <v>124</v>
      </c>
      <c r="D45" s="17" t="n">
        <v>6835043</v>
      </c>
      <c r="E45" s="17" t="n">
        <v>823</v>
      </c>
      <c r="F45" s="5" t="n">
        <v>6</v>
      </c>
      <c r="G45" s="5"/>
      <c r="H45" s="17" t="n">
        <f aca="false">IFERROR(D45*(1+$C$13),"")</f>
        <v>6835043</v>
      </c>
      <c r="I45" s="18" t="n">
        <f aca="false">IFERROR(H45-D45,"")</f>
        <v>0</v>
      </c>
      <c r="J45" s="17" t="n">
        <f aca="false">IFERROR(I45*$C$11/100*$C$12,"")</f>
        <v>0</v>
      </c>
      <c r="K45" s="17" t="n">
        <f aca="false">IFERROR(J45/F45/12,"")</f>
        <v>0</v>
      </c>
    </row>
    <row r="46" customFormat="false" ht="18" hidden="false" customHeight="true" outlineLevel="0" collapsed="false">
      <c r="A46" s="5" t="n">
        <v>30</v>
      </c>
      <c r="B46" s="16" t="s">
        <v>156</v>
      </c>
      <c r="C46" s="5" t="s">
        <v>121</v>
      </c>
      <c r="D46" s="17" t="n">
        <v>6267957</v>
      </c>
      <c r="E46" s="17" t="n">
        <v>931</v>
      </c>
      <c r="F46" s="5" t="n">
        <v>7</v>
      </c>
      <c r="G46" s="5"/>
      <c r="H46" s="17" t="n">
        <f aca="false">IFERROR(D46*(1+$C$13),"")</f>
        <v>6267957</v>
      </c>
      <c r="I46" s="18" t="n">
        <f aca="false">IFERROR(H46-D46,"")</f>
        <v>0</v>
      </c>
      <c r="J46" s="17" t="n">
        <f aca="false">IFERROR(I46*$C$11/100*$C$12,"")</f>
        <v>0</v>
      </c>
      <c r="K46" s="17" t="n">
        <f aca="false">IFERROR(J46/F46/12,"")</f>
        <v>0</v>
      </c>
    </row>
    <row r="47" customFormat="false" ht="18" hidden="false" customHeight="true" outlineLevel="0" collapsed="false">
      <c r="A47" s="5" t="n">
        <v>31</v>
      </c>
      <c r="B47" s="16" t="s">
        <v>157</v>
      </c>
      <c r="C47" s="5" t="s">
        <v>121</v>
      </c>
      <c r="D47" s="17" t="n">
        <v>6241831</v>
      </c>
      <c r="E47" s="17" t="n">
        <v>816</v>
      </c>
      <c r="F47" s="5" t="n">
        <v>8</v>
      </c>
      <c r="G47" s="5"/>
      <c r="H47" s="17" t="n">
        <f aca="false">IFERROR(D47*(1+$C$13),"")</f>
        <v>6241831</v>
      </c>
      <c r="I47" s="18" t="n">
        <f aca="false">IFERROR(H47-D47,"")</f>
        <v>0</v>
      </c>
      <c r="J47" s="17" t="n">
        <f aca="false">IFERROR(I47*$C$11/100*$C$12,"")</f>
        <v>0</v>
      </c>
      <c r="K47" s="17" t="n">
        <f aca="false">IFERROR(J47/F47/12,"")</f>
        <v>0</v>
      </c>
    </row>
    <row r="48" customFormat="false" ht="18" hidden="false" customHeight="true" outlineLevel="0" collapsed="false">
      <c r="A48" s="5" t="n">
        <v>32</v>
      </c>
      <c r="B48" s="16" t="s">
        <v>158</v>
      </c>
      <c r="C48" s="5" t="s">
        <v>121</v>
      </c>
      <c r="D48" s="17" t="n">
        <v>6066855</v>
      </c>
      <c r="E48" s="17" t="n">
        <v>680</v>
      </c>
      <c r="F48" s="5" t="n">
        <v>11</v>
      </c>
      <c r="G48" s="5"/>
      <c r="H48" s="17" t="n">
        <f aca="false">IFERROR(D48*(1+$C$13),"")</f>
        <v>6066855</v>
      </c>
      <c r="I48" s="18" t="n">
        <f aca="false">IFERROR(H48-D48,"")</f>
        <v>0</v>
      </c>
      <c r="J48" s="17" t="n">
        <f aca="false">IFERROR(I48*$C$11/100*$C$12,"")</f>
        <v>0</v>
      </c>
      <c r="K48" s="17" t="n">
        <f aca="false">IFERROR(J48/F48/12,"")</f>
        <v>0</v>
      </c>
    </row>
    <row r="49" customFormat="false" ht="18" hidden="false" customHeight="true" outlineLevel="0" collapsed="false">
      <c r="A49" s="5" t="n">
        <v>33</v>
      </c>
      <c r="B49" s="16" t="s">
        <v>159</v>
      </c>
      <c r="C49" s="5" t="s">
        <v>138</v>
      </c>
      <c r="D49" s="17" t="n">
        <v>6046920</v>
      </c>
      <c r="E49" s="17" t="n">
        <v>1227</v>
      </c>
      <c r="F49" s="5"/>
      <c r="G49" s="5"/>
      <c r="H49" s="17" t="n">
        <f aca="false">IFERROR(D49*(1+$C$13),"")</f>
        <v>6046920</v>
      </c>
      <c r="I49" s="18" t="n">
        <f aca="false">IFERROR(H49-D49,"")</f>
        <v>0</v>
      </c>
      <c r="J49" s="17" t="n">
        <f aca="false">IFERROR(I49*$C$11/100*$C$12,"")</f>
        <v>0</v>
      </c>
      <c r="K49" s="17" t="str">
        <f aca="false">IFERROR(J49/F49/12,"")</f>
        <v/>
      </c>
    </row>
    <row r="50" customFormat="false" ht="18" hidden="false" customHeight="true" outlineLevel="0" collapsed="false">
      <c r="A50" s="5" t="n">
        <v>34</v>
      </c>
      <c r="B50" s="16" t="s">
        <v>160</v>
      </c>
      <c r="C50" s="5" t="s">
        <v>121</v>
      </c>
      <c r="D50" s="17" t="n">
        <v>5899223</v>
      </c>
      <c r="E50" s="17" t="n">
        <v>807</v>
      </c>
      <c r="F50" s="5" t="n">
        <v>7</v>
      </c>
      <c r="G50" s="5"/>
      <c r="H50" s="17" t="n">
        <f aca="false">IFERROR(D50*(1+$C$13),"")</f>
        <v>5899223</v>
      </c>
      <c r="I50" s="18" t="n">
        <f aca="false">IFERROR(H50-D50,"")</f>
        <v>0</v>
      </c>
      <c r="J50" s="17" t="n">
        <f aca="false">IFERROR(I50*$C$11/100*$C$12,"")</f>
        <v>0</v>
      </c>
      <c r="K50" s="17" t="n">
        <f aca="false">IFERROR(J50/F50/12,"")</f>
        <v>0</v>
      </c>
    </row>
    <row r="51" customFormat="false" ht="18" hidden="false" customHeight="true" outlineLevel="0" collapsed="false">
      <c r="A51" s="5" t="n">
        <v>35</v>
      </c>
      <c r="B51" s="16" t="s">
        <v>161</v>
      </c>
      <c r="C51" s="5" t="s">
        <v>128</v>
      </c>
      <c r="D51" s="17" t="n">
        <v>5722940</v>
      </c>
      <c r="E51" s="17" t="n">
        <v>938</v>
      </c>
      <c r="F51" s="5" t="n">
        <v>7</v>
      </c>
      <c r="G51" s="5"/>
      <c r="H51" s="17" t="n">
        <f aca="false">IFERROR(D51*(1+$C$13),"")</f>
        <v>5722940</v>
      </c>
      <c r="I51" s="18" t="n">
        <f aca="false">IFERROR(H51-D51,"")</f>
        <v>0</v>
      </c>
      <c r="J51" s="17" t="n">
        <f aca="false">IFERROR(I51*$C$11/100*$C$12,"")</f>
        <v>0</v>
      </c>
      <c r="K51" s="17" t="n">
        <f aca="false">IFERROR(J51/F51/12,"")</f>
        <v>0</v>
      </c>
    </row>
    <row r="52" customFormat="false" ht="18" hidden="false" customHeight="true" outlineLevel="0" collapsed="false">
      <c r="A52" s="5" t="n">
        <v>36</v>
      </c>
      <c r="B52" s="16" t="s">
        <v>162</v>
      </c>
      <c r="C52" s="5" t="s">
        <v>138</v>
      </c>
      <c r="D52" s="17" t="n">
        <v>5647921</v>
      </c>
      <c r="E52" s="17" t="n">
        <v>800</v>
      </c>
      <c r="F52" s="5" t="n">
        <v>7</v>
      </c>
      <c r="G52" s="5"/>
      <c r="H52" s="17" t="n">
        <f aca="false">IFERROR(D52*(1+$C$13),"")</f>
        <v>5647921</v>
      </c>
      <c r="I52" s="18" t="n">
        <f aca="false">IFERROR(H52-D52,"")</f>
        <v>0</v>
      </c>
      <c r="J52" s="17" t="n">
        <f aca="false">IFERROR(I52*$C$11/100*$C$12,"")</f>
        <v>0</v>
      </c>
      <c r="K52" s="17" t="n">
        <f aca="false">IFERROR(J52/F52/12,"")</f>
        <v>0</v>
      </c>
    </row>
    <row r="53" customFormat="false" ht="18" hidden="false" customHeight="true" outlineLevel="0" collapsed="false">
      <c r="A53" s="5" t="n">
        <v>37</v>
      </c>
      <c r="B53" s="16" t="s">
        <v>163</v>
      </c>
      <c r="C53" s="5" t="s">
        <v>121</v>
      </c>
      <c r="D53" s="17" t="n">
        <v>5545862</v>
      </c>
      <c r="E53" s="17" t="n">
        <v>537</v>
      </c>
      <c r="F53" s="5" t="n">
        <v>8</v>
      </c>
      <c r="G53" s="5"/>
      <c r="H53" s="17" t="n">
        <f aca="false">IFERROR(D53*(1+$C$13),"")</f>
        <v>5545862</v>
      </c>
      <c r="I53" s="18" t="n">
        <f aca="false">IFERROR(H53-D53,"")</f>
        <v>0</v>
      </c>
      <c r="J53" s="17" t="n">
        <f aca="false">IFERROR(I53*$C$11/100*$C$12,"")</f>
        <v>0</v>
      </c>
      <c r="K53" s="17" t="n">
        <f aca="false">IFERROR(J53/F53/12,"")</f>
        <v>0</v>
      </c>
    </row>
    <row r="54" customFormat="false" ht="18" hidden="false" customHeight="true" outlineLevel="0" collapsed="false">
      <c r="A54" s="5" t="n">
        <v>38</v>
      </c>
      <c r="B54" s="16" t="s">
        <v>164</v>
      </c>
      <c r="C54" s="5" t="s">
        <v>124</v>
      </c>
      <c r="D54" s="17" t="n">
        <v>5284855</v>
      </c>
      <c r="E54" s="17" t="n">
        <v>685</v>
      </c>
      <c r="F54" s="5" t="n">
        <v>5</v>
      </c>
      <c r="G54" s="5"/>
      <c r="H54" s="17" t="n">
        <f aca="false">IFERROR(D54*(1+$C$13),"")</f>
        <v>5284855</v>
      </c>
      <c r="I54" s="18" t="n">
        <f aca="false">IFERROR(H54-D54,"")</f>
        <v>0</v>
      </c>
      <c r="J54" s="17" t="n">
        <f aca="false">IFERROR(I54*$C$11/100*$C$12,"")</f>
        <v>0</v>
      </c>
      <c r="K54" s="17" t="n">
        <f aca="false">IFERROR(J54/F54/12,"")</f>
        <v>0</v>
      </c>
    </row>
    <row r="55" customFormat="false" ht="18" hidden="false" customHeight="true" outlineLevel="0" collapsed="false">
      <c r="A55" s="5" t="n">
        <v>39</v>
      </c>
      <c r="B55" s="16" t="s">
        <v>165</v>
      </c>
      <c r="C55" s="5" t="s">
        <v>166</v>
      </c>
      <c r="D55" s="17" t="n">
        <v>5197774</v>
      </c>
      <c r="E55" s="17" t="n">
        <v>591</v>
      </c>
      <c r="F55" s="5" t="n">
        <v>6</v>
      </c>
      <c r="G55" s="5"/>
      <c r="H55" s="17" t="n">
        <f aca="false">IFERROR(D55*(1+$C$13),"")</f>
        <v>5197774</v>
      </c>
      <c r="I55" s="18" t="n">
        <f aca="false">IFERROR(H55-D55,"")</f>
        <v>0</v>
      </c>
      <c r="J55" s="17" t="n">
        <f aca="false">IFERROR(I55*$C$11/100*$C$12,"")</f>
        <v>0</v>
      </c>
      <c r="K55" s="17" t="n">
        <f aca="false">IFERROR(J55/F55/12,"")</f>
        <v>0</v>
      </c>
    </row>
    <row r="56" customFormat="false" ht="18" hidden="false" customHeight="true" outlineLevel="0" collapsed="false">
      <c r="A56" s="5" t="n">
        <v>40</v>
      </c>
      <c r="B56" s="16" t="s">
        <v>167</v>
      </c>
      <c r="C56" s="5" t="s">
        <v>138</v>
      </c>
      <c r="D56" s="17" t="n">
        <v>4362115</v>
      </c>
      <c r="E56" s="17" t="n">
        <v>650</v>
      </c>
      <c r="F56" s="5" t="n">
        <v>8</v>
      </c>
      <c r="G56" s="5"/>
      <c r="H56" s="17" t="n">
        <f aca="false">IFERROR(D56*(1+$C$13),"")</f>
        <v>4362115</v>
      </c>
      <c r="I56" s="18" t="n">
        <f aca="false">IFERROR(H56-D56,"")</f>
        <v>0</v>
      </c>
      <c r="J56" s="17" t="n">
        <f aca="false">IFERROR(I56*$C$11/100*$C$12,"")</f>
        <v>0</v>
      </c>
      <c r="K56" s="17" t="n">
        <f aca="false">IFERROR(J56/F56/12,"")</f>
        <v>0</v>
      </c>
    </row>
    <row r="57" customFormat="false" ht="18" hidden="false" customHeight="true" outlineLevel="0" collapsed="false">
      <c r="A57" s="5" t="n">
        <v>41</v>
      </c>
      <c r="B57" s="16" t="s">
        <v>168</v>
      </c>
      <c r="C57" s="5" t="s">
        <v>150</v>
      </c>
      <c r="D57" s="17" t="n">
        <v>4341977</v>
      </c>
      <c r="E57" s="17" t="n">
        <v>469</v>
      </c>
      <c r="F57" s="5" t="n">
        <v>7</v>
      </c>
      <c r="G57" s="5"/>
      <c r="H57" s="17" t="n">
        <f aca="false">IFERROR(D57*(1+$C$13),"")</f>
        <v>4341977</v>
      </c>
      <c r="I57" s="18" t="n">
        <f aca="false">IFERROR(H57-D57,"")</f>
        <v>0</v>
      </c>
      <c r="J57" s="17" t="n">
        <f aca="false">IFERROR(I57*$C$11/100*$C$12,"")</f>
        <v>0</v>
      </c>
      <c r="K57" s="17" t="n">
        <f aca="false">IFERROR(J57/F57/12,"")</f>
        <v>0</v>
      </c>
    </row>
    <row r="58" customFormat="false" ht="18" hidden="false" customHeight="true" outlineLevel="0" collapsed="false">
      <c r="A58" s="5" t="n">
        <v>42</v>
      </c>
      <c r="B58" s="16" t="s">
        <v>169</v>
      </c>
      <c r="C58" s="5" t="s">
        <v>138</v>
      </c>
      <c r="D58" s="17" t="n">
        <v>4191108</v>
      </c>
      <c r="E58" s="17" t="n">
        <v>538</v>
      </c>
      <c r="F58" s="5" t="n">
        <v>6</v>
      </c>
      <c r="G58" s="5"/>
      <c r="H58" s="17" t="n">
        <f aca="false">IFERROR(D58*(1+$C$13),"")</f>
        <v>4191108</v>
      </c>
      <c r="I58" s="18" t="n">
        <f aca="false">IFERROR(H58-D58,"")</f>
        <v>0</v>
      </c>
      <c r="J58" s="17" t="n">
        <f aca="false">IFERROR(I58*$C$11/100*$C$12,"")</f>
        <v>0</v>
      </c>
      <c r="K58" s="17" t="n">
        <f aca="false">IFERROR(J58/F58/12,"")</f>
        <v>0</v>
      </c>
    </row>
    <row r="59" customFormat="false" ht="18" hidden="false" customHeight="true" outlineLevel="0" collapsed="false">
      <c r="A59" s="5" t="n">
        <v>43</v>
      </c>
      <c r="B59" s="16" t="s">
        <v>170</v>
      </c>
      <c r="C59" s="5" t="s">
        <v>121</v>
      </c>
      <c r="D59" s="17" t="n">
        <v>4156161</v>
      </c>
      <c r="E59" s="17" t="n">
        <v>586</v>
      </c>
      <c r="F59" s="5" t="n">
        <v>5</v>
      </c>
      <c r="G59" s="5"/>
      <c r="H59" s="17" t="n">
        <f aca="false">IFERROR(D59*(1+$C$13),"")</f>
        <v>4156161</v>
      </c>
      <c r="I59" s="18" t="n">
        <f aca="false">IFERROR(H59-D59,"")</f>
        <v>0</v>
      </c>
      <c r="J59" s="17" t="n">
        <f aca="false">IFERROR(I59*$C$11/100*$C$12,"")</f>
        <v>0</v>
      </c>
      <c r="K59" s="17" t="n">
        <f aca="false">IFERROR(J59/F59/12,"")</f>
        <v>0</v>
      </c>
    </row>
    <row r="60" customFormat="false" ht="18" hidden="false" customHeight="true" outlineLevel="0" collapsed="false">
      <c r="A60" s="5" t="n">
        <v>44</v>
      </c>
      <c r="B60" s="16" t="s">
        <v>171</v>
      </c>
      <c r="C60" s="5" t="s">
        <v>121</v>
      </c>
      <c r="D60" s="17" t="n">
        <v>3857645</v>
      </c>
      <c r="E60" s="17" t="n">
        <v>456</v>
      </c>
      <c r="F60" s="5" t="n">
        <v>5</v>
      </c>
      <c r="G60" s="5" t="n">
        <v>6</v>
      </c>
      <c r="H60" s="17" t="n">
        <f aca="false">IFERROR(D60*(1+$C$13),"")</f>
        <v>3857645</v>
      </c>
      <c r="I60" s="18" t="n">
        <f aca="false">IFERROR(H60-D60,"")</f>
        <v>0</v>
      </c>
      <c r="J60" s="17" t="n">
        <f aca="false">IFERROR(I60*$C$11/100*$C$12,"")</f>
        <v>0</v>
      </c>
      <c r="K60" s="17" t="n">
        <f aca="false">IFERROR(J60/F60/12,"")</f>
        <v>0</v>
      </c>
    </row>
    <row r="61" customFormat="false" ht="18" hidden="false" customHeight="true" outlineLevel="0" collapsed="false">
      <c r="A61" s="5" t="n">
        <v>45</v>
      </c>
      <c r="B61" s="16" t="s">
        <v>172</v>
      </c>
      <c r="C61" s="5" t="s">
        <v>121</v>
      </c>
      <c r="D61" s="17" t="n">
        <v>3791200</v>
      </c>
      <c r="E61" s="17" t="n">
        <v>423</v>
      </c>
      <c r="F61" s="5" t="n">
        <v>9</v>
      </c>
      <c r="G61" s="5"/>
      <c r="H61" s="17" t="n">
        <f aca="false">IFERROR(D61*(1+$C$13),"")</f>
        <v>3791200</v>
      </c>
      <c r="I61" s="18" t="n">
        <f aca="false">IFERROR(H61-D61,"")</f>
        <v>0</v>
      </c>
      <c r="J61" s="17" t="n">
        <f aca="false">IFERROR(I61*$C$11/100*$C$12,"")</f>
        <v>0</v>
      </c>
      <c r="K61" s="17" t="n">
        <f aca="false">IFERROR(J61/F61/12,"")</f>
        <v>0</v>
      </c>
    </row>
    <row r="62" customFormat="false" ht="18" hidden="false" customHeight="true" outlineLevel="0" collapsed="false">
      <c r="A62" s="5" t="n">
        <v>46</v>
      </c>
      <c r="B62" s="16" t="s">
        <v>173</v>
      </c>
      <c r="C62" s="5" t="s">
        <v>121</v>
      </c>
      <c r="D62" s="17" t="n">
        <v>3708152</v>
      </c>
      <c r="E62" s="17" t="n">
        <v>451</v>
      </c>
      <c r="F62" s="5"/>
      <c r="G62" s="5"/>
      <c r="H62" s="17" t="n">
        <f aca="false">IFERROR(D62*(1+$C$13),"")</f>
        <v>3708152</v>
      </c>
      <c r="I62" s="18" t="n">
        <f aca="false">IFERROR(H62-D62,"")</f>
        <v>0</v>
      </c>
      <c r="J62" s="17" t="n">
        <f aca="false">IFERROR(I62*$C$11/100*$C$12,"")</f>
        <v>0</v>
      </c>
      <c r="K62" s="17" t="str">
        <f aca="false">IFERROR(J62/F62/12,"")</f>
        <v/>
      </c>
    </row>
    <row r="63" customFormat="false" ht="18" hidden="false" customHeight="true" outlineLevel="0" collapsed="false">
      <c r="A63" s="5" t="n">
        <v>47</v>
      </c>
      <c r="B63" s="16" t="s">
        <v>174</v>
      </c>
      <c r="C63" s="5" t="s">
        <v>175</v>
      </c>
      <c r="D63" s="17" t="n">
        <v>3599745</v>
      </c>
      <c r="E63" s="17" t="n">
        <v>441</v>
      </c>
      <c r="F63" s="5" t="n">
        <v>6</v>
      </c>
      <c r="G63" s="5"/>
      <c r="H63" s="17" t="n">
        <f aca="false">IFERROR(D63*(1+$C$13),"")</f>
        <v>3599745</v>
      </c>
      <c r="I63" s="18" t="n">
        <f aca="false">IFERROR(H63-D63,"")</f>
        <v>0</v>
      </c>
      <c r="J63" s="17" t="n">
        <f aca="false">IFERROR(I63*$C$11/100*$C$12,"")</f>
        <v>0</v>
      </c>
      <c r="K63" s="17" t="n">
        <f aca="false">IFERROR(J63/F63/12,"")</f>
        <v>0</v>
      </c>
    </row>
    <row r="64" customFormat="false" ht="18" hidden="false" customHeight="true" outlineLevel="0" collapsed="false">
      <c r="A64" s="5" t="n">
        <v>48</v>
      </c>
      <c r="B64" s="16" t="s">
        <v>176</v>
      </c>
      <c r="C64" s="5" t="s">
        <v>150</v>
      </c>
      <c r="D64" s="17" t="n">
        <v>3433425</v>
      </c>
      <c r="E64" s="17" t="n">
        <v>402</v>
      </c>
      <c r="F64" s="5" t="n">
        <v>5</v>
      </c>
      <c r="G64" s="5"/>
      <c r="H64" s="17" t="n">
        <f aca="false">IFERROR(D64*(1+$C$13),"")</f>
        <v>3433425</v>
      </c>
      <c r="I64" s="18" t="n">
        <f aca="false">IFERROR(H64-D64,"")</f>
        <v>0</v>
      </c>
      <c r="J64" s="17" t="n">
        <f aca="false">IFERROR(I64*$C$11/100*$C$12,"")</f>
        <v>0</v>
      </c>
      <c r="K64" s="17" t="n">
        <f aca="false">IFERROR(J64/F64/12,"")</f>
        <v>0</v>
      </c>
    </row>
    <row r="65" customFormat="false" ht="18" hidden="false" customHeight="true" outlineLevel="0" collapsed="false">
      <c r="A65" s="5" t="n">
        <v>49</v>
      </c>
      <c r="B65" s="16" t="s">
        <v>177</v>
      </c>
      <c r="C65" s="5" t="s">
        <v>124</v>
      </c>
      <c r="D65" s="17" t="n">
        <v>3315559</v>
      </c>
      <c r="E65" s="17" t="n">
        <v>455</v>
      </c>
      <c r="F65" s="5" t="n">
        <v>5</v>
      </c>
      <c r="G65" s="5"/>
      <c r="H65" s="17" t="n">
        <f aca="false">IFERROR(D65*(1+$C$13),"")</f>
        <v>3315559</v>
      </c>
      <c r="I65" s="18" t="n">
        <f aca="false">IFERROR(H65-D65,"")</f>
        <v>0</v>
      </c>
      <c r="J65" s="17" t="n">
        <f aca="false">IFERROR(I65*$C$11/100*$C$12,"")</f>
        <v>0</v>
      </c>
      <c r="K65" s="17" t="n">
        <f aca="false">IFERROR(J65/F65/12,"")</f>
        <v>0</v>
      </c>
    </row>
    <row r="66" customFormat="false" ht="18" hidden="false" customHeight="true" outlineLevel="0" collapsed="false">
      <c r="A66" s="5" t="n">
        <v>50</v>
      </c>
      <c r="B66" s="16" t="s">
        <v>178</v>
      </c>
      <c r="C66" s="5" t="s">
        <v>179</v>
      </c>
      <c r="D66" s="17" t="n">
        <v>2663618</v>
      </c>
      <c r="E66" s="17" t="n">
        <v>327</v>
      </c>
      <c r="F66" s="5" t="n">
        <v>6</v>
      </c>
      <c r="G66" s="5"/>
      <c r="H66" s="17" t="n">
        <f aca="false">IFERROR(D66*(1+$C$13),"")</f>
        <v>2663618</v>
      </c>
      <c r="I66" s="18" t="n">
        <f aca="false">IFERROR(H66-D66,"")</f>
        <v>0</v>
      </c>
      <c r="J66" s="17" t="n">
        <f aca="false">IFERROR(I66*$C$11/100*$C$12,"")</f>
        <v>0</v>
      </c>
      <c r="K66" s="17" t="n">
        <f aca="false">IFERROR(J66/F66/12,"")</f>
        <v>0</v>
      </c>
    </row>
    <row r="67" customFormat="false" ht="18" hidden="false" customHeight="true" outlineLevel="0" collapsed="false">
      <c r="A67" s="5" t="n">
        <v>51</v>
      </c>
      <c r="B67" s="16" t="s">
        <v>180</v>
      </c>
      <c r="C67" s="5" t="s">
        <v>128</v>
      </c>
      <c r="D67" s="17" t="n">
        <v>2286567</v>
      </c>
      <c r="E67" s="17" t="n">
        <v>333</v>
      </c>
      <c r="F67" s="5" t="n">
        <v>6</v>
      </c>
      <c r="G67" s="5"/>
      <c r="H67" s="17" t="n">
        <f aca="false">IFERROR(D67*(1+$C$13),"")</f>
        <v>2286567</v>
      </c>
      <c r="I67" s="18" t="n">
        <f aca="false">IFERROR(H67-D67,"")</f>
        <v>0</v>
      </c>
      <c r="J67" s="17" t="n">
        <f aca="false">IFERROR(I67*$C$11/100*$C$12,"")</f>
        <v>0</v>
      </c>
      <c r="K67" s="17" t="n">
        <f aca="false">IFERROR(J67/F67/12,"")</f>
        <v>0</v>
      </c>
    </row>
    <row r="68" customFormat="false" ht="18" hidden="false" customHeight="true" outlineLevel="0" collapsed="false">
      <c r="A68" s="5" t="n">
        <v>52</v>
      </c>
      <c r="B68" s="16" t="s">
        <v>181</v>
      </c>
      <c r="C68" s="5" t="s">
        <v>138</v>
      </c>
      <c r="D68" s="17" t="n">
        <v>2086987</v>
      </c>
      <c r="E68" s="17" t="n">
        <v>281</v>
      </c>
      <c r="F68" s="5" t="n">
        <v>4</v>
      </c>
      <c r="G68" s="5"/>
      <c r="H68" s="17" t="n">
        <f aca="false">IFERROR(D68*(1+$C$13),"")</f>
        <v>2086987</v>
      </c>
      <c r="I68" s="18" t="n">
        <f aca="false">IFERROR(H68-D68,"")</f>
        <v>0</v>
      </c>
      <c r="J68" s="17" t="n">
        <f aca="false">IFERROR(I68*$C$11/100*$C$12,"")</f>
        <v>0</v>
      </c>
      <c r="K68" s="17" t="n">
        <f aca="false">IFERROR(J68/F68/12,"")</f>
        <v>0</v>
      </c>
    </row>
    <row r="69" customFormat="false" ht="18" hidden="false" customHeight="true" outlineLevel="0" collapsed="false">
      <c r="A69" s="5" t="n">
        <v>53</v>
      </c>
      <c r="B69" s="16" t="s">
        <v>182</v>
      </c>
      <c r="C69" s="5" t="s">
        <v>138</v>
      </c>
      <c r="D69" s="17" t="n">
        <v>1960098</v>
      </c>
      <c r="E69" s="17" t="n">
        <v>408</v>
      </c>
      <c r="F69" s="5" t="n">
        <v>4</v>
      </c>
      <c r="G69" s="5"/>
      <c r="H69" s="17" t="n">
        <f aca="false">IFERROR(D69*(1+$C$13),"")</f>
        <v>1960098</v>
      </c>
      <c r="I69" s="18" t="n">
        <f aca="false">IFERROR(H69-D69,"")</f>
        <v>0</v>
      </c>
      <c r="J69" s="17" t="n">
        <f aca="false">IFERROR(I69*$C$11/100*$C$12,"")</f>
        <v>0</v>
      </c>
      <c r="K69" s="17" t="n">
        <f aca="false">IFERROR(J69/F69/12,"")</f>
        <v>0</v>
      </c>
    </row>
    <row r="70" customFormat="false" ht="18" hidden="false" customHeight="true" outlineLevel="0" collapsed="false">
      <c r="A70" s="5" t="n">
        <v>54</v>
      </c>
      <c r="B70" s="16" t="s">
        <v>183</v>
      </c>
      <c r="C70" s="5" t="s">
        <v>184</v>
      </c>
      <c r="D70" s="17" t="n">
        <v>1451309</v>
      </c>
      <c r="E70" s="17" t="n">
        <v>196</v>
      </c>
      <c r="F70" s="5"/>
      <c r="G70" s="5"/>
      <c r="H70" s="17" t="n">
        <f aca="false">IFERROR(D70*(1+$C$13),"")</f>
        <v>1451309</v>
      </c>
      <c r="I70" s="18" t="n">
        <f aca="false">IFERROR(H70-D70,"")</f>
        <v>0</v>
      </c>
      <c r="J70" s="17" t="n">
        <f aca="false">IFERROR(I70*$C$11/100*$C$12,"")</f>
        <v>0</v>
      </c>
      <c r="K70" s="17" t="str">
        <f aca="false">IFERROR(J70/F70/12,"")</f>
        <v/>
      </c>
    </row>
    <row r="71" customFormat="false" ht="18" hidden="false" customHeight="true" outlineLevel="0" collapsed="false">
      <c r="A71" s="5" t="n">
        <v>55</v>
      </c>
      <c r="B71" s="16" t="s">
        <v>185</v>
      </c>
      <c r="C71" s="5" t="s">
        <v>186</v>
      </c>
      <c r="D71" s="17" t="n">
        <v>1099275</v>
      </c>
      <c r="E71" s="17" t="n">
        <v>154</v>
      </c>
      <c r="F71" s="5" t="n">
        <v>5</v>
      </c>
      <c r="G71" s="5"/>
      <c r="H71" s="17" t="n">
        <f aca="false">IFERROR(D71*(1+$C$13),"")</f>
        <v>1099275</v>
      </c>
      <c r="I71" s="18" t="n">
        <f aca="false">IFERROR(H71-D71,"")</f>
        <v>0</v>
      </c>
      <c r="J71" s="17" t="n">
        <f aca="false">IFERROR(I71*$C$11/100*$C$12,"")</f>
        <v>0</v>
      </c>
      <c r="K71" s="17" t="n">
        <f aca="false">IFERROR(J71/F71/12,"")</f>
        <v>0</v>
      </c>
    </row>
    <row r="72" customFormat="false" ht="15" hidden="false" customHeight="true" outlineLevel="0" collapsed="false">
      <c r="A72" s="20"/>
      <c r="B72" s="20" t="s">
        <v>187</v>
      </c>
      <c r="C72" s="20"/>
      <c r="D72" s="21" t="n">
        <f aca="false">SUM(D17:D71)</f>
        <v>478886741</v>
      </c>
      <c r="E72" s="21" t="n">
        <f aca="false">SUM(E17:E71)</f>
        <v>61573</v>
      </c>
      <c r="F72" s="21" t="n">
        <f aca="false">SUM(F17:F71)</f>
        <v>482</v>
      </c>
      <c r="G72" s="21" t="n">
        <f aca="false">SUM(G17:G71)</f>
        <v>103</v>
      </c>
      <c r="H72" s="21" t="n">
        <f aca="false">SUM(H17:H71)</f>
        <v>478886741</v>
      </c>
      <c r="I72" s="21" t="n">
        <f aca="false">SUM(I17:I71)</f>
        <v>0</v>
      </c>
      <c r="J72" s="21" t="n">
        <f aca="false">SUM(J17:J71)</f>
        <v>0</v>
      </c>
      <c r="K72" s="20"/>
    </row>
    <row r="74" customFormat="false" ht="15" hidden="false" customHeight="true" outlineLevel="0" collapsed="false">
      <c r="B74" s="8" t="s">
        <v>188</v>
      </c>
    </row>
    <row r="75" customFormat="false" ht="15.75" hidden="false" customHeight="true" outlineLevel="0" collapsed="false">
      <c r="C75" s="9" t="s">
        <v>189</v>
      </c>
      <c r="D75" s="9"/>
      <c r="E75" s="9"/>
      <c r="F75" s="9"/>
      <c r="G75" s="9"/>
      <c r="H75" s="9"/>
      <c r="I75" s="9"/>
      <c r="J75" s="9"/>
      <c r="K75" s="9"/>
    </row>
    <row r="76" customFormat="false" ht="15.75" hidden="false" customHeight="true" outlineLevel="0" collapsed="false">
      <c r="C76" s="9" t="s">
        <v>190</v>
      </c>
      <c r="D76" s="9"/>
      <c r="E76" s="9"/>
      <c r="F76" s="9"/>
      <c r="G76" s="9"/>
      <c r="H76" s="9"/>
      <c r="I76" s="9"/>
      <c r="J76" s="9"/>
      <c r="K76" s="9"/>
    </row>
    <row r="77" customFormat="false" ht="15.75" hidden="false" customHeight="true" outlineLevel="0" collapsed="false">
      <c r="C77" s="9" t="s">
        <v>191</v>
      </c>
      <c r="D77" s="9"/>
      <c r="E77" s="9"/>
      <c r="F77" s="9"/>
      <c r="G77" s="9"/>
      <c r="H77" s="9"/>
      <c r="I77" s="9"/>
      <c r="J77" s="9"/>
      <c r="K77" s="9"/>
    </row>
    <row r="79" customFormat="false" ht="15" hidden="false" customHeight="true" outlineLevel="0" collapsed="false">
      <c r="B79" s="10" t="s">
        <v>192</v>
      </c>
    </row>
    <row r="80" customFormat="false" ht="15.75" hidden="false" customHeight="true" outlineLevel="0" collapsed="false">
      <c r="C80" s="9" t="s">
        <v>193</v>
      </c>
      <c r="D80" s="9"/>
      <c r="E80" s="9"/>
      <c r="F80" s="9"/>
      <c r="G80" s="9"/>
      <c r="H80" s="9"/>
      <c r="I80" s="9"/>
      <c r="J80" s="9"/>
      <c r="K80" s="9"/>
    </row>
    <row r="81" customFormat="false" ht="15.75" hidden="false" customHeight="true" outlineLevel="0" collapsed="false">
      <c r="C81" s="9" t="s">
        <v>194</v>
      </c>
      <c r="D81" s="9"/>
      <c r="E81" s="9"/>
      <c r="F81" s="9"/>
      <c r="G81" s="9"/>
      <c r="H81" s="9"/>
      <c r="I81" s="9"/>
      <c r="J81" s="9"/>
      <c r="K81" s="9"/>
    </row>
    <row r="82" customFormat="false" ht="15.75" hidden="false" customHeight="true" outlineLevel="0" collapsed="false">
      <c r="C82" s="9" t="s">
        <v>195</v>
      </c>
      <c r="D82" s="9"/>
      <c r="E82" s="9"/>
      <c r="F82" s="9"/>
      <c r="G82" s="9"/>
      <c r="H82" s="9"/>
      <c r="I82" s="9"/>
      <c r="J82" s="9"/>
      <c r="K82" s="9"/>
    </row>
    <row r="84" customFormat="false" ht="15" hidden="false" customHeight="true" outlineLevel="0" collapsed="false">
      <c r="B84" s="10" t="s">
        <v>196</v>
      </c>
    </row>
    <row r="85" customFormat="false" ht="15.75" hidden="false" customHeight="true" outlineLevel="0" collapsed="false">
      <c r="C85" s="9" t="s">
        <v>197</v>
      </c>
      <c r="D85" s="9"/>
      <c r="E85" s="9"/>
      <c r="F85" s="9"/>
      <c r="G85" s="9"/>
      <c r="H85" s="9"/>
      <c r="I85" s="9"/>
      <c r="J85" s="9"/>
      <c r="K85" s="9"/>
    </row>
    <row r="86" customFormat="false" ht="15.75" hidden="false" customHeight="true" outlineLevel="0" collapsed="false">
      <c r="C86" s="9" t="s">
        <v>198</v>
      </c>
      <c r="D86" s="9"/>
      <c r="E86" s="9"/>
      <c r="F86" s="9"/>
      <c r="G86" s="9"/>
      <c r="H86" s="9"/>
      <c r="I86" s="9"/>
      <c r="J86" s="9"/>
      <c r="K86" s="9"/>
    </row>
    <row r="87" customFormat="false" ht="15.75" hidden="false" customHeight="true" outlineLevel="0" collapsed="false">
      <c r="C87" s="9" t="s">
        <v>199</v>
      </c>
      <c r="D87" s="9"/>
      <c r="E87" s="9"/>
      <c r="F87" s="9"/>
      <c r="G87" s="9"/>
      <c r="H87" s="9"/>
      <c r="I87" s="9"/>
      <c r="J87" s="9"/>
      <c r="K87" s="9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200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201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1" t="s">
        <v>202</v>
      </c>
      <c r="B3" s="11"/>
      <c r="C3" s="11"/>
      <c r="D3" s="11"/>
      <c r="E3" s="11"/>
      <c r="F3" s="11"/>
      <c r="G3" s="11"/>
    </row>
    <row r="4" customFormat="false" ht="27.75" hidden="false" customHeight="true" outlineLevel="0" collapsed="false">
      <c r="A4" s="5" t="n">
        <v>1</v>
      </c>
      <c r="B4" s="6" t="s">
        <v>203</v>
      </c>
      <c r="C4" s="7" t="s">
        <v>204</v>
      </c>
      <c r="D4" s="7" t="s">
        <v>205</v>
      </c>
      <c r="E4" s="7" t="s">
        <v>206</v>
      </c>
      <c r="F4" s="7"/>
      <c r="G4" s="7" t="s">
        <v>207</v>
      </c>
    </row>
    <row r="5" customFormat="false" ht="27.75" hidden="false" customHeight="true" outlineLevel="0" collapsed="false">
      <c r="A5" s="5" t="n">
        <v>2</v>
      </c>
      <c r="B5" s="6" t="s">
        <v>208</v>
      </c>
      <c r="C5" s="7" t="s">
        <v>209</v>
      </c>
      <c r="D5" s="7" t="s">
        <v>210</v>
      </c>
      <c r="E5" s="7" t="s">
        <v>211</v>
      </c>
      <c r="F5" s="7"/>
      <c r="G5" s="7" t="s">
        <v>212</v>
      </c>
    </row>
    <row r="6" customFormat="false" ht="27.75" hidden="false" customHeight="true" outlineLevel="0" collapsed="false">
      <c r="A6" s="5" t="n">
        <v>3</v>
      </c>
      <c r="B6" s="6" t="s">
        <v>213</v>
      </c>
      <c r="C6" s="7" t="s">
        <v>214</v>
      </c>
      <c r="D6" s="7" t="s">
        <v>215</v>
      </c>
      <c r="E6" s="7" t="s">
        <v>216</v>
      </c>
      <c r="F6" s="7"/>
      <c r="G6" s="7" t="s">
        <v>217</v>
      </c>
    </row>
    <row r="7" customFormat="false" ht="27.75" hidden="false" customHeight="true" outlineLevel="0" collapsed="false">
      <c r="A7" s="5" t="n">
        <v>4</v>
      </c>
      <c r="B7" s="6" t="s">
        <v>218</v>
      </c>
      <c r="C7" s="7" t="s">
        <v>219</v>
      </c>
      <c r="D7" s="7" t="s">
        <v>220</v>
      </c>
      <c r="E7" s="7" t="s">
        <v>221</v>
      </c>
      <c r="F7" s="7"/>
      <c r="G7" s="7" t="s">
        <v>222</v>
      </c>
    </row>
    <row r="9" customFormat="false" ht="21.75" hidden="false" customHeight="true" outlineLevel="0" collapsed="false">
      <c r="A9" s="11" t="s">
        <v>223</v>
      </c>
      <c r="B9" s="11"/>
      <c r="C9" s="11"/>
      <c r="D9" s="11"/>
      <c r="E9" s="11"/>
      <c r="F9" s="11"/>
      <c r="G9" s="11"/>
    </row>
    <row r="10" customFormat="false" ht="15" hidden="false" customHeight="true" outlineLevel="0" collapsed="false">
      <c r="B10" s="12" t="s">
        <v>224</v>
      </c>
      <c r="C10" s="14"/>
    </row>
    <row r="11" customFormat="false" ht="15" hidden="false" customHeight="true" outlineLevel="0" collapsed="false">
      <c r="B11" s="12" t="s">
        <v>225</v>
      </c>
      <c r="C11" s="14" t="n">
        <v>1</v>
      </c>
    </row>
    <row r="12" customFormat="false" ht="15" hidden="false" customHeight="true" outlineLevel="0" collapsed="false">
      <c r="B12" s="12" t="s">
        <v>226</v>
      </c>
      <c r="C12" s="22"/>
    </row>
    <row r="13" customFormat="false" ht="30" hidden="false" customHeight="true" outlineLevel="0" collapsed="false">
      <c r="A13" s="4" t="s">
        <v>2</v>
      </c>
      <c r="B13" s="4" t="s">
        <v>227</v>
      </c>
      <c r="C13" s="4" t="s">
        <v>228</v>
      </c>
      <c r="D13" s="4"/>
      <c r="E13" s="4"/>
      <c r="F13" s="4"/>
      <c r="G13" s="4" t="s">
        <v>229</v>
      </c>
    </row>
    <row r="14" customFormat="false" ht="19.5" hidden="false" customHeight="true" outlineLevel="0" collapsed="false">
      <c r="A14" s="5" t="n">
        <v>1</v>
      </c>
      <c r="B14" s="16" t="s">
        <v>230</v>
      </c>
      <c r="C14" s="23" t="n">
        <f aca="false">C10-C11</f>
        <v>-1</v>
      </c>
      <c r="D14" s="5"/>
      <c r="E14" s="5"/>
      <c r="F14" s="5"/>
      <c r="G14" s="7" t="s">
        <v>231</v>
      </c>
    </row>
    <row r="15" customFormat="false" ht="19.5" hidden="false" customHeight="true" outlineLevel="0" collapsed="false">
      <c r="A15" s="5" t="n">
        <v>2</v>
      </c>
      <c r="B15" s="16" t="s">
        <v>232</v>
      </c>
      <c r="C15" s="24" t="str">
        <f aca="false">IFERROR(C11/C10,"")</f>
        <v/>
      </c>
      <c r="D15" s="5"/>
      <c r="E15" s="5"/>
      <c r="F15" s="5"/>
      <c r="G15" s="7" t="s">
        <v>233</v>
      </c>
    </row>
    <row r="16" customFormat="false" ht="19.5" hidden="false" customHeight="true" outlineLevel="0" collapsed="false">
      <c r="A16" s="5" t="n">
        <v>3</v>
      </c>
      <c r="B16" s="16" t="s">
        <v>234</v>
      </c>
      <c r="C16" s="17" t="n">
        <f aca="false">C12*(C10-C11)/100</f>
        <v>-0</v>
      </c>
      <c r="D16" s="5"/>
      <c r="E16" s="5"/>
      <c r="F16" s="5"/>
      <c r="G16" s="7" t="s">
        <v>235</v>
      </c>
    </row>
    <row r="17" customFormat="false" ht="19.5" hidden="false" customHeight="true" outlineLevel="0" collapsed="false">
      <c r="A17" s="5" t="n">
        <v>4</v>
      </c>
      <c r="B17" s="16" t="s">
        <v>236</v>
      </c>
      <c r="C17" s="17" t="n">
        <f aca="false">C12*C11/100</f>
        <v>0</v>
      </c>
      <c r="D17" s="5"/>
      <c r="E17" s="5"/>
      <c r="F17" s="5"/>
      <c r="G17" s="7" t="s">
        <v>237</v>
      </c>
    </row>
    <row r="18" customFormat="false" ht="19.5" hidden="false" customHeight="true" outlineLevel="0" collapsed="false">
      <c r="A18" s="5" t="n">
        <v>5</v>
      </c>
      <c r="B18" s="16" t="s">
        <v>238</v>
      </c>
      <c r="C18" s="25" t="n">
        <f aca="false">IFERROR(C12*C11/(C10-C11),"")</f>
        <v>-0</v>
      </c>
      <c r="D18" s="5"/>
      <c r="E18" s="5"/>
      <c r="F18" s="5"/>
      <c r="G18" s="7" t="s">
        <v>239</v>
      </c>
    </row>
    <row r="19" customFormat="false" ht="19.5" hidden="false" customHeight="true" outlineLevel="0" collapsed="false">
      <c r="A19" s="5" t="n">
        <v>6</v>
      </c>
      <c r="B19" s="16" t="s">
        <v>240</v>
      </c>
      <c r="C19" s="26" t="n">
        <f aca="false">IFERROR(C11/(C10-C11),"")</f>
        <v>-1</v>
      </c>
      <c r="D19" s="5"/>
      <c r="E19" s="5"/>
      <c r="F19" s="5"/>
      <c r="G19" s="7" t="s">
        <v>241</v>
      </c>
    </row>
    <row r="21" customFormat="false" ht="21.75" hidden="false" customHeight="true" outlineLevel="0" collapsed="false">
      <c r="A21" s="11" t="s">
        <v>242</v>
      </c>
      <c r="B21" s="11"/>
      <c r="C21" s="11"/>
      <c r="D21" s="11"/>
      <c r="E21" s="11"/>
      <c r="F21" s="11"/>
      <c r="G21" s="11"/>
    </row>
    <row r="22" customFormat="false" ht="30" hidden="false" customHeight="true" outlineLevel="0" collapsed="false">
      <c r="A22" s="4" t="s">
        <v>2</v>
      </c>
      <c r="B22" s="4" t="s">
        <v>111</v>
      </c>
      <c r="C22" s="4" t="s">
        <v>243</v>
      </c>
      <c r="D22" s="4" t="s">
        <v>244</v>
      </c>
      <c r="E22" s="4" t="s">
        <v>245</v>
      </c>
      <c r="F22" s="4"/>
      <c r="G22" s="4" t="s">
        <v>78</v>
      </c>
    </row>
    <row r="23" customFormat="false" ht="18" hidden="false" customHeight="true" outlineLevel="0" collapsed="false">
      <c r="A23" s="5" t="n">
        <v>1</v>
      </c>
      <c r="B23" s="16" t="s">
        <v>246</v>
      </c>
      <c r="C23" s="24" t="n">
        <v>0.641</v>
      </c>
      <c r="D23" s="17" t="n">
        <v>19344811</v>
      </c>
      <c r="E23" s="27" t="n">
        <v>43.7</v>
      </c>
      <c r="F23" s="5"/>
      <c r="G23" s="7" t="s">
        <v>247</v>
      </c>
    </row>
    <row r="24" customFormat="false" ht="18" hidden="false" customHeight="true" outlineLevel="0" collapsed="false">
      <c r="A24" s="5" t="n">
        <v>2</v>
      </c>
      <c r="B24" s="16" t="s">
        <v>248</v>
      </c>
      <c r="C24" s="24" t="n">
        <v>0.559</v>
      </c>
      <c r="D24" s="17" t="n">
        <v>4805625</v>
      </c>
      <c r="E24" s="27" t="n">
        <v>55.7</v>
      </c>
      <c r="F24" s="5"/>
      <c r="G24" s="7" t="s">
        <v>247</v>
      </c>
    </row>
    <row r="25" customFormat="false" ht="18" hidden="false" customHeight="true" outlineLevel="0" collapsed="false">
      <c r="A25" s="5" t="n">
        <v>3</v>
      </c>
      <c r="B25" s="16" t="s">
        <v>249</v>
      </c>
      <c r="C25" s="24" t="n">
        <v>0.458</v>
      </c>
      <c r="D25" s="17" t="n">
        <v>7210207</v>
      </c>
      <c r="E25" s="27" t="n">
        <v>31.3</v>
      </c>
      <c r="F25" s="5"/>
      <c r="G25" s="7"/>
    </row>
    <row r="26" customFormat="false" ht="18" hidden="false" customHeight="true" outlineLevel="0" collapsed="false">
      <c r="A26" s="5" t="n">
        <v>4</v>
      </c>
      <c r="B26" s="16" t="s">
        <v>250</v>
      </c>
      <c r="C26" s="24" t="n">
        <v>0.392</v>
      </c>
      <c r="D26" s="17" t="n">
        <v>2324712</v>
      </c>
      <c r="E26" s="27" t="n">
        <v>36.9</v>
      </c>
      <c r="F26" s="5"/>
      <c r="G26" s="7" t="s">
        <v>247</v>
      </c>
    </row>
    <row r="27" customFormat="false" ht="18" hidden="false" customHeight="true" outlineLevel="0" collapsed="false">
      <c r="A27" s="5" t="n">
        <v>5</v>
      </c>
      <c r="B27" s="16" t="s">
        <v>251</v>
      </c>
      <c r="C27" s="24" t="n">
        <v>0.373</v>
      </c>
      <c r="D27" s="17" t="n">
        <v>2493275</v>
      </c>
      <c r="E27" s="27" t="n">
        <v>34</v>
      </c>
      <c r="F27" s="5"/>
      <c r="G27" s="7"/>
    </row>
    <row r="28" customFormat="false" ht="18" hidden="false" customHeight="true" outlineLevel="0" collapsed="false">
      <c r="A28" s="5" t="n">
        <v>6</v>
      </c>
      <c r="B28" s="16" t="s">
        <v>252</v>
      </c>
      <c r="C28" s="24" t="n">
        <v>0.349</v>
      </c>
      <c r="D28" s="17" t="n">
        <v>3252431</v>
      </c>
      <c r="E28" s="27" t="n">
        <v>37.5</v>
      </c>
      <c r="F28" s="5"/>
      <c r="G28" s="7" t="s">
        <v>247</v>
      </c>
    </row>
    <row r="29" customFormat="false" ht="18" hidden="false" customHeight="true" outlineLevel="0" collapsed="false">
      <c r="A29" s="5" t="n">
        <v>7</v>
      </c>
      <c r="B29" s="16" t="s">
        <v>253</v>
      </c>
      <c r="C29" s="24" t="n">
        <v>0.344</v>
      </c>
      <c r="D29" s="17" t="n">
        <v>10303487</v>
      </c>
      <c r="E29" s="27" t="n">
        <v>38.4</v>
      </c>
      <c r="F29" s="5"/>
      <c r="G29" s="7" t="s">
        <v>247</v>
      </c>
    </row>
    <row r="30" customFormat="false" ht="18" hidden="false" customHeight="true" outlineLevel="0" collapsed="false">
      <c r="A30" s="5" t="n">
        <v>8</v>
      </c>
      <c r="B30" s="16" t="s">
        <v>254</v>
      </c>
      <c r="C30" s="24" t="n">
        <v>0.329</v>
      </c>
      <c r="D30" s="17" t="n">
        <v>3857753</v>
      </c>
      <c r="E30" s="27" t="n">
        <v>24.2</v>
      </c>
      <c r="F30" s="5"/>
      <c r="G30" s="7"/>
    </row>
    <row r="32" customFormat="false" ht="15" hidden="false" customHeight="true" outlineLevel="0" collapsed="false">
      <c r="B32" s="8" t="s">
        <v>255</v>
      </c>
    </row>
    <row r="33" customFormat="false" ht="15.75" hidden="false" customHeight="true" outlineLevel="0" collapsed="false">
      <c r="C33" s="9" t="s">
        <v>256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257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258</v>
      </c>
      <c r="D35" s="9"/>
      <c r="E35" s="9"/>
      <c r="F35" s="9"/>
      <c r="G35" s="9"/>
    </row>
    <row r="37" customFormat="false" ht="15" hidden="false" customHeight="true" outlineLevel="0" collapsed="false">
      <c r="B37" s="8" t="s">
        <v>259</v>
      </c>
    </row>
    <row r="38" customFormat="false" ht="15.75" hidden="false" customHeight="true" outlineLevel="0" collapsed="false">
      <c r="C38" s="9" t="s">
        <v>260</v>
      </c>
      <c r="D38" s="9"/>
      <c r="E38" s="9"/>
      <c r="F38" s="9"/>
      <c r="G38" s="9"/>
    </row>
    <row r="39" customFormat="false" ht="15.75" hidden="false" customHeight="true" outlineLevel="0" collapsed="false">
      <c r="C39" s="9" t="s">
        <v>261</v>
      </c>
      <c r="D39" s="9"/>
      <c r="E39" s="9"/>
      <c r="F39" s="9"/>
      <c r="G39" s="9"/>
    </row>
    <row r="40" customFormat="false" ht="15.75" hidden="false" customHeight="true" outlineLevel="0" collapsed="false">
      <c r="C40" s="9" t="s">
        <v>262</v>
      </c>
      <c r="D40" s="9"/>
      <c r="E40" s="9"/>
      <c r="F40" s="9"/>
      <c r="G40" s="9"/>
    </row>
    <row r="42" customFormat="false" ht="15" hidden="false" customHeight="true" outlineLevel="0" collapsed="false">
      <c r="B42" s="10" t="s">
        <v>263</v>
      </c>
    </row>
    <row r="43" customFormat="false" ht="15.75" hidden="false" customHeight="true" outlineLevel="0" collapsed="false">
      <c r="C43" s="9" t="s">
        <v>264</v>
      </c>
      <c r="D43" s="9"/>
      <c r="E43" s="9"/>
      <c r="F43" s="9"/>
      <c r="G43" s="9"/>
    </row>
    <row r="44" customFormat="false" ht="15.75" hidden="false" customHeight="true" outlineLevel="0" collapsed="false">
      <c r="C44" s="9" t="s">
        <v>265</v>
      </c>
      <c r="D44" s="9"/>
      <c r="E44" s="9"/>
      <c r="F44" s="9"/>
      <c r="G44" s="9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266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1" t="s">
        <v>202</v>
      </c>
      <c r="B3" s="11"/>
      <c r="C3" s="11"/>
      <c r="D3" s="11"/>
      <c r="E3" s="11"/>
      <c r="F3" s="11"/>
      <c r="G3" s="11"/>
    </row>
    <row r="4" customFormat="false" ht="27.75" hidden="false" customHeight="true" outlineLevel="0" collapsed="false">
      <c r="A4" s="5" t="n">
        <v>1</v>
      </c>
      <c r="B4" s="6" t="s">
        <v>267</v>
      </c>
      <c r="C4" s="7" t="s">
        <v>268</v>
      </c>
      <c r="D4" s="7" t="s">
        <v>269</v>
      </c>
      <c r="E4" s="7" t="s">
        <v>270</v>
      </c>
      <c r="F4" s="7"/>
      <c r="G4" s="7" t="s">
        <v>271</v>
      </c>
    </row>
    <row r="5" customFormat="false" ht="27.75" hidden="false" customHeight="true" outlineLevel="0" collapsed="false">
      <c r="A5" s="5" t="n">
        <v>2</v>
      </c>
      <c r="B5" s="6" t="s">
        <v>272</v>
      </c>
      <c r="C5" s="7" t="s">
        <v>273</v>
      </c>
      <c r="D5" s="7" t="s">
        <v>274</v>
      </c>
      <c r="E5" s="7" t="s">
        <v>275</v>
      </c>
      <c r="F5" s="7"/>
      <c r="G5" s="7" t="s">
        <v>276</v>
      </c>
    </row>
    <row r="6" customFormat="false" ht="27.75" hidden="false" customHeight="true" outlineLevel="0" collapsed="false">
      <c r="A6" s="5" t="n">
        <v>3</v>
      </c>
      <c r="B6" s="6" t="s">
        <v>277</v>
      </c>
      <c r="C6" s="7" t="s">
        <v>278</v>
      </c>
      <c r="D6" s="7" t="s">
        <v>279</v>
      </c>
      <c r="E6" s="7" t="s">
        <v>280</v>
      </c>
      <c r="F6" s="7"/>
      <c r="G6" s="7" t="s">
        <v>281</v>
      </c>
    </row>
    <row r="7" customFormat="false" ht="27.75" hidden="false" customHeight="true" outlineLevel="0" collapsed="false">
      <c r="A7" s="5" t="n">
        <v>4</v>
      </c>
      <c r="B7" s="6" t="s">
        <v>282</v>
      </c>
      <c r="C7" s="7" t="s">
        <v>283</v>
      </c>
      <c r="D7" s="7" t="s">
        <v>284</v>
      </c>
      <c r="E7" s="7" t="s">
        <v>285</v>
      </c>
      <c r="F7" s="7"/>
      <c r="G7" s="7" t="s">
        <v>286</v>
      </c>
    </row>
    <row r="9" customFormat="false" ht="21.75" hidden="false" customHeight="true" outlineLevel="0" collapsed="false">
      <c r="A9" s="11" t="s">
        <v>287</v>
      </c>
      <c r="B9" s="11"/>
      <c r="C9" s="11"/>
      <c r="D9" s="11"/>
      <c r="E9" s="11"/>
      <c r="F9" s="11"/>
      <c r="G9" s="11"/>
    </row>
    <row r="10" customFormat="false" ht="15" hidden="false" customHeight="true" outlineLevel="0" collapsed="false">
      <c r="B10" s="12" t="s">
        <v>288</v>
      </c>
      <c r="C10" s="22"/>
    </row>
    <row r="11" customFormat="false" ht="15" hidden="false" customHeight="true" outlineLevel="0" collapsed="false">
      <c r="B11" s="12" t="s">
        <v>289</v>
      </c>
      <c r="C11" s="22"/>
    </row>
    <row r="12" customFormat="false" ht="15" hidden="false" customHeight="true" outlineLevel="0" collapsed="false">
      <c r="B12" s="12" t="s">
        <v>290</v>
      </c>
      <c r="C12" s="15"/>
    </row>
    <row r="13" customFormat="false" ht="15" hidden="false" customHeight="true" outlineLevel="0" collapsed="false">
      <c r="B13" s="12" t="s">
        <v>291</v>
      </c>
      <c r="C13" s="28"/>
    </row>
    <row r="14" customFormat="false" ht="30" hidden="false" customHeight="true" outlineLevel="0" collapsed="false">
      <c r="A14" s="4" t="s">
        <v>2</v>
      </c>
      <c r="B14" s="4" t="s">
        <v>227</v>
      </c>
      <c r="C14" s="4" t="s">
        <v>228</v>
      </c>
      <c r="D14" s="4"/>
      <c r="E14" s="4"/>
      <c r="F14" s="4"/>
      <c r="G14" s="4" t="s">
        <v>229</v>
      </c>
    </row>
    <row r="15" customFormat="false" ht="19.5" hidden="false" customHeight="true" outlineLevel="0" collapsed="false">
      <c r="A15" s="5" t="n">
        <v>1</v>
      </c>
      <c r="B15" s="16" t="s">
        <v>292</v>
      </c>
      <c r="C15" s="17" t="n">
        <f aca="false">C11/12</f>
        <v>0</v>
      </c>
      <c r="D15" s="5"/>
      <c r="E15" s="5"/>
      <c r="F15" s="5"/>
      <c r="G15" s="7" t="s">
        <v>293</v>
      </c>
    </row>
    <row r="16" customFormat="false" ht="19.5" hidden="false" customHeight="true" outlineLevel="0" collapsed="false">
      <c r="A16" s="5" t="n">
        <v>2</v>
      </c>
      <c r="B16" s="16" t="s">
        <v>294</v>
      </c>
      <c r="C16" s="17" t="n">
        <f aca="false">C11/12*C13+C10/12*C13</f>
        <v>0</v>
      </c>
      <c r="D16" s="5"/>
      <c r="E16" s="5"/>
      <c r="F16" s="5"/>
      <c r="G16" s="7" t="s">
        <v>295</v>
      </c>
    </row>
    <row r="17" customFormat="false" ht="19.5" hidden="false" customHeight="true" outlineLevel="0" collapsed="false">
      <c r="A17" s="5" t="n">
        <v>3</v>
      </c>
      <c r="B17" s="16" t="s">
        <v>296</v>
      </c>
      <c r="C17" s="17" t="n">
        <f aca="false">C10*C12</f>
        <v>0</v>
      </c>
      <c r="D17" s="5"/>
      <c r="E17" s="5"/>
      <c r="F17" s="5"/>
      <c r="G17" s="7" t="s">
        <v>297</v>
      </c>
    </row>
    <row r="18" customFormat="false" ht="19.5" hidden="false" customHeight="true" outlineLevel="0" collapsed="false">
      <c r="A18" s="5" t="n">
        <v>4</v>
      </c>
      <c r="B18" s="16" t="s">
        <v>298</v>
      </c>
      <c r="C18" s="29" t="n">
        <f aca="false">C16-C17</f>
        <v>0</v>
      </c>
      <c r="D18" s="5"/>
      <c r="E18" s="5"/>
      <c r="F18" s="5"/>
      <c r="G18" s="7" t="s">
        <v>299</v>
      </c>
    </row>
    <row r="19" customFormat="false" ht="19.5" hidden="false" customHeight="true" outlineLevel="0" collapsed="false">
      <c r="A19" s="5" t="n">
        <v>5</v>
      </c>
      <c r="B19" s="16" t="s">
        <v>300</v>
      </c>
      <c r="C19" s="26" t="str">
        <f aca="false">IFERROR(C16/C10,"")</f>
        <v/>
      </c>
      <c r="D19" s="5"/>
      <c r="E19" s="5"/>
      <c r="F19" s="5"/>
      <c r="G19" s="7" t="s">
        <v>301</v>
      </c>
    </row>
    <row r="21" customFormat="false" ht="21.75" hidden="false" customHeight="true" outlineLevel="0" collapsed="false">
      <c r="A21" s="11" t="s">
        <v>302</v>
      </c>
      <c r="B21" s="11"/>
      <c r="C21" s="11"/>
      <c r="D21" s="11"/>
      <c r="E21" s="11"/>
      <c r="F21" s="11"/>
      <c r="G21" s="11"/>
    </row>
    <row r="22" customFormat="false" ht="30" hidden="false" customHeight="true" outlineLevel="0" collapsed="false">
      <c r="A22" s="4" t="s">
        <v>2</v>
      </c>
      <c r="B22" s="4" t="s">
        <v>303</v>
      </c>
      <c r="C22" s="4" t="s">
        <v>304</v>
      </c>
      <c r="D22" s="4" t="s">
        <v>305</v>
      </c>
      <c r="E22" s="4" t="s">
        <v>306</v>
      </c>
      <c r="F22" s="4"/>
      <c r="G22" s="4" t="s">
        <v>307</v>
      </c>
    </row>
    <row r="23" customFormat="false" ht="24" hidden="false" customHeight="true" outlineLevel="0" collapsed="false">
      <c r="A23" s="5" t="n">
        <v>1</v>
      </c>
      <c r="B23" s="6" t="s">
        <v>308</v>
      </c>
      <c r="C23" s="5" t="s">
        <v>309</v>
      </c>
      <c r="D23" s="5" t="s">
        <v>310</v>
      </c>
      <c r="E23" s="5" t="s">
        <v>311</v>
      </c>
      <c r="F23" s="7"/>
      <c r="G23" s="7" t="s">
        <v>312</v>
      </c>
    </row>
    <row r="24" customFormat="false" ht="24" hidden="false" customHeight="true" outlineLevel="0" collapsed="false">
      <c r="A24" s="5" t="n">
        <v>2</v>
      </c>
      <c r="B24" s="6" t="s">
        <v>313</v>
      </c>
      <c r="C24" s="5" t="s">
        <v>309</v>
      </c>
      <c r="D24" s="5" t="s">
        <v>310</v>
      </c>
      <c r="E24" s="5" t="s">
        <v>311</v>
      </c>
      <c r="F24" s="7"/>
      <c r="G24" s="7" t="s">
        <v>314</v>
      </c>
    </row>
    <row r="25" customFormat="false" ht="24" hidden="false" customHeight="true" outlineLevel="0" collapsed="false">
      <c r="A25" s="5" t="n">
        <v>3</v>
      </c>
      <c r="B25" s="6" t="s">
        <v>315</v>
      </c>
      <c r="C25" s="5" t="s">
        <v>316</v>
      </c>
      <c r="D25" s="5" t="s">
        <v>310</v>
      </c>
      <c r="E25" s="5" t="s">
        <v>311</v>
      </c>
      <c r="F25" s="7"/>
      <c r="G25" s="7" t="s">
        <v>317</v>
      </c>
    </row>
    <row r="26" customFormat="false" ht="24" hidden="false" customHeight="true" outlineLevel="0" collapsed="false">
      <c r="A26" s="5" t="n">
        <v>4</v>
      </c>
      <c r="B26" s="6" t="s">
        <v>318</v>
      </c>
      <c r="C26" s="5" t="s">
        <v>316</v>
      </c>
      <c r="D26" s="5" t="s">
        <v>319</v>
      </c>
      <c r="E26" s="5" t="s">
        <v>320</v>
      </c>
      <c r="F26" s="7"/>
      <c r="G26" s="7" t="s">
        <v>321</v>
      </c>
    </row>
    <row r="27" customFormat="false" ht="24" hidden="false" customHeight="true" outlineLevel="0" collapsed="false">
      <c r="A27" s="5" t="n">
        <v>5</v>
      </c>
      <c r="B27" s="6" t="s">
        <v>322</v>
      </c>
      <c r="C27" s="5" t="s">
        <v>316</v>
      </c>
      <c r="D27" s="5" t="s">
        <v>319</v>
      </c>
      <c r="E27" s="5" t="s">
        <v>320</v>
      </c>
      <c r="F27" s="7"/>
      <c r="G27" s="7" t="s">
        <v>323</v>
      </c>
    </row>
    <row r="28" customFormat="false" ht="24" hidden="false" customHeight="true" outlineLevel="0" collapsed="false">
      <c r="A28" s="5" t="n">
        <v>6</v>
      </c>
      <c r="B28" s="6" t="s">
        <v>324</v>
      </c>
      <c r="C28" s="5" t="s">
        <v>316</v>
      </c>
      <c r="D28" s="5" t="s">
        <v>319</v>
      </c>
      <c r="E28" s="5" t="s">
        <v>311</v>
      </c>
      <c r="F28" s="7"/>
      <c r="G28" s="7" t="s">
        <v>325</v>
      </c>
    </row>
    <row r="30" customFormat="false" ht="15" hidden="false" customHeight="true" outlineLevel="0" collapsed="false">
      <c r="B30" s="8" t="s">
        <v>326</v>
      </c>
    </row>
    <row r="31" customFormat="false" ht="15.75" hidden="false" customHeight="true" outlineLevel="0" collapsed="false">
      <c r="C31" s="9" t="s">
        <v>327</v>
      </c>
      <c r="D31" s="9"/>
      <c r="E31" s="9"/>
      <c r="F31" s="9"/>
      <c r="G31" s="9"/>
    </row>
    <row r="32" customFormat="false" ht="15.75" hidden="false" customHeight="true" outlineLevel="0" collapsed="false">
      <c r="C32" s="9" t="s">
        <v>328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329</v>
      </c>
      <c r="D33" s="9"/>
      <c r="E33" s="9"/>
      <c r="F33" s="9"/>
      <c r="G33" s="9"/>
    </row>
    <row r="35" customFormat="false" ht="15" hidden="false" customHeight="true" outlineLevel="0" collapsed="false">
      <c r="B35" s="10" t="s">
        <v>330</v>
      </c>
    </row>
    <row r="36" customFormat="false" ht="15.75" hidden="false" customHeight="true" outlineLevel="0" collapsed="false">
      <c r="C36" s="9" t="s">
        <v>331</v>
      </c>
      <c r="D36" s="9"/>
      <c r="E36" s="9"/>
      <c r="F36" s="9"/>
      <c r="G36" s="9"/>
    </row>
    <row r="37" customFormat="false" ht="15.75" hidden="false" customHeight="true" outlineLevel="0" collapsed="false">
      <c r="C37" s="9" t="s">
        <v>332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333</v>
      </c>
      <c r="D38" s="9"/>
      <c r="E38" s="9"/>
      <c r="F38" s="9"/>
      <c r="G38" s="9"/>
    </row>
    <row r="40" customFormat="false" ht="15" hidden="false" customHeight="true" outlineLevel="0" collapsed="false">
      <c r="B40" s="10" t="s">
        <v>334</v>
      </c>
    </row>
    <row r="41" customFormat="false" ht="15.75" hidden="false" customHeight="true" outlineLevel="0" collapsed="false">
      <c r="C41" s="9" t="s">
        <v>335</v>
      </c>
      <c r="D41" s="9"/>
      <c r="E41" s="9"/>
      <c r="F41" s="9"/>
      <c r="G41" s="9"/>
    </row>
    <row r="42" customFormat="false" ht="15.75" hidden="false" customHeight="true" outlineLevel="0" collapsed="false">
      <c r="C42" s="9" t="s">
        <v>336</v>
      </c>
      <c r="D42" s="9"/>
      <c r="E42" s="9"/>
      <c r="F42" s="9"/>
      <c r="G42" s="9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337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1" t="s">
        <v>202</v>
      </c>
      <c r="B3" s="11"/>
      <c r="C3" s="11"/>
      <c r="D3" s="11"/>
      <c r="E3" s="11"/>
      <c r="F3" s="11"/>
      <c r="G3" s="11"/>
    </row>
    <row r="4" customFormat="false" ht="27.75" hidden="false" customHeight="true" outlineLevel="0" collapsed="false">
      <c r="A4" s="5" t="n">
        <v>1</v>
      </c>
      <c r="B4" s="6" t="s">
        <v>338</v>
      </c>
      <c r="C4" s="7" t="s">
        <v>339</v>
      </c>
      <c r="D4" s="7" t="s">
        <v>340</v>
      </c>
      <c r="E4" s="7" t="s">
        <v>341</v>
      </c>
      <c r="F4" s="7"/>
      <c r="G4" s="7" t="s">
        <v>342</v>
      </c>
    </row>
    <row r="5" customFormat="false" ht="27.75" hidden="false" customHeight="true" outlineLevel="0" collapsed="false">
      <c r="A5" s="5" t="n">
        <v>2</v>
      </c>
      <c r="B5" s="6" t="s">
        <v>343</v>
      </c>
      <c r="C5" s="7" t="s">
        <v>344</v>
      </c>
      <c r="D5" s="7" t="s">
        <v>345</v>
      </c>
      <c r="E5" s="7" t="s">
        <v>346</v>
      </c>
      <c r="F5" s="7"/>
      <c r="G5" s="7" t="s">
        <v>347</v>
      </c>
    </row>
    <row r="6" customFormat="false" ht="27.75" hidden="false" customHeight="true" outlineLevel="0" collapsed="false">
      <c r="A6" s="5" t="n">
        <v>3</v>
      </c>
      <c r="B6" s="6" t="s">
        <v>348</v>
      </c>
      <c r="C6" s="7" t="s">
        <v>349</v>
      </c>
      <c r="D6" s="7" t="s">
        <v>350</v>
      </c>
      <c r="E6" s="7" t="s">
        <v>351</v>
      </c>
      <c r="F6" s="7"/>
      <c r="G6" s="7" t="s">
        <v>352</v>
      </c>
    </row>
    <row r="7" customFormat="false" ht="27.75" hidden="false" customHeight="true" outlineLevel="0" collapsed="false">
      <c r="A7" s="5" t="n">
        <v>4</v>
      </c>
      <c r="B7" s="6" t="s">
        <v>353</v>
      </c>
      <c r="C7" s="7" t="s">
        <v>354</v>
      </c>
      <c r="D7" s="7" t="s">
        <v>355</v>
      </c>
      <c r="E7" s="7" t="s">
        <v>356</v>
      </c>
      <c r="F7" s="7"/>
      <c r="G7" s="7" t="s">
        <v>357</v>
      </c>
    </row>
    <row r="9" customFormat="false" ht="21.75" hidden="false" customHeight="true" outlineLevel="0" collapsed="false">
      <c r="A9" s="11" t="s">
        <v>358</v>
      </c>
      <c r="B9" s="11"/>
      <c r="C9" s="11"/>
      <c r="D9" s="11"/>
      <c r="E9" s="11"/>
      <c r="F9" s="11"/>
      <c r="G9" s="11"/>
    </row>
    <row r="10" customFormat="false" ht="30" hidden="false" customHeight="true" outlineLevel="0" collapsed="false">
      <c r="A10" s="4" t="s">
        <v>2</v>
      </c>
      <c r="B10" s="4" t="s">
        <v>359</v>
      </c>
      <c r="C10" s="4" t="s">
        <v>228</v>
      </c>
      <c r="D10" s="4" t="s">
        <v>360</v>
      </c>
      <c r="E10" s="4" t="s">
        <v>361</v>
      </c>
      <c r="F10" s="4"/>
      <c r="G10" s="4" t="s">
        <v>362</v>
      </c>
    </row>
    <row r="11" customFormat="false" ht="18.75" hidden="false" customHeight="true" outlineLevel="0" collapsed="false">
      <c r="A11" s="5" t="n">
        <v>1</v>
      </c>
      <c r="B11" s="16" t="s">
        <v>363</v>
      </c>
      <c r="C11" s="30"/>
      <c r="D11" s="5" t="s">
        <v>364</v>
      </c>
      <c r="E11" s="5" t="s">
        <v>365</v>
      </c>
      <c r="F11" s="5"/>
      <c r="G11" s="7"/>
    </row>
    <row r="12" customFormat="false" ht="18.75" hidden="false" customHeight="true" outlineLevel="0" collapsed="false">
      <c r="A12" s="5" t="n">
        <v>2</v>
      </c>
      <c r="B12" s="16" t="s">
        <v>366</v>
      </c>
      <c r="C12" s="30"/>
      <c r="D12" s="5" t="s">
        <v>364</v>
      </c>
      <c r="E12" s="5" t="s">
        <v>365</v>
      </c>
      <c r="F12" s="5"/>
      <c r="G12" s="7"/>
    </row>
    <row r="13" customFormat="false" ht="18.75" hidden="false" customHeight="true" outlineLevel="0" collapsed="false">
      <c r="A13" s="5" t="n">
        <v>3</v>
      </c>
      <c r="B13" s="16" t="s">
        <v>367</v>
      </c>
      <c r="C13" s="22"/>
      <c r="D13" s="5" t="s">
        <v>368</v>
      </c>
      <c r="E13" s="5" t="s">
        <v>365</v>
      </c>
      <c r="F13" s="5"/>
      <c r="G13" s="7"/>
    </row>
    <row r="14" customFormat="false" ht="18.75" hidden="false" customHeight="true" outlineLevel="0" collapsed="false">
      <c r="A14" s="5" t="n">
        <v>4</v>
      </c>
      <c r="B14" s="16" t="s">
        <v>369</v>
      </c>
      <c r="C14" s="22"/>
      <c r="D14" s="5" t="s">
        <v>370</v>
      </c>
      <c r="E14" s="5" t="s">
        <v>365</v>
      </c>
      <c r="F14" s="5"/>
      <c r="G14" s="7"/>
    </row>
    <row r="15" customFormat="false" ht="18.75" hidden="false" customHeight="true" outlineLevel="0" collapsed="false">
      <c r="A15" s="5" t="n">
        <v>5</v>
      </c>
      <c r="B15" s="16" t="s">
        <v>371</v>
      </c>
      <c r="C15" s="30"/>
      <c r="D15" s="5" t="s">
        <v>372</v>
      </c>
      <c r="E15" s="5" t="s">
        <v>365</v>
      </c>
      <c r="F15" s="5"/>
      <c r="G15" s="7"/>
    </row>
    <row r="16" customFormat="false" ht="18.75" hidden="false" customHeight="true" outlineLevel="0" collapsed="false">
      <c r="A16" s="5" t="n">
        <v>6</v>
      </c>
      <c r="B16" s="16" t="s">
        <v>373</v>
      </c>
      <c r="C16" s="22"/>
      <c r="D16" s="5" t="s">
        <v>374</v>
      </c>
      <c r="E16" s="5" t="s">
        <v>365</v>
      </c>
      <c r="F16" s="5"/>
      <c r="G16" s="7"/>
    </row>
    <row r="17" customFormat="false" ht="18.75" hidden="false" customHeight="true" outlineLevel="0" collapsed="false">
      <c r="A17" s="5" t="n">
        <v>7</v>
      </c>
      <c r="B17" s="16" t="s">
        <v>375</v>
      </c>
      <c r="C17" s="15"/>
      <c r="D17" s="5" t="s">
        <v>376</v>
      </c>
      <c r="E17" s="5" t="s">
        <v>365</v>
      </c>
      <c r="F17" s="5"/>
      <c r="G17" s="7"/>
    </row>
    <row r="18" customFormat="false" ht="18.75" hidden="false" customHeight="true" outlineLevel="0" collapsed="false">
      <c r="A18" s="5" t="n">
        <v>8</v>
      </c>
      <c r="B18" s="16" t="s">
        <v>377</v>
      </c>
      <c r="C18" s="22"/>
      <c r="D18" s="5" t="s">
        <v>374</v>
      </c>
      <c r="E18" s="5" t="s">
        <v>365</v>
      </c>
      <c r="F18" s="5"/>
      <c r="G18" s="7"/>
    </row>
    <row r="19" customFormat="false" ht="18.75" hidden="false" customHeight="true" outlineLevel="0" collapsed="false">
      <c r="A19" s="5" t="n">
        <v>9</v>
      </c>
      <c r="B19" s="16" t="s">
        <v>378</v>
      </c>
      <c r="C19" s="25" t="n">
        <f aca="false">IFERROR(C18*C17,"")</f>
        <v>0</v>
      </c>
      <c r="D19" s="5" t="s">
        <v>374</v>
      </c>
      <c r="E19" s="5" t="s">
        <v>379</v>
      </c>
      <c r="F19" s="5"/>
      <c r="G19" s="7" t="s">
        <v>380</v>
      </c>
    </row>
    <row r="20" customFormat="false" ht="18.75" hidden="false" customHeight="true" outlineLevel="0" collapsed="false">
      <c r="A20" s="5" t="n">
        <v>10</v>
      </c>
      <c r="B20" s="16" t="s">
        <v>381</v>
      </c>
      <c r="C20" s="25" t="n">
        <f aca="false">IFERROR(MAX(C16,C19),"")</f>
        <v>0</v>
      </c>
      <c r="D20" s="5" t="s">
        <v>374</v>
      </c>
      <c r="E20" s="5" t="s">
        <v>379</v>
      </c>
      <c r="F20" s="5"/>
      <c r="G20" s="7" t="s">
        <v>382</v>
      </c>
    </row>
    <row r="21" customFormat="false" ht="18.75" hidden="false" customHeight="true" outlineLevel="0" collapsed="false">
      <c r="A21" s="5" t="n">
        <v>11</v>
      </c>
      <c r="B21" s="16" t="s">
        <v>383</v>
      </c>
      <c r="C21" s="25" t="n">
        <f aca="false">IFERROR(C20*12*C13,"")</f>
        <v>0</v>
      </c>
      <c r="D21" s="5" t="s">
        <v>374</v>
      </c>
      <c r="E21" s="5" t="s">
        <v>379</v>
      </c>
      <c r="F21" s="5"/>
      <c r="G21" s="7" t="s">
        <v>384</v>
      </c>
    </row>
    <row r="22" customFormat="false" ht="18.75" hidden="false" customHeight="true" outlineLevel="0" collapsed="false">
      <c r="A22" s="5" t="n">
        <v>12</v>
      </c>
      <c r="B22" s="16" t="s">
        <v>385</v>
      </c>
      <c r="C22" s="22"/>
      <c r="D22" s="5" t="s">
        <v>386</v>
      </c>
      <c r="E22" s="5" t="s">
        <v>365</v>
      </c>
      <c r="F22" s="5"/>
      <c r="G22" s="7"/>
    </row>
    <row r="23" customFormat="false" ht="18.75" hidden="false" customHeight="true" outlineLevel="0" collapsed="false">
      <c r="A23" s="5" t="n">
        <v>13</v>
      </c>
      <c r="B23" s="16" t="s">
        <v>387</v>
      </c>
      <c r="C23" s="30"/>
      <c r="D23" s="5" t="s">
        <v>372</v>
      </c>
      <c r="E23" s="5" t="s">
        <v>365</v>
      </c>
      <c r="F23" s="5"/>
      <c r="G23" s="7" t="s">
        <v>388</v>
      </c>
    </row>
    <row r="26" customFormat="false" ht="15" hidden="false" customHeight="true" outlineLevel="0" collapsed="false">
      <c r="B26" s="8" t="s">
        <v>389</v>
      </c>
    </row>
    <row r="27" customFormat="false" ht="15.75" hidden="false" customHeight="true" outlineLevel="0" collapsed="false">
      <c r="C27" s="9" t="s">
        <v>390</v>
      </c>
      <c r="D27" s="9"/>
      <c r="E27" s="9"/>
      <c r="F27" s="9"/>
      <c r="G27" s="9"/>
    </row>
    <row r="28" customFormat="false" ht="15.75" hidden="false" customHeight="true" outlineLevel="0" collapsed="false">
      <c r="C28" s="9" t="s">
        <v>391</v>
      </c>
      <c r="D28" s="9"/>
      <c r="E28" s="9"/>
      <c r="F28" s="9"/>
      <c r="G28" s="9"/>
    </row>
    <row r="29" customFormat="false" ht="15.75" hidden="false" customHeight="true" outlineLevel="0" collapsed="false">
      <c r="C29" s="9" t="s">
        <v>392</v>
      </c>
      <c r="D29" s="9"/>
      <c r="E29" s="9"/>
      <c r="F29" s="9"/>
      <c r="G29" s="9"/>
    </row>
    <row r="31" customFormat="false" ht="15" hidden="false" customHeight="true" outlineLevel="0" collapsed="false">
      <c r="B31" s="8" t="s">
        <v>371</v>
      </c>
    </row>
    <row r="32" customFormat="false" ht="15.75" hidden="false" customHeight="true" outlineLevel="0" collapsed="false">
      <c r="C32" s="9" t="s">
        <v>393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394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395</v>
      </c>
      <c r="D34" s="9"/>
      <c r="E34" s="9"/>
      <c r="F34" s="9"/>
      <c r="G34" s="9"/>
    </row>
    <row r="36" customFormat="false" ht="15" hidden="false" customHeight="true" outlineLevel="0" collapsed="false">
      <c r="B36" s="8" t="s">
        <v>396</v>
      </c>
    </row>
    <row r="37" customFormat="false" ht="15.75" hidden="false" customHeight="true" outlineLevel="0" collapsed="false">
      <c r="C37" s="9" t="s">
        <v>397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398</v>
      </c>
      <c r="D38" s="9"/>
      <c r="E38" s="9"/>
      <c r="F38" s="9"/>
      <c r="G38" s="9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5"/>
    <col collapsed="false" customWidth="true" hidden="false" outlineLevel="0" max="5" min="5" style="1" width="13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399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400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4" t="s">
        <v>2</v>
      </c>
      <c r="B3" s="4" t="s">
        <v>227</v>
      </c>
      <c r="C3" s="4" t="s">
        <v>401</v>
      </c>
      <c r="D3" s="4" t="s">
        <v>402</v>
      </c>
      <c r="E3" s="4" t="s">
        <v>403</v>
      </c>
      <c r="F3" s="4" t="s">
        <v>229</v>
      </c>
    </row>
    <row r="4" customFormat="false" ht="21.75" hidden="false" customHeight="true" outlineLevel="0" collapsed="false">
      <c r="A4" s="5" t="n">
        <v>1</v>
      </c>
      <c r="B4" s="16" t="s">
        <v>404</v>
      </c>
      <c r="C4" s="23" t="n">
        <v>182.51</v>
      </c>
      <c r="D4" s="23" t="n">
        <v>196.77</v>
      </c>
      <c r="E4" s="31" t="n">
        <f aca="false">C4-D4</f>
        <v>-14.26</v>
      </c>
      <c r="F4" s="7" t="s">
        <v>405</v>
      </c>
    </row>
    <row r="5" customFormat="false" ht="21.75" hidden="false" customHeight="true" outlineLevel="0" collapsed="false">
      <c r="A5" s="5" t="n">
        <v>2</v>
      </c>
      <c r="B5" s="16" t="s">
        <v>406</v>
      </c>
      <c r="C5" s="23" t="n">
        <v>-170</v>
      </c>
      <c r="D5" s="23" t="n">
        <v>-180.67</v>
      </c>
      <c r="E5" s="31" t="n">
        <f aca="false">C5-D5</f>
        <v>10.67</v>
      </c>
      <c r="F5" s="7" t="s">
        <v>407</v>
      </c>
    </row>
    <row r="6" customFormat="false" ht="21.75" hidden="false" customHeight="true" outlineLevel="0" collapsed="false">
      <c r="A6" s="5" t="n">
        <v>3</v>
      </c>
      <c r="B6" s="16" t="s">
        <v>408</v>
      </c>
      <c r="C6" s="23" t="n">
        <v>-1.89</v>
      </c>
      <c r="D6" s="23" t="n">
        <v>-1.88</v>
      </c>
      <c r="E6" s="31" t="n">
        <f aca="false">C6-D6</f>
        <v>-0.01</v>
      </c>
      <c r="F6" s="7" t="s">
        <v>409</v>
      </c>
    </row>
    <row r="7" customFormat="false" ht="21.75" hidden="false" customHeight="true" outlineLevel="0" collapsed="false">
      <c r="A7" s="5" t="n">
        <v>4</v>
      </c>
      <c r="B7" s="16" t="s">
        <v>410</v>
      </c>
      <c r="C7" s="23" t="n">
        <v>-0.54</v>
      </c>
      <c r="D7" s="23" t="n">
        <v>-0.84</v>
      </c>
      <c r="E7" s="31" t="n">
        <f aca="false">C7-D7</f>
        <v>0.3</v>
      </c>
      <c r="F7" s="7" t="s">
        <v>411</v>
      </c>
    </row>
    <row r="8" customFormat="false" ht="21.75" hidden="false" customHeight="true" outlineLevel="0" collapsed="false">
      <c r="A8" s="32" t="n">
        <v>5</v>
      </c>
      <c r="B8" s="33" t="s">
        <v>412</v>
      </c>
      <c r="C8" s="34" t="n">
        <v>10.07</v>
      </c>
      <c r="D8" s="34" t="n">
        <v>13.38</v>
      </c>
      <c r="E8" s="35" t="n">
        <f aca="false">C8-D8</f>
        <v>-3.31</v>
      </c>
      <c r="F8" s="36" t="s">
        <v>413</v>
      </c>
    </row>
    <row r="9" customFormat="false" ht="21.75" hidden="false" customHeight="true" outlineLevel="0" collapsed="false">
      <c r="A9" s="5" t="n">
        <v>6</v>
      </c>
      <c r="B9" s="16" t="s">
        <v>414</v>
      </c>
      <c r="C9" s="23" t="n">
        <v>5.3</v>
      </c>
      <c r="D9" s="23" t="n">
        <v>-2.25</v>
      </c>
      <c r="E9" s="31" t="n">
        <f aca="false">C9-D9</f>
        <v>7.55</v>
      </c>
      <c r="F9" s="7" t="s">
        <v>415</v>
      </c>
    </row>
    <row r="10" customFormat="false" ht="21.75" hidden="false" customHeight="true" outlineLevel="0" collapsed="false">
      <c r="A10" s="5" t="n">
        <v>7</v>
      </c>
      <c r="B10" s="16" t="s">
        <v>416</v>
      </c>
      <c r="C10" s="23" t="n">
        <v>-10.23</v>
      </c>
      <c r="D10" s="23" t="n">
        <v>-7.21</v>
      </c>
      <c r="E10" s="31" t="n">
        <f aca="false">C10-D10</f>
        <v>-3.02</v>
      </c>
      <c r="F10" s="7" t="s">
        <v>417</v>
      </c>
    </row>
    <row r="11" customFormat="false" ht="21.75" hidden="false" customHeight="true" outlineLevel="0" collapsed="false">
      <c r="A11" s="32" t="n">
        <v>8</v>
      </c>
      <c r="B11" s="33" t="s">
        <v>418</v>
      </c>
      <c r="C11" s="34" t="n">
        <v>5.15</v>
      </c>
      <c r="D11" s="34" t="n">
        <v>3.87</v>
      </c>
      <c r="E11" s="35" t="n">
        <f aca="false">C11-D11</f>
        <v>1.28</v>
      </c>
      <c r="F11" s="36" t="s">
        <v>419</v>
      </c>
    </row>
    <row r="13" customFormat="false" ht="15" hidden="false" customHeight="true" outlineLevel="0" collapsed="false">
      <c r="B13" s="10" t="s">
        <v>420</v>
      </c>
    </row>
    <row r="14" customFormat="false" ht="15.75" hidden="false" customHeight="true" outlineLevel="0" collapsed="false">
      <c r="C14" s="9" t="s">
        <v>421</v>
      </c>
      <c r="D14" s="9"/>
      <c r="E14" s="9"/>
      <c r="F14" s="9"/>
    </row>
    <row r="15" customFormat="false" ht="15.75" hidden="false" customHeight="true" outlineLevel="0" collapsed="false">
      <c r="C15" s="9" t="s">
        <v>422</v>
      </c>
      <c r="D15" s="9"/>
      <c r="E15" s="9"/>
      <c r="F15" s="9"/>
    </row>
    <row r="16" customFormat="false" ht="15.75" hidden="false" customHeight="true" outlineLevel="0" collapsed="false">
      <c r="C16" s="9" t="s">
        <v>423</v>
      </c>
      <c r="D16" s="9"/>
      <c r="E16" s="9"/>
      <c r="F16" s="9"/>
    </row>
    <row r="18" customFormat="false" ht="15" hidden="false" customHeight="true" outlineLevel="0" collapsed="false">
      <c r="B18" s="8" t="s">
        <v>424</v>
      </c>
    </row>
    <row r="19" customFormat="false" ht="15.75" hidden="false" customHeight="true" outlineLevel="0" collapsed="false">
      <c r="C19" s="9" t="s">
        <v>425</v>
      </c>
      <c r="D19" s="9"/>
      <c r="E19" s="9"/>
      <c r="F19" s="9"/>
    </row>
    <row r="20" customFormat="false" ht="15.75" hidden="false" customHeight="true" outlineLevel="0" collapsed="false">
      <c r="C20" s="9" t="s">
        <v>426</v>
      </c>
      <c r="D20" s="9"/>
      <c r="E20" s="9"/>
      <c r="F20" s="9"/>
    </row>
    <row r="21" customFormat="false" ht="15.75" hidden="false" customHeight="true" outlineLevel="0" collapsed="false">
      <c r="C21" s="9" t="s">
        <v>427</v>
      </c>
      <c r="D21" s="9"/>
      <c r="E21" s="9"/>
      <c r="F21" s="9"/>
    </row>
    <row r="23" customFormat="false" ht="15" hidden="false" customHeight="true" outlineLevel="0" collapsed="false">
      <c r="B23" s="10" t="s">
        <v>428</v>
      </c>
    </row>
    <row r="24" customFormat="false" ht="15.75" hidden="false" customHeight="true" outlineLevel="0" collapsed="false">
      <c r="C24" s="9" t="s">
        <v>429</v>
      </c>
      <c r="D24" s="9"/>
      <c r="E24" s="9"/>
      <c r="F24" s="9"/>
    </row>
    <row r="25" customFormat="false" ht="15.75" hidden="false" customHeight="true" outlineLevel="0" collapsed="false">
      <c r="C25" s="9" t="s">
        <v>430</v>
      </c>
      <c r="D25" s="9"/>
      <c r="E25" s="9"/>
      <c r="F25" s="9"/>
    </row>
    <row r="26" customFormat="false" ht="15.75" hidden="false" customHeight="true" outlineLevel="0" collapsed="false">
      <c r="C26" s="9" t="s">
        <v>431</v>
      </c>
      <c r="D26" s="9"/>
      <c r="E26" s="9"/>
      <c r="F26" s="9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6"/>
    <col collapsed="false" customWidth="true" hidden="false" outlineLevel="0" max="6" min="6" style="1" width="38"/>
  </cols>
  <sheetData>
    <row r="1" customFormat="false" ht="25.5" hidden="false" customHeight="true" outlineLevel="0" collapsed="false">
      <c r="A1" s="2" t="s">
        <v>432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433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11" t="s">
        <v>434</v>
      </c>
      <c r="B3" s="11"/>
      <c r="C3" s="11"/>
      <c r="D3" s="11"/>
      <c r="E3" s="11"/>
      <c r="F3" s="11"/>
    </row>
    <row r="4" customFormat="false" ht="21.75" hidden="false" customHeight="true" outlineLevel="0" collapsed="false">
      <c r="A4" s="5" t="n">
        <v>1</v>
      </c>
      <c r="B4" s="6" t="s">
        <v>435</v>
      </c>
      <c r="C4" s="5" t="s">
        <v>436</v>
      </c>
      <c r="D4" s="7" t="s">
        <v>437</v>
      </c>
      <c r="E4" s="7"/>
      <c r="F4" s="7" t="s">
        <v>438</v>
      </c>
    </row>
    <row r="5" customFormat="false" ht="21.75" hidden="false" customHeight="true" outlineLevel="0" collapsed="false">
      <c r="A5" s="5" t="n">
        <v>2</v>
      </c>
      <c r="B5" s="6" t="s">
        <v>439</v>
      </c>
      <c r="C5" s="5" t="s">
        <v>436</v>
      </c>
      <c r="D5" s="7" t="s">
        <v>440</v>
      </c>
      <c r="E5" s="7"/>
      <c r="F5" s="7" t="s">
        <v>441</v>
      </c>
    </row>
    <row r="6" customFormat="false" ht="21.75" hidden="false" customHeight="true" outlineLevel="0" collapsed="false">
      <c r="A6" s="5" t="n">
        <v>3</v>
      </c>
      <c r="B6" s="6" t="s">
        <v>442</v>
      </c>
      <c r="C6" s="5" t="s">
        <v>443</v>
      </c>
      <c r="D6" s="7" t="s">
        <v>444</v>
      </c>
      <c r="E6" s="7"/>
      <c r="F6" s="7" t="s">
        <v>445</v>
      </c>
    </row>
    <row r="8" customFormat="false" ht="21.75" hidden="false" customHeight="true" outlineLevel="0" collapsed="false">
      <c r="A8" s="11" t="s">
        <v>446</v>
      </c>
      <c r="B8" s="11"/>
      <c r="C8" s="11"/>
      <c r="D8" s="11"/>
      <c r="E8" s="11"/>
      <c r="F8" s="11"/>
    </row>
    <row r="9" customFormat="false" ht="30" hidden="false" customHeight="true" outlineLevel="0" collapsed="false">
      <c r="A9" s="4" t="s">
        <v>2</v>
      </c>
      <c r="B9" s="4" t="s">
        <v>447</v>
      </c>
      <c r="C9" s="4" t="s">
        <v>142</v>
      </c>
      <c r="D9" s="4" t="s">
        <v>160</v>
      </c>
      <c r="E9" s="4" t="s">
        <v>403</v>
      </c>
      <c r="F9" s="4" t="s">
        <v>229</v>
      </c>
    </row>
    <row r="10" customFormat="false" ht="18.75" hidden="false" customHeight="true" outlineLevel="0" collapsed="false">
      <c r="A10" s="5" t="n">
        <v>1</v>
      </c>
      <c r="B10" s="16" t="s">
        <v>448</v>
      </c>
      <c r="C10" s="5" t="s">
        <v>449</v>
      </c>
      <c r="D10" s="5" t="s">
        <v>450</v>
      </c>
      <c r="E10" s="5"/>
      <c r="F10" s="7" t="s">
        <v>451</v>
      </c>
    </row>
    <row r="11" customFormat="false" ht="18.75" hidden="false" customHeight="true" outlineLevel="0" collapsed="false">
      <c r="A11" s="5" t="n">
        <v>2</v>
      </c>
      <c r="B11" s="16" t="s">
        <v>452</v>
      </c>
      <c r="C11" s="5" t="s">
        <v>453</v>
      </c>
      <c r="D11" s="5" t="s">
        <v>453</v>
      </c>
      <c r="E11" s="5"/>
      <c r="F11" s="7" t="s">
        <v>454</v>
      </c>
    </row>
    <row r="12" customFormat="false" ht="18.75" hidden="false" customHeight="true" outlineLevel="0" collapsed="false">
      <c r="A12" s="5" t="n">
        <v>3</v>
      </c>
      <c r="B12" s="16" t="s">
        <v>455</v>
      </c>
      <c r="C12" s="5" t="s">
        <v>456</v>
      </c>
      <c r="D12" s="5" t="s">
        <v>457</v>
      </c>
      <c r="E12" s="5"/>
      <c r="F12" s="7" t="s">
        <v>458</v>
      </c>
    </row>
    <row r="13" customFormat="false" ht="18.75" hidden="false" customHeight="true" outlineLevel="0" collapsed="false">
      <c r="A13" s="5" t="n">
        <v>4</v>
      </c>
      <c r="B13" s="16" t="s">
        <v>459</v>
      </c>
      <c r="C13" s="5" t="s">
        <v>460</v>
      </c>
      <c r="D13" s="5" t="s">
        <v>460</v>
      </c>
      <c r="E13" s="5"/>
      <c r="F13" s="7" t="s">
        <v>461</v>
      </c>
    </row>
    <row r="14" customFormat="false" ht="18.75" hidden="false" customHeight="true" outlineLevel="0" collapsed="false">
      <c r="A14" s="5" t="n">
        <v>5</v>
      </c>
      <c r="B14" s="16" t="s">
        <v>462</v>
      </c>
      <c r="C14" s="37" t="n">
        <v>1290</v>
      </c>
      <c r="D14" s="37" t="n">
        <v>807</v>
      </c>
      <c r="E14" s="38" t="n">
        <f aca="false">C14-D14</f>
        <v>483</v>
      </c>
      <c r="F14" s="7"/>
    </row>
    <row r="15" customFormat="false" ht="18.75" hidden="false" customHeight="true" outlineLevel="0" collapsed="false">
      <c r="A15" s="5" t="n">
        <v>6</v>
      </c>
      <c r="B15" s="16" t="s">
        <v>463</v>
      </c>
      <c r="C15" s="37" t="n">
        <v>27210</v>
      </c>
      <c r="D15" s="37" t="n">
        <v>16162</v>
      </c>
      <c r="E15" s="38" t="n">
        <f aca="false">C15-D15</f>
        <v>11048</v>
      </c>
      <c r="F15" s="7"/>
    </row>
    <row r="16" customFormat="false" ht="18.75" hidden="false" customHeight="true" outlineLevel="0" collapsed="false">
      <c r="A16" s="5" t="n">
        <v>7</v>
      </c>
      <c r="B16" s="16" t="s">
        <v>464</v>
      </c>
      <c r="C16" s="37" t="n">
        <v>21.1</v>
      </c>
      <c r="D16" s="37" t="n">
        <v>20.04</v>
      </c>
      <c r="E16" s="38" t="n">
        <f aca="false">C16-D16</f>
        <v>1.06</v>
      </c>
      <c r="F16" s="7" t="s">
        <v>465</v>
      </c>
    </row>
    <row r="17" customFormat="false" ht="18.75" hidden="false" customHeight="true" outlineLevel="0" collapsed="false">
      <c r="A17" s="5" t="n">
        <v>8</v>
      </c>
      <c r="B17" s="16" t="s">
        <v>466</v>
      </c>
      <c r="C17" s="37" t="n">
        <v>9</v>
      </c>
      <c r="D17" s="37" t="n">
        <v>4</v>
      </c>
      <c r="E17" s="38" t="n">
        <f aca="false">C17-D17</f>
        <v>5</v>
      </c>
      <c r="F17" s="7"/>
    </row>
    <row r="18" customFormat="false" ht="18.75" hidden="false" customHeight="true" outlineLevel="0" collapsed="false">
      <c r="A18" s="5" t="n">
        <v>9</v>
      </c>
      <c r="B18" s="16" t="s">
        <v>467</v>
      </c>
      <c r="C18" s="37" t="n">
        <v>143</v>
      </c>
      <c r="D18" s="37" t="n">
        <v>202</v>
      </c>
      <c r="E18" s="38" t="n">
        <f aca="false">C18-D18</f>
        <v>-59</v>
      </c>
      <c r="F18" s="7" t="s">
        <v>468</v>
      </c>
    </row>
    <row r="19" customFormat="false" ht="18.75" hidden="false" customHeight="true" outlineLevel="0" collapsed="false">
      <c r="A19" s="5" t="n">
        <v>10</v>
      </c>
      <c r="B19" s="16" t="s">
        <v>469</v>
      </c>
      <c r="C19" s="37" t="n">
        <v>9</v>
      </c>
      <c r="D19" s="37" t="n">
        <v>7</v>
      </c>
      <c r="E19" s="38" t="n">
        <f aca="false">C19-D19</f>
        <v>2</v>
      </c>
      <c r="F19" s="7" t="s">
        <v>470</v>
      </c>
    </row>
    <row r="20" customFormat="false" ht="18.75" hidden="false" customHeight="true" outlineLevel="0" collapsed="false">
      <c r="A20" s="5" t="n">
        <v>11</v>
      </c>
      <c r="B20" s="16" t="s">
        <v>86</v>
      </c>
      <c r="C20" s="37" t="n">
        <v>8</v>
      </c>
      <c r="D20" s="37" t="n">
        <v>0</v>
      </c>
      <c r="E20" s="38" t="n">
        <f aca="false">C20-D20</f>
        <v>8</v>
      </c>
      <c r="F20" s="7" t="s">
        <v>471</v>
      </c>
    </row>
    <row r="22" customFormat="false" ht="15" hidden="false" customHeight="true" outlineLevel="0" collapsed="false">
      <c r="B22" s="8" t="s">
        <v>472</v>
      </c>
    </row>
    <row r="23" customFormat="false" ht="15.75" hidden="false" customHeight="true" outlineLevel="0" collapsed="false">
      <c r="C23" s="9" t="s">
        <v>473</v>
      </c>
      <c r="D23" s="9"/>
      <c r="E23" s="9"/>
      <c r="F23" s="9"/>
    </row>
    <row r="24" customFormat="false" ht="15.75" hidden="false" customHeight="true" outlineLevel="0" collapsed="false">
      <c r="C24" s="9" t="s">
        <v>474</v>
      </c>
      <c r="D24" s="9"/>
      <c r="E24" s="9"/>
      <c r="F24" s="9"/>
    </row>
    <row r="26" customFormat="false" ht="15" hidden="false" customHeight="true" outlineLevel="0" collapsed="false">
      <c r="B26" s="8" t="s">
        <v>475</v>
      </c>
    </row>
    <row r="27" customFormat="false" ht="15.75" hidden="false" customHeight="true" outlineLevel="0" collapsed="false">
      <c r="C27" s="9" t="s">
        <v>476</v>
      </c>
      <c r="D27" s="9"/>
      <c r="E27" s="9"/>
      <c r="F27" s="9"/>
    </row>
    <row r="28" customFormat="false" ht="15.75" hidden="false" customHeight="true" outlineLevel="0" collapsed="false">
      <c r="C28" s="9" t="s">
        <v>477</v>
      </c>
      <c r="D28" s="9"/>
      <c r="E28" s="9"/>
      <c r="F28" s="9"/>
    </row>
    <row r="29" customFormat="false" ht="15.75" hidden="false" customHeight="true" outlineLevel="0" collapsed="false">
      <c r="C29" s="9" t="s">
        <v>478</v>
      </c>
      <c r="D29" s="9"/>
      <c r="E29" s="9"/>
      <c r="F29" s="9"/>
    </row>
    <row r="31" customFormat="false" ht="15" hidden="false" customHeight="true" outlineLevel="0" collapsed="false">
      <c r="B31" s="10" t="s">
        <v>479</v>
      </c>
    </row>
    <row r="32" customFormat="false" ht="15.75" hidden="false" customHeight="true" outlineLevel="0" collapsed="false">
      <c r="C32" s="9" t="s">
        <v>480</v>
      </c>
      <c r="D32" s="9"/>
      <c r="E32" s="9"/>
      <c r="F32" s="9"/>
    </row>
    <row r="33" customFormat="false" ht="15.75" hidden="false" customHeight="true" outlineLevel="0" collapsed="false">
      <c r="C33" s="9" t="s">
        <v>481</v>
      </c>
      <c r="D33" s="9"/>
      <c r="E33" s="9"/>
      <c r="F33" s="9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6" min="3" style="1" width="15"/>
    <col collapsed="false" customWidth="true" hidden="false" outlineLevel="0" max="7" min="7" style="1" width="40"/>
  </cols>
  <sheetData>
    <row r="1" customFormat="false" ht="25.5" hidden="false" customHeight="true" outlineLevel="0" collapsed="false">
      <c r="A1" s="2" t="s">
        <v>482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483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1" t="s">
        <v>484</v>
      </c>
      <c r="B3" s="11"/>
      <c r="C3" s="11"/>
      <c r="D3" s="11"/>
      <c r="E3" s="11"/>
      <c r="F3" s="11"/>
      <c r="G3" s="11"/>
    </row>
    <row r="4" customFormat="false" ht="30" hidden="false" customHeight="true" outlineLevel="0" collapsed="false">
      <c r="A4" s="4" t="s">
        <v>2</v>
      </c>
      <c r="B4" s="4" t="s">
        <v>111</v>
      </c>
      <c r="C4" s="4" t="s">
        <v>485</v>
      </c>
      <c r="D4" s="4" t="s">
        <v>486</v>
      </c>
      <c r="E4" s="4" t="s">
        <v>487</v>
      </c>
      <c r="F4" s="4" t="s">
        <v>245</v>
      </c>
      <c r="G4" s="4" t="s">
        <v>488</v>
      </c>
    </row>
    <row r="5" customFormat="false" ht="21.75" hidden="false" customHeight="true" outlineLevel="0" collapsed="false">
      <c r="A5" s="5" t="n">
        <v>1</v>
      </c>
      <c r="B5" s="16" t="s">
        <v>489</v>
      </c>
      <c r="C5" s="17" t="n">
        <v>2163</v>
      </c>
      <c r="D5" s="17" t="n">
        <v>601</v>
      </c>
      <c r="E5" s="39" t="n">
        <f aca="false">IFERROR(D5/C5-1,"")</f>
        <v>-0.722145168747111</v>
      </c>
      <c r="F5" s="5" t="s">
        <v>490</v>
      </c>
      <c r="G5" s="7" t="s">
        <v>491</v>
      </c>
    </row>
    <row r="6" customFormat="false" ht="21.75" hidden="false" customHeight="true" outlineLevel="0" collapsed="false">
      <c r="A6" s="5" t="n">
        <v>2</v>
      </c>
      <c r="B6" s="16" t="s">
        <v>402</v>
      </c>
      <c r="C6" s="17" t="n">
        <v>830</v>
      </c>
      <c r="D6" s="17" t="n">
        <v>380</v>
      </c>
      <c r="E6" s="39" t="n">
        <f aca="false">IFERROR(D6/C6-1,"")</f>
        <v>-0.542168674698795</v>
      </c>
      <c r="F6" s="5" t="s">
        <v>492</v>
      </c>
      <c r="G6" s="7" t="s">
        <v>493</v>
      </c>
    </row>
    <row r="7" customFormat="false" ht="21.75" hidden="false" customHeight="true" outlineLevel="0" collapsed="false">
      <c r="A7" s="5" t="n">
        <v>3</v>
      </c>
      <c r="B7" s="16" t="s">
        <v>494</v>
      </c>
      <c r="C7" s="17" t="n">
        <v>2778</v>
      </c>
      <c r="D7" s="17" t="n">
        <v>2488</v>
      </c>
      <c r="E7" s="40" t="n">
        <f aca="false">IFERROR(D7/C7-1,"")</f>
        <v>-0.104391648668107</v>
      </c>
      <c r="F7" s="5" t="s">
        <v>495</v>
      </c>
      <c r="G7" s="7" t="s">
        <v>496</v>
      </c>
    </row>
    <row r="8" customFormat="false" ht="21.75" hidden="false" customHeight="true" outlineLevel="0" collapsed="false">
      <c r="A8" s="5" t="n">
        <v>4</v>
      </c>
      <c r="B8" s="16" t="s">
        <v>497</v>
      </c>
      <c r="C8" s="17" t="n">
        <v>4322</v>
      </c>
      <c r="D8" s="17" t="n">
        <v>4266</v>
      </c>
      <c r="E8" s="41" t="n">
        <f aca="false">IFERROR(D8/C8-1,"")</f>
        <v>-0.012956964368348</v>
      </c>
      <c r="F8" s="5" t="s">
        <v>498</v>
      </c>
      <c r="G8" s="7" t="s">
        <v>499</v>
      </c>
    </row>
    <row r="9" customFormat="false" ht="21.75" hidden="false" customHeight="true" outlineLevel="0" collapsed="false">
      <c r="A9" s="5" t="n">
        <v>5</v>
      </c>
      <c r="B9" s="16" t="s">
        <v>500</v>
      </c>
      <c r="C9" s="17" t="n">
        <v>1210</v>
      </c>
      <c r="D9" s="17" t="n">
        <v>1391</v>
      </c>
      <c r="E9" s="41" t="n">
        <f aca="false">IFERROR(D9/C9-1,"")</f>
        <v>0.149586776859504</v>
      </c>
      <c r="F9" s="5" t="s">
        <v>501</v>
      </c>
      <c r="G9" s="7" t="s">
        <v>502</v>
      </c>
    </row>
    <row r="11" customFormat="false" ht="21.75" hidden="false" customHeight="true" outlineLevel="0" collapsed="false">
      <c r="A11" s="11" t="s">
        <v>503</v>
      </c>
      <c r="B11" s="11"/>
      <c r="C11" s="11"/>
      <c r="D11" s="11"/>
      <c r="E11" s="11"/>
      <c r="F11" s="11"/>
      <c r="G11" s="11"/>
    </row>
    <row r="12" customFormat="false" ht="30" hidden="false" customHeight="true" outlineLevel="0" collapsed="false">
      <c r="A12" s="4" t="s">
        <v>2</v>
      </c>
      <c r="B12" s="4" t="s">
        <v>227</v>
      </c>
      <c r="C12" s="4" t="s">
        <v>489</v>
      </c>
      <c r="D12" s="4" t="s">
        <v>402</v>
      </c>
      <c r="E12" s="4" t="s">
        <v>504</v>
      </c>
      <c r="F12" s="4"/>
      <c r="G12" s="4" t="s">
        <v>229</v>
      </c>
    </row>
    <row r="13" customFormat="false" ht="21.75" hidden="false" customHeight="true" outlineLevel="0" collapsed="false">
      <c r="A13" s="5" t="n">
        <v>1</v>
      </c>
      <c r="B13" s="16" t="s">
        <v>505</v>
      </c>
      <c r="C13" s="17" t="n">
        <v>1562</v>
      </c>
      <c r="D13" s="17" t="n">
        <v>451</v>
      </c>
      <c r="E13" s="17" t="n">
        <f aca="false">C13+D13</f>
        <v>2013</v>
      </c>
      <c r="F13" s="5" t="s">
        <v>506</v>
      </c>
      <c r="G13" s="7" t="s">
        <v>507</v>
      </c>
    </row>
    <row r="14" customFormat="false" ht="21.75" hidden="false" customHeight="true" outlineLevel="0" collapsed="false">
      <c r="A14" s="5" t="n">
        <v>2</v>
      </c>
      <c r="B14" s="16" t="s">
        <v>508</v>
      </c>
      <c r="C14" s="17" t="n">
        <v>11920000</v>
      </c>
      <c r="D14" s="17" t="n">
        <v>3810000</v>
      </c>
      <c r="E14" s="17" t="n">
        <f aca="false">C14+D14</f>
        <v>15730000</v>
      </c>
      <c r="F14" s="5" t="s">
        <v>509</v>
      </c>
      <c r="G14" s="7" t="s">
        <v>510</v>
      </c>
    </row>
    <row r="15" customFormat="false" ht="21.75" hidden="false" customHeight="true" outlineLevel="0" collapsed="false">
      <c r="A15" s="5" t="n">
        <v>3</v>
      </c>
      <c r="B15" s="16" t="s">
        <v>511</v>
      </c>
      <c r="C15" s="25" t="n">
        <v>1590000</v>
      </c>
      <c r="D15" s="25" t="n">
        <v>510000</v>
      </c>
      <c r="E15" s="25" t="n">
        <f aca="false">C15+D15</f>
        <v>2100000</v>
      </c>
      <c r="F15" s="5" t="s">
        <v>374</v>
      </c>
      <c r="G15" s="7" t="s">
        <v>512</v>
      </c>
    </row>
    <row r="17" customFormat="false" ht="21.75" hidden="false" customHeight="true" outlineLevel="0" collapsed="false">
      <c r="A17" s="11" t="s">
        <v>513</v>
      </c>
      <c r="B17" s="11"/>
      <c r="C17" s="11"/>
      <c r="D17" s="11"/>
      <c r="E17" s="11"/>
      <c r="F17" s="11"/>
      <c r="G17" s="11"/>
    </row>
    <row r="18" customFormat="false" ht="30" hidden="false" customHeight="true" outlineLevel="0" collapsed="false">
      <c r="A18" s="4" t="s">
        <v>2</v>
      </c>
      <c r="B18" s="4" t="s">
        <v>514</v>
      </c>
      <c r="C18" s="4" t="s">
        <v>515</v>
      </c>
      <c r="D18" s="4" t="s">
        <v>516</v>
      </c>
      <c r="E18" s="4" t="s">
        <v>41</v>
      </c>
      <c r="F18" s="4"/>
      <c r="G18" s="4" t="s">
        <v>447</v>
      </c>
    </row>
    <row r="19" customFormat="false" ht="51.75" hidden="false" customHeight="true" outlineLevel="0" collapsed="false">
      <c r="A19" s="5" t="n">
        <v>1</v>
      </c>
      <c r="B19" s="16" t="s">
        <v>517</v>
      </c>
      <c r="C19" s="19" t="s">
        <v>518</v>
      </c>
      <c r="D19" s="7" t="s">
        <v>519</v>
      </c>
      <c r="E19" s="7" t="s">
        <v>520</v>
      </c>
      <c r="F19" s="5"/>
      <c r="G19" s="7" t="s">
        <v>521</v>
      </c>
    </row>
    <row r="20" customFormat="false" ht="51.75" hidden="false" customHeight="true" outlineLevel="0" collapsed="false">
      <c r="A20" s="5" t="n">
        <v>2</v>
      </c>
      <c r="B20" s="16" t="s">
        <v>522</v>
      </c>
      <c r="C20" s="42" t="s">
        <v>523</v>
      </c>
      <c r="D20" s="7" t="s">
        <v>524</v>
      </c>
      <c r="E20" s="7" t="s">
        <v>525</v>
      </c>
      <c r="F20" s="5"/>
      <c r="G20" s="7" t="s">
        <v>526</v>
      </c>
    </row>
    <row r="21" customFormat="false" ht="51.75" hidden="false" customHeight="true" outlineLevel="0" collapsed="false">
      <c r="A21" s="5" t="n">
        <v>3</v>
      </c>
      <c r="B21" s="16" t="s">
        <v>527</v>
      </c>
      <c r="C21" s="43" t="s">
        <v>528</v>
      </c>
      <c r="D21" s="7" t="s">
        <v>529</v>
      </c>
      <c r="E21" s="7" t="s">
        <v>530</v>
      </c>
      <c r="F21" s="5"/>
      <c r="G21" s="7" t="s">
        <v>531</v>
      </c>
    </row>
    <row r="23" customFormat="false" ht="15" hidden="false" customHeight="true" outlineLevel="0" collapsed="false">
      <c r="B23" s="8" t="s">
        <v>532</v>
      </c>
    </row>
    <row r="24" customFormat="false" ht="15.75" hidden="false" customHeight="true" outlineLevel="0" collapsed="false">
      <c r="C24" s="9" t="s">
        <v>533</v>
      </c>
      <c r="D24" s="9"/>
      <c r="E24" s="9"/>
      <c r="F24" s="9"/>
      <c r="G24" s="9"/>
    </row>
    <row r="25" customFormat="false" ht="15.75" hidden="false" customHeight="true" outlineLevel="0" collapsed="false">
      <c r="C25" s="9" t="s">
        <v>534</v>
      </c>
      <c r="D25" s="9"/>
      <c r="E25" s="9"/>
      <c r="F25" s="9"/>
      <c r="G25" s="9"/>
    </row>
    <row r="26" customFormat="false" ht="15.75" hidden="false" customHeight="true" outlineLevel="0" collapsed="false">
      <c r="C26" s="9" t="s">
        <v>535</v>
      </c>
      <c r="D26" s="9"/>
      <c r="E26" s="9"/>
      <c r="F26" s="9"/>
      <c r="G26" s="9"/>
    </row>
    <row r="28" customFormat="false" ht="15" hidden="false" customHeight="true" outlineLevel="0" collapsed="false">
      <c r="B28" s="10" t="s">
        <v>536</v>
      </c>
    </row>
    <row r="29" customFormat="false" ht="15.75" hidden="false" customHeight="true" outlineLevel="0" collapsed="false">
      <c r="C29" s="9" t="s">
        <v>537</v>
      </c>
      <c r="D29" s="9"/>
      <c r="E29" s="9"/>
      <c r="F29" s="9"/>
      <c r="G29" s="9"/>
    </row>
    <row r="30" customFormat="false" ht="15.75" hidden="false" customHeight="true" outlineLevel="0" collapsed="false">
      <c r="C30" s="9" t="s">
        <v>538</v>
      </c>
      <c r="D30" s="9"/>
      <c r="E30" s="9"/>
      <c r="F30" s="9"/>
      <c r="G30" s="9"/>
    </row>
    <row r="31" customFormat="false" ht="15.75" hidden="false" customHeight="true" outlineLevel="0" collapsed="false">
      <c r="C31" s="9" t="s">
        <v>539</v>
      </c>
      <c r="D31" s="9"/>
      <c r="E31" s="9"/>
      <c r="F31" s="9"/>
      <c r="G31" s="9"/>
    </row>
    <row r="33" customFormat="false" ht="15" hidden="false" customHeight="true" outlineLevel="0" collapsed="false">
      <c r="B33" s="10" t="s">
        <v>540</v>
      </c>
    </row>
    <row r="34" customFormat="false" ht="15.75" hidden="false" customHeight="true" outlineLevel="0" collapsed="false">
      <c r="C34" s="9" t="s">
        <v>541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542</v>
      </c>
      <c r="D35" s="9"/>
      <c r="E35" s="9"/>
      <c r="F35" s="9"/>
      <c r="G35" s="9"/>
    </row>
    <row r="36" customFormat="false" ht="15.75" hidden="false" customHeight="true" outlineLevel="0" collapsed="false">
      <c r="C36" s="9" t="s">
        <v>543</v>
      </c>
      <c r="D36" s="9"/>
      <c r="E36" s="9"/>
      <c r="F36" s="9"/>
      <c r="G36" s="9"/>
    </row>
  </sheetData>
  <mergeCells count="14">
    <mergeCell ref="A1:G1"/>
    <mergeCell ref="A2:G2"/>
    <mergeCell ref="A3:G3"/>
    <mergeCell ref="A11:G11"/>
    <mergeCell ref="A17:G17"/>
    <mergeCell ref="C24:G24"/>
    <mergeCell ref="C25:G25"/>
    <mergeCell ref="C26:G26"/>
    <mergeCell ref="C29:G29"/>
    <mergeCell ref="C30:G30"/>
    <mergeCell ref="C31:G31"/>
    <mergeCell ref="C34:G34"/>
    <mergeCell ref="C35:G35"/>
    <mergeCell ref="C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32"/>
  </cols>
  <sheetData>
    <row r="1" customFormat="false" ht="25.5" hidden="false" customHeight="true" outlineLevel="0" collapsed="false">
      <c r="A1" s="2" t="s">
        <v>544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3" t="s">
        <v>545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1.75" hidden="false" customHeight="true" outlineLevel="0" collapsed="false">
      <c r="A3" s="11" t="s">
        <v>546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customFormat="false" ht="15" hidden="false" customHeight="false" outlineLevel="0" collapsed="false">
      <c r="B4" s="44" t="s">
        <v>111</v>
      </c>
      <c r="C4" s="30"/>
      <c r="D4" s="45" t="str">
        <f aca="false">IFERROR("ذروة "&amp;INDEX('بيانات الورديات'!$I$4:$I$8,MATCH($C$4,'بيانات الورديات'!$B$4:$B$8,0)),"")</f>
        <v/>
      </c>
      <c r="E4" s="46" t="s">
        <v>547</v>
      </c>
    </row>
    <row r="5" customFormat="false" ht="15" hidden="false" customHeight="false" outlineLevel="0" collapsed="false">
      <c r="B5" s="44" t="s">
        <v>548</v>
      </c>
      <c r="C5" s="30"/>
      <c r="E5" s="46" t="s">
        <v>549</v>
      </c>
    </row>
    <row r="6" customFormat="false" ht="15" hidden="false" customHeight="false" outlineLevel="0" collapsed="false">
      <c r="B6" s="44" t="s">
        <v>464</v>
      </c>
      <c r="C6" s="47" t="n">
        <f aca="false">IFERROR(INDEX('بيانات الورديات'!$C$4:$C$8,MATCH($C$4,'بيانات الورديات'!$B$4:$B$8,0)),0)</f>
        <v>0</v>
      </c>
      <c r="E6" s="46" t="s">
        <v>550</v>
      </c>
    </row>
    <row r="7" customFormat="false" ht="15" hidden="false" customHeight="false" outlineLevel="0" collapsed="false">
      <c r="B7" s="44" t="s">
        <v>551</v>
      </c>
      <c r="C7" s="48" t="n">
        <f aca="false">IFERROR(INDEX('بيانات الورديات'!$D$4:$D$8,MATCH($C$4,'بيانات الورديات'!$B$4:$B$8,0)),0)</f>
        <v>0</v>
      </c>
      <c r="E7" s="46" t="s">
        <v>552</v>
      </c>
    </row>
    <row r="8" customFormat="false" ht="15" hidden="false" customHeight="false" outlineLevel="0" collapsed="false">
      <c r="B8" s="44" t="s">
        <v>553</v>
      </c>
      <c r="C8" s="49" t="n">
        <f aca="false">IFERROR(INDEX('بيانات الورديات'!$E$4:$E$8,MATCH($C$4,'بيانات الورديات'!$B$4:$B$8,0)),0)</f>
        <v>0</v>
      </c>
      <c r="E8" s="46" t="s">
        <v>554</v>
      </c>
    </row>
    <row r="9" customFormat="false" ht="15" hidden="false" customHeight="false" outlineLevel="0" collapsed="false">
      <c r="B9" s="44" t="s">
        <v>555</v>
      </c>
      <c r="C9" s="49" t="n">
        <f aca="false">IFERROR(INDEX('بيانات الورديات'!$F$4:$F$8,MATCH($C$4,'بيانات الورديات'!$B$4:$B$8,0)),0)</f>
        <v>0</v>
      </c>
      <c r="E9" s="46" t="s">
        <v>556</v>
      </c>
    </row>
    <row r="10" customFormat="false" ht="15" hidden="false" customHeight="false" outlineLevel="0" collapsed="false">
      <c r="B10" s="44" t="s">
        <v>557</v>
      </c>
      <c r="C10" s="50" t="n">
        <f aca="false">IFERROR(INDEX('بيانات الورديات'!$G$4:$G$8,MATCH($C$4,'بيانات الورديات'!$B$4:$B$8,0)),0)</f>
        <v>0</v>
      </c>
      <c r="E10" s="46" t="s">
        <v>558</v>
      </c>
    </row>
    <row r="11" customFormat="false" ht="15" hidden="false" customHeight="false" outlineLevel="0" collapsed="false">
      <c r="B11" s="44" t="s">
        <v>559</v>
      </c>
      <c r="C11" s="50" t="n">
        <f aca="false">IFERROR(INDEX('بيانات الورديات'!$H$4:$H$8,MATCH($C$4,'بيانات الورديات'!$B$4:$B$8,0)),0)</f>
        <v>0</v>
      </c>
      <c r="E11" s="46" t="s">
        <v>558</v>
      </c>
    </row>
    <row r="12" customFormat="false" ht="15" hidden="false" customHeight="false" outlineLevel="0" collapsed="false">
      <c r="B12" s="44" t="s">
        <v>560</v>
      </c>
      <c r="C12" s="14" t="n">
        <v>13.36</v>
      </c>
      <c r="E12" s="46" t="s">
        <v>561</v>
      </c>
    </row>
    <row r="13" customFormat="false" ht="15" hidden="false" customHeight="false" outlineLevel="0" collapsed="false">
      <c r="B13" s="44" t="s">
        <v>562</v>
      </c>
      <c r="C13" s="15" t="n">
        <v>0.15</v>
      </c>
      <c r="E13" s="46" t="s">
        <v>563</v>
      </c>
    </row>
    <row r="14" customFormat="false" ht="15" hidden="false" customHeight="false" outlineLevel="0" collapsed="false">
      <c r="B14" s="44" t="s">
        <v>564</v>
      </c>
      <c r="C14" s="22" t="n">
        <v>100</v>
      </c>
      <c r="E14" s="46" t="s">
        <v>565</v>
      </c>
    </row>
    <row r="15" customFormat="false" ht="15" hidden="false" customHeight="false" outlineLevel="0" collapsed="false">
      <c r="B15" s="44" t="s">
        <v>566</v>
      </c>
      <c r="C15" s="28" t="n">
        <v>30</v>
      </c>
      <c r="E15" s="46"/>
    </row>
    <row r="16" customFormat="false" ht="15" hidden="false" customHeight="false" outlineLevel="0" collapsed="false">
      <c r="B16" s="44" t="s">
        <v>567</v>
      </c>
      <c r="C16" s="15" t="n">
        <v>0.05</v>
      </c>
      <c r="E16" s="46" t="s">
        <v>568</v>
      </c>
    </row>
    <row r="17" customFormat="false" ht="15" hidden="false" customHeight="false" outlineLevel="0" collapsed="false">
      <c r="B17" s="44" t="s">
        <v>569</v>
      </c>
      <c r="C17" s="30" t="s">
        <v>570</v>
      </c>
      <c r="E17" s="46" t="s">
        <v>571</v>
      </c>
    </row>
    <row r="19" customFormat="false" ht="21.75" hidden="false" customHeight="true" outlineLevel="0" collapsed="false">
      <c r="A19" s="11" t="s">
        <v>572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30" hidden="false" customHeight="true" outlineLevel="0" collapsed="false">
      <c r="A20" s="4" t="s">
        <v>2</v>
      </c>
      <c r="B20" s="4" t="s">
        <v>573</v>
      </c>
      <c r="C20" s="4" t="s">
        <v>574</v>
      </c>
      <c r="D20" s="4" t="s">
        <v>575</v>
      </c>
      <c r="E20" s="4" t="s">
        <v>576</v>
      </c>
      <c r="F20" s="4" t="s">
        <v>116</v>
      </c>
      <c r="G20" s="4" t="s">
        <v>577</v>
      </c>
      <c r="H20" s="4" t="s">
        <v>403</v>
      </c>
      <c r="I20" s="4" t="s">
        <v>578</v>
      </c>
      <c r="J20" s="4" t="s">
        <v>579</v>
      </c>
      <c r="K20" s="4" t="s">
        <v>580</v>
      </c>
      <c r="L20" s="4" t="s">
        <v>362</v>
      </c>
    </row>
    <row r="21" customFormat="false" ht="18.75" hidden="false" customHeight="true" outlineLevel="0" collapsed="false">
      <c r="A21" s="51" t="n">
        <v>1</v>
      </c>
      <c r="B21" s="30"/>
      <c r="C21" s="30"/>
      <c r="D21" s="52" t="str">
        <f aca="false">IF(OR($C21="",$C$7=0),"",ROUND(IF($C21="صباحية",$C$7*$C$10/MAX($C$8,1),$C$7*$C$11/MAX($C$9,1)),0))</f>
        <v/>
      </c>
      <c r="E21" s="53"/>
      <c r="F21" s="54" t="str">
        <f aca="false">IF($D21="","",ROUND(IF($E21="",$D21,$E21)*(1+$C$16),0))</f>
        <v/>
      </c>
      <c r="G21" s="22"/>
      <c r="H21" s="55" t="str">
        <f aca="false">IF(OR($G21="",$F21=""),"",$G21-$F21)</f>
        <v/>
      </c>
      <c r="I21" s="56" t="str">
        <f aca="false">IFERROR(IF($F21="","",$G21/$F21),"")</f>
        <v/>
      </c>
      <c r="J21" s="30"/>
      <c r="K21" s="25" t="n">
        <f aca="false">IF(OR($H21="",$J21&lt;&gt;"مستوفاة"),0,IF(AND($C$17="نعم",$H$41&lt;=0),0,MIN(MAX($H21,0)*$C$6*$C$12/100*$C$13*$C$15,$C$14)))</f>
        <v>0</v>
      </c>
      <c r="L21" s="30"/>
    </row>
    <row r="22" customFormat="false" ht="18.75" hidden="false" customHeight="true" outlineLevel="0" collapsed="false">
      <c r="A22" s="51" t="n">
        <v>2</v>
      </c>
      <c r="B22" s="30"/>
      <c r="C22" s="30"/>
      <c r="D22" s="52" t="str">
        <f aca="false">IF(OR($C22="",$C$7=0),"",ROUND(IF($C22="صباحية",$C$7*$C$10/MAX($C$8,1),$C$7*$C$11/MAX($C$9,1)),0))</f>
        <v/>
      </c>
      <c r="E22" s="53"/>
      <c r="F22" s="54" t="str">
        <f aca="false">IF($D22="","",ROUND(IF($E22="",$D22,$E22)*(1+$C$16),0))</f>
        <v/>
      </c>
      <c r="G22" s="22"/>
      <c r="H22" s="55" t="str">
        <f aca="false">IF(OR($G22="",$F22=""),"",$G22-$F22)</f>
        <v/>
      </c>
      <c r="I22" s="56" t="str">
        <f aca="false">IFERROR(IF($F22="","",$G22/$F22),"")</f>
        <v/>
      </c>
      <c r="J22" s="30"/>
      <c r="K22" s="25" t="n">
        <f aca="false">IF(OR($H22="",$J22&lt;&gt;"مستوفاة"),0,IF(AND($C$17="نعم",$H$41&lt;=0),0,MIN(MAX($H22,0)*$C$6*$C$12/100*$C$13*$C$15,$C$14)))</f>
        <v>0</v>
      </c>
      <c r="L22" s="30"/>
    </row>
    <row r="23" customFormat="false" ht="18.75" hidden="false" customHeight="true" outlineLevel="0" collapsed="false">
      <c r="A23" s="51" t="n">
        <v>3</v>
      </c>
      <c r="B23" s="30"/>
      <c r="C23" s="30"/>
      <c r="D23" s="52" t="str">
        <f aca="false">IF(OR($C23="",$C$7=0),"",ROUND(IF($C23="صباحية",$C$7*$C$10/MAX($C$8,1),$C$7*$C$11/MAX($C$9,1)),0))</f>
        <v/>
      </c>
      <c r="E23" s="53"/>
      <c r="F23" s="54" t="str">
        <f aca="false">IF($D23="","",ROUND(IF($E23="",$D23,$E23)*(1+$C$16),0))</f>
        <v/>
      </c>
      <c r="G23" s="22"/>
      <c r="H23" s="55" t="str">
        <f aca="false">IF(OR($G23="",$F23=""),"",$G23-$F23)</f>
        <v/>
      </c>
      <c r="I23" s="56" t="str">
        <f aca="false">IFERROR(IF($F23="","",$G23/$F23),"")</f>
        <v/>
      </c>
      <c r="J23" s="30"/>
      <c r="K23" s="25" t="n">
        <f aca="false">IF(OR($H23="",$J23&lt;&gt;"مستوفاة"),0,IF(AND($C$17="نعم",$H$41&lt;=0),0,MIN(MAX($H23,0)*$C$6*$C$12/100*$C$13*$C$15,$C$14)))</f>
        <v>0</v>
      </c>
      <c r="L23" s="30"/>
    </row>
    <row r="24" customFormat="false" ht="18.75" hidden="false" customHeight="true" outlineLevel="0" collapsed="false">
      <c r="A24" s="51" t="n">
        <v>4</v>
      </c>
      <c r="B24" s="30"/>
      <c r="C24" s="30"/>
      <c r="D24" s="52" t="str">
        <f aca="false">IF(OR($C24="",$C$7=0),"",ROUND(IF($C24="صباحية",$C$7*$C$10/MAX($C$8,1),$C$7*$C$11/MAX($C$9,1)),0))</f>
        <v/>
      </c>
      <c r="E24" s="53"/>
      <c r="F24" s="54" t="str">
        <f aca="false">IF($D24="","",ROUND(IF($E24="",$D24,$E24)*(1+$C$16),0))</f>
        <v/>
      </c>
      <c r="G24" s="22"/>
      <c r="H24" s="55" t="str">
        <f aca="false">IF(OR($G24="",$F24=""),"",$G24-$F24)</f>
        <v/>
      </c>
      <c r="I24" s="56" t="str">
        <f aca="false">IFERROR(IF($F24="","",$G24/$F24),"")</f>
        <v/>
      </c>
      <c r="J24" s="30"/>
      <c r="K24" s="25" t="n">
        <f aca="false">IF(OR($H24="",$J24&lt;&gt;"مستوفاة"),0,IF(AND($C$17="نعم",$H$41&lt;=0),0,MIN(MAX($H24,0)*$C$6*$C$12/100*$C$13*$C$15,$C$14)))</f>
        <v>0</v>
      </c>
      <c r="L24" s="30"/>
    </row>
    <row r="25" customFormat="false" ht="18.75" hidden="false" customHeight="true" outlineLevel="0" collapsed="false">
      <c r="A25" s="51" t="n">
        <v>5</v>
      </c>
      <c r="B25" s="30"/>
      <c r="C25" s="30"/>
      <c r="D25" s="52" t="str">
        <f aca="false">IF(OR($C25="",$C$7=0),"",ROUND(IF($C25="صباحية",$C$7*$C$10/MAX($C$8,1),$C$7*$C$11/MAX($C$9,1)),0))</f>
        <v/>
      </c>
      <c r="E25" s="53"/>
      <c r="F25" s="54" t="str">
        <f aca="false">IF($D25="","",ROUND(IF($E25="",$D25,$E25)*(1+$C$16),0))</f>
        <v/>
      </c>
      <c r="G25" s="22"/>
      <c r="H25" s="55" t="str">
        <f aca="false">IF(OR($G25="",$F25=""),"",$G25-$F25)</f>
        <v/>
      </c>
      <c r="I25" s="56" t="str">
        <f aca="false">IFERROR(IF($F25="","",$G25/$F25),"")</f>
        <v/>
      </c>
      <c r="J25" s="30"/>
      <c r="K25" s="25" t="n">
        <f aca="false">IF(OR($H25="",$J25&lt;&gt;"مستوفاة"),0,IF(AND($C$17="نعم",$H$41&lt;=0),0,MIN(MAX($H25,0)*$C$6*$C$12/100*$C$13*$C$15,$C$14)))</f>
        <v>0</v>
      </c>
      <c r="L25" s="30"/>
    </row>
    <row r="26" customFormat="false" ht="18.75" hidden="false" customHeight="true" outlineLevel="0" collapsed="false">
      <c r="A26" s="51" t="n">
        <v>6</v>
      </c>
      <c r="B26" s="30"/>
      <c r="C26" s="30"/>
      <c r="D26" s="52" t="str">
        <f aca="false">IF(OR($C26="",$C$7=0),"",ROUND(IF($C26="صباحية",$C$7*$C$10/MAX($C$8,1),$C$7*$C$11/MAX($C$9,1)),0))</f>
        <v/>
      </c>
      <c r="E26" s="53"/>
      <c r="F26" s="54" t="str">
        <f aca="false">IF($D26="","",ROUND(IF($E26="",$D26,$E26)*(1+$C$16),0))</f>
        <v/>
      </c>
      <c r="G26" s="22"/>
      <c r="H26" s="55" t="str">
        <f aca="false">IF(OR($G26="",$F26=""),"",$G26-$F26)</f>
        <v/>
      </c>
      <c r="I26" s="56" t="str">
        <f aca="false">IFERROR(IF($F26="","",$G26/$F26),"")</f>
        <v/>
      </c>
      <c r="J26" s="30"/>
      <c r="K26" s="25" t="n">
        <f aca="false">IF(OR($H26="",$J26&lt;&gt;"مستوفاة"),0,IF(AND($C$17="نعم",$H$41&lt;=0),0,MIN(MAX($H26,0)*$C$6*$C$12/100*$C$13*$C$15,$C$14)))</f>
        <v>0</v>
      </c>
      <c r="L26" s="30"/>
    </row>
    <row r="27" customFormat="false" ht="18.75" hidden="false" customHeight="true" outlineLevel="0" collapsed="false">
      <c r="A27" s="51" t="n">
        <v>7</v>
      </c>
      <c r="B27" s="30"/>
      <c r="C27" s="30"/>
      <c r="D27" s="52" t="str">
        <f aca="false">IF(OR($C27="",$C$7=0),"",ROUND(IF($C27="صباحية",$C$7*$C$10/MAX($C$8,1),$C$7*$C$11/MAX($C$9,1)),0))</f>
        <v/>
      </c>
      <c r="E27" s="53"/>
      <c r="F27" s="54" t="str">
        <f aca="false">IF($D27="","",ROUND(IF($E27="",$D27,$E27)*(1+$C$16),0))</f>
        <v/>
      </c>
      <c r="G27" s="22"/>
      <c r="H27" s="55" t="str">
        <f aca="false">IF(OR($G27="",$F27=""),"",$G27-$F27)</f>
        <v/>
      </c>
      <c r="I27" s="56" t="str">
        <f aca="false">IFERROR(IF($F27="","",$G27/$F27),"")</f>
        <v/>
      </c>
      <c r="J27" s="30"/>
      <c r="K27" s="25" t="n">
        <f aca="false">IF(OR($H27="",$J27&lt;&gt;"مستوفاة"),0,IF(AND($C$17="نعم",$H$41&lt;=0),0,MIN(MAX($H27,0)*$C$6*$C$12/100*$C$13*$C$15,$C$14)))</f>
        <v>0</v>
      </c>
      <c r="L27" s="30"/>
    </row>
    <row r="28" customFormat="false" ht="18.75" hidden="false" customHeight="true" outlineLevel="0" collapsed="false">
      <c r="A28" s="51" t="n">
        <v>8</v>
      </c>
      <c r="B28" s="30"/>
      <c r="C28" s="30"/>
      <c r="D28" s="52" t="str">
        <f aca="false">IF(OR($C28="",$C$7=0),"",ROUND(IF($C28="صباحية",$C$7*$C$10/MAX($C$8,1),$C$7*$C$11/MAX($C$9,1)),0))</f>
        <v/>
      </c>
      <c r="E28" s="53"/>
      <c r="F28" s="54" t="str">
        <f aca="false">IF($D28="","",ROUND(IF($E28="",$D28,$E28)*(1+$C$16),0))</f>
        <v/>
      </c>
      <c r="G28" s="22"/>
      <c r="H28" s="55" t="str">
        <f aca="false">IF(OR($G28="",$F28=""),"",$G28-$F28)</f>
        <v/>
      </c>
      <c r="I28" s="56" t="str">
        <f aca="false">IFERROR(IF($F28="","",$G28/$F28),"")</f>
        <v/>
      </c>
      <c r="J28" s="30"/>
      <c r="K28" s="25" t="n">
        <f aca="false">IF(OR($H28="",$J28&lt;&gt;"مستوفاة"),0,IF(AND($C$17="نعم",$H$41&lt;=0),0,MIN(MAX($H28,0)*$C$6*$C$12/100*$C$13*$C$15,$C$14)))</f>
        <v>0</v>
      </c>
      <c r="L28" s="30"/>
    </row>
    <row r="29" customFormat="false" ht="18.75" hidden="false" customHeight="true" outlineLevel="0" collapsed="false">
      <c r="A29" s="51" t="n">
        <v>9</v>
      </c>
      <c r="B29" s="30"/>
      <c r="C29" s="30"/>
      <c r="D29" s="52" t="str">
        <f aca="false">IF(OR($C29="",$C$7=0),"",ROUND(IF($C29="صباحية",$C$7*$C$10/MAX($C$8,1),$C$7*$C$11/MAX($C$9,1)),0))</f>
        <v/>
      </c>
      <c r="E29" s="53"/>
      <c r="F29" s="54" t="str">
        <f aca="false">IF($D29="","",ROUND(IF($E29="",$D29,$E29)*(1+$C$16),0))</f>
        <v/>
      </c>
      <c r="G29" s="22"/>
      <c r="H29" s="55" t="str">
        <f aca="false">IF(OR($G29="",$F29=""),"",$G29-$F29)</f>
        <v/>
      </c>
      <c r="I29" s="56" t="str">
        <f aca="false">IFERROR(IF($F29="","",$G29/$F29),"")</f>
        <v/>
      </c>
      <c r="J29" s="30"/>
      <c r="K29" s="25" t="n">
        <f aca="false">IF(OR($H29="",$J29&lt;&gt;"مستوفاة"),0,IF(AND($C$17="نعم",$H$41&lt;=0),0,MIN(MAX($H29,0)*$C$6*$C$12/100*$C$13*$C$15,$C$14)))</f>
        <v>0</v>
      </c>
      <c r="L29" s="30"/>
    </row>
    <row r="30" customFormat="false" ht="18.75" hidden="false" customHeight="true" outlineLevel="0" collapsed="false">
      <c r="A30" s="51" t="n">
        <v>10</v>
      </c>
      <c r="B30" s="30"/>
      <c r="C30" s="30"/>
      <c r="D30" s="52" t="str">
        <f aca="false">IF(OR($C30="",$C$7=0),"",ROUND(IF($C30="صباحية",$C$7*$C$10/MAX($C$8,1),$C$7*$C$11/MAX($C$9,1)),0))</f>
        <v/>
      </c>
      <c r="E30" s="53"/>
      <c r="F30" s="54" t="str">
        <f aca="false">IF($D30="","",ROUND(IF($E30="",$D30,$E30)*(1+$C$16),0))</f>
        <v/>
      </c>
      <c r="G30" s="22"/>
      <c r="H30" s="55" t="str">
        <f aca="false">IF(OR($G30="",$F30=""),"",$G30-$F30)</f>
        <v/>
      </c>
      <c r="I30" s="56" t="str">
        <f aca="false">IFERROR(IF($F30="","",$G30/$F30),"")</f>
        <v/>
      </c>
      <c r="J30" s="30"/>
      <c r="K30" s="25" t="n">
        <f aca="false">IF(OR($H30="",$J30&lt;&gt;"مستوفاة"),0,IF(AND($C$17="نعم",$H$41&lt;=0),0,MIN(MAX($H30,0)*$C$6*$C$12/100*$C$13*$C$15,$C$14)))</f>
        <v>0</v>
      </c>
      <c r="L30" s="30"/>
    </row>
    <row r="31" customFormat="false" ht="18.75" hidden="false" customHeight="true" outlineLevel="0" collapsed="false">
      <c r="A31" s="51" t="n">
        <v>11</v>
      </c>
      <c r="B31" s="30"/>
      <c r="C31" s="30"/>
      <c r="D31" s="52" t="str">
        <f aca="false">IF(OR($C31="",$C$7=0),"",ROUND(IF($C31="صباحية",$C$7*$C$10/MAX($C$8,1),$C$7*$C$11/MAX($C$9,1)),0))</f>
        <v/>
      </c>
      <c r="E31" s="53"/>
      <c r="F31" s="54" t="str">
        <f aca="false">IF($D31="","",ROUND(IF($E31="",$D31,$E31)*(1+$C$16),0))</f>
        <v/>
      </c>
      <c r="G31" s="22"/>
      <c r="H31" s="55" t="str">
        <f aca="false">IF(OR($G31="",$F31=""),"",$G31-$F31)</f>
        <v/>
      </c>
      <c r="I31" s="56" t="str">
        <f aca="false">IFERROR(IF($F31="","",$G31/$F31),"")</f>
        <v/>
      </c>
      <c r="J31" s="30"/>
      <c r="K31" s="25" t="n">
        <f aca="false">IF(OR($H31="",$J31&lt;&gt;"مستوفاة"),0,IF(AND($C$17="نعم",$H$41&lt;=0),0,MIN(MAX($H31,0)*$C$6*$C$12/100*$C$13*$C$15,$C$14)))</f>
        <v>0</v>
      </c>
      <c r="L31" s="30"/>
    </row>
    <row r="32" customFormat="false" ht="18.75" hidden="false" customHeight="true" outlineLevel="0" collapsed="false">
      <c r="A32" s="51" t="n">
        <v>12</v>
      </c>
      <c r="B32" s="30"/>
      <c r="C32" s="30"/>
      <c r="D32" s="52" t="str">
        <f aca="false">IF(OR($C32="",$C$7=0),"",ROUND(IF($C32="صباحية",$C$7*$C$10/MAX($C$8,1),$C$7*$C$11/MAX($C$9,1)),0))</f>
        <v/>
      </c>
      <c r="E32" s="53"/>
      <c r="F32" s="54" t="str">
        <f aca="false">IF($D32="","",ROUND(IF($E32="",$D32,$E32)*(1+$C$16),0))</f>
        <v/>
      </c>
      <c r="G32" s="22"/>
      <c r="H32" s="55" t="str">
        <f aca="false">IF(OR($G32="",$F32=""),"",$G32-$F32)</f>
        <v/>
      </c>
      <c r="I32" s="56" t="str">
        <f aca="false">IFERROR(IF($F32="","",$G32/$F32),"")</f>
        <v/>
      </c>
      <c r="J32" s="30"/>
      <c r="K32" s="25" t="n">
        <f aca="false">IF(OR($H32="",$J32&lt;&gt;"مستوفاة"),0,IF(AND($C$17="نعم",$H$41&lt;=0),0,MIN(MAX($H32,0)*$C$6*$C$12/100*$C$13*$C$15,$C$14)))</f>
        <v>0</v>
      </c>
      <c r="L32" s="30"/>
    </row>
    <row r="33" customFormat="false" ht="18.75" hidden="false" customHeight="true" outlineLevel="0" collapsed="false">
      <c r="A33" s="51" t="n">
        <v>13</v>
      </c>
      <c r="B33" s="30"/>
      <c r="C33" s="30"/>
      <c r="D33" s="52" t="str">
        <f aca="false">IF(OR($C33="",$C$7=0),"",ROUND(IF($C33="صباحية",$C$7*$C$10/MAX($C$8,1),$C$7*$C$11/MAX($C$9,1)),0))</f>
        <v/>
      </c>
      <c r="E33" s="53"/>
      <c r="F33" s="54" t="str">
        <f aca="false">IF($D33="","",ROUND(IF($E33="",$D33,$E33)*(1+$C$16),0))</f>
        <v/>
      </c>
      <c r="G33" s="22"/>
      <c r="H33" s="55" t="str">
        <f aca="false">IF(OR($G33="",$F33=""),"",$G33-$F33)</f>
        <v/>
      </c>
      <c r="I33" s="56" t="str">
        <f aca="false">IFERROR(IF($F33="","",$G33/$F33),"")</f>
        <v/>
      </c>
      <c r="J33" s="30"/>
      <c r="K33" s="25" t="n">
        <f aca="false">IF(OR($H33="",$J33&lt;&gt;"مستوفاة"),0,IF(AND($C$17="نعم",$H$41&lt;=0),0,MIN(MAX($H33,0)*$C$6*$C$12/100*$C$13*$C$15,$C$14)))</f>
        <v>0</v>
      </c>
      <c r="L33" s="30"/>
    </row>
    <row r="34" customFormat="false" ht="18.75" hidden="false" customHeight="true" outlineLevel="0" collapsed="false">
      <c r="A34" s="51" t="n">
        <v>14</v>
      </c>
      <c r="B34" s="30"/>
      <c r="C34" s="30"/>
      <c r="D34" s="52" t="str">
        <f aca="false">IF(OR($C34="",$C$7=0),"",ROUND(IF($C34="صباحية",$C$7*$C$10/MAX($C$8,1),$C$7*$C$11/MAX($C$9,1)),0))</f>
        <v/>
      </c>
      <c r="E34" s="53"/>
      <c r="F34" s="54" t="str">
        <f aca="false">IF($D34="","",ROUND(IF($E34="",$D34,$E34)*(1+$C$16),0))</f>
        <v/>
      </c>
      <c r="G34" s="22"/>
      <c r="H34" s="55" t="str">
        <f aca="false">IF(OR($G34="",$F34=""),"",$G34-$F34)</f>
        <v/>
      </c>
      <c r="I34" s="56" t="str">
        <f aca="false">IFERROR(IF($F34="","",$G34/$F34),"")</f>
        <v/>
      </c>
      <c r="J34" s="30"/>
      <c r="K34" s="25" t="n">
        <f aca="false">IF(OR($H34="",$J34&lt;&gt;"مستوفاة"),0,IF(AND($C$17="نعم",$H$41&lt;=0),0,MIN(MAX($H34,0)*$C$6*$C$12/100*$C$13*$C$15,$C$14)))</f>
        <v>0</v>
      </c>
      <c r="L34" s="30"/>
    </row>
    <row r="35" customFormat="false" ht="18.75" hidden="false" customHeight="true" outlineLevel="0" collapsed="false">
      <c r="A35" s="51" t="n">
        <v>15</v>
      </c>
      <c r="B35" s="30"/>
      <c r="C35" s="30"/>
      <c r="D35" s="52" t="str">
        <f aca="false">IF(OR($C35="",$C$7=0),"",ROUND(IF($C35="صباحية",$C$7*$C$10/MAX($C$8,1),$C$7*$C$11/MAX($C$9,1)),0))</f>
        <v/>
      </c>
      <c r="E35" s="53"/>
      <c r="F35" s="54" t="str">
        <f aca="false">IF($D35="","",ROUND(IF($E35="",$D35,$E35)*(1+$C$16),0))</f>
        <v/>
      </c>
      <c r="G35" s="22"/>
      <c r="H35" s="55" t="str">
        <f aca="false">IF(OR($G35="",$F35=""),"",$G35-$F35)</f>
        <v/>
      </c>
      <c r="I35" s="56" t="str">
        <f aca="false">IFERROR(IF($F35="","",$G35/$F35),"")</f>
        <v/>
      </c>
      <c r="J35" s="30"/>
      <c r="K35" s="25" t="n">
        <f aca="false">IF(OR($H35="",$J35&lt;&gt;"مستوفاة"),0,IF(AND($C$17="نعم",$H$41&lt;=0),0,MIN(MAX($H35,0)*$C$6*$C$12/100*$C$13*$C$15,$C$14)))</f>
        <v>0</v>
      </c>
      <c r="L35" s="30"/>
    </row>
    <row r="36" customFormat="false" ht="18.75" hidden="false" customHeight="true" outlineLevel="0" collapsed="false">
      <c r="A36" s="51" t="n">
        <v>16</v>
      </c>
      <c r="B36" s="30"/>
      <c r="C36" s="30"/>
      <c r="D36" s="52" t="str">
        <f aca="false">IF(OR($C36="",$C$7=0),"",ROUND(IF($C36="صباحية",$C$7*$C$10/MAX($C$8,1),$C$7*$C$11/MAX($C$9,1)),0))</f>
        <v/>
      </c>
      <c r="E36" s="53"/>
      <c r="F36" s="54" t="str">
        <f aca="false">IF($D36="","",ROUND(IF($E36="",$D36,$E36)*(1+$C$16),0))</f>
        <v/>
      </c>
      <c r="G36" s="22"/>
      <c r="H36" s="55" t="str">
        <f aca="false">IF(OR($G36="",$F36=""),"",$G36-$F36)</f>
        <v/>
      </c>
      <c r="I36" s="56" t="str">
        <f aca="false">IFERROR(IF($F36="","",$G36/$F36),"")</f>
        <v/>
      </c>
      <c r="J36" s="30"/>
      <c r="K36" s="25" t="n">
        <f aca="false">IF(OR($H36="",$J36&lt;&gt;"مستوفاة"),0,IF(AND($C$17="نعم",$H$41&lt;=0),0,MIN(MAX($H36,0)*$C$6*$C$12/100*$C$13*$C$15,$C$14)))</f>
        <v>0</v>
      </c>
      <c r="L36" s="30"/>
    </row>
    <row r="37" customFormat="false" ht="18.75" hidden="false" customHeight="true" outlineLevel="0" collapsed="false">
      <c r="A37" s="51" t="n">
        <v>17</v>
      </c>
      <c r="B37" s="30"/>
      <c r="C37" s="30"/>
      <c r="D37" s="52" t="str">
        <f aca="false">IF(OR($C37="",$C$7=0),"",ROUND(IF($C37="صباحية",$C$7*$C$10/MAX($C$8,1),$C$7*$C$11/MAX($C$9,1)),0))</f>
        <v/>
      </c>
      <c r="E37" s="53"/>
      <c r="F37" s="54" t="str">
        <f aca="false">IF($D37="","",ROUND(IF($E37="",$D37,$E37)*(1+$C$16),0))</f>
        <v/>
      </c>
      <c r="G37" s="22"/>
      <c r="H37" s="55" t="str">
        <f aca="false">IF(OR($G37="",$F37=""),"",$G37-$F37)</f>
        <v/>
      </c>
      <c r="I37" s="56" t="str">
        <f aca="false">IFERROR(IF($F37="","",$G37/$F37),"")</f>
        <v/>
      </c>
      <c r="J37" s="30"/>
      <c r="K37" s="25" t="n">
        <f aca="false">IF(OR($H37="",$J37&lt;&gt;"مستوفاة"),0,IF(AND($C$17="نعم",$H$41&lt;=0),0,MIN(MAX($H37,0)*$C$6*$C$12/100*$C$13*$C$15,$C$14)))</f>
        <v>0</v>
      </c>
      <c r="L37" s="30"/>
    </row>
    <row r="38" customFormat="false" ht="18.75" hidden="false" customHeight="true" outlineLevel="0" collapsed="false">
      <c r="A38" s="51" t="n">
        <v>18</v>
      </c>
      <c r="B38" s="30"/>
      <c r="C38" s="30"/>
      <c r="D38" s="52" t="str">
        <f aca="false">IF(OR($C38="",$C$7=0),"",ROUND(IF($C38="صباحية",$C$7*$C$10/MAX($C$8,1),$C$7*$C$11/MAX($C$9,1)),0))</f>
        <v/>
      </c>
      <c r="E38" s="53"/>
      <c r="F38" s="54" t="str">
        <f aca="false">IF($D38="","",ROUND(IF($E38="",$D38,$E38)*(1+$C$16),0))</f>
        <v/>
      </c>
      <c r="G38" s="22"/>
      <c r="H38" s="55" t="str">
        <f aca="false">IF(OR($G38="",$F38=""),"",$G38-$F38)</f>
        <v/>
      </c>
      <c r="I38" s="56" t="str">
        <f aca="false">IFERROR(IF($F38="","",$G38/$F38),"")</f>
        <v/>
      </c>
      <c r="J38" s="30"/>
      <c r="K38" s="25" t="n">
        <f aca="false">IF(OR($H38="",$J38&lt;&gt;"مستوفاة"),0,IF(AND($C$17="نعم",$H$41&lt;=0),0,MIN(MAX($H38,0)*$C$6*$C$12/100*$C$13*$C$15,$C$14)))</f>
        <v>0</v>
      </c>
      <c r="L38" s="30"/>
    </row>
    <row r="39" customFormat="false" ht="18.75" hidden="false" customHeight="true" outlineLevel="0" collapsed="false">
      <c r="A39" s="51" t="n">
        <v>19</v>
      </c>
      <c r="B39" s="30"/>
      <c r="C39" s="30"/>
      <c r="D39" s="52" t="str">
        <f aca="false">IF(OR($C39="",$C$7=0),"",ROUND(IF($C39="صباحية",$C$7*$C$10/MAX($C$8,1),$C$7*$C$11/MAX($C$9,1)),0))</f>
        <v/>
      </c>
      <c r="E39" s="53"/>
      <c r="F39" s="54" t="str">
        <f aca="false">IF($D39="","",ROUND(IF($E39="",$D39,$E39)*(1+$C$16),0))</f>
        <v/>
      </c>
      <c r="G39" s="22"/>
      <c r="H39" s="55" t="str">
        <f aca="false">IF(OR($G39="",$F39=""),"",$G39-$F39)</f>
        <v/>
      </c>
      <c r="I39" s="56" t="str">
        <f aca="false">IFERROR(IF($F39="","",$G39/$F39),"")</f>
        <v/>
      </c>
      <c r="J39" s="30"/>
      <c r="K39" s="25" t="n">
        <f aca="false">IF(OR($H39="",$J39&lt;&gt;"مستوفاة"),0,IF(AND($C$17="نعم",$H$41&lt;=0),0,MIN(MAX($H39,0)*$C$6*$C$12/100*$C$13*$C$15,$C$14)))</f>
        <v>0</v>
      </c>
      <c r="L39" s="30"/>
    </row>
    <row r="40" customFormat="false" ht="18.75" hidden="false" customHeight="true" outlineLevel="0" collapsed="false">
      <c r="A40" s="51" t="n">
        <v>20</v>
      </c>
      <c r="B40" s="30"/>
      <c r="C40" s="30"/>
      <c r="D40" s="52" t="str">
        <f aca="false">IF(OR($C40="",$C$7=0),"",ROUND(IF($C40="صباحية",$C$7*$C$10/MAX($C$8,1),$C$7*$C$11/MAX($C$9,1)),0))</f>
        <v/>
      </c>
      <c r="E40" s="53"/>
      <c r="F40" s="54" t="str">
        <f aca="false">IF($D40="","",ROUND(IF($E40="",$D40,$E40)*(1+$C$16),0))</f>
        <v/>
      </c>
      <c r="G40" s="22"/>
      <c r="H40" s="55" t="str">
        <f aca="false">IF(OR($G40="",$F40=""),"",$G40-$F40)</f>
        <v/>
      </c>
      <c r="I40" s="56" t="str">
        <f aca="false">IFERROR(IF($F40="","",$G40/$F40),"")</f>
        <v/>
      </c>
      <c r="J40" s="30"/>
      <c r="K40" s="25" t="n">
        <f aca="false">IF(OR($H40="",$J40&lt;&gt;"مستوفاة"),0,IF(AND($C$17="نعم",$H$41&lt;=0),0,MIN(MAX($H40,0)*$C$6*$C$12/100*$C$13*$C$15,$C$14)))</f>
        <v>0</v>
      </c>
      <c r="L40" s="30"/>
    </row>
    <row r="41" customFormat="false" ht="15" hidden="false" customHeight="false" outlineLevel="0" collapsed="false">
      <c r="A41" s="20"/>
      <c r="B41" s="20" t="s">
        <v>187</v>
      </c>
      <c r="C41" s="20" t="str">
        <f aca="false">COUNTA($B21:$B40)&amp;" عامل"</f>
        <v>0 عامل</v>
      </c>
      <c r="D41" s="21" t="n">
        <f aca="false">SUM(D21:D40)</f>
        <v>0</v>
      </c>
      <c r="E41" s="20"/>
      <c r="F41" s="21" t="n">
        <f aca="false">SUM(F21:F40)</f>
        <v>0</v>
      </c>
      <c r="G41" s="21" t="n">
        <f aca="false">SUM(G21:G40)</f>
        <v>0</v>
      </c>
      <c r="H41" s="21" t="n">
        <f aca="false">SUM(H21:H40)</f>
        <v>0</v>
      </c>
      <c r="I41" s="57" t="str">
        <f aca="false">IFERROR($G41/$F41,"")</f>
        <v/>
      </c>
      <c r="J41" s="20"/>
      <c r="K41" s="21" t="n">
        <f aca="false">SUM(K21:K40)</f>
        <v>0</v>
      </c>
      <c r="L41" s="20"/>
    </row>
    <row r="43" customFormat="false" ht="21.75" hidden="false" customHeight="true" outlineLevel="0" collapsed="false">
      <c r="A43" s="11" t="s">
        <v>581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customFormat="false" ht="30" hidden="false" customHeight="true" outlineLevel="0" collapsed="false">
      <c r="A44" s="4" t="s">
        <v>2</v>
      </c>
      <c r="B44" s="4" t="s">
        <v>227</v>
      </c>
      <c r="C44" s="4" t="s">
        <v>228</v>
      </c>
      <c r="D44" s="4"/>
      <c r="E44" s="4"/>
      <c r="F44" s="4"/>
      <c r="G44" s="4"/>
      <c r="H44" s="4"/>
      <c r="I44" s="4"/>
      <c r="J44" s="4"/>
      <c r="K44" s="4"/>
      <c r="L44" s="4" t="s">
        <v>229</v>
      </c>
    </row>
    <row r="45" customFormat="false" ht="19.5" hidden="false" customHeight="true" outlineLevel="0" collapsed="false">
      <c r="A45" s="5" t="n">
        <v>1</v>
      </c>
      <c r="B45" s="58" t="s">
        <v>582</v>
      </c>
      <c r="C45" s="17" t="n">
        <f aca="false">$H$41</f>
        <v>0</v>
      </c>
      <c r="D45" s="5"/>
      <c r="E45" s="5"/>
      <c r="F45" s="5"/>
      <c r="G45" s="5"/>
      <c r="H45" s="5"/>
      <c r="I45" s="5"/>
      <c r="J45" s="5"/>
      <c r="K45" s="5"/>
      <c r="L45" s="7" t="s">
        <v>583</v>
      </c>
    </row>
    <row r="46" customFormat="false" ht="19.5" hidden="false" customHeight="true" outlineLevel="0" collapsed="false">
      <c r="A46" s="5" t="n">
        <v>2</v>
      </c>
      <c r="B46" s="58" t="s">
        <v>584</v>
      </c>
      <c r="C46" s="17" t="n">
        <f aca="false">$C$45*$C$6*$C$15</f>
        <v>0</v>
      </c>
      <c r="D46" s="5"/>
      <c r="E46" s="5"/>
      <c r="F46" s="5"/>
      <c r="G46" s="5"/>
      <c r="H46" s="5"/>
      <c r="I46" s="5"/>
      <c r="J46" s="5"/>
      <c r="K46" s="5"/>
      <c r="L46" s="7" t="s">
        <v>585</v>
      </c>
    </row>
    <row r="47" customFormat="false" ht="19.5" hidden="false" customHeight="true" outlineLevel="0" collapsed="false">
      <c r="A47" s="5" t="n">
        <v>3</v>
      </c>
      <c r="B47" s="58" t="s">
        <v>586</v>
      </c>
      <c r="C47" s="17" t="n">
        <f aca="false">$C$46*$C$12/100</f>
        <v>0</v>
      </c>
      <c r="D47" s="5"/>
      <c r="E47" s="5"/>
      <c r="F47" s="5"/>
      <c r="G47" s="5"/>
      <c r="H47" s="5"/>
      <c r="I47" s="5"/>
      <c r="J47" s="5"/>
      <c r="K47" s="5"/>
      <c r="L47" s="7" t="s">
        <v>587</v>
      </c>
    </row>
    <row r="48" customFormat="false" ht="19.5" hidden="false" customHeight="true" outlineLevel="0" collapsed="false">
      <c r="A48" s="5" t="n">
        <v>4</v>
      </c>
      <c r="B48" s="58" t="s">
        <v>588</v>
      </c>
      <c r="C48" s="17" t="n">
        <f aca="false">$K$41</f>
        <v>0</v>
      </c>
      <c r="D48" s="5"/>
      <c r="E48" s="5"/>
      <c r="F48" s="5"/>
      <c r="G48" s="5"/>
      <c r="H48" s="5"/>
      <c r="I48" s="5"/>
      <c r="J48" s="5"/>
      <c r="K48" s="5"/>
      <c r="L48" s="7" t="s">
        <v>589</v>
      </c>
    </row>
    <row r="49" customFormat="false" ht="19.5" hidden="false" customHeight="true" outlineLevel="0" collapsed="false">
      <c r="A49" s="5" t="n">
        <v>5</v>
      </c>
      <c r="B49" s="58" t="s">
        <v>590</v>
      </c>
      <c r="C49" s="18" t="n">
        <f aca="false">$C$47-$C$48</f>
        <v>0</v>
      </c>
      <c r="D49" s="5"/>
      <c r="E49" s="5"/>
      <c r="F49" s="5"/>
      <c r="G49" s="5"/>
      <c r="H49" s="5"/>
      <c r="I49" s="5"/>
      <c r="J49" s="5"/>
      <c r="K49" s="5"/>
      <c r="L49" s="7" t="s">
        <v>591</v>
      </c>
    </row>
    <row r="50" customFormat="false" ht="19.5" hidden="false" customHeight="true" outlineLevel="0" collapsed="false">
      <c r="A50" s="5" t="n">
        <v>6</v>
      </c>
      <c r="B50" s="58" t="s">
        <v>592</v>
      </c>
      <c r="C50" s="24" t="str">
        <f aca="false">IFERROR($C$48/$C$47,"")</f>
        <v/>
      </c>
      <c r="D50" s="5"/>
      <c r="E50" s="5"/>
      <c r="F50" s="5"/>
      <c r="G50" s="5"/>
      <c r="H50" s="5"/>
      <c r="I50" s="5"/>
      <c r="J50" s="5"/>
      <c r="K50" s="5"/>
      <c r="L50" s="7" t="s">
        <v>593</v>
      </c>
    </row>
    <row r="51" customFormat="false" ht="19.5" hidden="false" customHeight="true" outlineLevel="0" collapsed="false">
      <c r="A51" s="5" t="n">
        <v>7</v>
      </c>
      <c r="B51" s="58" t="s">
        <v>594</v>
      </c>
      <c r="C51" s="17" t="n">
        <f aca="false">COUNTIFS($K$21:$K$40,"="&amp;$C$14)</f>
        <v>0</v>
      </c>
      <c r="D51" s="5"/>
      <c r="E51" s="5"/>
      <c r="F51" s="5"/>
      <c r="G51" s="5"/>
      <c r="H51" s="5"/>
      <c r="I51" s="5"/>
      <c r="J51" s="5"/>
      <c r="K51" s="5"/>
      <c r="L51" s="7" t="s">
        <v>595</v>
      </c>
    </row>
    <row r="52" customFormat="false" ht="19.5" hidden="false" customHeight="true" outlineLevel="0" collapsed="false">
      <c r="A52" s="5" t="n">
        <v>8</v>
      </c>
      <c r="B52" s="58" t="s">
        <v>596</v>
      </c>
      <c r="C52" s="17" t="n">
        <f aca="false">COUNTA($E$21:$E$40)</f>
        <v>0</v>
      </c>
      <c r="D52" s="5"/>
      <c r="E52" s="5"/>
      <c r="F52" s="5"/>
      <c r="G52" s="5"/>
      <c r="H52" s="5"/>
      <c r="I52" s="5"/>
      <c r="J52" s="5"/>
      <c r="K52" s="5"/>
      <c r="L52" s="7" t="s">
        <v>597</v>
      </c>
    </row>
    <row r="53" customFormat="false" ht="15" hidden="false" customHeight="false" outlineLevel="0" collapsed="false">
      <c r="B53" s="59" t="s">
        <v>598</v>
      </c>
      <c r="C53" s="59"/>
      <c r="D53" s="59"/>
      <c r="E53" s="59"/>
      <c r="F53" s="59"/>
      <c r="G53" s="59"/>
      <c r="H53" s="59"/>
      <c r="I53" s="59"/>
      <c r="J53" s="59"/>
      <c r="K53" s="59"/>
      <c r="L53" s="59"/>
    </row>
    <row r="54" customFormat="false" ht="21.75" hidden="false" customHeight="true" outlineLevel="0" collapsed="false">
      <c r="A54" s="11" t="s">
        <v>599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</row>
    <row r="55" customFormat="false" ht="30" hidden="false" customHeight="true" outlineLevel="0" collapsed="false">
      <c r="A55" s="4" t="s">
        <v>2</v>
      </c>
      <c r="B55" s="4" t="s">
        <v>600</v>
      </c>
      <c r="C55" s="4" t="s">
        <v>601</v>
      </c>
      <c r="D55" s="4" t="s">
        <v>602</v>
      </c>
      <c r="E55" s="4" t="s">
        <v>603</v>
      </c>
      <c r="F55" s="4" t="s">
        <v>604</v>
      </c>
      <c r="G55" s="4" t="s">
        <v>605</v>
      </c>
      <c r="H55" s="4" t="s">
        <v>606</v>
      </c>
      <c r="I55" s="4"/>
      <c r="J55" s="4"/>
      <c r="K55" s="4"/>
      <c r="L55" s="4" t="s">
        <v>229</v>
      </c>
    </row>
    <row r="56" customFormat="false" ht="19.5" hidden="false" customHeight="true" outlineLevel="0" collapsed="false">
      <c r="A56" s="5" t="n">
        <v>1</v>
      </c>
      <c r="B56" s="58" t="s">
        <v>607</v>
      </c>
      <c r="C56" s="15" t="n">
        <v>0.03</v>
      </c>
      <c r="D56" s="17" t="n">
        <f aca="false">ROUND($D$41*$C56,0)</f>
        <v>0</v>
      </c>
      <c r="E56" s="17" t="n">
        <f aca="false">$D56*$C$6*$C$15</f>
        <v>0</v>
      </c>
      <c r="F56" s="17" t="n">
        <f aca="false">$E56*$C$12/100</f>
        <v>0</v>
      </c>
      <c r="G56" s="17" t="n">
        <f aca="false">MIN($F56*$C$13,COUNTA($B$21:$B$40)*$C$14)</f>
        <v>0</v>
      </c>
      <c r="H56" s="18" t="n">
        <f aca="false">$F56-$G56</f>
        <v>0</v>
      </c>
      <c r="I56" s="5"/>
      <c r="J56" s="5"/>
      <c r="K56" s="5"/>
      <c r="L56" s="7" t="s">
        <v>608</v>
      </c>
    </row>
    <row r="57" customFormat="false" ht="19.5" hidden="false" customHeight="true" outlineLevel="0" collapsed="false">
      <c r="A57" s="5" t="n">
        <v>2</v>
      </c>
      <c r="B57" s="58" t="s">
        <v>609</v>
      </c>
      <c r="C57" s="15" t="n">
        <v>0.05</v>
      </c>
      <c r="D57" s="17" t="n">
        <f aca="false">ROUND($D$41*$C57,0)</f>
        <v>0</v>
      </c>
      <c r="E57" s="17" t="n">
        <f aca="false">$D57*$C$6*$C$15</f>
        <v>0</v>
      </c>
      <c r="F57" s="17" t="n">
        <f aca="false">$E57*$C$12/100</f>
        <v>0</v>
      </c>
      <c r="G57" s="17" t="n">
        <f aca="false">MIN($F57*$C$13,COUNTA($B$21:$B$40)*$C$14)</f>
        <v>0</v>
      </c>
      <c r="H57" s="18" t="n">
        <f aca="false">$F57-$G57</f>
        <v>0</v>
      </c>
      <c r="I57" s="5"/>
      <c r="J57" s="5"/>
      <c r="K57" s="5"/>
      <c r="L57" s="7" t="s">
        <v>610</v>
      </c>
    </row>
    <row r="58" customFormat="false" ht="19.5" hidden="false" customHeight="true" outlineLevel="0" collapsed="false">
      <c r="A58" s="5" t="n">
        <v>3</v>
      </c>
      <c r="B58" s="58" t="s">
        <v>611</v>
      </c>
      <c r="C58" s="15" t="n">
        <v>0.1</v>
      </c>
      <c r="D58" s="17" t="n">
        <f aca="false">ROUND($D$41*$C58,0)</f>
        <v>0</v>
      </c>
      <c r="E58" s="17" t="n">
        <f aca="false">$D58*$C$6*$C$15</f>
        <v>0</v>
      </c>
      <c r="F58" s="17" t="n">
        <f aca="false">$E58*$C$12/100</f>
        <v>0</v>
      </c>
      <c r="G58" s="17" t="n">
        <f aca="false">MIN($F58*$C$13,COUNTA($B$21:$B$40)*$C$14)</f>
        <v>0</v>
      </c>
      <c r="H58" s="18" t="n">
        <f aca="false">$F58-$G58</f>
        <v>0</v>
      </c>
      <c r="I58" s="5"/>
      <c r="J58" s="5"/>
      <c r="K58" s="5"/>
      <c r="L58" s="7" t="s">
        <v>612</v>
      </c>
    </row>
    <row r="59" customFormat="false" ht="15" hidden="false" customHeight="false" outlineLevel="0" collapsed="false">
      <c r="B59" s="46" t="s">
        <v>613</v>
      </c>
    </row>
    <row r="61" customFormat="false" ht="21.75" hidden="false" customHeight="true" outlineLevel="0" collapsed="false">
      <c r="A61" s="11" t="s">
        <v>614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</row>
    <row r="62" customFormat="false" ht="30" hidden="false" customHeight="true" outlineLevel="0" collapsed="false">
      <c r="A62" s="4" t="s">
        <v>2</v>
      </c>
      <c r="B62" s="4" t="s">
        <v>615</v>
      </c>
      <c r="C62" s="4" t="s">
        <v>616</v>
      </c>
      <c r="D62" s="4" t="s">
        <v>617</v>
      </c>
      <c r="E62" s="4"/>
      <c r="F62" s="4"/>
      <c r="G62" s="4"/>
      <c r="H62" s="4"/>
      <c r="I62" s="4"/>
      <c r="J62" s="4"/>
      <c r="K62" s="4"/>
      <c r="L62" s="4" t="s">
        <v>618</v>
      </c>
    </row>
    <row r="63" customFormat="false" ht="21" hidden="false" customHeight="true" outlineLevel="0" collapsed="false">
      <c r="A63" s="5" t="n">
        <v>1</v>
      </c>
      <c r="B63" s="58" t="s">
        <v>619</v>
      </c>
      <c r="C63" s="5" t="s">
        <v>620</v>
      </c>
      <c r="D63" s="5" t="s">
        <v>621</v>
      </c>
      <c r="E63" s="5"/>
      <c r="F63" s="5"/>
      <c r="G63" s="5"/>
      <c r="H63" s="5"/>
      <c r="I63" s="5"/>
      <c r="J63" s="5"/>
      <c r="K63" s="5"/>
      <c r="L63" s="7" t="s">
        <v>622</v>
      </c>
    </row>
    <row r="64" customFormat="false" ht="21" hidden="false" customHeight="true" outlineLevel="0" collapsed="false">
      <c r="A64" s="5" t="n">
        <v>2</v>
      </c>
      <c r="B64" s="58" t="s">
        <v>623</v>
      </c>
      <c r="C64" s="5" t="s">
        <v>624</v>
      </c>
      <c r="D64" s="5" t="s">
        <v>625</v>
      </c>
      <c r="E64" s="5"/>
      <c r="F64" s="5"/>
      <c r="G64" s="5"/>
      <c r="H64" s="5"/>
      <c r="I64" s="5"/>
      <c r="J64" s="5"/>
      <c r="K64" s="5"/>
      <c r="L64" s="7" t="s">
        <v>626</v>
      </c>
    </row>
    <row r="65" customFormat="false" ht="21" hidden="false" customHeight="true" outlineLevel="0" collapsed="false">
      <c r="A65" s="5" t="n">
        <v>3</v>
      </c>
      <c r="B65" s="58" t="s">
        <v>627</v>
      </c>
      <c r="C65" s="5" t="s">
        <v>628</v>
      </c>
      <c r="D65" s="5" t="s">
        <v>629</v>
      </c>
      <c r="E65" s="5"/>
      <c r="F65" s="5"/>
      <c r="G65" s="5"/>
      <c r="H65" s="5"/>
      <c r="I65" s="5"/>
      <c r="J65" s="5"/>
      <c r="K65" s="5"/>
      <c r="L65" s="7" t="s">
        <v>630</v>
      </c>
    </row>
    <row r="66" customFormat="false" ht="21" hidden="false" customHeight="true" outlineLevel="0" collapsed="false">
      <c r="A66" s="5" t="n">
        <v>4</v>
      </c>
      <c r="B66" s="58" t="s">
        <v>631</v>
      </c>
      <c r="C66" s="5" t="s">
        <v>632</v>
      </c>
      <c r="D66" s="5" t="s">
        <v>633</v>
      </c>
      <c r="E66" s="5"/>
      <c r="F66" s="5"/>
      <c r="G66" s="5"/>
      <c r="H66" s="5"/>
      <c r="I66" s="5"/>
      <c r="J66" s="5"/>
      <c r="K66" s="5"/>
      <c r="L66" s="7" t="s">
        <v>634</v>
      </c>
    </row>
    <row r="68" customFormat="false" ht="15" hidden="false" customHeight="false" outlineLevel="0" collapsed="false">
      <c r="B68" s="8" t="s">
        <v>635</v>
      </c>
    </row>
    <row r="69" customFormat="false" ht="15.75" hidden="false" customHeight="true" outlineLevel="0" collapsed="false">
      <c r="C69" s="9" t="s">
        <v>636</v>
      </c>
      <c r="D69" s="9"/>
      <c r="E69" s="9"/>
      <c r="F69" s="9"/>
      <c r="G69" s="9"/>
      <c r="H69" s="9"/>
      <c r="I69" s="9"/>
      <c r="J69" s="9"/>
      <c r="K69" s="9"/>
      <c r="L69" s="9"/>
    </row>
    <row r="70" customFormat="false" ht="15.75" hidden="false" customHeight="true" outlineLevel="0" collapsed="false">
      <c r="C70" s="9" t="s">
        <v>637</v>
      </c>
      <c r="D70" s="9"/>
      <c r="E70" s="9"/>
      <c r="F70" s="9"/>
      <c r="G70" s="9"/>
      <c r="H70" s="9"/>
      <c r="I70" s="9"/>
      <c r="J70" s="9"/>
      <c r="K70" s="9"/>
      <c r="L70" s="9"/>
    </row>
    <row r="71" customFormat="false" ht="15.75" hidden="false" customHeight="true" outlineLevel="0" collapsed="false">
      <c r="C71" s="9" t="s">
        <v>638</v>
      </c>
      <c r="D71" s="9"/>
      <c r="E71" s="9"/>
      <c r="F71" s="9"/>
      <c r="G71" s="9"/>
      <c r="H71" s="9"/>
      <c r="I71" s="9"/>
      <c r="J71" s="9"/>
      <c r="K71" s="9"/>
      <c r="L71" s="9"/>
    </row>
    <row r="72" customFormat="false" ht="15.75" hidden="false" customHeight="true" outlineLevel="0" collapsed="false">
      <c r="C72" s="9" t="s">
        <v>639</v>
      </c>
      <c r="D72" s="9"/>
      <c r="E72" s="9"/>
      <c r="F72" s="9"/>
      <c r="G72" s="9"/>
      <c r="H72" s="9"/>
      <c r="I72" s="9"/>
      <c r="J72" s="9"/>
      <c r="K72" s="9"/>
      <c r="L72" s="9"/>
    </row>
    <row r="74" customFormat="false" ht="15" hidden="false" customHeight="false" outlineLevel="0" collapsed="false">
      <c r="B74" s="8" t="s">
        <v>640</v>
      </c>
    </row>
    <row r="75" customFormat="false" ht="15.75" hidden="false" customHeight="true" outlineLevel="0" collapsed="false">
      <c r="C75" s="9" t="s">
        <v>641</v>
      </c>
      <c r="D75" s="9"/>
      <c r="E75" s="9"/>
      <c r="F75" s="9"/>
      <c r="G75" s="9"/>
      <c r="H75" s="9"/>
      <c r="I75" s="9"/>
      <c r="J75" s="9"/>
      <c r="K75" s="9"/>
      <c r="L75" s="9"/>
    </row>
    <row r="76" customFormat="false" ht="15.75" hidden="false" customHeight="true" outlineLevel="0" collapsed="false">
      <c r="C76" s="9" t="s">
        <v>642</v>
      </c>
      <c r="D76" s="9"/>
      <c r="E76" s="9"/>
      <c r="F76" s="9"/>
      <c r="G76" s="9"/>
      <c r="H76" s="9"/>
      <c r="I76" s="9"/>
      <c r="J76" s="9"/>
      <c r="K76" s="9"/>
      <c r="L76" s="9"/>
    </row>
    <row r="77" customFormat="false" ht="15.75" hidden="false" customHeight="true" outlineLevel="0" collapsed="false">
      <c r="C77" s="9" t="s">
        <v>643</v>
      </c>
      <c r="D77" s="9"/>
      <c r="E77" s="9"/>
      <c r="F77" s="9"/>
      <c r="G77" s="9"/>
      <c r="H77" s="9"/>
      <c r="I77" s="9"/>
      <c r="J77" s="9"/>
      <c r="K77" s="9"/>
      <c r="L77" s="9"/>
    </row>
    <row r="79" customFormat="false" ht="15" hidden="false" customHeight="false" outlineLevel="0" collapsed="false">
      <c r="B79" s="8" t="s">
        <v>644</v>
      </c>
    </row>
    <row r="80" customFormat="false" ht="15.75" hidden="false" customHeight="true" outlineLevel="0" collapsed="false">
      <c r="C80" s="9" t="s">
        <v>645</v>
      </c>
      <c r="D80" s="9"/>
      <c r="E80" s="9"/>
      <c r="F80" s="9"/>
      <c r="G80" s="9"/>
      <c r="H80" s="9"/>
      <c r="I80" s="9"/>
      <c r="J80" s="9"/>
      <c r="K80" s="9"/>
      <c r="L80" s="9"/>
    </row>
    <row r="81" customFormat="false" ht="15.75" hidden="false" customHeight="true" outlineLevel="0" collapsed="false">
      <c r="C81" s="9" t="s">
        <v>646</v>
      </c>
      <c r="D81" s="9"/>
      <c r="E81" s="9"/>
      <c r="F81" s="9"/>
      <c r="G81" s="9"/>
      <c r="H81" s="9"/>
      <c r="I81" s="9"/>
      <c r="J81" s="9"/>
      <c r="K81" s="9"/>
      <c r="L81" s="9"/>
    </row>
    <row r="82" customFormat="false" ht="15.75" hidden="false" customHeight="true" outlineLevel="0" collapsed="false">
      <c r="C82" s="9" t="s">
        <v>647</v>
      </c>
      <c r="D82" s="9"/>
      <c r="E82" s="9"/>
      <c r="F82" s="9"/>
      <c r="G82" s="9"/>
      <c r="H82" s="9"/>
      <c r="I82" s="9"/>
      <c r="J82" s="9"/>
      <c r="K82" s="9"/>
      <c r="L82" s="9"/>
    </row>
    <row r="83" customFormat="false" ht="15.75" hidden="false" customHeight="true" outlineLevel="0" collapsed="false">
      <c r="C83" s="9" t="s">
        <v>648</v>
      </c>
      <c r="D83" s="9"/>
      <c r="E83" s="9"/>
      <c r="F83" s="9"/>
      <c r="G83" s="9"/>
      <c r="H83" s="9"/>
      <c r="I83" s="9"/>
      <c r="J83" s="9"/>
      <c r="K83" s="9"/>
      <c r="L83" s="9"/>
    </row>
    <row r="85" customFormat="false" ht="15" hidden="false" customHeight="false" outlineLevel="0" collapsed="false">
      <c r="B85" s="10" t="s">
        <v>649</v>
      </c>
    </row>
    <row r="86" customFormat="false" ht="15.75" hidden="false" customHeight="true" outlineLevel="0" collapsed="false">
      <c r="C86" s="9" t="s">
        <v>650</v>
      </c>
      <c r="D86" s="9"/>
      <c r="E86" s="9"/>
      <c r="F86" s="9"/>
      <c r="G86" s="9"/>
      <c r="H86" s="9"/>
      <c r="I86" s="9"/>
      <c r="J86" s="9"/>
      <c r="K86" s="9"/>
      <c r="L86" s="9"/>
    </row>
    <row r="87" customFormat="false" ht="15.75" hidden="false" customHeight="true" outlineLevel="0" collapsed="false">
      <c r="C87" s="9" t="s">
        <v>651</v>
      </c>
      <c r="D87" s="9"/>
      <c r="E87" s="9"/>
      <c r="F87" s="9"/>
      <c r="G87" s="9"/>
      <c r="H87" s="9"/>
      <c r="I87" s="9"/>
      <c r="J87" s="9"/>
      <c r="K87" s="9"/>
      <c r="L87" s="9"/>
    </row>
    <row r="88" customFormat="false" ht="15.75" hidden="false" customHeight="true" outlineLevel="0" collapsed="false">
      <c r="C88" s="9" t="s">
        <v>652</v>
      </c>
      <c r="D88" s="9"/>
      <c r="E88" s="9"/>
      <c r="F88" s="9"/>
      <c r="G88" s="9"/>
      <c r="H88" s="9"/>
      <c r="I88" s="9"/>
      <c r="J88" s="9"/>
      <c r="K88" s="9"/>
      <c r="L88" s="9"/>
    </row>
  </sheetData>
  <mergeCells count="22">
    <mergeCell ref="A1:L1"/>
    <mergeCell ref="A2:L2"/>
    <mergeCell ref="A3:L3"/>
    <mergeCell ref="A19:L19"/>
    <mergeCell ref="A43:L43"/>
    <mergeCell ref="B53:L53"/>
    <mergeCell ref="A54:L54"/>
    <mergeCell ref="A61:L61"/>
    <mergeCell ref="C69:L69"/>
    <mergeCell ref="C70:L70"/>
    <mergeCell ref="C71:L71"/>
    <mergeCell ref="C72:L72"/>
    <mergeCell ref="C75:L75"/>
    <mergeCell ref="C76:L76"/>
    <mergeCell ref="C77:L77"/>
    <mergeCell ref="C80:L80"/>
    <mergeCell ref="C81:L81"/>
    <mergeCell ref="C82:L82"/>
    <mergeCell ref="C83:L83"/>
    <mergeCell ref="C86:L86"/>
    <mergeCell ref="C87:L87"/>
    <mergeCell ref="C88:L88"/>
  </mergeCells>
  <conditionalFormatting sqref="H21:H4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I21:I40">
    <cfRule type="dataBar" priority="4">
      <dataBar showValue="1" minLength="10" maxLength="90">
        <cfvo type="num" val="0"/>
        <cfvo type="num" val="1.3"/>
        <color rgb="FF5B9BD5"/>
      </dataBar>
      <extLst>
        <ext xmlns:x14="http://schemas.microsoft.com/office/spreadsheetml/2009/9/main" uri="{B025F937-C7B1-47D3-B67F-A62EFF666E3E}">
          <x14:id>{7C302A72-8870-4B9B-BEEC-74B430B788C2}</x14:id>
        </ext>
      </extLst>
    </cfRule>
  </conditionalFormatting>
  <conditionalFormatting sqref="K21:K40">
    <cfRule type="cellIs" priority="5" operator="greaterThan" aboveAverage="0" equalAverage="0" bottom="0" percent="0" rank="0" text="" dxfId="2">
      <formula>0</formula>
    </cfRule>
    <cfRule type="expression" priority="6" aboveAverage="0" equalAverage="0" bottom="0" percent="0" rank="0" text="" dxfId="3">
      <formula>AND($K21&gt;0,$K21=$C$14)</formula>
    </cfRule>
  </conditionalFormatting>
  <conditionalFormatting sqref="J21:J40">
    <cfRule type="expression" priority="7" aboveAverage="0" equalAverage="0" bottom="0" percent="0" rank="0" text="" dxfId="4">
      <formula>$J21="مستوفاة"</formula>
    </cfRule>
    <cfRule type="expression" priority="8" aboveAverage="0" equalAverage="0" bottom="0" percent="0" rank="0" text="" dxfId="5">
      <formula>$J21="غير مستوفاة"</formula>
    </cfRule>
  </conditionalFormatting>
  <conditionalFormatting sqref="B21:B40">
    <cfRule type="expression" priority="9" aboveAverage="0" equalAverage="0" bottom="0" percent="0" rank="0" text="" dxfId="6">
      <formula>AND($H21&gt;0,$J21="غير مستوفاة")</formula>
    </cfRule>
  </conditionalFormatting>
  <conditionalFormatting sqref="E21:E40">
    <cfRule type="expression" priority="10" aboveAverage="0" equalAverage="0" bottom="0" percent="0" rank="0" text="" dxfId="5">
      <formula>AND($E21&lt;&gt;"",$E21&lt;$D21)</formula>
    </cfRule>
  </conditionalFormatting>
  <conditionalFormatting sqref="C49">
    <cfRule type="cellIs" priority="11" operator="greaterThan" aboveAverage="0" equalAverage="0" bottom="0" percent="0" rank="0" text="" dxfId="2">
      <formula>0</formula>
    </cfRule>
    <cfRule type="cellIs" priority="12" operator="lessThan" aboveAverage="0" equalAverage="0" bottom="0" percent="0" rank="0" text="" dxfId="5">
      <formula>0</formula>
    </cfRule>
  </conditionalFormatting>
  <conditionalFormatting sqref="C52">
    <cfRule type="cellIs" priority="13" operator="greaterThan" aboveAverage="0" equalAverage="0" bottom="0" percent="0" rank="0" text="" dxfId="3">
      <formula>0</formula>
    </cfRule>
  </conditionalFormatting>
  <conditionalFormatting sqref="C50">
    <cfRule type="expression" priority="14" aboveAverage="0" equalAverage="0" bottom="0" percent="0" rank="0" text="" dxfId="5">
      <formula>$C$50&gt;$C$13</formula>
    </cfRule>
  </conditionalFormatting>
  <conditionalFormatting sqref="H56:H58">
    <cfRule type="colorScale" priority="15">
      <colorScale>
        <cfvo type="min" val="0"/>
        <cfvo type="max" val="0"/>
        <color rgb="FFFFFFFF"/>
        <color rgb="FFC6E0B4"/>
      </colorScale>
    </cfRule>
  </conditionalFormatting>
  <conditionalFormatting sqref="G56:G58">
    <cfRule type="expression" priority="16" aboveAverage="0" equalAverage="0" bottom="0" percent="0" rank="0" text="" dxfId="3">
      <formula>$G56&gt;=(COUNTA($B$21:$B$40))*$C$14*0.99</formula>
    </cfRule>
  </conditionalFormatting>
  <dataValidations count="4">
    <dataValidation allowBlank="true" error="اختر محطة من القائمة" errorStyle="stop" errorTitle="قيمة غير معتمدة" operator="between" showDropDown="false" showErrorMessage="false" showInputMessage="false" sqref="C4" type="list">
      <formula1>'بيانات الورديات'!$B$4:$B$8</formula1>
      <formula2>0</formula2>
    </dataValidation>
    <dataValidation allowBlank="false" errorStyle="stop" operator="between" showDropDown="false" showErrorMessage="false" showInputMessage="false" sqref="C17" type="list">
      <formula1>"نعم,لا"</formula1>
      <formula2>0</formula2>
    </dataValidation>
    <dataValidation allowBlank="true" errorStyle="stop" operator="between" showDropDown="false" showErrorMessage="false" showInputMessage="false" sqref="C21:C40" type="list">
      <formula1>'بيانات الورديات'!$Q$4:$Q$5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21:J40" type="list">
      <formula1>'بيانات الورديات'!$R$4:$R$5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302A72-8870-4B9B-BEEC-74B430B788C2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5B9BD5"/>
              <x14:axisColor rgb="FF000000"/>
            </x14:dataBar>
          </x14:cfRule>
          <xm:sqref>I21:I40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2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3" t="s">
        <v>654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4" t="s">
        <v>2</v>
      </c>
      <c r="B3" s="4" t="s">
        <v>111</v>
      </c>
      <c r="C3" s="4" t="s">
        <v>655</v>
      </c>
      <c r="D3" s="4" t="s">
        <v>656</v>
      </c>
      <c r="E3" s="4" t="s">
        <v>657</v>
      </c>
      <c r="F3" s="4" t="s">
        <v>658</v>
      </c>
      <c r="G3" s="4" t="s">
        <v>659</v>
      </c>
      <c r="H3" s="4" t="s">
        <v>660</v>
      </c>
      <c r="I3" s="4" t="s">
        <v>661</v>
      </c>
      <c r="J3" s="4" t="s">
        <v>662</v>
      </c>
      <c r="K3" s="4" t="s">
        <v>403</v>
      </c>
      <c r="L3" s="4" t="s">
        <v>663</v>
      </c>
    </row>
    <row r="4" customFormat="false" ht="21.75" hidden="false" customHeight="true" outlineLevel="0" collapsed="false">
      <c r="A4" s="5" t="n">
        <v>1</v>
      </c>
      <c r="B4" s="58" t="s">
        <v>664</v>
      </c>
      <c r="C4" s="17" t="n">
        <v>2087</v>
      </c>
      <c r="D4" s="17" t="n">
        <v>2174</v>
      </c>
      <c r="E4" s="60" t="n">
        <v>11</v>
      </c>
      <c r="F4" s="60" t="n">
        <v>9</v>
      </c>
      <c r="G4" s="24" t="n">
        <v>0.45</v>
      </c>
      <c r="H4" s="61" t="n">
        <v>0.0601</v>
      </c>
      <c r="I4" s="17" t="n">
        <v>190</v>
      </c>
      <c r="J4" s="17" t="n">
        <v>242</v>
      </c>
      <c r="K4" s="61" t="n">
        <v>0.272617994602073</v>
      </c>
      <c r="L4" s="7" t="s">
        <v>665</v>
      </c>
    </row>
    <row r="5" customFormat="false" ht="21.75" hidden="false" customHeight="true" outlineLevel="0" collapsed="false">
      <c r="A5" s="5" t="n">
        <v>2</v>
      </c>
      <c r="B5" s="58" t="s">
        <v>142</v>
      </c>
      <c r="C5" s="17" t="n">
        <v>567</v>
      </c>
      <c r="D5" s="17" t="n">
        <v>702</v>
      </c>
      <c r="E5" s="60" t="n">
        <v>3</v>
      </c>
      <c r="F5" s="60" t="n">
        <v>3</v>
      </c>
      <c r="G5" s="24" t="n">
        <v>0.5</v>
      </c>
      <c r="H5" s="61" t="n">
        <v>0.0529</v>
      </c>
      <c r="I5" s="17" t="n">
        <v>189</v>
      </c>
      <c r="J5" s="17" t="n">
        <v>234</v>
      </c>
      <c r="K5" s="61" t="n">
        <v>0.236636099306643</v>
      </c>
      <c r="L5" s="7" t="s">
        <v>666</v>
      </c>
    </row>
    <row r="6" customFormat="false" ht="21.75" hidden="false" customHeight="true" outlineLevel="0" collapsed="false">
      <c r="A6" s="5" t="n">
        <v>3</v>
      </c>
      <c r="B6" s="58" t="s">
        <v>151</v>
      </c>
      <c r="C6" s="17" t="n">
        <v>429</v>
      </c>
      <c r="D6" s="17" t="n">
        <v>435</v>
      </c>
      <c r="E6" s="60" t="n">
        <v>2</v>
      </c>
      <c r="F6" s="60" t="n">
        <v>2</v>
      </c>
      <c r="G6" s="24" t="n">
        <v>0.5</v>
      </c>
      <c r="H6" s="61" t="n">
        <v>0.00360000000000005</v>
      </c>
      <c r="I6" s="17" t="n">
        <v>214</v>
      </c>
      <c r="J6" s="17" t="n">
        <v>218</v>
      </c>
      <c r="K6" s="61" t="n">
        <v>0.0145044319097503</v>
      </c>
      <c r="L6" s="7" t="s">
        <v>666</v>
      </c>
    </row>
    <row r="7" customFormat="false" ht="21.75" hidden="false" customHeight="true" outlineLevel="0" collapsed="false">
      <c r="A7" s="5" t="n">
        <v>4</v>
      </c>
      <c r="B7" s="58" t="s">
        <v>667</v>
      </c>
      <c r="C7" s="17" t="n">
        <v>356</v>
      </c>
      <c r="D7" s="17" t="n">
        <v>434</v>
      </c>
      <c r="E7" s="60" t="n">
        <v>2</v>
      </c>
      <c r="F7" s="60" t="n">
        <v>2</v>
      </c>
      <c r="G7" s="24" t="n">
        <v>0.5</v>
      </c>
      <c r="H7" s="61" t="n">
        <v>0.0489000000000001</v>
      </c>
      <c r="I7" s="17" t="n">
        <v>178</v>
      </c>
      <c r="J7" s="17" t="n">
        <v>217</v>
      </c>
      <c r="K7" s="61" t="n">
        <v>0.216803369541122</v>
      </c>
      <c r="L7" s="7" t="s">
        <v>666</v>
      </c>
    </row>
    <row r="8" customFormat="false" ht="21.75" hidden="false" customHeight="true" outlineLevel="0" collapsed="false">
      <c r="A8" s="5" t="n">
        <v>5</v>
      </c>
      <c r="B8" s="58" t="s">
        <v>668</v>
      </c>
      <c r="C8" s="17" t="n">
        <v>194</v>
      </c>
      <c r="D8" s="17" t="n">
        <v>249</v>
      </c>
      <c r="E8" s="60" t="n">
        <v>2</v>
      </c>
      <c r="F8" s="60" t="n">
        <v>2</v>
      </c>
      <c r="G8" s="24" t="n">
        <v>0.5</v>
      </c>
      <c r="H8" s="61" t="n">
        <v>0.0610000000000001</v>
      </c>
      <c r="I8" s="17" t="n">
        <v>97</v>
      </c>
      <c r="J8" s="17" t="n">
        <v>124</v>
      </c>
      <c r="K8" s="61" t="n">
        <v>0.277904328018223</v>
      </c>
      <c r="L8" s="7" t="s">
        <v>666</v>
      </c>
    </row>
    <row r="10" customFormat="false" ht="15" hidden="false" customHeight="false" outlineLevel="0" collapsed="false">
      <c r="B10" s="8" t="s">
        <v>669</v>
      </c>
    </row>
    <row r="11" customFormat="false" ht="15.75" hidden="false" customHeight="true" outlineLevel="0" collapsed="false">
      <c r="C11" s="9" t="s">
        <v>670</v>
      </c>
      <c r="D11" s="9"/>
      <c r="E11" s="9"/>
      <c r="F11" s="9"/>
      <c r="G11" s="9"/>
      <c r="H11" s="9"/>
      <c r="I11" s="9"/>
      <c r="J11" s="9"/>
      <c r="K11" s="9"/>
      <c r="L11" s="9"/>
    </row>
    <row r="12" customFormat="false" ht="15.75" hidden="false" customHeight="true" outlineLevel="0" collapsed="false">
      <c r="C12" s="9" t="s">
        <v>671</v>
      </c>
      <c r="D12" s="9"/>
      <c r="E12" s="9"/>
      <c r="F12" s="9"/>
      <c r="G12" s="9"/>
      <c r="H12" s="9"/>
      <c r="I12" s="9"/>
      <c r="J12" s="9"/>
      <c r="K12" s="9"/>
      <c r="L12" s="9"/>
    </row>
    <row r="13" customFormat="false" ht="15.75" hidden="false" customHeight="true" outlineLevel="0" collapsed="false">
      <c r="C13" s="9" t="s">
        <v>672</v>
      </c>
      <c r="D13" s="9"/>
      <c r="E13" s="9"/>
      <c r="F13" s="9"/>
      <c r="G13" s="9"/>
      <c r="H13" s="9"/>
      <c r="I13" s="9"/>
      <c r="J13" s="9"/>
      <c r="K13" s="9"/>
      <c r="L13" s="9"/>
    </row>
    <row r="15" customFormat="false" ht="15" hidden="false" customHeight="false" outlineLevel="0" collapsed="false">
      <c r="B15" s="8" t="s">
        <v>673</v>
      </c>
    </row>
    <row r="16" customFormat="false" ht="15.75" hidden="false" customHeight="true" outlineLevel="0" collapsed="false">
      <c r="C16" s="9" t="s">
        <v>674</v>
      </c>
      <c r="D16" s="9"/>
      <c r="E16" s="9"/>
      <c r="F16" s="9"/>
      <c r="G16" s="9"/>
      <c r="H16" s="9"/>
      <c r="I16" s="9"/>
      <c r="J16" s="9"/>
      <c r="K16" s="9"/>
      <c r="L16" s="9"/>
    </row>
    <row r="17" customFormat="false" ht="15.75" hidden="false" customHeight="true" outlineLevel="0" collapsed="false">
      <c r="C17" s="9" t="s">
        <v>675</v>
      </c>
      <c r="D17" s="9"/>
      <c r="E17" s="9"/>
      <c r="F17" s="9"/>
      <c r="G17" s="9"/>
      <c r="H17" s="9"/>
      <c r="I17" s="9"/>
      <c r="J17" s="9"/>
      <c r="K17" s="9"/>
      <c r="L17" s="9"/>
    </row>
    <row r="18" customFormat="false" ht="15.75" hidden="false" customHeight="true" outlineLevel="0" collapsed="false">
      <c r="C18" s="9" t="s">
        <v>676</v>
      </c>
      <c r="D18" s="9"/>
      <c r="E18" s="9"/>
      <c r="F18" s="9"/>
      <c r="G18" s="9"/>
      <c r="H18" s="9"/>
      <c r="I18" s="9"/>
      <c r="J18" s="9"/>
      <c r="K18" s="9"/>
      <c r="L18" s="9"/>
    </row>
    <row r="20" customFormat="false" ht="15" hidden="false" customHeight="false" outlineLevel="0" collapsed="false">
      <c r="B20" s="10" t="s">
        <v>677</v>
      </c>
    </row>
    <row r="21" customFormat="false" ht="15.75" hidden="false" customHeight="true" outlineLevel="0" collapsed="false">
      <c r="C21" s="9" t="s">
        <v>678</v>
      </c>
      <c r="D21" s="9"/>
      <c r="E21" s="9"/>
      <c r="F21" s="9"/>
      <c r="G21" s="9"/>
      <c r="H21" s="9"/>
      <c r="I21" s="9"/>
      <c r="J21" s="9"/>
      <c r="K21" s="9"/>
      <c r="L21" s="9"/>
    </row>
    <row r="22" customFormat="false" ht="15.75" hidden="false" customHeight="true" outlineLevel="0" collapsed="false">
      <c r="C22" s="9" t="s">
        <v>679</v>
      </c>
      <c r="D22" s="9"/>
      <c r="E22" s="9"/>
      <c r="F22" s="9"/>
      <c r="G22" s="9"/>
      <c r="H22" s="9"/>
      <c r="I22" s="9"/>
      <c r="J22" s="9"/>
      <c r="K22" s="9"/>
      <c r="L22" s="9"/>
    </row>
    <row r="23" customFormat="false" ht="15.75" hidden="false" customHeight="true" outlineLevel="0" collapsed="false">
      <c r="C23" s="9" t="s">
        <v>680</v>
      </c>
      <c r="D23" s="9"/>
      <c r="E23" s="9"/>
      <c r="F23" s="9"/>
      <c r="G23" s="9"/>
      <c r="H23" s="9"/>
      <c r="I23" s="9"/>
      <c r="J23" s="9"/>
      <c r="K23" s="9"/>
      <c r="L23" s="9"/>
    </row>
  </sheetData>
  <mergeCells count="11">
    <mergeCell ref="A1:L1"/>
    <mergeCell ref="A2:L2"/>
    <mergeCell ref="C11:L11"/>
    <mergeCell ref="C12:L12"/>
    <mergeCell ref="C13:L13"/>
    <mergeCell ref="C16:L16"/>
    <mergeCell ref="C17:L17"/>
    <mergeCell ref="C18:L18"/>
    <mergeCell ref="C21:L21"/>
    <mergeCell ref="C22:L22"/>
    <mergeCell ref="C23:L23"/>
  </mergeCells>
  <conditionalFormatting sqref="H4:H8">
    <cfRule type="cellIs" priority="2" operator="greaterThan" aboveAverage="0" equalAverage="0" bottom="0" percent="0" rank="0" text="" dxfId="5">
      <formula>0.02</formula>
    </cfRule>
  </conditionalFormatting>
  <conditionalFormatting sqref="K4:K8">
    <cfRule type="colorScale" priority="3">
      <colorScale>
        <cfvo type="min" val="0"/>
        <cfvo type="max" val="0"/>
        <color rgb="FFFFFFFF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681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682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1" t="s">
        <v>683</v>
      </c>
      <c r="B3" s="11"/>
      <c r="C3" s="11"/>
      <c r="D3" s="11"/>
      <c r="E3" s="11"/>
      <c r="F3" s="11"/>
      <c r="G3" s="11"/>
    </row>
    <row r="4" customFormat="false" ht="30" hidden="false" customHeight="true" outlineLevel="0" collapsed="false">
      <c r="A4" s="4" t="s">
        <v>2</v>
      </c>
      <c r="B4" s="4" t="s">
        <v>447</v>
      </c>
      <c r="C4" s="4" t="s">
        <v>228</v>
      </c>
      <c r="D4" s="4" t="s">
        <v>684</v>
      </c>
      <c r="E4" s="4"/>
      <c r="F4" s="4"/>
      <c r="G4" s="4" t="s">
        <v>362</v>
      </c>
    </row>
    <row r="5" customFormat="false" ht="19.5" hidden="false" customHeight="true" outlineLevel="0" collapsed="false">
      <c r="A5" s="5" t="n">
        <v>1</v>
      </c>
      <c r="B5" s="16" t="s">
        <v>462</v>
      </c>
      <c r="C5" s="17" t="n">
        <v>378</v>
      </c>
      <c r="D5" s="5" t="s">
        <v>685</v>
      </c>
      <c r="E5" s="5"/>
      <c r="F5" s="5"/>
      <c r="G5" s="7" t="s">
        <v>686</v>
      </c>
    </row>
    <row r="6" customFormat="false" ht="19.5" hidden="false" customHeight="true" outlineLevel="0" collapsed="false">
      <c r="A6" s="5" t="n">
        <v>2</v>
      </c>
      <c r="B6" s="16" t="s">
        <v>464</v>
      </c>
      <c r="C6" s="62" t="n">
        <v>23.15</v>
      </c>
      <c r="D6" s="5" t="s">
        <v>687</v>
      </c>
      <c r="E6" s="5"/>
      <c r="F6" s="5"/>
      <c r="G6" s="7" t="s">
        <v>688</v>
      </c>
    </row>
    <row r="7" customFormat="false" ht="19.5" hidden="false" customHeight="true" outlineLevel="0" collapsed="false">
      <c r="A7" s="5" t="n">
        <v>3</v>
      </c>
      <c r="B7" s="16" t="s">
        <v>689</v>
      </c>
      <c r="C7" s="62" t="n">
        <v>3.09</v>
      </c>
      <c r="D7" s="5" t="s">
        <v>374</v>
      </c>
      <c r="E7" s="5"/>
      <c r="F7" s="5"/>
      <c r="G7" s="7" t="s">
        <v>690</v>
      </c>
    </row>
    <row r="8" customFormat="false" ht="19.5" hidden="false" customHeight="true" outlineLevel="0" collapsed="false">
      <c r="A8" s="5" t="n">
        <v>4</v>
      </c>
      <c r="B8" s="16" t="s">
        <v>469</v>
      </c>
      <c r="C8" s="17" t="n">
        <v>5</v>
      </c>
      <c r="D8" s="5" t="s">
        <v>691</v>
      </c>
      <c r="E8" s="5"/>
      <c r="F8" s="5"/>
      <c r="G8" s="7" t="s">
        <v>692</v>
      </c>
    </row>
    <row r="9" customFormat="false" ht="19.5" hidden="false" customHeight="true" outlineLevel="0" collapsed="false">
      <c r="A9" s="5" t="n">
        <v>5</v>
      </c>
      <c r="B9" s="16" t="s">
        <v>466</v>
      </c>
      <c r="C9" s="17" t="n">
        <v>6</v>
      </c>
      <c r="D9" s="5"/>
      <c r="E9" s="5"/>
      <c r="F9" s="5"/>
      <c r="G9" s="7" t="s">
        <v>693</v>
      </c>
    </row>
    <row r="10" customFormat="false" ht="19.5" hidden="false" customHeight="true" outlineLevel="0" collapsed="false">
      <c r="A10" s="5" t="n">
        <v>6</v>
      </c>
      <c r="B10" s="16" t="s">
        <v>694</v>
      </c>
      <c r="C10" s="17" t="n">
        <v>21</v>
      </c>
      <c r="D10" s="5"/>
      <c r="E10" s="5"/>
      <c r="F10" s="5"/>
      <c r="G10" s="7" t="s">
        <v>695</v>
      </c>
    </row>
    <row r="12" customFormat="false" ht="21.75" hidden="false" customHeight="true" outlineLevel="0" collapsed="false">
      <c r="A12" s="11" t="s">
        <v>696</v>
      </c>
      <c r="B12" s="11"/>
      <c r="C12" s="11"/>
      <c r="D12" s="11"/>
      <c r="E12" s="11"/>
      <c r="F12" s="11"/>
      <c r="G12" s="11"/>
    </row>
    <row r="13" customFormat="false" ht="15" hidden="false" customHeight="true" outlineLevel="0" collapsed="false">
      <c r="B13" s="12" t="s">
        <v>697</v>
      </c>
      <c r="C13" s="14"/>
    </row>
    <row r="14" customFormat="false" ht="15" hidden="false" customHeight="true" outlineLevel="0" collapsed="false">
      <c r="B14" s="12" t="s">
        <v>698</v>
      </c>
      <c r="C14" s="63"/>
    </row>
    <row r="15" customFormat="false" ht="15" hidden="false" customHeight="true" outlineLevel="0" collapsed="false">
      <c r="B15" s="12" t="s">
        <v>699</v>
      </c>
      <c r="C15" s="22"/>
    </row>
    <row r="16" customFormat="false" ht="15" hidden="false" customHeight="true" outlineLevel="0" collapsed="false">
      <c r="B16" s="12" t="s">
        <v>700</v>
      </c>
      <c r="C16" s="28" t="n">
        <v>8</v>
      </c>
    </row>
    <row r="18" customFormat="false" ht="30" hidden="false" customHeight="true" outlineLevel="0" collapsed="false">
      <c r="A18" s="4" t="s">
        <v>2</v>
      </c>
      <c r="B18" s="4" t="s">
        <v>227</v>
      </c>
      <c r="C18" s="4" t="s">
        <v>228</v>
      </c>
      <c r="D18" s="4"/>
      <c r="E18" s="4"/>
      <c r="F18" s="4"/>
      <c r="G18" s="4" t="s">
        <v>229</v>
      </c>
    </row>
    <row r="19" customFormat="false" ht="19.5" hidden="false" customHeight="true" outlineLevel="0" collapsed="false">
      <c r="A19" s="5" t="n">
        <v>1</v>
      </c>
      <c r="B19" s="16" t="s">
        <v>701</v>
      </c>
      <c r="C19" s="17" t="n">
        <f aca="false">378*C14*C13</f>
        <v>0</v>
      </c>
      <c r="D19" s="5"/>
      <c r="E19" s="5"/>
      <c r="F19" s="5"/>
      <c r="G19" s="7" t="s">
        <v>702</v>
      </c>
    </row>
    <row r="20" customFormat="false" ht="19.5" hidden="false" customHeight="true" outlineLevel="0" collapsed="false">
      <c r="A20" s="5" t="n">
        <v>2</v>
      </c>
      <c r="B20" s="16" t="s">
        <v>703</v>
      </c>
      <c r="C20" s="17" t="n">
        <f aca="false">IFERROR(C19/3.09,"")</f>
        <v>0</v>
      </c>
      <c r="D20" s="5"/>
      <c r="E20" s="5"/>
      <c r="F20" s="5"/>
      <c r="G20" s="7" t="s">
        <v>704</v>
      </c>
    </row>
    <row r="21" customFormat="false" ht="19.5" hidden="false" customHeight="true" outlineLevel="0" collapsed="false">
      <c r="A21" s="5" t="n">
        <v>3</v>
      </c>
      <c r="B21" s="16" t="s">
        <v>240</v>
      </c>
      <c r="C21" s="26" t="n">
        <f aca="false">IFERROR(C20/378,"")</f>
        <v>0</v>
      </c>
      <c r="D21" s="5"/>
      <c r="E21" s="5"/>
      <c r="F21" s="5"/>
      <c r="G21" s="7" t="s">
        <v>705</v>
      </c>
    </row>
    <row r="22" customFormat="false" ht="19.5" hidden="false" customHeight="true" outlineLevel="0" collapsed="false">
      <c r="A22" s="5" t="n">
        <v>4</v>
      </c>
      <c r="B22" s="16" t="s">
        <v>706</v>
      </c>
      <c r="C22" s="17" t="n">
        <f aca="false">830-378</f>
        <v>452</v>
      </c>
      <c r="D22" s="5"/>
      <c r="E22" s="5"/>
      <c r="F22" s="5"/>
      <c r="G22" s="7" t="s">
        <v>707</v>
      </c>
    </row>
    <row r="23" customFormat="false" ht="19.5" hidden="false" customHeight="true" outlineLevel="0" collapsed="false">
      <c r="A23" s="5" t="n">
        <v>5</v>
      </c>
      <c r="B23" s="16" t="s">
        <v>708</v>
      </c>
      <c r="C23" s="26" t="n">
        <f aca="false">IFERROR(C22/378,"")</f>
        <v>1.1957671957672</v>
      </c>
      <c r="D23" s="5"/>
      <c r="E23" s="5"/>
      <c r="F23" s="5"/>
      <c r="G23" s="7" t="s">
        <v>709</v>
      </c>
    </row>
    <row r="25" customFormat="false" ht="21.75" hidden="false" customHeight="true" outlineLevel="0" collapsed="false">
      <c r="A25" s="11" t="s">
        <v>710</v>
      </c>
      <c r="B25" s="11"/>
      <c r="C25" s="11"/>
      <c r="D25" s="11"/>
      <c r="E25" s="11"/>
      <c r="F25" s="11"/>
      <c r="G25" s="11"/>
    </row>
    <row r="26" customFormat="false" ht="30" hidden="false" customHeight="true" outlineLevel="0" collapsed="false">
      <c r="A26" s="4" t="s">
        <v>2</v>
      </c>
      <c r="B26" s="4" t="s">
        <v>447</v>
      </c>
      <c r="C26" s="4" t="s">
        <v>361</v>
      </c>
      <c r="D26" s="4" t="s">
        <v>711</v>
      </c>
      <c r="E26" s="4" t="s">
        <v>306</v>
      </c>
      <c r="F26" s="4"/>
      <c r="G26" s="4" t="s">
        <v>712</v>
      </c>
    </row>
    <row r="27" customFormat="false" ht="19.5" hidden="false" customHeight="true" outlineLevel="0" collapsed="false">
      <c r="A27" s="5" t="n">
        <v>1</v>
      </c>
      <c r="B27" s="16" t="s">
        <v>713</v>
      </c>
      <c r="C27" s="5" t="s">
        <v>714</v>
      </c>
      <c r="D27" s="5" t="s">
        <v>715</v>
      </c>
      <c r="E27" s="5" t="s">
        <v>716</v>
      </c>
      <c r="F27" s="5"/>
      <c r="G27" s="7" t="s">
        <v>717</v>
      </c>
    </row>
    <row r="28" customFormat="false" ht="19.5" hidden="false" customHeight="true" outlineLevel="0" collapsed="false">
      <c r="A28" s="5" t="n">
        <v>2</v>
      </c>
      <c r="B28" s="16" t="s">
        <v>718</v>
      </c>
      <c r="C28" s="5" t="s">
        <v>714</v>
      </c>
      <c r="D28" s="5" t="s">
        <v>715</v>
      </c>
      <c r="E28" s="5" t="s">
        <v>716</v>
      </c>
      <c r="F28" s="5"/>
      <c r="G28" s="7" t="s">
        <v>719</v>
      </c>
    </row>
    <row r="29" customFormat="false" ht="19.5" hidden="false" customHeight="true" outlineLevel="0" collapsed="false">
      <c r="A29" s="5" t="n">
        <v>3</v>
      </c>
      <c r="B29" s="16" t="s">
        <v>464</v>
      </c>
      <c r="C29" s="5" t="s">
        <v>720</v>
      </c>
      <c r="D29" s="5" t="s">
        <v>715</v>
      </c>
      <c r="E29" s="5" t="s">
        <v>721</v>
      </c>
      <c r="F29" s="5"/>
      <c r="G29" s="7" t="s">
        <v>722</v>
      </c>
    </row>
    <row r="30" customFormat="false" ht="19.5" hidden="false" customHeight="true" outlineLevel="0" collapsed="false">
      <c r="A30" s="5" t="n">
        <v>4</v>
      </c>
      <c r="B30" s="16" t="s">
        <v>723</v>
      </c>
      <c r="C30" s="5" t="s">
        <v>724</v>
      </c>
      <c r="D30" s="5" t="s">
        <v>715</v>
      </c>
      <c r="E30" s="5" t="s">
        <v>725</v>
      </c>
      <c r="F30" s="5"/>
      <c r="G30" s="7" t="s">
        <v>726</v>
      </c>
    </row>
    <row r="31" customFormat="false" ht="19.5" hidden="false" customHeight="true" outlineLevel="0" collapsed="false">
      <c r="A31" s="5" t="n">
        <v>5</v>
      </c>
      <c r="B31" s="16" t="s">
        <v>727</v>
      </c>
      <c r="C31" s="5" t="s">
        <v>728</v>
      </c>
      <c r="D31" s="5" t="s">
        <v>729</v>
      </c>
      <c r="E31" s="5" t="s">
        <v>725</v>
      </c>
      <c r="F31" s="5"/>
      <c r="G31" s="7" t="s">
        <v>730</v>
      </c>
    </row>
    <row r="32" customFormat="false" ht="19.5" hidden="false" customHeight="true" outlineLevel="0" collapsed="false">
      <c r="A32" s="5" t="n">
        <v>6</v>
      </c>
      <c r="B32" s="16" t="s">
        <v>86</v>
      </c>
      <c r="C32" s="5" t="s">
        <v>731</v>
      </c>
      <c r="D32" s="5" t="s">
        <v>729</v>
      </c>
      <c r="E32" s="5" t="s">
        <v>731</v>
      </c>
      <c r="F32" s="5"/>
      <c r="G32" s="7" t="s">
        <v>732</v>
      </c>
    </row>
    <row r="33" customFormat="false" ht="19.5" hidden="false" customHeight="true" outlineLevel="0" collapsed="false">
      <c r="A33" s="5" t="n">
        <v>7</v>
      </c>
      <c r="B33" s="64" t="s">
        <v>733</v>
      </c>
      <c r="C33" s="5" t="s">
        <v>714</v>
      </c>
      <c r="D33" s="5" t="s">
        <v>729</v>
      </c>
      <c r="E33" s="5" t="s">
        <v>734</v>
      </c>
      <c r="F33" s="5"/>
      <c r="G33" s="7" t="s">
        <v>735</v>
      </c>
    </row>
    <row r="35" customFormat="false" ht="21.75" hidden="false" customHeight="true" outlineLevel="0" collapsed="false">
      <c r="A35" s="11" t="s">
        <v>736</v>
      </c>
      <c r="B35" s="11"/>
      <c r="C35" s="11"/>
      <c r="D35" s="11"/>
      <c r="E35" s="11"/>
      <c r="F35" s="11"/>
      <c r="G35" s="11"/>
    </row>
    <row r="36" customFormat="false" ht="30" hidden="false" customHeight="true" outlineLevel="0" collapsed="false">
      <c r="A36" s="4" t="s">
        <v>737</v>
      </c>
      <c r="B36" s="4" t="s">
        <v>114</v>
      </c>
      <c r="C36" s="4" t="s">
        <v>245</v>
      </c>
      <c r="D36" s="4" t="s">
        <v>738</v>
      </c>
      <c r="E36" s="4" t="s">
        <v>739</v>
      </c>
      <c r="F36" s="4" t="s">
        <v>740</v>
      </c>
      <c r="G36" s="4" t="s">
        <v>741</v>
      </c>
    </row>
    <row r="37" customFormat="false" ht="18.75" hidden="false" customHeight="true" outlineLevel="0" collapsed="false">
      <c r="A37" s="58" t="s">
        <v>742</v>
      </c>
      <c r="B37" s="65"/>
      <c r="C37" s="65"/>
      <c r="D37" s="65"/>
      <c r="E37" s="65"/>
      <c r="F37" s="18" t="str">
        <f aca="false">IF(B37="","",B37-378)</f>
        <v/>
      </c>
      <c r="G37" s="5" t="str">
        <f aca="false">IF(B37="","",IF(F37*3.09&gt;E37/7,"مربح","دون التعادل"))</f>
        <v/>
      </c>
    </row>
    <row r="38" customFormat="false" ht="18.75" hidden="false" customHeight="true" outlineLevel="0" collapsed="false">
      <c r="A38" s="58" t="s">
        <v>743</v>
      </c>
      <c r="B38" s="65"/>
      <c r="C38" s="65"/>
      <c r="D38" s="65"/>
      <c r="E38" s="65"/>
      <c r="F38" s="18" t="str">
        <f aca="false">IF(B38="","",B38-378)</f>
        <v/>
      </c>
      <c r="G38" s="5" t="str">
        <f aca="false">IF(B38="","",IF(F38*3.09&gt;E38/7,"مربح","دون التعادل"))</f>
        <v/>
      </c>
    </row>
    <row r="39" customFormat="false" ht="18.75" hidden="false" customHeight="true" outlineLevel="0" collapsed="false">
      <c r="A39" s="58" t="s">
        <v>744</v>
      </c>
      <c r="B39" s="65"/>
      <c r="C39" s="65"/>
      <c r="D39" s="65"/>
      <c r="E39" s="65"/>
      <c r="F39" s="18" t="str">
        <f aca="false">IF(B39="","",B39-378)</f>
        <v/>
      </c>
      <c r="G39" s="5" t="str">
        <f aca="false">IF(B39="","",IF(F39*3.09&gt;E39/7,"مربح","دون التعادل"))</f>
        <v/>
      </c>
    </row>
    <row r="40" customFormat="false" ht="18.75" hidden="false" customHeight="true" outlineLevel="0" collapsed="false">
      <c r="A40" s="58" t="s">
        <v>745</v>
      </c>
      <c r="B40" s="65"/>
      <c r="C40" s="65"/>
      <c r="D40" s="65"/>
      <c r="E40" s="65"/>
      <c r="F40" s="18" t="str">
        <f aca="false">IF(B40="","",B40-378)</f>
        <v/>
      </c>
      <c r="G40" s="5" t="str">
        <f aca="false">IF(B40="","",IF(F40*3.09&gt;E40/7,"مربح","دون التعادل"))</f>
        <v/>
      </c>
    </row>
    <row r="41" customFormat="false" ht="18.75" hidden="false" customHeight="true" outlineLevel="0" collapsed="false">
      <c r="A41" s="58" t="s">
        <v>746</v>
      </c>
      <c r="B41" s="65"/>
      <c r="C41" s="65"/>
      <c r="D41" s="65"/>
      <c r="E41" s="65"/>
      <c r="F41" s="18" t="str">
        <f aca="false">IF(B41="","",B41-378)</f>
        <v/>
      </c>
      <c r="G41" s="5" t="str">
        <f aca="false">IF(B41="","",IF(F41*3.09&gt;E41/7,"مربح","دون التعادل"))</f>
        <v/>
      </c>
    </row>
    <row r="42" customFormat="false" ht="18.75" hidden="false" customHeight="true" outlineLevel="0" collapsed="false">
      <c r="A42" s="58" t="s">
        <v>747</v>
      </c>
      <c r="B42" s="65"/>
      <c r="C42" s="65"/>
      <c r="D42" s="65"/>
      <c r="E42" s="65"/>
      <c r="F42" s="18" t="str">
        <f aca="false">IF(B42="","",B42-378)</f>
        <v/>
      </c>
      <c r="G42" s="5" t="str">
        <f aca="false">IF(B42="","",IF(F42*3.09&gt;E42/7,"مربح","دون التعادل"))</f>
        <v/>
      </c>
    </row>
    <row r="43" customFormat="false" ht="18.75" hidden="false" customHeight="true" outlineLevel="0" collapsed="false">
      <c r="A43" s="58" t="s">
        <v>748</v>
      </c>
      <c r="B43" s="65"/>
      <c r="C43" s="65"/>
      <c r="D43" s="65"/>
      <c r="E43" s="65"/>
      <c r="F43" s="18" t="str">
        <f aca="false">IF(B43="","",B43-378)</f>
        <v/>
      </c>
      <c r="G43" s="5" t="str">
        <f aca="false">IF(B43="","",IF(F43*3.09&gt;E43/7,"مربح","دون التعادل"))</f>
        <v/>
      </c>
    </row>
    <row r="44" customFormat="false" ht="18.75" hidden="false" customHeight="true" outlineLevel="0" collapsed="false">
      <c r="A44" s="58" t="s">
        <v>749</v>
      </c>
      <c r="B44" s="65"/>
      <c r="C44" s="65"/>
      <c r="D44" s="65"/>
      <c r="E44" s="65"/>
      <c r="F44" s="18" t="str">
        <f aca="false">IF(B44="","",B44-378)</f>
        <v/>
      </c>
      <c r="G44" s="5" t="str">
        <f aca="false">IF(B44="","",IF(F44*3.09&gt;E44/7,"مربح","دون التعادل"))</f>
        <v/>
      </c>
    </row>
    <row r="47" customFormat="false" ht="15" hidden="false" customHeight="true" outlineLevel="0" collapsed="false">
      <c r="B47" s="8" t="s">
        <v>750</v>
      </c>
    </row>
    <row r="48" customFormat="false" ht="15.75" hidden="false" customHeight="true" outlineLevel="0" collapsed="false">
      <c r="C48" s="9" t="s">
        <v>751</v>
      </c>
      <c r="D48" s="9"/>
      <c r="E48" s="9"/>
      <c r="F48" s="9"/>
      <c r="G48" s="9"/>
    </row>
    <row r="49" customFormat="false" ht="15.75" hidden="false" customHeight="true" outlineLevel="0" collapsed="false">
      <c r="C49" s="9" t="s">
        <v>752</v>
      </c>
      <c r="D49" s="9"/>
      <c r="E49" s="9"/>
      <c r="F49" s="9"/>
      <c r="G49" s="9"/>
    </row>
    <row r="50" customFormat="false" ht="15.75" hidden="false" customHeight="true" outlineLevel="0" collapsed="false">
      <c r="C50" s="9" t="s">
        <v>753</v>
      </c>
      <c r="D50" s="9"/>
      <c r="E50" s="9"/>
      <c r="F50" s="9"/>
      <c r="G50" s="9"/>
    </row>
    <row r="52" customFormat="false" ht="15" hidden="false" customHeight="true" outlineLevel="0" collapsed="false">
      <c r="B52" s="10" t="s">
        <v>754</v>
      </c>
    </row>
    <row r="53" customFormat="false" ht="15.75" hidden="false" customHeight="true" outlineLevel="0" collapsed="false">
      <c r="C53" s="9" t="s">
        <v>755</v>
      </c>
      <c r="D53" s="9"/>
      <c r="E53" s="9"/>
      <c r="F53" s="9"/>
      <c r="G53" s="9"/>
    </row>
    <row r="54" customFormat="false" ht="15.75" hidden="false" customHeight="true" outlineLevel="0" collapsed="false">
      <c r="C54" s="9" t="s">
        <v>756</v>
      </c>
      <c r="D54" s="9"/>
      <c r="E54" s="9"/>
      <c r="F54" s="9"/>
      <c r="G54" s="9"/>
    </row>
    <row r="55" customFormat="false" ht="15.75" hidden="false" customHeight="true" outlineLevel="0" collapsed="false">
      <c r="C55" s="9" t="s">
        <v>757</v>
      </c>
      <c r="D55" s="9"/>
      <c r="E55" s="9"/>
      <c r="F55" s="9"/>
      <c r="G55" s="9"/>
    </row>
    <row r="56" customFormat="false" ht="15.75" hidden="false" customHeight="true" outlineLevel="0" collapsed="false">
      <c r="C56" s="9" t="s">
        <v>758</v>
      </c>
      <c r="D56" s="9"/>
      <c r="E56" s="9"/>
      <c r="F56" s="9"/>
      <c r="G56" s="9"/>
    </row>
    <row r="58" customFormat="false" ht="15" hidden="false" customHeight="true" outlineLevel="0" collapsed="false">
      <c r="B58" s="10" t="s">
        <v>759</v>
      </c>
    </row>
    <row r="59" customFormat="false" ht="15.75" hidden="false" customHeight="true" outlineLevel="0" collapsed="false">
      <c r="C59" s="9" t="s">
        <v>760</v>
      </c>
      <c r="D59" s="9"/>
      <c r="E59" s="9"/>
      <c r="F59" s="9"/>
      <c r="G59" s="9"/>
    </row>
    <row r="60" customFormat="false" ht="15.75" hidden="false" customHeight="true" outlineLevel="0" collapsed="false">
      <c r="C60" s="9" t="s">
        <v>761</v>
      </c>
      <c r="D60" s="9"/>
      <c r="E60" s="9"/>
      <c r="F60" s="9"/>
      <c r="G60" s="9"/>
    </row>
    <row r="61" customFormat="false" ht="15.75" hidden="false" customHeight="true" outlineLevel="0" collapsed="false">
      <c r="C61" s="9" t="s">
        <v>762</v>
      </c>
      <c r="D61" s="9"/>
      <c r="E61" s="9"/>
      <c r="F61" s="9"/>
      <c r="G61" s="9"/>
    </row>
    <row r="63" customFormat="false" ht="15" hidden="false" customHeight="true" outlineLevel="0" collapsed="false">
      <c r="B63" s="8" t="s">
        <v>763</v>
      </c>
    </row>
    <row r="64" customFormat="false" ht="15.75" hidden="false" customHeight="true" outlineLevel="0" collapsed="false">
      <c r="C64" s="9" t="s">
        <v>764</v>
      </c>
      <c r="D64" s="9"/>
      <c r="E64" s="9"/>
      <c r="F64" s="9"/>
      <c r="G64" s="9"/>
    </row>
    <row r="65" customFormat="false" ht="15.75" hidden="false" customHeight="true" outlineLevel="0" collapsed="false">
      <c r="C65" s="9" t="s">
        <v>765</v>
      </c>
      <c r="D65" s="9"/>
      <c r="E65" s="9"/>
      <c r="F65" s="9"/>
      <c r="G65" s="9"/>
    </row>
    <row r="66" customFormat="false" ht="15.75" hidden="false" customHeight="true" outlineLevel="0" collapsed="false">
      <c r="C66" s="9" t="s">
        <v>766</v>
      </c>
      <c r="D66" s="9"/>
      <c r="E66" s="9"/>
      <c r="F66" s="9"/>
      <c r="G66" s="9"/>
    </row>
  </sheetData>
  <mergeCells count="19">
    <mergeCell ref="A1:G1"/>
    <mergeCell ref="A2:G2"/>
    <mergeCell ref="A3:G3"/>
    <mergeCell ref="A12:G12"/>
    <mergeCell ref="A25:G25"/>
    <mergeCell ref="A35:G35"/>
    <mergeCell ref="C48:G48"/>
    <mergeCell ref="C49:G49"/>
    <mergeCell ref="C50:G50"/>
    <mergeCell ref="C53:G53"/>
    <mergeCell ref="C54:G54"/>
    <mergeCell ref="C55:G55"/>
    <mergeCell ref="C56:G56"/>
    <mergeCell ref="C59:G59"/>
    <mergeCell ref="C60:G60"/>
    <mergeCell ref="C61:G61"/>
    <mergeCell ref="C64:G64"/>
    <mergeCell ref="C65:G65"/>
    <mergeCell ref="C66:G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11" min="9" style="1" width="10"/>
    <col collapsed="false" customWidth="true" hidden="false" outlineLevel="0" max="13" min="12" style="1" width="9"/>
  </cols>
  <sheetData>
    <row r="1" customFormat="false" ht="25.5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8" hidden="false" customHeight="true" outlineLevel="0" collapsed="false">
      <c r="A2" s="3" t="s">
        <v>768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30" hidden="false" customHeight="true" outlineLevel="0" collapsed="false">
      <c r="A3" s="4" t="s">
        <v>769</v>
      </c>
      <c r="B3" s="4" t="s">
        <v>111</v>
      </c>
      <c r="C3" s="4" t="s">
        <v>112</v>
      </c>
      <c r="D3" s="4" t="s">
        <v>770</v>
      </c>
      <c r="E3" s="4" t="s">
        <v>771</v>
      </c>
      <c r="F3" s="4" t="s">
        <v>113</v>
      </c>
      <c r="G3" s="4" t="s">
        <v>772</v>
      </c>
      <c r="H3" s="4" t="s">
        <v>114</v>
      </c>
      <c r="I3" s="4" t="s">
        <v>448</v>
      </c>
      <c r="J3" s="4" t="s">
        <v>115</v>
      </c>
      <c r="K3" s="4" t="s">
        <v>773</v>
      </c>
      <c r="L3" s="4" t="s">
        <v>774</v>
      </c>
      <c r="M3" s="4" t="s">
        <v>775</v>
      </c>
    </row>
    <row r="4" customFormat="false" ht="16.5" hidden="false" customHeight="true" outlineLevel="0" collapsed="false">
      <c r="A4" s="5" t="s">
        <v>776</v>
      </c>
      <c r="B4" s="6" t="s">
        <v>122</v>
      </c>
      <c r="C4" s="5" t="s">
        <v>121</v>
      </c>
      <c r="D4" s="5" t="s">
        <v>777</v>
      </c>
      <c r="E4" s="5" t="n">
        <v>181</v>
      </c>
      <c r="F4" s="17" t="n">
        <v>34063312</v>
      </c>
      <c r="G4" s="17" t="n">
        <v>13312643</v>
      </c>
      <c r="H4" s="17" t="n">
        <v>4236</v>
      </c>
      <c r="I4" s="66" t="n">
        <v>-0.223</v>
      </c>
      <c r="J4" s="5" t="n">
        <v>32</v>
      </c>
      <c r="K4" s="5" t="n">
        <v>18</v>
      </c>
      <c r="L4" s="5" t="n">
        <v>58</v>
      </c>
      <c r="M4" s="24" t="n">
        <v>0.006</v>
      </c>
    </row>
    <row r="5" customFormat="false" ht="16.5" hidden="false" customHeight="true" outlineLevel="0" collapsed="false">
      <c r="A5" s="5" t="s">
        <v>778</v>
      </c>
      <c r="B5" s="6" t="s">
        <v>120</v>
      </c>
      <c r="C5" s="5" t="s">
        <v>121</v>
      </c>
      <c r="D5" s="5" t="s">
        <v>779</v>
      </c>
      <c r="E5" s="5" t="n">
        <v>91</v>
      </c>
      <c r="F5" s="17" t="n">
        <v>35464924</v>
      </c>
      <c r="G5" s="17" t="n">
        <v>0</v>
      </c>
      <c r="H5" s="17" t="n">
        <v>3561</v>
      </c>
      <c r="I5" s="67" t="n">
        <v>0</v>
      </c>
      <c r="J5" s="5" t="n">
        <v>42</v>
      </c>
      <c r="K5" s="5" t="n">
        <v>21</v>
      </c>
      <c r="L5" s="5"/>
      <c r="M5" s="24" t="n">
        <v>0</v>
      </c>
    </row>
    <row r="6" customFormat="false" ht="16.5" hidden="false" customHeight="true" outlineLevel="0" collapsed="false">
      <c r="A6" s="5" t="s">
        <v>780</v>
      </c>
      <c r="B6" s="6" t="s">
        <v>141</v>
      </c>
      <c r="C6" s="5" t="s">
        <v>128</v>
      </c>
      <c r="D6" s="5" t="s">
        <v>779</v>
      </c>
      <c r="E6" s="5" t="n">
        <v>176</v>
      </c>
      <c r="F6" s="17" t="n">
        <v>10864480</v>
      </c>
      <c r="G6" s="17" t="n">
        <v>19344811</v>
      </c>
      <c r="H6" s="17" t="n">
        <v>1892</v>
      </c>
      <c r="I6" s="68" t="n">
        <v>0.273</v>
      </c>
      <c r="J6" s="5"/>
      <c r="K6" s="5"/>
      <c r="L6" s="5"/>
      <c r="M6" s="24" t="n">
        <v>0</v>
      </c>
    </row>
    <row r="7" customFormat="false" ht="16.5" hidden="false" customHeight="true" outlineLevel="0" collapsed="false">
      <c r="A7" s="5" t="s">
        <v>781</v>
      </c>
      <c r="B7" s="6" t="s">
        <v>123</v>
      </c>
      <c r="C7" s="5" t="s">
        <v>124</v>
      </c>
      <c r="D7" s="5" t="s">
        <v>777</v>
      </c>
      <c r="E7" s="5" t="n">
        <v>91</v>
      </c>
      <c r="F7" s="17" t="n">
        <v>19648510</v>
      </c>
      <c r="G7" s="17" t="n">
        <v>10303487</v>
      </c>
      <c r="H7" s="17" t="n">
        <v>2137</v>
      </c>
      <c r="I7" s="67" t="n">
        <v>0</v>
      </c>
      <c r="J7" s="5" t="n">
        <v>19</v>
      </c>
      <c r="K7" s="5" t="n">
        <v>12</v>
      </c>
      <c r="L7" s="5"/>
      <c r="M7" s="24" t="n">
        <v>0</v>
      </c>
    </row>
    <row r="8" customFormat="false" ht="16.5" hidden="false" customHeight="true" outlineLevel="0" collapsed="false">
      <c r="A8" s="5" t="s">
        <v>782</v>
      </c>
      <c r="B8" s="6" t="s">
        <v>130</v>
      </c>
      <c r="C8" s="5" t="s">
        <v>124</v>
      </c>
      <c r="D8" s="5" t="s">
        <v>783</v>
      </c>
      <c r="E8" s="5" t="n">
        <v>55</v>
      </c>
      <c r="F8" s="17" t="n">
        <v>13354076</v>
      </c>
      <c r="G8" s="17" t="n">
        <v>5980304</v>
      </c>
      <c r="H8" s="17" t="n">
        <v>1694</v>
      </c>
      <c r="I8" s="67" t="n">
        <v>0</v>
      </c>
      <c r="J8" s="5" t="n">
        <v>12</v>
      </c>
      <c r="K8" s="5" t="n">
        <v>8</v>
      </c>
      <c r="L8" s="5"/>
      <c r="M8" s="24" t="n">
        <v>0</v>
      </c>
    </row>
    <row r="9" customFormat="false" ht="16.5" hidden="false" customHeight="true" outlineLevel="0" collapsed="false">
      <c r="A9" s="5" t="s">
        <v>784</v>
      </c>
      <c r="B9" s="6" t="s">
        <v>125</v>
      </c>
      <c r="C9" s="5" t="s">
        <v>121</v>
      </c>
      <c r="D9" s="5" t="s">
        <v>777</v>
      </c>
      <c r="E9" s="5" t="n">
        <v>180</v>
      </c>
      <c r="F9" s="17" t="n">
        <v>16732843</v>
      </c>
      <c r="G9" s="17" t="n">
        <v>2589147</v>
      </c>
      <c r="H9" s="17" t="n">
        <v>2359</v>
      </c>
      <c r="I9" s="66" t="n">
        <v>-0.211</v>
      </c>
      <c r="J9" s="5" t="n">
        <v>14</v>
      </c>
      <c r="K9" s="5" t="n">
        <v>6</v>
      </c>
      <c r="L9" s="5" t="n">
        <v>28</v>
      </c>
      <c r="M9" s="24" t="n">
        <v>0</v>
      </c>
    </row>
    <row r="10" customFormat="false" ht="16.5" hidden="false" customHeight="true" outlineLevel="0" collapsed="false">
      <c r="A10" s="5" t="s">
        <v>785</v>
      </c>
      <c r="B10" s="6" t="s">
        <v>135</v>
      </c>
      <c r="C10" s="5" t="s">
        <v>121</v>
      </c>
      <c r="D10" s="5" t="s">
        <v>777</v>
      </c>
      <c r="E10" s="5" t="n">
        <v>181</v>
      </c>
      <c r="F10" s="17" t="n">
        <v>12654914</v>
      </c>
      <c r="G10" s="17" t="n">
        <v>4848425</v>
      </c>
      <c r="H10" s="17" t="n">
        <v>1702</v>
      </c>
      <c r="I10" s="66" t="n">
        <v>-0.09</v>
      </c>
      <c r="J10" s="5" t="n">
        <v>10</v>
      </c>
      <c r="K10" s="5" t="n">
        <v>9</v>
      </c>
      <c r="L10" s="5"/>
      <c r="M10" s="24" t="n">
        <v>0</v>
      </c>
    </row>
    <row r="11" customFormat="false" ht="16.5" hidden="false" customHeight="true" outlineLevel="0" collapsed="false">
      <c r="A11" s="5" t="s">
        <v>786</v>
      </c>
      <c r="B11" s="6" t="s">
        <v>127</v>
      </c>
      <c r="C11" s="5" t="s">
        <v>128</v>
      </c>
      <c r="D11" s="5" t="s">
        <v>777</v>
      </c>
      <c r="E11" s="5" t="n">
        <v>65</v>
      </c>
      <c r="F11" s="17" t="n">
        <v>16280701</v>
      </c>
      <c r="G11" s="17" t="n">
        <v>0</v>
      </c>
      <c r="H11" s="17" t="n">
        <v>2041</v>
      </c>
      <c r="I11" s="67" t="n">
        <v>0</v>
      </c>
      <c r="J11" s="5" t="n">
        <v>20</v>
      </c>
      <c r="K11" s="5" t="n">
        <v>12</v>
      </c>
      <c r="L11" s="5"/>
      <c r="M11" s="24" t="n">
        <v>0</v>
      </c>
    </row>
    <row r="12" customFormat="false" ht="16.5" hidden="false" customHeight="true" outlineLevel="0" collapsed="false">
      <c r="A12" s="5" t="s">
        <v>787</v>
      </c>
      <c r="B12" s="6" t="s">
        <v>126</v>
      </c>
      <c r="C12" s="5" t="s">
        <v>124</v>
      </c>
      <c r="D12" s="5" t="s">
        <v>777</v>
      </c>
      <c r="E12" s="5" t="n">
        <v>63</v>
      </c>
      <c r="F12" s="17" t="n">
        <v>16309064</v>
      </c>
      <c r="G12" s="17" t="n">
        <v>98445</v>
      </c>
      <c r="H12" s="17" t="n">
        <v>1726</v>
      </c>
      <c r="I12" s="67" t="n">
        <v>0</v>
      </c>
      <c r="J12" s="5" t="n">
        <v>18</v>
      </c>
      <c r="K12" s="5" t="n">
        <v>9</v>
      </c>
      <c r="L12" s="5"/>
      <c r="M12" s="24" t="n">
        <v>0</v>
      </c>
    </row>
    <row r="13" customFormat="false" ht="16.5" hidden="false" customHeight="true" outlineLevel="0" collapsed="false">
      <c r="A13" s="5" t="s">
        <v>788</v>
      </c>
      <c r="B13" s="6" t="s">
        <v>145</v>
      </c>
      <c r="C13" s="5" t="s">
        <v>121</v>
      </c>
      <c r="D13" s="5" t="s">
        <v>779</v>
      </c>
      <c r="E13" s="5" t="n">
        <v>181</v>
      </c>
      <c r="F13" s="17" t="n">
        <v>8548346</v>
      </c>
      <c r="G13" s="17" t="n">
        <v>7210207</v>
      </c>
      <c r="H13" s="17" t="n">
        <v>1380</v>
      </c>
      <c r="I13" s="66" t="n">
        <v>-0.217</v>
      </c>
      <c r="J13" s="5" t="n">
        <v>13</v>
      </c>
      <c r="K13" s="5" t="n">
        <v>10</v>
      </c>
      <c r="L13" s="5"/>
      <c r="M13" s="24" t="n">
        <v>0</v>
      </c>
    </row>
    <row r="14" customFormat="false" ht="16.5" hidden="false" customHeight="true" outlineLevel="0" collapsed="false">
      <c r="A14" s="5" t="s">
        <v>789</v>
      </c>
      <c r="B14" s="6" t="s">
        <v>129</v>
      </c>
      <c r="C14" s="5" t="s">
        <v>124</v>
      </c>
      <c r="D14" s="5" t="s">
        <v>783</v>
      </c>
      <c r="E14" s="5" t="n">
        <v>181</v>
      </c>
      <c r="F14" s="17" t="n">
        <v>14309768</v>
      </c>
      <c r="G14" s="17" t="n">
        <v>1278215</v>
      </c>
      <c r="H14" s="17" t="n">
        <v>1414</v>
      </c>
      <c r="I14" s="66" t="n">
        <v>-0.119</v>
      </c>
      <c r="J14" s="5" t="n">
        <v>13</v>
      </c>
      <c r="K14" s="5" t="n">
        <v>9</v>
      </c>
      <c r="L14" s="5"/>
      <c r="M14" s="24" t="n">
        <v>0</v>
      </c>
    </row>
    <row r="15" customFormat="false" ht="16.5" hidden="false" customHeight="true" outlineLevel="0" collapsed="false">
      <c r="A15" s="5" t="s">
        <v>790</v>
      </c>
      <c r="B15" s="6" t="s">
        <v>136</v>
      </c>
      <c r="C15" s="5" t="s">
        <v>121</v>
      </c>
      <c r="D15" s="5" t="s">
        <v>777</v>
      </c>
      <c r="E15" s="5" t="n">
        <v>181</v>
      </c>
      <c r="F15" s="17" t="n">
        <v>11988986</v>
      </c>
      <c r="G15" s="17" t="n">
        <v>3596696</v>
      </c>
      <c r="H15" s="17" t="n">
        <v>1566</v>
      </c>
      <c r="I15" s="69" t="n">
        <v>-0.034</v>
      </c>
      <c r="J15" s="5" t="n">
        <v>12</v>
      </c>
      <c r="K15" s="5" t="n">
        <v>8</v>
      </c>
      <c r="L15" s="5"/>
      <c r="M15" s="24" t="n">
        <v>0.038</v>
      </c>
    </row>
    <row r="16" customFormat="false" ht="16.5" hidden="false" customHeight="true" outlineLevel="0" collapsed="false">
      <c r="A16" s="5" t="s">
        <v>791</v>
      </c>
      <c r="B16" s="6" t="s">
        <v>133</v>
      </c>
      <c r="C16" s="5" t="s">
        <v>134</v>
      </c>
      <c r="D16" s="5" t="s">
        <v>777</v>
      </c>
      <c r="E16" s="5" t="n">
        <v>181</v>
      </c>
      <c r="F16" s="17" t="n">
        <v>13247588</v>
      </c>
      <c r="G16" s="17" t="n">
        <v>1088450</v>
      </c>
      <c r="H16" s="17" t="n">
        <v>1169</v>
      </c>
      <c r="I16" s="68" t="n">
        <v>0.151</v>
      </c>
      <c r="J16" s="5" t="n">
        <v>10</v>
      </c>
      <c r="K16" s="5" t="n">
        <v>16</v>
      </c>
      <c r="L16" s="5"/>
      <c r="M16" s="24" t="n">
        <v>0</v>
      </c>
    </row>
    <row r="17" customFormat="false" ht="16.5" hidden="false" customHeight="true" outlineLevel="0" collapsed="false">
      <c r="A17" s="5" t="s">
        <v>792</v>
      </c>
      <c r="B17" s="6" t="s">
        <v>131</v>
      </c>
      <c r="C17" s="5" t="s">
        <v>124</v>
      </c>
      <c r="D17" s="5" t="s">
        <v>777</v>
      </c>
      <c r="E17" s="5" t="n">
        <v>57</v>
      </c>
      <c r="F17" s="17" t="n">
        <v>13311973</v>
      </c>
      <c r="G17" s="17" t="n">
        <v>0</v>
      </c>
      <c r="H17" s="17" t="n">
        <v>1483</v>
      </c>
      <c r="I17" s="67" t="n">
        <v>0</v>
      </c>
      <c r="J17" s="5" t="n">
        <v>13</v>
      </c>
      <c r="K17" s="5" t="n">
        <v>12</v>
      </c>
      <c r="L17" s="5"/>
      <c r="M17" s="24" t="n">
        <v>0</v>
      </c>
    </row>
    <row r="18" customFormat="false" ht="16.5" hidden="false" customHeight="true" outlineLevel="0" collapsed="false">
      <c r="A18" s="5" t="s">
        <v>793</v>
      </c>
      <c r="B18" s="6" t="s">
        <v>132</v>
      </c>
      <c r="C18" s="5" t="s">
        <v>121</v>
      </c>
      <c r="D18" s="5" t="s">
        <v>777</v>
      </c>
      <c r="E18" s="5" t="n">
        <v>181</v>
      </c>
      <c r="F18" s="17" t="n">
        <v>13248903</v>
      </c>
      <c r="G18" s="17" t="n">
        <v>0</v>
      </c>
      <c r="H18" s="17" t="n">
        <v>1872</v>
      </c>
      <c r="I18" s="69" t="n">
        <v>-0.03</v>
      </c>
      <c r="J18" s="5" t="n">
        <v>10</v>
      </c>
      <c r="K18" s="5" t="n">
        <v>4</v>
      </c>
      <c r="L18" s="5"/>
      <c r="M18" s="24" t="n">
        <v>0</v>
      </c>
    </row>
    <row r="19" customFormat="false" ht="16.5" hidden="false" customHeight="true" outlineLevel="0" collapsed="false">
      <c r="A19" s="5" t="s">
        <v>794</v>
      </c>
      <c r="B19" s="6" t="s">
        <v>137</v>
      </c>
      <c r="C19" s="5" t="s">
        <v>138</v>
      </c>
      <c r="D19" s="5" t="s">
        <v>795</v>
      </c>
      <c r="E19" s="5" t="n">
        <v>130</v>
      </c>
      <c r="F19" s="17" t="n">
        <v>11882308</v>
      </c>
      <c r="G19" s="17" t="n">
        <v>599108</v>
      </c>
      <c r="H19" s="17" t="n">
        <v>1807</v>
      </c>
      <c r="I19" s="68" t="n">
        <v>0.275</v>
      </c>
      <c r="J19" s="5"/>
      <c r="K19" s="5"/>
      <c r="L19" s="5"/>
      <c r="M19" s="24" t="n">
        <v>0</v>
      </c>
    </row>
    <row r="20" customFormat="false" ht="16.5" hidden="false" customHeight="true" outlineLevel="0" collapsed="false">
      <c r="A20" s="5" t="s">
        <v>796</v>
      </c>
      <c r="B20" s="6" t="s">
        <v>146</v>
      </c>
      <c r="C20" s="5" t="s">
        <v>128</v>
      </c>
      <c r="D20" s="5" t="s">
        <v>777</v>
      </c>
      <c r="E20" s="5" t="n">
        <v>147</v>
      </c>
      <c r="F20" s="17" t="n">
        <v>7867941</v>
      </c>
      <c r="G20" s="17" t="n">
        <v>3857753</v>
      </c>
      <c r="H20" s="17" t="n">
        <v>1328</v>
      </c>
      <c r="I20" s="68" t="n">
        <v>0.068</v>
      </c>
      <c r="J20" s="5"/>
      <c r="K20" s="5"/>
      <c r="L20" s="5"/>
      <c r="M20" s="24" t="n">
        <v>0</v>
      </c>
    </row>
    <row r="21" customFormat="false" ht="16.5" hidden="false" customHeight="true" outlineLevel="0" collapsed="false">
      <c r="A21" s="5" t="s">
        <v>797</v>
      </c>
      <c r="B21" s="6" t="s">
        <v>139</v>
      </c>
      <c r="C21" s="5" t="s">
        <v>121</v>
      </c>
      <c r="D21" s="5" t="s">
        <v>798</v>
      </c>
      <c r="E21" s="5" t="n">
        <v>70</v>
      </c>
      <c r="F21" s="17" t="n">
        <v>11625662</v>
      </c>
      <c r="G21" s="17" t="n">
        <v>0</v>
      </c>
      <c r="H21" s="17" t="n">
        <v>1643</v>
      </c>
      <c r="I21" s="67" t="n">
        <v>0</v>
      </c>
      <c r="J21" s="5" t="n">
        <v>9</v>
      </c>
      <c r="K21" s="5" t="n">
        <v>6</v>
      </c>
      <c r="L21" s="5"/>
      <c r="M21" s="24" t="n">
        <v>0</v>
      </c>
    </row>
    <row r="22" customFormat="false" ht="16.5" hidden="false" customHeight="true" outlineLevel="0" collapsed="false">
      <c r="A22" s="5" t="s">
        <v>799</v>
      </c>
      <c r="B22" s="6" t="s">
        <v>140</v>
      </c>
      <c r="C22" s="5" t="s">
        <v>121</v>
      </c>
      <c r="D22" s="5" t="s">
        <v>777</v>
      </c>
      <c r="E22" s="5" t="n">
        <v>181</v>
      </c>
      <c r="F22" s="17" t="n">
        <v>11101203</v>
      </c>
      <c r="G22" s="17" t="n">
        <v>0</v>
      </c>
      <c r="H22" s="17" t="n">
        <v>1573</v>
      </c>
      <c r="I22" s="66" t="n">
        <v>-0.112</v>
      </c>
      <c r="J22" s="5" t="n">
        <v>11</v>
      </c>
      <c r="K22" s="5" t="n">
        <v>9</v>
      </c>
      <c r="L22" s="5"/>
      <c r="M22" s="24" t="n">
        <v>0</v>
      </c>
    </row>
    <row r="23" customFormat="false" ht="16.5" hidden="false" customHeight="true" outlineLevel="0" collapsed="false">
      <c r="A23" s="5" t="s">
        <v>800</v>
      </c>
      <c r="B23" s="6" t="s">
        <v>148</v>
      </c>
      <c r="C23" s="5" t="s">
        <v>121</v>
      </c>
      <c r="D23" s="5" t="s">
        <v>798</v>
      </c>
      <c r="E23" s="5" t="n">
        <v>181</v>
      </c>
      <c r="F23" s="17" t="n">
        <v>7193020</v>
      </c>
      <c r="G23" s="17" t="n">
        <v>2745883</v>
      </c>
      <c r="H23" s="17" t="n">
        <v>1112</v>
      </c>
      <c r="I23" s="69" t="n">
        <v>-0.033</v>
      </c>
      <c r="J23" s="5" t="n">
        <v>9</v>
      </c>
      <c r="K23" s="5" t="n">
        <v>6</v>
      </c>
      <c r="L23" s="5"/>
      <c r="M23" s="24" t="n">
        <v>0</v>
      </c>
    </row>
    <row r="24" customFormat="false" ht="16.5" hidden="false" customHeight="true" outlineLevel="0" collapsed="false">
      <c r="A24" s="5" t="s">
        <v>801</v>
      </c>
      <c r="B24" s="6" t="s">
        <v>142</v>
      </c>
      <c r="C24" s="5" t="s">
        <v>121</v>
      </c>
      <c r="D24" s="5" t="s">
        <v>777</v>
      </c>
      <c r="E24" s="5" t="n">
        <v>181</v>
      </c>
      <c r="F24" s="17" t="n">
        <v>9931491</v>
      </c>
      <c r="G24" s="17" t="n">
        <v>0</v>
      </c>
      <c r="H24" s="17" t="n">
        <v>1290</v>
      </c>
      <c r="I24" s="68" t="n">
        <v>0.069</v>
      </c>
      <c r="J24" s="5" t="n">
        <v>9</v>
      </c>
      <c r="K24" s="5" t="n">
        <v>9</v>
      </c>
      <c r="L24" s="5" t="n">
        <v>8</v>
      </c>
      <c r="M24" s="24" t="n">
        <v>0</v>
      </c>
    </row>
    <row r="25" customFormat="false" ht="16.5" hidden="false" customHeight="true" outlineLevel="0" collapsed="false">
      <c r="A25" s="5" t="s">
        <v>802</v>
      </c>
      <c r="B25" s="6" t="s">
        <v>144</v>
      </c>
      <c r="C25" s="5" t="s">
        <v>124</v>
      </c>
      <c r="D25" s="5" t="s">
        <v>783</v>
      </c>
      <c r="E25" s="5" t="n">
        <v>181</v>
      </c>
      <c r="F25" s="17" t="n">
        <v>9064151</v>
      </c>
      <c r="G25" s="17" t="n">
        <v>558090</v>
      </c>
      <c r="H25" s="17" t="n">
        <v>1144</v>
      </c>
      <c r="I25" s="68" t="n">
        <v>0.177</v>
      </c>
      <c r="J25" s="5" t="n">
        <v>9</v>
      </c>
      <c r="K25" s="5" t="n">
        <v>9</v>
      </c>
      <c r="L25" s="5"/>
      <c r="M25" s="24" t="n">
        <v>0</v>
      </c>
    </row>
    <row r="26" customFormat="false" ht="16.5" hidden="false" customHeight="true" outlineLevel="0" collapsed="false">
      <c r="A26" s="5" t="s">
        <v>803</v>
      </c>
      <c r="B26" s="6" t="s">
        <v>143</v>
      </c>
      <c r="C26" s="5" t="s">
        <v>121</v>
      </c>
      <c r="D26" s="5" t="s">
        <v>777</v>
      </c>
      <c r="E26" s="5" t="n">
        <v>181</v>
      </c>
      <c r="F26" s="17" t="n">
        <v>9558604</v>
      </c>
      <c r="G26" s="17" t="n">
        <v>0</v>
      </c>
      <c r="H26" s="17" t="n">
        <v>1363</v>
      </c>
      <c r="I26" s="69" t="n">
        <v>0.042</v>
      </c>
      <c r="J26" s="5" t="n">
        <v>9</v>
      </c>
      <c r="K26" s="5" t="n">
        <v>4</v>
      </c>
      <c r="L26" s="5"/>
      <c r="M26" s="24" t="n">
        <v>0</v>
      </c>
    </row>
    <row r="27" customFormat="false" ht="16.5" hidden="false" customHeight="true" outlineLevel="0" collapsed="false">
      <c r="A27" s="5" t="s">
        <v>804</v>
      </c>
      <c r="B27" s="6" t="s">
        <v>155</v>
      </c>
      <c r="C27" s="5" t="s">
        <v>124</v>
      </c>
      <c r="D27" s="5" t="s">
        <v>783</v>
      </c>
      <c r="E27" s="5" t="n">
        <v>181</v>
      </c>
      <c r="F27" s="17" t="n">
        <v>6835043</v>
      </c>
      <c r="G27" s="17" t="n">
        <v>2528030</v>
      </c>
      <c r="H27" s="17" t="n">
        <v>823</v>
      </c>
      <c r="I27" s="68" t="n">
        <v>0.083</v>
      </c>
      <c r="J27" s="5" t="n">
        <v>6</v>
      </c>
      <c r="K27" s="5" t="n">
        <v>4</v>
      </c>
      <c r="L27" s="5"/>
      <c r="M27" s="24" t="n">
        <v>0</v>
      </c>
    </row>
    <row r="28" customFormat="false" ht="16.5" hidden="false" customHeight="true" outlineLevel="0" collapsed="false">
      <c r="A28" s="5" t="s">
        <v>805</v>
      </c>
      <c r="B28" s="6" t="s">
        <v>158</v>
      </c>
      <c r="C28" s="5" t="s">
        <v>121</v>
      </c>
      <c r="D28" s="5" t="s">
        <v>779</v>
      </c>
      <c r="E28" s="5" t="n">
        <v>111</v>
      </c>
      <c r="F28" s="17" t="n">
        <v>6066855</v>
      </c>
      <c r="G28" s="17" t="n">
        <v>3252431</v>
      </c>
      <c r="H28" s="17" t="n">
        <v>680</v>
      </c>
      <c r="I28" s="67" t="n">
        <v>-0.033</v>
      </c>
      <c r="J28" s="5" t="n">
        <v>11</v>
      </c>
      <c r="K28" s="5" t="n">
        <v>16</v>
      </c>
      <c r="L28" s="5"/>
      <c r="M28" s="24" t="n">
        <v>0</v>
      </c>
    </row>
    <row r="29" customFormat="false" ht="16.5" hidden="false" customHeight="true" outlineLevel="0" collapsed="false">
      <c r="A29" s="5" t="s">
        <v>806</v>
      </c>
      <c r="B29" s="6" t="s">
        <v>157</v>
      </c>
      <c r="C29" s="5" t="s">
        <v>121</v>
      </c>
      <c r="D29" s="5" t="s">
        <v>798</v>
      </c>
      <c r="E29" s="5" t="n">
        <v>181</v>
      </c>
      <c r="F29" s="17" t="n">
        <v>6241831</v>
      </c>
      <c r="G29" s="17" t="n">
        <v>2950851</v>
      </c>
      <c r="H29" s="17" t="n">
        <v>816</v>
      </c>
      <c r="I29" s="69" t="n">
        <v>-0.045</v>
      </c>
      <c r="J29" s="5" t="n">
        <v>8</v>
      </c>
      <c r="K29" s="5" t="n">
        <v>6</v>
      </c>
      <c r="L29" s="5"/>
      <c r="M29" s="24" t="n">
        <v>0</v>
      </c>
    </row>
    <row r="30" customFormat="false" ht="16.5" hidden="false" customHeight="true" outlineLevel="0" collapsed="false">
      <c r="A30" s="5" t="s">
        <v>807</v>
      </c>
      <c r="B30" s="6" t="s">
        <v>172</v>
      </c>
      <c r="C30" s="5" t="s">
        <v>121</v>
      </c>
      <c r="D30" s="5" t="s">
        <v>779</v>
      </c>
      <c r="E30" s="5" t="n">
        <v>181</v>
      </c>
      <c r="F30" s="17" t="n">
        <v>3791200</v>
      </c>
      <c r="G30" s="17" t="n">
        <v>4805625</v>
      </c>
      <c r="H30" s="17" t="n">
        <v>423</v>
      </c>
      <c r="I30" s="66" t="n">
        <v>-0.084</v>
      </c>
      <c r="J30" s="5" t="n">
        <v>9</v>
      </c>
      <c r="K30" s="5" t="n">
        <v>6</v>
      </c>
      <c r="L30" s="5"/>
      <c r="M30" s="24" t="n">
        <v>0.015</v>
      </c>
    </row>
    <row r="31" customFormat="false" ht="16.5" hidden="false" customHeight="true" outlineLevel="0" collapsed="false">
      <c r="A31" s="5" t="s">
        <v>808</v>
      </c>
      <c r="B31" s="6" t="s">
        <v>154</v>
      </c>
      <c r="C31" s="5" t="s">
        <v>121</v>
      </c>
      <c r="D31" s="5" t="s">
        <v>777</v>
      </c>
      <c r="E31" s="5" t="n">
        <v>92</v>
      </c>
      <c r="F31" s="17" t="n">
        <v>6955614</v>
      </c>
      <c r="G31" s="17" t="n">
        <v>1485665</v>
      </c>
      <c r="H31" s="17" t="n">
        <v>1025</v>
      </c>
      <c r="I31" s="67" t="n">
        <v>0</v>
      </c>
      <c r="J31" s="5" t="n">
        <v>6</v>
      </c>
      <c r="K31" s="5" t="n">
        <v>8</v>
      </c>
      <c r="L31" s="5"/>
      <c r="M31" s="24" t="n">
        <v>0</v>
      </c>
    </row>
    <row r="32" customFormat="false" ht="16.5" hidden="false" customHeight="true" outlineLevel="0" collapsed="false">
      <c r="A32" s="5" t="s">
        <v>809</v>
      </c>
      <c r="B32" s="6" t="s">
        <v>149</v>
      </c>
      <c r="C32" s="5" t="s">
        <v>150</v>
      </c>
      <c r="D32" s="5" t="s">
        <v>795</v>
      </c>
      <c r="E32" s="5" t="n">
        <v>181</v>
      </c>
      <c r="F32" s="17" t="n">
        <v>7191456</v>
      </c>
      <c r="G32" s="17" t="n">
        <v>642374</v>
      </c>
      <c r="H32" s="17" t="n">
        <v>864</v>
      </c>
      <c r="I32" s="68" t="n">
        <v>0.186</v>
      </c>
      <c r="J32" s="5" t="n">
        <v>7</v>
      </c>
      <c r="K32" s="5" t="n">
        <v>15</v>
      </c>
      <c r="L32" s="5"/>
      <c r="M32" s="24" t="n">
        <v>0</v>
      </c>
    </row>
    <row r="33" customFormat="false" ht="16.5" hidden="false" customHeight="true" outlineLevel="0" collapsed="false">
      <c r="A33" s="5" t="s">
        <v>810</v>
      </c>
      <c r="B33" s="6" t="s">
        <v>152</v>
      </c>
      <c r="C33" s="5" t="s">
        <v>153</v>
      </c>
      <c r="D33" s="5" t="s">
        <v>795</v>
      </c>
      <c r="E33" s="5" t="n">
        <v>69</v>
      </c>
      <c r="F33" s="17" t="n">
        <v>6980426</v>
      </c>
      <c r="G33" s="17" t="n">
        <v>801543</v>
      </c>
      <c r="H33" s="17" t="n">
        <v>952</v>
      </c>
      <c r="I33" s="67" t="n">
        <v>0</v>
      </c>
      <c r="J33" s="5" t="n">
        <v>7</v>
      </c>
      <c r="K33" s="5" t="n">
        <v>7</v>
      </c>
      <c r="L33" s="5"/>
      <c r="M33" s="24" t="n">
        <v>0</v>
      </c>
    </row>
    <row r="34" customFormat="false" ht="16.5" hidden="false" customHeight="true" outlineLevel="0" collapsed="false">
      <c r="A34" s="5" t="s">
        <v>811</v>
      </c>
      <c r="B34" s="6" t="s">
        <v>147</v>
      </c>
      <c r="C34" s="5" t="s">
        <v>138</v>
      </c>
      <c r="D34" s="5" t="s">
        <v>777</v>
      </c>
      <c r="E34" s="5" t="n">
        <v>181</v>
      </c>
      <c r="F34" s="17" t="n">
        <v>7444371</v>
      </c>
      <c r="G34" s="17" t="n">
        <v>175072</v>
      </c>
      <c r="H34" s="17" t="n">
        <v>922</v>
      </c>
      <c r="I34" s="68" t="n">
        <v>0.18</v>
      </c>
      <c r="J34" s="5" t="n">
        <v>8</v>
      </c>
      <c r="K34" s="5" t="n">
        <v>6</v>
      </c>
      <c r="L34" s="5"/>
      <c r="M34" s="24" t="n">
        <v>0</v>
      </c>
    </row>
    <row r="35" customFormat="false" ht="16.5" hidden="false" customHeight="true" outlineLevel="0" collapsed="false">
      <c r="A35" s="5" t="s">
        <v>812</v>
      </c>
      <c r="B35" s="6" t="s">
        <v>156</v>
      </c>
      <c r="C35" s="5" t="s">
        <v>121</v>
      </c>
      <c r="D35" s="5" t="s">
        <v>783</v>
      </c>
      <c r="E35" s="5" t="n">
        <v>181</v>
      </c>
      <c r="F35" s="17" t="n">
        <v>6267957</v>
      </c>
      <c r="G35" s="17" t="n">
        <v>814480</v>
      </c>
      <c r="H35" s="17" t="n">
        <v>931</v>
      </c>
      <c r="I35" s="66" t="n">
        <v>-0.068</v>
      </c>
      <c r="J35" s="5" t="n">
        <v>7</v>
      </c>
      <c r="K35" s="5" t="n">
        <v>4</v>
      </c>
      <c r="L35" s="5"/>
      <c r="M35" s="24" t="n">
        <v>0</v>
      </c>
    </row>
    <row r="36" customFormat="false" ht="16.5" hidden="false" customHeight="true" outlineLevel="0" collapsed="false">
      <c r="A36" s="5" t="s">
        <v>813</v>
      </c>
      <c r="B36" s="6" t="s">
        <v>151</v>
      </c>
      <c r="C36" s="5" t="s">
        <v>121</v>
      </c>
      <c r="D36" s="5" t="s">
        <v>777</v>
      </c>
      <c r="E36" s="5" t="n">
        <v>181</v>
      </c>
      <c r="F36" s="17" t="n">
        <v>6999984</v>
      </c>
      <c r="G36" s="17" t="n">
        <v>0</v>
      </c>
      <c r="H36" s="17" t="n">
        <v>913</v>
      </c>
      <c r="I36" s="66" t="n">
        <v>-0.533</v>
      </c>
      <c r="J36" s="5" t="n">
        <v>7</v>
      </c>
      <c r="K36" s="5" t="n">
        <v>10</v>
      </c>
      <c r="L36" s="5" t="n">
        <v>3</v>
      </c>
      <c r="M36" s="24" t="n">
        <v>0</v>
      </c>
    </row>
    <row r="37" customFormat="false" ht="16.5" hidden="false" customHeight="true" outlineLevel="0" collapsed="false">
      <c r="A37" s="5" t="s">
        <v>814</v>
      </c>
      <c r="B37" s="6" t="s">
        <v>161</v>
      </c>
      <c r="C37" s="5" t="s">
        <v>128</v>
      </c>
      <c r="D37" s="5" t="s">
        <v>777</v>
      </c>
      <c r="E37" s="5" t="n">
        <v>181</v>
      </c>
      <c r="F37" s="17" t="n">
        <v>5722940</v>
      </c>
      <c r="G37" s="17" t="n">
        <v>1147336</v>
      </c>
      <c r="H37" s="17" t="n">
        <v>938</v>
      </c>
      <c r="I37" s="68" t="n">
        <v>0.083</v>
      </c>
      <c r="J37" s="5" t="n">
        <v>7</v>
      </c>
      <c r="K37" s="5" t="n">
        <v>3</v>
      </c>
      <c r="L37" s="5"/>
      <c r="M37" s="24" t="n">
        <v>0.015</v>
      </c>
    </row>
    <row r="38" customFormat="false" ht="16.5" hidden="false" customHeight="true" outlineLevel="0" collapsed="false">
      <c r="A38" s="5" t="s">
        <v>815</v>
      </c>
      <c r="B38" s="6" t="s">
        <v>159</v>
      </c>
      <c r="C38" s="5" t="s">
        <v>138</v>
      </c>
      <c r="D38" s="5" t="s">
        <v>795</v>
      </c>
      <c r="E38" s="5" t="n">
        <v>26</v>
      </c>
      <c r="F38" s="17" t="n">
        <v>6046920</v>
      </c>
      <c r="G38" s="17" t="n">
        <v>778046</v>
      </c>
      <c r="H38" s="17" t="n">
        <v>1227</v>
      </c>
      <c r="I38" s="67" t="n">
        <v>0</v>
      </c>
      <c r="J38" s="5"/>
      <c r="K38" s="5"/>
      <c r="L38" s="5"/>
      <c r="M38" s="24" t="n">
        <v>0</v>
      </c>
    </row>
    <row r="39" customFormat="false" ht="16.5" hidden="false" customHeight="true" outlineLevel="0" collapsed="false">
      <c r="A39" s="5" t="s">
        <v>816</v>
      </c>
      <c r="B39" s="6" t="s">
        <v>169</v>
      </c>
      <c r="C39" s="5" t="s">
        <v>138</v>
      </c>
      <c r="D39" s="5" t="s">
        <v>777</v>
      </c>
      <c r="E39" s="5" t="n">
        <v>181</v>
      </c>
      <c r="F39" s="17" t="n">
        <v>4191108</v>
      </c>
      <c r="G39" s="17" t="n">
        <v>2493275</v>
      </c>
      <c r="H39" s="17" t="n">
        <v>538</v>
      </c>
      <c r="I39" s="69" t="n">
        <v>-0.044</v>
      </c>
      <c r="J39" s="5" t="n">
        <v>6</v>
      </c>
      <c r="K39" s="5" t="n">
        <v>5</v>
      </c>
      <c r="L39" s="5"/>
      <c r="M39" s="24" t="n">
        <v>0</v>
      </c>
    </row>
    <row r="40" customFormat="false" ht="16.5" hidden="false" customHeight="true" outlineLevel="0" collapsed="false">
      <c r="A40" s="5" t="s">
        <v>817</v>
      </c>
      <c r="B40" s="6" t="s">
        <v>163</v>
      </c>
      <c r="C40" s="5" t="s">
        <v>121</v>
      </c>
      <c r="D40" s="5" t="s">
        <v>779</v>
      </c>
      <c r="E40" s="5" t="n">
        <v>181</v>
      </c>
      <c r="F40" s="17" t="n">
        <v>5545862</v>
      </c>
      <c r="G40" s="17" t="n">
        <v>657563</v>
      </c>
      <c r="H40" s="17" t="n">
        <v>537</v>
      </c>
      <c r="I40" s="66" t="n">
        <v>-0.126</v>
      </c>
      <c r="J40" s="5" t="n">
        <v>8</v>
      </c>
      <c r="K40" s="5" t="n">
        <v>9</v>
      </c>
      <c r="L40" s="5"/>
      <c r="M40" s="24" t="n">
        <v>0.002</v>
      </c>
    </row>
    <row r="41" customFormat="false" ht="16.5" hidden="false" customHeight="true" outlineLevel="0" collapsed="false">
      <c r="A41" s="5" t="s">
        <v>818</v>
      </c>
      <c r="B41" s="6" t="s">
        <v>162</v>
      </c>
      <c r="C41" s="5" t="s">
        <v>138</v>
      </c>
      <c r="D41" s="5" t="s">
        <v>795</v>
      </c>
      <c r="E41" s="5" t="n">
        <v>68</v>
      </c>
      <c r="F41" s="17" t="n">
        <v>5647921</v>
      </c>
      <c r="G41" s="17" t="n">
        <v>335046</v>
      </c>
      <c r="H41" s="17" t="n">
        <v>800</v>
      </c>
      <c r="I41" s="67" t="n">
        <v>0</v>
      </c>
      <c r="J41" s="5" t="n">
        <v>7</v>
      </c>
      <c r="K41" s="5" t="n">
        <v>8</v>
      </c>
      <c r="L41" s="5"/>
      <c r="M41" s="24" t="n">
        <v>0</v>
      </c>
    </row>
    <row r="42" customFormat="false" ht="16.5" hidden="false" customHeight="true" outlineLevel="0" collapsed="false">
      <c r="A42" s="5" t="s">
        <v>819</v>
      </c>
      <c r="B42" s="6" t="s">
        <v>174</v>
      </c>
      <c r="C42" s="5" t="s">
        <v>175</v>
      </c>
      <c r="D42" s="5" t="s">
        <v>795</v>
      </c>
      <c r="E42" s="5" t="n">
        <v>181</v>
      </c>
      <c r="F42" s="17" t="n">
        <v>3599745</v>
      </c>
      <c r="G42" s="17" t="n">
        <v>2324712</v>
      </c>
      <c r="H42" s="17" t="n">
        <v>441</v>
      </c>
      <c r="I42" s="69" t="n">
        <v>-0.029</v>
      </c>
      <c r="J42" s="5" t="n">
        <v>6</v>
      </c>
      <c r="K42" s="5" t="n">
        <v>8</v>
      </c>
      <c r="L42" s="5"/>
      <c r="M42" s="24" t="n">
        <v>0.002</v>
      </c>
    </row>
    <row r="43" customFormat="false" ht="16.5" hidden="false" customHeight="true" outlineLevel="0" collapsed="false">
      <c r="A43" s="5" t="s">
        <v>820</v>
      </c>
      <c r="B43" s="6" t="s">
        <v>160</v>
      </c>
      <c r="C43" s="5" t="s">
        <v>121</v>
      </c>
      <c r="D43" s="5" t="s">
        <v>777</v>
      </c>
      <c r="E43" s="5" t="n">
        <v>181</v>
      </c>
      <c r="F43" s="17" t="n">
        <v>5899223</v>
      </c>
      <c r="G43" s="17" t="n">
        <v>0</v>
      </c>
      <c r="H43" s="17" t="n">
        <v>807</v>
      </c>
      <c r="I43" s="66" t="n">
        <v>-0.121</v>
      </c>
      <c r="J43" s="5" t="n">
        <v>7</v>
      </c>
      <c r="K43" s="5" t="n">
        <v>4</v>
      </c>
      <c r="L43" s="5"/>
      <c r="M43" s="24" t="n">
        <v>0</v>
      </c>
    </row>
    <row r="44" customFormat="false" ht="16.5" hidden="false" customHeight="true" outlineLevel="0" collapsed="false">
      <c r="A44" s="5" t="s">
        <v>821</v>
      </c>
      <c r="B44" s="6" t="s">
        <v>164</v>
      </c>
      <c r="C44" s="5" t="s">
        <v>124</v>
      </c>
      <c r="D44" s="5" t="s">
        <v>798</v>
      </c>
      <c r="E44" s="5" t="n">
        <v>181</v>
      </c>
      <c r="F44" s="17" t="n">
        <v>5284855</v>
      </c>
      <c r="G44" s="17" t="n">
        <v>440882</v>
      </c>
      <c r="H44" s="17" t="n">
        <v>685</v>
      </c>
      <c r="I44" s="68" t="n">
        <v>0.082</v>
      </c>
      <c r="J44" s="5" t="n">
        <v>5</v>
      </c>
      <c r="K44" s="5" t="n">
        <v>6</v>
      </c>
      <c r="L44" s="5"/>
      <c r="M44" s="24" t="n">
        <v>0.007</v>
      </c>
    </row>
    <row r="45" customFormat="false" ht="16.5" hidden="false" customHeight="true" outlineLevel="0" collapsed="false">
      <c r="A45" s="5" t="s">
        <v>822</v>
      </c>
      <c r="B45" s="6" t="s">
        <v>165</v>
      </c>
      <c r="C45" s="5" t="s">
        <v>166</v>
      </c>
      <c r="D45" s="5" t="s">
        <v>777</v>
      </c>
      <c r="E45" s="5" t="n">
        <v>181</v>
      </c>
      <c r="F45" s="17" t="n">
        <v>5197774</v>
      </c>
      <c r="G45" s="17" t="n">
        <v>367295</v>
      </c>
      <c r="H45" s="17" t="n">
        <v>591</v>
      </c>
      <c r="I45" s="68" t="n">
        <v>0.327</v>
      </c>
      <c r="J45" s="5" t="n">
        <v>6</v>
      </c>
      <c r="K45" s="5" t="n">
        <v>6</v>
      </c>
      <c r="L45" s="5"/>
      <c r="M45" s="24" t="n">
        <v>0.003</v>
      </c>
    </row>
    <row r="46" customFormat="false" ht="16.5" hidden="false" customHeight="true" outlineLevel="0" collapsed="false">
      <c r="A46" s="5" t="s">
        <v>823</v>
      </c>
      <c r="B46" s="6" t="s">
        <v>170</v>
      </c>
      <c r="C46" s="5" t="s">
        <v>121</v>
      </c>
      <c r="D46" s="5" t="s">
        <v>777</v>
      </c>
      <c r="E46" s="5" t="n">
        <v>181</v>
      </c>
      <c r="F46" s="17" t="n">
        <v>4156161</v>
      </c>
      <c r="G46" s="17" t="n">
        <v>1282162</v>
      </c>
      <c r="H46" s="17" t="n">
        <v>586</v>
      </c>
      <c r="I46" s="66" t="n">
        <v>-0.123</v>
      </c>
      <c r="J46" s="5" t="n">
        <v>5</v>
      </c>
      <c r="K46" s="5" t="n">
        <v>6</v>
      </c>
      <c r="L46" s="5"/>
      <c r="M46" s="24" t="n">
        <v>0</v>
      </c>
    </row>
    <row r="47" customFormat="false" ht="16.5" hidden="false" customHeight="true" outlineLevel="0" collapsed="false">
      <c r="A47" s="5" t="s">
        <v>824</v>
      </c>
      <c r="B47" s="6" t="s">
        <v>167</v>
      </c>
      <c r="C47" s="5" t="s">
        <v>138</v>
      </c>
      <c r="D47" s="5" t="s">
        <v>825</v>
      </c>
      <c r="E47" s="5" t="n">
        <v>181</v>
      </c>
      <c r="F47" s="17" t="n">
        <v>4362115</v>
      </c>
      <c r="G47" s="17" t="n">
        <v>983614</v>
      </c>
      <c r="H47" s="17" t="n">
        <v>650</v>
      </c>
      <c r="I47" s="69" t="n">
        <v>-0.009</v>
      </c>
      <c r="J47" s="5" t="n">
        <v>8</v>
      </c>
      <c r="K47" s="5" t="n">
        <v>8</v>
      </c>
      <c r="L47" s="5"/>
      <c r="M47" s="24" t="n">
        <v>0.007</v>
      </c>
    </row>
    <row r="48" customFormat="false" ht="16.5" hidden="false" customHeight="true" outlineLevel="0" collapsed="false">
      <c r="A48" s="5" t="s">
        <v>826</v>
      </c>
      <c r="B48" s="6" t="s">
        <v>168</v>
      </c>
      <c r="C48" s="5" t="s">
        <v>150</v>
      </c>
      <c r="D48" s="5" t="s">
        <v>795</v>
      </c>
      <c r="E48" s="5" t="n">
        <v>181</v>
      </c>
      <c r="F48" s="17" t="n">
        <v>4341977</v>
      </c>
      <c r="G48" s="17" t="n">
        <v>0</v>
      </c>
      <c r="H48" s="17" t="n">
        <v>469</v>
      </c>
      <c r="I48" s="68" t="n">
        <v>0.064</v>
      </c>
      <c r="J48" s="5" t="n">
        <v>7</v>
      </c>
      <c r="K48" s="5" t="n">
        <v>9</v>
      </c>
      <c r="L48" s="5"/>
      <c r="M48" s="24" t="n">
        <v>0</v>
      </c>
    </row>
    <row r="49" customFormat="false" ht="16.5" hidden="false" customHeight="true" outlineLevel="0" collapsed="false">
      <c r="A49" s="5" t="s">
        <v>827</v>
      </c>
      <c r="B49" s="6" t="s">
        <v>176</v>
      </c>
      <c r="C49" s="5" t="s">
        <v>150</v>
      </c>
      <c r="D49" s="5" t="s">
        <v>798</v>
      </c>
      <c r="E49" s="5" t="n">
        <v>181</v>
      </c>
      <c r="F49" s="17" t="n">
        <v>3433425</v>
      </c>
      <c r="G49" s="17" t="n">
        <v>864810</v>
      </c>
      <c r="H49" s="17" t="n">
        <v>402</v>
      </c>
      <c r="I49" s="68" t="n">
        <v>0.256</v>
      </c>
      <c r="J49" s="5" t="n">
        <v>5</v>
      </c>
      <c r="K49" s="5" t="n">
        <v>9</v>
      </c>
      <c r="L49" s="5"/>
      <c r="M49" s="24" t="n">
        <v>0</v>
      </c>
    </row>
    <row r="50" customFormat="false" ht="16.5" hidden="false" customHeight="true" outlineLevel="0" collapsed="false">
      <c r="A50" s="5" t="s">
        <v>828</v>
      </c>
      <c r="B50" s="6" t="s">
        <v>171</v>
      </c>
      <c r="C50" s="5" t="s">
        <v>121</v>
      </c>
      <c r="D50" s="5" t="s">
        <v>777</v>
      </c>
      <c r="E50" s="5" t="n">
        <v>181</v>
      </c>
      <c r="F50" s="17" t="n">
        <v>3857645</v>
      </c>
      <c r="G50" s="17" t="n">
        <v>0</v>
      </c>
      <c r="H50" s="17" t="n">
        <v>456</v>
      </c>
      <c r="I50" s="66" t="n">
        <v>-0.249</v>
      </c>
      <c r="J50" s="5" t="n">
        <v>5</v>
      </c>
      <c r="K50" s="5" t="n">
        <v>6</v>
      </c>
      <c r="L50" s="5" t="n">
        <v>6</v>
      </c>
      <c r="M50" s="24" t="n">
        <v>0</v>
      </c>
    </row>
    <row r="51" customFormat="false" ht="16.5" hidden="false" customHeight="true" outlineLevel="0" collapsed="false">
      <c r="A51" s="5" t="s">
        <v>829</v>
      </c>
      <c r="B51" s="6" t="s">
        <v>173</v>
      </c>
      <c r="C51" s="5" t="s">
        <v>121</v>
      </c>
      <c r="D51" s="5" t="s">
        <v>777</v>
      </c>
      <c r="E51" s="5" t="n">
        <v>56</v>
      </c>
      <c r="F51" s="17" t="n">
        <v>3708152</v>
      </c>
      <c r="G51" s="17" t="n">
        <v>0</v>
      </c>
      <c r="H51" s="17" t="n">
        <v>451</v>
      </c>
      <c r="I51" s="67" t="n">
        <v>0</v>
      </c>
      <c r="J51" s="5"/>
      <c r="K51" s="5"/>
      <c r="L51" s="5"/>
      <c r="M51" s="24" t="n">
        <v>0</v>
      </c>
    </row>
    <row r="52" customFormat="false" ht="16.5" hidden="false" customHeight="true" outlineLevel="0" collapsed="false">
      <c r="A52" s="5" t="s">
        <v>830</v>
      </c>
      <c r="B52" s="6" t="s">
        <v>177</v>
      </c>
      <c r="C52" s="5" t="s">
        <v>124</v>
      </c>
      <c r="D52" s="5" t="s">
        <v>798</v>
      </c>
      <c r="E52" s="5" t="n">
        <v>181</v>
      </c>
      <c r="F52" s="17" t="n">
        <v>3315559</v>
      </c>
      <c r="G52" s="17" t="n">
        <v>57339</v>
      </c>
      <c r="H52" s="17" t="n">
        <v>455</v>
      </c>
      <c r="I52" s="68" t="n">
        <v>0.137</v>
      </c>
      <c r="J52" s="5" t="n">
        <v>5</v>
      </c>
      <c r="K52" s="5" t="n">
        <v>4</v>
      </c>
      <c r="L52" s="5"/>
      <c r="M52" s="24" t="n">
        <v>0.008</v>
      </c>
    </row>
    <row r="53" customFormat="false" ht="16.5" hidden="false" customHeight="true" outlineLevel="0" collapsed="false">
      <c r="A53" s="5" t="s">
        <v>831</v>
      </c>
      <c r="B53" s="6" t="s">
        <v>180</v>
      </c>
      <c r="C53" s="5" t="s">
        <v>128</v>
      </c>
      <c r="D53" s="5" t="s">
        <v>777</v>
      </c>
      <c r="E53" s="5" t="n">
        <v>181</v>
      </c>
      <c r="F53" s="17" t="n">
        <v>2286567</v>
      </c>
      <c r="G53" s="17" t="n">
        <v>943048</v>
      </c>
      <c r="H53" s="17" t="n">
        <v>333</v>
      </c>
      <c r="I53" s="69" t="n">
        <v>0.045</v>
      </c>
      <c r="J53" s="5" t="n">
        <v>6</v>
      </c>
      <c r="K53" s="5" t="n">
        <v>4</v>
      </c>
      <c r="L53" s="5"/>
      <c r="M53" s="24" t="n">
        <v>0.015</v>
      </c>
    </row>
    <row r="54" customFormat="false" ht="16.5" hidden="false" customHeight="true" outlineLevel="0" collapsed="false">
      <c r="A54" s="5" t="s">
        <v>832</v>
      </c>
      <c r="B54" s="6" t="s">
        <v>178</v>
      </c>
      <c r="C54" s="5" t="s">
        <v>179</v>
      </c>
      <c r="D54" s="5" t="s">
        <v>795</v>
      </c>
      <c r="E54" s="5" t="n">
        <v>181</v>
      </c>
      <c r="F54" s="17" t="n">
        <v>2663618</v>
      </c>
      <c r="G54" s="17" t="n">
        <v>222209</v>
      </c>
      <c r="H54" s="17" t="n">
        <v>327</v>
      </c>
      <c r="I54" s="69" t="n">
        <v>-0.028</v>
      </c>
      <c r="J54" s="5" t="n">
        <v>6</v>
      </c>
      <c r="K54" s="5" t="n">
        <v>6</v>
      </c>
      <c r="L54" s="5"/>
      <c r="M54" s="24" t="n">
        <v>0</v>
      </c>
    </row>
    <row r="55" customFormat="false" ht="16.5" hidden="false" customHeight="true" outlineLevel="0" collapsed="false">
      <c r="A55" s="5" t="s">
        <v>833</v>
      </c>
      <c r="B55" s="6" t="s">
        <v>181</v>
      </c>
      <c r="C55" s="5" t="s">
        <v>138</v>
      </c>
      <c r="D55" s="5" t="s">
        <v>798</v>
      </c>
      <c r="E55" s="5" t="n">
        <v>181</v>
      </c>
      <c r="F55" s="17" t="n">
        <v>2086987</v>
      </c>
      <c r="G55" s="17" t="n">
        <v>458119</v>
      </c>
      <c r="H55" s="17" t="n">
        <v>281</v>
      </c>
      <c r="I55" s="68" t="n">
        <v>0.188</v>
      </c>
      <c r="J55" s="5" t="n">
        <v>4</v>
      </c>
      <c r="K55" s="5" t="n">
        <v>6</v>
      </c>
      <c r="L55" s="5"/>
      <c r="M55" s="24" t="n">
        <v>0.005</v>
      </c>
    </row>
    <row r="56" customFormat="false" ht="16.5" hidden="false" customHeight="true" outlineLevel="0" collapsed="false">
      <c r="A56" s="5" t="s">
        <v>834</v>
      </c>
      <c r="B56" s="6" t="s">
        <v>182</v>
      </c>
      <c r="C56" s="5" t="s">
        <v>138</v>
      </c>
      <c r="D56" s="5" t="s">
        <v>777</v>
      </c>
      <c r="E56" s="5" t="n">
        <v>181</v>
      </c>
      <c r="F56" s="17" t="n">
        <v>1960098</v>
      </c>
      <c r="G56" s="17" t="n">
        <v>471201</v>
      </c>
      <c r="H56" s="17" t="n">
        <v>408</v>
      </c>
      <c r="I56" s="68" t="n">
        <v>0.06</v>
      </c>
      <c r="J56" s="5" t="n">
        <v>4</v>
      </c>
      <c r="K56" s="5" t="n">
        <v>7</v>
      </c>
      <c r="L56" s="5"/>
      <c r="M56" s="24" t="n">
        <v>0</v>
      </c>
    </row>
    <row r="57" customFormat="false" ht="16.5" hidden="false" customHeight="true" outlineLevel="0" collapsed="false">
      <c r="A57" s="5" t="s">
        <v>835</v>
      </c>
      <c r="B57" s="6" t="s">
        <v>183</v>
      </c>
      <c r="C57" s="5" t="s">
        <v>184</v>
      </c>
      <c r="D57" s="5" t="s">
        <v>795</v>
      </c>
      <c r="E57" s="5" t="n">
        <v>39</v>
      </c>
      <c r="F57" s="17" t="n">
        <v>1451309</v>
      </c>
      <c r="G57" s="17" t="n">
        <v>480553</v>
      </c>
      <c r="H57" s="17" t="n">
        <v>196</v>
      </c>
      <c r="I57" s="67" t="n">
        <v>0</v>
      </c>
      <c r="J57" s="5"/>
      <c r="K57" s="5"/>
      <c r="L57" s="5"/>
      <c r="M57" s="24" t="n">
        <v>0</v>
      </c>
    </row>
    <row r="58" customFormat="false" ht="16.5" hidden="false" customHeight="true" outlineLevel="0" collapsed="false">
      <c r="A58" s="5" t="s">
        <v>836</v>
      </c>
      <c r="B58" s="6" t="s">
        <v>185</v>
      </c>
      <c r="C58" s="5" t="s">
        <v>186</v>
      </c>
      <c r="D58" s="5" t="s">
        <v>795</v>
      </c>
      <c r="E58" s="5" t="n">
        <v>6</v>
      </c>
      <c r="F58" s="17" t="n">
        <v>1099275</v>
      </c>
      <c r="G58" s="17" t="n">
        <v>220383</v>
      </c>
      <c r="H58" s="17" t="n">
        <v>154</v>
      </c>
      <c r="I58" s="67" t="n">
        <v>0</v>
      </c>
      <c r="J58" s="5" t="n">
        <v>5</v>
      </c>
      <c r="K58" s="5" t="n">
        <v>6</v>
      </c>
      <c r="L58" s="5"/>
      <c r="M58" s="24" t="n">
        <v>0</v>
      </c>
    </row>
    <row r="59" customFormat="false" ht="15" hidden="false" customHeight="true" outlineLevel="0" collapsed="false">
      <c r="A59" s="20"/>
      <c r="B59" s="20" t="s">
        <v>187</v>
      </c>
      <c r="C59" s="20"/>
      <c r="D59" s="20"/>
      <c r="E59" s="20"/>
      <c r="F59" s="21" t="n">
        <f aca="false">SUM(F4:F58)</f>
        <v>478886741</v>
      </c>
      <c r="G59" s="21" t="n">
        <f aca="false">SUM(G4:G58)</f>
        <v>109395328</v>
      </c>
      <c r="H59" s="21" t="n">
        <f aca="false">SUM(H4:H58)</f>
        <v>61573</v>
      </c>
      <c r="I59" s="20"/>
      <c r="J59" s="21" t="n">
        <f aca="false">SUM(J4:J58)</f>
        <v>482</v>
      </c>
      <c r="K59" s="21" t="n">
        <f aca="false">SUM(K4:K58)</f>
        <v>399</v>
      </c>
      <c r="L59" s="21" t="n">
        <f aca="false">SUM(L4:L58)</f>
        <v>103</v>
      </c>
      <c r="M59" s="20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5"/>
    <col collapsed="false" customWidth="true" hidden="false" outlineLevel="0" max="15" min="14" style="0" width="9"/>
    <col collapsed="false" customWidth="true" hidden="false" outlineLevel="0" max="17" min="17" style="0" width="12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2" t="s">
        <v>837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3" t="s">
        <v>838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2</v>
      </c>
      <c r="B3" s="4" t="s">
        <v>111</v>
      </c>
      <c r="C3" s="4" t="s">
        <v>245</v>
      </c>
      <c r="D3" s="4" t="s">
        <v>839</v>
      </c>
      <c r="E3" s="4" t="s">
        <v>840</v>
      </c>
      <c r="F3" s="4" t="s">
        <v>841</v>
      </c>
      <c r="G3" s="4" t="s">
        <v>842</v>
      </c>
      <c r="H3" s="4" t="s">
        <v>843</v>
      </c>
      <c r="I3" s="4" t="s">
        <v>844</v>
      </c>
      <c r="J3" s="4" t="s">
        <v>845</v>
      </c>
      <c r="K3" s="4" t="s">
        <v>577</v>
      </c>
      <c r="L3" s="4" t="s">
        <v>846</v>
      </c>
      <c r="M3" s="4" t="s">
        <v>847</v>
      </c>
      <c r="N3" s="4" t="s">
        <v>848</v>
      </c>
      <c r="O3" s="4" t="s">
        <v>466</v>
      </c>
      <c r="Q3" s="70" t="s">
        <v>849</v>
      </c>
      <c r="R3" s="70" t="s">
        <v>579</v>
      </c>
    </row>
    <row r="4" customFormat="false" ht="19.5" hidden="false" customHeight="true" outlineLevel="0" collapsed="false">
      <c r="A4" s="5" t="n">
        <v>1</v>
      </c>
      <c r="B4" s="58" t="s">
        <v>664</v>
      </c>
      <c r="C4" s="23" t="n">
        <v>30.56</v>
      </c>
      <c r="D4" s="17" t="n">
        <v>4261</v>
      </c>
      <c r="E4" s="60" t="n">
        <v>11</v>
      </c>
      <c r="F4" s="60" t="n">
        <v>9</v>
      </c>
      <c r="G4" s="24" t="n">
        <v>0.4899</v>
      </c>
      <c r="H4" s="24" t="n">
        <v>0.5101</v>
      </c>
      <c r="I4" s="5" t="s">
        <v>850</v>
      </c>
      <c r="J4" s="60" t="n">
        <v>32</v>
      </c>
      <c r="K4" s="60" t="n">
        <v>34</v>
      </c>
      <c r="L4" s="5" t="s">
        <v>776</v>
      </c>
      <c r="M4" s="5" t="s">
        <v>851</v>
      </c>
      <c r="N4" s="5" t="s">
        <v>852</v>
      </c>
      <c r="O4" s="60" t="n">
        <v>18</v>
      </c>
      <c r="Q4" s="71" t="s">
        <v>853</v>
      </c>
      <c r="R4" s="71" t="s">
        <v>854</v>
      </c>
    </row>
    <row r="5" customFormat="false" ht="19.5" hidden="false" customHeight="true" outlineLevel="0" collapsed="false">
      <c r="A5" s="5" t="n">
        <v>2</v>
      </c>
      <c r="B5" s="58" t="s">
        <v>142</v>
      </c>
      <c r="C5" s="23" t="n">
        <v>21.07</v>
      </c>
      <c r="D5" s="17" t="n">
        <v>1269</v>
      </c>
      <c r="E5" s="60" t="n">
        <v>3</v>
      </c>
      <c r="F5" s="60" t="n">
        <v>3</v>
      </c>
      <c r="G5" s="24" t="n">
        <v>0.4471</v>
      </c>
      <c r="H5" s="24" t="n">
        <v>0.5529</v>
      </c>
      <c r="I5" s="5" t="s">
        <v>850</v>
      </c>
      <c r="J5" s="60" t="n">
        <v>9</v>
      </c>
      <c r="K5" s="60" t="n">
        <v>9</v>
      </c>
      <c r="L5" s="5" t="s">
        <v>801</v>
      </c>
      <c r="M5" s="5" t="s">
        <v>142</v>
      </c>
      <c r="N5" s="5" t="s">
        <v>852</v>
      </c>
      <c r="O5" s="60" t="n">
        <v>9</v>
      </c>
      <c r="Q5" s="71" t="s">
        <v>855</v>
      </c>
      <c r="R5" s="71" t="s">
        <v>856</v>
      </c>
    </row>
    <row r="6" customFormat="false" ht="19.5" hidden="false" customHeight="true" outlineLevel="0" collapsed="false">
      <c r="A6" s="5" t="n">
        <v>3</v>
      </c>
      <c r="B6" s="58" t="s">
        <v>151</v>
      </c>
      <c r="C6" s="23" t="n">
        <v>20.99</v>
      </c>
      <c r="D6" s="17" t="n">
        <v>864</v>
      </c>
      <c r="E6" s="60" t="n">
        <v>2</v>
      </c>
      <c r="F6" s="60" t="n">
        <v>2</v>
      </c>
      <c r="G6" s="24" t="n">
        <v>0.4964</v>
      </c>
      <c r="H6" s="24" t="n">
        <v>0.5036</v>
      </c>
      <c r="I6" s="5" t="s">
        <v>857</v>
      </c>
      <c r="J6" s="60" t="n">
        <v>7</v>
      </c>
      <c r="K6" s="60" t="n">
        <v>8</v>
      </c>
      <c r="L6" s="5" t="s">
        <v>813</v>
      </c>
      <c r="M6" s="5" t="s">
        <v>151</v>
      </c>
      <c r="N6" s="5" t="s">
        <v>852</v>
      </c>
      <c r="O6" s="60" t="n">
        <v>10</v>
      </c>
    </row>
    <row r="7" customFormat="false" ht="19.5" hidden="false" customHeight="true" outlineLevel="0" collapsed="false">
      <c r="A7" s="5" t="n">
        <v>4</v>
      </c>
      <c r="B7" s="58" t="s">
        <v>667</v>
      </c>
      <c r="C7" s="23" t="n">
        <v>20.01</v>
      </c>
      <c r="D7" s="17" t="n">
        <v>790</v>
      </c>
      <c r="E7" s="60" t="n">
        <v>2</v>
      </c>
      <c r="F7" s="60" t="n">
        <v>2</v>
      </c>
      <c r="G7" s="24" t="n">
        <v>0.4511</v>
      </c>
      <c r="H7" s="24" t="n">
        <v>0.5489</v>
      </c>
      <c r="I7" s="5" t="s">
        <v>850</v>
      </c>
      <c r="J7" s="60" t="n">
        <v>7</v>
      </c>
      <c r="K7" s="60" t="n">
        <v>7</v>
      </c>
      <c r="L7" s="5" t="s">
        <v>820</v>
      </c>
      <c r="M7" s="5" t="s">
        <v>160</v>
      </c>
      <c r="N7" s="5" t="s">
        <v>858</v>
      </c>
      <c r="O7" s="60" t="n">
        <v>4</v>
      </c>
    </row>
    <row r="8" customFormat="false" ht="19.5" hidden="false" customHeight="true" outlineLevel="0" collapsed="false">
      <c r="A8" s="5" t="n">
        <v>5</v>
      </c>
      <c r="B8" s="58" t="s">
        <v>668</v>
      </c>
      <c r="C8" s="23" t="n">
        <v>23.16</v>
      </c>
      <c r="D8" s="17" t="n">
        <v>443</v>
      </c>
      <c r="E8" s="60" t="n">
        <v>2</v>
      </c>
      <c r="F8" s="60" t="n">
        <v>2</v>
      </c>
      <c r="G8" s="24" t="n">
        <v>0.439</v>
      </c>
      <c r="H8" s="24" t="n">
        <v>0.561</v>
      </c>
      <c r="I8" s="5" t="s">
        <v>850</v>
      </c>
      <c r="J8" s="60" t="n">
        <v>5</v>
      </c>
      <c r="K8" s="60" t="n">
        <v>6</v>
      </c>
      <c r="L8" s="5" t="s">
        <v>828</v>
      </c>
      <c r="M8" s="5" t="s">
        <v>668</v>
      </c>
      <c r="N8" s="5" t="s">
        <v>852</v>
      </c>
      <c r="O8" s="60" t="n">
        <v>6</v>
      </c>
    </row>
    <row r="10" customFormat="false" ht="15" hidden="false" customHeight="false" outlineLevel="0" collapsed="false">
      <c r="B10" s="46" t="s">
        <v>859</v>
      </c>
    </row>
    <row r="11" customFormat="false" ht="15" hidden="false" customHeight="false" outlineLevel="0" collapsed="false">
      <c r="B11" s="46" t="s">
        <v>860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2026-08-06T08:57:57Z</dcterms:created>
  <dc:creator>openpyxl</dc:creator>
  <dc:description/>
  <dc:language>en-US</dc:language>
  <cp:lastModifiedBy/>
  <dcterms:modified xsi:type="dcterms:W3CDTF">2026-08-12T13:13:27Z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