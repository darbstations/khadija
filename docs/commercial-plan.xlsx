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إطار" sheetId="1" state="visible" r:id="rId3"/>
    <sheet name="المنافسون" sheetId="2" state="visible" r:id="rId4"/>
    <sheet name="وقود · أفراد" sheetId="3" state="visible" r:id="rId5"/>
    <sheet name="وقود · شركات" sheetId="4" state="visible" r:id="rId6"/>
    <sheet name="العقار والتأجير" sheetId="5" state="visible" r:id="rId7"/>
    <sheet name="الإكسسوارات" sheetId="6" state="visible" r:id="rId8"/>
    <sheet name="تكلفة اللتر" sheetId="7" state="visible" r:id="rId9"/>
    <sheet name="تجريبي — ثلاث محطات" sheetId="8" state="visible" r:id="rId10"/>
    <sheet name="البيانات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<sst xmlns="http://schemas.openxmlformats.org/spreadsheetml/2006/main" count="830" uniqueCount="552">
  <si>
    <t xml:space="preserve">الخطة التجارية — ثلاثة منافذ بيع</t>
  </si>
  <si>
    <t xml:space="preserve">الوقود (شركات · أفراد) · العقار والتأجير · الإكسسوارات</t>
  </si>
  <si>
    <t xml:space="preserve">#</t>
  </si>
  <si>
    <t xml:space="preserve">المنفذ</t>
  </si>
  <si>
    <t xml:space="preserve">القناة</t>
  </si>
  <si>
    <t xml:space="preserve">المسيطر على السوق</t>
  </si>
  <si>
    <t xml:space="preserve">موقعنا</t>
  </si>
  <si>
    <t xml:space="preserve">محور الخطة</t>
  </si>
  <si>
    <t xml:space="preserve">الوقود</t>
  </si>
  <si>
    <t xml:space="preserve">أفراد</t>
  </si>
  <si>
    <t xml:space="preserve">كل مشغّلي المحطات — الدريس · ساسكو · أرامكو</t>
  </si>
  <si>
    <t xml:space="preserve">126 محطة تحت الهوية</t>
  </si>
  <si>
    <t xml:space="preserve">سرعة الخدمة: تدريب العمالة · مستهدف لكل محطة · حافز لكل عامل · خفض المصاريف</t>
  </si>
  <si>
    <t xml:space="preserve">شركات</t>
  </si>
  <si>
    <t xml:space="preserve">بترو آب · واعي · سيارة آب · Fleet Plus · كنترول</t>
  </si>
  <si>
    <t xml:space="preserve">حجم قائم بلا عقود</t>
  </si>
  <si>
    <t xml:space="preserve">مندوب أساطيل الحج والعمرة · خصم هللة لكل لتر · الاشتراك في كل منصة</t>
  </si>
  <si>
    <t xml:space="preserve">العقار والتأجير</t>
  </si>
  <si>
    <t xml:space="preserve">وسطاء</t>
  </si>
  <si>
    <t xml:space="preserve">الوسطاء العقاريون — لا سلسلة مسيطرة</t>
  </si>
  <si>
    <t xml:space="preserve">96 وحدة شاغرة · إشغال 25%</t>
  </si>
  <si>
    <t xml:space="preserve">شبكة وسطاء بعمولة · ومعيار افتتاح: مغسلة وسوبرماركت مع كل محطة</t>
  </si>
  <si>
    <t xml:space="preserve">الإكسسوارات</t>
  </si>
  <si>
    <t xml:space="preserve">تجزئة</t>
  </si>
  <si>
    <t xml:space="preserve">أصحاب محلات التجزئة — سوق مجزّأ</t>
  </si>
  <si>
    <t xml:space="preserve">غير مُفعّل</t>
  </si>
  <si>
    <t xml:space="preserve">تأجير مساحة بيع ومساحة في التطبيق مقابل نسبة من المبيعات</t>
  </si>
  <si>
    <t xml:space="preserve">المبدأ</t>
  </si>
  <si>
    <t xml:space="preserve">•  ثلاثة منافذ فقط — وكل ما عداها يخدمها أو يتبعها</t>
  </si>
  <si>
    <t xml:space="preserve">•  الوقود قناتان مختلفتان تماماً في العميل وأداة البيع والمنافس</t>
  </si>
  <si>
    <t xml:space="preserve">•  في العقار والإكسسوارات لا مسيطر — وهما أضعف منافذنا وأقلّها منافسة</t>
  </si>
  <si>
    <t xml:space="preserve">قاعدة القرار</t>
  </si>
  <si>
    <t xml:space="preserve">•  الوحدة الشاغرة تُحسب تكلفة لا فرصة ضائعة — التمويل والإهلاك مدفوعان</t>
  </si>
  <si>
    <t xml:space="preserve">•  فعمولة الوسيط أرخص من بقاء الوحدة شاغرة</t>
  </si>
  <si>
    <t xml:space="preserve">•  وسعر الوقود مقنَّن — فالربح من الحجم والخدمة لا من السعر</t>
  </si>
  <si>
    <t xml:space="preserve">المنافسون حسب المنفذ</t>
  </si>
  <si>
    <t xml:space="preserve">مختصر — من يسيطر وبماذا وردّنا</t>
  </si>
  <si>
    <t xml:space="preserve">المنافس</t>
  </si>
  <si>
    <t xml:space="preserve">المنفذ والقناة</t>
  </si>
  <si>
    <t xml:space="preserve">الحجم</t>
  </si>
  <si>
    <t xml:space="preserve">مصدر السيطرة</t>
  </si>
  <si>
    <t xml:space="preserve">الردّ</t>
  </si>
  <si>
    <t xml:space="preserve">الدريس</t>
  </si>
  <si>
    <t xml:space="preserve">وقود · أفراد</t>
  </si>
  <si>
    <t xml:space="preserve">1,383 محطة · 18.95%</t>
  </si>
  <si>
    <t xml:space="preserve">الانتشار وسرعة ضمّ المستقلين</t>
  </si>
  <si>
    <t xml:space="preserve">المنافسة على الخدمة والربح لكل زيارة لا على السعر</t>
  </si>
  <si>
    <t xml:space="preserve">ساسكو</t>
  </si>
  <si>
    <t xml:space="preserve">~683 محطة · تشمل نفط</t>
  </si>
  <si>
    <t xml:space="preserve">النمو بالاستحواذ · وتطبيق أفراد ناضج</t>
  </si>
  <si>
    <t xml:space="preserve">تحسين تجربة المحطة وربط التطبيق بالمستأجرين</t>
  </si>
  <si>
    <t xml:space="preserve">بترو آب</t>
  </si>
  <si>
    <t xml:space="preserve">وقود · شركات</t>
  </si>
  <si>
    <t xml:space="preserve">500 ألف مركبة · 10 آلاف منشأة</t>
  </si>
  <si>
    <t xml:space="preserve">ملكية العلاقة مع المنشأة بلا أصول</t>
  </si>
  <si>
    <t xml:space="preserve">الاشتراك كنقطة قبول + التعاقد المباشر مع أساطيل الحج والعمرة</t>
  </si>
  <si>
    <t xml:space="preserve">واعي (الدريس)</t>
  </si>
  <si>
    <t xml:space="preserve">شبكة الدريس 1,383 محطة</t>
  </si>
  <si>
    <t xml:space="preserve">شريحة في فوهة المضخة تثبّت الأسطول</t>
  </si>
  <si>
    <t xml:space="preserve">خصم هللة لكل لتر يفوق ميزة الأداة التقنية</t>
  </si>
  <si>
    <t xml:space="preserve">سيارة آب</t>
  </si>
  <si>
    <t xml:space="preserve">2,500+ محطة قبول</t>
  </si>
  <si>
    <t xml:space="preserve">منصة وشبكة معاً بعد استحواذ 2026</t>
  </si>
  <si>
    <t xml:space="preserve">شراكة قائمة — رفع أساطيلنا عليها</t>
  </si>
  <si>
    <t xml:space="preserve">Fleet Plus</t>
  </si>
  <si>
    <t xml:space="preserve">5,000+ مزوّد خدمة</t>
  </si>
  <si>
    <t xml:space="preserve">حزمة موحّدة بفوترة واحدة</t>
  </si>
  <si>
    <t xml:space="preserve">الاشتراك كنقطة قبول</t>
  </si>
  <si>
    <t xml:space="preserve">الوسطاء العقاريون</t>
  </si>
  <si>
    <t xml:space="preserve">عقار</t>
  </si>
  <si>
    <t xml:space="preserve">مجزّأ — لا سلسلة مسيطرة</t>
  </si>
  <si>
    <t xml:space="preserve">ملكية قائمة المستأجرين الباحثين</t>
  </si>
  <si>
    <t xml:space="preserve">التحالف لا المنافسة — عمولة مقابل إشغال</t>
  </si>
  <si>
    <t xml:space="preserve">محلات التجزئة</t>
  </si>
  <si>
    <t xml:space="preserve">إكسسوارات</t>
  </si>
  <si>
    <t xml:space="preserve">مجزّأ — متاجر ومعارض</t>
  </si>
  <si>
    <t xml:space="preserve">المخزون والخبرة وعلاقة المورّد</t>
  </si>
  <si>
    <t xml:space="preserve">التعاقد لا المنافسة — مساحة مقابل نسبة</t>
  </si>
  <si>
    <t xml:space="preserve">القراءة</t>
  </si>
  <si>
    <t xml:space="preserve">•  في قناة الأفراد المنافس مشغّل محطات — والسلاح تجربة الخدمة</t>
  </si>
  <si>
    <t xml:space="preserve">•  في قناة الشركات المنافس منصة أو أداة — والسلاح السعر والعقد</t>
  </si>
  <si>
    <t xml:space="preserve">•  في العقار والإكسسوارات لا مسيطر — والسلاح الشراكة لا المواجهة</t>
  </si>
  <si>
    <t xml:space="preserve">الوقود — قناة الأفراد</t>
  </si>
  <si>
    <t xml:space="preserve">المنافس: كل مشغّلي المحطات · السلاح: سرعة الخدمة · الأداة: مستهدف لكل محطة وحافز لكل عامل</t>
  </si>
  <si>
    <t xml:space="preserve">محاور الخطة الأربعة</t>
  </si>
  <si>
    <t xml:space="preserve">تدريب العمالة</t>
  </si>
  <si>
    <t xml:space="preserve">الشكاوى</t>
  </si>
  <si>
    <t xml:space="preserve">56% من الشكاوى عن العامل: بطء الخدمة وسلوك</t>
  </si>
  <si>
    <t xml:space="preserve">برنامج تدريب على زمن الخدمة والتعامل</t>
  </si>
  <si>
    <t xml:space="preserve">يُقاس بانخفاض الشكاوى وزمن التعبئة</t>
  </si>
  <si>
    <t xml:space="preserve">فهم مشاكل العملاء</t>
  </si>
  <si>
    <t xml:space="preserve">الشكاوى + قوقل ماب</t>
  </si>
  <si>
    <t xml:space="preserve">41 من 103 شكوى منشورة على قوقل ماب</t>
  </si>
  <si>
    <t xml:space="preserve">تصنيف أسبوعي للشكاوى وإغلاقها بإجراء لا بتنبيه</t>
  </si>
  <si>
    <t xml:space="preserve">من 58 شكوى: 31 انتهت بتنبيه وصفر إجراء</t>
  </si>
  <si>
    <t xml:space="preserve">مستهدف وحافز</t>
  </si>
  <si>
    <t xml:space="preserve">الجدول أدناه</t>
  </si>
  <si>
    <t xml:space="preserve">مستهدف لكل محطة وحافز مرتبط به</t>
  </si>
  <si>
    <t xml:space="preserve">الحافز نسبة من هامش اللتر الإضافي</t>
  </si>
  <si>
    <t xml:space="preserve">يربط أجر العامل بنتيجة المحطة</t>
  </si>
  <si>
    <t xml:space="preserve">خفض مصاريف المحطة</t>
  </si>
  <si>
    <t xml:space="preserve">قائمة الدخل</t>
  </si>
  <si>
    <t xml:space="preserve">المصاريف النقدية 0.94 هللة لكل لتر فقط</t>
  </si>
  <si>
    <t xml:space="preserve">المجال ضيق — الأولوية للحجم لا للخفض</t>
  </si>
  <si>
    <t xml:space="preserve">88% من المصاريف إهلاك غير قابل للخفض</t>
  </si>
  <si>
    <t xml:space="preserve">مُدخلات النموذج</t>
  </si>
  <si>
    <t xml:space="preserve">سعر البيع المرجّح (ريال/لتر)</t>
  </si>
  <si>
    <t xml:space="preserve">هامش المساهمة لكل لتر (هللة)</t>
  </si>
  <si>
    <t xml:space="preserve">نسبة الحافز من الهامش الإضافي</t>
  </si>
  <si>
    <t xml:space="preserve">معدل النمو المستهدف للبنزين</t>
  </si>
  <si>
    <t xml:space="preserve">المستهدف والحافز لكل محطة</t>
  </si>
  <si>
    <t xml:space="preserve">المحطة</t>
  </si>
  <si>
    <t xml:space="preserve">المنطقة</t>
  </si>
  <si>
    <t xml:space="preserve">بنزين سنوي</t>
  </si>
  <si>
    <t xml:space="preserve">زيارة/يوم</t>
  </si>
  <si>
    <t xml:space="preserve">عمال</t>
  </si>
  <si>
    <t xml:space="preserve">المستهدف</t>
  </si>
  <si>
    <t xml:space="preserve">الزيادة</t>
  </si>
  <si>
    <t xml:space="preserve">الحافز (ريال/سنة)</t>
  </si>
  <si>
    <t xml:space="preserve">لكل عامل شهرياً</t>
  </si>
  <si>
    <t xml:space="preserve">العوالي</t>
  </si>
  <si>
    <t xml:space="preserve">مكة</t>
  </si>
  <si>
    <t xml:space="preserve">العمرة الجديدة</t>
  </si>
  <si>
    <t xml:space="preserve">عاصفة الصحراء</t>
  </si>
  <si>
    <t xml:space="preserve">الطائف</t>
  </si>
  <si>
    <t xml:space="preserve">العزيزية</t>
  </si>
  <si>
    <t xml:space="preserve">الشيباني</t>
  </si>
  <si>
    <t xml:space="preserve">النسيم</t>
  </si>
  <si>
    <t xml:space="preserve">جدة</t>
  </si>
  <si>
    <t xml:space="preserve">أحلى مساء</t>
  </si>
  <si>
    <t xml:space="preserve">الحليس - طريق الجنوب</t>
  </si>
  <si>
    <t xml:space="preserve">جنوب الطائف</t>
  </si>
  <si>
    <t xml:space="preserve">جبل النور</t>
  </si>
  <si>
    <t xml:space="preserve">الدائري الشمالي</t>
  </si>
  <si>
    <t xml:space="preserve">الرياض</t>
  </si>
  <si>
    <t xml:space="preserve">القادسية</t>
  </si>
  <si>
    <t xml:space="preserve">الدائري الثالث - الذكرى</t>
  </si>
  <si>
    <t xml:space="preserve">الصفا - أحد المسارحة</t>
  </si>
  <si>
    <t xml:space="preserve">جازان</t>
  </si>
  <si>
    <t xml:space="preserve">الحسينية</t>
  </si>
  <si>
    <t xml:space="preserve">الرصيفة</t>
  </si>
  <si>
    <t xml:space="preserve">طريق الليث - الفضيلة</t>
  </si>
  <si>
    <t xml:space="preserve">عرفات الشوقية</t>
  </si>
  <si>
    <t xml:space="preserve">ممشى الشوقية</t>
  </si>
  <si>
    <t xml:space="preserve">السواط - شهار</t>
  </si>
  <si>
    <t xml:space="preserve">أبو وافي العمرة</t>
  </si>
  <si>
    <t xml:space="preserve">الفلاح - فلسطين</t>
  </si>
  <si>
    <t xml:space="preserve">كورنيش جيزان</t>
  </si>
  <si>
    <t xml:space="preserve">الجعرانة</t>
  </si>
  <si>
    <t xml:space="preserve">الحمرا - طريق الملك عبدالله</t>
  </si>
  <si>
    <t xml:space="preserve">الخرج</t>
  </si>
  <si>
    <t xml:space="preserve">المعيصم</t>
  </si>
  <si>
    <t xml:space="preserve">مدخل محايل</t>
  </si>
  <si>
    <t xml:space="preserve">عسير</t>
  </si>
  <si>
    <t xml:space="preserve">الرصيفة المسار</t>
  </si>
  <si>
    <t xml:space="preserve">الجمعية الوسام</t>
  </si>
  <si>
    <t xml:space="preserve">الجموم - الكنيدري</t>
  </si>
  <si>
    <t xml:space="preserve">بطحاء قريش 1</t>
  </si>
  <si>
    <t xml:space="preserve">طريق السيل</t>
  </si>
  <si>
    <t xml:space="preserve">جنوب صبيا</t>
  </si>
  <si>
    <t xml:space="preserve">بن درويش</t>
  </si>
  <si>
    <t xml:space="preserve">الأجاويد</t>
  </si>
  <si>
    <t xml:space="preserve">القسوم - أحد المسارحة</t>
  </si>
  <si>
    <t xml:space="preserve">الكر النازل</t>
  </si>
  <si>
    <t xml:space="preserve">الملك خالد</t>
  </si>
  <si>
    <t xml:space="preserve">كورنيش الخبر</t>
  </si>
  <si>
    <t xml:space="preserve">الشرقية</t>
  </si>
  <si>
    <t xml:space="preserve">خبت نخلان</t>
  </si>
  <si>
    <t xml:space="preserve">غرناطة - طريق الملك عبدالله</t>
  </si>
  <si>
    <t xml:space="preserve">طريق صبيا</t>
  </si>
  <si>
    <t xml:space="preserve">بطحاء قريش 2</t>
  </si>
  <si>
    <t xml:space="preserve">الشرايع</t>
  </si>
  <si>
    <t xml:space="preserve">خليص</t>
  </si>
  <si>
    <t xml:space="preserve">جبل ثور - جوهرة النسيم</t>
  </si>
  <si>
    <t xml:space="preserve">الدائري الشرقي</t>
  </si>
  <si>
    <t xml:space="preserve">القصيم</t>
  </si>
  <si>
    <t xml:space="preserve">الناصفة</t>
  </si>
  <si>
    <t xml:space="preserve">البيعة</t>
  </si>
  <si>
    <t xml:space="preserve">العريفي</t>
  </si>
  <si>
    <t xml:space="preserve">حائل</t>
  </si>
  <si>
    <t xml:space="preserve">الكوثر</t>
  </si>
  <si>
    <t xml:space="preserve">الروابي - المودة</t>
  </si>
  <si>
    <t xml:space="preserve">صناعية صامطة</t>
  </si>
  <si>
    <t xml:space="preserve">طريق السلام</t>
  </si>
  <si>
    <t xml:space="preserve">المدينة المنورة</t>
  </si>
  <si>
    <t xml:space="preserve">المركب</t>
  </si>
  <si>
    <t xml:space="preserve">نجران</t>
  </si>
  <si>
    <t xml:space="preserve">الإجمالي</t>
  </si>
  <si>
    <t xml:space="preserve">آلية الحافز</t>
  </si>
  <si>
    <t xml:space="preserve">•  الحافز نسبة من هامش اللتر الإضافي — لا مبلغ ثابت</t>
  </si>
  <si>
    <t xml:space="preserve">•  فلا يُصرف إلا إذا تحقق النمو، ويتناسب مع حجمه</t>
  </si>
  <si>
    <t xml:space="preserve">•  التوزيع على عمال المحطة يربط الأجر بنتيجة المحطة مباشرة</t>
  </si>
  <si>
    <t xml:space="preserve">شرط نجاحه</t>
  </si>
  <si>
    <t xml:space="preserve">•  قياس شهري معلن لكل محطة — العامل يرى موقعه من المستهدف</t>
  </si>
  <si>
    <t xml:space="preserve">•  ربطه بمؤشر الخدمة أيضاً: الشكاوى وزمن التعبئة</t>
  </si>
  <si>
    <t xml:space="preserve">•  بلا قياس زمن الخدمة يتحوّل الحافز إلى مكافأة حجم لا مكافأة أداء</t>
  </si>
  <si>
    <t xml:space="preserve">حدّ خفض المصاريف</t>
  </si>
  <si>
    <t xml:space="preserve">•  المصاريف النقدية 0.94 هللة لكل لتر — و88% من المصاريف إهلاك</t>
  </si>
  <si>
    <t xml:space="preserve">•  فالخفض يعطي أقل من هللة، بينما النمو 5% يعطي أضعافه</t>
  </si>
  <si>
    <t xml:space="preserve">•  الأولوية للحجم والخدمة لا لبند المصاريف</t>
  </si>
  <si>
    <t xml:space="preserve">الوقود — قناة الشركات</t>
  </si>
  <si>
    <t xml:space="preserve">المنافس: بترو آب وواعي والمنصات · السلاح: مندوب أساطيل + خصم هللة + الاشتراك في كل منصة</t>
  </si>
  <si>
    <t xml:space="preserve">الخطة</t>
  </si>
  <si>
    <t xml:space="preserve">تعيين مندوب أساطيل</t>
  </si>
  <si>
    <t xml:space="preserve">حج وعمرة أولاً</t>
  </si>
  <si>
    <t xml:space="preserve">حصر الشركات والمكاتب والمشغّلين</t>
  </si>
  <si>
    <t xml:space="preserve">قائمة أساطيل مستهدفة بأرقام مركبات</t>
  </si>
  <si>
    <t xml:space="preserve">الأساطيل موجودة في محطاتنا اليوم بلا عقد</t>
  </si>
  <si>
    <t xml:space="preserve">خصم هللة لكل لتر</t>
  </si>
  <si>
    <t xml:space="preserve">أداة التعاقد</t>
  </si>
  <si>
    <t xml:space="preserve">سعر تفضيلي مقابل التزام حجم</t>
  </si>
  <si>
    <t xml:space="preserve">عقد سنوي بحد أدنى شهري</t>
  </si>
  <si>
    <t xml:space="preserve">الاقتصاديات في الجدول أدناه</t>
  </si>
  <si>
    <t xml:space="preserve">الرفع على سيارة آب</t>
  </si>
  <si>
    <t xml:space="preserve">الشراكة القائمة</t>
  </si>
  <si>
    <t xml:space="preserve">إدراج أساطيلنا على المنصة</t>
  </si>
  <si>
    <t xml:space="preserve">استفادة من شبكتها 2,500 محطة</t>
  </si>
  <si>
    <t xml:space="preserve">شراكة قائمة — أسرع مسار</t>
  </si>
  <si>
    <t xml:space="preserve">الاشتراك في كل منصة</t>
  </si>
  <si>
    <t xml:space="preserve">بترو آب · Fleet Plus</t>
  </si>
  <si>
    <t xml:space="preserve">نقطة قبول في شبكاتها</t>
  </si>
  <si>
    <t xml:space="preserve">حجم فوري مقابل عمولة</t>
  </si>
  <si>
    <t xml:space="preserve">500 ألف مركبة و10 آلاف منشأة خارج شبكتنا</t>
  </si>
  <si>
    <t xml:space="preserve">اقتصاديات خصم الهللة</t>
  </si>
  <si>
    <t xml:space="preserve">هامش المساهمة قبل الخصم (هللة)</t>
  </si>
  <si>
    <t xml:space="preserve">الخصم الممنوح (هللة)</t>
  </si>
  <si>
    <t xml:space="preserve">اللترات المتعاقدة المستهدفة (سنوياً)</t>
  </si>
  <si>
    <t xml:space="preserve">البند</t>
  </si>
  <si>
    <t xml:space="preserve">القيمة</t>
  </si>
  <si>
    <t xml:space="preserve">الدلالة</t>
  </si>
  <si>
    <t xml:space="preserve">الهامش بعد الخصم (هللة)</t>
  </si>
  <si>
    <t xml:space="preserve">ما يتبقى لنا لكل لتر</t>
  </si>
  <si>
    <t xml:space="preserve">نسبة التنازل من الهامش</t>
  </si>
  <si>
    <t xml:space="preserve">كلفة اكتساب العقد</t>
  </si>
  <si>
    <t xml:space="preserve">هامش اللترات المتعاقدة (ريال/سنة)</t>
  </si>
  <si>
    <t xml:space="preserve">الربح من الحجم المتعاقد</t>
  </si>
  <si>
    <t xml:space="preserve">قيمة الخصم الممنوح (ريال/سنة)</t>
  </si>
  <si>
    <t xml:space="preserve">ما تنازلنا عنه</t>
  </si>
  <si>
    <t xml:space="preserve">نقطة التعادل — لتر إضافي مطلوب</t>
  </si>
  <si>
    <t xml:space="preserve">الحجم الإضافي الذي يعوّض الخصم</t>
  </si>
  <si>
    <t xml:space="preserve">نسبة النمو المطلوبة للتعادل</t>
  </si>
  <si>
    <t xml:space="preserve">إن تحقق أقل منها فالخصم خاسر</t>
  </si>
  <si>
    <t xml:space="preserve">السوق المتاح — بصمة الأسطول في بياناتنا</t>
  </si>
  <si>
    <t xml:space="preserve">حصة الديزل</t>
  </si>
  <si>
    <t xml:space="preserve">ديزل سنوي (لتر)</t>
  </si>
  <si>
    <t xml:space="preserve">لتر/زيارة</t>
  </si>
  <si>
    <t xml:space="preserve">MK289 طريق الليث - الفضيلة</t>
  </si>
  <si>
    <t xml:space="preserve">أرقام أسطول لا أفراد</t>
  </si>
  <si>
    <t xml:space="preserve">MK014 خليص</t>
  </si>
  <si>
    <t xml:space="preserve">MK033 أبو وافي العمرة</t>
  </si>
  <si>
    <t xml:space="preserve">QS055 الدائري الشرقي</t>
  </si>
  <si>
    <t xml:space="preserve">JA061 طريق صبيا</t>
  </si>
  <si>
    <t xml:space="preserve">MK054 طريق السيل</t>
  </si>
  <si>
    <t xml:space="preserve">MK004 عاصفة الصحراء</t>
  </si>
  <si>
    <t xml:space="preserve">MK210 الفلاح - فلسطين</t>
  </si>
  <si>
    <t xml:space="preserve">حجم الفرصة</t>
  </si>
  <si>
    <t xml:space="preserve">•  الديزل 109.4 مليون لتر سنوياً — وهو سوق الأساطيل المتاح داخل شبكتنا</t>
  </si>
  <si>
    <t xml:space="preserve">•  MK289 ديزلها 64% و43.7 لتر لكل زيارة — أرقام أسطول لا أفراد</t>
  </si>
  <si>
    <t xml:space="preserve">•  الحجم يمرّ عندنا اليوم بلا عقد — فالتعاقد تثبيت لا اكتساب</t>
  </si>
  <si>
    <t xml:space="preserve">لماذا المساران معاً</t>
  </si>
  <si>
    <t xml:space="preserve">•  المندوب يصل إلى أساطيل الحج والعمرة مباشرة — عقد وبيانات وهامش كامل</t>
  </si>
  <si>
    <t xml:space="preserve">•  والمنصات تلتقط ما لا يصله المندوب مقابل عمولة</t>
  </si>
  <si>
    <t xml:space="preserve">•  المعيار: عمولة المنصة لكل لتر مقابل تكلفة المندوب لكل لتر — يُراجع كل ربع</t>
  </si>
  <si>
    <t xml:space="preserve">شرط التنفيذ</t>
  </si>
  <si>
    <t xml:space="preserve">•  آلية ائتمان وفوترة قبل أول عقد — لا يمكن بيع الأسطول نقداً</t>
  </si>
  <si>
    <t xml:space="preserve">•  تعريف الحد الأدنى للحجم الذي يستحق الخصم</t>
  </si>
  <si>
    <t xml:space="preserve">المسيطر: الوسطاء · القاعدة: الوحدة الشاغرة تكلفة لا فرصة ضائعة</t>
  </si>
  <si>
    <t xml:space="preserve">شبكة وسطاء وطنية</t>
  </si>
  <si>
    <t xml:space="preserve">الوسطاء يملكون قائمة المستأجرين</t>
  </si>
  <si>
    <t xml:space="preserve">عمولة مقابل إشغال</t>
  </si>
  <si>
    <t xml:space="preserve">التحالف لا المنافسة</t>
  </si>
  <si>
    <t xml:space="preserve">أرخص من بقاء الوحدة شاغرة</t>
  </si>
  <si>
    <t xml:space="preserve">تسعير العمولة</t>
  </si>
  <si>
    <t xml:space="preserve">نسبة من الإيجار السنوي</t>
  </si>
  <si>
    <t xml:space="preserve">تُقارن بتكلفة الشغور الشهرية</t>
  </si>
  <si>
    <t xml:space="preserve">النموذج أدناه</t>
  </si>
  <si>
    <t xml:space="preserve">الحد الأعلى للعمولة = تكلفة الشغور</t>
  </si>
  <si>
    <t xml:space="preserve">معيار افتتاح إلزامي</t>
  </si>
  <si>
    <t xml:space="preserve">مغسلة + سوبرماركت</t>
  </si>
  <si>
    <t xml:space="preserve">مع كل محطة جديدة</t>
  </si>
  <si>
    <t xml:space="preserve">يمنع تكرار الشغور</t>
  </si>
  <si>
    <t xml:space="preserve">52 محطة تحت الإنشاء — النافذة مفتوحة الآن</t>
  </si>
  <si>
    <t xml:space="preserve">حصر وتصنيف الشواغر</t>
  </si>
  <si>
    <t xml:space="preserve">60 وحدة بلا نوع</t>
  </si>
  <si>
    <t xml:space="preserve">شرط لأي تسويق</t>
  </si>
  <si>
    <t xml:space="preserve">عمل ميداني 4–6 أسابيع</t>
  </si>
  <si>
    <t xml:space="preserve">ما لم يُحصر لا يُسوَّق</t>
  </si>
  <si>
    <t xml:space="preserve">الوحدة الشاغرة تكلفة — نموذج العمولة</t>
  </si>
  <si>
    <t xml:space="preserve">الإيجار السنوي المتوقع للوحدة</t>
  </si>
  <si>
    <t xml:space="preserve">تكلفة التمويل والإهلاك للوحدة سنوياً</t>
  </si>
  <si>
    <t xml:space="preserve">عمولة الوسيط (% من الإيجار السنوي)</t>
  </si>
  <si>
    <t xml:space="preserve">أشهر الشغور المتوقعة بلا وسيط</t>
  </si>
  <si>
    <t xml:space="preserve">تكلفة الوحدة الشاغرة شهرياً</t>
  </si>
  <si>
    <t xml:space="preserve">تُدفع سواء أُجّرت أم لا</t>
  </si>
  <si>
    <t xml:space="preserve">خسارة الشغور المتوقعة</t>
  </si>
  <si>
    <t xml:space="preserve">التكلفة الثابتة + الإيجار الفائت</t>
  </si>
  <si>
    <t xml:space="preserve">قيمة عمولة الوسيط</t>
  </si>
  <si>
    <t xml:space="preserve">تُدفع مرة واحدة</t>
  </si>
  <si>
    <t xml:space="preserve">صافي الفرق لصالح الوسيط</t>
  </si>
  <si>
    <t xml:space="preserve">موجب يعني أن العمولة أرخص</t>
  </si>
  <si>
    <t xml:space="preserve">الحد الأعلى المبرَّر للعمولة</t>
  </si>
  <si>
    <t xml:space="preserve">النسبة التي تتساوى عندها العمولة مع خسارة الشغور</t>
  </si>
  <si>
    <t xml:space="preserve">معيار افتتاح المحطة الجديدة</t>
  </si>
  <si>
    <t xml:space="preserve">النشاط</t>
  </si>
  <si>
    <t xml:space="preserve">الإلزام</t>
  </si>
  <si>
    <t xml:space="preserve">التوقيت</t>
  </si>
  <si>
    <t xml:space="preserve">المسؤول</t>
  </si>
  <si>
    <t xml:space="preserve">السبب</t>
  </si>
  <si>
    <t xml:space="preserve">مغسلة</t>
  </si>
  <si>
    <t xml:space="preserve">إلزامي</t>
  </si>
  <si>
    <t xml:space="preserve">قبل الافتتاح</t>
  </si>
  <si>
    <t xml:space="preserve">التأجير</t>
  </si>
  <si>
    <t xml:space="preserve">تفتح نافذة مكوث 20 دقيقة وتغذّي القهوة والماركت</t>
  </si>
  <si>
    <t xml:space="preserve">سوبرماركت</t>
  </si>
  <si>
    <t xml:space="preserve">أعلى اختراق مثبت — فريش واي في 17 محطة</t>
  </si>
  <si>
    <t xml:space="preserve">قهوة</t>
  </si>
  <si>
    <t xml:space="preserve">مُوصى به</t>
  </si>
  <si>
    <t xml:space="preserve">49% اختراق حالي · يرفع سلة الزيارة</t>
  </si>
  <si>
    <t xml:space="preserve">خدمات سيارات</t>
  </si>
  <si>
    <t xml:space="preserve">خلال سنة</t>
  </si>
  <si>
    <t xml:space="preserve">الشراكات</t>
  </si>
  <si>
    <t xml:space="preserve">أعلى سلة · 61 محطة بلا خدمة إطارات</t>
  </si>
  <si>
    <t xml:space="preserve">صراف آلي</t>
  </si>
  <si>
    <t xml:space="preserve">إيراد ثابت بلا تشغيل — البنك يركّب</t>
  </si>
  <si>
    <t xml:space="preserve">مساحة إكسسوارات</t>
  </si>
  <si>
    <t xml:space="preserve">تُؤجَّر بنسبة لا بإيجار ثابت</t>
  </si>
  <si>
    <t xml:space="preserve">لماذا الوسطاء</t>
  </si>
  <si>
    <t xml:space="preserve">•  الوسيط يملك قائمة المستأجرين الباحثين — ونحن لا نملكها</t>
  </si>
  <si>
    <t xml:space="preserve">•  ووكيل الامتياز هو من يقرّر أين تفتح العلامة فرعها لا العلامة نفسها</t>
  </si>
  <si>
    <t xml:space="preserve">•  العمولة تكلفة متغيرة تُدفع عند الإشغال فقط</t>
  </si>
  <si>
    <t xml:space="preserve">الحساب الحاسم</t>
  </si>
  <si>
    <t xml:space="preserve">•  التمويل وإهلاك حق الاستخدام مدفوعان على الأرض كاملة</t>
  </si>
  <si>
    <t xml:space="preserve">•  في العمرة يلتهمان 63% من دخل الإيجار وفي الشرايع 106%</t>
  </si>
  <si>
    <t xml:space="preserve">•  فكل ريال إيجار إضافي يتدفّق إلى الربح شبه كاملاً</t>
  </si>
  <si>
    <t xml:space="preserve">النافذة</t>
  </si>
  <si>
    <t xml:space="preserve">•  52 محطة تحت الإنشاء — إدراج المغسلة والسوبرماركت في تصميمها الآن</t>
  </si>
  <si>
    <t xml:space="preserve">•  التعاقد قبل الافتتاح أرخص وأسرع من ملء محطة عاملة</t>
  </si>
  <si>
    <t xml:space="preserve">المسيطر: أصحاب محلات التجزئة · النموذج: مساحة بيع ومساحة في التطبيق مقابل نسبة</t>
  </si>
  <si>
    <t xml:space="preserve">التعاقد مع محلات التجزئة</t>
  </si>
  <si>
    <t xml:space="preserve">لا تشغيل ذاتي</t>
  </si>
  <si>
    <t xml:space="preserve">المخزون والمرتجعات على الشريك</t>
  </si>
  <si>
    <t xml:space="preserve">التجزئة تملك الخبرة والمورّد</t>
  </si>
  <si>
    <t xml:space="preserve">سوق مجزّأ بلا سلسلة مسيطرة</t>
  </si>
  <si>
    <t xml:space="preserve">تأجير مساحة البيع</t>
  </si>
  <si>
    <t xml:space="preserve">وحدة أو ركن</t>
  </si>
  <si>
    <t xml:space="preserve">داخل المحطة</t>
  </si>
  <si>
    <t xml:space="preserve">من الوحدات الشاغرة القائمة</t>
  </si>
  <si>
    <t xml:space="preserve">لا يحتاج استثماراً جديداً</t>
  </si>
  <si>
    <t xml:space="preserve">تأجير مساحة في التطبيق</t>
  </si>
  <si>
    <t xml:space="preserve">واجهة بيع رقمية</t>
  </si>
  <si>
    <t xml:space="preserve">ظهور للمنتجات</t>
  </si>
  <si>
    <t xml:space="preserve">أصل رقمي نملكه</t>
  </si>
  <si>
    <t xml:space="preserve">يوسّع السوق خارج المحطة</t>
  </si>
  <si>
    <t xml:space="preserve">نسبة من المبيعات</t>
  </si>
  <si>
    <t xml:space="preserve">بدل الإيجار الثابت</t>
  </si>
  <si>
    <t xml:space="preserve">أو حد أدنى مضمون + نسبة</t>
  </si>
  <si>
    <t xml:space="preserve">يربط عائدنا بأداء الشريك</t>
  </si>
  <si>
    <t xml:space="preserve">يخفض مخاطرة الشريك ويرفع سقف عائدنا</t>
  </si>
  <si>
    <t xml:space="preserve">نموذج التعاقد — يُعبّأ لكل شريك</t>
  </si>
  <si>
    <t xml:space="preserve">الحقل</t>
  </si>
  <si>
    <t xml:space="preserve">الوحدة</t>
  </si>
  <si>
    <t xml:space="preserve">المصدر</t>
  </si>
  <si>
    <t xml:space="preserve">ملاحظة</t>
  </si>
  <si>
    <t xml:space="preserve">اسم الشريك</t>
  </si>
  <si>
    <t xml:space="preserve">نص</t>
  </si>
  <si>
    <t xml:space="preserve">يدوي</t>
  </si>
  <si>
    <t xml:space="preserve">الفئة</t>
  </si>
  <si>
    <t xml:space="preserve">المحطات المشمولة</t>
  </si>
  <si>
    <t xml:space="preserve">عدد</t>
  </si>
  <si>
    <t xml:space="preserve">مساحة البيع لكل محطة</t>
  </si>
  <si>
    <t xml:space="preserve">م²</t>
  </si>
  <si>
    <t xml:space="preserve">مساحة التطبيق</t>
  </si>
  <si>
    <t xml:space="preserve">نعم / لا</t>
  </si>
  <si>
    <t xml:space="preserve">الحد الأدنى المضمون شهرياً</t>
  </si>
  <si>
    <t xml:space="preserve">ريال</t>
  </si>
  <si>
    <t xml:space="preserve">نسبة درب من المبيعات</t>
  </si>
  <si>
    <t xml:space="preserve">%</t>
  </si>
  <si>
    <t xml:space="preserve">مبيعات الشريك المتوقعة شهرياً</t>
  </si>
  <si>
    <t xml:space="preserve">عائد النسبة شهرياً</t>
  </si>
  <si>
    <t xml:space="preserve">صيغة</t>
  </si>
  <si>
    <t xml:space="preserve">المبيعات × النسبة</t>
  </si>
  <si>
    <t xml:space="preserve">العائد الفعلي (الأعلى بين الحد والنسبة)</t>
  </si>
  <si>
    <t xml:space="preserve">الأعلى بين الحد الأدنى وعائد النسبة</t>
  </si>
  <si>
    <t xml:space="preserve">العائد السنوي لكل المحطات</t>
  </si>
  <si>
    <t xml:space="preserve">العائد الشهري × 12 × عدد المحطات</t>
  </si>
  <si>
    <t xml:space="preserve">مدة العقد</t>
  </si>
  <si>
    <t xml:space="preserve">شهر</t>
  </si>
  <si>
    <t xml:space="preserve">شرط مشاركة بيانات المبيعات</t>
  </si>
  <si>
    <t xml:space="preserve">شرط أساسي — بدونه لا يمكن التحقق من النسبة</t>
  </si>
  <si>
    <t xml:space="preserve">لماذا النسبة لا الإيجار الثابت</t>
  </si>
  <si>
    <t xml:space="preserve">•  المخزون بطيء والمرتجعات عالية — والمخاطرة على الشريك</t>
  </si>
  <si>
    <t xml:space="preserve">•  الحد الأدنى المضمون يحمي عائدنا والنسبة ترفع سقفه</t>
  </si>
  <si>
    <t xml:space="preserve">•  شرط مشاركة بيانات المبيعات أساس العقد — بدونه لا يمكن التحقق</t>
  </si>
  <si>
    <t xml:space="preserve">•  أصل رقمي نملكه ولا نبيعه اليوم</t>
  </si>
  <si>
    <t xml:space="preserve">•  تُسعَّر ضمن الحزمة مع مساحة البيع</t>
  </si>
  <si>
    <t xml:space="preserve">•  توسّع سوق الشريك خارج المحطة وترفع قيمة التطبيق نفسه</t>
  </si>
  <si>
    <t xml:space="preserve">الشريحتان</t>
  </si>
  <si>
    <t xml:space="preserve">•  سريع الدوران (زيوت · معطرات · شواحن): رفّ عند الكاشير — يبدأ فوراً</t>
  </si>
  <si>
    <t xml:space="preserve">•  الزينة والتجهيز (تظليل · أفلام · إضاءة): وحدة مستقلة لمتخصص</t>
  </si>
  <si>
    <t xml:space="preserve">اقتصاديات اللتر</t>
  </si>
  <si>
    <t xml:space="preserve">أرقام محققة من قائمة الدخل — النصف الأول 2026 · الوحدة: هللة</t>
  </si>
  <si>
    <t xml:space="preserve">MK007 العمرة</t>
  </si>
  <si>
    <t xml:space="preserve">MK019 الشرايع</t>
  </si>
  <si>
    <t xml:space="preserve">الفارق</t>
  </si>
  <si>
    <t xml:space="preserve">الإيراد لكل لتر</t>
  </si>
  <si>
    <t xml:space="preserve">قسمة الإيراد على اللترات</t>
  </si>
  <si>
    <t xml:space="preserve">تكلفة البضاعة</t>
  </si>
  <si>
    <t xml:space="preserve">93% من الإيراد — خارج سيطرتنا</t>
  </si>
  <si>
    <t xml:space="preserve">النقل</t>
  </si>
  <si>
    <t xml:space="preserve">أجرة الرحلة الفعلية 623 ريال</t>
  </si>
  <si>
    <t xml:space="preserve">التبخّر</t>
  </si>
  <si>
    <t xml:space="preserve">0.32% من التكلفة</t>
  </si>
  <si>
    <t xml:space="preserve">هامش مساهمة الوقود</t>
  </si>
  <si>
    <t xml:space="preserve">الهدف 15 هللة</t>
  </si>
  <si>
    <t xml:space="preserve">صافي التأجير</t>
  </si>
  <si>
    <t xml:space="preserve">سالب في الشرايع</t>
  </si>
  <si>
    <t xml:space="preserve">المصاريف التشغيلية</t>
  </si>
  <si>
    <t xml:space="preserve">88% منها إهلاك غير نقدي</t>
  </si>
  <si>
    <t xml:space="preserve">صافي الربح</t>
  </si>
  <si>
    <t xml:space="preserve">الفجوة عن الهدف 9.9 و11.1 هللة</t>
  </si>
  <si>
    <t xml:space="preserve">لماذا لا يمرّ الحل عبر التكلفة</t>
  </si>
  <si>
    <t xml:space="preserve">•  المصاريف النقدية 0.94 هللة لكل لتر فقط</t>
  </si>
  <si>
    <t xml:space="preserve">•  الإهلاك 88% من المصاريف — غير نقدي وغير قابل للخفض</t>
  </si>
  <si>
    <t xml:space="preserve">•  فرفع الحجم 5% يعطي أضعاف ما يعطيه أي خفض ممكن</t>
  </si>
  <si>
    <t xml:space="preserve">الديزل يسحب الهامش</t>
  </si>
  <si>
    <t xml:space="preserve">•  العمرة ديزلها 28% وهامشها 10.07 هللة</t>
  </si>
  <si>
    <t xml:space="preserve">•  الشرايع بلا ديزل وهامشها 13.36 هللة</t>
  </si>
  <si>
    <t xml:space="preserve">•  ورفع حصة البنزين رفع مباشر للهامش لا مجرد زيادة إيراد</t>
  </si>
  <si>
    <t xml:space="preserve">التأجير رافعة الربح</t>
  </si>
  <si>
    <t xml:space="preserve">•  التمويل وإهلاك حق الاستخدام ثابتان ومدفوعان</t>
  </si>
  <si>
    <t xml:space="preserve">•  يلتهمان 63% من دخل الإيجار في العمرة و106% في الشرايع</t>
  </si>
  <si>
    <t xml:space="preserve">•  فكل إيجار إضافي ربح شبه صافٍ</t>
  </si>
  <si>
    <t xml:space="preserve">النموذج التجريبي</t>
  </si>
  <si>
    <t xml:space="preserve">محطتان للوقود ومحطة للمستأجرين</t>
  </si>
  <si>
    <t xml:space="preserve">التصميم</t>
  </si>
  <si>
    <t xml:space="preserve">عرفات الشوقية MK017</t>
  </si>
  <si>
    <t xml:space="preserve">وقود</t>
  </si>
  <si>
    <t xml:space="preserve">نامية +6.9%</t>
  </si>
  <si>
    <t xml:space="preserve">المرجع — ماذا تفعل الناجحة</t>
  </si>
  <si>
    <t xml:space="preserve">بن درويش MK023</t>
  </si>
  <si>
    <t xml:space="preserve">هابطة −12.1%</t>
  </si>
  <si>
    <t xml:space="preserve">الهدف — ما الذي يمكن تغييره</t>
  </si>
  <si>
    <t xml:space="preserve">النورية MK007</t>
  </si>
  <si>
    <t xml:space="preserve">مستأجرون</t>
  </si>
  <si>
    <t xml:space="preserve">أعلى حركة 4,236 زيارة/يوم</t>
  </si>
  <si>
    <t xml:space="preserve">حملات المستأجرين وقياس أثرها</t>
  </si>
  <si>
    <t xml:space="preserve">مقارنة محطتَي الوقود</t>
  </si>
  <si>
    <t xml:space="preserve">المؤشر</t>
  </si>
  <si>
    <t xml:space="preserve">النمو</t>
  </si>
  <si>
    <t xml:space="preserve">+6.9%</t>
  </si>
  <si>
    <t xml:space="preserve">-12.1%</t>
  </si>
  <si>
    <t xml:space="preserve">المتغيّر المراد تفسيره</t>
  </si>
  <si>
    <t xml:space="preserve">المنطقة والنمط</t>
  </si>
  <si>
    <t xml:space="preserve">مكة · حيوية</t>
  </si>
  <si>
    <t xml:space="preserve">متطابق</t>
  </si>
  <si>
    <t xml:space="preserve">المزيج</t>
  </si>
  <si>
    <t xml:space="preserve">51.7 / 48.3</t>
  </si>
  <si>
    <t xml:space="preserve">54.0 / 46.0</t>
  </si>
  <si>
    <t xml:space="preserve">متطابق · بلا ديزل</t>
  </si>
  <si>
    <t xml:space="preserve">طريقة الدفع</t>
  </si>
  <si>
    <t xml:space="preserve">نقد 100%</t>
  </si>
  <si>
    <t xml:space="preserve">صفر شبكة وصفر تطبيق</t>
  </si>
  <si>
    <t xml:space="preserve">الزيارات يومياً</t>
  </si>
  <si>
    <t xml:space="preserve">اللترات يومياً</t>
  </si>
  <si>
    <t xml:space="preserve">لتر لكل زيارة</t>
  </si>
  <si>
    <t xml:space="preserve">سلة أكبر في عرفات</t>
  </si>
  <si>
    <t xml:space="preserve">المضخات</t>
  </si>
  <si>
    <t xml:space="preserve">زيارة لكل مضخة</t>
  </si>
  <si>
    <t xml:space="preserve">بن درويش أزحم رغم أنها أصغر</t>
  </si>
  <si>
    <t xml:space="preserve">العمال</t>
  </si>
  <si>
    <t xml:space="preserve">مطابق للمتفق عليه</t>
  </si>
  <si>
    <t xml:space="preserve">بن درويش بلا شكاوى رغم تراجعها</t>
  </si>
  <si>
    <t xml:space="preserve">ما يعزله التصميم</t>
  </si>
  <si>
    <t xml:space="preserve">•  نفس المنطقة والنمط والمزيج وطريقة الدفع</t>
  </si>
  <si>
    <t xml:space="preserve">•  فالفارق لا يُفسَّر بالموقع ولا المنتج ولا نوع العميل</t>
  </si>
  <si>
    <t xml:space="preserve">ما يُقاس ميدانياً</t>
  </si>
  <si>
    <t xml:space="preserve">•  زمن الخدمة لكل تعبئة في ساعة الذروة (21)</t>
  </si>
  <si>
    <t xml:space="preserve">•  عدد المركبات التي تدخل ولا تعبّئ</t>
  </si>
  <si>
    <t xml:space="preserve">•  المنافس الأقرب والمسافة إليه · وتغيّرات المسار</t>
  </si>
  <si>
    <t xml:space="preserve">فرصة فورية مشتركة</t>
  </si>
  <si>
    <t xml:space="preserve">•  الدفع نقد 100% في المحطتين — تفعيل الشبكة والتطبيق يبني قاعدة تعريف من الصفر</t>
  </si>
  <si>
    <t xml:space="preserve">•  بن درويش 4 مضخات لـ807 زيارة — أقل من نصف طاقة عرفات</t>
  </si>
  <si>
    <t xml:space="preserve">بيانات المحطات</t>
  </si>
  <si>
    <t xml:space="preserve">55 محطة · 1 يناير – 30 يونيو 2026 · 181 يوماً</t>
  </si>
  <si>
    <t xml:space="preserve">الرمز</t>
  </si>
  <si>
    <t xml:space="preserve">نمط الموقع</t>
  </si>
  <si>
    <t xml:space="preserve">أيام البيانات</t>
  </si>
  <si>
    <t xml:space="preserve">ديزل سنوي</t>
  </si>
  <si>
    <t xml:space="preserve">مضخات</t>
  </si>
  <si>
    <t xml:space="preserve">شكاوى</t>
  </si>
  <si>
    <t xml:space="preserve">التطبيق</t>
  </si>
  <si>
    <t xml:space="preserve">MK007</t>
  </si>
  <si>
    <t xml:space="preserve">حيوية</t>
  </si>
  <si>
    <t xml:space="preserve">MK003</t>
  </si>
  <si>
    <t xml:space="preserve">خط سفر</t>
  </si>
  <si>
    <t xml:space="preserve">MK289</t>
  </si>
  <si>
    <t xml:space="preserve">MK004</t>
  </si>
  <si>
    <t xml:space="preserve">MK046</t>
  </si>
  <si>
    <t xml:space="preserve">مختلط</t>
  </si>
  <si>
    <t xml:space="preserve">MK072</t>
  </si>
  <si>
    <t xml:space="preserve">MK047</t>
  </si>
  <si>
    <t xml:space="preserve">MK015</t>
  </si>
  <si>
    <t xml:space="preserve">MK005</t>
  </si>
  <si>
    <t xml:space="preserve">MK033</t>
  </si>
  <si>
    <t xml:space="preserve">MK028</t>
  </si>
  <si>
    <t xml:space="preserve">MK029</t>
  </si>
  <si>
    <t xml:space="preserve">RY075</t>
  </si>
  <si>
    <t xml:space="preserve">MK006</t>
  </si>
  <si>
    <t xml:space="preserve">MK001</t>
  </si>
  <si>
    <t xml:space="preserve">JA092</t>
  </si>
  <si>
    <t xml:space="preserve">غير مصنفة</t>
  </si>
  <si>
    <t xml:space="preserve">MK210</t>
  </si>
  <si>
    <t xml:space="preserve">MK008</t>
  </si>
  <si>
    <t xml:space="preserve">حي</t>
  </si>
  <si>
    <t xml:space="preserve">MK016</t>
  </si>
  <si>
    <t xml:space="preserve">MK064</t>
  </si>
  <si>
    <t xml:space="preserve">MK017</t>
  </si>
  <si>
    <t xml:space="preserve">MK063</t>
  </si>
  <si>
    <t xml:space="preserve">MK020</t>
  </si>
  <si>
    <t xml:space="preserve">MK035</t>
  </si>
  <si>
    <t xml:space="preserve">MK054</t>
  </si>
  <si>
    <t xml:space="preserve">MK022</t>
  </si>
  <si>
    <t xml:space="preserve">MK014</t>
  </si>
  <si>
    <t xml:space="preserve">MK018</t>
  </si>
  <si>
    <t xml:space="preserve">RY025</t>
  </si>
  <si>
    <t xml:space="preserve">AS153</t>
  </si>
  <si>
    <t xml:space="preserve">JA069</t>
  </si>
  <si>
    <t xml:space="preserve">MK068</t>
  </si>
  <si>
    <t xml:space="preserve">MK002</t>
  </si>
  <si>
    <t xml:space="preserve">MK071</t>
  </si>
  <si>
    <t xml:space="preserve">JA348</t>
  </si>
  <si>
    <t xml:space="preserve">JA061</t>
  </si>
  <si>
    <t xml:space="preserve">MK084</t>
  </si>
  <si>
    <t xml:space="preserve">JA041</t>
  </si>
  <si>
    <t xml:space="preserve">QS055</t>
  </si>
  <si>
    <t xml:space="preserve">MK023</t>
  </si>
  <si>
    <t xml:space="preserve">MK093</t>
  </si>
  <si>
    <t xml:space="preserve">EP051</t>
  </si>
  <si>
    <t xml:space="preserve">MK031</t>
  </si>
  <si>
    <t xml:space="preserve">JA053</t>
  </si>
  <si>
    <t xml:space="preserve">نائية</t>
  </si>
  <si>
    <t xml:space="preserve">RY024</t>
  </si>
  <si>
    <t xml:space="preserve">RY042</t>
  </si>
  <si>
    <t xml:space="preserve">MK019</t>
  </si>
  <si>
    <t xml:space="preserve">MK323</t>
  </si>
  <si>
    <t xml:space="preserve">MK099</t>
  </si>
  <si>
    <t xml:space="preserve">MK100</t>
  </si>
  <si>
    <t xml:space="preserve">HA043</t>
  </si>
  <si>
    <t xml:space="preserve">JA056</t>
  </si>
  <si>
    <t xml:space="preserve">JA060</t>
  </si>
  <si>
    <t xml:space="preserve">MD009</t>
  </si>
  <si>
    <t xml:space="preserve">NJ219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</si>
</sst>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00"/>
    <numFmt numFmtId="166" formatCode="0.00"/>
    <numFmt numFmtId="167" formatCode="0.0%"/>
    <numFmt numFmtId="168" formatCode="#,##0"/>
    <numFmt numFmtId="169" formatCode="\+#,##0;\-#,##0"/>
    <numFmt numFmtId="170" formatCode="0.0"/>
    <numFmt numFmtId="171" formatCode="0"/>
    <numFmt numFmtId="172" formatCode="\+0.00;\-0.00"/>
    <numFmt numFmtId="173" formatCode="#,##0.##"/>
    <numFmt numFmtId="174" formatCode="\+#,##0.##;\-#,##0.##"/>
    <numFmt numFmtId="175" formatCode="\+0.0%;\-0.0%;\—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E7E6E6"/>
        <bgColor rgb="FFDDEBF7"/>
      </patternFill>
    </fill>
    <fill>
      <patternFill patternType="solid">
        <fgColor rgb="FFC6E0B4"/>
        <bgColor rgb="FFD9E2F3"/>
      </patternFill>
    </fill>
    <fill>
      <patternFill patternType="solid">
        <fgColor rgb="FFFFE699"/>
        <bgColor rgb="FFF8CBA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3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43.5" hidden="false" customHeight="true" outlineLevel="0" collapsed="false">
      <c r="A5" s="4" t="n">
        <v>1</v>
      </c>
      <c r="B5" s="5" t="s">
        <v>8</v>
      </c>
      <c r="C5" s="4" t="s">
        <v>9</v>
      </c>
      <c r="D5" s="6" t="s">
        <v>10</v>
      </c>
      <c r="E5" s="6" t="s">
        <v>11</v>
      </c>
      <c r="F5" s="6" t="s">
        <v>12</v>
      </c>
    </row>
    <row r="6" customFormat="false" ht="43.5" hidden="false" customHeight="true" outlineLevel="0" collapsed="false">
      <c r="A6" s="4" t="n">
        <v>2</v>
      </c>
      <c r="B6" s="5" t="s">
        <v>8</v>
      </c>
      <c r="C6" s="4" t="s">
        <v>13</v>
      </c>
      <c r="D6" s="6" t="s">
        <v>14</v>
      </c>
      <c r="E6" s="6" t="s">
        <v>15</v>
      </c>
      <c r="F6" s="6" t="s">
        <v>16</v>
      </c>
    </row>
    <row r="7" customFormat="false" ht="43.5" hidden="false" customHeight="true" outlineLevel="0" collapsed="false">
      <c r="A7" s="4" t="n">
        <v>3</v>
      </c>
      <c r="B7" s="5" t="s">
        <v>17</v>
      </c>
      <c r="C7" s="4" t="s">
        <v>18</v>
      </c>
      <c r="D7" s="6" t="s">
        <v>19</v>
      </c>
      <c r="E7" s="6" t="s">
        <v>20</v>
      </c>
      <c r="F7" s="6" t="s">
        <v>21</v>
      </c>
    </row>
    <row r="8" customFormat="false" ht="43.5" hidden="false" customHeight="true" outlineLevel="0" collapsed="false">
      <c r="A8" s="4" t="n">
        <v>4</v>
      </c>
      <c r="B8" s="5" t="s">
        <v>22</v>
      </c>
      <c r="C8" s="4" t="s">
        <v>23</v>
      </c>
      <c r="D8" s="6" t="s">
        <v>24</v>
      </c>
      <c r="E8" s="6" t="s">
        <v>25</v>
      </c>
      <c r="F8" s="6" t="s">
        <v>26</v>
      </c>
    </row>
    <row r="10" customFormat="false" ht="15" hidden="false" customHeight="false" outlineLevel="0" collapsed="false">
      <c r="B10" s="7" t="s">
        <v>27</v>
      </c>
    </row>
    <row r="11" customFormat="false" ht="15.75" hidden="false" customHeight="true" outlineLevel="0" collapsed="false">
      <c r="C11" s="8" t="s">
        <v>28</v>
      </c>
      <c r="D11" s="8"/>
      <c r="E11" s="8"/>
      <c r="F11" s="8"/>
    </row>
    <row r="12" customFormat="false" ht="15.75" hidden="false" customHeight="true" outlineLevel="0" collapsed="false">
      <c r="C12" s="8" t="s">
        <v>29</v>
      </c>
      <c r="D12" s="8"/>
      <c r="E12" s="8"/>
      <c r="F12" s="8"/>
    </row>
    <row r="13" customFormat="false" ht="15.75" hidden="false" customHeight="true" outlineLevel="0" collapsed="false">
      <c r="C13" s="8" t="s">
        <v>30</v>
      </c>
      <c r="D13" s="8"/>
      <c r="E13" s="8"/>
      <c r="F13" s="8"/>
    </row>
    <row r="15" customFormat="false" ht="15" hidden="false" customHeight="false" outlineLevel="0" collapsed="false">
      <c r="B15" s="9" t="s">
        <v>31</v>
      </c>
    </row>
    <row r="16" customFormat="false" ht="15.75" hidden="false" customHeight="true" outlineLevel="0" collapsed="false">
      <c r="C16" s="8" t="s">
        <v>32</v>
      </c>
      <c r="D16" s="8"/>
      <c r="E16" s="8"/>
      <c r="F16" s="8"/>
    </row>
    <row r="17" customFormat="false" ht="15.75" hidden="false" customHeight="true" outlineLevel="0" collapsed="false">
      <c r="C17" s="8" t="s">
        <v>33</v>
      </c>
      <c r="D17" s="8"/>
      <c r="E17" s="8"/>
      <c r="F17" s="8"/>
    </row>
    <row r="18" customFormat="false" ht="15.75" hidden="false" customHeight="true" outlineLevel="0" collapsed="false">
      <c r="C18" s="8" t="s">
        <v>34</v>
      </c>
      <c r="D18" s="8"/>
      <c r="E18" s="8"/>
      <c r="F18" s="8"/>
    </row>
  </sheetData>
  <mergeCells count="8">
    <mergeCell ref="A1:F1"/>
    <mergeCell ref="A2:F2"/>
    <mergeCell ref="C11:F11"/>
    <mergeCell ref="C12:F12"/>
    <mergeCell ref="C13:F13"/>
    <mergeCell ref="C16:F16"/>
    <mergeCell ref="C17:F17"/>
    <mergeCell ref="C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35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36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37</v>
      </c>
      <c r="C3" s="3" t="s">
        <v>38</v>
      </c>
      <c r="D3" s="3" t="s">
        <v>39</v>
      </c>
      <c r="E3" s="3" t="s">
        <v>40</v>
      </c>
      <c r="F3" s="3" t="s">
        <v>41</v>
      </c>
    </row>
    <row r="4" customFormat="false" ht="33.75" hidden="false" customHeight="true" outlineLevel="0" collapsed="false">
      <c r="A4" s="4" t="n">
        <v>1</v>
      </c>
      <c r="B4" s="5" t="s">
        <v>42</v>
      </c>
      <c r="C4" s="4" t="s">
        <v>43</v>
      </c>
      <c r="D4" s="6" t="s">
        <v>44</v>
      </c>
      <c r="E4" s="6" t="s">
        <v>45</v>
      </c>
      <c r="F4" s="6" t="s">
        <v>46</v>
      </c>
    </row>
    <row r="5" customFormat="false" ht="33.75" hidden="false" customHeight="true" outlineLevel="0" collapsed="false">
      <c r="A5" s="4" t="n">
        <v>2</v>
      </c>
      <c r="B5" s="5" t="s">
        <v>47</v>
      </c>
      <c r="C5" s="4" t="s">
        <v>43</v>
      </c>
      <c r="D5" s="6" t="s">
        <v>48</v>
      </c>
      <c r="E5" s="6" t="s">
        <v>49</v>
      </c>
      <c r="F5" s="6" t="s">
        <v>50</v>
      </c>
    </row>
    <row r="6" customFormat="false" ht="33.75" hidden="false" customHeight="true" outlineLevel="0" collapsed="false">
      <c r="A6" s="4" t="n">
        <v>3</v>
      </c>
      <c r="B6" s="5" t="s">
        <v>51</v>
      </c>
      <c r="C6" s="4" t="s">
        <v>52</v>
      </c>
      <c r="D6" s="6" t="s">
        <v>53</v>
      </c>
      <c r="E6" s="6" t="s">
        <v>54</v>
      </c>
      <c r="F6" s="6" t="s">
        <v>55</v>
      </c>
    </row>
    <row r="7" customFormat="false" ht="33.75" hidden="false" customHeight="true" outlineLevel="0" collapsed="false">
      <c r="A7" s="4" t="n">
        <v>4</v>
      </c>
      <c r="B7" s="5" t="s">
        <v>56</v>
      </c>
      <c r="C7" s="4" t="s">
        <v>52</v>
      </c>
      <c r="D7" s="6" t="s">
        <v>57</v>
      </c>
      <c r="E7" s="6" t="s">
        <v>58</v>
      </c>
      <c r="F7" s="6" t="s">
        <v>59</v>
      </c>
    </row>
    <row r="8" customFormat="false" ht="33.75" hidden="false" customHeight="true" outlineLevel="0" collapsed="false">
      <c r="A8" s="4" t="n">
        <v>5</v>
      </c>
      <c r="B8" s="5" t="s">
        <v>60</v>
      </c>
      <c r="C8" s="4" t="s">
        <v>52</v>
      </c>
      <c r="D8" s="6" t="s">
        <v>61</v>
      </c>
      <c r="E8" s="6" t="s">
        <v>62</v>
      </c>
      <c r="F8" s="6" t="s">
        <v>63</v>
      </c>
    </row>
    <row r="9" customFormat="false" ht="33.75" hidden="false" customHeight="true" outlineLevel="0" collapsed="false">
      <c r="A9" s="4" t="n">
        <v>6</v>
      </c>
      <c r="B9" s="5" t="s">
        <v>64</v>
      </c>
      <c r="C9" s="4" t="s">
        <v>52</v>
      </c>
      <c r="D9" s="6" t="s">
        <v>65</v>
      </c>
      <c r="E9" s="6" t="s">
        <v>66</v>
      </c>
      <c r="F9" s="6" t="s">
        <v>67</v>
      </c>
    </row>
    <row r="10" customFormat="false" ht="33.75" hidden="false" customHeight="true" outlineLevel="0" collapsed="false">
      <c r="A10" s="4" t="n">
        <v>7</v>
      </c>
      <c r="B10" s="5" t="s">
        <v>68</v>
      </c>
      <c r="C10" s="4" t="s">
        <v>69</v>
      </c>
      <c r="D10" s="6" t="s">
        <v>70</v>
      </c>
      <c r="E10" s="6" t="s">
        <v>71</v>
      </c>
      <c r="F10" s="6" t="s">
        <v>72</v>
      </c>
    </row>
    <row r="11" customFormat="false" ht="33.75" hidden="false" customHeight="true" outlineLevel="0" collapsed="false">
      <c r="A11" s="4" t="n">
        <v>8</v>
      </c>
      <c r="B11" s="5" t="s">
        <v>73</v>
      </c>
      <c r="C11" s="4" t="s">
        <v>74</v>
      </c>
      <c r="D11" s="6" t="s">
        <v>75</v>
      </c>
      <c r="E11" s="6" t="s">
        <v>76</v>
      </c>
      <c r="F11" s="6" t="s">
        <v>77</v>
      </c>
    </row>
    <row r="13" customFormat="false" ht="15" hidden="false" customHeight="false" outlineLevel="0" collapsed="false">
      <c r="B13" s="7" t="s">
        <v>78</v>
      </c>
    </row>
    <row r="14" customFormat="false" ht="15.75" hidden="false" customHeight="true" outlineLevel="0" collapsed="false">
      <c r="C14" s="8" t="s">
        <v>79</v>
      </c>
      <c r="D14" s="8"/>
      <c r="E14" s="8"/>
      <c r="F14" s="8"/>
    </row>
    <row r="15" customFormat="false" ht="15.75" hidden="false" customHeight="true" outlineLevel="0" collapsed="false">
      <c r="C15" s="8" t="s">
        <v>80</v>
      </c>
      <c r="D15" s="8"/>
      <c r="E15" s="8"/>
      <c r="F15" s="8"/>
    </row>
    <row r="16" customFormat="false" ht="15.75" hidden="false" customHeight="true" outlineLevel="0" collapsed="false">
      <c r="C16" s="8" t="s">
        <v>81</v>
      </c>
      <c r="D16" s="8"/>
      <c r="E16" s="8"/>
      <c r="F16" s="8"/>
    </row>
  </sheetData>
  <mergeCells count="5">
    <mergeCell ref="A1:F1"/>
    <mergeCell ref="A2:F2"/>
    <mergeCell ref="C14:F14"/>
    <mergeCell ref="C15:F15"/>
    <mergeCell ref="C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3"/>
    <col collapsed="false" customWidth="true" hidden="false" outlineLevel="0" max="7" min="5" style="0" width="12"/>
    <col collapsed="false" customWidth="true" hidden="false" outlineLevel="0" max="10" min="8" style="0" width="13"/>
    <col collapsed="false" customWidth="true" hidden="false" outlineLevel="0" max="11" min="11" style="0" width="34"/>
  </cols>
  <sheetData>
    <row r="1" customFormat="false" ht="25.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83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1.75" hidden="false" customHeight="true" outlineLevel="0" collapsed="false">
      <c r="A3" s="10" t="s">
        <v>84</v>
      </c>
      <c r="B3" s="10"/>
      <c r="C3" s="10"/>
      <c r="D3" s="10"/>
      <c r="E3" s="10"/>
      <c r="F3" s="10"/>
      <c r="G3" s="10"/>
      <c r="H3" s="10"/>
      <c r="I3" s="10"/>
      <c r="J3" s="10"/>
      <c r="K3" s="10"/>
    </row>
    <row r="4" customFormat="false" ht="30" hidden="false" customHeight="true" outlineLevel="0" collapsed="false">
      <c r="A4" s="4" t="n">
        <v>1</v>
      </c>
      <c r="B4" s="5" t="s">
        <v>85</v>
      </c>
      <c r="C4" s="6" t="s">
        <v>86</v>
      </c>
      <c r="D4" s="6" t="s">
        <v>87</v>
      </c>
      <c r="E4" s="6" t="s">
        <v>88</v>
      </c>
      <c r="F4" s="6"/>
      <c r="G4" s="6"/>
      <c r="H4" s="6"/>
      <c r="I4" s="6"/>
      <c r="J4" s="6"/>
      <c r="K4" s="6" t="s">
        <v>89</v>
      </c>
    </row>
    <row r="5" customFormat="false" ht="30" hidden="false" customHeight="true" outlineLevel="0" collapsed="false">
      <c r="A5" s="4" t="n">
        <v>2</v>
      </c>
      <c r="B5" s="5" t="s">
        <v>90</v>
      </c>
      <c r="C5" s="6" t="s">
        <v>91</v>
      </c>
      <c r="D5" s="6" t="s">
        <v>92</v>
      </c>
      <c r="E5" s="6" t="s">
        <v>93</v>
      </c>
      <c r="F5" s="6"/>
      <c r="G5" s="6"/>
      <c r="H5" s="6"/>
      <c r="I5" s="6"/>
      <c r="J5" s="6"/>
      <c r="K5" s="6" t="s">
        <v>94</v>
      </c>
    </row>
    <row r="6" customFormat="false" ht="30" hidden="false" customHeight="true" outlineLevel="0" collapsed="false">
      <c r="A6" s="4" t="n">
        <v>3</v>
      </c>
      <c r="B6" s="5" t="s">
        <v>95</v>
      </c>
      <c r="C6" s="6" t="s">
        <v>96</v>
      </c>
      <c r="D6" s="6" t="s">
        <v>97</v>
      </c>
      <c r="E6" s="6" t="s">
        <v>98</v>
      </c>
      <c r="F6" s="6"/>
      <c r="G6" s="6"/>
      <c r="H6" s="6"/>
      <c r="I6" s="6"/>
      <c r="J6" s="6"/>
      <c r="K6" s="6" t="s">
        <v>99</v>
      </c>
    </row>
    <row r="7" customFormat="false" ht="30" hidden="false" customHeight="true" outlineLevel="0" collapsed="false">
      <c r="A7" s="4" t="n">
        <v>4</v>
      </c>
      <c r="B7" s="5" t="s">
        <v>100</v>
      </c>
      <c r="C7" s="6" t="s">
        <v>101</v>
      </c>
      <c r="D7" s="6" t="s">
        <v>102</v>
      </c>
      <c r="E7" s="6" t="s">
        <v>103</v>
      </c>
      <c r="F7" s="6"/>
      <c r="G7" s="6"/>
      <c r="H7" s="6"/>
      <c r="I7" s="6"/>
      <c r="J7" s="6"/>
      <c r="K7" s="6" t="s">
        <v>104</v>
      </c>
    </row>
    <row r="9" customFormat="false" ht="21.75" hidden="false" customHeight="true" outlineLevel="0" collapsed="false">
      <c r="A9" s="10" t="s">
        <v>105</v>
      </c>
      <c r="B9" s="10"/>
      <c r="C9" s="10"/>
      <c r="D9" s="10"/>
      <c r="E9" s="10"/>
      <c r="F9" s="10"/>
      <c r="G9" s="10"/>
      <c r="H9" s="10"/>
      <c r="I9" s="10"/>
      <c r="J9" s="10"/>
      <c r="K9" s="10"/>
    </row>
    <row r="10" customFormat="false" ht="15" hidden="false" customHeight="false" outlineLevel="0" collapsed="false">
      <c r="B10" s="11" t="s">
        <v>106</v>
      </c>
      <c r="C10" s="12" t="n">
        <v>2.25</v>
      </c>
    </row>
    <row r="11" customFormat="false" ht="15" hidden="false" customHeight="false" outlineLevel="0" collapsed="false">
      <c r="B11" s="11" t="s">
        <v>107</v>
      </c>
      <c r="C11" s="13"/>
    </row>
    <row r="12" customFormat="false" ht="15" hidden="false" customHeight="false" outlineLevel="0" collapsed="false">
      <c r="B12" s="11" t="s">
        <v>108</v>
      </c>
      <c r="C12" s="14"/>
    </row>
    <row r="13" customFormat="false" ht="15" hidden="false" customHeight="false" outlineLevel="0" collapsed="false">
      <c r="B13" s="11" t="s">
        <v>109</v>
      </c>
      <c r="C13" s="14"/>
    </row>
    <row r="15" customFormat="false" ht="21.75" hidden="false" customHeight="true" outlineLevel="0" collapsed="false">
      <c r="A15" s="10" t="s">
        <v>110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30" hidden="false" customHeight="true" outlineLevel="0" collapsed="false">
      <c r="A16" s="3" t="s">
        <v>2</v>
      </c>
      <c r="B16" s="3" t="s">
        <v>111</v>
      </c>
      <c r="C16" s="3" t="s">
        <v>112</v>
      </c>
      <c r="D16" s="3" t="s">
        <v>113</v>
      </c>
      <c r="E16" s="3" t="s">
        <v>114</v>
      </c>
      <c r="F16" s="3" t="s">
        <v>115</v>
      </c>
      <c r="G16" s="3" t="s">
        <v>86</v>
      </c>
      <c r="H16" s="3" t="s">
        <v>116</v>
      </c>
      <c r="I16" s="3" t="s">
        <v>117</v>
      </c>
      <c r="J16" s="3" t="s">
        <v>118</v>
      </c>
      <c r="K16" s="3" t="s">
        <v>119</v>
      </c>
    </row>
    <row r="17" customFormat="false" ht="18" hidden="false" customHeight="true" outlineLevel="0" collapsed="false">
      <c r="A17" s="4" t="n">
        <v>1</v>
      </c>
      <c r="B17" s="15" t="s">
        <v>120</v>
      </c>
      <c r="C17" s="4" t="s">
        <v>121</v>
      </c>
      <c r="D17" s="16" t="n">
        <v>35464924</v>
      </c>
      <c r="E17" s="16" t="n">
        <v>3561</v>
      </c>
      <c r="F17" s="4" t="n">
        <v>42</v>
      </c>
      <c r="G17" s="4"/>
      <c r="H17" s="16" t="n">
        <f aca="false">IFERROR(D17*(1+$C$13),"")</f>
        <v>35464924</v>
      </c>
      <c r="I17" s="17" t="n">
        <f aca="false">IFERROR(H17-D17,"")</f>
        <v>0</v>
      </c>
      <c r="J17" s="16" t="n">
        <f aca="false">IFERROR(I17*$C$11/100*$C$12,"")</f>
        <v>0</v>
      </c>
      <c r="K17" s="16" t="n">
        <f aca="false">IFERROR(J17/F17/12,"")</f>
        <v>0</v>
      </c>
    </row>
    <row r="18" customFormat="false" ht="18" hidden="false" customHeight="true" outlineLevel="0" collapsed="false">
      <c r="A18" s="4" t="n">
        <v>2</v>
      </c>
      <c r="B18" s="15" t="s">
        <v>122</v>
      </c>
      <c r="C18" s="4" t="s">
        <v>121</v>
      </c>
      <c r="D18" s="16" t="n">
        <v>34063312</v>
      </c>
      <c r="E18" s="16" t="n">
        <v>4236</v>
      </c>
      <c r="F18" s="4" t="n">
        <v>32</v>
      </c>
      <c r="G18" s="18" t="n">
        <v>58</v>
      </c>
      <c r="H18" s="16" t="n">
        <f aca="false">IFERROR(D18*(1+$C$13),"")</f>
        <v>34063312</v>
      </c>
      <c r="I18" s="17" t="n">
        <f aca="false">IFERROR(H18-D18,"")</f>
        <v>0</v>
      </c>
      <c r="J18" s="16" t="n">
        <f aca="false">IFERROR(I18*$C$11/100*$C$12,"")</f>
        <v>0</v>
      </c>
      <c r="K18" s="16" t="n">
        <f aca="false">IFERROR(J18/F18/12,"")</f>
        <v>0</v>
      </c>
    </row>
    <row r="19" customFormat="false" ht="18" hidden="false" customHeight="true" outlineLevel="0" collapsed="false">
      <c r="A19" s="4" t="n">
        <v>3</v>
      </c>
      <c r="B19" s="15" t="s">
        <v>123</v>
      </c>
      <c r="C19" s="4" t="s">
        <v>124</v>
      </c>
      <c r="D19" s="16" t="n">
        <v>19648510</v>
      </c>
      <c r="E19" s="16" t="n">
        <v>2137</v>
      </c>
      <c r="F19" s="4" t="n">
        <v>19</v>
      </c>
      <c r="G19" s="4"/>
      <c r="H19" s="16" t="n">
        <f aca="false">IFERROR(D19*(1+$C$13),"")</f>
        <v>19648510</v>
      </c>
      <c r="I19" s="17" t="n">
        <f aca="false">IFERROR(H19-D19,"")</f>
        <v>0</v>
      </c>
      <c r="J19" s="16" t="n">
        <f aca="false">IFERROR(I19*$C$11/100*$C$12,"")</f>
        <v>0</v>
      </c>
      <c r="K19" s="16" t="n">
        <f aca="false">IFERROR(J19/F19/12,"")</f>
        <v>0</v>
      </c>
    </row>
    <row r="20" customFormat="false" ht="18" hidden="false" customHeight="true" outlineLevel="0" collapsed="false">
      <c r="A20" s="4" t="n">
        <v>4</v>
      </c>
      <c r="B20" s="15" t="s">
        <v>125</v>
      </c>
      <c r="C20" s="4" t="s">
        <v>121</v>
      </c>
      <c r="D20" s="16" t="n">
        <v>16732843</v>
      </c>
      <c r="E20" s="16" t="n">
        <v>2359</v>
      </c>
      <c r="F20" s="4" t="n">
        <v>14</v>
      </c>
      <c r="G20" s="18" t="n">
        <v>28</v>
      </c>
      <c r="H20" s="16" t="n">
        <f aca="false">IFERROR(D20*(1+$C$13),"")</f>
        <v>16732843</v>
      </c>
      <c r="I20" s="17" t="n">
        <f aca="false">IFERROR(H20-D20,"")</f>
        <v>0</v>
      </c>
      <c r="J20" s="16" t="n">
        <f aca="false">IFERROR(I20*$C$11/100*$C$12,"")</f>
        <v>0</v>
      </c>
      <c r="K20" s="16" t="n">
        <f aca="false">IFERROR(J20/F20/12,"")</f>
        <v>0</v>
      </c>
    </row>
    <row r="21" customFormat="false" ht="18" hidden="false" customHeight="true" outlineLevel="0" collapsed="false">
      <c r="A21" s="4" t="n">
        <v>5</v>
      </c>
      <c r="B21" s="15" t="s">
        <v>126</v>
      </c>
      <c r="C21" s="4" t="s">
        <v>124</v>
      </c>
      <c r="D21" s="16" t="n">
        <v>16309064</v>
      </c>
      <c r="E21" s="16" t="n">
        <v>1726</v>
      </c>
      <c r="F21" s="4" t="n">
        <v>18</v>
      </c>
      <c r="G21" s="4"/>
      <c r="H21" s="16" t="n">
        <f aca="false">IFERROR(D21*(1+$C$13),"")</f>
        <v>16309064</v>
      </c>
      <c r="I21" s="17" t="n">
        <f aca="false">IFERROR(H21-D21,"")</f>
        <v>0</v>
      </c>
      <c r="J21" s="16" t="n">
        <f aca="false">IFERROR(I21*$C$11/100*$C$12,"")</f>
        <v>0</v>
      </c>
      <c r="K21" s="16" t="n">
        <f aca="false">IFERROR(J21/F21/12,"")</f>
        <v>0</v>
      </c>
    </row>
    <row r="22" customFormat="false" ht="18" hidden="false" customHeight="true" outlineLevel="0" collapsed="false">
      <c r="A22" s="4" t="n">
        <v>6</v>
      </c>
      <c r="B22" s="15" t="s">
        <v>127</v>
      </c>
      <c r="C22" s="4" t="s">
        <v>128</v>
      </c>
      <c r="D22" s="16" t="n">
        <v>16280701</v>
      </c>
      <c r="E22" s="16" t="n">
        <v>2041</v>
      </c>
      <c r="F22" s="4" t="n">
        <v>20</v>
      </c>
      <c r="G22" s="4"/>
      <c r="H22" s="16" t="n">
        <f aca="false">IFERROR(D22*(1+$C$13),"")</f>
        <v>16280701</v>
      </c>
      <c r="I22" s="17" t="n">
        <f aca="false">IFERROR(H22-D22,"")</f>
        <v>0</v>
      </c>
      <c r="J22" s="16" t="n">
        <f aca="false">IFERROR(I22*$C$11/100*$C$12,"")</f>
        <v>0</v>
      </c>
      <c r="K22" s="16" t="n">
        <f aca="false">IFERROR(J22/F22/12,"")</f>
        <v>0</v>
      </c>
    </row>
    <row r="23" customFormat="false" ht="18" hidden="false" customHeight="true" outlineLevel="0" collapsed="false">
      <c r="A23" s="4" t="n">
        <v>7</v>
      </c>
      <c r="B23" s="15" t="s">
        <v>129</v>
      </c>
      <c r="C23" s="4" t="s">
        <v>124</v>
      </c>
      <c r="D23" s="16" t="n">
        <v>14309768</v>
      </c>
      <c r="E23" s="16" t="n">
        <v>1414</v>
      </c>
      <c r="F23" s="4" t="n">
        <v>13</v>
      </c>
      <c r="G23" s="4"/>
      <c r="H23" s="16" t="n">
        <f aca="false">IFERROR(D23*(1+$C$13),"")</f>
        <v>14309768</v>
      </c>
      <c r="I23" s="17" t="n">
        <f aca="false">IFERROR(H23-D23,"")</f>
        <v>0</v>
      </c>
      <c r="J23" s="16" t="n">
        <f aca="false">IFERROR(I23*$C$11/100*$C$12,"")</f>
        <v>0</v>
      </c>
      <c r="K23" s="16" t="n">
        <f aca="false">IFERROR(J23/F23/12,"")</f>
        <v>0</v>
      </c>
    </row>
    <row r="24" customFormat="false" ht="18" hidden="false" customHeight="true" outlineLevel="0" collapsed="false">
      <c r="A24" s="4" t="n">
        <v>8</v>
      </c>
      <c r="B24" s="15" t="s">
        <v>130</v>
      </c>
      <c r="C24" s="4" t="s">
        <v>124</v>
      </c>
      <c r="D24" s="16" t="n">
        <v>13354076</v>
      </c>
      <c r="E24" s="16" t="n">
        <v>1694</v>
      </c>
      <c r="F24" s="4" t="n">
        <v>12</v>
      </c>
      <c r="G24" s="4"/>
      <c r="H24" s="16" t="n">
        <f aca="false">IFERROR(D24*(1+$C$13),"")</f>
        <v>13354076</v>
      </c>
      <c r="I24" s="17" t="n">
        <f aca="false">IFERROR(H24-D24,"")</f>
        <v>0</v>
      </c>
      <c r="J24" s="16" t="n">
        <f aca="false">IFERROR(I24*$C$11/100*$C$12,"")</f>
        <v>0</v>
      </c>
      <c r="K24" s="16" t="n">
        <f aca="false">IFERROR(J24/F24/12,"")</f>
        <v>0</v>
      </c>
    </row>
    <row r="25" customFormat="false" ht="18" hidden="false" customHeight="true" outlineLevel="0" collapsed="false">
      <c r="A25" s="4" t="n">
        <v>9</v>
      </c>
      <c r="B25" s="15" t="s">
        <v>131</v>
      </c>
      <c r="C25" s="4" t="s">
        <v>124</v>
      </c>
      <c r="D25" s="16" t="n">
        <v>13311973</v>
      </c>
      <c r="E25" s="16" t="n">
        <v>1483</v>
      </c>
      <c r="F25" s="4" t="n">
        <v>13</v>
      </c>
      <c r="G25" s="4"/>
      <c r="H25" s="16" t="n">
        <f aca="false">IFERROR(D25*(1+$C$13),"")</f>
        <v>13311973</v>
      </c>
      <c r="I25" s="17" t="n">
        <f aca="false">IFERROR(H25-D25,"")</f>
        <v>0</v>
      </c>
      <c r="J25" s="16" t="n">
        <f aca="false">IFERROR(I25*$C$11/100*$C$12,"")</f>
        <v>0</v>
      </c>
      <c r="K25" s="16" t="n">
        <f aca="false">IFERROR(J25/F25/12,"")</f>
        <v>0</v>
      </c>
    </row>
    <row r="26" customFormat="false" ht="18" hidden="false" customHeight="true" outlineLevel="0" collapsed="false">
      <c r="A26" s="4" t="n">
        <v>10</v>
      </c>
      <c r="B26" s="15" t="s">
        <v>132</v>
      </c>
      <c r="C26" s="4" t="s">
        <v>121</v>
      </c>
      <c r="D26" s="16" t="n">
        <v>13248903</v>
      </c>
      <c r="E26" s="16" t="n">
        <v>1872</v>
      </c>
      <c r="F26" s="4" t="n">
        <v>10</v>
      </c>
      <c r="G26" s="4"/>
      <c r="H26" s="16" t="n">
        <f aca="false">IFERROR(D26*(1+$C$13),"")</f>
        <v>13248903</v>
      </c>
      <c r="I26" s="17" t="n">
        <f aca="false">IFERROR(H26-D26,"")</f>
        <v>0</v>
      </c>
      <c r="J26" s="16" t="n">
        <f aca="false">IFERROR(I26*$C$11/100*$C$12,"")</f>
        <v>0</v>
      </c>
      <c r="K26" s="16" t="n">
        <f aca="false">IFERROR(J26/F26/12,"")</f>
        <v>0</v>
      </c>
    </row>
    <row r="27" customFormat="false" ht="18" hidden="false" customHeight="true" outlineLevel="0" collapsed="false">
      <c r="A27" s="4" t="n">
        <v>11</v>
      </c>
      <c r="B27" s="15" t="s">
        <v>133</v>
      </c>
      <c r="C27" s="4" t="s">
        <v>134</v>
      </c>
      <c r="D27" s="16" t="n">
        <v>13247588</v>
      </c>
      <c r="E27" s="16" t="n">
        <v>1169</v>
      </c>
      <c r="F27" s="4" t="n">
        <v>10</v>
      </c>
      <c r="G27" s="4"/>
      <c r="H27" s="16" t="n">
        <f aca="false">IFERROR(D27*(1+$C$13),"")</f>
        <v>13247588</v>
      </c>
      <c r="I27" s="17" t="n">
        <f aca="false">IFERROR(H27-D27,"")</f>
        <v>0</v>
      </c>
      <c r="J27" s="16" t="n">
        <f aca="false">IFERROR(I27*$C$11/100*$C$12,"")</f>
        <v>0</v>
      </c>
      <c r="K27" s="16" t="n">
        <f aca="false">IFERROR(J27/F27/12,"")</f>
        <v>0</v>
      </c>
    </row>
    <row r="28" customFormat="false" ht="18" hidden="false" customHeight="true" outlineLevel="0" collapsed="false">
      <c r="A28" s="4" t="n">
        <v>12</v>
      </c>
      <c r="B28" s="15" t="s">
        <v>135</v>
      </c>
      <c r="C28" s="4" t="s">
        <v>121</v>
      </c>
      <c r="D28" s="16" t="n">
        <v>12654914</v>
      </c>
      <c r="E28" s="16" t="n">
        <v>1702</v>
      </c>
      <c r="F28" s="4" t="n">
        <v>10</v>
      </c>
      <c r="G28" s="4"/>
      <c r="H28" s="16" t="n">
        <f aca="false">IFERROR(D28*(1+$C$13),"")</f>
        <v>12654914</v>
      </c>
      <c r="I28" s="17" t="n">
        <f aca="false">IFERROR(H28-D28,"")</f>
        <v>0</v>
      </c>
      <c r="J28" s="16" t="n">
        <f aca="false">IFERROR(I28*$C$11/100*$C$12,"")</f>
        <v>0</v>
      </c>
      <c r="K28" s="16" t="n">
        <f aca="false">IFERROR(J28/F28/12,"")</f>
        <v>0</v>
      </c>
    </row>
    <row r="29" customFormat="false" ht="18" hidden="false" customHeight="true" outlineLevel="0" collapsed="false">
      <c r="A29" s="4" t="n">
        <v>13</v>
      </c>
      <c r="B29" s="15" t="s">
        <v>136</v>
      </c>
      <c r="C29" s="4" t="s">
        <v>121</v>
      </c>
      <c r="D29" s="16" t="n">
        <v>11988986</v>
      </c>
      <c r="E29" s="16" t="n">
        <v>1566</v>
      </c>
      <c r="F29" s="4" t="n">
        <v>12</v>
      </c>
      <c r="G29" s="4"/>
      <c r="H29" s="16" t="n">
        <f aca="false">IFERROR(D29*(1+$C$13),"")</f>
        <v>11988986</v>
      </c>
      <c r="I29" s="17" t="n">
        <f aca="false">IFERROR(H29-D29,"")</f>
        <v>0</v>
      </c>
      <c r="J29" s="16" t="n">
        <f aca="false">IFERROR(I29*$C$11/100*$C$12,"")</f>
        <v>0</v>
      </c>
      <c r="K29" s="16" t="n">
        <f aca="false">IFERROR(J29/F29/12,"")</f>
        <v>0</v>
      </c>
    </row>
    <row r="30" customFormat="false" ht="18" hidden="false" customHeight="true" outlineLevel="0" collapsed="false">
      <c r="A30" s="4" t="n">
        <v>14</v>
      </c>
      <c r="B30" s="15" t="s">
        <v>137</v>
      </c>
      <c r="C30" s="4" t="s">
        <v>138</v>
      </c>
      <c r="D30" s="16" t="n">
        <v>11882308</v>
      </c>
      <c r="E30" s="16" t="n">
        <v>1807</v>
      </c>
      <c r="F30" s="4"/>
      <c r="G30" s="4"/>
      <c r="H30" s="16" t="n">
        <f aca="false">IFERROR(D30*(1+$C$13),"")</f>
        <v>11882308</v>
      </c>
      <c r="I30" s="17" t="n">
        <f aca="false">IFERROR(H30-D30,"")</f>
        <v>0</v>
      </c>
      <c r="J30" s="16" t="n">
        <f aca="false">IFERROR(I30*$C$11/100*$C$12,"")</f>
        <v>0</v>
      </c>
      <c r="K30" s="16" t="str">
        <f aca="false">IFERROR(J30/F30/12,"")</f>
        <v/>
      </c>
    </row>
    <row r="31" customFormat="false" ht="18" hidden="false" customHeight="true" outlineLevel="0" collapsed="false">
      <c r="A31" s="4" t="n">
        <v>15</v>
      </c>
      <c r="B31" s="15" t="s">
        <v>139</v>
      </c>
      <c r="C31" s="4" t="s">
        <v>121</v>
      </c>
      <c r="D31" s="16" t="n">
        <v>11625662</v>
      </c>
      <c r="E31" s="16" t="n">
        <v>1643</v>
      </c>
      <c r="F31" s="4" t="n">
        <v>9</v>
      </c>
      <c r="G31" s="4"/>
      <c r="H31" s="16" t="n">
        <f aca="false">IFERROR(D31*(1+$C$13),"")</f>
        <v>11625662</v>
      </c>
      <c r="I31" s="17" t="n">
        <f aca="false">IFERROR(H31-D31,"")</f>
        <v>0</v>
      </c>
      <c r="J31" s="16" t="n">
        <f aca="false">IFERROR(I31*$C$11/100*$C$12,"")</f>
        <v>0</v>
      </c>
      <c r="K31" s="16" t="n">
        <f aca="false">IFERROR(J31/F31/12,"")</f>
        <v>0</v>
      </c>
    </row>
    <row r="32" customFormat="false" ht="18" hidden="false" customHeight="true" outlineLevel="0" collapsed="false">
      <c r="A32" s="4" t="n">
        <v>16</v>
      </c>
      <c r="B32" s="15" t="s">
        <v>140</v>
      </c>
      <c r="C32" s="4" t="s">
        <v>121</v>
      </c>
      <c r="D32" s="16" t="n">
        <v>11101203</v>
      </c>
      <c r="E32" s="16" t="n">
        <v>1573</v>
      </c>
      <c r="F32" s="4" t="n">
        <v>11</v>
      </c>
      <c r="G32" s="4"/>
      <c r="H32" s="16" t="n">
        <f aca="false">IFERROR(D32*(1+$C$13),"")</f>
        <v>11101203</v>
      </c>
      <c r="I32" s="17" t="n">
        <f aca="false">IFERROR(H32-D32,"")</f>
        <v>0</v>
      </c>
      <c r="J32" s="16" t="n">
        <f aca="false">IFERROR(I32*$C$11/100*$C$12,"")</f>
        <v>0</v>
      </c>
      <c r="K32" s="16" t="n">
        <f aca="false">IFERROR(J32/F32/12,"")</f>
        <v>0</v>
      </c>
    </row>
    <row r="33" customFormat="false" ht="18" hidden="false" customHeight="true" outlineLevel="0" collapsed="false">
      <c r="A33" s="4" t="n">
        <v>17</v>
      </c>
      <c r="B33" s="15" t="s">
        <v>141</v>
      </c>
      <c r="C33" s="4" t="s">
        <v>128</v>
      </c>
      <c r="D33" s="16" t="n">
        <v>10864480</v>
      </c>
      <c r="E33" s="16" t="n">
        <v>1892</v>
      </c>
      <c r="F33" s="4"/>
      <c r="G33" s="4"/>
      <c r="H33" s="16" t="n">
        <f aca="false">IFERROR(D33*(1+$C$13),"")</f>
        <v>10864480</v>
      </c>
      <c r="I33" s="17" t="n">
        <f aca="false">IFERROR(H33-D33,"")</f>
        <v>0</v>
      </c>
      <c r="J33" s="16" t="n">
        <f aca="false">IFERROR(I33*$C$11/100*$C$12,"")</f>
        <v>0</v>
      </c>
      <c r="K33" s="16" t="str">
        <f aca="false">IFERROR(J33/F33/12,"")</f>
        <v/>
      </c>
    </row>
    <row r="34" customFormat="false" ht="18" hidden="false" customHeight="true" outlineLevel="0" collapsed="false">
      <c r="A34" s="4" t="n">
        <v>18</v>
      </c>
      <c r="B34" s="15" t="s">
        <v>142</v>
      </c>
      <c r="C34" s="4" t="s">
        <v>121</v>
      </c>
      <c r="D34" s="16" t="n">
        <v>9931491</v>
      </c>
      <c r="E34" s="16" t="n">
        <v>1290</v>
      </c>
      <c r="F34" s="4" t="n">
        <v>9</v>
      </c>
      <c r="G34" s="4" t="n">
        <v>8</v>
      </c>
      <c r="H34" s="16" t="n">
        <f aca="false">IFERROR(D34*(1+$C$13),"")</f>
        <v>9931491</v>
      </c>
      <c r="I34" s="17" t="n">
        <f aca="false">IFERROR(H34-D34,"")</f>
        <v>0</v>
      </c>
      <c r="J34" s="16" t="n">
        <f aca="false">IFERROR(I34*$C$11/100*$C$12,"")</f>
        <v>0</v>
      </c>
      <c r="K34" s="16" t="n">
        <f aca="false">IFERROR(J34/F34/12,"")</f>
        <v>0</v>
      </c>
    </row>
    <row r="35" customFormat="false" ht="18" hidden="false" customHeight="true" outlineLevel="0" collapsed="false">
      <c r="A35" s="4" t="n">
        <v>19</v>
      </c>
      <c r="B35" s="15" t="s">
        <v>143</v>
      </c>
      <c r="C35" s="4" t="s">
        <v>121</v>
      </c>
      <c r="D35" s="16" t="n">
        <v>9558604</v>
      </c>
      <c r="E35" s="16" t="n">
        <v>1363</v>
      </c>
      <c r="F35" s="4" t="n">
        <v>9</v>
      </c>
      <c r="G35" s="4"/>
      <c r="H35" s="16" t="n">
        <f aca="false">IFERROR(D35*(1+$C$13),"")</f>
        <v>9558604</v>
      </c>
      <c r="I35" s="17" t="n">
        <f aca="false">IFERROR(H35-D35,"")</f>
        <v>0</v>
      </c>
      <c r="J35" s="16" t="n">
        <f aca="false">IFERROR(I35*$C$11/100*$C$12,"")</f>
        <v>0</v>
      </c>
      <c r="K35" s="16" t="n">
        <f aca="false">IFERROR(J35/F35/12,"")</f>
        <v>0</v>
      </c>
    </row>
    <row r="36" customFormat="false" ht="18" hidden="false" customHeight="true" outlineLevel="0" collapsed="false">
      <c r="A36" s="4" t="n">
        <v>20</v>
      </c>
      <c r="B36" s="15" t="s">
        <v>144</v>
      </c>
      <c r="C36" s="4" t="s">
        <v>124</v>
      </c>
      <c r="D36" s="16" t="n">
        <v>9064151</v>
      </c>
      <c r="E36" s="16" t="n">
        <v>1144</v>
      </c>
      <c r="F36" s="4" t="n">
        <v>9</v>
      </c>
      <c r="G36" s="4"/>
      <c r="H36" s="16" t="n">
        <f aca="false">IFERROR(D36*(1+$C$13),"")</f>
        <v>9064151</v>
      </c>
      <c r="I36" s="17" t="n">
        <f aca="false">IFERROR(H36-D36,"")</f>
        <v>0</v>
      </c>
      <c r="J36" s="16" t="n">
        <f aca="false">IFERROR(I36*$C$11/100*$C$12,"")</f>
        <v>0</v>
      </c>
      <c r="K36" s="16" t="n">
        <f aca="false">IFERROR(J36/F36/12,"")</f>
        <v>0</v>
      </c>
    </row>
    <row r="37" customFormat="false" ht="18" hidden="false" customHeight="true" outlineLevel="0" collapsed="false">
      <c r="A37" s="4" t="n">
        <v>21</v>
      </c>
      <c r="B37" s="15" t="s">
        <v>145</v>
      </c>
      <c r="C37" s="4" t="s">
        <v>121</v>
      </c>
      <c r="D37" s="16" t="n">
        <v>8548346</v>
      </c>
      <c r="E37" s="16" t="n">
        <v>1380</v>
      </c>
      <c r="F37" s="4" t="n">
        <v>13</v>
      </c>
      <c r="G37" s="4"/>
      <c r="H37" s="16" t="n">
        <f aca="false">IFERROR(D37*(1+$C$13),"")</f>
        <v>8548346</v>
      </c>
      <c r="I37" s="17" t="n">
        <f aca="false">IFERROR(H37-D37,"")</f>
        <v>0</v>
      </c>
      <c r="J37" s="16" t="n">
        <f aca="false">IFERROR(I37*$C$11/100*$C$12,"")</f>
        <v>0</v>
      </c>
      <c r="K37" s="16" t="n">
        <f aca="false">IFERROR(J37/F37/12,"")</f>
        <v>0</v>
      </c>
    </row>
    <row r="38" customFormat="false" ht="18" hidden="false" customHeight="true" outlineLevel="0" collapsed="false">
      <c r="A38" s="4" t="n">
        <v>22</v>
      </c>
      <c r="B38" s="15" t="s">
        <v>146</v>
      </c>
      <c r="C38" s="4" t="s">
        <v>128</v>
      </c>
      <c r="D38" s="16" t="n">
        <v>7867941</v>
      </c>
      <c r="E38" s="16" t="n">
        <v>1328</v>
      </c>
      <c r="F38" s="4"/>
      <c r="G38" s="4"/>
      <c r="H38" s="16" t="n">
        <f aca="false">IFERROR(D38*(1+$C$13),"")</f>
        <v>7867941</v>
      </c>
      <c r="I38" s="17" t="n">
        <f aca="false">IFERROR(H38-D38,"")</f>
        <v>0</v>
      </c>
      <c r="J38" s="16" t="n">
        <f aca="false">IFERROR(I38*$C$11/100*$C$12,"")</f>
        <v>0</v>
      </c>
      <c r="K38" s="16" t="str">
        <f aca="false">IFERROR(J38/F38/12,"")</f>
        <v/>
      </c>
    </row>
    <row r="39" customFormat="false" ht="18" hidden="false" customHeight="true" outlineLevel="0" collapsed="false">
      <c r="A39" s="4" t="n">
        <v>23</v>
      </c>
      <c r="B39" s="15" t="s">
        <v>147</v>
      </c>
      <c r="C39" s="4" t="s">
        <v>138</v>
      </c>
      <c r="D39" s="16" t="n">
        <v>7444371</v>
      </c>
      <c r="E39" s="16" t="n">
        <v>922</v>
      </c>
      <c r="F39" s="4" t="n">
        <v>8</v>
      </c>
      <c r="G39" s="4"/>
      <c r="H39" s="16" t="n">
        <f aca="false">IFERROR(D39*(1+$C$13),"")</f>
        <v>7444371</v>
      </c>
      <c r="I39" s="17" t="n">
        <f aca="false">IFERROR(H39-D39,"")</f>
        <v>0</v>
      </c>
      <c r="J39" s="16" t="n">
        <f aca="false">IFERROR(I39*$C$11/100*$C$12,"")</f>
        <v>0</v>
      </c>
      <c r="K39" s="16" t="n">
        <f aca="false">IFERROR(J39/F39/12,"")</f>
        <v>0</v>
      </c>
    </row>
    <row r="40" customFormat="false" ht="18" hidden="false" customHeight="true" outlineLevel="0" collapsed="false">
      <c r="A40" s="4" t="n">
        <v>24</v>
      </c>
      <c r="B40" s="15" t="s">
        <v>148</v>
      </c>
      <c r="C40" s="4" t="s">
        <v>121</v>
      </c>
      <c r="D40" s="16" t="n">
        <v>7193020</v>
      </c>
      <c r="E40" s="16" t="n">
        <v>1112</v>
      </c>
      <c r="F40" s="4" t="n">
        <v>9</v>
      </c>
      <c r="G40" s="4"/>
      <c r="H40" s="16" t="n">
        <f aca="false">IFERROR(D40*(1+$C$13),"")</f>
        <v>7193020</v>
      </c>
      <c r="I40" s="17" t="n">
        <f aca="false">IFERROR(H40-D40,"")</f>
        <v>0</v>
      </c>
      <c r="J40" s="16" t="n">
        <f aca="false">IFERROR(I40*$C$11/100*$C$12,"")</f>
        <v>0</v>
      </c>
      <c r="K40" s="16" t="n">
        <f aca="false">IFERROR(J40/F40/12,"")</f>
        <v>0</v>
      </c>
    </row>
    <row r="41" customFormat="false" ht="18" hidden="false" customHeight="true" outlineLevel="0" collapsed="false">
      <c r="A41" s="4" t="n">
        <v>25</v>
      </c>
      <c r="B41" s="15" t="s">
        <v>149</v>
      </c>
      <c r="C41" s="4" t="s">
        <v>150</v>
      </c>
      <c r="D41" s="16" t="n">
        <v>7191456</v>
      </c>
      <c r="E41" s="16" t="n">
        <v>864</v>
      </c>
      <c r="F41" s="4" t="n">
        <v>7</v>
      </c>
      <c r="G41" s="4"/>
      <c r="H41" s="16" t="n">
        <f aca="false">IFERROR(D41*(1+$C$13),"")</f>
        <v>7191456</v>
      </c>
      <c r="I41" s="17" t="n">
        <f aca="false">IFERROR(H41-D41,"")</f>
        <v>0</v>
      </c>
      <c r="J41" s="16" t="n">
        <f aca="false">IFERROR(I41*$C$11/100*$C$12,"")</f>
        <v>0</v>
      </c>
      <c r="K41" s="16" t="n">
        <f aca="false">IFERROR(J41/F41/12,"")</f>
        <v>0</v>
      </c>
    </row>
    <row r="42" customFormat="false" ht="18" hidden="false" customHeight="true" outlineLevel="0" collapsed="false">
      <c r="A42" s="4" t="n">
        <v>26</v>
      </c>
      <c r="B42" s="15" t="s">
        <v>151</v>
      </c>
      <c r="C42" s="4" t="s">
        <v>121</v>
      </c>
      <c r="D42" s="16" t="n">
        <v>6999984</v>
      </c>
      <c r="E42" s="16" t="n">
        <v>913</v>
      </c>
      <c r="F42" s="4" t="n">
        <v>7</v>
      </c>
      <c r="G42" s="4" t="n">
        <v>3</v>
      </c>
      <c r="H42" s="16" t="n">
        <f aca="false">IFERROR(D42*(1+$C$13),"")</f>
        <v>6999984</v>
      </c>
      <c r="I42" s="17" t="n">
        <f aca="false">IFERROR(H42-D42,"")</f>
        <v>0</v>
      </c>
      <c r="J42" s="16" t="n">
        <f aca="false">IFERROR(I42*$C$11/100*$C$12,"")</f>
        <v>0</v>
      </c>
      <c r="K42" s="16" t="n">
        <f aca="false">IFERROR(J42/F42/12,"")</f>
        <v>0</v>
      </c>
    </row>
    <row r="43" customFormat="false" ht="18" hidden="false" customHeight="true" outlineLevel="0" collapsed="false">
      <c r="A43" s="4" t="n">
        <v>27</v>
      </c>
      <c r="B43" s="15" t="s">
        <v>152</v>
      </c>
      <c r="C43" s="4" t="s">
        <v>153</v>
      </c>
      <c r="D43" s="16" t="n">
        <v>6980426</v>
      </c>
      <c r="E43" s="16" t="n">
        <v>952</v>
      </c>
      <c r="F43" s="4" t="n">
        <v>7</v>
      </c>
      <c r="G43" s="4"/>
      <c r="H43" s="16" t="n">
        <f aca="false">IFERROR(D43*(1+$C$13),"")</f>
        <v>6980426</v>
      </c>
      <c r="I43" s="17" t="n">
        <f aca="false">IFERROR(H43-D43,"")</f>
        <v>0</v>
      </c>
      <c r="J43" s="16" t="n">
        <f aca="false">IFERROR(I43*$C$11/100*$C$12,"")</f>
        <v>0</v>
      </c>
      <c r="K43" s="16" t="n">
        <f aca="false">IFERROR(J43/F43/12,"")</f>
        <v>0</v>
      </c>
    </row>
    <row r="44" customFormat="false" ht="18" hidden="false" customHeight="true" outlineLevel="0" collapsed="false">
      <c r="A44" s="4" t="n">
        <v>28</v>
      </c>
      <c r="B44" s="15" t="s">
        <v>154</v>
      </c>
      <c r="C44" s="4" t="s">
        <v>121</v>
      </c>
      <c r="D44" s="16" t="n">
        <v>6955614</v>
      </c>
      <c r="E44" s="16" t="n">
        <v>1025</v>
      </c>
      <c r="F44" s="4" t="n">
        <v>6</v>
      </c>
      <c r="G44" s="4"/>
      <c r="H44" s="16" t="n">
        <f aca="false">IFERROR(D44*(1+$C$13),"")</f>
        <v>6955614</v>
      </c>
      <c r="I44" s="17" t="n">
        <f aca="false">IFERROR(H44-D44,"")</f>
        <v>0</v>
      </c>
      <c r="J44" s="16" t="n">
        <f aca="false">IFERROR(I44*$C$11/100*$C$12,"")</f>
        <v>0</v>
      </c>
      <c r="K44" s="16" t="n">
        <f aca="false">IFERROR(J44/F44/12,"")</f>
        <v>0</v>
      </c>
    </row>
    <row r="45" customFormat="false" ht="18" hidden="false" customHeight="true" outlineLevel="0" collapsed="false">
      <c r="A45" s="4" t="n">
        <v>29</v>
      </c>
      <c r="B45" s="15" t="s">
        <v>155</v>
      </c>
      <c r="C45" s="4" t="s">
        <v>124</v>
      </c>
      <c r="D45" s="16" t="n">
        <v>6835043</v>
      </c>
      <c r="E45" s="16" t="n">
        <v>823</v>
      </c>
      <c r="F45" s="4" t="n">
        <v>6</v>
      </c>
      <c r="G45" s="4"/>
      <c r="H45" s="16" t="n">
        <f aca="false">IFERROR(D45*(1+$C$13),"")</f>
        <v>6835043</v>
      </c>
      <c r="I45" s="17" t="n">
        <f aca="false">IFERROR(H45-D45,"")</f>
        <v>0</v>
      </c>
      <c r="J45" s="16" t="n">
        <f aca="false">IFERROR(I45*$C$11/100*$C$12,"")</f>
        <v>0</v>
      </c>
      <c r="K45" s="16" t="n">
        <f aca="false">IFERROR(J45/F45/12,"")</f>
        <v>0</v>
      </c>
    </row>
    <row r="46" customFormat="false" ht="18" hidden="false" customHeight="true" outlineLevel="0" collapsed="false">
      <c r="A46" s="4" t="n">
        <v>30</v>
      </c>
      <c r="B46" s="15" t="s">
        <v>156</v>
      </c>
      <c r="C46" s="4" t="s">
        <v>121</v>
      </c>
      <c r="D46" s="16" t="n">
        <v>6267957</v>
      </c>
      <c r="E46" s="16" t="n">
        <v>931</v>
      </c>
      <c r="F46" s="4" t="n">
        <v>7</v>
      </c>
      <c r="G46" s="4"/>
      <c r="H46" s="16" t="n">
        <f aca="false">IFERROR(D46*(1+$C$13),"")</f>
        <v>6267957</v>
      </c>
      <c r="I46" s="17" t="n">
        <f aca="false">IFERROR(H46-D46,"")</f>
        <v>0</v>
      </c>
      <c r="J46" s="16" t="n">
        <f aca="false">IFERROR(I46*$C$11/100*$C$12,"")</f>
        <v>0</v>
      </c>
      <c r="K46" s="16" t="n">
        <f aca="false">IFERROR(J46/F46/12,"")</f>
        <v>0</v>
      </c>
    </row>
    <row r="47" customFormat="false" ht="18" hidden="false" customHeight="true" outlineLevel="0" collapsed="false">
      <c r="A47" s="4" t="n">
        <v>31</v>
      </c>
      <c r="B47" s="15" t="s">
        <v>157</v>
      </c>
      <c r="C47" s="4" t="s">
        <v>121</v>
      </c>
      <c r="D47" s="16" t="n">
        <v>6241831</v>
      </c>
      <c r="E47" s="16" t="n">
        <v>816</v>
      </c>
      <c r="F47" s="4" t="n">
        <v>8</v>
      </c>
      <c r="G47" s="4"/>
      <c r="H47" s="16" t="n">
        <f aca="false">IFERROR(D47*(1+$C$13),"")</f>
        <v>6241831</v>
      </c>
      <c r="I47" s="17" t="n">
        <f aca="false">IFERROR(H47-D47,"")</f>
        <v>0</v>
      </c>
      <c r="J47" s="16" t="n">
        <f aca="false">IFERROR(I47*$C$11/100*$C$12,"")</f>
        <v>0</v>
      </c>
      <c r="K47" s="16" t="n">
        <f aca="false">IFERROR(J47/F47/12,"")</f>
        <v>0</v>
      </c>
    </row>
    <row r="48" customFormat="false" ht="18" hidden="false" customHeight="true" outlineLevel="0" collapsed="false">
      <c r="A48" s="4" t="n">
        <v>32</v>
      </c>
      <c r="B48" s="15" t="s">
        <v>158</v>
      </c>
      <c r="C48" s="4" t="s">
        <v>121</v>
      </c>
      <c r="D48" s="16" t="n">
        <v>6066855</v>
      </c>
      <c r="E48" s="16" t="n">
        <v>680</v>
      </c>
      <c r="F48" s="4" t="n">
        <v>11</v>
      </c>
      <c r="G48" s="4"/>
      <c r="H48" s="16" t="n">
        <f aca="false">IFERROR(D48*(1+$C$13),"")</f>
        <v>6066855</v>
      </c>
      <c r="I48" s="17" t="n">
        <f aca="false">IFERROR(H48-D48,"")</f>
        <v>0</v>
      </c>
      <c r="J48" s="16" t="n">
        <f aca="false">IFERROR(I48*$C$11/100*$C$12,"")</f>
        <v>0</v>
      </c>
      <c r="K48" s="16" t="n">
        <f aca="false">IFERROR(J48/F48/12,"")</f>
        <v>0</v>
      </c>
    </row>
    <row r="49" customFormat="false" ht="18" hidden="false" customHeight="true" outlineLevel="0" collapsed="false">
      <c r="A49" s="4" t="n">
        <v>33</v>
      </c>
      <c r="B49" s="15" t="s">
        <v>159</v>
      </c>
      <c r="C49" s="4" t="s">
        <v>138</v>
      </c>
      <c r="D49" s="16" t="n">
        <v>6046920</v>
      </c>
      <c r="E49" s="16" t="n">
        <v>1227</v>
      </c>
      <c r="F49" s="4"/>
      <c r="G49" s="4"/>
      <c r="H49" s="16" t="n">
        <f aca="false">IFERROR(D49*(1+$C$13),"")</f>
        <v>6046920</v>
      </c>
      <c r="I49" s="17" t="n">
        <f aca="false">IFERROR(H49-D49,"")</f>
        <v>0</v>
      </c>
      <c r="J49" s="16" t="n">
        <f aca="false">IFERROR(I49*$C$11/100*$C$12,"")</f>
        <v>0</v>
      </c>
      <c r="K49" s="16" t="str">
        <f aca="false">IFERROR(J49/F49/12,"")</f>
        <v/>
      </c>
    </row>
    <row r="50" customFormat="false" ht="18" hidden="false" customHeight="true" outlineLevel="0" collapsed="false">
      <c r="A50" s="4" t="n">
        <v>34</v>
      </c>
      <c r="B50" s="15" t="s">
        <v>160</v>
      </c>
      <c r="C50" s="4" t="s">
        <v>121</v>
      </c>
      <c r="D50" s="16" t="n">
        <v>5899223</v>
      </c>
      <c r="E50" s="16" t="n">
        <v>807</v>
      </c>
      <c r="F50" s="4" t="n">
        <v>7</v>
      </c>
      <c r="G50" s="4"/>
      <c r="H50" s="16" t="n">
        <f aca="false">IFERROR(D50*(1+$C$13),"")</f>
        <v>5899223</v>
      </c>
      <c r="I50" s="17" t="n">
        <f aca="false">IFERROR(H50-D50,"")</f>
        <v>0</v>
      </c>
      <c r="J50" s="16" t="n">
        <f aca="false">IFERROR(I50*$C$11/100*$C$12,"")</f>
        <v>0</v>
      </c>
      <c r="K50" s="16" t="n">
        <f aca="false">IFERROR(J50/F50/12,"")</f>
        <v>0</v>
      </c>
    </row>
    <row r="51" customFormat="false" ht="18" hidden="false" customHeight="true" outlineLevel="0" collapsed="false">
      <c r="A51" s="4" t="n">
        <v>35</v>
      </c>
      <c r="B51" s="15" t="s">
        <v>161</v>
      </c>
      <c r="C51" s="4" t="s">
        <v>128</v>
      </c>
      <c r="D51" s="16" t="n">
        <v>5722940</v>
      </c>
      <c r="E51" s="16" t="n">
        <v>938</v>
      </c>
      <c r="F51" s="4" t="n">
        <v>7</v>
      </c>
      <c r="G51" s="4"/>
      <c r="H51" s="16" t="n">
        <f aca="false">IFERROR(D51*(1+$C$13),"")</f>
        <v>5722940</v>
      </c>
      <c r="I51" s="17" t="n">
        <f aca="false">IFERROR(H51-D51,"")</f>
        <v>0</v>
      </c>
      <c r="J51" s="16" t="n">
        <f aca="false">IFERROR(I51*$C$11/100*$C$12,"")</f>
        <v>0</v>
      </c>
      <c r="K51" s="16" t="n">
        <f aca="false">IFERROR(J51/F51/12,"")</f>
        <v>0</v>
      </c>
    </row>
    <row r="52" customFormat="false" ht="18" hidden="false" customHeight="true" outlineLevel="0" collapsed="false">
      <c r="A52" s="4" t="n">
        <v>36</v>
      </c>
      <c r="B52" s="15" t="s">
        <v>162</v>
      </c>
      <c r="C52" s="4" t="s">
        <v>138</v>
      </c>
      <c r="D52" s="16" t="n">
        <v>5647921</v>
      </c>
      <c r="E52" s="16" t="n">
        <v>800</v>
      </c>
      <c r="F52" s="4" t="n">
        <v>7</v>
      </c>
      <c r="G52" s="4"/>
      <c r="H52" s="16" t="n">
        <f aca="false">IFERROR(D52*(1+$C$13),"")</f>
        <v>5647921</v>
      </c>
      <c r="I52" s="17" t="n">
        <f aca="false">IFERROR(H52-D52,"")</f>
        <v>0</v>
      </c>
      <c r="J52" s="16" t="n">
        <f aca="false">IFERROR(I52*$C$11/100*$C$12,"")</f>
        <v>0</v>
      </c>
      <c r="K52" s="16" t="n">
        <f aca="false">IFERROR(J52/F52/12,"")</f>
        <v>0</v>
      </c>
    </row>
    <row r="53" customFormat="false" ht="18" hidden="false" customHeight="true" outlineLevel="0" collapsed="false">
      <c r="A53" s="4" t="n">
        <v>37</v>
      </c>
      <c r="B53" s="15" t="s">
        <v>163</v>
      </c>
      <c r="C53" s="4" t="s">
        <v>121</v>
      </c>
      <c r="D53" s="16" t="n">
        <v>5545862</v>
      </c>
      <c r="E53" s="16" t="n">
        <v>537</v>
      </c>
      <c r="F53" s="4" t="n">
        <v>8</v>
      </c>
      <c r="G53" s="4"/>
      <c r="H53" s="16" t="n">
        <f aca="false">IFERROR(D53*(1+$C$13),"")</f>
        <v>5545862</v>
      </c>
      <c r="I53" s="17" t="n">
        <f aca="false">IFERROR(H53-D53,"")</f>
        <v>0</v>
      </c>
      <c r="J53" s="16" t="n">
        <f aca="false">IFERROR(I53*$C$11/100*$C$12,"")</f>
        <v>0</v>
      </c>
      <c r="K53" s="16" t="n">
        <f aca="false">IFERROR(J53/F53/12,"")</f>
        <v>0</v>
      </c>
    </row>
    <row r="54" customFormat="false" ht="18" hidden="false" customHeight="true" outlineLevel="0" collapsed="false">
      <c r="A54" s="4" t="n">
        <v>38</v>
      </c>
      <c r="B54" s="15" t="s">
        <v>164</v>
      </c>
      <c r="C54" s="4" t="s">
        <v>124</v>
      </c>
      <c r="D54" s="16" t="n">
        <v>5284855</v>
      </c>
      <c r="E54" s="16" t="n">
        <v>685</v>
      </c>
      <c r="F54" s="4" t="n">
        <v>5</v>
      </c>
      <c r="G54" s="4"/>
      <c r="H54" s="16" t="n">
        <f aca="false">IFERROR(D54*(1+$C$13),"")</f>
        <v>5284855</v>
      </c>
      <c r="I54" s="17" t="n">
        <f aca="false">IFERROR(H54-D54,"")</f>
        <v>0</v>
      </c>
      <c r="J54" s="16" t="n">
        <f aca="false">IFERROR(I54*$C$11/100*$C$12,"")</f>
        <v>0</v>
      </c>
      <c r="K54" s="16" t="n">
        <f aca="false">IFERROR(J54/F54/12,"")</f>
        <v>0</v>
      </c>
    </row>
    <row r="55" customFormat="false" ht="18" hidden="false" customHeight="true" outlineLevel="0" collapsed="false">
      <c r="A55" s="4" t="n">
        <v>39</v>
      </c>
      <c r="B55" s="15" t="s">
        <v>165</v>
      </c>
      <c r="C55" s="4" t="s">
        <v>166</v>
      </c>
      <c r="D55" s="16" t="n">
        <v>5197774</v>
      </c>
      <c r="E55" s="16" t="n">
        <v>591</v>
      </c>
      <c r="F55" s="4" t="n">
        <v>6</v>
      </c>
      <c r="G55" s="4"/>
      <c r="H55" s="16" t="n">
        <f aca="false">IFERROR(D55*(1+$C$13),"")</f>
        <v>5197774</v>
      </c>
      <c r="I55" s="17" t="n">
        <f aca="false">IFERROR(H55-D55,"")</f>
        <v>0</v>
      </c>
      <c r="J55" s="16" t="n">
        <f aca="false">IFERROR(I55*$C$11/100*$C$12,"")</f>
        <v>0</v>
      </c>
      <c r="K55" s="16" t="n">
        <f aca="false">IFERROR(J55/F55/12,"")</f>
        <v>0</v>
      </c>
    </row>
    <row r="56" customFormat="false" ht="18" hidden="false" customHeight="true" outlineLevel="0" collapsed="false">
      <c r="A56" s="4" t="n">
        <v>40</v>
      </c>
      <c r="B56" s="15" t="s">
        <v>167</v>
      </c>
      <c r="C56" s="4" t="s">
        <v>138</v>
      </c>
      <c r="D56" s="16" t="n">
        <v>4362115</v>
      </c>
      <c r="E56" s="16" t="n">
        <v>650</v>
      </c>
      <c r="F56" s="4" t="n">
        <v>8</v>
      </c>
      <c r="G56" s="4"/>
      <c r="H56" s="16" t="n">
        <f aca="false">IFERROR(D56*(1+$C$13),"")</f>
        <v>4362115</v>
      </c>
      <c r="I56" s="17" t="n">
        <f aca="false">IFERROR(H56-D56,"")</f>
        <v>0</v>
      </c>
      <c r="J56" s="16" t="n">
        <f aca="false">IFERROR(I56*$C$11/100*$C$12,"")</f>
        <v>0</v>
      </c>
      <c r="K56" s="16" t="n">
        <f aca="false">IFERROR(J56/F56/12,"")</f>
        <v>0</v>
      </c>
    </row>
    <row r="57" customFormat="false" ht="18" hidden="false" customHeight="true" outlineLevel="0" collapsed="false">
      <c r="A57" s="4" t="n">
        <v>41</v>
      </c>
      <c r="B57" s="15" t="s">
        <v>168</v>
      </c>
      <c r="C57" s="4" t="s">
        <v>150</v>
      </c>
      <c r="D57" s="16" t="n">
        <v>4341977</v>
      </c>
      <c r="E57" s="16" t="n">
        <v>469</v>
      </c>
      <c r="F57" s="4" t="n">
        <v>7</v>
      </c>
      <c r="G57" s="4"/>
      <c r="H57" s="16" t="n">
        <f aca="false">IFERROR(D57*(1+$C$13),"")</f>
        <v>4341977</v>
      </c>
      <c r="I57" s="17" t="n">
        <f aca="false">IFERROR(H57-D57,"")</f>
        <v>0</v>
      </c>
      <c r="J57" s="16" t="n">
        <f aca="false">IFERROR(I57*$C$11/100*$C$12,"")</f>
        <v>0</v>
      </c>
      <c r="K57" s="16" t="n">
        <f aca="false">IFERROR(J57/F57/12,"")</f>
        <v>0</v>
      </c>
    </row>
    <row r="58" customFormat="false" ht="18" hidden="false" customHeight="true" outlineLevel="0" collapsed="false">
      <c r="A58" s="4" t="n">
        <v>42</v>
      </c>
      <c r="B58" s="15" t="s">
        <v>169</v>
      </c>
      <c r="C58" s="4" t="s">
        <v>138</v>
      </c>
      <c r="D58" s="16" t="n">
        <v>4191108</v>
      </c>
      <c r="E58" s="16" t="n">
        <v>538</v>
      </c>
      <c r="F58" s="4" t="n">
        <v>6</v>
      </c>
      <c r="G58" s="4"/>
      <c r="H58" s="16" t="n">
        <f aca="false">IFERROR(D58*(1+$C$13),"")</f>
        <v>4191108</v>
      </c>
      <c r="I58" s="17" t="n">
        <f aca="false">IFERROR(H58-D58,"")</f>
        <v>0</v>
      </c>
      <c r="J58" s="16" t="n">
        <f aca="false">IFERROR(I58*$C$11/100*$C$12,"")</f>
        <v>0</v>
      </c>
      <c r="K58" s="16" t="n">
        <f aca="false">IFERROR(J58/F58/12,"")</f>
        <v>0</v>
      </c>
    </row>
    <row r="59" customFormat="false" ht="18" hidden="false" customHeight="true" outlineLevel="0" collapsed="false">
      <c r="A59" s="4" t="n">
        <v>43</v>
      </c>
      <c r="B59" s="15" t="s">
        <v>170</v>
      </c>
      <c r="C59" s="4" t="s">
        <v>121</v>
      </c>
      <c r="D59" s="16" t="n">
        <v>4156161</v>
      </c>
      <c r="E59" s="16" t="n">
        <v>586</v>
      </c>
      <c r="F59" s="4" t="n">
        <v>5</v>
      </c>
      <c r="G59" s="4"/>
      <c r="H59" s="16" t="n">
        <f aca="false">IFERROR(D59*(1+$C$13),"")</f>
        <v>4156161</v>
      </c>
      <c r="I59" s="17" t="n">
        <f aca="false">IFERROR(H59-D59,"")</f>
        <v>0</v>
      </c>
      <c r="J59" s="16" t="n">
        <f aca="false">IFERROR(I59*$C$11/100*$C$12,"")</f>
        <v>0</v>
      </c>
      <c r="K59" s="16" t="n">
        <f aca="false">IFERROR(J59/F59/12,"")</f>
        <v>0</v>
      </c>
    </row>
    <row r="60" customFormat="false" ht="18" hidden="false" customHeight="true" outlineLevel="0" collapsed="false">
      <c r="A60" s="4" t="n">
        <v>44</v>
      </c>
      <c r="B60" s="15" t="s">
        <v>171</v>
      </c>
      <c r="C60" s="4" t="s">
        <v>121</v>
      </c>
      <c r="D60" s="16" t="n">
        <v>3857645</v>
      </c>
      <c r="E60" s="16" t="n">
        <v>456</v>
      </c>
      <c r="F60" s="4" t="n">
        <v>5</v>
      </c>
      <c r="G60" s="4" t="n">
        <v>6</v>
      </c>
      <c r="H60" s="16" t="n">
        <f aca="false">IFERROR(D60*(1+$C$13),"")</f>
        <v>3857645</v>
      </c>
      <c r="I60" s="17" t="n">
        <f aca="false">IFERROR(H60-D60,"")</f>
        <v>0</v>
      </c>
      <c r="J60" s="16" t="n">
        <f aca="false">IFERROR(I60*$C$11/100*$C$12,"")</f>
        <v>0</v>
      </c>
      <c r="K60" s="16" t="n">
        <f aca="false">IFERROR(J60/F60/12,"")</f>
        <v>0</v>
      </c>
    </row>
    <row r="61" customFormat="false" ht="18" hidden="false" customHeight="true" outlineLevel="0" collapsed="false">
      <c r="A61" s="4" t="n">
        <v>45</v>
      </c>
      <c r="B61" s="15" t="s">
        <v>172</v>
      </c>
      <c r="C61" s="4" t="s">
        <v>121</v>
      </c>
      <c r="D61" s="16" t="n">
        <v>3791200</v>
      </c>
      <c r="E61" s="16" t="n">
        <v>423</v>
      </c>
      <c r="F61" s="4" t="n">
        <v>9</v>
      </c>
      <c r="G61" s="4"/>
      <c r="H61" s="16" t="n">
        <f aca="false">IFERROR(D61*(1+$C$13),"")</f>
        <v>3791200</v>
      </c>
      <c r="I61" s="17" t="n">
        <f aca="false">IFERROR(H61-D61,"")</f>
        <v>0</v>
      </c>
      <c r="J61" s="16" t="n">
        <f aca="false">IFERROR(I61*$C$11/100*$C$12,"")</f>
        <v>0</v>
      </c>
      <c r="K61" s="16" t="n">
        <f aca="false">IFERROR(J61/F61/12,"")</f>
        <v>0</v>
      </c>
    </row>
    <row r="62" customFormat="false" ht="18" hidden="false" customHeight="true" outlineLevel="0" collapsed="false">
      <c r="A62" s="4" t="n">
        <v>46</v>
      </c>
      <c r="B62" s="15" t="s">
        <v>173</v>
      </c>
      <c r="C62" s="4" t="s">
        <v>121</v>
      </c>
      <c r="D62" s="16" t="n">
        <v>3708152</v>
      </c>
      <c r="E62" s="16" t="n">
        <v>451</v>
      </c>
      <c r="F62" s="4"/>
      <c r="G62" s="4"/>
      <c r="H62" s="16" t="n">
        <f aca="false">IFERROR(D62*(1+$C$13),"")</f>
        <v>3708152</v>
      </c>
      <c r="I62" s="17" t="n">
        <f aca="false">IFERROR(H62-D62,"")</f>
        <v>0</v>
      </c>
      <c r="J62" s="16" t="n">
        <f aca="false">IFERROR(I62*$C$11/100*$C$12,"")</f>
        <v>0</v>
      </c>
      <c r="K62" s="16" t="str">
        <f aca="false">IFERROR(J62/F62/12,"")</f>
        <v/>
      </c>
    </row>
    <row r="63" customFormat="false" ht="18" hidden="false" customHeight="true" outlineLevel="0" collapsed="false">
      <c r="A63" s="4" t="n">
        <v>47</v>
      </c>
      <c r="B63" s="15" t="s">
        <v>174</v>
      </c>
      <c r="C63" s="4" t="s">
        <v>175</v>
      </c>
      <c r="D63" s="16" t="n">
        <v>3599745</v>
      </c>
      <c r="E63" s="16" t="n">
        <v>441</v>
      </c>
      <c r="F63" s="4" t="n">
        <v>6</v>
      </c>
      <c r="G63" s="4"/>
      <c r="H63" s="16" t="n">
        <f aca="false">IFERROR(D63*(1+$C$13),"")</f>
        <v>3599745</v>
      </c>
      <c r="I63" s="17" t="n">
        <f aca="false">IFERROR(H63-D63,"")</f>
        <v>0</v>
      </c>
      <c r="J63" s="16" t="n">
        <f aca="false">IFERROR(I63*$C$11/100*$C$12,"")</f>
        <v>0</v>
      </c>
      <c r="K63" s="16" t="n">
        <f aca="false">IFERROR(J63/F63/12,"")</f>
        <v>0</v>
      </c>
    </row>
    <row r="64" customFormat="false" ht="18" hidden="false" customHeight="true" outlineLevel="0" collapsed="false">
      <c r="A64" s="4" t="n">
        <v>48</v>
      </c>
      <c r="B64" s="15" t="s">
        <v>176</v>
      </c>
      <c r="C64" s="4" t="s">
        <v>150</v>
      </c>
      <c r="D64" s="16" t="n">
        <v>3433425</v>
      </c>
      <c r="E64" s="16" t="n">
        <v>402</v>
      </c>
      <c r="F64" s="4" t="n">
        <v>5</v>
      </c>
      <c r="G64" s="4"/>
      <c r="H64" s="16" t="n">
        <f aca="false">IFERROR(D64*(1+$C$13),"")</f>
        <v>3433425</v>
      </c>
      <c r="I64" s="17" t="n">
        <f aca="false">IFERROR(H64-D64,"")</f>
        <v>0</v>
      </c>
      <c r="J64" s="16" t="n">
        <f aca="false">IFERROR(I64*$C$11/100*$C$12,"")</f>
        <v>0</v>
      </c>
      <c r="K64" s="16" t="n">
        <f aca="false">IFERROR(J64/F64/12,"")</f>
        <v>0</v>
      </c>
    </row>
    <row r="65" customFormat="false" ht="18" hidden="false" customHeight="true" outlineLevel="0" collapsed="false">
      <c r="A65" s="4" t="n">
        <v>49</v>
      </c>
      <c r="B65" s="15" t="s">
        <v>177</v>
      </c>
      <c r="C65" s="4" t="s">
        <v>124</v>
      </c>
      <c r="D65" s="16" t="n">
        <v>3315559</v>
      </c>
      <c r="E65" s="16" t="n">
        <v>455</v>
      </c>
      <c r="F65" s="4" t="n">
        <v>5</v>
      </c>
      <c r="G65" s="4"/>
      <c r="H65" s="16" t="n">
        <f aca="false">IFERROR(D65*(1+$C$13),"")</f>
        <v>3315559</v>
      </c>
      <c r="I65" s="17" t="n">
        <f aca="false">IFERROR(H65-D65,"")</f>
        <v>0</v>
      </c>
      <c r="J65" s="16" t="n">
        <f aca="false">IFERROR(I65*$C$11/100*$C$12,"")</f>
        <v>0</v>
      </c>
      <c r="K65" s="16" t="n">
        <f aca="false">IFERROR(J65/F65/12,"")</f>
        <v>0</v>
      </c>
    </row>
    <row r="66" customFormat="false" ht="18" hidden="false" customHeight="true" outlineLevel="0" collapsed="false">
      <c r="A66" s="4" t="n">
        <v>50</v>
      </c>
      <c r="B66" s="15" t="s">
        <v>178</v>
      </c>
      <c r="C66" s="4" t="s">
        <v>179</v>
      </c>
      <c r="D66" s="16" t="n">
        <v>2663618</v>
      </c>
      <c r="E66" s="16" t="n">
        <v>327</v>
      </c>
      <c r="F66" s="4" t="n">
        <v>6</v>
      </c>
      <c r="G66" s="4"/>
      <c r="H66" s="16" t="n">
        <f aca="false">IFERROR(D66*(1+$C$13),"")</f>
        <v>2663618</v>
      </c>
      <c r="I66" s="17" t="n">
        <f aca="false">IFERROR(H66-D66,"")</f>
        <v>0</v>
      </c>
      <c r="J66" s="16" t="n">
        <f aca="false">IFERROR(I66*$C$11/100*$C$12,"")</f>
        <v>0</v>
      </c>
      <c r="K66" s="16" t="n">
        <f aca="false">IFERROR(J66/F66/12,"")</f>
        <v>0</v>
      </c>
    </row>
    <row r="67" customFormat="false" ht="18" hidden="false" customHeight="true" outlineLevel="0" collapsed="false">
      <c r="A67" s="4" t="n">
        <v>51</v>
      </c>
      <c r="B67" s="15" t="s">
        <v>180</v>
      </c>
      <c r="C67" s="4" t="s">
        <v>128</v>
      </c>
      <c r="D67" s="16" t="n">
        <v>2286567</v>
      </c>
      <c r="E67" s="16" t="n">
        <v>333</v>
      </c>
      <c r="F67" s="4" t="n">
        <v>6</v>
      </c>
      <c r="G67" s="4"/>
      <c r="H67" s="16" t="n">
        <f aca="false">IFERROR(D67*(1+$C$13),"")</f>
        <v>2286567</v>
      </c>
      <c r="I67" s="17" t="n">
        <f aca="false">IFERROR(H67-D67,"")</f>
        <v>0</v>
      </c>
      <c r="J67" s="16" t="n">
        <f aca="false">IFERROR(I67*$C$11/100*$C$12,"")</f>
        <v>0</v>
      </c>
      <c r="K67" s="16" t="n">
        <f aca="false">IFERROR(J67/F67/12,"")</f>
        <v>0</v>
      </c>
    </row>
    <row r="68" customFormat="false" ht="18" hidden="false" customHeight="true" outlineLevel="0" collapsed="false">
      <c r="A68" s="4" t="n">
        <v>52</v>
      </c>
      <c r="B68" s="15" t="s">
        <v>181</v>
      </c>
      <c r="C68" s="4" t="s">
        <v>138</v>
      </c>
      <c r="D68" s="16" t="n">
        <v>2086987</v>
      </c>
      <c r="E68" s="16" t="n">
        <v>281</v>
      </c>
      <c r="F68" s="4" t="n">
        <v>4</v>
      </c>
      <c r="G68" s="4"/>
      <c r="H68" s="16" t="n">
        <f aca="false">IFERROR(D68*(1+$C$13),"")</f>
        <v>2086987</v>
      </c>
      <c r="I68" s="17" t="n">
        <f aca="false">IFERROR(H68-D68,"")</f>
        <v>0</v>
      </c>
      <c r="J68" s="16" t="n">
        <f aca="false">IFERROR(I68*$C$11/100*$C$12,"")</f>
        <v>0</v>
      </c>
      <c r="K68" s="16" t="n">
        <f aca="false">IFERROR(J68/F68/12,"")</f>
        <v>0</v>
      </c>
    </row>
    <row r="69" customFormat="false" ht="18" hidden="false" customHeight="true" outlineLevel="0" collapsed="false">
      <c r="A69" s="4" t="n">
        <v>53</v>
      </c>
      <c r="B69" s="15" t="s">
        <v>182</v>
      </c>
      <c r="C69" s="4" t="s">
        <v>138</v>
      </c>
      <c r="D69" s="16" t="n">
        <v>1960098</v>
      </c>
      <c r="E69" s="16" t="n">
        <v>408</v>
      </c>
      <c r="F69" s="4" t="n">
        <v>4</v>
      </c>
      <c r="G69" s="4"/>
      <c r="H69" s="16" t="n">
        <f aca="false">IFERROR(D69*(1+$C$13),"")</f>
        <v>1960098</v>
      </c>
      <c r="I69" s="17" t="n">
        <f aca="false">IFERROR(H69-D69,"")</f>
        <v>0</v>
      </c>
      <c r="J69" s="16" t="n">
        <f aca="false">IFERROR(I69*$C$11/100*$C$12,"")</f>
        <v>0</v>
      </c>
      <c r="K69" s="16" t="n">
        <f aca="false">IFERROR(J69/F69/12,"")</f>
        <v>0</v>
      </c>
    </row>
    <row r="70" customFormat="false" ht="18" hidden="false" customHeight="true" outlineLevel="0" collapsed="false">
      <c r="A70" s="4" t="n">
        <v>54</v>
      </c>
      <c r="B70" s="15" t="s">
        <v>183</v>
      </c>
      <c r="C70" s="4" t="s">
        <v>184</v>
      </c>
      <c r="D70" s="16" t="n">
        <v>1451309</v>
      </c>
      <c r="E70" s="16" t="n">
        <v>196</v>
      </c>
      <c r="F70" s="4"/>
      <c r="G70" s="4"/>
      <c r="H70" s="16" t="n">
        <f aca="false">IFERROR(D70*(1+$C$13),"")</f>
        <v>1451309</v>
      </c>
      <c r="I70" s="17" t="n">
        <f aca="false">IFERROR(H70-D70,"")</f>
        <v>0</v>
      </c>
      <c r="J70" s="16" t="n">
        <f aca="false">IFERROR(I70*$C$11/100*$C$12,"")</f>
        <v>0</v>
      </c>
      <c r="K70" s="16" t="str">
        <f aca="false">IFERROR(J70/F70/12,"")</f>
        <v/>
      </c>
    </row>
    <row r="71" customFormat="false" ht="18" hidden="false" customHeight="true" outlineLevel="0" collapsed="false">
      <c r="A71" s="4" t="n">
        <v>55</v>
      </c>
      <c r="B71" s="15" t="s">
        <v>185</v>
      </c>
      <c r="C71" s="4" t="s">
        <v>186</v>
      </c>
      <c r="D71" s="16" t="n">
        <v>1099275</v>
      </c>
      <c r="E71" s="16" t="n">
        <v>154</v>
      </c>
      <c r="F71" s="4" t="n">
        <v>5</v>
      </c>
      <c r="G71" s="4"/>
      <c r="H71" s="16" t="n">
        <f aca="false">IFERROR(D71*(1+$C$13),"")</f>
        <v>1099275</v>
      </c>
      <c r="I71" s="17" t="n">
        <f aca="false">IFERROR(H71-D71,"")</f>
        <v>0</v>
      </c>
      <c r="J71" s="16" t="n">
        <f aca="false">IFERROR(I71*$C$11/100*$C$12,"")</f>
        <v>0</v>
      </c>
      <c r="K71" s="16" t="n">
        <f aca="false">IFERROR(J71/F71/12,"")</f>
        <v>0</v>
      </c>
    </row>
    <row r="72" customFormat="false" ht="15" hidden="false" customHeight="false" outlineLevel="0" collapsed="false">
      <c r="A72" s="19"/>
      <c r="B72" s="19" t="s">
        <v>187</v>
      </c>
      <c r="C72" s="19"/>
      <c r="D72" s="20" t="n">
        <f aca="false">SUM(D17:D71)</f>
        <v>478886741</v>
      </c>
      <c r="E72" s="20" t="n">
        <f aca="false">SUM(E17:E71)</f>
        <v>61573</v>
      </c>
      <c r="F72" s="20" t="n">
        <f aca="false">SUM(F17:F71)</f>
        <v>482</v>
      </c>
      <c r="G72" s="20" t="n">
        <f aca="false">SUM(G17:G71)</f>
        <v>103</v>
      </c>
      <c r="H72" s="20" t="n">
        <f aca="false">SUM(H17:H71)</f>
        <v>478886741</v>
      </c>
      <c r="I72" s="20" t="n">
        <f aca="false">SUM(I17:I71)</f>
        <v>0</v>
      </c>
      <c r="J72" s="20" t="n">
        <f aca="false">SUM(J17:J71)</f>
        <v>0</v>
      </c>
      <c r="K72" s="19"/>
    </row>
    <row r="74" customFormat="false" ht="15" hidden="false" customHeight="false" outlineLevel="0" collapsed="false">
      <c r="B74" s="7" t="s">
        <v>188</v>
      </c>
    </row>
    <row r="75" customFormat="false" ht="15.75" hidden="false" customHeight="true" outlineLevel="0" collapsed="false">
      <c r="C75" s="8" t="s">
        <v>189</v>
      </c>
      <c r="D75" s="8"/>
      <c r="E75" s="8"/>
      <c r="F75" s="8"/>
      <c r="G75" s="8"/>
      <c r="H75" s="8"/>
      <c r="I75" s="8"/>
      <c r="J75" s="8"/>
      <c r="K75" s="8"/>
    </row>
    <row r="76" customFormat="false" ht="15.75" hidden="false" customHeight="true" outlineLevel="0" collapsed="false">
      <c r="C76" s="8" t="s">
        <v>190</v>
      </c>
      <c r="D76" s="8"/>
      <c r="E76" s="8"/>
      <c r="F76" s="8"/>
      <c r="G76" s="8"/>
      <c r="H76" s="8"/>
      <c r="I76" s="8"/>
      <c r="J76" s="8"/>
      <c r="K76" s="8"/>
    </row>
    <row r="77" customFormat="false" ht="15.75" hidden="false" customHeight="true" outlineLevel="0" collapsed="false">
      <c r="C77" s="8" t="s">
        <v>191</v>
      </c>
      <c r="D77" s="8"/>
      <c r="E77" s="8"/>
      <c r="F77" s="8"/>
      <c r="G77" s="8"/>
      <c r="H77" s="8"/>
      <c r="I77" s="8"/>
      <c r="J77" s="8"/>
      <c r="K77" s="8"/>
    </row>
    <row r="79" customFormat="false" ht="15" hidden="false" customHeight="false" outlineLevel="0" collapsed="false">
      <c r="B79" s="9" t="s">
        <v>192</v>
      </c>
    </row>
    <row r="80" customFormat="false" ht="15.75" hidden="false" customHeight="true" outlineLevel="0" collapsed="false">
      <c r="C80" s="8" t="s">
        <v>193</v>
      </c>
      <c r="D80" s="8"/>
      <c r="E80" s="8"/>
      <c r="F80" s="8"/>
      <c r="G80" s="8"/>
      <c r="H80" s="8"/>
      <c r="I80" s="8"/>
      <c r="J80" s="8"/>
      <c r="K80" s="8"/>
    </row>
    <row r="81" customFormat="false" ht="15.75" hidden="false" customHeight="true" outlineLevel="0" collapsed="false">
      <c r="C81" s="8" t="s">
        <v>194</v>
      </c>
      <c r="D81" s="8"/>
      <c r="E81" s="8"/>
      <c r="F81" s="8"/>
      <c r="G81" s="8"/>
      <c r="H81" s="8"/>
      <c r="I81" s="8"/>
      <c r="J81" s="8"/>
      <c r="K81" s="8"/>
    </row>
    <row r="82" customFormat="false" ht="15.75" hidden="false" customHeight="true" outlineLevel="0" collapsed="false">
      <c r="C82" s="8" t="s">
        <v>195</v>
      </c>
      <c r="D82" s="8"/>
      <c r="E82" s="8"/>
      <c r="F82" s="8"/>
      <c r="G82" s="8"/>
      <c r="H82" s="8"/>
      <c r="I82" s="8"/>
      <c r="J82" s="8"/>
      <c r="K82" s="8"/>
    </row>
    <row r="84" customFormat="false" ht="15" hidden="false" customHeight="false" outlineLevel="0" collapsed="false">
      <c r="B84" s="9" t="s">
        <v>196</v>
      </c>
    </row>
    <row r="85" customFormat="false" ht="15.75" hidden="false" customHeight="true" outlineLevel="0" collapsed="false">
      <c r="C85" s="8" t="s">
        <v>197</v>
      </c>
      <c r="D85" s="8"/>
      <c r="E85" s="8"/>
      <c r="F85" s="8"/>
      <c r="G85" s="8"/>
      <c r="H85" s="8"/>
      <c r="I85" s="8"/>
      <c r="J85" s="8"/>
      <c r="K85" s="8"/>
    </row>
    <row r="86" customFormat="false" ht="15.75" hidden="false" customHeight="true" outlineLevel="0" collapsed="false">
      <c r="C86" s="8" t="s">
        <v>198</v>
      </c>
      <c r="D86" s="8"/>
      <c r="E86" s="8"/>
      <c r="F86" s="8"/>
      <c r="G86" s="8"/>
      <c r="H86" s="8"/>
      <c r="I86" s="8"/>
      <c r="J86" s="8"/>
      <c r="K86" s="8"/>
    </row>
    <row r="87" customFormat="false" ht="15.75" hidden="false" customHeight="true" outlineLevel="0" collapsed="false">
      <c r="C87" s="8" t="s">
        <v>199</v>
      </c>
      <c r="D87" s="8"/>
      <c r="E87" s="8"/>
      <c r="F87" s="8"/>
      <c r="G87" s="8"/>
      <c r="H87" s="8"/>
      <c r="I87" s="8"/>
      <c r="J87" s="8"/>
      <c r="K87" s="8"/>
    </row>
  </sheetData>
  <mergeCells count="14">
    <mergeCell ref="A1:K1"/>
    <mergeCell ref="A2:K2"/>
    <mergeCell ref="A3:K3"/>
    <mergeCell ref="A9:K9"/>
    <mergeCell ref="A15:K15"/>
    <mergeCell ref="C75:K75"/>
    <mergeCell ref="C76:K76"/>
    <mergeCell ref="C77:K77"/>
    <mergeCell ref="C80:K80"/>
    <mergeCell ref="C81:K81"/>
    <mergeCell ref="C82:K82"/>
    <mergeCell ref="C85:K85"/>
    <mergeCell ref="C86:K86"/>
    <mergeCell ref="C87:K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6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200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201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202</v>
      </c>
      <c r="B3" s="10"/>
      <c r="C3" s="10"/>
      <c r="D3" s="10"/>
      <c r="E3" s="10"/>
      <c r="F3" s="10"/>
      <c r="G3" s="10"/>
    </row>
    <row r="4" customFormat="false" ht="27.75" hidden="false" customHeight="true" outlineLevel="0" collapsed="false">
      <c r="A4" s="4" t="n">
        <v>1</v>
      </c>
      <c r="B4" s="5" t="s">
        <v>203</v>
      </c>
      <c r="C4" s="6" t="s">
        <v>204</v>
      </c>
      <c r="D4" s="6" t="s">
        <v>205</v>
      </c>
      <c r="E4" s="6" t="s">
        <v>206</v>
      </c>
      <c r="F4" s="6"/>
      <c r="G4" s="6" t="s">
        <v>207</v>
      </c>
    </row>
    <row r="5" customFormat="false" ht="27.75" hidden="false" customHeight="true" outlineLevel="0" collapsed="false">
      <c r="A5" s="4" t="n">
        <v>2</v>
      </c>
      <c r="B5" s="5" t="s">
        <v>208</v>
      </c>
      <c r="C5" s="6" t="s">
        <v>209</v>
      </c>
      <c r="D5" s="6" t="s">
        <v>210</v>
      </c>
      <c r="E5" s="6" t="s">
        <v>211</v>
      </c>
      <c r="F5" s="6"/>
      <c r="G5" s="6" t="s">
        <v>212</v>
      </c>
    </row>
    <row r="6" customFormat="false" ht="27.75" hidden="false" customHeight="true" outlineLevel="0" collapsed="false">
      <c r="A6" s="4" t="n">
        <v>3</v>
      </c>
      <c r="B6" s="5" t="s">
        <v>213</v>
      </c>
      <c r="C6" s="6" t="s">
        <v>214</v>
      </c>
      <c r="D6" s="6" t="s">
        <v>215</v>
      </c>
      <c r="E6" s="6" t="s">
        <v>216</v>
      </c>
      <c r="F6" s="6"/>
      <c r="G6" s="6" t="s">
        <v>217</v>
      </c>
    </row>
    <row r="7" customFormat="false" ht="27.75" hidden="false" customHeight="true" outlineLevel="0" collapsed="false">
      <c r="A7" s="4" t="n">
        <v>4</v>
      </c>
      <c r="B7" s="5" t="s">
        <v>218</v>
      </c>
      <c r="C7" s="6" t="s">
        <v>219</v>
      </c>
      <c r="D7" s="6" t="s">
        <v>220</v>
      </c>
      <c r="E7" s="6" t="s">
        <v>221</v>
      </c>
      <c r="F7" s="6"/>
      <c r="G7" s="6" t="s">
        <v>222</v>
      </c>
    </row>
    <row r="9" customFormat="false" ht="21.75" hidden="false" customHeight="true" outlineLevel="0" collapsed="false">
      <c r="A9" s="10" t="s">
        <v>223</v>
      </c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B10" s="11" t="s">
        <v>224</v>
      </c>
      <c r="C10" s="13"/>
    </row>
    <row r="11" customFormat="false" ht="15" hidden="false" customHeight="false" outlineLevel="0" collapsed="false">
      <c r="B11" s="11" t="s">
        <v>225</v>
      </c>
      <c r="C11" s="13" t="n">
        <v>1</v>
      </c>
    </row>
    <row r="12" customFormat="false" ht="15" hidden="false" customHeight="false" outlineLevel="0" collapsed="false">
      <c r="B12" s="11" t="s">
        <v>226</v>
      </c>
      <c r="C12" s="21"/>
    </row>
    <row r="13" customFormat="false" ht="30" hidden="false" customHeight="true" outlineLevel="0" collapsed="false">
      <c r="A13" s="3" t="s">
        <v>2</v>
      </c>
      <c r="B13" s="3" t="s">
        <v>227</v>
      </c>
      <c r="C13" s="3" t="s">
        <v>228</v>
      </c>
      <c r="D13" s="3"/>
      <c r="E13" s="3"/>
      <c r="F13" s="3"/>
      <c r="G13" s="3" t="s">
        <v>229</v>
      </c>
    </row>
    <row r="14" customFormat="false" ht="19.5" hidden="false" customHeight="true" outlineLevel="0" collapsed="false">
      <c r="A14" s="4" t="n">
        <v>1</v>
      </c>
      <c r="B14" s="15" t="s">
        <v>230</v>
      </c>
      <c r="C14" s="22" t="n">
        <f aca="false">C10-C11</f>
        <v>-1</v>
      </c>
      <c r="D14" s="4"/>
      <c r="E14" s="4"/>
      <c r="F14" s="4"/>
      <c r="G14" s="6" t="s">
        <v>231</v>
      </c>
    </row>
    <row r="15" customFormat="false" ht="19.5" hidden="false" customHeight="true" outlineLevel="0" collapsed="false">
      <c r="A15" s="4" t="n">
        <v>2</v>
      </c>
      <c r="B15" s="15" t="s">
        <v>232</v>
      </c>
      <c r="C15" s="23" t="str">
        <f aca="false">IFERROR(C11/C10,"")</f>
        <v/>
      </c>
      <c r="D15" s="4"/>
      <c r="E15" s="4"/>
      <c r="F15" s="4"/>
      <c r="G15" s="6" t="s">
        <v>233</v>
      </c>
    </row>
    <row r="16" customFormat="false" ht="19.5" hidden="false" customHeight="true" outlineLevel="0" collapsed="false">
      <c r="A16" s="4" t="n">
        <v>3</v>
      </c>
      <c r="B16" s="15" t="s">
        <v>234</v>
      </c>
      <c r="C16" s="16" t="n">
        <f aca="false">C12*(C10-C11)/100</f>
        <v>-0</v>
      </c>
      <c r="D16" s="4"/>
      <c r="E16" s="4"/>
      <c r="F16" s="4"/>
      <c r="G16" s="6" t="s">
        <v>235</v>
      </c>
    </row>
    <row r="17" customFormat="false" ht="19.5" hidden="false" customHeight="true" outlineLevel="0" collapsed="false">
      <c r="A17" s="4" t="n">
        <v>4</v>
      </c>
      <c r="B17" s="15" t="s">
        <v>236</v>
      </c>
      <c r="C17" s="16" t="n">
        <f aca="false">C12*C11/100</f>
        <v>0</v>
      </c>
      <c r="D17" s="4"/>
      <c r="E17" s="4"/>
      <c r="F17" s="4"/>
      <c r="G17" s="6" t="s">
        <v>237</v>
      </c>
    </row>
    <row r="18" customFormat="false" ht="19.5" hidden="false" customHeight="true" outlineLevel="0" collapsed="false">
      <c r="A18" s="4" t="n">
        <v>5</v>
      </c>
      <c r="B18" s="15" t="s">
        <v>238</v>
      </c>
      <c r="C18" s="24" t="n">
        <f aca="false">IFERROR(C12*C11/(C10-C11),"")</f>
        <v>-0</v>
      </c>
      <c r="D18" s="4"/>
      <c r="E18" s="4"/>
      <c r="F18" s="4"/>
      <c r="G18" s="6" t="s">
        <v>239</v>
      </c>
    </row>
    <row r="19" customFormat="false" ht="19.5" hidden="false" customHeight="true" outlineLevel="0" collapsed="false">
      <c r="A19" s="4" t="n">
        <v>6</v>
      </c>
      <c r="B19" s="15" t="s">
        <v>240</v>
      </c>
      <c r="C19" s="25" t="n">
        <f aca="false">IFERROR(C11/(C10-C11),"")</f>
        <v>-1</v>
      </c>
      <c r="D19" s="4"/>
      <c r="E19" s="4"/>
      <c r="F19" s="4"/>
      <c r="G19" s="6" t="s">
        <v>241</v>
      </c>
    </row>
    <row r="21" customFormat="false" ht="21.75" hidden="false" customHeight="true" outlineLevel="0" collapsed="false">
      <c r="A21" s="10" t="s">
        <v>242</v>
      </c>
      <c r="B21" s="10"/>
      <c r="C21" s="10"/>
      <c r="D21" s="10"/>
      <c r="E21" s="10"/>
      <c r="F21" s="10"/>
      <c r="G21" s="10"/>
    </row>
    <row r="22" customFormat="false" ht="30" hidden="false" customHeight="true" outlineLevel="0" collapsed="false">
      <c r="A22" s="3" t="s">
        <v>2</v>
      </c>
      <c r="B22" s="3" t="s">
        <v>111</v>
      </c>
      <c r="C22" s="3" t="s">
        <v>243</v>
      </c>
      <c r="D22" s="3" t="s">
        <v>244</v>
      </c>
      <c r="E22" s="3" t="s">
        <v>245</v>
      </c>
      <c r="F22" s="3"/>
      <c r="G22" s="3" t="s">
        <v>78</v>
      </c>
    </row>
    <row r="23" customFormat="false" ht="18" hidden="false" customHeight="true" outlineLevel="0" collapsed="false">
      <c r="A23" s="4" t="n">
        <v>1</v>
      </c>
      <c r="B23" s="15" t="s">
        <v>246</v>
      </c>
      <c r="C23" s="23" t="n">
        <v>0.641</v>
      </c>
      <c r="D23" s="16" t="n">
        <v>19344811</v>
      </c>
      <c r="E23" s="26" t="n">
        <v>43.7</v>
      </c>
      <c r="F23" s="4"/>
      <c r="G23" s="6" t="s">
        <v>247</v>
      </c>
    </row>
    <row r="24" customFormat="false" ht="18" hidden="false" customHeight="true" outlineLevel="0" collapsed="false">
      <c r="A24" s="4" t="n">
        <v>2</v>
      </c>
      <c r="B24" s="15" t="s">
        <v>248</v>
      </c>
      <c r="C24" s="23" t="n">
        <v>0.559</v>
      </c>
      <c r="D24" s="16" t="n">
        <v>4805625</v>
      </c>
      <c r="E24" s="26" t="n">
        <v>55.7</v>
      </c>
      <c r="F24" s="4"/>
      <c r="G24" s="6" t="s">
        <v>247</v>
      </c>
    </row>
    <row r="25" customFormat="false" ht="18" hidden="false" customHeight="true" outlineLevel="0" collapsed="false">
      <c r="A25" s="4" t="n">
        <v>3</v>
      </c>
      <c r="B25" s="15" t="s">
        <v>249</v>
      </c>
      <c r="C25" s="23" t="n">
        <v>0.458</v>
      </c>
      <c r="D25" s="16" t="n">
        <v>7210207</v>
      </c>
      <c r="E25" s="26" t="n">
        <v>31.3</v>
      </c>
      <c r="F25" s="4"/>
      <c r="G25" s="6"/>
    </row>
    <row r="26" customFormat="false" ht="18" hidden="false" customHeight="true" outlineLevel="0" collapsed="false">
      <c r="A26" s="4" t="n">
        <v>4</v>
      </c>
      <c r="B26" s="15" t="s">
        <v>250</v>
      </c>
      <c r="C26" s="23" t="n">
        <v>0.392</v>
      </c>
      <c r="D26" s="16" t="n">
        <v>2324712</v>
      </c>
      <c r="E26" s="26" t="n">
        <v>36.9</v>
      </c>
      <c r="F26" s="4"/>
      <c r="G26" s="6" t="s">
        <v>247</v>
      </c>
    </row>
    <row r="27" customFormat="false" ht="18" hidden="false" customHeight="true" outlineLevel="0" collapsed="false">
      <c r="A27" s="4" t="n">
        <v>5</v>
      </c>
      <c r="B27" s="15" t="s">
        <v>251</v>
      </c>
      <c r="C27" s="23" t="n">
        <v>0.373</v>
      </c>
      <c r="D27" s="16" t="n">
        <v>2493275</v>
      </c>
      <c r="E27" s="26" t="n">
        <v>34</v>
      </c>
      <c r="F27" s="4"/>
      <c r="G27" s="6"/>
    </row>
    <row r="28" customFormat="false" ht="18" hidden="false" customHeight="true" outlineLevel="0" collapsed="false">
      <c r="A28" s="4" t="n">
        <v>6</v>
      </c>
      <c r="B28" s="15" t="s">
        <v>252</v>
      </c>
      <c r="C28" s="23" t="n">
        <v>0.349</v>
      </c>
      <c r="D28" s="16" t="n">
        <v>3252431</v>
      </c>
      <c r="E28" s="26" t="n">
        <v>37.5</v>
      </c>
      <c r="F28" s="4"/>
      <c r="G28" s="6" t="s">
        <v>247</v>
      </c>
    </row>
    <row r="29" customFormat="false" ht="18" hidden="false" customHeight="true" outlineLevel="0" collapsed="false">
      <c r="A29" s="4" t="n">
        <v>7</v>
      </c>
      <c r="B29" s="15" t="s">
        <v>253</v>
      </c>
      <c r="C29" s="23" t="n">
        <v>0.344</v>
      </c>
      <c r="D29" s="16" t="n">
        <v>10303487</v>
      </c>
      <c r="E29" s="26" t="n">
        <v>38.4</v>
      </c>
      <c r="F29" s="4"/>
      <c r="G29" s="6" t="s">
        <v>247</v>
      </c>
    </row>
    <row r="30" customFormat="false" ht="18" hidden="false" customHeight="true" outlineLevel="0" collapsed="false">
      <c r="A30" s="4" t="n">
        <v>8</v>
      </c>
      <c r="B30" s="15" t="s">
        <v>254</v>
      </c>
      <c r="C30" s="23" t="n">
        <v>0.329</v>
      </c>
      <c r="D30" s="16" t="n">
        <v>3857753</v>
      </c>
      <c r="E30" s="26" t="n">
        <v>24.2</v>
      </c>
      <c r="F30" s="4"/>
      <c r="G30" s="6"/>
    </row>
    <row r="32" customFormat="false" ht="15" hidden="false" customHeight="false" outlineLevel="0" collapsed="false">
      <c r="B32" s="7" t="s">
        <v>255</v>
      </c>
    </row>
    <row r="33" customFormat="false" ht="15.75" hidden="false" customHeight="true" outlineLevel="0" collapsed="false">
      <c r="C33" s="8" t="s">
        <v>256</v>
      </c>
      <c r="D33" s="8"/>
      <c r="E33" s="8"/>
      <c r="F33" s="8"/>
      <c r="G33" s="8"/>
    </row>
    <row r="34" customFormat="false" ht="15.75" hidden="false" customHeight="true" outlineLevel="0" collapsed="false">
      <c r="C34" s="8" t="s">
        <v>257</v>
      </c>
      <c r="D34" s="8"/>
      <c r="E34" s="8"/>
      <c r="F34" s="8"/>
      <c r="G34" s="8"/>
    </row>
    <row r="35" customFormat="false" ht="15.75" hidden="false" customHeight="true" outlineLevel="0" collapsed="false">
      <c r="C35" s="8" t="s">
        <v>258</v>
      </c>
      <c r="D35" s="8"/>
      <c r="E35" s="8"/>
      <c r="F35" s="8"/>
      <c r="G35" s="8"/>
    </row>
    <row r="37" customFormat="false" ht="15" hidden="false" customHeight="false" outlineLevel="0" collapsed="false">
      <c r="B37" s="7" t="s">
        <v>259</v>
      </c>
    </row>
    <row r="38" customFormat="false" ht="15.75" hidden="false" customHeight="true" outlineLevel="0" collapsed="false">
      <c r="C38" s="8" t="s">
        <v>260</v>
      </c>
      <c r="D38" s="8"/>
      <c r="E38" s="8"/>
      <c r="F38" s="8"/>
      <c r="G38" s="8"/>
    </row>
    <row r="39" customFormat="false" ht="15.75" hidden="false" customHeight="true" outlineLevel="0" collapsed="false">
      <c r="C39" s="8" t="s">
        <v>261</v>
      </c>
      <c r="D39" s="8"/>
      <c r="E39" s="8"/>
      <c r="F39" s="8"/>
      <c r="G39" s="8"/>
    </row>
    <row r="40" customFormat="false" ht="15.75" hidden="false" customHeight="true" outlineLevel="0" collapsed="false">
      <c r="C40" s="8" t="s">
        <v>262</v>
      </c>
      <c r="D40" s="8"/>
      <c r="E40" s="8"/>
      <c r="F40" s="8"/>
      <c r="G40" s="8"/>
    </row>
    <row r="42" customFormat="false" ht="15" hidden="false" customHeight="false" outlineLevel="0" collapsed="false">
      <c r="B42" s="9" t="s">
        <v>263</v>
      </c>
    </row>
    <row r="43" customFormat="false" ht="15.75" hidden="false" customHeight="true" outlineLevel="0" collapsed="false">
      <c r="C43" s="8" t="s">
        <v>264</v>
      </c>
      <c r="D43" s="8"/>
      <c r="E43" s="8"/>
      <c r="F43" s="8"/>
      <c r="G43" s="8"/>
    </row>
    <row r="44" customFormat="false" ht="15.75" hidden="false" customHeight="true" outlineLevel="0" collapsed="false">
      <c r="C44" s="8" t="s">
        <v>265</v>
      </c>
      <c r="D44" s="8"/>
      <c r="E44" s="8"/>
      <c r="F44" s="8"/>
      <c r="G44" s="8"/>
    </row>
  </sheetData>
  <mergeCells count="13">
    <mergeCell ref="A1:G1"/>
    <mergeCell ref="A2:G2"/>
    <mergeCell ref="A3:G3"/>
    <mergeCell ref="A9:G9"/>
    <mergeCell ref="A21:G21"/>
    <mergeCell ref="C33:G33"/>
    <mergeCell ref="C34:G34"/>
    <mergeCell ref="C35:G35"/>
    <mergeCell ref="C38:G38"/>
    <mergeCell ref="C39:G39"/>
    <mergeCell ref="C40:G40"/>
    <mergeCell ref="C43:G43"/>
    <mergeCell ref="C44:G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5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17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266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202</v>
      </c>
      <c r="B3" s="10"/>
      <c r="C3" s="10"/>
      <c r="D3" s="10"/>
      <c r="E3" s="10"/>
      <c r="F3" s="10"/>
      <c r="G3" s="10"/>
    </row>
    <row r="4" customFormat="false" ht="27.75" hidden="false" customHeight="true" outlineLevel="0" collapsed="false">
      <c r="A4" s="4" t="n">
        <v>1</v>
      </c>
      <c r="B4" s="5" t="s">
        <v>267</v>
      </c>
      <c r="C4" s="6" t="s">
        <v>268</v>
      </c>
      <c r="D4" s="6" t="s">
        <v>269</v>
      </c>
      <c r="E4" s="6" t="s">
        <v>270</v>
      </c>
      <c r="F4" s="6"/>
      <c r="G4" s="6" t="s">
        <v>271</v>
      </c>
    </row>
    <row r="5" customFormat="false" ht="27.75" hidden="false" customHeight="true" outlineLevel="0" collapsed="false">
      <c r="A5" s="4" t="n">
        <v>2</v>
      </c>
      <c r="B5" s="5" t="s">
        <v>272</v>
      </c>
      <c r="C5" s="6" t="s">
        <v>273</v>
      </c>
      <c r="D5" s="6" t="s">
        <v>274</v>
      </c>
      <c r="E5" s="6" t="s">
        <v>275</v>
      </c>
      <c r="F5" s="6"/>
      <c r="G5" s="6" t="s">
        <v>276</v>
      </c>
    </row>
    <row r="6" customFormat="false" ht="27.75" hidden="false" customHeight="true" outlineLevel="0" collapsed="false">
      <c r="A6" s="4" t="n">
        <v>3</v>
      </c>
      <c r="B6" s="5" t="s">
        <v>277</v>
      </c>
      <c r="C6" s="6" t="s">
        <v>278</v>
      </c>
      <c r="D6" s="6" t="s">
        <v>279</v>
      </c>
      <c r="E6" s="6" t="s">
        <v>280</v>
      </c>
      <c r="F6" s="6"/>
      <c r="G6" s="6" t="s">
        <v>281</v>
      </c>
    </row>
    <row r="7" customFormat="false" ht="27.75" hidden="false" customHeight="true" outlineLevel="0" collapsed="false">
      <c r="A7" s="4" t="n">
        <v>4</v>
      </c>
      <c r="B7" s="5" t="s">
        <v>282</v>
      </c>
      <c r="C7" s="6" t="s">
        <v>283</v>
      </c>
      <c r="D7" s="6" t="s">
        <v>284</v>
      </c>
      <c r="E7" s="6" t="s">
        <v>285</v>
      </c>
      <c r="F7" s="6"/>
      <c r="G7" s="6" t="s">
        <v>286</v>
      </c>
    </row>
    <row r="9" customFormat="false" ht="21.75" hidden="false" customHeight="true" outlineLevel="0" collapsed="false">
      <c r="A9" s="10" t="s">
        <v>287</v>
      </c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B10" s="11" t="s">
        <v>288</v>
      </c>
      <c r="C10" s="21"/>
    </row>
    <row r="11" customFormat="false" ht="15" hidden="false" customHeight="false" outlineLevel="0" collapsed="false">
      <c r="B11" s="11" t="s">
        <v>289</v>
      </c>
      <c r="C11" s="21"/>
    </row>
    <row r="12" customFormat="false" ht="15" hidden="false" customHeight="false" outlineLevel="0" collapsed="false">
      <c r="B12" s="11" t="s">
        <v>290</v>
      </c>
      <c r="C12" s="14"/>
    </row>
    <row r="13" customFormat="false" ht="15" hidden="false" customHeight="false" outlineLevel="0" collapsed="false">
      <c r="B13" s="11" t="s">
        <v>291</v>
      </c>
      <c r="C13" s="27"/>
    </row>
    <row r="14" customFormat="false" ht="30" hidden="false" customHeight="true" outlineLevel="0" collapsed="false">
      <c r="A14" s="3" t="s">
        <v>2</v>
      </c>
      <c r="B14" s="3" t="s">
        <v>227</v>
      </c>
      <c r="C14" s="3" t="s">
        <v>228</v>
      </c>
      <c r="D14" s="3"/>
      <c r="E14" s="3"/>
      <c r="F14" s="3"/>
      <c r="G14" s="3" t="s">
        <v>229</v>
      </c>
    </row>
    <row r="15" customFormat="false" ht="19.5" hidden="false" customHeight="true" outlineLevel="0" collapsed="false">
      <c r="A15" s="4" t="n">
        <v>1</v>
      </c>
      <c r="B15" s="15" t="s">
        <v>292</v>
      </c>
      <c r="C15" s="16" t="n">
        <f aca="false">C11/12</f>
        <v>0</v>
      </c>
      <c r="D15" s="4"/>
      <c r="E15" s="4"/>
      <c r="F15" s="4"/>
      <c r="G15" s="6" t="s">
        <v>293</v>
      </c>
    </row>
    <row r="16" customFormat="false" ht="19.5" hidden="false" customHeight="true" outlineLevel="0" collapsed="false">
      <c r="A16" s="4" t="n">
        <v>2</v>
      </c>
      <c r="B16" s="15" t="s">
        <v>294</v>
      </c>
      <c r="C16" s="16" t="n">
        <f aca="false">C11/12*C13+C10/12*C13</f>
        <v>0</v>
      </c>
      <c r="D16" s="4"/>
      <c r="E16" s="4"/>
      <c r="F16" s="4"/>
      <c r="G16" s="6" t="s">
        <v>295</v>
      </c>
    </row>
    <row r="17" customFormat="false" ht="19.5" hidden="false" customHeight="true" outlineLevel="0" collapsed="false">
      <c r="A17" s="4" t="n">
        <v>3</v>
      </c>
      <c r="B17" s="15" t="s">
        <v>296</v>
      </c>
      <c r="C17" s="16" t="n">
        <f aca="false">C10*C12</f>
        <v>0</v>
      </c>
      <c r="D17" s="4"/>
      <c r="E17" s="4"/>
      <c r="F17" s="4"/>
      <c r="G17" s="6" t="s">
        <v>297</v>
      </c>
    </row>
    <row r="18" customFormat="false" ht="19.5" hidden="false" customHeight="true" outlineLevel="0" collapsed="false">
      <c r="A18" s="4" t="n">
        <v>4</v>
      </c>
      <c r="B18" s="15" t="s">
        <v>298</v>
      </c>
      <c r="C18" s="28" t="n">
        <f aca="false">C16-C17</f>
        <v>0</v>
      </c>
      <c r="D18" s="4"/>
      <c r="E18" s="4"/>
      <c r="F18" s="4"/>
      <c r="G18" s="6" t="s">
        <v>299</v>
      </c>
    </row>
    <row r="19" customFormat="false" ht="19.5" hidden="false" customHeight="true" outlineLevel="0" collapsed="false">
      <c r="A19" s="4" t="n">
        <v>5</v>
      </c>
      <c r="B19" s="15" t="s">
        <v>300</v>
      </c>
      <c r="C19" s="25" t="str">
        <f aca="false">IFERROR(C16/C10,"")</f>
        <v/>
      </c>
      <c r="D19" s="4"/>
      <c r="E19" s="4"/>
      <c r="F19" s="4"/>
      <c r="G19" s="6" t="s">
        <v>301</v>
      </c>
    </row>
    <row r="21" customFormat="false" ht="21.75" hidden="false" customHeight="true" outlineLevel="0" collapsed="false">
      <c r="A21" s="10" t="s">
        <v>302</v>
      </c>
      <c r="B21" s="10"/>
      <c r="C21" s="10"/>
      <c r="D21" s="10"/>
      <c r="E21" s="10"/>
      <c r="F21" s="10"/>
      <c r="G21" s="10"/>
    </row>
    <row r="22" customFormat="false" ht="30" hidden="false" customHeight="true" outlineLevel="0" collapsed="false">
      <c r="A22" s="3" t="s">
        <v>2</v>
      </c>
      <c r="B22" s="3" t="s">
        <v>303</v>
      </c>
      <c r="C22" s="3" t="s">
        <v>304</v>
      </c>
      <c r="D22" s="3" t="s">
        <v>305</v>
      </c>
      <c r="E22" s="3" t="s">
        <v>306</v>
      </c>
      <c r="F22" s="3"/>
      <c r="G22" s="3" t="s">
        <v>307</v>
      </c>
    </row>
    <row r="23" customFormat="false" ht="24" hidden="false" customHeight="true" outlineLevel="0" collapsed="false">
      <c r="A23" s="4" t="n">
        <v>1</v>
      </c>
      <c r="B23" s="5" t="s">
        <v>308</v>
      </c>
      <c r="C23" s="4" t="s">
        <v>309</v>
      </c>
      <c r="D23" s="4" t="s">
        <v>310</v>
      </c>
      <c r="E23" s="4" t="s">
        <v>311</v>
      </c>
      <c r="F23" s="6"/>
      <c r="G23" s="6" t="s">
        <v>312</v>
      </c>
    </row>
    <row r="24" customFormat="false" ht="24" hidden="false" customHeight="true" outlineLevel="0" collapsed="false">
      <c r="A24" s="4" t="n">
        <v>2</v>
      </c>
      <c r="B24" s="5" t="s">
        <v>313</v>
      </c>
      <c r="C24" s="4" t="s">
        <v>309</v>
      </c>
      <c r="D24" s="4" t="s">
        <v>310</v>
      </c>
      <c r="E24" s="4" t="s">
        <v>311</v>
      </c>
      <c r="F24" s="6"/>
      <c r="G24" s="6" t="s">
        <v>314</v>
      </c>
    </row>
    <row r="25" customFormat="false" ht="24" hidden="false" customHeight="true" outlineLevel="0" collapsed="false">
      <c r="A25" s="4" t="n">
        <v>3</v>
      </c>
      <c r="B25" s="5" t="s">
        <v>315</v>
      </c>
      <c r="C25" s="4" t="s">
        <v>316</v>
      </c>
      <c r="D25" s="4" t="s">
        <v>310</v>
      </c>
      <c r="E25" s="4" t="s">
        <v>311</v>
      </c>
      <c r="F25" s="6"/>
      <c r="G25" s="6" t="s">
        <v>317</v>
      </c>
    </row>
    <row r="26" customFormat="false" ht="24" hidden="false" customHeight="true" outlineLevel="0" collapsed="false">
      <c r="A26" s="4" t="n">
        <v>4</v>
      </c>
      <c r="B26" s="5" t="s">
        <v>318</v>
      </c>
      <c r="C26" s="4" t="s">
        <v>316</v>
      </c>
      <c r="D26" s="4" t="s">
        <v>319</v>
      </c>
      <c r="E26" s="4" t="s">
        <v>320</v>
      </c>
      <c r="F26" s="6"/>
      <c r="G26" s="6" t="s">
        <v>321</v>
      </c>
    </row>
    <row r="27" customFormat="false" ht="24" hidden="false" customHeight="true" outlineLevel="0" collapsed="false">
      <c r="A27" s="4" t="n">
        <v>5</v>
      </c>
      <c r="B27" s="5" t="s">
        <v>322</v>
      </c>
      <c r="C27" s="4" t="s">
        <v>316</v>
      </c>
      <c r="D27" s="4" t="s">
        <v>319</v>
      </c>
      <c r="E27" s="4" t="s">
        <v>320</v>
      </c>
      <c r="F27" s="6"/>
      <c r="G27" s="6" t="s">
        <v>323</v>
      </c>
    </row>
    <row r="28" customFormat="false" ht="24" hidden="false" customHeight="true" outlineLevel="0" collapsed="false">
      <c r="A28" s="4" t="n">
        <v>6</v>
      </c>
      <c r="B28" s="5" t="s">
        <v>324</v>
      </c>
      <c r="C28" s="4" t="s">
        <v>316</v>
      </c>
      <c r="D28" s="4" t="s">
        <v>319</v>
      </c>
      <c r="E28" s="4" t="s">
        <v>311</v>
      </c>
      <c r="F28" s="6"/>
      <c r="G28" s="6" t="s">
        <v>325</v>
      </c>
    </row>
    <row r="30" customFormat="false" ht="15" hidden="false" customHeight="false" outlineLevel="0" collapsed="false">
      <c r="B30" s="7" t="s">
        <v>326</v>
      </c>
    </row>
    <row r="31" customFormat="false" ht="15.75" hidden="false" customHeight="true" outlineLevel="0" collapsed="false">
      <c r="C31" s="8" t="s">
        <v>327</v>
      </c>
      <c r="D31" s="8"/>
      <c r="E31" s="8"/>
      <c r="F31" s="8"/>
      <c r="G31" s="8"/>
    </row>
    <row r="32" customFormat="false" ht="15.75" hidden="false" customHeight="true" outlineLevel="0" collapsed="false">
      <c r="C32" s="8" t="s">
        <v>328</v>
      </c>
      <c r="D32" s="8"/>
      <c r="E32" s="8"/>
      <c r="F32" s="8"/>
      <c r="G32" s="8"/>
    </row>
    <row r="33" customFormat="false" ht="15.75" hidden="false" customHeight="true" outlineLevel="0" collapsed="false">
      <c r="C33" s="8" t="s">
        <v>329</v>
      </c>
      <c r="D33" s="8"/>
      <c r="E33" s="8"/>
      <c r="F33" s="8"/>
      <c r="G33" s="8"/>
    </row>
    <row r="35" customFormat="false" ht="15" hidden="false" customHeight="false" outlineLevel="0" collapsed="false">
      <c r="B35" s="9" t="s">
        <v>330</v>
      </c>
    </row>
    <row r="36" customFormat="false" ht="15.75" hidden="false" customHeight="true" outlineLevel="0" collapsed="false">
      <c r="C36" s="8" t="s">
        <v>331</v>
      </c>
      <c r="D36" s="8"/>
      <c r="E36" s="8"/>
      <c r="F36" s="8"/>
      <c r="G36" s="8"/>
    </row>
    <row r="37" customFormat="false" ht="15.75" hidden="false" customHeight="true" outlineLevel="0" collapsed="false">
      <c r="C37" s="8" t="s">
        <v>332</v>
      </c>
      <c r="D37" s="8"/>
      <c r="E37" s="8"/>
      <c r="F37" s="8"/>
      <c r="G37" s="8"/>
    </row>
    <row r="38" customFormat="false" ht="15.75" hidden="false" customHeight="true" outlineLevel="0" collapsed="false">
      <c r="C38" s="8" t="s">
        <v>333</v>
      </c>
      <c r="D38" s="8"/>
      <c r="E38" s="8"/>
      <c r="F38" s="8"/>
      <c r="G38" s="8"/>
    </row>
    <row r="40" customFormat="false" ht="15" hidden="false" customHeight="false" outlineLevel="0" collapsed="false">
      <c r="B40" s="9" t="s">
        <v>334</v>
      </c>
    </row>
    <row r="41" customFormat="false" ht="15.75" hidden="false" customHeight="true" outlineLevel="0" collapsed="false">
      <c r="C41" s="8" t="s">
        <v>335</v>
      </c>
      <c r="D41" s="8"/>
      <c r="E41" s="8"/>
      <c r="F41" s="8"/>
      <c r="G41" s="8"/>
    </row>
    <row r="42" customFormat="false" ht="15.75" hidden="false" customHeight="true" outlineLevel="0" collapsed="false">
      <c r="C42" s="8" t="s">
        <v>336</v>
      </c>
      <c r="D42" s="8"/>
      <c r="E42" s="8"/>
      <c r="F42" s="8"/>
      <c r="G42" s="8"/>
    </row>
  </sheetData>
  <mergeCells count="13">
    <mergeCell ref="A1:G1"/>
    <mergeCell ref="A2:G2"/>
    <mergeCell ref="A3:G3"/>
    <mergeCell ref="A9:G9"/>
    <mergeCell ref="A21:G21"/>
    <mergeCell ref="C31:G31"/>
    <mergeCell ref="C32:G32"/>
    <mergeCell ref="C33:G33"/>
    <mergeCell ref="C36:G36"/>
    <mergeCell ref="C37:G37"/>
    <mergeCell ref="C38:G38"/>
    <mergeCell ref="C41:G41"/>
    <mergeCell ref="C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6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22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337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202</v>
      </c>
      <c r="B3" s="10"/>
      <c r="C3" s="10"/>
      <c r="D3" s="10"/>
      <c r="E3" s="10"/>
      <c r="F3" s="10"/>
      <c r="G3" s="10"/>
    </row>
    <row r="4" customFormat="false" ht="27.75" hidden="false" customHeight="true" outlineLevel="0" collapsed="false">
      <c r="A4" s="4" t="n">
        <v>1</v>
      </c>
      <c r="B4" s="5" t="s">
        <v>338</v>
      </c>
      <c r="C4" s="6" t="s">
        <v>339</v>
      </c>
      <c r="D4" s="6" t="s">
        <v>340</v>
      </c>
      <c r="E4" s="6" t="s">
        <v>341</v>
      </c>
      <c r="F4" s="6"/>
      <c r="G4" s="6" t="s">
        <v>342</v>
      </c>
    </row>
    <row r="5" customFormat="false" ht="27.75" hidden="false" customHeight="true" outlineLevel="0" collapsed="false">
      <c r="A5" s="4" t="n">
        <v>2</v>
      </c>
      <c r="B5" s="5" t="s">
        <v>343</v>
      </c>
      <c r="C5" s="6" t="s">
        <v>344</v>
      </c>
      <c r="D5" s="6" t="s">
        <v>345</v>
      </c>
      <c r="E5" s="6" t="s">
        <v>346</v>
      </c>
      <c r="F5" s="6"/>
      <c r="G5" s="6" t="s">
        <v>347</v>
      </c>
    </row>
    <row r="6" customFormat="false" ht="27.75" hidden="false" customHeight="true" outlineLevel="0" collapsed="false">
      <c r="A6" s="4" t="n">
        <v>3</v>
      </c>
      <c r="B6" s="5" t="s">
        <v>348</v>
      </c>
      <c r="C6" s="6" t="s">
        <v>349</v>
      </c>
      <c r="D6" s="6" t="s">
        <v>350</v>
      </c>
      <c r="E6" s="6" t="s">
        <v>351</v>
      </c>
      <c r="F6" s="6"/>
      <c r="G6" s="6" t="s">
        <v>352</v>
      </c>
    </row>
    <row r="7" customFormat="false" ht="27.75" hidden="false" customHeight="true" outlineLevel="0" collapsed="false">
      <c r="A7" s="4" t="n">
        <v>4</v>
      </c>
      <c r="B7" s="5" t="s">
        <v>353</v>
      </c>
      <c r="C7" s="6" t="s">
        <v>354</v>
      </c>
      <c r="D7" s="6" t="s">
        <v>355</v>
      </c>
      <c r="E7" s="6" t="s">
        <v>356</v>
      </c>
      <c r="F7" s="6"/>
      <c r="G7" s="6" t="s">
        <v>357</v>
      </c>
    </row>
    <row r="9" customFormat="false" ht="21.75" hidden="false" customHeight="true" outlineLevel="0" collapsed="false">
      <c r="A9" s="10" t="s">
        <v>358</v>
      </c>
      <c r="B9" s="10"/>
      <c r="C9" s="10"/>
      <c r="D9" s="10"/>
      <c r="E9" s="10"/>
      <c r="F9" s="10"/>
      <c r="G9" s="10"/>
    </row>
    <row r="10" customFormat="false" ht="30" hidden="false" customHeight="true" outlineLevel="0" collapsed="false">
      <c r="A10" s="3" t="s">
        <v>2</v>
      </c>
      <c r="B10" s="3" t="s">
        <v>359</v>
      </c>
      <c r="C10" s="3" t="s">
        <v>228</v>
      </c>
      <c r="D10" s="3" t="s">
        <v>360</v>
      </c>
      <c r="E10" s="3" t="s">
        <v>361</v>
      </c>
      <c r="F10" s="3"/>
      <c r="G10" s="3" t="s">
        <v>362</v>
      </c>
    </row>
    <row r="11" customFormat="false" ht="18.75" hidden="false" customHeight="true" outlineLevel="0" collapsed="false">
      <c r="A11" s="4" t="n">
        <v>1</v>
      </c>
      <c r="B11" s="15" t="s">
        <v>363</v>
      </c>
      <c r="C11" s="29"/>
      <c r="D11" s="4" t="s">
        <v>364</v>
      </c>
      <c r="E11" s="4" t="s">
        <v>365</v>
      </c>
      <c r="F11" s="4"/>
      <c r="G11" s="6"/>
    </row>
    <row r="12" customFormat="false" ht="18.75" hidden="false" customHeight="true" outlineLevel="0" collapsed="false">
      <c r="A12" s="4" t="n">
        <v>2</v>
      </c>
      <c r="B12" s="15" t="s">
        <v>366</v>
      </c>
      <c r="C12" s="29"/>
      <c r="D12" s="4" t="s">
        <v>364</v>
      </c>
      <c r="E12" s="4" t="s">
        <v>365</v>
      </c>
      <c r="F12" s="4"/>
      <c r="G12" s="6"/>
    </row>
    <row r="13" customFormat="false" ht="18.75" hidden="false" customHeight="true" outlineLevel="0" collapsed="false">
      <c r="A13" s="4" t="n">
        <v>3</v>
      </c>
      <c r="B13" s="15" t="s">
        <v>367</v>
      </c>
      <c r="C13" s="21"/>
      <c r="D13" s="4" t="s">
        <v>368</v>
      </c>
      <c r="E13" s="4" t="s">
        <v>365</v>
      </c>
      <c r="F13" s="4"/>
      <c r="G13" s="6"/>
    </row>
    <row r="14" customFormat="false" ht="18.75" hidden="false" customHeight="true" outlineLevel="0" collapsed="false">
      <c r="A14" s="4" t="n">
        <v>4</v>
      </c>
      <c r="B14" s="15" t="s">
        <v>369</v>
      </c>
      <c r="C14" s="21"/>
      <c r="D14" s="4" t="s">
        <v>370</v>
      </c>
      <c r="E14" s="4" t="s">
        <v>365</v>
      </c>
      <c r="F14" s="4"/>
      <c r="G14" s="6"/>
    </row>
    <row r="15" customFormat="false" ht="18.75" hidden="false" customHeight="true" outlineLevel="0" collapsed="false">
      <c r="A15" s="4" t="n">
        <v>5</v>
      </c>
      <c r="B15" s="15" t="s">
        <v>371</v>
      </c>
      <c r="C15" s="29"/>
      <c r="D15" s="4" t="s">
        <v>372</v>
      </c>
      <c r="E15" s="4" t="s">
        <v>365</v>
      </c>
      <c r="F15" s="4"/>
      <c r="G15" s="6"/>
    </row>
    <row r="16" customFormat="false" ht="18.75" hidden="false" customHeight="true" outlineLevel="0" collapsed="false">
      <c r="A16" s="4" t="n">
        <v>6</v>
      </c>
      <c r="B16" s="15" t="s">
        <v>373</v>
      </c>
      <c r="C16" s="21"/>
      <c r="D16" s="4" t="s">
        <v>374</v>
      </c>
      <c r="E16" s="4" t="s">
        <v>365</v>
      </c>
      <c r="F16" s="4"/>
      <c r="G16" s="6"/>
    </row>
    <row r="17" customFormat="false" ht="18.75" hidden="false" customHeight="true" outlineLevel="0" collapsed="false">
      <c r="A17" s="4" t="n">
        <v>7</v>
      </c>
      <c r="B17" s="15" t="s">
        <v>375</v>
      </c>
      <c r="C17" s="14"/>
      <c r="D17" s="4" t="s">
        <v>376</v>
      </c>
      <c r="E17" s="4" t="s">
        <v>365</v>
      </c>
      <c r="F17" s="4"/>
      <c r="G17" s="6"/>
    </row>
    <row r="18" customFormat="false" ht="18.75" hidden="false" customHeight="true" outlineLevel="0" collapsed="false">
      <c r="A18" s="4" t="n">
        <v>8</v>
      </c>
      <c r="B18" s="15" t="s">
        <v>377</v>
      </c>
      <c r="C18" s="21"/>
      <c r="D18" s="4" t="s">
        <v>374</v>
      </c>
      <c r="E18" s="4" t="s">
        <v>365</v>
      </c>
      <c r="F18" s="4"/>
      <c r="G18" s="6"/>
    </row>
    <row r="19" customFormat="false" ht="18.75" hidden="false" customHeight="true" outlineLevel="0" collapsed="false">
      <c r="A19" s="4" t="n">
        <v>9</v>
      </c>
      <c r="B19" s="15" t="s">
        <v>378</v>
      </c>
      <c r="C19" s="24" t="n">
        <f aca="false">IFERROR(C18*C17,"")</f>
        <v>0</v>
      </c>
      <c r="D19" s="4" t="s">
        <v>374</v>
      </c>
      <c r="E19" s="4" t="s">
        <v>379</v>
      </c>
      <c r="F19" s="4"/>
      <c r="G19" s="6" t="s">
        <v>380</v>
      </c>
    </row>
    <row r="20" customFormat="false" ht="18.75" hidden="false" customHeight="true" outlineLevel="0" collapsed="false">
      <c r="A20" s="4" t="n">
        <v>10</v>
      </c>
      <c r="B20" s="15" t="s">
        <v>381</v>
      </c>
      <c r="C20" s="24" t="n">
        <f aca="false">IFERROR(MAX(C16,C19),"")</f>
        <v>0</v>
      </c>
      <c r="D20" s="4" t="s">
        <v>374</v>
      </c>
      <c r="E20" s="4" t="s">
        <v>379</v>
      </c>
      <c r="F20" s="4"/>
      <c r="G20" s="6" t="s">
        <v>382</v>
      </c>
    </row>
    <row r="21" customFormat="false" ht="18.75" hidden="false" customHeight="true" outlineLevel="0" collapsed="false">
      <c r="A21" s="4" t="n">
        <v>11</v>
      </c>
      <c r="B21" s="15" t="s">
        <v>383</v>
      </c>
      <c r="C21" s="24" t="n">
        <f aca="false">IFERROR(C20*12*C13,"")</f>
        <v>0</v>
      </c>
      <c r="D21" s="4" t="s">
        <v>374</v>
      </c>
      <c r="E21" s="4" t="s">
        <v>379</v>
      </c>
      <c r="F21" s="4"/>
      <c r="G21" s="6" t="s">
        <v>384</v>
      </c>
    </row>
    <row r="22" customFormat="false" ht="18.75" hidden="false" customHeight="true" outlineLevel="0" collapsed="false">
      <c r="A22" s="4" t="n">
        <v>12</v>
      </c>
      <c r="B22" s="15" t="s">
        <v>385</v>
      </c>
      <c r="C22" s="21"/>
      <c r="D22" s="4" t="s">
        <v>386</v>
      </c>
      <c r="E22" s="4" t="s">
        <v>365</v>
      </c>
      <c r="F22" s="4"/>
      <c r="G22" s="6"/>
    </row>
    <row r="23" customFormat="false" ht="18.75" hidden="false" customHeight="true" outlineLevel="0" collapsed="false">
      <c r="A23" s="4" t="n">
        <v>13</v>
      </c>
      <c r="B23" s="15" t="s">
        <v>387</v>
      </c>
      <c r="C23" s="29"/>
      <c r="D23" s="4" t="s">
        <v>372</v>
      </c>
      <c r="E23" s="4" t="s">
        <v>365</v>
      </c>
      <c r="F23" s="4"/>
      <c r="G23" s="6" t="s">
        <v>388</v>
      </c>
    </row>
    <row r="26" customFormat="false" ht="15" hidden="false" customHeight="false" outlineLevel="0" collapsed="false">
      <c r="B26" s="7" t="s">
        <v>389</v>
      </c>
    </row>
    <row r="27" customFormat="false" ht="15.75" hidden="false" customHeight="true" outlineLevel="0" collapsed="false">
      <c r="C27" s="8" t="s">
        <v>390</v>
      </c>
      <c r="D27" s="8"/>
      <c r="E27" s="8"/>
      <c r="F27" s="8"/>
      <c r="G27" s="8"/>
    </row>
    <row r="28" customFormat="false" ht="15.75" hidden="false" customHeight="true" outlineLevel="0" collapsed="false">
      <c r="C28" s="8" t="s">
        <v>391</v>
      </c>
      <c r="D28" s="8"/>
      <c r="E28" s="8"/>
      <c r="F28" s="8"/>
      <c r="G28" s="8"/>
    </row>
    <row r="29" customFormat="false" ht="15.75" hidden="false" customHeight="true" outlineLevel="0" collapsed="false">
      <c r="C29" s="8" t="s">
        <v>392</v>
      </c>
      <c r="D29" s="8"/>
      <c r="E29" s="8"/>
      <c r="F29" s="8"/>
      <c r="G29" s="8"/>
    </row>
    <row r="31" customFormat="false" ht="15" hidden="false" customHeight="false" outlineLevel="0" collapsed="false">
      <c r="B31" s="7" t="s">
        <v>371</v>
      </c>
    </row>
    <row r="32" customFormat="false" ht="15.75" hidden="false" customHeight="true" outlineLevel="0" collapsed="false">
      <c r="C32" s="8" t="s">
        <v>393</v>
      </c>
      <c r="D32" s="8"/>
      <c r="E32" s="8"/>
      <c r="F32" s="8"/>
      <c r="G32" s="8"/>
    </row>
    <row r="33" customFormat="false" ht="15.75" hidden="false" customHeight="true" outlineLevel="0" collapsed="false">
      <c r="C33" s="8" t="s">
        <v>394</v>
      </c>
      <c r="D33" s="8"/>
      <c r="E33" s="8"/>
      <c r="F33" s="8"/>
      <c r="G33" s="8"/>
    </row>
    <row r="34" customFormat="false" ht="15.75" hidden="false" customHeight="true" outlineLevel="0" collapsed="false">
      <c r="C34" s="8" t="s">
        <v>395</v>
      </c>
      <c r="D34" s="8"/>
      <c r="E34" s="8"/>
      <c r="F34" s="8"/>
      <c r="G34" s="8"/>
    </row>
    <row r="36" customFormat="false" ht="15" hidden="false" customHeight="false" outlineLevel="0" collapsed="false">
      <c r="B36" s="7" t="s">
        <v>396</v>
      </c>
    </row>
    <row r="37" customFormat="false" ht="15.75" hidden="false" customHeight="true" outlineLevel="0" collapsed="false">
      <c r="C37" s="8" t="s">
        <v>397</v>
      </c>
      <c r="D37" s="8"/>
      <c r="E37" s="8"/>
      <c r="F37" s="8"/>
      <c r="G37" s="8"/>
    </row>
    <row r="38" customFormat="false" ht="15.75" hidden="false" customHeight="true" outlineLevel="0" collapsed="false">
      <c r="C38" s="8" t="s">
        <v>398</v>
      </c>
      <c r="D38" s="8"/>
      <c r="E38" s="8"/>
      <c r="F38" s="8"/>
      <c r="G38" s="8"/>
    </row>
  </sheetData>
  <mergeCells count="12">
    <mergeCell ref="A1:G1"/>
    <mergeCell ref="A2:G2"/>
    <mergeCell ref="A3:G3"/>
    <mergeCell ref="A9:G9"/>
    <mergeCell ref="C27:G27"/>
    <mergeCell ref="C28:G28"/>
    <mergeCell ref="C29:G29"/>
    <mergeCell ref="C32:G32"/>
    <mergeCell ref="C33:G33"/>
    <mergeCell ref="C34:G34"/>
    <mergeCell ref="C37:G37"/>
    <mergeCell ref="C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" t="s">
        <v>399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400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227</v>
      </c>
      <c r="C3" s="3" t="s">
        <v>401</v>
      </c>
      <c r="D3" s="3" t="s">
        <v>402</v>
      </c>
      <c r="E3" s="3" t="s">
        <v>403</v>
      </c>
      <c r="F3" s="3" t="s">
        <v>229</v>
      </c>
    </row>
    <row r="4" customFormat="false" ht="21.75" hidden="false" customHeight="true" outlineLevel="0" collapsed="false">
      <c r="A4" s="4" t="n">
        <v>1</v>
      </c>
      <c r="B4" s="15" t="s">
        <v>404</v>
      </c>
      <c r="C4" s="22" t="n">
        <v>182.51</v>
      </c>
      <c r="D4" s="22" t="n">
        <v>196.77</v>
      </c>
      <c r="E4" s="30" t="n">
        <f aca="false">C4-D4</f>
        <v>-14.26</v>
      </c>
      <c r="F4" s="6" t="s">
        <v>405</v>
      </c>
    </row>
    <row r="5" customFormat="false" ht="21.75" hidden="false" customHeight="true" outlineLevel="0" collapsed="false">
      <c r="A5" s="4" t="n">
        <v>2</v>
      </c>
      <c r="B5" s="15" t="s">
        <v>406</v>
      </c>
      <c r="C5" s="22" t="n">
        <v>-170</v>
      </c>
      <c r="D5" s="22" t="n">
        <v>-180.67</v>
      </c>
      <c r="E5" s="30" t="n">
        <f aca="false">C5-D5</f>
        <v>10.67</v>
      </c>
      <c r="F5" s="6" t="s">
        <v>407</v>
      </c>
    </row>
    <row r="6" customFormat="false" ht="21.75" hidden="false" customHeight="true" outlineLevel="0" collapsed="false">
      <c r="A6" s="4" t="n">
        <v>3</v>
      </c>
      <c r="B6" s="15" t="s">
        <v>408</v>
      </c>
      <c r="C6" s="22" t="n">
        <v>-1.89</v>
      </c>
      <c r="D6" s="22" t="n">
        <v>-1.88</v>
      </c>
      <c r="E6" s="30" t="n">
        <f aca="false">C6-D6</f>
        <v>-0.01</v>
      </c>
      <c r="F6" s="6" t="s">
        <v>409</v>
      </c>
    </row>
    <row r="7" customFormat="false" ht="21.75" hidden="false" customHeight="true" outlineLevel="0" collapsed="false">
      <c r="A7" s="4" t="n">
        <v>4</v>
      </c>
      <c r="B7" s="15" t="s">
        <v>410</v>
      </c>
      <c r="C7" s="22" t="n">
        <v>-0.54</v>
      </c>
      <c r="D7" s="22" t="n">
        <v>-0.84</v>
      </c>
      <c r="E7" s="30" t="n">
        <f aca="false">C7-D7</f>
        <v>0.3</v>
      </c>
      <c r="F7" s="6" t="s">
        <v>411</v>
      </c>
    </row>
    <row r="8" customFormat="false" ht="21.75" hidden="false" customHeight="true" outlineLevel="0" collapsed="false">
      <c r="A8" s="31" t="n">
        <v>5</v>
      </c>
      <c r="B8" s="32" t="s">
        <v>412</v>
      </c>
      <c r="C8" s="33" t="n">
        <v>10.07</v>
      </c>
      <c r="D8" s="33" t="n">
        <v>13.38</v>
      </c>
      <c r="E8" s="34" t="n">
        <f aca="false">C8-D8</f>
        <v>-3.31</v>
      </c>
      <c r="F8" s="35" t="s">
        <v>413</v>
      </c>
    </row>
    <row r="9" customFormat="false" ht="21.75" hidden="false" customHeight="true" outlineLevel="0" collapsed="false">
      <c r="A9" s="4" t="n">
        <v>6</v>
      </c>
      <c r="B9" s="15" t="s">
        <v>414</v>
      </c>
      <c r="C9" s="22" t="n">
        <v>5.3</v>
      </c>
      <c r="D9" s="22" t="n">
        <v>-2.25</v>
      </c>
      <c r="E9" s="30" t="n">
        <f aca="false">C9-D9</f>
        <v>7.55</v>
      </c>
      <c r="F9" s="6" t="s">
        <v>415</v>
      </c>
    </row>
    <row r="10" customFormat="false" ht="21.75" hidden="false" customHeight="true" outlineLevel="0" collapsed="false">
      <c r="A10" s="4" t="n">
        <v>7</v>
      </c>
      <c r="B10" s="15" t="s">
        <v>416</v>
      </c>
      <c r="C10" s="22" t="n">
        <v>-10.23</v>
      </c>
      <c r="D10" s="22" t="n">
        <v>-7.21</v>
      </c>
      <c r="E10" s="30" t="n">
        <f aca="false">C10-D10</f>
        <v>-3.02</v>
      </c>
      <c r="F10" s="6" t="s">
        <v>417</v>
      </c>
    </row>
    <row r="11" customFormat="false" ht="21.75" hidden="false" customHeight="true" outlineLevel="0" collapsed="false">
      <c r="A11" s="31" t="n">
        <v>8</v>
      </c>
      <c r="B11" s="32" t="s">
        <v>418</v>
      </c>
      <c r="C11" s="33" t="n">
        <v>5.15</v>
      </c>
      <c r="D11" s="33" t="n">
        <v>3.87</v>
      </c>
      <c r="E11" s="34" t="n">
        <f aca="false">C11-D11</f>
        <v>1.28</v>
      </c>
      <c r="F11" s="35" t="s">
        <v>419</v>
      </c>
    </row>
    <row r="13" customFormat="false" ht="15" hidden="false" customHeight="false" outlineLevel="0" collapsed="false">
      <c r="B13" s="9" t="s">
        <v>420</v>
      </c>
    </row>
    <row r="14" customFormat="false" ht="15.75" hidden="false" customHeight="true" outlineLevel="0" collapsed="false">
      <c r="C14" s="8" t="s">
        <v>421</v>
      </c>
      <c r="D14" s="8"/>
      <c r="E14" s="8"/>
      <c r="F14" s="8"/>
    </row>
    <row r="15" customFormat="false" ht="15.75" hidden="false" customHeight="true" outlineLevel="0" collapsed="false">
      <c r="C15" s="8" t="s">
        <v>422</v>
      </c>
      <c r="D15" s="8"/>
      <c r="E15" s="8"/>
      <c r="F15" s="8"/>
    </row>
    <row r="16" customFormat="false" ht="15.75" hidden="false" customHeight="true" outlineLevel="0" collapsed="false">
      <c r="C16" s="8" t="s">
        <v>423</v>
      </c>
      <c r="D16" s="8"/>
      <c r="E16" s="8"/>
      <c r="F16" s="8"/>
    </row>
    <row r="18" customFormat="false" ht="15" hidden="false" customHeight="false" outlineLevel="0" collapsed="false">
      <c r="B18" s="7" t="s">
        <v>424</v>
      </c>
    </row>
    <row r="19" customFormat="false" ht="15.75" hidden="false" customHeight="true" outlineLevel="0" collapsed="false">
      <c r="C19" s="8" t="s">
        <v>425</v>
      </c>
      <c r="D19" s="8"/>
      <c r="E19" s="8"/>
      <c r="F19" s="8"/>
    </row>
    <row r="20" customFormat="false" ht="15.75" hidden="false" customHeight="true" outlineLevel="0" collapsed="false">
      <c r="C20" s="8" t="s">
        <v>426</v>
      </c>
      <c r="D20" s="8"/>
      <c r="E20" s="8"/>
      <c r="F20" s="8"/>
    </row>
    <row r="21" customFormat="false" ht="15.75" hidden="false" customHeight="true" outlineLevel="0" collapsed="false">
      <c r="C21" s="8" t="s">
        <v>427</v>
      </c>
      <c r="D21" s="8"/>
      <c r="E21" s="8"/>
      <c r="F21" s="8"/>
    </row>
    <row r="23" customFormat="false" ht="15" hidden="false" customHeight="false" outlineLevel="0" collapsed="false">
      <c r="B23" s="9" t="s">
        <v>428</v>
      </c>
    </row>
    <row r="24" customFormat="false" ht="15.75" hidden="false" customHeight="true" outlineLevel="0" collapsed="false">
      <c r="C24" s="8" t="s">
        <v>429</v>
      </c>
      <c r="D24" s="8"/>
      <c r="E24" s="8"/>
      <c r="F24" s="8"/>
    </row>
    <row r="25" customFormat="false" ht="15.75" hidden="false" customHeight="true" outlineLevel="0" collapsed="false">
      <c r="C25" s="8" t="s">
        <v>430</v>
      </c>
      <c r="D25" s="8"/>
      <c r="E25" s="8"/>
      <c r="F25" s="8"/>
    </row>
    <row r="26" customFormat="false" ht="15.75" hidden="false" customHeight="true" outlineLevel="0" collapsed="false">
      <c r="C26" s="8" t="s">
        <v>431</v>
      </c>
      <c r="D26" s="8"/>
      <c r="E26" s="8"/>
      <c r="F26" s="8"/>
    </row>
  </sheetData>
  <mergeCells count="11">
    <mergeCell ref="A1:F1"/>
    <mergeCell ref="A2:F2"/>
    <mergeCell ref="C14:F14"/>
    <mergeCell ref="C15:F15"/>
    <mergeCell ref="C16:F16"/>
    <mergeCell ref="C19:F19"/>
    <mergeCell ref="C20:F20"/>
    <mergeCell ref="C21:F21"/>
    <mergeCell ref="C24:F24"/>
    <mergeCell ref="C25:F25"/>
    <mergeCell ref="C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6" min="6" style="0" width="38"/>
  </cols>
  <sheetData>
    <row r="1" customFormat="false" ht="25.5" hidden="false" customHeight="true" outlineLevel="0" collapsed="false">
      <c r="A1" s="1" t="s">
        <v>432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433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10" t="s">
        <v>434</v>
      </c>
      <c r="B3" s="10"/>
      <c r="C3" s="10"/>
      <c r="D3" s="10"/>
      <c r="E3" s="10"/>
      <c r="F3" s="10"/>
    </row>
    <row r="4" customFormat="false" ht="21.75" hidden="false" customHeight="true" outlineLevel="0" collapsed="false">
      <c r="A4" s="4" t="n">
        <v>1</v>
      </c>
      <c r="B4" s="5" t="s">
        <v>435</v>
      </c>
      <c r="C4" s="4" t="s">
        <v>436</v>
      </c>
      <c r="D4" s="6" t="s">
        <v>437</v>
      </c>
      <c r="E4" s="6"/>
      <c r="F4" s="6" t="s">
        <v>438</v>
      </c>
    </row>
    <row r="5" customFormat="false" ht="21.75" hidden="false" customHeight="true" outlineLevel="0" collapsed="false">
      <c r="A5" s="4" t="n">
        <v>2</v>
      </c>
      <c r="B5" s="5" t="s">
        <v>439</v>
      </c>
      <c r="C5" s="4" t="s">
        <v>436</v>
      </c>
      <c r="D5" s="6" t="s">
        <v>440</v>
      </c>
      <c r="E5" s="6"/>
      <c r="F5" s="6" t="s">
        <v>441</v>
      </c>
    </row>
    <row r="6" customFormat="false" ht="21.75" hidden="false" customHeight="true" outlineLevel="0" collapsed="false">
      <c r="A6" s="4" t="n">
        <v>3</v>
      </c>
      <c r="B6" s="5" t="s">
        <v>442</v>
      </c>
      <c r="C6" s="4" t="s">
        <v>443</v>
      </c>
      <c r="D6" s="6" t="s">
        <v>444</v>
      </c>
      <c r="E6" s="6"/>
      <c r="F6" s="6" t="s">
        <v>445</v>
      </c>
    </row>
    <row r="8" customFormat="false" ht="21.75" hidden="false" customHeight="true" outlineLevel="0" collapsed="false">
      <c r="A8" s="10" t="s">
        <v>446</v>
      </c>
      <c r="B8" s="10"/>
      <c r="C8" s="10"/>
      <c r="D8" s="10"/>
      <c r="E8" s="10"/>
      <c r="F8" s="10"/>
    </row>
    <row r="9" customFormat="false" ht="30" hidden="false" customHeight="true" outlineLevel="0" collapsed="false">
      <c r="A9" s="3" t="s">
        <v>2</v>
      </c>
      <c r="B9" s="3" t="s">
        <v>447</v>
      </c>
      <c r="C9" s="3" t="s">
        <v>142</v>
      </c>
      <c r="D9" s="3" t="s">
        <v>160</v>
      </c>
      <c r="E9" s="3" t="s">
        <v>403</v>
      </c>
      <c r="F9" s="3" t="s">
        <v>229</v>
      </c>
    </row>
    <row r="10" customFormat="false" ht="18.75" hidden="false" customHeight="true" outlineLevel="0" collapsed="false">
      <c r="A10" s="4" t="n">
        <v>1</v>
      </c>
      <c r="B10" s="15" t="s">
        <v>448</v>
      </c>
      <c r="C10" s="4" t="s">
        <v>449</v>
      </c>
      <c r="D10" s="4" t="s">
        <v>450</v>
      </c>
      <c r="E10" s="4"/>
      <c r="F10" s="6" t="s">
        <v>451</v>
      </c>
    </row>
    <row r="11" customFormat="false" ht="18.75" hidden="false" customHeight="true" outlineLevel="0" collapsed="false">
      <c r="A11" s="4" t="n">
        <v>2</v>
      </c>
      <c r="B11" s="15" t="s">
        <v>452</v>
      </c>
      <c r="C11" s="4" t="s">
        <v>453</v>
      </c>
      <c r="D11" s="4" t="s">
        <v>453</v>
      </c>
      <c r="E11" s="4"/>
      <c r="F11" s="6" t="s">
        <v>454</v>
      </c>
    </row>
    <row r="12" customFormat="false" ht="18.75" hidden="false" customHeight="true" outlineLevel="0" collapsed="false">
      <c r="A12" s="4" t="n">
        <v>3</v>
      </c>
      <c r="B12" s="15" t="s">
        <v>455</v>
      </c>
      <c r="C12" s="4" t="s">
        <v>456</v>
      </c>
      <c r="D12" s="4" t="s">
        <v>457</v>
      </c>
      <c r="E12" s="4"/>
      <c r="F12" s="6" t="s">
        <v>458</v>
      </c>
    </row>
    <row r="13" customFormat="false" ht="18.75" hidden="false" customHeight="true" outlineLevel="0" collapsed="false">
      <c r="A13" s="4" t="n">
        <v>4</v>
      </c>
      <c r="B13" s="15" t="s">
        <v>459</v>
      </c>
      <c r="C13" s="4" t="s">
        <v>460</v>
      </c>
      <c r="D13" s="4" t="s">
        <v>460</v>
      </c>
      <c r="E13" s="4"/>
      <c r="F13" s="6" t="s">
        <v>461</v>
      </c>
    </row>
    <row r="14" customFormat="false" ht="18.75" hidden="false" customHeight="true" outlineLevel="0" collapsed="false">
      <c r="A14" s="4" t="n">
        <v>5</v>
      </c>
      <c r="B14" s="15" t="s">
        <v>462</v>
      </c>
      <c r="C14" s="36" t="n">
        <v>1290</v>
      </c>
      <c r="D14" s="36" t="n">
        <v>807</v>
      </c>
      <c r="E14" s="37" t="n">
        <f aca="false">C14-D14</f>
        <v>483</v>
      </c>
      <c r="F14" s="6"/>
    </row>
    <row r="15" customFormat="false" ht="18.75" hidden="false" customHeight="true" outlineLevel="0" collapsed="false">
      <c r="A15" s="4" t="n">
        <v>6</v>
      </c>
      <c r="B15" s="15" t="s">
        <v>463</v>
      </c>
      <c r="C15" s="36" t="n">
        <v>27210</v>
      </c>
      <c r="D15" s="36" t="n">
        <v>16162</v>
      </c>
      <c r="E15" s="37" t="n">
        <f aca="false">C15-D15</f>
        <v>11048</v>
      </c>
      <c r="F15" s="6"/>
    </row>
    <row r="16" customFormat="false" ht="18.75" hidden="false" customHeight="true" outlineLevel="0" collapsed="false">
      <c r="A16" s="4" t="n">
        <v>7</v>
      </c>
      <c r="B16" s="15" t="s">
        <v>464</v>
      </c>
      <c r="C16" s="36" t="n">
        <v>21.1</v>
      </c>
      <c r="D16" s="36" t="n">
        <v>20.04</v>
      </c>
      <c r="E16" s="37" t="n">
        <f aca="false">C16-D16</f>
        <v>1.06</v>
      </c>
      <c r="F16" s="6" t="s">
        <v>465</v>
      </c>
    </row>
    <row r="17" customFormat="false" ht="18.75" hidden="false" customHeight="true" outlineLevel="0" collapsed="false">
      <c r="A17" s="4" t="n">
        <v>8</v>
      </c>
      <c r="B17" s="15" t="s">
        <v>466</v>
      </c>
      <c r="C17" s="36" t="n">
        <v>9</v>
      </c>
      <c r="D17" s="36" t="n">
        <v>4</v>
      </c>
      <c r="E17" s="37" t="n">
        <f aca="false">C17-D17</f>
        <v>5</v>
      </c>
      <c r="F17" s="6"/>
    </row>
    <row r="18" customFormat="false" ht="18.75" hidden="false" customHeight="true" outlineLevel="0" collapsed="false">
      <c r="A18" s="4" t="n">
        <v>9</v>
      </c>
      <c r="B18" s="15" t="s">
        <v>467</v>
      </c>
      <c r="C18" s="36" t="n">
        <v>143</v>
      </c>
      <c r="D18" s="36" t="n">
        <v>202</v>
      </c>
      <c r="E18" s="37" t="n">
        <f aca="false">C18-D18</f>
        <v>-59</v>
      </c>
      <c r="F18" s="6" t="s">
        <v>468</v>
      </c>
    </row>
    <row r="19" customFormat="false" ht="18.75" hidden="false" customHeight="true" outlineLevel="0" collapsed="false">
      <c r="A19" s="4" t="n">
        <v>10</v>
      </c>
      <c r="B19" s="15" t="s">
        <v>469</v>
      </c>
      <c r="C19" s="36" t="n">
        <v>9</v>
      </c>
      <c r="D19" s="36" t="n">
        <v>7</v>
      </c>
      <c r="E19" s="37" t="n">
        <f aca="false">C19-D19</f>
        <v>2</v>
      </c>
      <c r="F19" s="6" t="s">
        <v>470</v>
      </c>
    </row>
    <row r="20" customFormat="false" ht="18.75" hidden="false" customHeight="true" outlineLevel="0" collapsed="false">
      <c r="A20" s="4" t="n">
        <v>11</v>
      </c>
      <c r="B20" s="15" t="s">
        <v>86</v>
      </c>
      <c r="C20" s="36" t="n">
        <v>8</v>
      </c>
      <c r="D20" s="36" t="n">
        <v>0</v>
      </c>
      <c r="E20" s="37" t="n">
        <f aca="false">C20-D20</f>
        <v>8</v>
      </c>
      <c r="F20" s="6" t="s">
        <v>471</v>
      </c>
    </row>
    <row r="22" customFormat="false" ht="15" hidden="false" customHeight="false" outlineLevel="0" collapsed="false">
      <c r="B22" s="7" t="s">
        <v>472</v>
      </c>
    </row>
    <row r="23" customFormat="false" ht="15.75" hidden="false" customHeight="true" outlineLevel="0" collapsed="false">
      <c r="C23" s="8" t="s">
        <v>473</v>
      </c>
      <c r="D23" s="8"/>
      <c r="E23" s="8"/>
      <c r="F23" s="8"/>
    </row>
    <row r="24" customFormat="false" ht="15.75" hidden="false" customHeight="true" outlineLevel="0" collapsed="false">
      <c r="C24" s="8" t="s">
        <v>474</v>
      </c>
      <c r="D24" s="8"/>
      <c r="E24" s="8"/>
      <c r="F24" s="8"/>
    </row>
    <row r="26" customFormat="false" ht="15" hidden="false" customHeight="false" outlineLevel="0" collapsed="false">
      <c r="B26" s="7" t="s">
        <v>475</v>
      </c>
    </row>
    <row r="27" customFormat="false" ht="15.75" hidden="false" customHeight="true" outlineLevel="0" collapsed="false">
      <c r="C27" s="8" t="s">
        <v>476</v>
      </c>
      <c r="D27" s="8"/>
      <c r="E27" s="8"/>
      <c r="F27" s="8"/>
    </row>
    <row r="28" customFormat="false" ht="15.75" hidden="false" customHeight="true" outlineLevel="0" collapsed="false">
      <c r="C28" s="8" t="s">
        <v>477</v>
      </c>
      <c r="D28" s="8"/>
      <c r="E28" s="8"/>
      <c r="F28" s="8"/>
    </row>
    <row r="29" customFormat="false" ht="15.75" hidden="false" customHeight="true" outlineLevel="0" collapsed="false">
      <c r="C29" s="8" t="s">
        <v>478</v>
      </c>
      <c r="D29" s="8"/>
      <c r="E29" s="8"/>
      <c r="F29" s="8"/>
    </row>
    <row r="31" customFormat="false" ht="15" hidden="false" customHeight="false" outlineLevel="0" collapsed="false">
      <c r="B31" s="9" t="s">
        <v>479</v>
      </c>
    </row>
    <row r="32" customFormat="false" ht="15.75" hidden="false" customHeight="true" outlineLevel="0" collapsed="false">
      <c r="C32" s="8" t="s">
        <v>480</v>
      </c>
      <c r="D32" s="8"/>
      <c r="E32" s="8"/>
      <c r="F32" s="8"/>
    </row>
    <row r="33" customFormat="false" ht="15.75" hidden="false" customHeight="true" outlineLevel="0" collapsed="false">
      <c r="C33" s="8" t="s">
        <v>481</v>
      </c>
      <c r="D33" s="8"/>
      <c r="E33" s="8"/>
      <c r="F33" s="8"/>
    </row>
  </sheetData>
  <mergeCells count="11">
    <mergeCell ref="A1:F1"/>
    <mergeCell ref="A2:F2"/>
    <mergeCell ref="A3:F3"/>
    <mergeCell ref="A8:F8"/>
    <mergeCell ref="C23:F23"/>
    <mergeCell ref="C24:F24"/>
    <mergeCell ref="C27:F27"/>
    <mergeCell ref="C28:F28"/>
    <mergeCell ref="C29:F29"/>
    <mergeCell ref="C32:F32"/>
    <mergeCell ref="C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0"/>
    <col collapsed="false" customWidth="true" hidden="false" outlineLevel="0" max="13" min="12" style="0" width="9"/>
  </cols>
  <sheetData>
    <row r="1" customFormat="false" ht="25.5" hidden="false" customHeight="true" outlineLevel="0" collapsed="false">
      <c r="A1" s="1" t="s">
        <v>482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A2" s="2" t="s">
        <v>483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30" hidden="false" customHeight="true" outlineLevel="0" collapsed="false">
      <c r="A3" s="3" t="s">
        <v>484</v>
      </c>
      <c r="B3" s="3" t="s">
        <v>111</v>
      </c>
      <c r="C3" s="3" t="s">
        <v>112</v>
      </c>
      <c r="D3" s="3" t="s">
        <v>485</v>
      </c>
      <c r="E3" s="3" t="s">
        <v>486</v>
      </c>
      <c r="F3" s="3" t="s">
        <v>113</v>
      </c>
      <c r="G3" s="3" t="s">
        <v>487</v>
      </c>
      <c r="H3" s="3" t="s">
        <v>114</v>
      </c>
      <c r="I3" s="3" t="s">
        <v>448</v>
      </c>
      <c r="J3" s="3" t="s">
        <v>115</v>
      </c>
      <c r="K3" s="3" t="s">
        <v>488</v>
      </c>
      <c r="L3" s="3" t="s">
        <v>489</v>
      </c>
      <c r="M3" s="3" t="s">
        <v>490</v>
      </c>
    </row>
    <row r="4" customFormat="false" ht="16.5" hidden="false" customHeight="true" outlineLevel="0" collapsed="false">
      <c r="A4" s="4" t="s">
        <v>491</v>
      </c>
      <c r="B4" s="5" t="s">
        <v>122</v>
      </c>
      <c r="C4" s="4" t="s">
        <v>121</v>
      </c>
      <c r="D4" s="4" t="s">
        <v>492</v>
      </c>
      <c r="E4" s="4" t="n">
        <v>181</v>
      </c>
      <c r="F4" s="16" t="n">
        <v>34063312</v>
      </c>
      <c r="G4" s="16" t="n">
        <v>13312643</v>
      </c>
      <c r="H4" s="16" t="n">
        <v>4236</v>
      </c>
      <c r="I4" s="38" t="n">
        <v>-0.223</v>
      </c>
      <c r="J4" s="4" t="n">
        <v>32</v>
      </c>
      <c r="K4" s="4" t="n">
        <v>18</v>
      </c>
      <c r="L4" s="4" t="n">
        <v>58</v>
      </c>
      <c r="M4" s="23" t="n">
        <v>0.006</v>
      </c>
    </row>
    <row r="5" customFormat="false" ht="16.5" hidden="false" customHeight="true" outlineLevel="0" collapsed="false">
      <c r="A5" s="4" t="s">
        <v>493</v>
      </c>
      <c r="B5" s="5" t="s">
        <v>120</v>
      </c>
      <c r="C5" s="4" t="s">
        <v>121</v>
      </c>
      <c r="D5" s="4" t="s">
        <v>494</v>
      </c>
      <c r="E5" s="4" t="n">
        <v>91</v>
      </c>
      <c r="F5" s="16" t="n">
        <v>35464924</v>
      </c>
      <c r="G5" s="16" t="n">
        <v>0</v>
      </c>
      <c r="H5" s="16" t="n">
        <v>3561</v>
      </c>
      <c r="I5" s="39" t="n">
        <v>0</v>
      </c>
      <c r="J5" s="4" t="n">
        <v>42</v>
      </c>
      <c r="K5" s="4" t="n">
        <v>21</v>
      </c>
      <c r="L5" s="4"/>
      <c r="M5" s="23" t="n">
        <v>0</v>
      </c>
    </row>
    <row r="6" customFormat="false" ht="16.5" hidden="false" customHeight="true" outlineLevel="0" collapsed="false">
      <c r="A6" s="4" t="s">
        <v>495</v>
      </c>
      <c r="B6" s="5" t="s">
        <v>141</v>
      </c>
      <c r="C6" s="4" t="s">
        <v>128</v>
      </c>
      <c r="D6" s="4" t="s">
        <v>494</v>
      </c>
      <c r="E6" s="4" t="n">
        <v>176</v>
      </c>
      <c r="F6" s="16" t="n">
        <v>10864480</v>
      </c>
      <c r="G6" s="16" t="n">
        <v>19344811</v>
      </c>
      <c r="H6" s="16" t="n">
        <v>1892</v>
      </c>
      <c r="I6" s="40" t="n">
        <v>0.273</v>
      </c>
      <c r="J6" s="4"/>
      <c r="K6" s="4"/>
      <c r="L6" s="4"/>
      <c r="M6" s="23" t="n">
        <v>0</v>
      </c>
    </row>
    <row r="7" customFormat="false" ht="16.5" hidden="false" customHeight="true" outlineLevel="0" collapsed="false">
      <c r="A7" s="4" t="s">
        <v>496</v>
      </c>
      <c r="B7" s="5" t="s">
        <v>123</v>
      </c>
      <c r="C7" s="4" t="s">
        <v>124</v>
      </c>
      <c r="D7" s="4" t="s">
        <v>492</v>
      </c>
      <c r="E7" s="4" t="n">
        <v>91</v>
      </c>
      <c r="F7" s="16" t="n">
        <v>19648510</v>
      </c>
      <c r="G7" s="16" t="n">
        <v>10303487</v>
      </c>
      <c r="H7" s="16" t="n">
        <v>2137</v>
      </c>
      <c r="I7" s="39" t="n">
        <v>0</v>
      </c>
      <c r="J7" s="4" t="n">
        <v>19</v>
      </c>
      <c r="K7" s="4" t="n">
        <v>12</v>
      </c>
      <c r="L7" s="4"/>
      <c r="M7" s="23" t="n">
        <v>0</v>
      </c>
    </row>
    <row r="8" customFormat="false" ht="16.5" hidden="false" customHeight="true" outlineLevel="0" collapsed="false">
      <c r="A8" s="4" t="s">
        <v>497</v>
      </c>
      <c r="B8" s="5" t="s">
        <v>130</v>
      </c>
      <c r="C8" s="4" t="s">
        <v>124</v>
      </c>
      <c r="D8" s="4" t="s">
        <v>498</v>
      </c>
      <c r="E8" s="4" t="n">
        <v>55</v>
      </c>
      <c r="F8" s="16" t="n">
        <v>13354076</v>
      </c>
      <c r="G8" s="16" t="n">
        <v>5980304</v>
      </c>
      <c r="H8" s="16" t="n">
        <v>1694</v>
      </c>
      <c r="I8" s="39" t="n">
        <v>0</v>
      </c>
      <c r="J8" s="4" t="n">
        <v>12</v>
      </c>
      <c r="K8" s="4" t="n">
        <v>8</v>
      </c>
      <c r="L8" s="4"/>
      <c r="M8" s="23" t="n">
        <v>0</v>
      </c>
    </row>
    <row r="9" customFormat="false" ht="16.5" hidden="false" customHeight="true" outlineLevel="0" collapsed="false">
      <c r="A9" s="4" t="s">
        <v>499</v>
      </c>
      <c r="B9" s="5" t="s">
        <v>125</v>
      </c>
      <c r="C9" s="4" t="s">
        <v>121</v>
      </c>
      <c r="D9" s="4" t="s">
        <v>492</v>
      </c>
      <c r="E9" s="4" t="n">
        <v>180</v>
      </c>
      <c r="F9" s="16" t="n">
        <v>16732843</v>
      </c>
      <c r="G9" s="16" t="n">
        <v>2589147</v>
      </c>
      <c r="H9" s="16" t="n">
        <v>2359</v>
      </c>
      <c r="I9" s="38" t="n">
        <v>-0.211</v>
      </c>
      <c r="J9" s="4" t="n">
        <v>14</v>
      </c>
      <c r="K9" s="4" t="n">
        <v>6</v>
      </c>
      <c r="L9" s="4" t="n">
        <v>28</v>
      </c>
      <c r="M9" s="23" t="n">
        <v>0</v>
      </c>
    </row>
    <row r="10" customFormat="false" ht="16.5" hidden="false" customHeight="true" outlineLevel="0" collapsed="false">
      <c r="A10" s="4" t="s">
        <v>500</v>
      </c>
      <c r="B10" s="5" t="s">
        <v>135</v>
      </c>
      <c r="C10" s="4" t="s">
        <v>121</v>
      </c>
      <c r="D10" s="4" t="s">
        <v>492</v>
      </c>
      <c r="E10" s="4" t="n">
        <v>181</v>
      </c>
      <c r="F10" s="16" t="n">
        <v>12654914</v>
      </c>
      <c r="G10" s="16" t="n">
        <v>4848425</v>
      </c>
      <c r="H10" s="16" t="n">
        <v>1702</v>
      </c>
      <c r="I10" s="38" t="n">
        <v>-0.09</v>
      </c>
      <c r="J10" s="4" t="n">
        <v>10</v>
      </c>
      <c r="K10" s="4" t="n">
        <v>9</v>
      </c>
      <c r="L10" s="4"/>
      <c r="M10" s="23" t="n">
        <v>0</v>
      </c>
    </row>
    <row r="11" customFormat="false" ht="16.5" hidden="false" customHeight="true" outlineLevel="0" collapsed="false">
      <c r="A11" s="4" t="s">
        <v>501</v>
      </c>
      <c r="B11" s="5" t="s">
        <v>127</v>
      </c>
      <c r="C11" s="4" t="s">
        <v>128</v>
      </c>
      <c r="D11" s="4" t="s">
        <v>492</v>
      </c>
      <c r="E11" s="4" t="n">
        <v>65</v>
      </c>
      <c r="F11" s="16" t="n">
        <v>16280701</v>
      </c>
      <c r="G11" s="16" t="n">
        <v>0</v>
      </c>
      <c r="H11" s="16" t="n">
        <v>2041</v>
      </c>
      <c r="I11" s="39" t="n">
        <v>0</v>
      </c>
      <c r="J11" s="4" t="n">
        <v>20</v>
      </c>
      <c r="K11" s="4" t="n">
        <v>12</v>
      </c>
      <c r="L11" s="4"/>
      <c r="M11" s="23" t="n">
        <v>0</v>
      </c>
    </row>
    <row r="12" customFormat="false" ht="16.5" hidden="false" customHeight="true" outlineLevel="0" collapsed="false">
      <c r="A12" s="4" t="s">
        <v>502</v>
      </c>
      <c r="B12" s="5" t="s">
        <v>126</v>
      </c>
      <c r="C12" s="4" t="s">
        <v>124</v>
      </c>
      <c r="D12" s="4" t="s">
        <v>492</v>
      </c>
      <c r="E12" s="4" t="n">
        <v>63</v>
      </c>
      <c r="F12" s="16" t="n">
        <v>16309064</v>
      </c>
      <c r="G12" s="16" t="n">
        <v>98445</v>
      </c>
      <c r="H12" s="16" t="n">
        <v>1726</v>
      </c>
      <c r="I12" s="39" t="n">
        <v>0</v>
      </c>
      <c r="J12" s="4" t="n">
        <v>18</v>
      </c>
      <c r="K12" s="4" t="n">
        <v>9</v>
      </c>
      <c r="L12" s="4"/>
      <c r="M12" s="23" t="n">
        <v>0</v>
      </c>
    </row>
    <row r="13" customFormat="false" ht="16.5" hidden="false" customHeight="true" outlineLevel="0" collapsed="false">
      <c r="A13" s="4" t="s">
        <v>503</v>
      </c>
      <c r="B13" s="5" t="s">
        <v>145</v>
      </c>
      <c r="C13" s="4" t="s">
        <v>121</v>
      </c>
      <c r="D13" s="4" t="s">
        <v>494</v>
      </c>
      <c r="E13" s="4" t="n">
        <v>181</v>
      </c>
      <c r="F13" s="16" t="n">
        <v>8548346</v>
      </c>
      <c r="G13" s="16" t="n">
        <v>7210207</v>
      </c>
      <c r="H13" s="16" t="n">
        <v>1380</v>
      </c>
      <c r="I13" s="38" t="n">
        <v>-0.217</v>
      </c>
      <c r="J13" s="4" t="n">
        <v>13</v>
      </c>
      <c r="K13" s="4" t="n">
        <v>10</v>
      </c>
      <c r="L13" s="4"/>
      <c r="M13" s="23" t="n">
        <v>0</v>
      </c>
    </row>
    <row r="14" customFormat="false" ht="16.5" hidden="false" customHeight="true" outlineLevel="0" collapsed="false">
      <c r="A14" s="4" t="s">
        <v>504</v>
      </c>
      <c r="B14" s="5" t="s">
        <v>129</v>
      </c>
      <c r="C14" s="4" t="s">
        <v>124</v>
      </c>
      <c r="D14" s="4" t="s">
        <v>498</v>
      </c>
      <c r="E14" s="4" t="n">
        <v>181</v>
      </c>
      <c r="F14" s="16" t="n">
        <v>14309768</v>
      </c>
      <c r="G14" s="16" t="n">
        <v>1278215</v>
      </c>
      <c r="H14" s="16" t="n">
        <v>1414</v>
      </c>
      <c r="I14" s="38" t="n">
        <v>-0.119</v>
      </c>
      <c r="J14" s="4" t="n">
        <v>13</v>
      </c>
      <c r="K14" s="4" t="n">
        <v>9</v>
      </c>
      <c r="L14" s="4"/>
      <c r="M14" s="23" t="n">
        <v>0</v>
      </c>
    </row>
    <row r="15" customFormat="false" ht="16.5" hidden="false" customHeight="true" outlineLevel="0" collapsed="false">
      <c r="A15" s="4" t="s">
        <v>505</v>
      </c>
      <c r="B15" s="5" t="s">
        <v>136</v>
      </c>
      <c r="C15" s="4" t="s">
        <v>121</v>
      </c>
      <c r="D15" s="4" t="s">
        <v>492</v>
      </c>
      <c r="E15" s="4" t="n">
        <v>181</v>
      </c>
      <c r="F15" s="16" t="n">
        <v>11988986</v>
      </c>
      <c r="G15" s="16" t="n">
        <v>3596696</v>
      </c>
      <c r="H15" s="16" t="n">
        <v>1566</v>
      </c>
      <c r="I15" s="41" t="n">
        <v>-0.034</v>
      </c>
      <c r="J15" s="4" t="n">
        <v>12</v>
      </c>
      <c r="K15" s="4" t="n">
        <v>8</v>
      </c>
      <c r="L15" s="4"/>
      <c r="M15" s="23" t="n">
        <v>0.038</v>
      </c>
    </row>
    <row r="16" customFormat="false" ht="16.5" hidden="false" customHeight="true" outlineLevel="0" collapsed="false">
      <c r="A16" s="4" t="s">
        <v>506</v>
      </c>
      <c r="B16" s="5" t="s">
        <v>133</v>
      </c>
      <c r="C16" s="4" t="s">
        <v>134</v>
      </c>
      <c r="D16" s="4" t="s">
        <v>492</v>
      </c>
      <c r="E16" s="4" t="n">
        <v>181</v>
      </c>
      <c r="F16" s="16" t="n">
        <v>13247588</v>
      </c>
      <c r="G16" s="16" t="n">
        <v>1088450</v>
      </c>
      <c r="H16" s="16" t="n">
        <v>1169</v>
      </c>
      <c r="I16" s="40" t="n">
        <v>0.151</v>
      </c>
      <c r="J16" s="4" t="n">
        <v>10</v>
      </c>
      <c r="K16" s="4" t="n">
        <v>16</v>
      </c>
      <c r="L16" s="4"/>
      <c r="M16" s="23" t="n">
        <v>0</v>
      </c>
    </row>
    <row r="17" customFormat="false" ht="16.5" hidden="false" customHeight="true" outlineLevel="0" collapsed="false">
      <c r="A17" s="4" t="s">
        <v>507</v>
      </c>
      <c r="B17" s="5" t="s">
        <v>131</v>
      </c>
      <c r="C17" s="4" t="s">
        <v>124</v>
      </c>
      <c r="D17" s="4" t="s">
        <v>492</v>
      </c>
      <c r="E17" s="4" t="n">
        <v>57</v>
      </c>
      <c r="F17" s="16" t="n">
        <v>13311973</v>
      </c>
      <c r="G17" s="16" t="n">
        <v>0</v>
      </c>
      <c r="H17" s="16" t="n">
        <v>1483</v>
      </c>
      <c r="I17" s="39" t="n">
        <v>0</v>
      </c>
      <c r="J17" s="4" t="n">
        <v>13</v>
      </c>
      <c r="K17" s="4" t="n">
        <v>12</v>
      </c>
      <c r="L17" s="4"/>
      <c r="M17" s="23" t="n">
        <v>0</v>
      </c>
    </row>
    <row r="18" customFormat="false" ht="16.5" hidden="false" customHeight="true" outlineLevel="0" collapsed="false">
      <c r="A18" s="4" t="s">
        <v>508</v>
      </c>
      <c r="B18" s="5" t="s">
        <v>132</v>
      </c>
      <c r="C18" s="4" t="s">
        <v>121</v>
      </c>
      <c r="D18" s="4" t="s">
        <v>492</v>
      </c>
      <c r="E18" s="4" t="n">
        <v>181</v>
      </c>
      <c r="F18" s="16" t="n">
        <v>13248903</v>
      </c>
      <c r="G18" s="16" t="n">
        <v>0</v>
      </c>
      <c r="H18" s="16" t="n">
        <v>1872</v>
      </c>
      <c r="I18" s="41" t="n">
        <v>-0.03</v>
      </c>
      <c r="J18" s="4" t="n">
        <v>10</v>
      </c>
      <c r="K18" s="4" t="n">
        <v>4</v>
      </c>
      <c r="L18" s="4"/>
      <c r="M18" s="23" t="n">
        <v>0</v>
      </c>
    </row>
    <row r="19" customFormat="false" ht="16.5" hidden="false" customHeight="true" outlineLevel="0" collapsed="false">
      <c r="A19" s="4" t="s">
        <v>509</v>
      </c>
      <c r="B19" s="5" t="s">
        <v>137</v>
      </c>
      <c r="C19" s="4" t="s">
        <v>138</v>
      </c>
      <c r="D19" s="4" t="s">
        <v>510</v>
      </c>
      <c r="E19" s="4" t="n">
        <v>130</v>
      </c>
      <c r="F19" s="16" t="n">
        <v>11882308</v>
      </c>
      <c r="G19" s="16" t="n">
        <v>599108</v>
      </c>
      <c r="H19" s="16" t="n">
        <v>1807</v>
      </c>
      <c r="I19" s="40" t="n">
        <v>0.275</v>
      </c>
      <c r="J19" s="4"/>
      <c r="K19" s="4"/>
      <c r="L19" s="4"/>
      <c r="M19" s="23" t="n">
        <v>0</v>
      </c>
    </row>
    <row r="20" customFormat="false" ht="16.5" hidden="false" customHeight="true" outlineLevel="0" collapsed="false">
      <c r="A20" s="4" t="s">
        <v>511</v>
      </c>
      <c r="B20" s="5" t="s">
        <v>146</v>
      </c>
      <c r="C20" s="4" t="s">
        <v>128</v>
      </c>
      <c r="D20" s="4" t="s">
        <v>492</v>
      </c>
      <c r="E20" s="4" t="n">
        <v>147</v>
      </c>
      <c r="F20" s="16" t="n">
        <v>7867941</v>
      </c>
      <c r="G20" s="16" t="n">
        <v>3857753</v>
      </c>
      <c r="H20" s="16" t="n">
        <v>1328</v>
      </c>
      <c r="I20" s="40" t="n">
        <v>0.068</v>
      </c>
      <c r="J20" s="4"/>
      <c r="K20" s="4"/>
      <c r="L20" s="4"/>
      <c r="M20" s="23" t="n">
        <v>0</v>
      </c>
    </row>
    <row r="21" customFormat="false" ht="16.5" hidden="false" customHeight="true" outlineLevel="0" collapsed="false">
      <c r="A21" s="4" t="s">
        <v>512</v>
      </c>
      <c r="B21" s="5" t="s">
        <v>139</v>
      </c>
      <c r="C21" s="4" t="s">
        <v>121</v>
      </c>
      <c r="D21" s="4" t="s">
        <v>513</v>
      </c>
      <c r="E21" s="4" t="n">
        <v>70</v>
      </c>
      <c r="F21" s="16" t="n">
        <v>11625662</v>
      </c>
      <c r="G21" s="16" t="n">
        <v>0</v>
      </c>
      <c r="H21" s="16" t="n">
        <v>1643</v>
      </c>
      <c r="I21" s="39" t="n">
        <v>0</v>
      </c>
      <c r="J21" s="4" t="n">
        <v>9</v>
      </c>
      <c r="K21" s="4" t="n">
        <v>6</v>
      </c>
      <c r="L21" s="4"/>
      <c r="M21" s="23" t="n">
        <v>0</v>
      </c>
    </row>
    <row r="22" customFormat="false" ht="16.5" hidden="false" customHeight="true" outlineLevel="0" collapsed="false">
      <c r="A22" s="4" t="s">
        <v>514</v>
      </c>
      <c r="B22" s="5" t="s">
        <v>140</v>
      </c>
      <c r="C22" s="4" t="s">
        <v>121</v>
      </c>
      <c r="D22" s="4" t="s">
        <v>492</v>
      </c>
      <c r="E22" s="4" t="n">
        <v>181</v>
      </c>
      <c r="F22" s="16" t="n">
        <v>11101203</v>
      </c>
      <c r="G22" s="16" t="n">
        <v>0</v>
      </c>
      <c r="H22" s="16" t="n">
        <v>1573</v>
      </c>
      <c r="I22" s="38" t="n">
        <v>-0.112</v>
      </c>
      <c r="J22" s="4" t="n">
        <v>11</v>
      </c>
      <c r="K22" s="4" t="n">
        <v>9</v>
      </c>
      <c r="L22" s="4"/>
      <c r="M22" s="23" t="n">
        <v>0</v>
      </c>
    </row>
    <row r="23" customFormat="false" ht="16.5" hidden="false" customHeight="true" outlineLevel="0" collapsed="false">
      <c r="A23" s="4" t="s">
        <v>515</v>
      </c>
      <c r="B23" s="5" t="s">
        <v>148</v>
      </c>
      <c r="C23" s="4" t="s">
        <v>121</v>
      </c>
      <c r="D23" s="4" t="s">
        <v>513</v>
      </c>
      <c r="E23" s="4" t="n">
        <v>181</v>
      </c>
      <c r="F23" s="16" t="n">
        <v>7193020</v>
      </c>
      <c r="G23" s="16" t="n">
        <v>2745883</v>
      </c>
      <c r="H23" s="16" t="n">
        <v>1112</v>
      </c>
      <c r="I23" s="41" t="n">
        <v>-0.033</v>
      </c>
      <c r="J23" s="4" t="n">
        <v>9</v>
      </c>
      <c r="K23" s="4" t="n">
        <v>6</v>
      </c>
      <c r="L23" s="4"/>
      <c r="M23" s="23" t="n">
        <v>0</v>
      </c>
    </row>
    <row r="24" customFormat="false" ht="16.5" hidden="false" customHeight="true" outlineLevel="0" collapsed="false">
      <c r="A24" s="4" t="s">
        <v>516</v>
      </c>
      <c r="B24" s="5" t="s">
        <v>142</v>
      </c>
      <c r="C24" s="4" t="s">
        <v>121</v>
      </c>
      <c r="D24" s="4" t="s">
        <v>492</v>
      </c>
      <c r="E24" s="4" t="n">
        <v>181</v>
      </c>
      <c r="F24" s="16" t="n">
        <v>9931491</v>
      </c>
      <c r="G24" s="16" t="n">
        <v>0</v>
      </c>
      <c r="H24" s="16" t="n">
        <v>1290</v>
      </c>
      <c r="I24" s="40" t="n">
        <v>0.069</v>
      </c>
      <c r="J24" s="4" t="n">
        <v>9</v>
      </c>
      <c r="K24" s="4" t="n">
        <v>9</v>
      </c>
      <c r="L24" s="4" t="n">
        <v>8</v>
      </c>
      <c r="M24" s="23" t="n">
        <v>0</v>
      </c>
    </row>
    <row r="25" customFormat="false" ht="16.5" hidden="false" customHeight="true" outlineLevel="0" collapsed="false">
      <c r="A25" s="4" t="s">
        <v>517</v>
      </c>
      <c r="B25" s="5" t="s">
        <v>144</v>
      </c>
      <c r="C25" s="4" t="s">
        <v>124</v>
      </c>
      <c r="D25" s="4" t="s">
        <v>498</v>
      </c>
      <c r="E25" s="4" t="n">
        <v>181</v>
      </c>
      <c r="F25" s="16" t="n">
        <v>9064151</v>
      </c>
      <c r="G25" s="16" t="n">
        <v>558090</v>
      </c>
      <c r="H25" s="16" t="n">
        <v>1144</v>
      </c>
      <c r="I25" s="40" t="n">
        <v>0.177</v>
      </c>
      <c r="J25" s="4" t="n">
        <v>9</v>
      </c>
      <c r="K25" s="4" t="n">
        <v>9</v>
      </c>
      <c r="L25" s="4"/>
      <c r="M25" s="23" t="n">
        <v>0</v>
      </c>
    </row>
    <row r="26" customFormat="false" ht="16.5" hidden="false" customHeight="true" outlineLevel="0" collapsed="false">
      <c r="A26" s="4" t="s">
        <v>518</v>
      </c>
      <c r="B26" s="5" t="s">
        <v>143</v>
      </c>
      <c r="C26" s="4" t="s">
        <v>121</v>
      </c>
      <c r="D26" s="4" t="s">
        <v>492</v>
      </c>
      <c r="E26" s="4" t="n">
        <v>181</v>
      </c>
      <c r="F26" s="16" t="n">
        <v>9558604</v>
      </c>
      <c r="G26" s="16" t="n">
        <v>0</v>
      </c>
      <c r="H26" s="16" t="n">
        <v>1363</v>
      </c>
      <c r="I26" s="41" t="n">
        <v>0.042</v>
      </c>
      <c r="J26" s="4" t="n">
        <v>9</v>
      </c>
      <c r="K26" s="4" t="n">
        <v>4</v>
      </c>
      <c r="L26" s="4"/>
      <c r="M26" s="23" t="n">
        <v>0</v>
      </c>
    </row>
    <row r="27" customFormat="false" ht="16.5" hidden="false" customHeight="true" outlineLevel="0" collapsed="false">
      <c r="A27" s="4" t="s">
        <v>519</v>
      </c>
      <c r="B27" s="5" t="s">
        <v>155</v>
      </c>
      <c r="C27" s="4" t="s">
        <v>124</v>
      </c>
      <c r="D27" s="4" t="s">
        <v>498</v>
      </c>
      <c r="E27" s="4" t="n">
        <v>181</v>
      </c>
      <c r="F27" s="16" t="n">
        <v>6835043</v>
      </c>
      <c r="G27" s="16" t="n">
        <v>2528030</v>
      </c>
      <c r="H27" s="16" t="n">
        <v>823</v>
      </c>
      <c r="I27" s="40" t="n">
        <v>0.083</v>
      </c>
      <c r="J27" s="4" t="n">
        <v>6</v>
      </c>
      <c r="K27" s="4" t="n">
        <v>4</v>
      </c>
      <c r="L27" s="4"/>
      <c r="M27" s="23" t="n">
        <v>0</v>
      </c>
    </row>
    <row r="28" customFormat="false" ht="16.5" hidden="false" customHeight="true" outlineLevel="0" collapsed="false">
      <c r="A28" s="4" t="s">
        <v>520</v>
      </c>
      <c r="B28" s="5" t="s">
        <v>158</v>
      </c>
      <c r="C28" s="4" t="s">
        <v>121</v>
      </c>
      <c r="D28" s="4" t="s">
        <v>494</v>
      </c>
      <c r="E28" s="4" t="n">
        <v>111</v>
      </c>
      <c r="F28" s="16" t="n">
        <v>6066855</v>
      </c>
      <c r="G28" s="16" t="n">
        <v>3252431</v>
      </c>
      <c r="H28" s="16" t="n">
        <v>680</v>
      </c>
      <c r="I28" s="39" t="n">
        <v>-0.033</v>
      </c>
      <c r="J28" s="4" t="n">
        <v>11</v>
      </c>
      <c r="K28" s="4" t="n">
        <v>16</v>
      </c>
      <c r="L28" s="4"/>
      <c r="M28" s="23" t="n">
        <v>0</v>
      </c>
    </row>
    <row r="29" customFormat="false" ht="16.5" hidden="false" customHeight="true" outlineLevel="0" collapsed="false">
      <c r="A29" s="4" t="s">
        <v>521</v>
      </c>
      <c r="B29" s="5" t="s">
        <v>157</v>
      </c>
      <c r="C29" s="4" t="s">
        <v>121</v>
      </c>
      <c r="D29" s="4" t="s">
        <v>513</v>
      </c>
      <c r="E29" s="4" t="n">
        <v>181</v>
      </c>
      <c r="F29" s="16" t="n">
        <v>6241831</v>
      </c>
      <c r="G29" s="16" t="n">
        <v>2950851</v>
      </c>
      <c r="H29" s="16" t="n">
        <v>816</v>
      </c>
      <c r="I29" s="41" t="n">
        <v>-0.045</v>
      </c>
      <c r="J29" s="4" t="n">
        <v>8</v>
      </c>
      <c r="K29" s="4" t="n">
        <v>6</v>
      </c>
      <c r="L29" s="4"/>
      <c r="M29" s="23" t="n">
        <v>0</v>
      </c>
    </row>
    <row r="30" customFormat="false" ht="16.5" hidden="false" customHeight="true" outlineLevel="0" collapsed="false">
      <c r="A30" s="4" t="s">
        <v>522</v>
      </c>
      <c r="B30" s="5" t="s">
        <v>172</v>
      </c>
      <c r="C30" s="4" t="s">
        <v>121</v>
      </c>
      <c r="D30" s="4" t="s">
        <v>494</v>
      </c>
      <c r="E30" s="4" t="n">
        <v>181</v>
      </c>
      <c r="F30" s="16" t="n">
        <v>3791200</v>
      </c>
      <c r="G30" s="16" t="n">
        <v>4805625</v>
      </c>
      <c r="H30" s="16" t="n">
        <v>423</v>
      </c>
      <c r="I30" s="38" t="n">
        <v>-0.084</v>
      </c>
      <c r="J30" s="4" t="n">
        <v>9</v>
      </c>
      <c r="K30" s="4" t="n">
        <v>6</v>
      </c>
      <c r="L30" s="4"/>
      <c r="M30" s="23" t="n">
        <v>0.015</v>
      </c>
    </row>
    <row r="31" customFormat="false" ht="16.5" hidden="false" customHeight="true" outlineLevel="0" collapsed="false">
      <c r="A31" s="4" t="s">
        <v>523</v>
      </c>
      <c r="B31" s="5" t="s">
        <v>154</v>
      </c>
      <c r="C31" s="4" t="s">
        <v>121</v>
      </c>
      <c r="D31" s="4" t="s">
        <v>492</v>
      </c>
      <c r="E31" s="4" t="n">
        <v>92</v>
      </c>
      <c r="F31" s="16" t="n">
        <v>6955614</v>
      </c>
      <c r="G31" s="16" t="n">
        <v>1485665</v>
      </c>
      <c r="H31" s="16" t="n">
        <v>1025</v>
      </c>
      <c r="I31" s="39" t="n">
        <v>0</v>
      </c>
      <c r="J31" s="4" t="n">
        <v>6</v>
      </c>
      <c r="K31" s="4" t="n">
        <v>8</v>
      </c>
      <c r="L31" s="4"/>
      <c r="M31" s="23" t="n">
        <v>0</v>
      </c>
    </row>
    <row r="32" customFormat="false" ht="16.5" hidden="false" customHeight="true" outlineLevel="0" collapsed="false">
      <c r="A32" s="4" t="s">
        <v>524</v>
      </c>
      <c r="B32" s="5" t="s">
        <v>149</v>
      </c>
      <c r="C32" s="4" t="s">
        <v>150</v>
      </c>
      <c r="D32" s="4" t="s">
        <v>510</v>
      </c>
      <c r="E32" s="4" t="n">
        <v>181</v>
      </c>
      <c r="F32" s="16" t="n">
        <v>7191456</v>
      </c>
      <c r="G32" s="16" t="n">
        <v>642374</v>
      </c>
      <c r="H32" s="16" t="n">
        <v>864</v>
      </c>
      <c r="I32" s="40" t="n">
        <v>0.186</v>
      </c>
      <c r="J32" s="4" t="n">
        <v>7</v>
      </c>
      <c r="K32" s="4" t="n">
        <v>15</v>
      </c>
      <c r="L32" s="4"/>
      <c r="M32" s="23" t="n">
        <v>0</v>
      </c>
    </row>
    <row r="33" customFormat="false" ht="16.5" hidden="false" customHeight="true" outlineLevel="0" collapsed="false">
      <c r="A33" s="4" t="s">
        <v>525</v>
      </c>
      <c r="B33" s="5" t="s">
        <v>152</v>
      </c>
      <c r="C33" s="4" t="s">
        <v>153</v>
      </c>
      <c r="D33" s="4" t="s">
        <v>510</v>
      </c>
      <c r="E33" s="4" t="n">
        <v>69</v>
      </c>
      <c r="F33" s="16" t="n">
        <v>6980426</v>
      </c>
      <c r="G33" s="16" t="n">
        <v>801543</v>
      </c>
      <c r="H33" s="16" t="n">
        <v>952</v>
      </c>
      <c r="I33" s="39" t="n">
        <v>0</v>
      </c>
      <c r="J33" s="4" t="n">
        <v>7</v>
      </c>
      <c r="K33" s="4" t="n">
        <v>7</v>
      </c>
      <c r="L33" s="4"/>
      <c r="M33" s="23" t="n">
        <v>0</v>
      </c>
    </row>
    <row r="34" customFormat="false" ht="16.5" hidden="false" customHeight="true" outlineLevel="0" collapsed="false">
      <c r="A34" s="4" t="s">
        <v>526</v>
      </c>
      <c r="B34" s="5" t="s">
        <v>147</v>
      </c>
      <c r="C34" s="4" t="s">
        <v>138</v>
      </c>
      <c r="D34" s="4" t="s">
        <v>492</v>
      </c>
      <c r="E34" s="4" t="n">
        <v>181</v>
      </c>
      <c r="F34" s="16" t="n">
        <v>7444371</v>
      </c>
      <c r="G34" s="16" t="n">
        <v>175072</v>
      </c>
      <c r="H34" s="16" t="n">
        <v>922</v>
      </c>
      <c r="I34" s="40" t="n">
        <v>0.18</v>
      </c>
      <c r="J34" s="4" t="n">
        <v>8</v>
      </c>
      <c r="K34" s="4" t="n">
        <v>6</v>
      </c>
      <c r="L34" s="4"/>
      <c r="M34" s="23" t="n">
        <v>0</v>
      </c>
    </row>
    <row r="35" customFormat="false" ht="16.5" hidden="false" customHeight="true" outlineLevel="0" collapsed="false">
      <c r="A35" s="4" t="s">
        <v>527</v>
      </c>
      <c r="B35" s="5" t="s">
        <v>156</v>
      </c>
      <c r="C35" s="4" t="s">
        <v>121</v>
      </c>
      <c r="D35" s="4" t="s">
        <v>498</v>
      </c>
      <c r="E35" s="4" t="n">
        <v>181</v>
      </c>
      <c r="F35" s="16" t="n">
        <v>6267957</v>
      </c>
      <c r="G35" s="16" t="n">
        <v>814480</v>
      </c>
      <c r="H35" s="16" t="n">
        <v>931</v>
      </c>
      <c r="I35" s="38" t="n">
        <v>-0.068</v>
      </c>
      <c r="J35" s="4" t="n">
        <v>7</v>
      </c>
      <c r="K35" s="4" t="n">
        <v>4</v>
      </c>
      <c r="L35" s="4"/>
      <c r="M35" s="23" t="n">
        <v>0</v>
      </c>
    </row>
    <row r="36" customFormat="false" ht="16.5" hidden="false" customHeight="true" outlineLevel="0" collapsed="false">
      <c r="A36" s="4" t="s">
        <v>528</v>
      </c>
      <c r="B36" s="5" t="s">
        <v>151</v>
      </c>
      <c r="C36" s="4" t="s">
        <v>121</v>
      </c>
      <c r="D36" s="4" t="s">
        <v>492</v>
      </c>
      <c r="E36" s="4" t="n">
        <v>181</v>
      </c>
      <c r="F36" s="16" t="n">
        <v>6999984</v>
      </c>
      <c r="G36" s="16" t="n">
        <v>0</v>
      </c>
      <c r="H36" s="16" t="n">
        <v>913</v>
      </c>
      <c r="I36" s="38" t="n">
        <v>-0.533</v>
      </c>
      <c r="J36" s="4" t="n">
        <v>7</v>
      </c>
      <c r="K36" s="4" t="n">
        <v>10</v>
      </c>
      <c r="L36" s="4" t="n">
        <v>3</v>
      </c>
      <c r="M36" s="23" t="n">
        <v>0</v>
      </c>
    </row>
    <row r="37" customFormat="false" ht="16.5" hidden="false" customHeight="true" outlineLevel="0" collapsed="false">
      <c r="A37" s="4" t="s">
        <v>529</v>
      </c>
      <c r="B37" s="5" t="s">
        <v>161</v>
      </c>
      <c r="C37" s="4" t="s">
        <v>128</v>
      </c>
      <c r="D37" s="4" t="s">
        <v>492</v>
      </c>
      <c r="E37" s="4" t="n">
        <v>181</v>
      </c>
      <c r="F37" s="16" t="n">
        <v>5722940</v>
      </c>
      <c r="G37" s="16" t="n">
        <v>1147336</v>
      </c>
      <c r="H37" s="16" t="n">
        <v>938</v>
      </c>
      <c r="I37" s="40" t="n">
        <v>0.083</v>
      </c>
      <c r="J37" s="4" t="n">
        <v>7</v>
      </c>
      <c r="K37" s="4" t="n">
        <v>3</v>
      </c>
      <c r="L37" s="4"/>
      <c r="M37" s="23" t="n">
        <v>0.015</v>
      </c>
    </row>
    <row r="38" customFormat="false" ht="16.5" hidden="false" customHeight="true" outlineLevel="0" collapsed="false">
      <c r="A38" s="4" t="s">
        <v>530</v>
      </c>
      <c r="B38" s="5" t="s">
        <v>159</v>
      </c>
      <c r="C38" s="4" t="s">
        <v>138</v>
      </c>
      <c r="D38" s="4" t="s">
        <v>510</v>
      </c>
      <c r="E38" s="4" t="n">
        <v>26</v>
      </c>
      <c r="F38" s="16" t="n">
        <v>6046920</v>
      </c>
      <c r="G38" s="16" t="n">
        <v>778046</v>
      </c>
      <c r="H38" s="16" t="n">
        <v>1227</v>
      </c>
      <c r="I38" s="39" t="n">
        <v>0</v>
      </c>
      <c r="J38" s="4"/>
      <c r="K38" s="4"/>
      <c r="L38" s="4"/>
      <c r="M38" s="23" t="n">
        <v>0</v>
      </c>
    </row>
    <row r="39" customFormat="false" ht="16.5" hidden="false" customHeight="true" outlineLevel="0" collapsed="false">
      <c r="A39" s="4" t="s">
        <v>531</v>
      </c>
      <c r="B39" s="5" t="s">
        <v>169</v>
      </c>
      <c r="C39" s="4" t="s">
        <v>138</v>
      </c>
      <c r="D39" s="4" t="s">
        <v>492</v>
      </c>
      <c r="E39" s="4" t="n">
        <v>181</v>
      </c>
      <c r="F39" s="16" t="n">
        <v>4191108</v>
      </c>
      <c r="G39" s="16" t="n">
        <v>2493275</v>
      </c>
      <c r="H39" s="16" t="n">
        <v>538</v>
      </c>
      <c r="I39" s="41" t="n">
        <v>-0.044</v>
      </c>
      <c r="J39" s="4" t="n">
        <v>6</v>
      </c>
      <c r="K39" s="4" t="n">
        <v>5</v>
      </c>
      <c r="L39" s="4"/>
      <c r="M39" s="23" t="n">
        <v>0</v>
      </c>
    </row>
    <row r="40" customFormat="false" ht="16.5" hidden="false" customHeight="true" outlineLevel="0" collapsed="false">
      <c r="A40" s="4" t="s">
        <v>532</v>
      </c>
      <c r="B40" s="5" t="s">
        <v>163</v>
      </c>
      <c r="C40" s="4" t="s">
        <v>121</v>
      </c>
      <c r="D40" s="4" t="s">
        <v>494</v>
      </c>
      <c r="E40" s="4" t="n">
        <v>181</v>
      </c>
      <c r="F40" s="16" t="n">
        <v>5545862</v>
      </c>
      <c r="G40" s="16" t="n">
        <v>657563</v>
      </c>
      <c r="H40" s="16" t="n">
        <v>537</v>
      </c>
      <c r="I40" s="38" t="n">
        <v>-0.126</v>
      </c>
      <c r="J40" s="4" t="n">
        <v>8</v>
      </c>
      <c r="K40" s="4" t="n">
        <v>9</v>
      </c>
      <c r="L40" s="4"/>
      <c r="M40" s="23" t="n">
        <v>0.002</v>
      </c>
    </row>
    <row r="41" customFormat="false" ht="16.5" hidden="false" customHeight="true" outlineLevel="0" collapsed="false">
      <c r="A41" s="4" t="s">
        <v>533</v>
      </c>
      <c r="B41" s="5" t="s">
        <v>162</v>
      </c>
      <c r="C41" s="4" t="s">
        <v>138</v>
      </c>
      <c r="D41" s="4" t="s">
        <v>510</v>
      </c>
      <c r="E41" s="4" t="n">
        <v>68</v>
      </c>
      <c r="F41" s="16" t="n">
        <v>5647921</v>
      </c>
      <c r="G41" s="16" t="n">
        <v>335046</v>
      </c>
      <c r="H41" s="16" t="n">
        <v>800</v>
      </c>
      <c r="I41" s="39" t="n">
        <v>0</v>
      </c>
      <c r="J41" s="4" t="n">
        <v>7</v>
      </c>
      <c r="K41" s="4" t="n">
        <v>8</v>
      </c>
      <c r="L41" s="4"/>
      <c r="M41" s="23" t="n">
        <v>0</v>
      </c>
    </row>
    <row r="42" customFormat="false" ht="16.5" hidden="false" customHeight="true" outlineLevel="0" collapsed="false">
      <c r="A42" s="4" t="s">
        <v>534</v>
      </c>
      <c r="B42" s="5" t="s">
        <v>174</v>
      </c>
      <c r="C42" s="4" t="s">
        <v>175</v>
      </c>
      <c r="D42" s="4" t="s">
        <v>510</v>
      </c>
      <c r="E42" s="4" t="n">
        <v>181</v>
      </c>
      <c r="F42" s="16" t="n">
        <v>3599745</v>
      </c>
      <c r="G42" s="16" t="n">
        <v>2324712</v>
      </c>
      <c r="H42" s="16" t="n">
        <v>441</v>
      </c>
      <c r="I42" s="41" t="n">
        <v>-0.029</v>
      </c>
      <c r="J42" s="4" t="n">
        <v>6</v>
      </c>
      <c r="K42" s="4" t="n">
        <v>8</v>
      </c>
      <c r="L42" s="4"/>
      <c r="M42" s="23" t="n">
        <v>0.002</v>
      </c>
    </row>
    <row r="43" customFormat="false" ht="16.5" hidden="false" customHeight="true" outlineLevel="0" collapsed="false">
      <c r="A43" s="4" t="s">
        <v>535</v>
      </c>
      <c r="B43" s="5" t="s">
        <v>160</v>
      </c>
      <c r="C43" s="4" t="s">
        <v>121</v>
      </c>
      <c r="D43" s="4" t="s">
        <v>492</v>
      </c>
      <c r="E43" s="4" t="n">
        <v>181</v>
      </c>
      <c r="F43" s="16" t="n">
        <v>5899223</v>
      </c>
      <c r="G43" s="16" t="n">
        <v>0</v>
      </c>
      <c r="H43" s="16" t="n">
        <v>807</v>
      </c>
      <c r="I43" s="38" t="n">
        <v>-0.121</v>
      </c>
      <c r="J43" s="4" t="n">
        <v>7</v>
      </c>
      <c r="K43" s="4" t="n">
        <v>4</v>
      </c>
      <c r="L43" s="4"/>
      <c r="M43" s="23" t="n">
        <v>0</v>
      </c>
    </row>
    <row r="44" customFormat="false" ht="16.5" hidden="false" customHeight="true" outlineLevel="0" collapsed="false">
      <c r="A44" s="4" t="s">
        <v>536</v>
      </c>
      <c r="B44" s="5" t="s">
        <v>164</v>
      </c>
      <c r="C44" s="4" t="s">
        <v>124</v>
      </c>
      <c r="D44" s="4" t="s">
        <v>513</v>
      </c>
      <c r="E44" s="4" t="n">
        <v>181</v>
      </c>
      <c r="F44" s="16" t="n">
        <v>5284855</v>
      </c>
      <c r="G44" s="16" t="n">
        <v>440882</v>
      </c>
      <c r="H44" s="16" t="n">
        <v>685</v>
      </c>
      <c r="I44" s="40" t="n">
        <v>0.082</v>
      </c>
      <c r="J44" s="4" t="n">
        <v>5</v>
      </c>
      <c r="K44" s="4" t="n">
        <v>6</v>
      </c>
      <c r="L44" s="4"/>
      <c r="M44" s="23" t="n">
        <v>0.007</v>
      </c>
    </row>
    <row r="45" customFormat="false" ht="16.5" hidden="false" customHeight="true" outlineLevel="0" collapsed="false">
      <c r="A45" s="4" t="s">
        <v>537</v>
      </c>
      <c r="B45" s="5" t="s">
        <v>165</v>
      </c>
      <c r="C45" s="4" t="s">
        <v>166</v>
      </c>
      <c r="D45" s="4" t="s">
        <v>492</v>
      </c>
      <c r="E45" s="4" t="n">
        <v>181</v>
      </c>
      <c r="F45" s="16" t="n">
        <v>5197774</v>
      </c>
      <c r="G45" s="16" t="n">
        <v>367295</v>
      </c>
      <c r="H45" s="16" t="n">
        <v>591</v>
      </c>
      <c r="I45" s="40" t="n">
        <v>0.327</v>
      </c>
      <c r="J45" s="4" t="n">
        <v>6</v>
      </c>
      <c r="K45" s="4" t="n">
        <v>6</v>
      </c>
      <c r="L45" s="4"/>
      <c r="M45" s="23" t="n">
        <v>0.003</v>
      </c>
    </row>
    <row r="46" customFormat="false" ht="16.5" hidden="false" customHeight="true" outlineLevel="0" collapsed="false">
      <c r="A46" s="4" t="s">
        <v>538</v>
      </c>
      <c r="B46" s="5" t="s">
        <v>170</v>
      </c>
      <c r="C46" s="4" t="s">
        <v>121</v>
      </c>
      <c r="D46" s="4" t="s">
        <v>492</v>
      </c>
      <c r="E46" s="4" t="n">
        <v>181</v>
      </c>
      <c r="F46" s="16" t="n">
        <v>4156161</v>
      </c>
      <c r="G46" s="16" t="n">
        <v>1282162</v>
      </c>
      <c r="H46" s="16" t="n">
        <v>586</v>
      </c>
      <c r="I46" s="38" t="n">
        <v>-0.123</v>
      </c>
      <c r="J46" s="4" t="n">
        <v>5</v>
      </c>
      <c r="K46" s="4" t="n">
        <v>6</v>
      </c>
      <c r="L46" s="4"/>
      <c r="M46" s="23" t="n">
        <v>0</v>
      </c>
    </row>
    <row r="47" customFormat="false" ht="16.5" hidden="false" customHeight="true" outlineLevel="0" collapsed="false">
      <c r="A47" s="4" t="s">
        <v>539</v>
      </c>
      <c r="B47" s="5" t="s">
        <v>167</v>
      </c>
      <c r="C47" s="4" t="s">
        <v>138</v>
      </c>
      <c r="D47" s="4" t="s">
        <v>540</v>
      </c>
      <c r="E47" s="4" t="n">
        <v>181</v>
      </c>
      <c r="F47" s="16" t="n">
        <v>4362115</v>
      </c>
      <c r="G47" s="16" t="n">
        <v>983614</v>
      </c>
      <c r="H47" s="16" t="n">
        <v>650</v>
      </c>
      <c r="I47" s="41" t="n">
        <v>-0.009</v>
      </c>
      <c r="J47" s="4" t="n">
        <v>8</v>
      </c>
      <c r="K47" s="4" t="n">
        <v>8</v>
      </c>
      <c r="L47" s="4"/>
      <c r="M47" s="23" t="n">
        <v>0.007</v>
      </c>
    </row>
    <row r="48" customFormat="false" ht="16.5" hidden="false" customHeight="true" outlineLevel="0" collapsed="false">
      <c r="A48" s="4" t="s">
        <v>541</v>
      </c>
      <c r="B48" s="5" t="s">
        <v>168</v>
      </c>
      <c r="C48" s="4" t="s">
        <v>150</v>
      </c>
      <c r="D48" s="4" t="s">
        <v>510</v>
      </c>
      <c r="E48" s="4" t="n">
        <v>181</v>
      </c>
      <c r="F48" s="16" t="n">
        <v>4341977</v>
      </c>
      <c r="G48" s="16" t="n">
        <v>0</v>
      </c>
      <c r="H48" s="16" t="n">
        <v>469</v>
      </c>
      <c r="I48" s="40" t="n">
        <v>0.064</v>
      </c>
      <c r="J48" s="4" t="n">
        <v>7</v>
      </c>
      <c r="K48" s="4" t="n">
        <v>9</v>
      </c>
      <c r="L48" s="4"/>
      <c r="M48" s="23" t="n">
        <v>0</v>
      </c>
    </row>
    <row r="49" customFormat="false" ht="16.5" hidden="false" customHeight="true" outlineLevel="0" collapsed="false">
      <c r="A49" s="4" t="s">
        <v>542</v>
      </c>
      <c r="B49" s="5" t="s">
        <v>176</v>
      </c>
      <c r="C49" s="4" t="s">
        <v>150</v>
      </c>
      <c r="D49" s="4" t="s">
        <v>513</v>
      </c>
      <c r="E49" s="4" t="n">
        <v>181</v>
      </c>
      <c r="F49" s="16" t="n">
        <v>3433425</v>
      </c>
      <c r="G49" s="16" t="n">
        <v>864810</v>
      </c>
      <c r="H49" s="16" t="n">
        <v>402</v>
      </c>
      <c r="I49" s="40" t="n">
        <v>0.256</v>
      </c>
      <c r="J49" s="4" t="n">
        <v>5</v>
      </c>
      <c r="K49" s="4" t="n">
        <v>9</v>
      </c>
      <c r="L49" s="4"/>
      <c r="M49" s="23" t="n">
        <v>0</v>
      </c>
    </row>
    <row r="50" customFormat="false" ht="16.5" hidden="false" customHeight="true" outlineLevel="0" collapsed="false">
      <c r="A50" s="4" t="s">
        <v>543</v>
      </c>
      <c r="B50" s="5" t="s">
        <v>171</v>
      </c>
      <c r="C50" s="4" t="s">
        <v>121</v>
      </c>
      <c r="D50" s="4" t="s">
        <v>492</v>
      </c>
      <c r="E50" s="4" t="n">
        <v>181</v>
      </c>
      <c r="F50" s="16" t="n">
        <v>3857645</v>
      </c>
      <c r="G50" s="16" t="n">
        <v>0</v>
      </c>
      <c r="H50" s="16" t="n">
        <v>456</v>
      </c>
      <c r="I50" s="38" t="n">
        <v>-0.249</v>
      </c>
      <c r="J50" s="4" t="n">
        <v>5</v>
      </c>
      <c r="K50" s="4" t="n">
        <v>6</v>
      </c>
      <c r="L50" s="4" t="n">
        <v>6</v>
      </c>
      <c r="M50" s="23" t="n">
        <v>0</v>
      </c>
    </row>
    <row r="51" customFormat="false" ht="16.5" hidden="false" customHeight="true" outlineLevel="0" collapsed="false">
      <c r="A51" s="4" t="s">
        <v>544</v>
      </c>
      <c r="B51" s="5" t="s">
        <v>173</v>
      </c>
      <c r="C51" s="4" t="s">
        <v>121</v>
      </c>
      <c r="D51" s="4" t="s">
        <v>492</v>
      </c>
      <c r="E51" s="4" t="n">
        <v>56</v>
      </c>
      <c r="F51" s="16" t="n">
        <v>3708152</v>
      </c>
      <c r="G51" s="16" t="n">
        <v>0</v>
      </c>
      <c r="H51" s="16" t="n">
        <v>451</v>
      </c>
      <c r="I51" s="39" t="n">
        <v>0</v>
      </c>
      <c r="J51" s="4"/>
      <c r="K51" s="4"/>
      <c r="L51" s="4"/>
      <c r="M51" s="23" t="n">
        <v>0</v>
      </c>
    </row>
    <row r="52" customFormat="false" ht="16.5" hidden="false" customHeight="true" outlineLevel="0" collapsed="false">
      <c r="A52" s="4" t="s">
        <v>545</v>
      </c>
      <c r="B52" s="5" t="s">
        <v>177</v>
      </c>
      <c r="C52" s="4" t="s">
        <v>124</v>
      </c>
      <c r="D52" s="4" t="s">
        <v>513</v>
      </c>
      <c r="E52" s="4" t="n">
        <v>181</v>
      </c>
      <c r="F52" s="16" t="n">
        <v>3315559</v>
      </c>
      <c r="G52" s="16" t="n">
        <v>57339</v>
      </c>
      <c r="H52" s="16" t="n">
        <v>455</v>
      </c>
      <c r="I52" s="40" t="n">
        <v>0.137</v>
      </c>
      <c r="J52" s="4" t="n">
        <v>5</v>
      </c>
      <c r="K52" s="4" t="n">
        <v>4</v>
      </c>
      <c r="L52" s="4"/>
      <c r="M52" s="23" t="n">
        <v>0.008</v>
      </c>
    </row>
    <row r="53" customFormat="false" ht="16.5" hidden="false" customHeight="true" outlineLevel="0" collapsed="false">
      <c r="A53" s="4" t="s">
        <v>546</v>
      </c>
      <c r="B53" s="5" t="s">
        <v>180</v>
      </c>
      <c r="C53" s="4" t="s">
        <v>128</v>
      </c>
      <c r="D53" s="4" t="s">
        <v>492</v>
      </c>
      <c r="E53" s="4" t="n">
        <v>181</v>
      </c>
      <c r="F53" s="16" t="n">
        <v>2286567</v>
      </c>
      <c r="G53" s="16" t="n">
        <v>943048</v>
      </c>
      <c r="H53" s="16" t="n">
        <v>333</v>
      </c>
      <c r="I53" s="41" t="n">
        <v>0.045</v>
      </c>
      <c r="J53" s="4" t="n">
        <v>6</v>
      </c>
      <c r="K53" s="4" t="n">
        <v>4</v>
      </c>
      <c r="L53" s="4"/>
      <c r="M53" s="23" t="n">
        <v>0.015</v>
      </c>
    </row>
    <row r="54" customFormat="false" ht="16.5" hidden="false" customHeight="true" outlineLevel="0" collapsed="false">
      <c r="A54" s="4" t="s">
        <v>547</v>
      </c>
      <c r="B54" s="5" t="s">
        <v>178</v>
      </c>
      <c r="C54" s="4" t="s">
        <v>179</v>
      </c>
      <c r="D54" s="4" t="s">
        <v>510</v>
      </c>
      <c r="E54" s="4" t="n">
        <v>181</v>
      </c>
      <c r="F54" s="16" t="n">
        <v>2663618</v>
      </c>
      <c r="G54" s="16" t="n">
        <v>222209</v>
      </c>
      <c r="H54" s="16" t="n">
        <v>327</v>
      </c>
      <c r="I54" s="41" t="n">
        <v>-0.028</v>
      </c>
      <c r="J54" s="4" t="n">
        <v>6</v>
      </c>
      <c r="K54" s="4" t="n">
        <v>6</v>
      </c>
      <c r="L54" s="4"/>
      <c r="M54" s="23" t="n">
        <v>0</v>
      </c>
    </row>
    <row r="55" customFormat="false" ht="16.5" hidden="false" customHeight="true" outlineLevel="0" collapsed="false">
      <c r="A55" s="4" t="s">
        <v>548</v>
      </c>
      <c r="B55" s="5" t="s">
        <v>181</v>
      </c>
      <c r="C55" s="4" t="s">
        <v>138</v>
      </c>
      <c r="D55" s="4" t="s">
        <v>513</v>
      </c>
      <c r="E55" s="4" t="n">
        <v>181</v>
      </c>
      <c r="F55" s="16" t="n">
        <v>2086987</v>
      </c>
      <c r="G55" s="16" t="n">
        <v>458119</v>
      </c>
      <c r="H55" s="16" t="n">
        <v>281</v>
      </c>
      <c r="I55" s="40" t="n">
        <v>0.188</v>
      </c>
      <c r="J55" s="4" t="n">
        <v>4</v>
      </c>
      <c r="K55" s="4" t="n">
        <v>6</v>
      </c>
      <c r="L55" s="4"/>
      <c r="M55" s="23" t="n">
        <v>0.005</v>
      </c>
    </row>
    <row r="56" customFormat="false" ht="16.5" hidden="false" customHeight="true" outlineLevel="0" collapsed="false">
      <c r="A56" s="4" t="s">
        <v>549</v>
      </c>
      <c r="B56" s="5" t="s">
        <v>182</v>
      </c>
      <c r="C56" s="4" t="s">
        <v>138</v>
      </c>
      <c r="D56" s="4" t="s">
        <v>492</v>
      </c>
      <c r="E56" s="4" t="n">
        <v>181</v>
      </c>
      <c r="F56" s="16" t="n">
        <v>1960098</v>
      </c>
      <c r="G56" s="16" t="n">
        <v>471201</v>
      </c>
      <c r="H56" s="16" t="n">
        <v>408</v>
      </c>
      <c r="I56" s="40" t="n">
        <v>0.06</v>
      </c>
      <c r="J56" s="4" t="n">
        <v>4</v>
      </c>
      <c r="K56" s="4" t="n">
        <v>7</v>
      </c>
      <c r="L56" s="4"/>
      <c r="M56" s="23" t="n">
        <v>0</v>
      </c>
    </row>
    <row r="57" customFormat="false" ht="16.5" hidden="false" customHeight="true" outlineLevel="0" collapsed="false">
      <c r="A57" s="4" t="s">
        <v>550</v>
      </c>
      <c r="B57" s="5" t="s">
        <v>183</v>
      </c>
      <c r="C57" s="4" t="s">
        <v>184</v>
      </c>
      <c r="D57" s="4" t="s">
        <v>510</v>
      </c>
      <c r="E57" s="4" t="n">
        <v>39</v>
      </c>
      <c r="F57" s="16" t="n">
        <v>1451309</v>
      </c>
      <c r="G57" s="16" t="n">
        <v>480553</v>
      </c>
      <c r="H57" s="16" t="n">
        <v>196</v>
      </c>
      <c r="I57" s="39" t="n">
        <v>0</v>
      </c>
      <c r="J57" s="4"/>
      <c r="K57" s="4"/>
      <c r="L57" s="4"/>
      <c r="M57" s="23" t="n">
        <v>0</v>
      </c>
    </row>
    <row r="58" customFormat="false" ht="16.5" hidden="false" customHeight="true" outlineLevel="0" collapsed="false">
      <c r="A58" s="4" t="s">
        <v>551</v>
      </c>
      <c r="B58" s="5" t="s">
        <v>185</v>
      </c>
      <c r="C58" s="4" t="s">
        <v>186</v>
      </c>
      <c r="D58" s="4" t="s">
        <v>510</v>
      </c>
      <c r="E58" s="4" t="n">
        <v>6</v>
      </c>
      <c r="F58" s="16" t="n">
        <v>1099275</v>
      </c>
      <c r="G58" s="16" t="n">
        <v>220383</v>
      </c>
      <c r="H58" s="16" t="n">
        <v>154</v>
      </c>
      <c r="I58" s="39" t="n">
        <v>0</v>
      </c>
      <c r="J58" s="4" t="n">
        <v>5</v>
      </c>
      <c r="K58" s="4" t="n">
        <v>6</v>
      </c>
      <c r="L58" s="4"/>
      <c r="M58" s="23" t="n">
        <v>0</v>
      </c>
    </row>
    <row r="59" customFormat="false" ht="15" hidden="false" customHeight="false" outlineLevel="0" collapsed="false">
      <c r="A59" s="19"/>
      <c r="B59" s="19" t="s">
        <v>187</v>
      </c>
      <c r="C59" s="19"/>
      <c r="D59" s="19"/>
      <c r="E59" s="19"/>
      <c r="F59" s="20" t="n">
        <f aca="false">SUM(F4:F58)</f>
        <v>478886741</v>
      </c>
      <c r="G59" s="20" t="n">
        <f aca="false">SUM(G4:G58)</f>
        <v>109395328</v>
      </c>
      <c r="H59" s="20" t="n">
        <f aca="false">SUM(H4:H58)</f>
        <v>61573</v>
      </c>
      <c r="I59" s="19"/>
      <c r="J59" s="20" t="n">
        <f aca="false">SUM(J4:J58)</f>
        <v>482</v>
      </c>
      <c r="K59" s="20" t="n">
        <f aca="false">SUM(K4:K58)</f>
        <v>399</v>
      </c>
      <c r="L59" s="20" t="n">
        <f aca="false">SUM(L4:L58)</f>
        <v>103</v>
      </c>
      <c r="M59" s="19"/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2026-08-05T10:07:10Z</dcterms:created>
  <dc:creator>openpyxl</dc:creator>
  <dc:description/>
  <dc:language>en-US</dc:language>
  <cp:lastModifiedBy/>
  <dcterms:modified xsi:type="dcterms:W3CDTF">2026-08-05T10:07:11Z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