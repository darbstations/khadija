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قائمة الدخل" sheetId="2" state="visible" r:id="rId2"/>
    <sheet xmlns:r="http://schemas.openxmlformats.org/officeDocument/2006/relationships" name="الأداء الشهري" sheetId="3" state="visible" r:id="rId3"/>
    <sheet xmlns:r="http://schemas.openxmlformats.org/officeDocument/2006/relationships" name="نماذج العمل" sheetId="4" state="visible" r:id="rId4"/>
    <sheet xmlns:r="http://schemas.openxmlformats.org/officeDocument/2006/relationships" name="المحطات" sheetId="5" state="visible" r:id="rId5"/>
    <sheet xmlns:r="http://schemas.openxmlformats.org/officeDocument/2006/relationships" name="الشبكة" sheetId="6" state="visible" r:id="rId6"/>
    <sheet xmlns:r="http://schemas.openxmlformats.org/officeDocument/2006/relationships" name="التصحيحات والثغرا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"/>
    <numFmt numFmtId="165" formatCode="0.0%"/>
    <numFmt numFmtId="166" formatCode="+0.00;-0.00"/>
    <numFmt numFmtId="167" formatCode="+#,##0;-#,##0"/>
  </numFmts>
  <fonts count="8">
    <font>
      <name val="Calibri"/>
      <family val="2"/>
      <color theme="1"/>
      <sz val="11"/>
      <scheme val="minor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5831F"/>
      <sz val="12"/>
    </font>
    <font>
      <name val="DIN Next Arabic"/>
      <b val="1"/>
      <color rgb="00FFFFFF"/>
      <sz val="10"/>
    </font>
    <font>
      <name val="DIN Next Arabic"/>
      <color rgb="003D3D3D"/>
      <sz val="10"/>
    </font>
    <font>
      <name val="DIN Next Arabic"/>
      <b val="1"/>
      <color rgb="003D3D3D"/>
      <sz val="10"/>
    </font>
    <font>
      <name val="DIN Next Arabic"/>
      <color rgb="009B968E"/>
      <sz val="9"/>
    </font>
  </fonts>
  <fills count="9">
    <fill>
      <patternFill/>
    </fill>
    <fill>
      <patternFill patternType="gray125"/>
    </fill>
    <fill>
      <patternFill patternType="solid">
        <fgColor rgb="00FBEEE0"/>
      </patternFill>
    </fill>
    <fill>
      <patternFill patternType="solid">
        <fgColor rgb="0055565A"/>
      </patternFill>
    </fill>
    <fill>
      <patternFill patternType="solid">
        <fgColor rgb="00D6E9E1"/>
      </patternFill>
    </fill>
    <fill>
      <patternFill patternType="solid">
        <fgColor rgb="00F2DAD4"/>
      </patternFill>
    </fill>
    <fill>
      <patternFill patternType="solid">
        <fgColor rgb="00EDE7DE"/>
      </patternFill>
    </fill>
    <fill>
      <patternFill patternType="solid">
        <fgColor rgb="00F5F2ED"/>
      </patternFill>
    </fill>
    <fill>
      <patternFill patternType="solid">
        <fgColor rgb="00FCE7C8"/>
      </patternFill>
    </fill>
  </fills>
  <borders count="2">
    <border>
      <left/>
      <right/>
      <top/>
      <bottom/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164" fontId="6" fillId="0" borderId="1" applyAlignment="1" pivotButton="0" quotePrefix="0" xfId="0">
      <alignment horizontal="center" vertical="center" wrapText="1" readingOrder="2"/>
    </xf>
    <xf numFmtId="164" fontId="5" fillId="0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wrapText="1" readingOrder="2"/>
    </xf>
    <xf numFmtId="4" fontId="6" fillId="0" borderId="1" applyAlignment="1" pivotButton="0" quotePrefix="0" xfId="0">
      <alignment horizontal="center" vertical="center" wrapText="1" readingOrder="2"/>
    </xf>
    <xf numFmtId="4" fontId="5" fillId="0" borderId="1" applyAlignment="1" pivotButton="0" quotePrefix="0" xfId="0">
      <alignment horizontal="center" vertical="center" wrapText="1" readingOrder="2"/>
    </xf>
    <xf numFmtId="164" fontId="6" fillId="4" borderId="1" applyAlignment="1" pivotButton="0" quotePrefix="0" xfId="0">
      <alignment horizontal="center" vertical="center" wrapText="1" readingOrder="2"/>
    </xf>
    <xf numFmtId="164" fontId="6" fillId="5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right" vertical="center" readingOrder="2"/>
    </xf>
    <xf numFmtId="164" fontId="6" fillId="6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165" fontId="5" fillId="0" borderId="1" applyAlignment="1" pivotButton="0" quotePrefix="0" xfId="0">
      <alignment horizontal="center" vertical="center" wrapText="1" readingOrder="2"/>
    </xf>
    <xf numFmtId="0" fontId="5" fillId="7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right" vertical="center" readingOrder="2"/>
    </xf>
    <xf numFmtId="164" fontId="6" fillId="7" borderId="1" applyAlignment="1" pivotButton="0" quotePrefix="0" xfId="0">
      <alignment horizontal="center" vertical="center" wrapText="1" readingOrder="2"/>
    </xf>
    <xf numFmtId="164" fontId="5" fillId="7" borderId="1" applyAlignment="1" pivotButton="0" quotePrefix="0" xfId="0">
      <alignment horizontal="center" vertical="center" wrapText="1" readingOrder="2"/>
    </xf>
    <xf numFmtId="165" fontId="5" fillId="7" borderId="1" applyAlignment="1" pivotButton="0" quotePrefix="0" xfId="0">
      <alignment horizontal="center" vertical="center" wrapText="1" readingOrder="2"/>
    </xf>
    <xf numFmtId="164" fontId="5" fillId="6" borderId="1" applyAlignment="1" pivotButton="0" quotePrefix="0" xfId="0">
      <alignment horizontal="center" vertical="center" wrapText="1" readingOrder="2"/>
    </xf>
    <xf numFmtId="165" fontId="5" fillId="6" borderId="1" applyAlignment="1" pivotButton="0" quotePrefix="0" xfId="0">
      <alignment horizontal="center" vertical="center" wrapText="1" readingOrder="2"/>
    </xf>
    <xf numFmtId="0" fontId="7" fillId="0" borderId="0" applyAlignment="1" pivotButton="0" quotePrefix="0" xfId="0">
      <alignment horizontal="right" vertical="center" readingOrder="2"/>
    </xf>
    <xf numFmtId="4" fontId="6" fillId="7" borderId="1" applyAlignment="1" pivotButton="0" quotePrefix="0" xfId="0">
      <alignment horizontal="center" vertical="center" wrapText="1" readingOrder="2"/>
    </xf>
    <xf numFmtId="166" fontId="5" fillId="0" borderId="1" applyAlignment="1" pivotButton="0" quotePrefix="0" xfId="0">
      <alignment horizontal="center" vertical="center" wrapText="1" readingOrder="2"/>
    </xf>
    <xf numFmtId="166" fontId="6" fillId="7" borderId="1" applyAlignment="1" pivotButton="0" quotePrefix="0" xfId="0">
      <alignment horizontal="center" vertical="center" wrapText="1" readingOrder="2"/>
    </xf>
    <xf numFmtId="166" fontId="6" fillId="6" borderId="1" applyAlignment="1" pivotButton="0" quotePrefix="0" xfId="0">
      <alignment horizontal="center" vertical="center" wrapText="1" readingOrder="2"/>
    </xf>
    <xf numFmtId="10" fontId="5" fillId="7" borderId="1" applyAlignment="1" pivotButton="0" quotePrefix="0" xfId="0">
      <alignment horizontal="center" vertical="center" wrapText="1" readingOrder="2"/>
    </xf>
    <xf numFmtId="10" fontId="6" fillId="0" borderId="1" applyAlignment="1" pivotButton="0" quotePrefix="0" xfId="0">
      <alignment horizontal="center" vertical="center" wrapText="1" readingOrder="2"/>
    </xf>
    <xf numFmtId="10" fontId="6" fillId="6" borderId="1" applyAlignment="1" pivotButton="0" quotePrefix="0" xfId="0">
      <alignment horizontal="center" vertical="center" wrapText="1" readingOrder="2"/>
    </xf>
    <xf numFmtId="3" fontId="5" fillId="0" borderId="1" applyAlignment="1" pivotButton="0" quotePrefix="0" xfId="0">
      <alignment horizontal="center" vertical="center" wrapText="1" readingOrder="2"/>
    </xf>
    <xf numFmtId="3" fontId="6" fillId="4" borderId="1" applyAlignment="1" pivotButton="0" quotePrefix="0" xfId="0">
      <alignment horizontal="center" vertical="center" wrapText="1" readingOrder="2"/>
    </xf>
    <xf numFmtId="3" fontId="5" fillId="7" borderId="1" applyAlignment="1" pivotButton="0" quotePrefix="0" xfId="0">
      <alignment horizontal="center" vertical="center" wrapText="1" readingOrder="2"/>
    </xf>
    <xf numFmtId="3" fontId="5" fillId="8" borderId="1" applyAlignment="1" pivotButton="0" quotePrefix="0" xfId="0">
      <alignment horizontal="center" vertical="center" wrapText="1" readingOrder="2"/>
    </xf>
    <xf numFmtId="3" fontId="6" fillId="6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right" vertical="center" readingOrder="2"/>
    </xf>
    <xf numFmtId="167" fontId="6" fillId="5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right" vertical="center" readingOrder="2"/>
    </xf>
    <xf numFmtId="167" fontId="6" fillId="4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right" vertical="top" wrapText="1" readingOrder="2"/>
    </xf>
    <xf numFmtId="0" fontId="6" fillId="8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dxfs count="4">
    <dxf>
      <fill>
        <patternFill patternType="solid">
          <fgColor rgb="00F2DAD4"/>
        </patternFill>
      </fill>
    </dxf>
    <dxf>
      <font>
        <name val="DIN Next Arabic"/>
        <color rgb="00C0503A"/>
        <sz val="10"/>
      </font>
    </dxf>
    <dxf>
      <font>
        <name val="DIN Next Arabic"/>
        <b val="1"/>
        <color rgb="00C0503A"/>
        <sz val="10"/>
      </font>
      <fill>
        <patternFill patternType="solid">
          <fgColor rgb="00F2DAD4"/>
        </patternFill>
      </fill>
    </dxf>
    <dxf>
      <font>
        <name val="DIN Next Arabic"/>
        <b val="1"/>
        <color rgb="00C0503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صافي الدخل شهرياً — ألف ريال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C050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'الملخص'!$B$13:$B$19</f>
            </numRef>
          </cat>
          <val>
            <numRef>
              <f>'الملخص'!$C$13:$C$19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الإيراد الشهري — ألف ريال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'الأداء الشهري'!$C$4:$F$4</f>
            </numRef>
          </cat>
          <val>
            <numRef>
              <f>'الأداء الشهري'!$C$5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'الأداء الشهري'!$C$4:$F$4</f>
            </numRef>
          </cat>
          <val>
            <numRef>
              <f>'الأداء الشهري'!$D$5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'الأداء الشهري'!$C$4:$F$4</f>
            </numRef>
          </cat>
          <val>
            <numRef>
              <f>'الأداء الشهري'!$E$5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'الأداء الشهري'!$C$4:$F$4</f>
            </numRef>
          </cat>
          <val>
            <numRef>
              <f>'الأداء الشهري'!$F$5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4" customWidth="1" min="6" max="6"/>
    <col width="40" customWidth="1" min="7" max="7"/>
  </cols>
  <sheetData>
    <row r="1" ht="26" customHeight="1">
      <c r="A1" s="1" t="inlineStr">
        <is>
          <t>تقرير الأداء — يوليو ٢٠٢٦</t>
        </is>
      </c>
    </row>
    <row r="2" ht="16" customHeight="1">
      <c r="A2" s="2" t="inlineStr">
        <is>
          <t>شركة درب للمحطات · يناير–يوليو ٢٠٢٦ · بآلاف الريالات · النسخة المصححة من مصدر ٢٤٠ صفحة</t>
        </is>
      </c>
    </row>
    <row r="3" ht="22" customHeight="1">
      <c r="A3" s="3" t="inlineStr">
        <is>
          <t>① المؤشرات الرئيسية — تراكمي سبعة أشهر</t>
        </is>
      </c>
    </row>
    <row r="4" ht="30" customHeight="1">
      <c r="A4" s="4" t="inlineStr">
        <is>
          <t>#</t>
        </is>
      </c>
      <c r="B4" s="4" t="inlineStr">
        <is>
          <t>المؤشر</t>
        </is>
      </c>
      <c r="C4" s="4" t="inlineStr">
        <is>
          <t>الفعلي</t>
        </is>
      </c>
      <c r="D4" s="4" t="inlineStr">
        <is>
          <t>الموازنة</t>
        </is>
      </c>
      <c r="E4" s="4" t="inlineStr">
        <is>
          <t>العام الماضي</t>
        </is>
      </c>
      <c r="F4" s="4" t="inlineStr"/>
      <c r="G4" s="4" t="inlineStr">
        <is>
          <t>القراءة</t>
        </is>
      </c>
    </row>
    <row r="5" ht="20" customHeight="1">
      <c r="A5" s="5" t="n">
        <v>1</v>
      </c>
      <c r="B5" s="6" t="inlineStr">
        <is>
          <t>الإيرادات التراكمية</t>
        </is>
      </c>
      <c r="C5" s="7" t="n">
        <v>1173578</v>
      </c>
      <c r="D5" s="8" t="n">
        <v>1219570</v>
      </c>
      <c r="E5" s="8" t="n">
        <v>411451</v>
      </c>
      <c r="F5" s="5" t="inlineStr"/>
      <c r="G5" s="9" t="inlineStr">
        <is>
          <t>+١٨٥٪ سنوياً · و−٣٫٨٪ عن الموازنة</t>
        </is>
      </c>
    </row>
    <row r="6" ht="20" customHeight="1">
      <c r="A6" s="5" t="n">
        <v>2</v>
      </c>
      <c r="B6" s="6" t="inlineStr">
        <is>
          <t>مجمل الربح</t>
        </is>
      </c>
      <c r="C6" s="7" t="n">
        <v>11563</v>
      </c>
      <c r="D6" s="8" t="n">
        <v>16976</v>
      </c>
      <c r="E6" s="8" t="n">
        <v>8683</v>
      </c>
      <c r="F6" s="5" t="inlineStr"/>
      <c r="G6" s="9" t="inlineStr">
        <is>
          <t>+٣٣٪ سنوياً · و−٣١٫٩٪ عن الموازنة</t>
        </is>
      </c>
    </row>
    <row r="7" ht="20" customHeight="1">
      <c r="A7" s="5" t="n">
        <v>3</v>
      </c>
      <c r="B7" s="6" t="inlineStr">
        <is>
          <t>صافي الدخل</t>
        </is>
      </c>
      <c r="C7" s="7" t="n">
        <v>-5535</v>
      </c>
      <c r="D7" s="8" t="n">
        <v>4285</v>
      </c>
      <c r="E7" s="8" t="n">
        <v>-3941</v>
      </c>
      <c r="F7" s="5" t="inlineStr"/>
      <c r="G7" s="9" t="inlineStr">
        <is>
          <t>الفارق عن الموازنة ٩٬٨٢٠ ألف ريال</t>
        </is>
      </c>
    </row>
    <row r="8" ht="20" customHeight="1">
      <c r="A8" s="5" t="n">
        <v>4</v>
      </c>
      <c r="B8" s="6" t="inlineStr">
        <is>
          <t>الكميات (مليون لتر)</t>
        </is>
      </c>
      <c r="C8" s="10" t="n">
        <v>661.4</v>
      </c>
      <c r="D8" s="11" t="n">
        <v>693.3</v>
      </c>
      <c r="E8" s="11" t="n">
        <v>220.5</v>
      </c>
      <c r="F8" s="5" t="inlineStr"/>
      <c r="G8" s="9" t="inlineStr">
        <is>
          <t>×٣٫٠ عن العام الماضي · −٤٫٦٪ عن الموازنة</t>
        </is>
      </c>
    </row>
    <row r="9" ht="20" customHeight="1">
      <c r="A9" s="5" t="n">
        <v>5</v>
      </c>
      <c r="B9" s="6" t="inlineStr">
        <is>
          <t>المحطات النشطة</t>
        </is>
      </c>
      <c r="C9" s="7" t="n">
        <v>146</v>
      </c>
      <c r="D9" s="8" t="n">
        <v>94</v>
      </c>
      <c r="E9" s="8" t="n">
        <v>68</v>
      </c>
      <c r="F9" s="5" t="inlineStr"/>
      <c r="G9" s="9" t="inlineStr">
        <is>
          <t>+٧٨ سنوياً · و+٥٢ عن خطة يوليو</t>
        </is>
      </c>
    </row>
    <row r="11" ht="22" customHeight="1">
      <c r="A11" s="3" t="inlineStr">
        <is>
          <t>② صافي الدخل شهراً بشهر — سالبٌ في كل شهر منذ فبراير</t>
        </is>
      </c>
    </row>
    <row r="12" ht="30" customHeight="1">
      <c r="A12" s="4" t="inlineStr">
        <is>
          <t>#</t>
        </is>
      </c>
      <c r="B12" s="4" t="inlineStr">
        <is>
          <t>الشهر</t>
        </is>
      </c>
      <c r="C12" s="4" t="inlineStr">
        <is>
          <t>صافي الدخل</t>
        </is>
      </c>
      <c r="D12" s="4" t="inlineStr"/>
      <c r="E12" s="4" t="inlineStr"/>
      <c r="F12" s="4" t="inlineStr"/>
      <c r="G12" s="4" t="inlineStr">
        <is>
          <t>ملاحظة</t>
        </is>
      </c>
    </row>
    <row r="13">
      <c r="A13" s="5" t="n">
        <v>1</v>
      </c>
      <c r="B13" s="6" t="inlineStr">
        <is>
          <t>يناير</t>
        </is>
      </c>
      <c r="C13" s="12" t="n">
        <v>293</v>
      </c>
      <c r="D13" s="5" t="inlineStr"/>
      <c r="E13" s="5" t="inlineStr"/>
      <c r="F13" s="5" t="inlineStr"/>
      <c r="G13" s="9" t="inlineStr">
        <is>
          <t>الشهر الوحيد الموجب</t>
        </is>
      </c>
    </row>
    <row r="14">
      <c r="A14" s="5" t="n">
        <v>2</v>
      </c>
      <c r="B14" s="6" t="inlineStr">
        <is>
          <t>فبراير</t>
        </is>
      </c>
      <c r="C14" s="13" t="n">
        <v>-414</v>
      </c>
      <c r="D14" s="5" t="inlineStr"/>
      <c r="E14" s="5" t="inlineStr"/>
      <c r="F14" s="5" t="inlineStr"/>
      <c r="G14" s="9" t="inlineStr"/>
    </row>
    <row r="15">
      <c r="A15" s="5" t="n">
        <v>3</v>
      </c>
      <c r="B15" s="6" t="inlineStr">
        <is>
          <t>مارس</t>
        </is>
      </c>
      <c r="C15" s="13" t="n">
        <v>-370</v>
      </c>
      <c r="D15" s="5" t="inlineStr"/>
      <c r="E15" s="5" t="inlineStr"/>
      <c r="F15" s="5" t="inlineStr"/>
      <c r="G15" s="9" t="inlineStr"/>
    </row>
    <row r="16">
      <c r="A16" s="5" t="n">
        <v>4</v>
      </c>
      <c r="B16" s="6" t="inlineStr">
        <is>
          <t>أبريل</t>
        </is>
      </c>
      <c r="C16" s="13" t="n">
        <v>-832</v>
      </c>
      <c r="D16" s="5" t="inlineStr"/>
      <c r="E16" s="5" t="inlineStr"/>
      <c r="F16" s="5" t="inlineStr"/>
      <c r="G16" s="9" t="inlineStr"/>
    </row>
    <row r="17">
      <c r="A17" s="5" t="n">
        <v>5</v>
      </c>
      <c r="B17" s="6" t="inlineStr">
        <is>
          <t>مايو</t>
        </is>
      </c>
      <c r="C17" s="13" t="n">
        <v>-2048</v>
      </c>
      <c r="D17" s="5" t="inlineStr"/>
      <c r="E17" s="5" t="inlineStr"/>
      <c r="F17" s="5" t="inlineStr"/>
      <c r="G17" s="9" t="inlineStr"/>
    </row>
    <row r="18">
      <c r="A18" s="5" t="n">
        <v>6</v>
      </c>
      <c r="B18" s="6" t="inlineStr">
        <is>
          <t>يونيو</t>
        </is>
      </c>
      <c r="C18" s="13" t="n">
        <v>-1082</v>
      </c>
      <c r="D18" s="5" t="inlineStr"/>
      <c r="E18" s="5" t="inlineStr"/>
      <c r="F18" s="5" t="inlineStr"/>
      <c r="G18" s="9" t="inlineStr"/>
    </row>
    <row r="19">
      <c r="A19" s="5" t="n">
        <v>7</v>
      </c>
      <c r="B19" s="6" t="inlineStr">
        <is>
          <t>يوليو</t>
        </is>
      </c>
      <c r="C19" s="13" t="n">
        <v>-1084</v>
      </c>
      <c r="D19" s="5" t="inlineStr"/>
      <c r="E19" s="5" t="inlineStr"/>
      <c r="F19" s="5" t="inlineStr"/>
      <c r="G19" s="9" t="inlineStr"/>
    </row>
    <row r="20">
      <c r="A20" s="14" t="inlineStr"/>
      <c r="B20" s="15" t="inlineStr">
        <is>
          <t>التراكمي</t>
        </is>
      </c>
      <c r="C20" s="16">
        <f>SUM(C13:C19)</f>
        <v/>
      </c>
      <c r="D20" s="14" t="inlineStr"/>
      <c r="E20" s="14" t="inlineStr"/>
      <c r="F20" s="14" t="inlineStr"/>
      <c r="G20" s="14" t="inlineStr"/>
    </row>
  </sheetData>
  <mergeCells count="4">
    <mergeCell ref="A11:G11"/>
    <mergeCell ref="A3:G3"/>
    <mergeCell ref="A2:G2"/>
    <mergeCell ref="A1:G1"/>
  </mergeCells>
  <conditionalFormatting sqref="C5:C9">
    <cfRule type="cellIs" priority="1" operator="lessThan" dxfId="0">
      <formula>0</formula>
    </cfRule>
  </conditionalFormatting>
  <printOptions horizontalCentered="1"/>
  <pageMargins left="0.3" right="0.3" top="0.4" bottom="0.4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5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 ht="26" customHeight="1">
      <c r="A1" s="1" t="inlineStr">
        <is>
          <t>قائمة الدخل — يوليو مفرداً والتراكمي</t>
        </is>
      </c>
    </row>
    <row r="2" ht="16" customHeight="1">
      <c r="A2" s="2" t="inlineStr">
        <is>
          <t>بآلاف الريالات · والفروق محسوبة لا منقولة</t>
        </is>
      </c>
    </row>
    <row r="3" ht="22" customHeight="1">
      <c r="A3" s="3" t="inlineStr">
        <is>
          <t>② تراكمي يوليو — سبعة أشهر</t>
        </is>
      </c>
    </row>
    <row r="4" ht="30" customHeight="1">
      <c r="A4" s="4" t="inlineStr">
        <is>
          <t>#</t>
        </is>
      </c>
      <c r="B4" s="4" t="inlineStr">
        <is>
          <t>البند</t>
        </is>
      </c>
      <c r="C4" s="4" t="inlineStr">
        <is>
          <t>الفعلي</t>
        </is>
      </c>
      <c r="D4" s="4" t="inlineStr">
        <is>
          <t>الموازنة</t>
        </is>
      </c>
      <c r="E4" s="4" t="inlineStr">
        <is>
          <t>الفرق</t>
        </is>
      </c>
      <c r="F4" s="4" t="inlineStr">
        <is>
          <t>الفرق ٪</t>
        </is>
      </c>
      <c r="G4" s="4" t="inlineStr">
        <is>
          <t>العام الماضي</t>
        </is>
      </c>
      <c r="H4" s="4" t="inlineStr">
        <is>
          <t>الفرق</t>
        </is>
      </c>
      <c r="I4" s="4" t="inlineStr">
        <is>
          <t>الفرق ٪</t>
        </is>
      </c>
    </row>
    <row r="5">
      <c r="A5" s="5" t="n">
        <v>1</v>
      </c>
      <c r="B5" s="17" t="inlineStr">
        <is>
          <t>إيرادات الوقود</t>
        </is>
      </c>
      <c r="C5" s="7" t="n">
        <v>1173578</v>
      </c>
      <c r="D5" s="8" t="n">
        <v>1219570</v>
      </c>
      <c r="E5" s="8">
        <f>C5-D5</f>
        <v/>
      </c>
      <c r="F5" s="18">
        <f>IFERROR(E5/ABS(D5),"")</f>
        <v/>
      </c>
      <c r="G5" s="8" t="n">
        <v>411451</v>
      </c>
      <c r="H5" s="8">
        <f>C5-G5</f>
        <v/>
      </c>
      <c r="I5" s="18">
        <f>IFERROR(H5/ABS(G5),"")</f>
        <v/>
      </c>
    </row>
    <row r="6">
      <c r="A6" s="5" t="n">
        <v>2</v>
      </c>
      <c r="B6" s="17" t="inlineStr">
        <is>
          <t>تكلفة المبيعات</t>
        </is>
      </c>
      <c r="C6" s="7" t="n">
        <v>-1133905</v>
      </c>
      <c r="D6" s="8" t="n">
        <v>-1177404</v>
      </c>
      <c r="E6" s="8">
        <f>C6-D6</f>
        <v/>
      </c>
      <c r="F6" s="18">
        <f>IFERROR(E6/ABS(D6),"")</f>
        <v/>
      </c>
      <c r="G6" s="8" t="n">
        <v>-391474</v>
      </c>
      <c r="H6" s="8">
        <f>C6-G6</f>
        <v/>
      </c>
      <c r="I6" s="18">
        <f>IFERROR(H6/ABS(G6),"")</f>
        <v/>
      </c>
    </row>
    <row r="7">
      <c r="A7" s="19" t="n">
        <v>3</v>
      </c>
      <c r="B7" s="20" t="inlineStr">
        <is>
          <t>هامش المساهمة — الوقود</t>
        </is>
      </c>
      <c r="C7" s="21" t="n">
        <v>39673</v>
      </c>
      <c r="D7" s="22" t="n">
        <v>42166</v>
      </c>
      <c r="E7" s="22">
        <f>C7-D7</f>
        <v/>
      </c>
      <c r="F7" s="23">
        <f>IFERROR(E7/ABS(D7),"")</f>
        <v/>
      </c>
      <c r="G7" s="22" t="n">
        <v>19976</v>
      </c>
      <c r="H7" s="22">
        <f>C7-G7</f>
        <v/>
      </c>
      <c r="I7" s="23">
        <f>IFERROR(H7/ABS(G7),"")</f>
        <v/>
      </c>
    </row>
    <row r="8">
      <c r="A8" s="5" t="n">
        <v>4</v>
      </c>
      <c r="B8" s="17" t="inlineStr">
        <is>
          <t>الإيراد العقاري</t>
        </is>
      </c>
      <c r="C8" s="7" t="n">
        <v>34433</v>
      </c>
      <c r="D8" s="8" t="n">
        <v>36416</v>
      </c>
      <c r="E8" s="8">
        <f>C8-D8</f>
        <v/>
      </c>
      <c r="F8" s="18">
        <f>IFERROR(E8/ABS(D8),"")</f>
        <v/>
      </c>
      <c r="G8" s="8" t="n">
        <v>27763</v>
      </c>
      <c r="H8" s="8">
        <f>C8-G8</f>
        <v/>
      </c>
      <c r="I8" s="18">
        <f>IFERROR(H8/ABS(G8),"")</f>
        <v/>
      </c>
    </row>
    <row r="9">
      <c r="A9" s="5" t="n">
        <v>5</v>
      </c>
      <c r="B9" s="17" t="inlineStr">
        <is>
          <t>خصومات الإيجار</t>
        </is>
      </c>
      <c r="C9" s="7" t="n">
        <v>-2968</v>
      </c>
      <c r="D9" s="8" t="n">
        <v>-3277</v>
      </c>
      <c r="E9" s="8">
        <f>C9-D9</f>
        <v/>
      </c>
      <c r="F9" s="18">
        <f>IFERROR(E9/ABS(D9),"")</f>
        <v/>
      </c>
      <c r="G9" s="8" t="n">
        <v>-2876</v>
      </c>
      <c r="H9" s="8">
        <f>C9-G9</f>
        <v/>
      </c>
      <c r="I9" s="18">
        <f>IFERROR(H9/ABS(G9),"")</f>
        <v/>
      </c>
    </row>
    <row r="10">
      <c r="A10" s="19" t="n">
        <v>6</v>
      </c>
      <c r="B10" s="20" t="inlineStr">
        <is>
          <t>صافي الإيراد العقاري</t>
        </is>
      </c>
      <c r="C10" s="21" t="n">
        <v>31465</v>
      </c>
      <c r="D10" s="22" t="n">
        <v>33138</v>
      </c>
      <c r="E10" s="22">
        <f>C10-D10</f>
        <v/>
      </c>
      <c r="F10" s="23">
        <f>IFERROR(E10/ABS(D10),"")</f>
        <v/>
      </c>
      <c r="G10" s="22" t="n">
        <v>24887</v>
      </c>
      <c r="H10" s="22">
        <f>C10-G10</f>
        <v/>
      </c>
      <c r="I10" s="23">
        <f>IFERROR(H10/ABS(G10),"")</f>
        <v/>
      </c>
    </row>
    <row r="11">
      <c r="A11" s="5" t="n">
        <v>7</v>
      </c>
      <c r="B11" s="17" t="inlineStr">
        <is>
          <t>إهلاك أصول حق الاستخدام</t>
        </is>
      </c>
      <c r="C11" s="7" t="n">
        <v>-15347</v>
      </c>
      <c r="D11" s="8" t="n">
        <v>-15999</v>
      </c>
      <c r="E11" s="8">
        <f>C11-D11</f>
        <v/>
      </c>
      <c r="F11" s="18">
        <f>IFERROR(E11/ABS(D11),"")</f>
        <v/>
      </c>
      <c r="G11" s="8" t="n">
        <v>-12391</v>
      </c>
      <c r="H11" s="8">
        <f>C11-G11</f>
        <v/>
      </c>
      <c r="I11" s="18">
        <f>IFERROR(H11/ABS(G11),"")</f>
        <v/>
      </c>
    </row>
    <row r="12">
      <c r="A12" s="5" t="n">
        <v>8</v>
      </c>
      <c r="B12" s="17" t="inlineStr">
        <is>
          <t>تكلفة التمويل</t>
        </is>
      </c>
      <c r="C12" s="7" t="n">
        <v>-15525</v>
      </c>
      <c r="D12" s="8" t="n">
        <v>-14569</v>
      </c>
      <c r="E12" s="8">
        <f>C12-D12</f>
        <v/>
      </c>
      <c r="F12" s="18">
        <f>IFERROR(E12/ABS(D12),"")</f>
        <v/>
      </c>
      <c r="G12" s="8" t="n">
        <v>-9828</v>
      </c>
      <c r="H12" s="8">
        <f>C12-G12</f>
        <v/>
      </c>
      <c r="I12" s="18">
        <f>IFERROR(H12/ABS(G12),"")</f>
        <v/>
      </c>
    </row>
    <row r="13">
      <c r="A13" s="19" t="n">
        <v>9</v>
      </c>
      <c r="B13" s="20" t="inlineStr">
        <is>
          <t>هامش المساهمة — العقارات</t>
        </is>
      </c>
      <c r="C13" s="21" t="n">
        <v>593</v>
      </c>
      <c r="D13" s="22" t="n">
        <v>2570</v>
      </c>
      <c r="E13" s="22">
        <f>C13-D13</f>
        <v/>
      </c>
      <c r="F13" s="23">
        <f>IFERROR(E13/ABS(D13),"")</f>
        <v/>
      </c>
      <c r="G13" s="22" t="n">
        <v>2669</v>
      </c>
      <c r="H13" s="22">
        <f>C13-G13</f>
        <v/>
      </c>
      <c r="I13" s="23">
        <f>IFERROR(H13/ABS(G13),"")</f>
        <v/>
      </c>
    </row>
    <row r="14">
      <c r="A14" s="5" t="n">
        <v>10</v>
      </c>
      <c r="B14" s="17" t="inlineStr">
        <is>
          <t>مصاريف التشغيل</t>
        </is>
      </c>
      <c r="C14" s="7" t="n">
        <v>-28704</v>
      </c>
      <c r="D14" s="8" t="n">
        <v>-27760</v>
      </c>
      <c r="E14" s="8">
        <f>C14-D14</f>
        <v/>
      </c>
      <c r="F14" s="18">
        <f>IFERROR(E14/ABS(D14),"")</f>
        <v/>
      </c>
      <c r="G14" s="8" t="n">
        <v>-13962</v>
      </c>
      <c r="H14" s="8">
        <f>C14-G14</f>
        <v/>
      </c>
      <c r="I14" s="18">
        <f>IFERROR(H14/ABS(G14),"")</f>
        <v/>
      </c>
    </row>
    <row r="15">
      <c r="A15" s="19" t="n">
        <v>11</v>
      </c>
      <c r="B15" s="20" t="inlineStr">
        <is>
          <t>مجمل الربح</t>
        </is>
      </c>
      <c r="C15" s="21" t="n">
        <v>11563</v>
      </c>
      <c r="D15" s="22" t="n">
        <v>16976</v>
      </c>
      <c r="E15" s="22">
        <f>C15-D15</f>
        <v/>
      </c>
      <c r="F15" s="23">
        <f>IFERROR(E15/ABS(D15),"")</f>
        <v/>
      </c>
      <c r="G15" s="22" t="n">
        <v>8683</v>
      </c>
      <c r="H15" s="22">
        <f>C15-G15</f>
        <v/>
      </c>
      <c r="I15" s="23">
        <f>IFERROR(H15/ABS(G15),"")</f>
        <v/>
      </c>
    </row>
    <row r="16">
      <c r="A16" s="5" t="n">
        <v>12</v>
      </c>
      <c r="B16" s="17" t="inlineStr">
        <is>
          <t>بيع وتسويق + عمومية وإدارية</t>
        </is>
      </c>
      <c r="C16" s="7" t="n">
        <v>-13958</v>
      </c>
      <c r="D16" s="8" t="n">
        <v>-10927</v>
      </c>
      <c r="E16" s="8">
        <f>C16-D16</f>
        <v/>
      </c>
      <c r="F16" s="18">
        <f>IFERROR(E16/ABS(D16),"")</f>
        <v/>
      </c>
      <c r="G16" s="8" t="n">
        <v>-12063</v>
      </c>
      <c r="H16" s="8">
        <f>C16-G16</f>
        <v/>
      </c>
      <c r="I16" s="18">
        <f>IFERROR(H16/ABS(G16),"")</f>
        <v/>
      </c>
    </row>
    <row r="17">
      <c r="A17" s="19" t="n">
        <v>13</v>
      </c>
      <c r="B17" s="20" t="inlineStr">
        <is>
          <t>الربح قبل الفوائد والزكاة</t>
        </is>
      </c>
      <c r="C17" s="21" t="n">
        <v>-2396</v>
      </c>
      <c r="D17" s="22" t="n">
        <v>6048</v>
      </c>
      <c r="E17" s="22">
        <f>C17-D17</f>
        <v/>
      </c>
      <c r="F17" s="23">
        <f>IFERROR(E17/ABS(D17),"")</f>
        <v/>
      </c>
      <c r="G17" s="22" t="n">
        <v>-3380</v>
      </c>
      <c r="H17" s="22">
        <f>C17-G17</f>
        <v/>
      </c>
      <c r="I17" s="23">
        <f>IFERROR(H17/ABS(G17),"")</f>
        <v/>
      </c>
    </row>
    <row r="18">
      <c r="A18" s="5" t="n">
        <v>14</v>
      </c>
      <c r="B18" s="17" t="inlineStr">
        <is>
          <t>إيرادات أخرى</t>
        </is>
      </c>
      <c r="C18" s="7" t="n">
        <v>24</v>
      </c>
      <c r="D18" s="8" t="n">
        <v>0</v>
      </c>
      <c r="E18" s="8">
        <f>C18-D18</f>
        <v/>
      </c>
      <c r="F18" s="18">
        <f>IFERROR(E18/ABS(D18),"")</f>
        <v/>
      </c>
      <c r="G18" s="8" t="n">
        <v>0</v>
      </c>
      <c r="H18" s="8">
        <f>C18-G18</f>
        <v/>
      </c>
      <c r="I18" s="18">
        <f>IFERROR(H18/ABS(G18),"")</f>
        <v/>
      </c>
    </row>
    <row r="19">
      <c r="A19" s="5" t="n">
        <v>15</v>
      </c>
      <c r="B19" s="17" t="inlineStr">
        <is>
          <t>فوائد القروض</t>
        </is>
      </c>
      <c r="C19" s="7" t="n">
        <v>-3043</v>
      </c>
      <c r="D19" s="8" t="n">
        <v>-1653</v>
      </c>
      <c r="E19" s="8">
        <f>C19-D19</f>
        <v/>
      </c>
      <c r="F19" s="18">
        <f>IFERROR(E19/ABS(D19),"")</f>
        <v/>
      </c>
      <c r="G19" s="8" t="n">
        <v>-459</v>
      </c>
      <c r="H19" s="8">
        <f>C19-G19</f>
        <v/>
      </c>
      <c r="I19" s="18">
        <f>IFERROR(H19/ABS(G19),"")</f>
        <v/>
      </c>
    </row>
    <row r="20">
      <c r="A20" s="5" t="n">
        <v>16</v>
      </c>
      <c r="B20" s="17" t="inlineStr">
        <is>
          <t>الزكاة</t>
        </is>
      </c>
      <c r="C20" s="7" t="n">
        <v>-120</v>
      </c>
      <c r="D20" s="8" t="n">
        <v>-110</v>
      </c>
      <c r="E20" s="8">
        <f>C20-D20</f>
        <v/>
      </c>
      <c r="F20" s="18">
        <f>IFERROR(E20/ABS(D20),"")</f>
        <v/>
      </c>
      <c r="G20" s="8" t="n">
        <v>-101</v>
      </c>
      <c r="H20" s="8">
        <f>C20-G20</f>
        <v/>
      </c>
      <c r="I20" s="18">
        <f>IFERROR(H20/ABS(G20),"")</f>
        <v/>
      </c>
    </row>
    <row r="21">
      <c r="A21" s="14" t="n">
        <v>17</v>
      </c>
      <c r="B21" s="15" t="inlineStr">
        <is>
          <t>صافي الدخل</t>
        </is>
      </c>
      <c r="C21" s="16" t="n">
        <v>-5535</v>
      </c>
      <c r="D21" s="24" t="n">
        <v>4285</v>
      </c>
      <c r="E21" s="24">
        <f>C21-D21</f>
        <v/>
      </c>
      <c r="F21" s="25">
        <f>IFERROR(E21/ABS(D21),"")</f>
        <v/>
      </c>
      <c r="G21" s="24" t="n">
        <v>-3941</v>
      </c>
      <c r="H21" s="24">
        <f>C21-G21</f>
        <v/>
      </c>
      <c r="I21" s="25">
        <f>IFERROR(H21/ABS(G21),"")</f>
        <v/>
      </c>
    </row>
    <row r="24" ht="22" customHeight="1">
      <c r="A24" s="3" t="inlineStr">
        <is>
          <t>① يوليو مفرداً</t>
        </is>
      </c>
    </row>
    <row r="25" ht="30" customHeight="1">
      <c r="A25" s="4" t="inlineStr">
        <is>
          <t>#</t>
        </is>
      </c>
      <c r="B25" s="4" t="inlineStr">
        <is>
          <t>البند</t>
        </is>
      </c>
      <c r="C25" s="4" t="inlineStr">
        <is>
          <t>الفعلي</t>
        </is>
      </c>
      <c r="D25" s="4" t="inlineStr">
        <is>
          <t>الموازنة</t>
        </is>
      </c>
      <c r="E25" s="4" t="inlineStr">
        <is>
          <t>الفرق</t>
        </is>
      </c>
      <c r="F25" s="4" t="inlineStr">
        <is>
          <t>الفرق ٪</t>
        </is>
      </c>
      <c r="G25" s="4" t="inlineStr">
        <is>
          <t>العام الماضي</t>
        </is>
      </c>
      <c r="H25" s="4" t="inlineStr">
        <is>
          <t>الفرق</t>
        </is>
      </c>
      <c r="I25" s="4" t="inlineStr">
        <is>
          <t>الفرق ٪</t>
        </is>
      </c>
    </row>
    <row r="26">
      <c r="A26" s="5" t="n">
        <v>1</v>
      </c>
      <c r="B26" s="17" t="inlineStr">
        <is>
          <t>إيرادات الوقود</t>
        </is>
      </c>
      <c r="C26" s="7" t="n">
        <v>195115</v>
      </c>
      <c r="D26" s="8" t="n">
        <v>209322</v>
      </c>
      <c r="E26" s="8">
        <f>C26-D26</f>
        <v/>
      </c>
      <c r="F26" s="18">
        <f>IFERROR(E26/ABS(D26),"")</f>
        <v/>
      </c>
      <c r="G26" s="8" t="n">
        <v>75048</v>
      </c>
      <c r="H26" s="8">
        <f>C26-G26</f>
        <v/>
      </c>
      <c r="I26" s="18">
        <f>IFERROR(H26/ABS(G26),"")</f>
        <v/>
      </c>
    </row>
    <row r="27">
      <c r="A27" s="5" t="n">
        <v>2</v>
      </c>
      <c r="B27" s="17" t="inlineStr">
        <is>
          <t>تكلفة المبيعات</t>
        </is>
      </c>
      <c r="C27" s="7" t="n">
        <v>-188732</v>
      </c>
      <c r="D27" s="8" t="n">
        <v>-202095</v>
      </c>
      <c r="E27" s="8">
        <f>C27-D27</f>
        <v/>
      </c>
      <c r="F27" s="18">
        <f>IFERROR(E27/ABS(D27),"")</f>
        <v/>
      </c>
      <c r="G27" s="8" t="n">
        <v>-70881</v>
      </c>
      <c r="H27" s="8">
        <f>C27-G27</f>
        <v/>
      </c>
      <c r="I27" s="18">
        <f>IFERROR(H27/ABS(G27),"")</f>
        <v/>
      </c>
    </row>
    <row r="28">
      <c r="A28" s="19" t="n">
        <v>3</v>
      </c>
      <c r="B28" s="20" t="inlineStr">
        <is>
          <t>هامش المساهمة — الوقود</t>
        </is>
      </c>
      <c r="C28" s="21" t="n">
        <v>6382</v>
      </c>
      <c r="D28" s="22" t="n">
        <v>7228</v>
      </c>
      <c r="E28" s="22">
        <f>C28-D28</f>
        <v/>
      </c>
      <c r="F28" s="23">
        <f>IFERROR(E28/ABS(D28),"")</f>
        <v/>
      </c>
      <c r="G28" s="22" t="n">
        <v>4167</v>
      </c>
      <c r="H28" s="22">
        <f>C28-G28</f>
        <v/>
      </c>
      <c r="I28" s="23">
        <f>IFERROR(H28/ABS(G28),"")</f>
        <v/>
      </c>
    </row>
    <row r="29">
      <c r="A29" s="5" t="n">
        <v>4</v>
      </c>
      <c r="B29" s="17" t="inlineStr">
        <is>
          <t>الإيراد العقاري</t>
        </is>
      </c>
      <c r="C29" s="7" t="n">
        <v>5495</v>
      </c>
      <c r="D29" s="8" t="n">
        <v>5964</v>
      </c>
      <c r="E29" s="8">
        <f>C29-D29</f>
        <v/>
      </c>
      <c r="F29" s="18">
        <f>IFERROR(E29/ABS(D29),"")</f>
        <v/>
      </c>
      <c r="G29" s="8" t="n">
        <v>3808</v>
      </c>
      <c r="H29" s="8">
        <f>C29-G29</f>
        <v/>
      </c>
      <c r="I29" s="18">
        <f>IFERROR(H29/ABS(G29),"")</f>
        <v/>
      </c>
    </row>
    <row r="30">
      <c r="A30" s="5" t="n">
        <v>5</v>
      </c>
      <c r="B30" s="17" t="inlineStr">
        <is>
          <t>خصومات الإيجار</t>
        </is>
      </c>
      <c r="C30" s="7" t="n">
        <v>-516</v>
      </c>
      <c r="D30" s="8" t="n">
        <v>-537</v>
      </c>
      <c r="E30" s="8">
        <f>C30-D30</f>
        <v/>
      </c>
      <c r="F30" s="18">
        <f>IFERROR(E30/ABS(D30),"")</f>
        <v/>
      </c>
      <c r="G30" s="8" t="n">
        <v>-56</v>
      </c>
      <c r="H30" s="8">
        <f>C30-G30</f>
        <v/>
      </c>
      <c r="I30" s="18">
        <f>IFERROR(H30/ABS(G30),"")</f>
        <v/>
      </c>
    </row>
    <row r="31">
      <c r="A31" s="19" t="n">
        <v>6</v>
      </c>
      <c r="B31" s="20" t="inlineStr">
        <is>
          <t>صافي الإيراد العقاري</t>
        </is>
      </c>
      <c r="C31" s="21" t="n">
        <v>4979</v>
      </c>
      <c r="D31" s="22" t="n">
        <v>5427</v>
      </c>
      <c r="E31" s="22">
        <f>C31-D31</f>
        <v/>
      </c>
      <c r="F31" s="23">
        <f>IFERROR(E31/ABS(D31),"")</f>
        <v/>
      </c>
      <c r="G31" s="22" t="n">
        <v>3753</v>
      </c>
      <c r="H31" s="22">
        <f>C31-G31</f>
        <v/>
      </c>
      <c r="I31" s="23">
        <f>IFERROR(H31/ABS(G31),"")</f>
        <v/>
      </c>
    </row>
    <row r="32">
      <c r="A32" s="5" t="n">
        <v>7</v>
      </c>
      <c r="B32" s="17" t="inlineStr">
        <is>
          <t>إهلاك أصول حق الاستخدام</t>
        </is>
      </c>
      <c r="C32" s="7" t="n">
        <v>-2393</v>
      </c>
      <c r="D32" s="8" t="n">
        <v>-2582</v>
      </c>
      <c r="E32" s="8">
        <f>C32-D32</f>
        <v/>
      </c>
      <c r="F32" s="18">
        <f>IFERROR(E32/ABS(D32),"")</f>
        <v/>
      </c>
      <c r="G32" s="8" t="n">
        <v>-1953</v>
      </c>
      <c r="H32" s="8">
        <f>C32-G32</f>
        <v/>
      </c>
      <c r="I32" s="18">
        <f>IFERROR(H32/ABS(G32),"")</f>
        <v/>
      </c>
    </row>
    <row r="33">
      <c r="A33" s="5" t="n">
        <v>8</v>
      </c>
      <c r="B33" s="17" t="inlineStr">
        <is>
          <t>تكلفة التمويل</t>
        </is>
      </c>
      <c r="C33" s="7" t="n">
        <v>-2443</v>
      </c>
      <c r="D33" s="8" t="n">
        <v>-2394</v>
      </c>
      <c r="E33" s="8">
        <f>C33-D33</f>
        <v/>
      </c>
      <c r="F33" s="18">
        <f>IFERROR(E33/ABS(D33),"")</f>
        <v/>
      </c>
      <c r="G33" s="8" t="n">
        <v>-1454</v>
      </c>
      <c r="H33" s="8">
        <f>C33-G33</f>
        <v/>
      </c>
      <c r="I33" s="18">
        <f>IFERROR(H33/ABS(G33),"")</f>
        <v/>
      </c>
    </row>
    <row r="34">
      <c r="A34" s="19" t="n">
        <v>9</v>
      </c>
      <c r="B34" s="20" t="inlineStr">
        <is>
          <t>هامش المساهمة — العقارات</t>
        </is>
      </c>
      <c r="C34" s="21" t="n">
        <v>144</v>
      </c>
      <c r="D34" s="22" t="n">
        <v>451</v>
      </c>
      <c r="E34" s="22">
        <f>C34-D34</f>
        <v/>
      </c>
      <c r="F34" s="23">
        <f>IFERROR(E34/ABS(D34),"")</f>
        <v/>
      </c>
      <c r="G34" s="22" t="n">
        <v>345</v>
      </c>
      <c r="H34" s="22">
        <f>C34-G34</f>
        <v/>
      </c>
      <c r="I34" s="23">
        <f>IFERROR(H34/ABS(G34),"")</f>
        <v/>
      </c>
    </row>
    <row r="35">
      <c r="A35" s="5" t="n">
        <v>10</v>
      </c>
      <c r="B35" s="17" t="inlineStr">
        <is>
          <t>مصاريف التشغيل</t>
        </is>
      </c>
      <c r="C35" s="7" t="n">
        <v>-4950</v>
      </c>
      <c r="D35" s="8" t="n">
        <v>-4330</v>
      </c>
      <c r="E35" s="8">
        <f>C35-D35</f>
        <v/>
      </c>
      <c r="F35" s="18">
        <f>IFERROR(E35/ABS(D35),"")</f>
        <v/>
      </c>
      <c r="G35" s="8" t="n">
        <v>-2549</v>
      </c>
      <c r="H35" s="8">
        <f>C35-G35</f>
        <v/>
      </c>
      <c r="I35" s="18">
        <f>IFERROR(H35/ABS(G35),"")</f>
        <v/>
      </c>
    </row>
    <row r="36">
      <c r="A36" s="19" t="n">
        <v>11</v>
      </c>
      <c r="B36" s="20" t="inlineStr">
        <is>
          <t>مجمل الربح</t>
        </is>
      </c>
      <c r="C36" s="21" t="n">
        <v>1576</v>
      </c>
      <c r="D36" s="22" t="n">
        <v>3349</v>
      </c>
      <c r="E36" s="22">
        <f>C36-D36</f>
        <v/>
      </c>
      <c r="F36" s="23">
        <f>IFERROR(E36/ABS(D36),"")</f>
        <v/>
      </c>
      <c r="G36" s="22" t="n">
        <v>1963</v>
      </c>
      <c r="H36" s="22">
        <f>C36-G36</f>
        <v/>
      </c>
      <c r="I36" s="23">
        <f>IFERROR(H36/ABS(G36),"")</f>
        <v/>
      </c>
    </row>
    <row r="37">
      <c r="A37" s="5" t="n">
        <v>12</v>
      </c>
      <c r="B37" s="17" t="inlineStr">
        <is>
          <t>بيع وتسويق + عمومية وإدارية</t>
        </is>
      </c>
      <c r="C37" s="7" t="n">
        <v>-2156</v>
      </c>
      <c r="D37" s="8" t="n">
        <v>-1811</v>
      </c>
      <c r="E37" s="8">
        <f>C37-D37</f>
        <v/>
      </c>
      <c r="F37" s="18">
        <f>IFERROR(E37/ABS(D37),"")</f>
        <v/>
      </c>
      <c r="G37" s="8" t="n">
        <v>-2286</v>
      </c>
      <c r="H37" s="8">
        <f>C37-G37</f>
        <v/>
      </c>
      <c r="I37" s="18">
        <f>IFERROR(H37/ABS(G37),"")</f>
        <v/>
      </c>
    </row>
    <row r="38">
      <c r="A38" s="19" t="n">
        <v>13</v>
      </c>
      <c r="B38" s="20" t="inlineStr">
        <is>
          <t>الربح قبل الفوائد والزكاة</t>
        </is>
      </c>
      <c r="C38" s="21" t="n">
        <v>-580</v>
      </c>
      <c r="D38" s="22" t="n">
        <v>1538</v>
      </c>
      <c r="E38" s="22">
        <f>C38-D38</f>
        <v/>
      </c>
      <c r="F38" s="23">
        <f>IFERROR(E38/ABS(D38),"")</f>
        <v/>
      </c>
      <c r="G38" s="22" t="n">
        <v>-322</v>
      </c>
      <c r="H38" s="22">
        <f>C38-G38</f>
        <v/>
      </c>
      <c r="I38" s="23">
        <f>IFERROR(H38/ABS(G38),"")</f>
        <v/>
      </c>
    </row>
    <row r="39">
      <c r="A39" s="5" t="n">
        <v>14</v>
      </c>
      <c r="B39" s="17" t="inlineStr">
        <is>
          <t>فوائد القروض</t>
        </is>
      </c>
      <c r="C39" s="7" t="n">
        <v>-464</v>
      </c>
      <c r="D39" s="8" t="n">
        <v>-365</v>
      </c>
      <c r="E39" s="8">
        <f>C39-D39</f>
        <v/>
      </c>
      <c r="F39" s="18">
        <f>IFERROR(E39/ABS(D39),"")</f>
        <v/>
      </c>
      <c r="G39" s="8" t="n">
        <v>-101</v>
      </c>
      <c r="H39" s="8">
        <f>C39-G39</f>
        <v/>
      </c>
      <c r="I39" s="18">
        <f>IFERROR(H39/ABS(G39),"")</f>
        <v/>
      </c>
    </row>
    <row r="40">
      <c r="A40" s="5" t="n">
        <v>15</v>
      </c>
      <c r="B40" s="17" t="inlineStr">
        <is>
          <t>الزكاة</t>
        </is>
      </c>
      <c r="C40" s="7" t="n">
        <v>-40</v>
      </c>
      <c r="D40" s="8" t="n">
        <v>-29</v>
      </c>
      <c r="E40" s="8">
        <f>C40-D40</f>
        <v/>
      </c>
      <c r="F40" s="18">
        <f>IFERROR(E40/ABS(D40),"")</f>
        <v/>
      </c>
      <c r="G40" s="8" t="n">
        <v>0</v>
      </c>
      <c r="H40" s="8">
        <f>C40-G40</f>
        <v/>
      </c>
      <c r="I40" s="18">
        <f>IFERROR(H40/ABS(G40),"")</f>
        <v/>
      </c>
    </row>
    <row r="41">
      <c r="A41" s="14" t="n">
        <v>16</v>
      </c>
      <c r="B41" s="15" t="inlineStr">
        <is>
          <t>صافي الدخل</t>
        </is>
      </c>
      <c r="C41" s="16" t="n">
        <v>-1084</v>
      </c>
      <c r="D41" s="24" t="n">
        <v>1143</v>
      </c>
      <c r="E41" s="24">
        <f>C41-D41</f>
        <v/>
      </c>
      <c r="F41" s="25">
        <f>IFERROR(E41/ABS(D41),"")</f>
        <v/>
      </c>
      <c r="G41" s="24" t="n">
        <v>-423</v>
      </c>
      <c r="H41" s="24">
        <f>C41-G41</f>
        <v/>
      </c>
      <c r="I41" s="25">
        <f>IFERROR(H41/ABS(G41),"")</f>
        <v/>
      </c>
    </row>
    <row r="44">
      <c r="B44" s="26" t="inlineStr">
        <is>
          <t>التكلفة والقيمة لكل لتر تُشتقّ من هذه القائمة وحدها — لا من تقرير ربحية المحطات، فمصاريفه التشغيلية نصف ما هنا</t>
        </is>
      </c>
    </row>
  </sheetData>
  <mergeCells count="4">
    <mergeCell ref="A1:I1"/>
    <mergeCell ref="A3:I3"/>
    <mergeCell ref="A24:I24"/>
    <mergeCell ref="A2:I2"/>
  </mergeCells>
  <conditionalFormatting sqref="E5:E21">
    <cfRule type="cellIs" priority="1" operator="lessThan" dxfId="1">
      <formula>0</formula>
    </cfRule>
  </conditionalFormatting>
  <conditionalFormatting sqref="E26:E41">
    <cfRule type="cellIs" priority="2" operator="lessThan" dxfId="1">
      <formula>0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الأداء الشهري — أربعة أشهر معروضة</t>
        </is>
      </c>
    </row>
    <row r="2" ht="16" customHeight="1">
      <c r="A2" s="2" t="inlineStr">
        <is>
          <t>الإيراد سجّل رقماً قياسياً في يوليو، والصافي أسوأ — فالمصاريف تنمو أسرع</t>
        </is>
      </c>
    </row>
    <row r="3" ht="22" customHeight="1">
      <c r="A3" s="3" t="inlineStr">
        <is>
          <t>الأشهر كما عرضها التقرير · بآلاف الريالات</t>
        </is>
      </c>
    </row>
    <row r="4" ht="30" customHeight="1">
      <c r="A4" s="4" t="inlineStr">
        <is>
          <t>#</t>
        </is>
      </c>
      <c r="B4" s="4" t="inlineStr">
        <is>
          <t>البند</t>
        </is>
      </c>
      <c r="C4" s="4" t="inlineStr">
        <is>
          <t>مارس</t>
        </is>
      </c>
      <c r="D4" s="4" t="inlineStr">
        <is>
          <t>مايو</t>
        </is>
      </c>
      <c r="E4" s="4" t="inlineStr">
        <is>
          <t>يونيو</t>
        </is>
      </c>
      <c r="F4" s="4" t="inlineStr">
        <is>
          <t>يوليو</t>
        </is>
      </c>
      <c r="G4" s="4" t="inlineStr">
        <is>
          <t>تراكمي يوليو</t>
        </is>
      </c>
    </row>
    <row r="5">
      <c r="A5" s="5" t="n">
        <v>1</v>
      </c>
      <c r="B5" s="6" t="inlineStr">
        <is>
          <t>إجمالي الإيرادات</t>
        </is>
      </c>
      <c r="C5" s="8" t="n">
        <v>158383</v>
      </c>
      <c r="D5" s="8" t="n">
        <v>170580</v>
      </c>
      <c r="E5" s="8" t="n">
        <v>179993</v>
      </c>
      <c r="F5" s="8" t="n">
        <v>200094</v>
      </c>
      <c r="G5" s="21" t="n">
        <v>1205042</v>
      </c>
    </row>
    <row r="6">
      <c r="A6" s="5" t="n">
        <v>2</v>
      </c>
      <c r="B6" s="6" t="inlineStr">
        <is>
          <t>تكلفة المبيعات</t>
        </is>
      </c>
      <c r="C6" s="8" t="n">
        <v>-150013</v>
      </c>
      <c r="D6" s="8" t="n">
        <v>-160193</v>
      </c>
      <c r="E6" s="8" t="n">
        <v>-169666</v>
      </c>
      <c r="F6" s="8" t="n">
        <v>-188732</v>
      </c>
      <c r="G6" s="21" t="n">
        <v>-1133905</v>
      </c>
    </row>
    <row r="7">
      <c r="A7" s="5" t="n">
        <v>3</v>
      </c>
      <c r="B7" s="6" t="inlineStr">
        <is>
          <t>الدخل الإيجاري</t>
        </is>
      </c>
      <c r="C7" s="8" t="n">
        <v>4748</v>
      </c>
      <c r="D7" s="8" t="n">
        <v>4908</v>
      </c>
      <c r="E7" s="8" t="n">
        <v>4748</v>
      </c>
      <c r="F7" s="8" t="n">
        <v>4979</v>
      </c>
      <c r="G7" s="21" t="n">
        <v>31465</v>
      </c>
    </row>
    <row r="8">
      <c r="A8" s="5" t="n">
        <v>4</v>
      </c>
      <c r="B8" s="6" t="inlineStr">
        <is>
          <t>مصاريف التشغيل</t>
        </is>
      </c>
      <c r="C8" s="8" t="n">
        <v>-3602</v>
      </c>
      <c r="D8" s="8" t="n">
        <v>-4516</v>
      </c>
      <c r="E8" s="8" t="n">
        <v>-4149</v>
      </c>
      <c r="F8" s="8" t="n">
        <v>-4950</v>
      </c>
      <c r="G8" s="21" t="n">
        <v>-28704</v>
      </c>
    </row>
    <row r="9">
      <c r="A9" s="19" t="n">
        <v>5</v>
      </c>
      <c r="B9" s="20" t="inlineStr">
        <is>
          <t>مجمل الربح</t>
        </is>
      </c>
      <c r="C9" s="21" t="n">
        <v>1931</v>
      </c>
      <c r="D9" s="21" t="n">
        <v>892</v>
      </c>
      <c r="E9" s="21" t="n">
        <v>1418</v>
      </c>
      <c r="F9" s="21" t="n">
        <v>1576</v>
      </c>
      <c r="G9" s="21" t="n">
        <v>11563</v>
      </c>
    </row>
    <row r="10">
      <c r="A10" s="5" t="n">
        <v>6</v>
      </c>
      <c r="B10" s="6" t="inlineStr">
        <is>
          <t>عمومية وإدارية</t>
        </is>
      </c>
      <c r="C10" s="8" t="n">
        <v>-1667</v>
      </c>
      <c r="D10" s="8" t="n">
        <v>-1846</v>
      </c>
      <c r="E10" s="8" t="n">
        <v>-1667</v>
      </c>
      <c r="F10" s="8" t="n">
        <v>-1859</v>
      </c>
      <c r="G10" s="21" t="n">
        <v>-11526</v>
      </c>
    </row>
    <row r="11">
      <c r="A11" s="5" t="n">
        <v>7</v>
      </c>
      <c r="B11" s="6" t="inlineStr">
        <is>
          <t>بيع وتسويق</t>
        </is>
      </c>
      <c r="C11" s="8" t="n">
        <v>-317</v>
      </c>
      <c r="D11" s="8" t="n">
        <v>-513</v>
      </c>
      <c r="E11" s="8" t="n">
        <v>-317</v>
      </c>
      <c r="F11" s="8" t="n">
        <v>-297</v>
      </c>
      <c r="G11" s="21" t="n">
        <v>-2432</v>
      </c>
    </row>
    <row r="12">
      <c r="A12" s="5" t="n">
        <v>8</v>
      </c>
      <c r="B12" s="6" t="inlineStr">
        <is>
          <t>فوائد القروض</t>
        </is>
      </c>
      <c r="C12" s="8" t="n">
        <v>-492</v>
      </c>
      <c r="D12" s="8" t="n">
        <v>-541</v>
      </c>
      <c r="E12" s="8" t="n">
        <v>-492</v>
      </c>
      <c r="F12" s="8" t="n">
        <v>-464</v>
      </c>
      <c r="G12" s="21" t="n">
        <v>-3043</v>
      </c>
    </row>
    <row r="13">
      <c r="A13" s="14" t="n">
        <v>9</v>
      </c>
      <c r="B13" s="15" t="inlineStr">
        <is>
          <t>صافي الدخل</t>
        </is>
      </c>
      <c r="C13" s="16" t="n">
        <v>-370</v>
      </c>
      <c r="D13" s="16" t="n">
        <v>-2048</v>
      </c>
      <c r="E13" s="16" t="n">
        <v>-1082</v>
      </c>
      <c r="F13" s="16" t="n">
        <v>-1084</v>
      </c>
      <c r="G13" s="16" t="n">
        <v>-5535</v>
      </c>
    </row>
  </sheetData>
  <mergeCells count="3">
    <mergeCell ref="A3:G3"/>
    <mergeCell ref="A2:G2"/>
    <mergeCell ref="A1:G1"/>
  </mergeCells>
  <conditionalFormatting sqref="C13:F13">
    <cfRule type="cellIs" priority="1" operator="lessThan" dxfId="0">
      <formula>0</formula>
    </cfRule>
  </conditionalFormatting>
  <printOptions horizontalCentered="1"/>
  <pageMargins left="0.3" right="0.3" top="0.4" bottom="0.4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قائمة الدخل حسب نموذج العمل — تراكمي يوليو</t>
        </is>
      </c>
    </row>
    <row r="2" ht="16" customHeight="1">
      <c r="A2" s="2" t="inlineStr">
        <is>
          <t>الاستثماري وحده رابح بعد التحميلات · والإيجاري يحمل الخسارة</t>
        </is>
      </c>
    </row>
    <row r="3" ht="22" customHeight="1">
      <c r="A3" s="3" t="inlineStr">
        <is>
          <t>① القائمة الكاملة · بآلاف الريالات</t>
        </is>
      </c>
    </row>
    <row r="4" ht="30" customHeight="1">
      <c r="A4" s="4" t="inlineStr">
        <is>
          <t>#</t>
        </is>
      </c>
      <c r="B4" s="4" t="inlineStr">
        <is>
          <t>البند</t>
        </is>
      </c>
      <c r="C4" s="4" t="inlineStr">
        <is>
          <t>استثماري</t>
        </is>
      </c>
      <c r="D4" s="4" t="inlineStr">
        <is>
          <t>إيجاري</t>
        </is>
      </c>
      <c r="E4" s="4" t="inlineStr">
        <is>
          <t>تشغيلي</t>
        </is>
      </c>
      <c r="F4" s="4" t="inlineStr">
        <is>
          <t>امتياز</t>
        </is>
      </c>
      <c r="G4" s="4" t="inlineStr">
        <is>
          <t>الإجمالي</t>
        </is>
      </c>
    </row>
    <row r="5">
      <c r="A5" s="5" t="n">
        <v>1</v>
      </c>
      <c r="B5" s="17" t="inlineStr">
        <is>
          <t>عدد المحطات</t>
        </is>
      </c>
      <c r="C5" s="8" t="n">
        <v>6</v>
      </c>
      <c r="D5" s="8" t="n">
        <v>17</v>
      </c>
      <c r="E5" s="8" t="n">
        <v>26</v>
      </c>
      <c r="F5" s="8" t="n">
        <v>92</v>
      </c>
      <c r="G5" s="21">
        <f>SUM(C5:F5)</f>
        <v/>
      </c>
    </row>
    <row r="6">
      <c r="A6" s="5" t="n">
        <v>2</v>
      </c>
      <c r="B6" s="17" t="inlineStr">
        <is>
          <t>الكميات (مليون لتر)</t>
        </is>
      </c>
      <c r="C6" s="11" t="n">
        <v>91.8</v>
      </c>
      <c r="D6" s="11" t="n">
        <v>77.7</v>
      </c>
      <c r="E6" s="11" t="n">
        <v>141.2</v>
      </c>
      <c r="F6" s="11" t="n">
        <v>350.8</v>
      </c>
      <c r="G6" s="27">
        <f>SUM(C6:F6)</f>
        <v/>
      </c>
    </row>
    <row r="7">
      <c r="A7" s="5" t="n">
        <v>3</v>
      </c>
      <c r="B7" s="17" t="inlineStr">
        <is>
          <t>الإيراد</t>
        </is>
      </c>
      <c r="C7" s="8" t="n">
        <v>174309</v>
      </c>
      <c r="D7" s="8" t="n">
        <v>146564</v>
      </c>
      <c r="E7" s="8" t="n">
        <v>268915</v>
      </c>
      <c r="F7" s="8" t="n">
        <v>583790</v>
      </c>
      <c r="G7" s="21">
        <f>SUM(C7:F7)</f>
        <v/>
      </c>
    </row>
    <row r="8">
      <c r="A8" s="5" t="n">
        <v>4</v>
      </c>
      <c r="B8" s="17" t="inlineStr">
        <is>
          <t>تكلفة المبيعات</t>
        </is>
      </c>
      <c r="C8" s="8" t="n">
        <v>-163544</v>
      </c>
      <c r="D8" s="8" t="n">
        <v>-137777</v>
      </c>
      <c r="E8" s="8" t="n">
        <v>-252931</v>
      </c>
      <c r="F8" s="8" t="n">
        <v>-579654</v>
      </c>
      <c r="G8" s="21">
        <f>SUM(C8:F8)</f>
        <v/>
      </c>
    </row>
    <row r="9">
      <c r="A9" s="19" t="n">
        <v>5</v>
      </c>
      <c r="B9" s="20" t="inlineStr">
        <is>
          <t>هامش المساهمة — الوقود</t>
        </is>
      </c>
      <c r="C9" s="21" t="n">
        <v>10765</v>
      </c>
      <c r="D9" s="21" t="n">
        <v>8787</v>
      </c>
      <c r="E9" s="21" t="n">
        <v>15984</v>
      </c>
      <c r="F9" s="21" t="n">
        <v>4136</v>
      </c>
      <c r="G9" s="21">
        <f>SUM(C9:F9)</f>
        <v/>
      </c>
    </row>
    <row r="10">
      <c r="A10" s="5" t="n">
        <v>6</v>
      </c>
      <c r="B10" s="17" t="inlineStr">
        <is>
          <t>الدخل الإيجاري</t>
        </is>
      </c>
      <c r="C10" s="8" t="n">
        <v>19050</v>
      </c>
      <c r="D10" s="8" t="n">
        <v>10834</v>
      </c>
      <c r="E10" s="8" t="n">
        <v>2512</v>
      </c>
      <c r="F10" s="8" t="n">
        <v>2037</v>
      </c>
      <c r="G10" s="21">
        <f>SUM(C10:F10)</f>
        <v/>
      </c>
    </row>
    <row r="11">
      <c r="A11" s="5" t="n">
        <v>7</v>
      </c>
      <c r="B11" s="17" t="inlineStr">
        <is>
          <t>إهلاك حق الاستخدام</t>
        </is>
      </c>
      <c r="C11" s="8" t="n">
        <v>-5635</v>
      </c>
      <c r="D11" s="8" t="n">
        <v>-8874</v>
      </c>
      <c r="E11" s="8" t="n">
        <v>-557</v>
      </c>
      <c r="F11" s="8" t="n">
        <v>-281</v>
      </c>
      <c r="G11" s="21">
        <f>SUM(C11:F11)</f>
        <v/>
      </c>
    </row>
    <row r="12">
      <c r="A12" s="5" t="n">
        <v>8</v>
      </c>
      <c r="B12" s="17" t="inlineStr">
        <is>
          <t>تكلفة التمويل</t>
        </is>
      </c>
      <c r="C12" s="8" t="n">
        <v>-5032</v>
      </c>
      <c r="D12" s="8" t="n">
        <v>-8165</v>
      </c>
      <c r="E12" s="8" t="n">
        <v>-631</v>
      </c>
      <c r="F12" s="8" t="n">
        <v>-1696</v>
      </c>
      <c r="G12" s="21">
        <f>SUM(C12:F12)</f>
        <v/>
      </c>
    </row>
    <row r="13">
      <c r="A13" s="19" t="n">
        <v>9</v>
      </c>
      <c r="B13" s="20" t="inlineStr">
        <is>
          <t>هامش المساهمة — الإيجار</t>
        </is>
      </c>
      <c r="C13" s="21" t="n">
        <v>6427</v>
      </c>
      <c r="D13" s="21" t="n">
        <v>-7141</v>
      </c>
      <c r="E13" s="21" t="n">
        <v>1248</v>
      </c>
      <c r="F13" s="21" t="n">
        <v>60</v>
      </c>
      <c r="G13" s="21">
        <f>SUM(C13:F13)</f>
        <v/>
      </c>
    </row>
    <row r="14">
      <c r="A14" s="5" t="n">
        <v>10</v>
      </c>
      <c r="B14" s="17" t="inlineStr">
        <is>
          <t>مصاريف تشغيل المحطات</t>
        </is>
      </c>
      <c r="C14" s="8" t="n">
        <v>-10167</v>
      </c>
      <c r="D14" s="8" t="n">
        <v>-4378</v>
      </c>
      <c r="E14" s="8" t="n">
        <v>-13896</v>
      </c>
      <c r="F14" s="8" t="n">
        <v>-144</v>
      </c>
      <c r="G14" s="21">
        <f>SUM(C14:F14)</f>
        <v/>
      </c>
    </row>
    <row r="15">
      <c r="A15" s="19" t="n">
        <v>11</v>
      </c>
      <c r="B15" s="20" t="inlineStr">
        <is>
          <t>مجمل الربح</t>
        </is>
      </c>
      <c r="C15" s="21" t="n">
        <v>7025</v>
      </c>
      <c r="D15" s="21" t="n">
        <v>-2734</v>
      </c>
      <c r="E15" s="21" t="n">
        <v>3295</v>
      </c>
      <c r="F15" s="21" t="n">
        <v>4052</v>
      </c>
      <c r="G15" s="21">
        <f>SUM(C15:F15)</f>
        <v/>
      </c>
    </row>
    <row r="16">
      <c r="A16" s="5" t="n">
        <v>12</v>
      </c>
      <c r="B16" s="17" t="inlineStr">
        <is>
          <t>بيع وتسويق (محمّل)</t>
        </is>
      </c>
      <c r="C16" s="8" t="n">
        <v>-597</v>
      </c>
      <c r="D16" s="8" t="n">
        <v>-597</v>
      </c>
      <c r="E16" s="8" t="n">
        <v>-717</v>
      </c>
      <c r="F16" s="8" t="n">
        <v>-478</v>
      </c>
      <c r="G16" s="21">
        <f>SUM(C16:F16)</f>
        <v/>
      </c>
    </row>
    <row r="17">
      <c r="A17" s="5" t="n">
        <v>13</v>
      </c>
      <c r="B17" s="17" t="inlineStr">
        <is>
          <t>عمومية وإدارية (محمّل)</t>
        </is>
      </c>
      <c r="C17" s="8" t="n">
        <v>-2921</v>
      </c>
      <c r="D17" s="8" t="n">
        <v>-2921</v>
      </c>
      <c r="E17" s="8" t="n">
        <v>-3505</v>
      </c>
      <c r="F17" s="8" t="n">
        <v>-2337</v>
      </c>
      <c r="G17" s="21">
        <f>SUM(C17:F17)</f>
        <v/>
      </c>
    </row>
    <row r="18">
      <c r="A18" s="5" t="n">
        <v>14</v>
      </c>
      <c r="B18" s="17" t="inlineStr">
        <is>
          <t>فوائد القروض (محمّل)</t>
        </is>
      </c>
      <c r="C18" s="8" t="n">
        <v>-761</v>
      </c>
      <c r="D18" s="8" t="n">
        <v>-761</v>
      </c>
      <c r="E18" s="8" t="n">
        <v>-913</v>
      </c>
      <c r="F18" s="8" t="n">
        <v>-609</v>
      </c>
      <c r="G18" s="21">
        <f>SUM(C18:F18)</f>
        <v/>
      </c>
    </row>
    <row r="19">
      <c r="A19" s="14" t="n">
        <v>15</v>
      </c>
      <c r="B19" s="15" t="inlineStr">
        <is>
          <t>صافي الربح</t>
        </is>
      </c>
      <c r="C19" s="16" t="n">
        <v>2722</v>
      </c>
      <c r="D19" s="16" t="n">
        <v>-7038</v>
      </c>
      <c r="E19" s="16" t="n">
        <v>-1869</v>
      </c>
      <c r="F19" s="16" t="n">
        <v>609</v>
      </c>
      <c r="G19" s="16">
        <f>SUM(C19:F19)</f>
        <v/>
      </c>
    </row>
    <row r="21" ht="22" customHeight="1">
      <c r="A21" s="3" t="inlineStr">
        <is>
          <t>② وبالهللة لكل لتر — وهنا يُقرأ الفارق</t>
        </is>
      </c>
    </row>
    <row r="22" ht="30" customHeight="1">
      <c r="A22" s="4" t="inlineStr">
        <is>
          <t>#</t>
        </is>
      </c>
      <c r="B22" s="4" t="inlineStr">
        <is>
          <t>البند</t>
        </is>
      </c>
      <c r="C22" s="4" t="inlineStr">
        <is>
          <t>استثماري</t>
        </is>
      </c>
      <c r="D22" s="4" t="inlineStr">
        <is>
          <t>إيجاري</t>
        </is>
      </c>
      <c r="E22" s="4" t="inlineStr">
        <is>
          <t>تشغيلي</t>
        </is>
      </c>
      <c r="F22" s="4" t="inlineStr">
        <is>
          <t>امتياز</t>
        </is>
      </c>
      <c r="G22" s="4" t="inlineStr">
        <is>
          <t>الشبكة</t>
        </is>
      </c>
    </row>
    <row r="23">
      <c r="A23" s="5" t="n">
        <v>1</v>
      </c>
      <c r="B23" s="17" t="inlineStr">
        <is>
          <t>سعر البيع المحقَّق</t>
        </is>
      </c>
      <c r="C23" s="28">
        <f>ABS(C7)/(C6*1000)*100</f>
        <v/>
      </c>
      <c r="D23" s="28">
        <f>ABS(D7)/(D6*1000)*100</f>
        <v/>
      </c>
      <c r="E23" s="28">
        <f>ABS(E7)/(E6*1000)*100</f>
        <v/>
      </c>
      <c r="F23" s="28">
        <f>ABS(F7)/(F6*1000)*100</f>
        <v/>
      </c>
      <c r="G23" s="28">
        <f>ABS(G7)/(G6*1000)*100</f>
        <v/>
      </c>
    </row>
    <row r="24">
      <c r="A24" s="5" t="n">
        <v>2</v>
      </c>
      <c r="B24" s="17" t="inlineStr">
        <is>
          <t>شراء الوقود</t>
        </is>
      </c>
      <c r="C24" s="28">
        <f>ABS(C8)/(C6*1000)*100</f>
        <v/>
      </c>
      <c r="D24" s="28">
        <f>ABS(D8)/(D6*1000)*100</f>
        <v/>
      </c>
      <c r="E24" s="28">
        <f>ABS(E8)/(E6*1000)*100</f>
        <v/>
      </c>
      <c r="F24" s="28">
        <f>ABS(F8)/(F6*1000)*100</f>
        <v/>
      </c>
      <c r="G24" s="28">
        <f>ABS(G8)/(G6*1000)*100</f>
        <v/>
      </c>
    </row>
    <row r="25">
      <c r="A25" s="19" t="n">
        <v>3</v>
      </c>
      <c r="B25" s="20" t="inlineStr">
        <is>
          <t>هامش المساهمة</t>
        </is>
      </c>
      <c r="C25" s="29">
        <f>ABS(C9)/(C6*1000)*100</f>
        <v/>
      </c>
      <c r="D25" s="29">
        <f>ABS(D9)/(D6*1000)*100</f>
        <v/>
      </c>
      <c r="E25" s="29">
        <f>ABS(E9)/(E6*1000)*100</f>
        <v/>
      </c>
      <c r="F25" s="29">
        <f>ABS(F9)/(F6*1000)*100</f>
        <v/>
      </c>
      <c r="G25" s="29">
        <f>ABS(G9)/(G6*1000)*100</f>
        <v/>
      </c>
    </row>
    <row r="26">
      <c r="A26" s="5" t="n">
        <v>4</v>
      </c>
      <c r="B26" s="17" t="inlineStr">
        <is>
          <t>مصاريف تشغيل المحطة</t>
        </is>
      </c>
      <c r="C26" s="28">
        <f>ABS(C14)/(C6*1000)*100</f>
        <v/>
      </c>
      <c r="D26" s="28">
        <f>ABS(D14)/(D6*1000)*100</f>
        <v/>
      </c>
      <c r="E26" s="28">
        <f>ABS(E14)/(E6*1000)*100</f>
        <v/>
      </c>
      <c r="F26" s="28">
        <f>ABS(F14)/(F6*1000)*100</f>
        <v/>
      </c>
      <c r="G26" s="28">
        <f>ABS(G14)/(G6*1000)*100</f>
        <v/>
      </c>
    </row>
    <row r="27">
      <c r="A27" s="5" t="n">
        <v>5</v>
      </c>
      <c r="B27" s="17" t="inlineStr">
        <is>
          <t>محمّلات المركز</t>
        </is>
      </c>
      <c r="C27" s="28">
        <f>ABS((C16+C17+C18))/(C6*1000)*100</f>
        <v/>
      </c>
      <c r="D27" s="28">
        <f>ABS((D16+D17+D18))/(D6*1000)*100</f>
        <v/>
      </c>
      <c r="E27" s="28">
        <f>ABS((E16+E17+E18))/(E6*1000)*100</f>
        <v/>
      </c>
      <c r="F27" s="28">
        <f>ABS((F16+F17+F18))/(F6*1000)*100</f>
        <v/>
      </c>
      <c r="G27" s="28">
        <f>ABS((G16+G17+G18))/(G6*1000)*100</f>
        <v/>
      </c>
    </row>
    <row r="28">
      <c r="A28" s="14" t="n">
        <v>6</v>
      </c>
      <c r="B28" s="15" t="inlineStr">
        <is>
          <t>صافي الربح</t>
        </is>
      </c>
      <c r="C28" s="30">
        <f>C19/(C6*1000)*100</f>
        <v/>
      </c>
      <c r="D28" s="30">
        <f>D19/(D6*1000)*100</f>
        <v/>
      </c>
      <c r="E28" s="30">
        <f>E19/(E6*1000)*100</f>
        <v/>
      </c>
      <c r="F28" s="30">
        <f>F19/(F6*1000)*100</f>
        <v/>
      </c>
      <c r="G28" s="30">
        <f>G19/(G6*1000)*100</f>
        <v/>
      </c>
    </row>
    <row r="30">
      <c r="B30" s="26" t="inlineStr">
        <is>
          <t>التكاليف تُعرض بمقدارها، والصافي بإشارته — فالإيجاري −٩٫٠٦ هللة لكل لتر والاستثماري +٢٫٩٧.</t>
        </is>
      </c>
    </row>
  </sheetData>
  <mergeCells count="4">
    <mergeCell ref="A21:G21"/>
    <mergeCell ref="A3:G3"/>
    <mergeCell ref="A2:G2"/>
    <mergeCell ref="A1:G1"/>
  </mergeCells>
  <conditionalFormatting sqref="C19:G19">
    <cfRule type="cellIs" priority="1" operator="lessThan" dxfId="2">
      <formula>0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3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6" customHeight="1">
      <c r="A1" s="1" t="inlineStr">
        <is>
          <t>أعلى عشر محطات ربحاً · وثمانية عشرة خاسرة</t>
        </is>
      </c>
    </row>
    <row r="2" ht="16" customHeight="1">
      <c r="A2" s="2" t="inlineStr">
        <is>
          <t>هامش الوقود لا يفرّق بينهما — فالخسارة ليست في الوقود</t>
        </is>
      </c>
    </row>
    <row r="3" ht="22" customHeight="1">
      <c r="A3" s="3" t="inlineStr">
        <is>
          <t>① أعلى عشر محطات ربحاً</t>
        </is>
      </c>
    </row>
    <row r="4" ht="30" customHeight="1">
      <c r="A4" s="4" t="inlineStr">
        <is>
          <t>#</t>
        </is>
      </c>
      <c r="B4" s="4" t="inlineStr">
        <is>
          <t>الكود</t>
        </is>
      </c>
      <c r="C4" s="4" t="inlineStr">
        <is>
          <t>المحطة</t>
        </is>
      </c>
      <c r="D4" s="4" t="inlineStr">
        <is>
          <t>النموذج</t>
        </is>
      </c>
      <c r="E4" s="4" t="inlineStr">
        <is>
          <t>الإيراد التراكمي</t>
        </is>
      </c>
      <c r="F4" s="4" t="inlineStr">
        <is>
          <t>صافي الدخل</t>
        </is>
      </c>
      <c r="G4" s="4" t="inlineStr">
        <is>
          <t>النسبة</t>
        </is>
      </c>
      <c r="H4" s="4" t="inlineStr">
        <is>
          <t>هامش الوقود</t>
        </is>
      </c>
    </row>
    <row r="5">
      <c r="A5" s="5" t="n">
        <v>1</v>
      </c>
      <c r="B5" s="5" t="inlineStr">
        <is>
          <t>MK003</t>
        </is>
      </c>
      <c r="C5" s="6" t="inlineStr">
        <is>
          <t>العوالي</t>
        </is>
      </c>
      <c r="D5" s="5" t="inlineStr">
        <is>
          <t>استثماري</t>
        </is>
      </c>
      <c r="E5" s="8" t="n">
        <v>40346</v>
      </c>
      <c r="F5" s="7" t="n">
        <v>5052</v>
      </c>
      <c r="G5" s="31">
        <f>IFERROR(F5/E5,0)</f>
        <v/>
      </c>
      <c r="H5" s="32" t="n">
        <v>0.0668</v>
      </c>
    </row>
    <row r="6">
      <c r="A6" s="5" t="n">
        <v>2</v>
      </c>
      <c r="B6" s="5" t="inlineStr">
        <is>
          <t>MK007</t>
        </is>
      </c>
      <c r="C6" s="6" t="inlineStr">
        <is>
          <t>العمرة</t>
        </is>
      </c>
      <c r="D6" s="5" t="inlineStr">
        <is>
          <t>استثماري</t>
        </is>
      </c>
      <c r="E6" s="8" t="n">
        <v>50659</v>
      </c>
      <c r="F6" s="7" t="n">
        <v>1605</v>
      </c>
      <c r="G6" s="31">
        <f>IFERROR(F6/E6,0)</f>
        <v/>
      </c>
      <c r="H6" s="32" t="n">
        <v>0.0553</v>
      </c>
    </row>
    <row r="7">
      <c r="A7" s="5" t="n">
        <v>3</v>
      </c>
      <c r="B7" s="5" t="inlineStr">
        <is>
          <t>MK004</t>
        </is>
      </c>
      <c r="C7" s="6" t="inlineStr">
        <is>
          <t>عاصفة الصحراء</t>
        </is>
      </c>
      <c r="D7" s="5" t="inlineStr">
        <is>
          <t>استثماري</t>
        </is>
      </c>
      <c r="E7" s="8" t="n">
        <v>33359</v>
      </c>
      <c r="F7" s="7" t="n">
        <v>1129</v>
      </c>
      <c r="G7" s="31">
        <f>IFERROR(F7/E7,0)</f>
        <v/>
      </c>
      <c r="H7" s="32" t="n">
        <v>0.055</v>
      </c>
    </row>
    <row r="8">
      <c r="A8" s="5" t="n">
        <v>4</v>
      </c>
      <c r="B8" s="5" t="inlineStr">
        <is>
          <t>MK289</t>
        </is>
      </c>
      <c r="C8" s="6" t="inlineStr">
        <is>
          <t>طريق الليث - الفضيلة</t>
        </is>
      </c>
      <c r="D8" s="5" t="inlineStr">
        <is>
          <t>تشغيلي</t>
        </is>
      </c>
      <c r="E8" s="8" t="n">
        <v>7064</v>
      </c>
      <c r="F8" s="7" t="n">
        <v>1047</v>
      </c>
      <c r="G8" s="31">
        <f>IFERROR(F8/E8,0)</f>
        <v/>
      </c>
      <c r="H8" s="32" t="n">
        <v>0.0416</v>
      </c>
    </row>
    <row r="9">
      <c r="A9" s="5" t="n">
        <v>5</v>
      </c>
      <c r="B9" s="5" t="inlineStr">
        <is>
          <t>MK005</t>
        </is>
      </c>
      <c r="C9" s="6" t="inlineStr">
        <is>
          <t>الشبيكي</t>
        </is>
      </c>
      <c r="D9" s="5" t="inlineStr">
        <is>
          <t>استثماري</t>
        </is>
      </c>
      <c r="E9" s="8" t="n">
        <v>18962</v>
      </c>
      <c r="F9" s="7" t="n">
        <v>661</v>
      </c>
      <c r="G9" s="31">
        <f>IFERROR(F9/E9,0)</f>
        <v/>
      </c>
      <c r="H9" s="32" t="n">
        <v>0.0675</v>
      </c>
    </row>
    <row r="10">
      <c r="A10" s="5" t="n">
        <v>6</v>
      </c>
      <c r="B10" s="5" t="inlineStr">
        <is>
          <t>MK008</t>
        </is>
      </c>
      <c r="C10" s="6" t="inlineStr">
        <is>
          <t>جنوب الحسينية</t>
        </is>
      </c>
      <c r="D10" s="5" t="inlineStr">
        <is>
          <t>إيجاري</t>
        </is>
      </c>
      <c r="E10" s="8" t="n">
        <v>23775</v>
      </c>
      <c r="F10" s="7" t="n">
        <v>632</v>
      </c>
      <c r="G10" s="31">
        <f>IFERROR(F10/E10,0)</f>
        <v/>
      </c>
      <c r="H10" s="32" t="n">
        <v>0.0511</v>
      </c>
    </row>
    <row r="11">
      <c r="A11" s="5" t="n">
        <v>7</v>
      </c>
      <c r="B11" s="5" t="inlineStr">
        <is>
          <t>MK072</t>
        </is>
      </c>
      <c r="C11" s="6" t="inlineStr">
        <is>
          <t>العزيزية بن دهيش</t>
        </is>
      </c>
      <c r="D11" s="5" t="inlineStr">
        <is>
          <t>تشغيلي</t>
        </is>
      </c>
      <c r="E11" s="8" t="n">
        <v>20945</v>
      </c>
      <c r="F11" s="7" t="n">
        <v>621</v>
      </c>
      <c r="G11" s="31">
        <f>IFERROR(F11/E11,0)</f>
        <v/>
      </c>
      <c r="H11" s="32" t="n">
        <v>0.063</v>
      </c>
    </row>
    <row r="12">
      <c r="A12" s="5" t="n">
        <v>8</v>
      </c>
      <c r="B12" s="5" t="inlineStr">
        <is>
          <t>MK006</t>
        </is>
      </c>
      <c r="C12" s="6" t="inlineStr">
        <is>
          <t>جنوب الطائف</t>
        </is>
      </c>
      <c r="D12" s="5" t="inlineStr">
        <is>
          <t>استثماري</t>
        </is>
      </c>
      <c r="E12" s="8" t="n">
        <v>15868</v>
      </c>
      <c r="F12" s="7" t="n">
        <v>550</v>
      </c>
      <c r="G12" s="31">
        <f>IFERROR(F12/E12,0)</f>
        <v/>
      </c>
      <c r="H12" s="32" t="n">
        <v>0.0677</v>
      </c>
    </row>
    <row r="13">
      <c r="A13" s="5" t="n">
        <v>9</v>
      </c>
      <c r="B13" s="5" t="inlineStr">
        <is>
          <t>MK001</t>
        </is>
      </c>
      <c r="C13" s="6" t="inlineStr">
        <is>
          <t>جبل النور</t>
        </is>
      </c>
      <c r="D13" s="5" t="inlineStr">
        <is>
          <t>استثماري</t>
        </is>
      </c>
      <c r="E13" s="8" t="n">
        <v>15017</v>
      </c>
      <c r="F13" s="7" t="n">
        <v>508</v>
      </c>
      <c r="G13" s="31">
        <f>IFERROR(F13/E13,0)</f>
        <v/>
      </c>
      <c r="H13" s="32" t="n">
        <v>0.06909999999999999</v>
      </c>
    </row>
    <row r="14">
      <c r="A14" s="5" t="n">
        <v>10</v>
      </c>
      <c r="B14" s="5" t="inlineStr">
        <is>
          <t>MK046</t>
        </is>
      </c>
      <c r="C14" s="6" t="inlineStr">
        <is>
          <t>الحليس</t>
        </is>
      </c>
      <c r="D14" s="5" t="inlineStr">
        <is>
          <t>تشغيلي</t>
        </is>
      </c>
      <c r="E14" s="8" t="n">
        <v>20822</v>
      </c>
      <c r="F14" s="7" t="n">
        <v>477</v>
      </c>
      <c r="G14" s="31">
        <f>IFERROR(F14/E14,0)</f>
        <v/>
      </c>
      <c r="H14" s="32" t="n">
        <v>0.0558</v>
      </c>
    </row>
    <row r="15">
      <c r="A15" s="14" t="inlineStr"/>
      <c r="B15" s="14" t="inlineStr"/>
      <c r="C15" s="15" t="inlineStr">
        <is>
          <t>المجموع</t>
        </is>
      </c>
      <c r="D15" s="14" t="inlineStr"/>
      <c r="E15" s="16">
        <f>SUM(E5:E14)</f>
        <v/>
      </c>
      <c r="F15" s="16">
        <f>SUM(F5:F14)</f>
        <v/>
      </c>
      <c r="G15" s="14" t="inlineStr"/>
      <c r="H15" s="33">
        <f>MEDIAN(H5:H14)</f>
        <v/>
      </c>
    </row>
    <row r="18" ht="22" customHeight="1">
      <c r="A18" s="3" t="inlineStr">
        <is>
          <t>② المحطات الخاسرة — ثمانية عشرة</t>
        </is>
      </c>
    </row>
    <row r="19" ht="30" customHeight="1">
      <c r="A19" s="4" t="inlineStr">
        <is>
          <t>#</t>
        </is>
      </c>
      <c r="B19" s="4" t="inlineStr">
        <is>
          <t>الكود</t>
        </is>
      </c>
      <c r="C19" s="4" t="inlineStr">
        <is>
          <t>المحطة</t>
        </is>
      </c>
      <c r="D19" s="4" t="inlineStr">
        <is>
          <t>النموذج</t>
        </is>
      </c>
      <c r="E19" s="4" t="inlineStr">
        <is>
          <t>الإيراد التراكمي</t>
        </is>
      </c>
      <c r="F19" s="4" t="inlineStr">
        <is>
          <t>صافي الدخل</t>
        </is>
      </c>
      <c r="G19" s="4" t="inlineStr">
        <is>
          <t>النسبة</t>
        </is>
      </c>
      <c r="H19" s="4" t="inlineStr">
        <is>
          <t>هامش الوقود</t>
        </is>
      </c>
    </row>
    <row r="20">
      <c r="A20" s="5" t="n">
        <v>1</v>
      </c>
      <c r="B20" s="5" t="inlineStr">
        <is>
          <t>NB130</t>
        </is>
      </c>
      <c r="C20" s="6" t="inlineStr">
        <is>
          <t>طريق الأمير سلطان</t>
        </is>
      </c>
      <c r="D20" s="5" t="inlineStr">
        <is>
          <t>امتياز</t>
        </is>
      </c>
      <c r="E20" s="8" t="n">
        <v>223</v>
      </c>
      <c r="F20" s="7" t="n">
        <v>-1</v>
      </c>
      <c r="G20" s="31">
        <f>IFERROR(F20/E20,0)</f>
        <v/>
      </c>
      <c r="H20" s="32" t="n">
        <v>-0.0036</v>
      </c>
    </row>
    <row r="21">
      <c r="A21" s="5" t="n">
        <v>2</v>
      </c>
      <c r="B21" s="5" t="inlineStr">
        <is>
          <t>AS175</t>
        </is>
      </c>
      <c r="C21" s="6" t="inlineStr">
        <is>
          <t>الروابي طارق</t>
        </is>
      </c>
      <c r="D21" s="5" t="inlineStr">
        <is>
          <t>امتياز</t>
        </is>
      </c>
      <c r="E21" s="8" t="n">
        <v>1405</v>
      </c>
      <c r="F21" s="7" t="n">
        <v>-2</v>
      </c>
      <c r="G21" s="31">
        <f>IFERROR(F21/E21,0)</f>
        <v/>
      </c>
      <c r="H21" s="32" t="n">
        <v>0.0024</v>
      </c>
    </row>
    <row r="22">
      <c r="A22" s="5" t="n">
        <v>3</v>
      </c>
      <c r="B22" s="5" t="inlineStr">
        <is>
          <t>TB032</t>
        </is>
      </c>
      <c r="C22" s="6" t="inlineStr">
        <is>
          <t>السيا</t>
        </is>
      </c>
      <c r="D22" s="5" t="inlineStr">
        <is>
          <t>امتياز</t>
        </is>
      </c>
      <c r="E22" s="8" t="n">
        <v>346</v>
      </c>
      <c r="F22" s="7" t="n">
        <v>-12</v>
      </c>
      <c r="G22" s="31">
        <f>IFERROR(F22/E22,0)</f>
        <v/>
      </c>
      <c r="H22" s="32" t="n">
        <v>0.0192</v>
      </c>
    </row>
    <row r="23">
      <c r="A23" s="5" t="n">
        <v>4</v>
      </c>
      <c r="B23" s="5" t="inlineStr">
        <is>
          <t>MK205</t>
        </is>
      </c>
      <c r="C23" s="6" t="inlineStr">
        <is>
          <t>بئر الروة</t>
        </is>
      </c>
      <c r="D23" s="5" t="inlineStr">
        <is>
          <t>امتياز</t>
        </is>
      </c>
      <c r="E23" s="8" t="n">
        <v>8768</v>
      </c>
      <c r="F23" s="7" t="n">
        <v>-19</v>
      </c>
      <c r="G23" s="31">
        <f>IFERROR(F23/E23,0)</f>
        <v/>
      </c>
      <c r="H23" s="32" t="n">
        <v>-0.002</v>
      </c>
    </row>
    <row r="24">
      <c r="A24" s="5" t="n">
        <v>5</v>
      </c>
      <c r="B24" s="5" t="inlineStr">
        <is>
          <t>MK017</t>
        </is>
      </c>
      <c r="C24" s="6" t="inlineStr">
        <is>
          <t>عرفات الشوقية</t>
        </is>
      </c>
      <c r="D24" s="5" t="inlineStr">
        <is>
          <t>إيجاري</t>
        </is>
      </c>
      <c r="E24" s="8" t="n">
        <v>10676</v>
      </c>
      <c r="F24" s="7" t="n">
        <v>-23</v>
      </c>
      <c r="G24" s="31">
        <f>IFERROR(F24/E24,0)</f>
        <v/>
      </c>
      <c r="H24" s="32" t="n">
        <v>0.0668</v>
      </c>
    </row>
    <row r="25">
      <c r="A25" s="5" t="n">
        <v>6</v>
      </c>
      <c r="B25" s="5" t="inlineStr">
        <is>
          <t>NJ219</t>
        </is>
      </c>
      <c r="C25" s="6" t="inlineStr">
        <is>
          <t>المركب</t>
        </is>
      </c>
      <c r="D25" s="5" t="inlineStr">
        <is>
          <t>تشغيلي</t>
        </is>
      </c>
      <c r="E25" s="8" t="n">
        <v>425</v>
      </c>
      <c r="F25" s="7" t="n">
        <v>-26</v>
      </c>
      <c r="G25" s="31">
        <f>IFERROR(F25/E25,0)</f>
        <v/>
      </c>
      <c r="H25" s="32" t="n">
        <v>0.0397</v>
      </c>
    </row>
    <row r="26">
      <c r="A26" s="5" t="n">
        <v>7</v>
      </c>
      <c r="B26" s="5" t="inlineStr">
        <is>
          <t>BH050</t>
        </is>
      </c>
      <c r="C26" s="6" t="inlineStr">
        <is>
          <t>الطاولة</t>
        </is>
      </c>
      <c r="D26" s="5" t="inlineStr">
        <is>
          <t>إيجاري</t>
        </is>
      </c>
      <c r="E26" s="8" t="n">
        <v>1937</v>
      </c>
      <c r="F26" s="7" t="n">
        <v>-34</v>
      </c>
      <c r="G26" s="31">
        <f>IFERROR(F26/E26,0)</f>
        <v/>
      </c>
      <c r="H26" s="32" t="n">
        <v>0.0607</v>
      </c>
    </row>
    <row r="27">
      <c r="A27" s="5" t="n">
        <v>8</v>
      </c>
      <c r="B27" s="5" t="inlineStr">
        <is>
          <t>MK311-F</t>
        </is>
      </c>
      <c r="C27" s="6" t="inlineStr">
        <is>
          <t>نوير</t>
        </is>
      </c>
      <c r="D27" s="5" t="inlineStr">
        <is>
          <t>امتياز</t>
        </is>
      </c>
      <c r="E27" s="8" t="n">
        <v>2647</v>
      </c>
      <c r="F27" s="7" t="n">
        <v>-38</v>
      </c>
      <c r="G27" s="31">
        <f>IFERROR(F27/E27,0)</f>
        <v/>
      </c>
      <c r="H27" s="32" t="n">
        <v>0.0052</v>
      </c>
    </row>
    <row r="28">
      <c r="A28" s="5" t="n">
        <v>9</v>
      </c>
      <c r="B28" s="5" t="inlineStr">
        <is>
          <t>MK018</t>
        </is>
      </c>
      <c r="C28" s="6" t="inlineStr">
        <is>
          <t>عرفات الرصيفة مسار</t>
        </is>
      </c>
      <c r="D28" s="5" t="inlineStr">
        <is>
          <t>إيجاري</t>
        </is>
      </c>
      <c r="E28" s="8" t="n">
        <v>9761</v>
      </c>
      <c r="F28" s="7" t="n">
        <v>-39</v>
      </c>
      <c r="G28" s="31">
        <f>IFERROR(F28/E28,0)</f>
        <v/>
      </c>
      <c r="H28" s="32" t="n">
        <v>0.0602</v>
      </c>
    </row>
    <row r="29">
      <c r="A29" s="5" t="n">
        <v>10</v>
      </c>
      <c r="B29" s="5" t="inlineStr">
        <is>
          <t>MK022</t>
        </is>
      </c>
      <c r="C29" s="6" t="inlineStr">
        <is>
          <t>بطحاء قريش ١</t>
        </is>
      </c>
      <c r="D29" s="5" t="inlineStr">
        <is>
          <t>إيجاري</t>
        </is>
      </c>
      <c r="E29" s="8" t="n">
        <v>9535</v>
      </c>
      <c r="F29" s="7" t="n">
        <v>-65</v>
      </c>
      <c r="G29" s="31">
        <f>IFERROR(F29/E29,0)</f>
        <v/>
      </c>
      <c r="H29" s="32" t="n">
        <v>0.0547</v>
      </c>
    </row>
    <row r="30">
      <c r="A30" s="5" t="n">
        <v>11</v>
      </c>
      <c r="B30" s="5" t="inlineStr">
        <is>
          <t>JA061</t>
        </is>
      </c>
      <c r="C30" s="6" t="inlineStr">
        <is>
          <t>صبيا</t>
        </is>
      </c>
      <c r="D30" s="5" t="inlineStr">
        <is>
          <t>إيجاري</t>
        </is>
      </c>
      <c r="E30" s="8" t="n">
        <v>7036</v>
      </c>
      <c r="F30" s="7" t="n">
        <v>-71</v>
      </c>
      <c r="G30" s="31">
        <f>IFERROR(F30/E30,0)</f>
        <v/>
      </c>
      <c r="H30" s="32" t="n">
        <v>0.0496</v>
      </c>
    </row>
    <row r="31">
      <c r="A31" s="5" t="n">
        <v>12</v>
      </c>
      <c r="B31" s="5" t="inlineStr">
        <is>
          <t>RY025</t>
        </is>
      </c>
      <c r="C31" s="6" t="inlineStr">
        <is>
          <t>الحمراء</t>
        </is>
      </c>
      <c r="D31" s="5" t="inlineStr">
        <is>
          <t>إيجاري</t>
        </is>
      </c>
      <c r="E31" s="8" t="n">
        <v>8792</v>
      </c>
      <c r="F31" s="7" t="n">
        <v>-80</v>
      </c>
      <c r="G31" s="31">
        <f>IFERROR(F31/E31,0)</f>
        <v/>
      </c>
      <c r="H31" s="32" t="n">
        <v>0.0617</v>
      </c>
    </row>
    <row r="32">
      <c r="A32" s="5" t="n">
        <v>13</v>
      </c>
      <c r="B32" s="5" t="inlineStr">
        <is>
          <t>MK002</t>
        </is>
      </c>
      <c r="C32" s="6" t="inlineStr">
        <is>
          <t>المعيصم</t>
        </is>
      </c>
      <c r="D32" s="5" t="inlineStr">
        <is>
          <t>إيجاري</t>
        </is>
      </c>
      <c r="E32" s="8" t="n">
        <v>7544</v>
      </c>
      <c r="F32" s="7" t="n">
        <v>-136</v>
      </c>
      <c r="G32" s="31">
        <f>IFERROR(F32/E32,0)</f>
        <v/>
      </c>
      <c r="H32" s="32" t="n">
        <v>0.0668</v>
      </c>
    </row>
    <row r="33">
      <c r="A33" s="5" t="n">
        <v>14</v>
      </c>
      <c r="B33" s="5" t="inlineStr">
        <is>
          <t>MK031</t>
        </is>
      </c>
      <c r="C33" s="6" t="inlineStr">
        <is>
          <t>بطحاء قريش ٢</t>
        </is>
      </c>
      <c r="D33" s="5" t="inlineStr">
        <is>
          <t>إيجاري</t>
        </is>
      </c>
      <c r="E33" s="8" t="n">
        <v>5845</v>
      </c>
      <c r="F33" s="7" t="n">
        <v>-278</v>
      </c>
      <c r="G33" s="31">
        <f>IFERROR(F33/E33,0)</f>
        <v/>
      </c>
      <c r="H33" s="32" t="n">
        <v>0.0582</v>
      </c>
    </row>
    <row r="34">
      <c r="A34" s="5" t="n">
        <v>15</v>
      </c>
      <c r="B34" s="5" t="inlineStr">
        <is>
          <t>MK015</t>
        </is>
      </c>
      <c r="C34" s="6" t="inlineStr">
        <is>
          <t>النسيم</t>
        </is>
      </c>
      <c r="D34" s="5" t="inlineStr">
        <is>
          <t>إيجاري</t>
        </is>
      </c>
      <c r="E34" s="8" t="n">
        <v>19431</v>
      </c>
      <c r="F34" s="7" t="n">
        <v>-525</v>
      </c>
      <c r="G34" s="31">
        <f>IFERROR(F34/E34,0)</f>
        <v/>
      </c>
      <c r="H34" s="32" t="n">
        <v>0.0659</v>
      </c>
    </row>
    <row r="35">
      <c r="A35" s="5" t="n">
        <v>16</v>
      </c>
      <c r="B35" s="5" t="inlineStr">
        <is>
          <t>EP051</t>
        </is>
      </c>
      <c r="C35" s="6" t="inlineStr">
        <is>
          <t>كورنيش الخبر</t>
        </is>
      </c>
      <c r="D35" s="5" t="inlineStr">
        <is>
          <t>إيجاري</t>
        </is>
      </c>
      <c r="E35" s="8" t="n">
        <v>6335</v>
      </c>
      <c r="F35" s="7" t="n">
        <v>-583</v>
      </c>
      <c r="G35" s="31">
        <f>IFERROR(F35/E35,0)</f>
        <v/>
      </c>
      <c r="H35" s="32" t="n">
        <v>0.0639</v>
      </c>
    </row>
    <row r="36">
      <c r="A36" s="5" t="n">
        <v>17</v>
      </c>
      <c r="B36" s="5" t="inlineStr">
        <is>
          <t>RY042</t>
        </is>
      </c>
      <c r="C36" s="6" t="inlineStr">
        <is>
          <t>الحرج طريق الرياض</t>
        </is>
      </c>
      <c r="D36" s="5" t="inlineStr">
        <is>
          <t>إيجاري</t>
        </is>
      </c>
      <c r="E36" s="8" t="n">
        <v>4773</v>
      </c>
      <c r="F36" s="7" t="n">
        <v>-662</v>
      </c>
      <c r="G36" s="31">
        <f>IFERROR(F36/E36,0)</f>
        <v/>
      </c>
      <c r="H36" s="32" t="n">
        <v>0.0605</v>
      </c>
    </row>
    <row r="37">
      <c r="A37" s="5" t="n">
        <v>18</v>
      </c>
      <c r="B37" s="5" t="inlineStr">
        <is>
          <t>MK289</t>
        </is>
      </c>
      <c r="C37" s="6" t="inlineStr">
        <is>
          <t>جديدة - الفضيلة (امتياز)</t>
        </is>
      </c>
      <c r="D37" s="5" t="inlineStr">
        <is>
          <t>امتياز</t>
        </is>
      </c>
      <c r="E37" s="8" t="n">
        <v>22790</v>
      </c>
      <c r="F37" s="7" t="n">
        <v>-1097</v>
      </c>
      <c r="G37" s="31">
        <f>IFERROR(F37/E37,0)</f>
        <v/>
      </c>
      <c r="H37" s="32" t="n">
        <v>0.0049</v>
      </c>
    </row>
    <row r="38">
      <c r="A38" s="14" t="inlineStr"/>
      <c r="B38" s="14" t="inlineStr"/>
      <c r="C38" s="15" t="inlineStr">
        <is>
          <t>المجموع</t>
        </is>
      </c>
      <c r="D38" s="14" t="inlineStr"/>
      <c r="E38" s="16">
        <f>SUM(E20:E37)</f>
        <v/>
      </c>
      <c r="F38" s="16">
        <f>SUM(F20:F37)</f>
        <v/>
      </c>
      <c r="G38" s="14" t="inlineStr"/>
      <c r="H38" s="33">
        <f>MEDIAN(H20:H37)</f>
        <v/>
      </c>
    </row>
    <row r="41">
      <c r="B41" s="26" t="inlineStr">
        <is>
          <t>وسيط هامش الخاسرة أعلى من الرابحة — والخسارة في عقد الإيجار لا في هامش الوقود. انظر ورقة «نماذج العمل».</t>
        </is>
      </c>
    </row>
  </sheetData>
  <mergeCells count="4">
    <mergeCell ref="A18:H18"/>
    <mergeCell ref="A3:H3"/>
    <mergeCell ref="A2:H2"/>
    <mergeCell ref="A1:H1"/>
  </mergeCells>
  <conditionalFormatting sqref="H5:H14">
    <cfRule type="dataBar" priority="1">
      <dataBar>
        <cfvo type="num" val="0"/>
        <cfvo type="num" val="0.08"/>
        <color rgb="00F5831F"/>
      </dataBar>
    </cfRule>
  </conditionalFormatting>
  <conditionalFormatting sqref="F5:F14">
    <cfRule type="cellIs" priority="2" operator="lessThan" dxfId="3">
      <formula>0</formula>
    </cfRule>
  </conditionalFormatting>
  <conditionalFormatting sqref="H20:H37">
    <cfRule type="dataBar" priority="3">
      <dataBar>
        <cfvo type="num" val="0"/>
        <cfvo type="num" val="0.08"/>
        <color rgb="00F5831F"/>
      </dataBar>
    </cfRule>
  </conditionalFormatting>
  <conditionalFormatting sqref="F20:F37">
    <cfRule type="cellIs" priority="4" operator="lessThan" dxfId="3">
      <formula>0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</cols>
  <sheetData>
    <row r="1" ht="26" customHeight="1">
      <c r="A1" s="1" t="inlineStr">
        <is>
          <t>شبكة المحطات — الفعلي مقابل الموازنة</t>
        </is>
      </c>
    </row>
    <row r="2" ht="16" customHeight="1">
      <c r="A2" s="2" t="inlineStr">
        <is>
          <t>١٤٦ محطة فعلاً مقابل موازنة ١٩٨ · وهدف ديسمبر ٢٣٢ يحتاج ١٧ شهرياً والمتحقق ١١</t>
        </is>
      </c>
    </row>
    <row r="3" ht="22" customHeight="1">
      <c r="A3" s="3" t="inlineStr">
        <is>
          <t>المواقع النشطة حسب نموذج العمل</t>
        </is>
      </c>
    </row>
    <row r="4" ht="30" customHeight="1">
      <c r="A4" s="4" t="inlineStr">
        <is>
          <t>#</t>
        </is>
      </c>
      <c r="B4" s="4" t="inlineStr">
        <is>
          <t>النموذج</t>
        </is>
      </c>
      <c r="C4" s="4" t="inlineStr">
        <is>
          <t>موازنة أبريل</t>
        </is>
      </c>
      <c r="D4" s="4" t="inlineStr">
        <is>
          <t>موازنة مايو</t>
        </is>
      </c>
      <c r="E4" s="4" t="inlineStr">
        <is>
          <t>موازنة يونيو</t>
        </is>
      </c>
      <c r="F4" s="4" t="inlineStr">
        <is>
          <t>موازنة يوليو</t>
        </is>
      </c>
      <c r="G4" s="4" t="inlineStr">
        <is>
          <t>يوليو فعلي</t>
        </is>
      </c>
      <c r="H4" s="4" t="inlineStr">
        <is>
          <t>يوليو ٢٠٢٥</t>
        </is>
      </c>
      <c r="I4" s="4" t="inlineStr">
        <is>
          <t>موازنة ديسمبر</t>
        </is>
      </c>
      <c r="J4" s="4" t="inlineStr">
        <is>
          <t>القراءة</t>
        </is>
      </c>
    </row>
    <row r="5" ht="20" customHeight="1">
      <c r="A5" s="5" t="n">
        <v>1</v>
      </c>
      <c r="B5" s="6" t="inlineStr">
        <is>
          <t>استثماري</t>
        </is>
      </c>
      <c r="C5" s="34" t="n">
        <v>6</v>
      </c>
      <c r="D5" s="34" t="n">
        <v>6</v>
      </c>
      <c r="E5" s="34" t="n">
        <v>6</v>
      </c>
      <c r="F5" s="34" t="n">
        <v>6</v>
      </c>
      <c r="G5" s="35" t="n">
        <v>6</v>
      </c>
      <c r="H5" s="36" t="n">
        <v>5</v>
      </c>
      <c r="I5" s="37" t="n">
        <v>8</v>
      </c>
      <c r="J5" s="9" t="inlineStr">
        <is>
          <t>على الموازنة تماماً — وهو النموذج الرابح الوحيد</t>
        </is>
      </c>
    </row>
    <row r="6" ht="20" customHeight="1">
      <c r="A6" s="5" t="n">
        <v>2</v>
      </c>
      <c r="B6" s="6" t="inlineStr">
        <is>
          <t>إيجاري</t>
        </is>
      </c>
      <c r="C6" s="34" t="n">
        <v>20</v>
      </c>
      <c r="D6" s="34" t="n">
        <v>20</v>
      </c>
      <c r="E6" s="34" t="n">
        <v>24</v>
      </c>
      <c r="F6" s="34" t="n">
        <v>24</v>
      </c>
      <c r="G6" s="35" t="n">
        <v>17</v>
      </c>
      <c r="H6" s="36" t="n">
        <v>13</v>
      </c>
      <c r="I6" s="37" t="n">
        <v>28</v>
      </c>
      <c r="J6" s="9" t="inlineStr">
        <is>
          <t>−٧ عن الموازنة · وهو الذي يحمل الخسارة</t>
        </is>
      </c>
    </row>
    <row r="7" ht="20" customHeight="1">
      <c r="A7" s="5" t="n">
        <v>3</v>
      </c>
      <c r="B7" s="6" t="inlineStr">
        <is>
          <t>تشغيلي</t>
        </is>
      </c>
      <c r="C7" s="34" t="n">
        <v>35</v>
      </c>
      <c r="D7" s="34" t="n">
        <v>35</v>
      </c>
      <c r="E7" s="34" t="n">
        <v>35</v>
      </c>
      <c r="F7" s="34" t="n">
        <v>38</v>
      </c>
      <c r="G7" s="35" t="n">
        <v>29</v>
      </c>
      <c r="H7" s="36" t="n">
        <v>8</v>
      </c>
      <c r="I7" s="37" t="n">
        <v>49</v>
      </c>
      <c r="J7" s="9" t="inlineStr">
        <is>
          <t>−٩ عن الموازنة · و+٢١ عن العام الماضي</t>
        </is>
      </c>
    </row>
    <row r="8" ht="20" customHeight="1">
      <c r="A8" s="5" t="n">
        <v>4</v>
      </c>
      <c r="B8" s="6" t="inlineStr">
        <is>
          <t>امتياز</t>
        </is>
      </c>
      <c r="C8" s="34" t="n">
        <v>115</v>
      </c>
      <c r="D8" s="34" t="n">
        <v>119</v>
      </c>
      <c r="E8" s="34" t="n">
        <v>126</v>
      </c>
      <c r="F8" s="34" t="n">
        <v>130</v>
      </c>
      <c r="G8" s="35" t="n">
        <v>94</v>
      </c>
      <c r="H8" s="36" t="n">
        <v>42</v>
      </c>
      <c r="I8" s="37" t="n">
        <v>147</v>
      </c>
      <c r="J8" s="9" t="inlineStr">
        <is>
          <t>−٣٦ عن الموازنة — ٦٩٪ من فجوة يوليو كلها منه</t>
        </is>
      </c>
    </row>
    <row r="9">
      <c r="A9" s="14" t="inlineStr"/>
      <c r="B9" s="15" t="inlineStr">
        <is>
          <t>الإجمالي</t>
        </is>
      </c>
      <c r="C9" s="38">
        <f>SUM(C5:C8)</f>
        <v/>
      </c>
      <c r="D9" s="38">
        <f>SUM(D5:D8)</f>
        <v/>
      </c>
      <c r="E9" s="38">
        <f>SUM(E5:E8)</f>
        <v/>
      </c>
      <c r="F9" s="38">
        <f>SUM(F5:F8)</f>
        <v/>
      </c>
      <c r="G9" s="38">
        <f>SUM(G5:G8)</f>
        <v/>
      </c>
      <c r="H9" s="38">
        <f>SUM(H5:H8)</f>
        <v/>
      </c>
      <c r="I9" s="38">
        <f>SUM(I5:I8)</f>
        <v/>
      </c>
      <c r="J9" s="14" t="inlineStr"/>
    </row>
    <row r="11">
      <c r="A11" s="39" t="inlineStr"/>
      <c r="B11" s="40" t="inlineStr">
        <is>
          <t>الفرق عن موازنة يوليو</t>
        </is>
      </c>
      <c r="C11" s="41">
        <f>G9-F9</f>
        <v/>
      </c>
      <c r="D11" s="39" t="inlineStr"/>
      <c r="E11" s="39" t="inlineStr"/>
      <c r="F11" s="39" t="inlineStr"/>
      <c r="G11" s="39" t="inlineStr"/>
      <c r="H11" s="39" t="inlineStr"/>
      <c r="I11" s="39" t="inlineStr"/>
      <c r="J11" s="42" t="inlineStr">
        <is>
          <t>محطة دون الخطة — ٦٩٪ منها امتياز</t>
        </is>
      </c>
    </row>
    <row r="12">
      <c r="A12" s="43" t="inlineStr"/>
      <c r="B12" s="44" t="inlineStr">
        <is>
          <t>النمو عن العام الماضي</t>
        </is>
      </c>
      <c r="C12" s="45">
        <f>G9-H9</f>
        <v/>
      </c>
      <c r="D12" s="43" t="inlineStr"/>
      <c r="E12" s="43" t="inlineStr"/>
      <c r="F12" s="43" t="inlineStr"/>
      <c r="G12" s="43" t="inlineStr"/>
      <c r="H12" s="43" t="inlineStr"/>
      <c r="I12" s="43" t="inlineStr"/>
      <c r="J12" s="46" t="inlineStr">
        <is>
          <t>محطة · ×٢٫١ في اثني عشر شهراً</t>
        </is>
      </c>
    </row>
    <row r="13">
      <c r="A13" s="39" t="inlineStr"/>
      <c r="B13" s="40" t="inlineStr">
        <is>
          <t>الفجوة إلى ديسمبر</t>
        </is>
      </c>
      <c r="C13" s="41">
        <f>I9-G9</f>
        <v/>
      </c>
      <c r="D13" s="39" t="inlineStr"/>
      <c r="E13" s="39" t="inlineStr"/>
      <c r="F13" s="39" t="inlineStr"/>
      <c r="G13" s="39" t="inlineStr"/>
      <c r="H13" s="39" t="inlineStr"/>
      <c r="I13" s="39" t="inlineStr"/>
      <c r="J13" s="42" t="inlineStr">
        <is>
          <t>محطة خلال خمسة أشهر — أي ١٧ شهرياً مقابل ١١ متحققاً</t>
        </is>
      </c>
    </row>
  </sheetData>
  <mergeCells count="3">
    <mergeCell ref="A1:J1"/>
    <mergeCell ref="A3:J3"/>
    <mergeCell ref="A2:J2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0" customWidth="1" min="4" max="4"/>
    <col width="4" customWidth="1" min="5" max="5"/>
    <col width="36" customWidth="1" min="6" max="6"/>
  </cols>
  <sheetData>
    <row r="1" ht="26" customHeight="1">
      <c r="A1" s="1" t="inlineStr">
        <is>
          <t>سلامة التقرير — ما صُحِّح وما بقي مفتوحاً</t>
        </is>
      </c>
    </row>
    <row r="2" ht="16" customHeight="1">
      <c r="A2" s="2" t="inlineStr">
        <is>
          <t>هذه النسخة مصححة عن مصدر ٢٤٠ صفحة · ٣٤ خطأً صُحِّح وخمس ثغرات موثَّقة</t>
        </is>
      </c>
    </row>
    <row r="3" ht="22" customHeight="1">
      <c r="A3" s="3" t="inlineStr">
        <is>
          <t>① ما صُحِّح</t>
        </is>
      </c>
    </row>
    <row r="4" ht="30" customHeight="1">
      <c r="A4" s="4" t="inlineStr">
        <is>
          <t>#</t>
        </is>
      </c>
      <c r="B4" s="4" t="inlineStr">
        <is>
          <t>الموضع</t>
        </is>
      </c>
      <c r="C4" s="4" t="inlineStr">
        <is>
          <t>ما كان في المصدر</t>
        </is>
      </c>
      <c r="D4" s="4" t="inlineStr">
        <is>
          <t>ما صار</t>
        </is>
      </c>
      <c r="E4" s="4" t="inlineStr"/>
      <c r="F4" s="4" t="inlineStr"/>
    </row>
    <row r="5" ht="32" customHeight="1">
      <c r="A5" s="5" t="n">
        <v>1</v>
      </c>
      <c r="B5" s="6" t="inlineStr">
        <is>
          <t>توحيد عدد المحطات</t>
        </is>
      </c>
      <c r="C5" s="42" t="inlineStr">
        <is>
          <t>١٤٦ (جدول الشبكة) و١٤١ (النماذج) و٢٢١ (عناوين النِّعم)</t>
        </is>
      </c>
      <c r="D5" s="46" t="inlineStr">
        <is>
          <t>١٤٦ للمواقع النشطة، والتعريفات مكتوبة</t>
        </is>
      </c>
      <c r="E5" s="5" t="inlineStr"/>
      <c r="F5" s="5" t="inlineStr"/>
    </row>
    <row r="6" ht="32" customHeight="1">
      <c r="A6" s="5" t="n">
        <v>2</v>
      </c>
      <c r="B6" s="6" t="inlineStr">
        <is>
          <t>تسمية رابحة وخاسرة</t>
        </is>
      </c>
      <c r="C6" s="42" t="inlineStr">
        <is>
          <t>بعض المحطات مصنَّفة عكس صافي دخلها</t>
        </is>
      </c>
      <c r="D6" s="46" t="inlineStr">
        <is>
          <t>التسمية الآن من صافي دخل المحطة نفسها</t>
        </is>
      </c>
      <c r="E6" s="5" t="inlineStr"/>
      <c r="F6" s="5" t="inlineStr"/>
    </row>
    <row r="7" ht="32" customHeight="1">
      <c r="A7" s="5" t="n">
        <v>3</v>
      </c>
      <c r="B7" s="6" t="inlineStr">
        <is>
          <t>أعلى عشر قوائم</t>
        </is>
      </c>
      <c r="C7" s="42" t="inlineStr">
        <is>
          <t>المجموع المعلن ١٢٬٨٢٠ وصفوفه تجمع ١٢٬٦٧٨</t>
        </is>
      </c>
      <c r="D7" s="46" t="inlineStr">
        <is>
          <t>أُعيد حسابها فصار المجموع يساوي صفوفه</t>
        </is>
      </c>
      <c r="E7" s="5" t="inlineStr"/>
      <c r="F7" s="5" t="inlineStr"/>
    </row>
    <row r="8" ht="32" customHeight="1">
      <c r="A8" s="5" t="n">
        <v>4</v>
      </c>
      <c r="B8" s="6" t="inlineStr">
        <is>
          <t>النسب المشوَّهة</t>
        </is>
      </c>
      <c r="C8" s="42" t="inlineStr">
        <is>
          <t>هوامش ٤٩٢٫٧٧٪ و١٢٧٫٣٣٪ لمحطات بلا مليون ريال إيراد</t>
        </is>
      </c>
      <c r="D8" s="46" t="inlineStr">
        <is>
          <t>استُبعدت من الترتيب</t>
        </is>
      </c>
      <c r="E8" s="5" t="inlineStr"/>
      <c r="F8" s="5" t="inlineStr"/>
    </row>
    <row r="9" ht="32" customHeight="1">
      <c r="A9" s="5" t="n">
        <v>5</v>
      </c>
      <c r="B9" s="6" t="inlineStr">
        <is>
          <t>المحطة المكررة</t>
        </is>
      </c>
      <c r="C9" s="42" t="inlineStr">
        <is>
          <t>MK289 تظهر في قائمتي الربح والخسارة بلا تمييز</t>
        </is>
      </c>
      <c r="D9" s="46" t="inlineStr">
        <is>
          <t>مرة واحدة لكل نموذج مع وسم</t>
        </is>
      </c>
      <c r="E9" s="5" t="inlineStr"/>
      <c r="F9" s="5" t="inlineStr"/>
    </row>
    <row r="10" ht="32" customHeight="1">
      <c r="A10" s="5" t="n">
        <v>6</v>
      </c>
      <c r="B10" s="6" t="inlineStr">
        <is>
          <t>أرقام السرد</t>
        </is>
      </c>
      <c r="C10" s="42" t="inlineStr">
        <is>
          <t>«+١٠٧ عن العام الماضي» و«٣٫٠M محاور»</t>
        </is>
      </c>
      <c r="D10" s="46" t="inlineStr">
        <is>
          <t>+٧٨ و٢٫٩M · والكميات ٦٦١٫٤ مليون لتر تُذكر مرة واحدة</t>
        </is>
      </c>
      <c r="E10" s="5" t="inlineStr"/>
      <c r="F10" s="5" t="inlineStr"/>
    </row>
    <row r="11" ht="32" customHeight="1">
      <c r="A11" s="5" t="n">
        <v>7</v>
      </c>
      <c r="B11" s="6" t="inlineStr">
        <is>
          <t>سلامة الرسوم</t>
        </is>
      </c>
      <c r="C11" s="42" t="inlineStr">
        <is>
          <t>رسمٌ يحمل ثلاث سلاسل غير متّسقة</t>
        </is>
      </c>
      <c r="D11" s="46" t="inlineStr">
        <is>
          <t>حُذف بدل إعادة إنتاجه</t>
        </is>
      </c>
      <c r="E11" s="5" t="inlineStr"/>
      <c r="F11" s="5" t="inlineStr"/>
    </row>
    <row r="13" ht="22" customHeight="1">
      <c r="A13" s="3" t="inlineStr">
        <is>
          <t>② وما بقي مفتوحاً — لم يُقدَّر أيٌّ منها</t>
        </is>
      </c>
    </row>
    <row r="14" ht="30" customHeight="1">
      <c r="A14" s="4" t="inlineStr">
        <is>
          <t>#</t>
        </is>
      </c>
      <c r="B14" s="4" t="inlineStr">
        <is>
          <t>الثغرة</t>
        </is>
      </c>
      <c r="C14" s="4" t="inlineStr">
        <is>
          <t>التفصيل</t>
        </is>
      </c>
      <c r="D14" s="4" t="inlineStr">
        <is>
          <t>المقدار</t>
        </is>
      </c>
      <c r="E14" s="4" t="inlineStr"/>
      <c r="F14" s="4" t="inlineStr">
        <is>
          <t>المطلوب</t>
        </is>
      </c>
    </row>
    <row r="15" ht="36" customHeight="1">
      <c r="A15" s="5" t="n">
        <v>1</v>
      </c>
      <c r="B15" s="6" t="inlineStr">
        <is>
          <t>فجوة مجمل الربح</t>
        </is>
      </c>
      <c r="C15" s="9" t="inlineStr">
        <is>
          <t>قوائم المحطات تجمع +١٨٬٣٧٥ قبل التحميل، وجدول النماذج ١١٬٦٣٧</t>
        </is>
      </c>
      <c r="D15" s="47" t="inlineStr">
        <is>
          <t>٦٬٧٣٨ ألف ريال</t>
        </is>
      </c>
      <c r="E15" s="5" t="inlineStr"/>
      <c r="F15" s="9" t="inlineStr">
        <is>
          <t>بنود التكلفة المُدرجة على مستوى المحطة مقابل مستوى النموذج</t>
        </is>
      </c>
    </row>
    <row r="16" ht="36" customHeight="1">
      <c r="A16" s="5" t="n">
        <v>2</v>
      </c>
      <c r="B16" s="6" t="inlineStr">
        <is>
          <t>عدد المحطات بلا مبيعات</t>
        </is>
      </c>
      <c r="C16" s="9" t="inlineStr">
        <is>
          <t>عناوين النِّعم ١ و١١ و١٢ و٨ · وصفحات السرد ٤ و١٤ و٢٣ و١١</t>
        </is>
      </c>
      <c r="D16" s="47" t="inlineStr">
        <is>
          <t>بلا رقم واحد</t>
        </is>
      </c>
      <c r="E16" s="5" t="inlineStr"/>
      <c r="F16" s="9" t="inlineStr">
        <is>
          <t>«+٦١ محطة امتياز» أي ٦٨ لم تُصحَّح</t>
        </is>
      </c>
    </row>
    <row r="17" ht="36" customHeight="1">
      <c r="A17" s="5" t="n">
        <v>3</v>
      </c>
      <c r="B17" s="6" t="inlineStr">
        <is>
          <t>سجل المواقع المعتمَد</t>
        </is>
      </c>
      <c r="C17" s="9" t="inlineStr">
        <is>
          <t>٣١ موقعاً بلا مبيعات · و١٨ محطة خاسرة قابلة للتحقق</t>
        </is>
      </c>
      <c r="D17" s="47" t="inlineStr">
        <is>
          <t>ادعاء «٦٦ محطة خاسرة» لم يُحسم</t>
        </is>
      </c>
      <c r="E17" s="5" t="inlineStr"/>
      <c r="F17" s="9" t="inlineStr">
        <is>
          <t>يحتاج سجلاً معتمَداً بتاريخ يوليو ٢٠٢٦</t>
        </is>
      </c>
    </row>
    <row r="18" ht="36" customHeight="1">
      <c r="A18" s="5" t="n">
        <v>4</v>
      </c>
      <c r="B18" s="6" t="inlineStr">
        <is>
          <t>إيراد ٢٠٢٥ والموازنة</t>
        </is>
      </c>
      <c r="C18" s="9" t="inlineStr">
        <is>
          <t>الشريحة الوحيدة الحاملة للربع أظهرت ثلاث سلاسل غير متّسقة</t>
        </is>
      </c>
      <c r="D18" s="47" t="inlineStr">
        <is>
          <t>غير متاح حسب النموذج</t>
        </is>
      </c>
      <c r="E18" s="5" t="inlineStr"/>
      <c r="F18" s="9" t="inlineStr">
        <is>
          <t>مطلوب إيراد ٢٠٢٥ وموازنته لكل نموذج</t>
        </is>
      </c>
    </row>
    <row r="19" ht="36" customHeight="1">
      <c r="A19" s="5" t="n">
        <v>5</v>
      </c>
      <c r="B19" s="6" t="inlineStr">
        <is>
          <t>مجمَّع الملحق</t>
        </is>
      </c>
      <c r="C19" s="9" t="inlineStr">
        <is>
          <t>JA070 وJA234 وMK310 لا تظهر في أي نموذج</t>
        </is>
      </c>
      <c r="D19" s="47" t="inlineStr">
        <is>
          <t>ثلاث محطات</t>
        </is>
      </c>
      <c r="E19" s="5" t="inlineStr"/>
      <c r="F19" s="9" t="inlineStr">
        <is>
          <t>ملحق المحطات يربّي مواقع خارج التجميع</t>
        </is>
      </c>
    </row>
  </sheetData>
  <mergeCells count="4">
    <mergeCell ref="A3:F3"/>
    <mergeCell ref="A2:F2"/>
    <mergeCell ref="A13:F13"/>
    <mergeCell ref="A1:F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2026-09-21T11:27:36Z</dcterms:created>
  <dcterms:modified xmlns:dcterms="http://purl.org/dc/terms/" xmlns:xsi="http://www.w3.org/2001/XMLSchema-instance" xsi:type="dcterms:W3CDTF">2026-09-21T11:27:36Z</dcterms:modified>
</cp:coreProperties>
</file>