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حاسبة المبيعات" sheetId="2" state="visible" r:id="rId2"/>
    <sheet xmlns:r="http://schemas.openxmlformats.org/officeDocument/2006/relationships" name="المحطات" sheetId="3" state="visible" r:id="rId3"/>
    <sheet xmlns:r="http://schemas.openxmlformats.org/officeDocument/2006/relationships" name="ر١ و ر٢ للمحطات" sheetId="4" state="visible" r:id="rId4"/>
    <sheet xmlns:r="http://schemas.openxmlformats.org/officeDocument/2006/relationships" name="العمرة — بيان يومي" sheetId="5" state="visible" r:id="rId5"/>
    <sheet xmlns:r="http://schemas.openxmlformats.org/officeDocument/2006/relationships" name="الساعة والوردية" sheetId="6" state="visible" r:id="rId6"/>
    <sheet xmlns:r="http://schemas.openxmlformats.org/officeDocument/2006/relationships" name="كلفة اللتر والمستهدف" sheetId="7" state="visible" r:id="rId7"/>
    <sheet xmlns:r="http://schemas.openxmlformats.org/officeDocument/2006/relationships" name="خطة المستهدف" sheetId="8" state="visible" r:id="rId8"/>
    <sheet xmlns:r="http://schemas.openxmlformats.org/officeDocument/2006/relationships" name="المنافسون بالمنتج" sheetId="9" state="visible" r:id="rId9"/>
    <sheet xmlns:r="http://schemas.openxmlformats.org/officeDocument/2006/relationships" name="الوحدات والاكتتاب" sheetId="10" state="visible" r:id="rId10"/>
    <sheet xmlns:r="http://schemas.openxmlformats.org/officeDocument/2006/relationships" name="المنهجية والثغرات" sheetId="11" state="visible" r:id="rId11"/>
  </sheets>
  <definedNames>
    <definedName name="_xlnm._FilterDatabase" localSheetId="2" hidden="1">'المحطات'!$B$4:$R$56</definedName>
    <definedName name="_xlnm._FilterDatabase" localSheetId="3" hidden="1">'ر١ و ر٢ للمحطات'!$B$4:$R$30</definedName>
    <definedName name="_xlnm._FilterDatabase" localSheetId="5" hidden="1">'الساعة والوردية'!$B$62:$K$102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#,##0;[Red](#,##0)"/>
    <numFmt numFmtId="165" formatCode="0.0%"/>
    <numFmt numFmtId="166" formatCode="#,##0.00;[Red](#,##0.00)"/>
    <numFmt numFmtId="167" formatCode="0.0000&quot; ريال&quot;"/>
    <numFmt numFmtId="168" formatCode="0.00&quot; هللة&quot;"/>
    <numFmt numFmtId="169" formatCode="#,##0&quot; لتر&quot;"/>
    <numFmt numFmtId="170" formatCode="+0.0%;-0.0%"/>
    <numFmt numFmtId="171" formatCode="#,##0.0&quot; ث&quot;"/>
    <numFmt numFmtId="172" formatCode="0.00&quot;★&quot;"/>
  </numFmts>
  <fonts count="40">
    <font>
      <name val="Calibri"/>
      <family val="2"/>
      <color theme="1"/>
      <sz val="11"/>
      <scheme val="minor"/>
    </font>
    <font>
      <name val="DIN Next Arabic"/>
      <b val="1"/>
      <color rgb="0055565A"/>
      <sz val="16"/>
    </font>
    <font>
      <name val="DIN Next Arabic"/>
      <color rgb="006E6A64"/>
      <sz val="10"/>
    </font>
    <font>
      <name val="DIN Next Arabic"/>
      <b val="1"/>
      <color rgb="00F5831F"/>
      <sz val="10"/>
    </font>
    <font>
      <name val="DIN Next Arabic"/>
      <color rgb="006E6A64"/>
      <sz val="9"/>
    </font>
    <font>
      <name val="DIN Next Arabic"/>
      <b val="1"/>
      <color rgb="001F5E4A"/>
      <sz val="13"/>
    </font>
    <font>
      <name val="DIN Next Arabic"/>
      <color rgb="009B968E"/>
      <sz val="8"/>
    </font>
    <font>
      <name val="DIN Next Arabic"/>
      <b val="1"/>
      <color rgb="003D3D3D"/>
      <sz val="13"/>
    </font>
    <font>
      <name val="DIN Next Arabic"/>
      <b val="1"/>
      <color rgb="00A8681A"/>
      <sz val="13"/>
    </font>
    <font>
      <name val="DIN Next Arabic"/>
      <b val="1"/>
      <color rgb="009A3E2C"/>
      <sz val="13"/>
    </font>
    <font>
      <name val="DIN Next Arabic"/>
      <b val="1"/>
      <color rgb="00F5831F"/>
      <sz val="12"/>
    </font>
    <font>
      <name val="DIN Next Arabic"/>
      <b val="1"/>
      <color rgb="00FFFFFF"/>
      <sz val="10"/>
    </font>
    <font>
      <name val="DIN Next Arabic"/>
      <b val="1"/>
      <color rgb="003D3D3D"/>
      <sz val="10"/>
    </font>
    <font>
      <name val="DIN Next Arabic"/>
      <b val="1"/>
      <color rgb="00A8681A"/>
      <sz val="9"/>
    </font>
    <font>
      <name val="DIN Next Arabic"/>
      <b val="1"/>
      <color rgb="009A3E2C"/>
      <sz val="10"/>
    </font>
    <font>
      <name val="DIN Next Arabic"/>
      <b val="1"/>
      <color rgb="009B968E"/>
      <sz val="10"/>
    </font>
    <font>
      <name val="DIN Next Arabic"/>
      <color rgb="003D3D3D"/>
      <sz val="9"/>
    </font>
    <font>
      <name val="DIN Next Arabic"/>
      <b val="1"/>
      <color rgb="00F5831F"/>
      <sz val="9"/>
    </font>
    <font>
      <name val="DIN Next Arabic"/>
      <color rgb="003D3D3D"/>
      <sz val="10"/>
    </font>
    <font>
      <name val="DIN Next Arabic"/>
      <color rgb="00A8681A"/>
      <sz val="8"/>
    </font>
    <font>
      <name val="DIN Next Arabic"/>
      <b val="1"/>
      <color rgb="003E6E8E"/>
      <sz val="12"/>
    </font>
    <font>
      <name val="DIN Next Arabic"/>
      <color rgb="009B968E"/>
      <sz val="9"/>
    </font>
    <font>
      <name val="DIN Next Arabic"/>
      <color rgb="002E8B6F"/>
      <sz val="10"/>
    </font>
    <font>
      <name val="DIN Next Arabic"/>
      <color rgb="003E6E8E"/>
      <sz val="10"/>
    </font>
    <font>
      <name val="DIN Next Arabic"/>
      <color rgb="001F5E4A"/>
      <sz val="10"/>
    </font>
    <font>
      <name val="DIN Next Arabic"/>
      <color rgb="009A3E2C"/>
      <sz val="10"/>
    </font>
    <font>
      <name val="DIN Next Arabic"/>
      <b val="1"/>
      <color rgb="003D3D3D"/>
      <sz val="11"/>
    </font>
    <font>
      <name val="DIN Next Arabic"/>
      <b val="1"/>
      <color rgb="00A8681A"/>
      <sz val="10"/>
    </font>
    <font>
      <name val="DIN Next Arabic"/>
      <color rgb="006E6A64"/>
      <sz val="8"/>
    </font>
    <font>
      <name val="DIN Next Arabic"/>
      <color rgb="009B968E"/>
      <sz val="10"/>
    </font>
    <font>
      <name val="DIN Next Arabic"/>
      <b val="1"/>
      <color rgb="009A3E2C"/>
      <sz val="11"/>
    </font>
    <font>
      <name val="DIN Next Arabic"/>
      <color rgb="009A3E2C"/>
      <sz val="9"/>
    </font>
    <font>
      <name val="DIN Next Arabic"/>
      <b val="1"/>
      <color rgb="009A3E2C"/>
      <sz val="9"/>
    </font>
    <font>
      <name val="DIN Next Arabic"/>
      <color rgb="00F5831F"/>
      <sz val="10"/>
    </font>
    <font>
      <name val="DIN Next Arabic"/>
      <color rgb="009A3E2C"/>
      <sz val="8"/>
    </font>
    <font>
      <name val="DIN Next Arabic"/>
      <b val="1"/>
      <color rgb="001F5E4A"/>
      <sz val="11"/>
    </font>
    <font>
      <name val="DIN Next Arabic"/>
      <color rgb="001F5E4A"/>
      <sz val="8"/>
    </font>
    <font>
      <name val="DIN Next Arabic"/>
      <b val="1"/>
      <color rgb="001F5E4A"/>
      <sz val="9"/>
    </font>
    <font>
      <name val="DIN Next Arabic"/>
      <b val="1"/>
      <color rgb="003D3D3D"/>
      <sz val="9"/>
    </font>
    <font>
      <name val="DIN Next Arabic"/>
      <b val="1"/>
      <color rgb="001F5E4A"/>
      <sz val="10"/>
    </font>
  </fonts>
  <fills count="11">
    <fill>
      <patternFill/>
    </fill>
    <fill>
      <patternFill patternType="gray125"/>
    </fill>
    <fill>
      <patternFill patternType="solid">
        <fgColor rgb="00F5831F"/>
      </patternFill>
    </fill>
    <fill>
      <patternFill patternType="solid">
        <fgColor rgb="00FBEEE0"/>
      </patternFill>
    </fill>
    <fill>
      <patternFill patternType="solid">
        <fgColor rgb="00D6E9E1"/>
      </patternFill>
    </fill>
    <fill>
      <patternFill patternType="solid">
        <fgColor rgb="00F5F2ED"/>
      </patternFill>
    </fill>
    <fill>
      <patternFill patternType="solid">
        <fgColor rgb="00FCE7C8"/>
      </patternFill>
    </fill>
    <fill>
      <patternFill patternType="solid">
        <fgColor rgb="00F2DAD4"/>
      </patternFill>
    </fill>
    <fill>
      <patternFill patternType="solid">
        <fgColor rgb="0055565A"/>
      </patternFill>
    </fill>
    <fill>
      <patternFill patternType="solid">
        <fgColor rgb="00F7F4EF"/>
      </patternFill>
    </fill>
    <fill>
      <patternFill patternType="solid">
        <fgColor rgb="00EDE7DE"/>
      </patternFill>
    </fill>
  </fills>
  <borders count="2">
    <border>
      <left/>
      <right/>
      <top/>
      <bottom/>
      <diagonal/>
    </border>
    <border>
      <left style="thin">
        <color rgb="00E3DCD1"/>
      </left>
      <right style="thin">
        <color rgb="00E3DCD1"/>
      </right>
      <top style="thin">
        <color rgb="00E3DCD1"/>
      </top>
      <bottom style="thin">
        <color rgb="00E3DCD1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0" borderId="0" applyAlignment="1" pivotButton="0" quotePrefix="0" xfId="0">
      <alignment horizontal="right" vertical="center" readingOrder="2"/>
    </xf>
    <xf numFmtId="0" fontId="2" fillId="0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3" fillId="3" borderId="1" applyAlignment="1" pivotButton="0" quotePrefix="0" xfId="0">
      <alignment horizontal="right" vertical="top" wrapText="1" readingOrder="2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 readingOrder="2"/>
    </xf>
    <xf numFmtId="0" fontId="4" fillId="5" borderId="1" applyAlignment="1" pivotButton="0" quotePrefix="0" xfId="0">
      <alignment horizontal="center" vertical="center" wrapText="1" readingOrder="2"/>
    </xf>
    <xf numFmtId="0" fontId="4" fillId="6" borderId="1" applyAlignment="1" pivotButton="0" quotePrefix="0" xfId="0">
      <alignment horizontal="center" vertical="center" wrapText="1" readingOrder="2"/>
    </xf>
    <xf numFmtId="0" fontId="4" fillId="7" borderId="1" applyAlignment="1" pivotButton="0" quotePrefix="0" xfId="0">
      <alignment horizontal="center" vertical="center" wrapText="1" readingOrder="2"/>
    </xf>
    <xf numFmtId="164" fontId="5" fillId="4" borderId="1" applyAlignment="1" pivotButton="0" quotePrefix="0" xfId="0">
      <alignment horizontal="center" vertical="center" wrapText="1" readingOrder="2"/>
    </xf>
    <xf numFmtId="164" fontId="7" fillId="5" borderId="1" applyAlignment="1" pivotButton="0" quotePrefix="0" xfId="0">
      <alignment horizontal="center" vertical="center" wrapText="1" readingOrder="2"/>
    </xf>
    <xf numFmtId="164" fontId="8" fillId="6" borderId="1" applyAlignment="1" pivotButton="0" quotePrefix="0" xfId="0">
      <alignment horizontal="center" vertical="center" wrapText="1" readingOrder="2"/>
    </xf>
    <xf numFmtId="3" fontId="9" fillId="7" borderId="1" applyAlignment="1" pivotButton="0" quotePrefix="0" xfId="0">
      <alignment horizontal="center" vertical="center" wrapText="1" readingOrder="2"/>
    </xf>
    <xf numFmtId="0" fontId="6" fillId="4" borderId="1" applyAlignment="1" pivotButton="0" quotePrefix="0" xfId="0">
      <alignment horizontal="center" vertical="center" wrapText="1" readingOrder="2"/>
    </xf>
    <xf numFmtId="0" fontId="6" fillId="5" borderId="1" applyAlignment="1" pivotButton="0" quotePrefix="0" xfId="0">
      <alignment horizontal="center" vertical="center" wrapText="1" readingOrder="2"/>
    </xf>
    <xf numFmtId="0" fontId="6" fillId="6" borderId="1" applyAlignment="1" pivotButton="0" quotePrefix="0" xfId="0">
      <alignment horizontal="center" vertical="center" wrapText="1" readingOrder="2"/>
    </xf>
    <xf numFmtId="0" fontId="6" fillId="7" borderId="1" applyAlignment="1" pivotButton="0" quotePrefix="0" xfId="0">
      <alignment horizontal="center" vertical="center" wrapText="1" readingOrder="2"/>
    </xf>
    <xf numFmtId="0" fontId="10" fillId="3" borderId="1" applyAlignment="1" pivotButton="0" quotePrefix="0" xfId="0">
      <alignment horizontal="right" vertical="center" readingOrder="2"/>
    </xf>
    <xf numFmtId="0" fontId="11" fillId="8" borderId="1" applyAlignment="1" pivotButton="0" quotePrefix="0" xfId="0">
      <alignment horizontal="center" vertical="center" wrapText="1" readingOrder="2"/>
    </xf>
    <xf numFmtId="0" fontId="12" fillId="0" borderId="1" applyAlignment="1" pivotButton="0" quotePrefix="0" xfId="0">
      <alignment horizontal="right" vertical="center" readingOrder="2"/>
    </xf>
    <xf numFmtId="164" fontId="12" fillId="5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right" vertical="center" readingOrder="2"/>
    </xf>
    <xf numFmtId="0" fontId="0" fillId="0" borderId="1" pivotButton="0" quotePrefix="0" xfId="0"/>
    <xf numFmtId="0" fontId="4" fillId="0" borderId="1" applyAlignment="1" pivotButton="0" quotePrefix="0" xfId="0">
      <alignment horizontal="right" vertical="top" wrapText="1" readingOrder="2"/>
    </xf>
    <xf numFmtId="0" fontId="13" fillId="6" borderId="1" applyAlignment="1" pivotButton="0" quotePrefix="0" xfId="0">
      <alignment horizontal="center" vertical="center" wrapText="1" readingOrder="2"/>
    </xf>
    <xf numFmtId="0" fontId="4" fillId="9" borderId="1" applyAlignment="1" pivotButton="0" quotePrefix="0" xfId="0">
      <alignment horizontal="right" vertical="top" wrapText="1" readingOrder="2"/>
    </xf>
    <xf numFmtId="0" fontId="0" fillId="9" borderId="1" pivotButton="0" quotePrefix="0" xfId="0"/>
    <xf numFmtId="0" fontId="13" fillId="6" borderId="1" applyAlignment="1" pivotButton="0" quotePrefix="0" xfId="0">
      <alignment horizontal="right" vertical="center" readingOrder="2"/>
    </xf>
    <xf numFmtId="0" fontId="0" fillId="6" borderId="1" pivotButton="0" quotePrefix="0" xfId="0"/>
    <xf numFmtId="0" fontId="4" fillId="6" borderId="1" applyAlignment="1" pivotButton="0" quotePrefix="0" xfId="0">
      <alignment horizontal="right" vertical="center" readingOrder="2"/>
    </xf>
    <xf numFmtId="3" fontId="14" fillId="6" borderId="1" applyAlignment="1" pivotButton="0" quotePrefix="0" xfId="0">
      <alignment horizontal="center" vertical="center" wrapText="1" readingOrder="2"/>
    </xf>
    <xf numFmtId="0" fontId="15" fillId="6" borderId="1" applyAlignment="1" pivotButton="0" quotePrefix="0" xfId="0">
      <alignment horizontal="center" vertical="center" wrapText="1" readingOrder="2"/>
    </xf>
    <xf numFmtId="0" fontId="16" fillId="0" borderId="1" applyAlignment="1" pivotButton="0" quotePrefix="0" xfId="0">
      <alignment horizontal="right" vertical="center" readingOrder="2"/>
    </xf>
    <xf numFmtId="0" fontId="17" fillId="0" borderId="1" applyAlignment="1" pivotButton="0" quotePrefix="0" xfId="0">
      <alignment horizontal="center" vertical="center" wrapText="1" readingOrder="2"/>
    </xf>
    <xf numFmtId="3" fontId="14" fillId="0" borderId="1" applyAlignment="1" pivotButton="0" quotePrefix="0" xfId="0">
      <alignment horizontal="center" vertical="center" wrapText="1" readingOrder="2"/>
    </xf>
    <xf numFmtId="0" fontId="15" fillId="0" borderId="1" applyAlignment="1" pivotButton="0" quotePrefix="0" xfId="0">
      <alignment horizontal="center" vertical="center" wrapText="1" readingOrder="2"/>
    </xf>
    <xf numFmtId="0" fontId="13" fillId="6" borderId="1" applyAlignment="1" pivotButton="0" quotePrefix="0" xfId="0">
      <alignment horizontal="right" vertical="top" wrapText="1" readingOrder="2"/>
    </xf>
    <xf numFmtId="3" fontId="18" fillId="5" borderId="1" applyAlignment="1" pivotButton="0" quotePrefix="0" xfId="0">
      <alignment horizontal="center" vertical="center" wrapText="1" readingOrder="2"/>
    </xf>
    <xf numFmtId="4" fontId="18" fillId="5" borderId="1" applyAlignment="1" pivotButton="0" quotePrefix="0" xfId="0">
      <alignment horizontal="center" vertical="center" wrapText="1" readingOrder="2"/>
    </xf>
    <xf numFmtId="165" fontId="18" fillId="5" borderId="1" applyAlignment="1" pivotButton="0" quotePrefix="0" xfId="0">
      <alignment horizontal="center" vertical="center" wrapText="1" readingOrder="2"/>
    </xf>
    <xf numFmtId="2" fontId="18" fillId="5" borderId="1" applyAlignment="1" pivotButton="0" quotePrefix="0" xfId="0">
      <alignment horizontal="center" vertical="center" wrapText="1" readingOrder="2"/>
    </xf>
    <xf numFmtId="0" fontId="18" fillId="0" borderId="0" applyAlignment="1" pivotButton="0" quotePrefix="0" xfId="0">
      <alignment horizontal="center" vertical="center" wrapText="1" readingOrder="2"/>
    </xf>
    <xf numFmtId="0" fontId="12" fillId="10" borderId="1" applyAlignment="1" pivotButton="0" quotePrefix="0" xfId="0">
      <alignment horizontal="right" vertical="center" readingOrder="2"/>
    </xf>
    <xf numFmtId="3" fontId="12" fillId="10" borderId="1" applyAlignment="1" pivotButton="0" quotePrefix="0" xfId="0">
      <alignment horizontal="center" vertical="center" wrapText="1" readingOrder="2"/>
    </xf>
    <xf numFmtId="0" fontId="18" fillId="10" borderId="1" applyAlignment="1" pivotButton="0" quotePrefix="0" xfId="0">
      <alignment horizontal="center" vertical="center" wrapText="1" readingOrder="2"/>
    </xf>
    <xf numFmtId="0" fontId="10" fillId="0" borderId="1" applyAlignment="1" pivotButton="0" quotePrefix="0" xfId="0">
      <alignment horizontal="right" vertical="center" readingOrder="2"/>
    </xf>
    <xf numFmtId="0" fontId="20" fillId="6" borderId="1" applyAlignment="1" pivotButton="0" quotePrefix="0" xfId="0">
      <alignment horizontal="center" vertical="center" wrapText="1" readingOrder="2"/>
    </xf>
    <xf numFmtId="0" fontId="21" fillId="0" borderId="1" applyAlignment="1" pivotButton="0" quotePrefix="0" xfId="0">
      <alignment horizontal="right" vertical="center" readingOrder="2"/>
    </xf>
    <xf numFmtId="0" fontId="21" fillId="0" borderId="1" applyAlignment="1" pivotButton="0" quotePrefix="0" xfId="0">
      <alignment horizontal="center" vertical="center" wrapText="1" readingOrder="2"/>
    </xf>
    <xf numFmtId="0" fontId="22" fillId="5" borderId="1" applyAlignment="1" pivotButton="0" quotePrefix="0" xfId="0">
      <alignment horizontal="center" vertical="center" wrapText="1" readingOrder="2"/>
    </xf>
    <xf numFmtId="166" fontId="22" fillId="5" borderId="1" applyAlignment="1" pivotButton="0" quotePrefix="0" xfId="0">
      <alignment horizontal="center" vertical="center" wrapText="1" readingOrder="2"/>
    </xf>
    <xf numFmtId="165" fontId="22" fillId="5" borderId="1" applyAlignment="1" pivotButton="0" quotePrefix="0" xfId="0">
      <alignment horizontal="center" vertical="center" wrapText="1" readingOrder="2"/>
    </xf>
    <xf numFmtId="3" fontId="22" fillId="5" borderId="1" applyAlignment="1" pivotButton="0" quotePrefix="0" xfId="0">
      <alignment horizontal="center" vertical="center" wrapText="1" readingOrder="2"/>
    </xf>
    <xf numFmtId="4" fontId="22" fillId="5" borderId="1" applyAlignment="1" pivotButton="0" quotePrefix="0" xfId="0">
      <alignment horizontal="center" vertical="center" wrapText="1" readingOrder="2"/>
    </xf>
    <xf numFmtId="165" fontId="23" fillId="6" borderId="1" applyAlignment="1" pivotButton="0" quotePrefix="0" xfId="0">
      <alignment horizontal="center" vertical="center" wrapText="1" readingOrder="2"/>
    </xf>
    <xf numFmtId="0" fontId="23" fillId="6" borderId="1" applyAlignment="1" pivotButton="0" quotePrefix="0" xfId="0">
      <alignment horizontal="center" vertical="center" wrapText="1" readingOrder="2"/>
    </xf>
    <xf numFmtId="4" fontId="23" fillId="6" borderId="1" applyAlignment="1" pivotButton="0" quotePrefix="0" xfId="0">
      <alignment horizontal="center" vertical="center" wrapText="1" readingOrder="2"/>
    </xf>
    <xf numFmtId="167" fontId="23" fillId="6" borderId="1" applyAlignment="1" pivotButton="0" quotePrefix="0" xfId="0">
      <alignment horizontal="center" vertical="center" wrapText="1" readingOrder="2"/>
    </xf>
    <xf numFmtId="166" fontId="23" fillId="6" borderId="1" applyAlignment="1" pivotButton="0" quotePrefix="0" xfId="0">
      <alignment horizontal="center" vertical="center" wrapText="1" readingOrder="2"/>
    </xf>
    <xf numFmtId="3" fontId="23" fillId="6" borderId="1" applyAlignment="1" pivotButton="0" quotePrefix="0" xfId="0">
      <alignment horizontal="center" vertical="center" wrapText="1" readingOrder="2"/>
    </xf>
    <xf numFmtId="0" fontId="18" fillId="0" borderId="1" applyAlignment="1" pivotButton="0" quotePrefix="0" xfId="0">
      <alignment horizontal="right" vertical="center" readingOrder="2"/>
    </xf>
    <xf numFmtId="168" fontId="18" fillId="5" borderId="1" applyAlignment="1" pivotButton="0" quotePrefix="0" xfId="0">
      <alignment horizontal="center" vertical="center" wrapText="1" readingOrder="2"/>
    </xf>
    <xf numFmtId="0" fontId="18" fillId="0" borderId="1" applyAlignment="1" pivotButton="0" quotePrefix="0" xfId="0">
      <alignment horizontal="center" vertical="center" wrapText="1" readingOrder="2"/>
    </xf>
    <xf numFmtId="169" fontId="18" fillId="5" borderId="1" applyAlignment="1" pivotButton="0" quotePrefix="0" xfId="0">
      <alignment horizontal="center" vertical="center" wrapText="1" readingOrder="2"/>
    </xf>
    <xf numFmtId="167" fontId="18" fillId="5" borderId="1" applyAlignment="1" pivotButton="0" quotePrefix="0" xfId="0">
      <alignment horizontal="center" vertical="center" wrapText="1" readingOrder="2"/>
    </xf>
    <xf numFmtId="164" fontId="18" fillId="5" borderId="1" applyAlignment="1" pivotButton="0" quotePrefix="0" xfId="0">
      <alignment horizontal="center" vertical="center" wrapText="1" readingOrder="2"/>
    </xf>
    <xf numFmtId="164" fontId="24" fillId="4" borderId="1" applyAlignment="1" pivotButton="0" quotePrefix="0" xfId="0">
      <alignment horizontal="center" vertical="center" wrapText="1" readingOrder="2"/>
    </xf>
    <xf numFmtId="166" fontId="24" fillId="4" borderId="1" applyAlignment="1" pivotButton="0" quotePrefix="0" xfId="0">
      <alignment horizontal="center" vertical="center" wrapText="1" readingOrder="2"/>
    </xf>
    <xf numFmtId="166" fontId="25" fillId="7" borderId="1" applyAlignment="1" pivotButton="0" quotePrefix="0" xfId="0">
      <alignment horizontal="center" vertical="center" wrapText="1" readingOrder="2"/>
    </xf>
    <xf numFmtId="164" fontId="25" fillId="7" borderId="1" applyAlignment="1" pivotButton="0" quotePrefix="0" xfId="0">
      <alignment horizontal="center" vertical="center" wrapText="1" readingOrder="2"/>
    </xf>
    <xf numFmtId="0" fontId="26" fillId="0" borderId="1" applyAlignment="1" pivotButton="0" quotePrefix="0" xfId="0">
      <alignment horizontal="right" vertical="center" readingOrder="2"/>
    </xf>
    <xf numFmtId="166" fontId="26" fillId="10" borderId="1" applyAlignment="1" pivotButton="0" quotePrefix="0" xfId="0">
      <alignment horizontal="center" vertical="center" wrapText="1" readingOrder="2"/>
    </xf>
    <xf numFmtId="164" fontId="26" fillId="10" borderId="1" applyAlignment="1" pivotButton="0" quotePrefix="0" xfId="0">
      <alignment horizontal="center" vertical="center" wrapText="1" readingOrder="2"/>
    </xf>
    <xf numFmtId="3" fontId="25" fillId="7" borderId="1" applyAlignment="1" pivotButton="0" quotePrefix="0" xfId="0">
      <alignment horizontal="center" vertical="center" wrapText="1" readingOrder="2"/>
    </xf>
    <xf numFmtId="165" fontId="25" fillId="7" borderId="1" applyAlignment="1" pivotButton="0" quotePrefix="0" xfId="0">
      <alignment horizontal="center" vertical="center" wrapText="1" readingOrder="2"/>
    </xf>
    <xf numFmtId="166" fontId="18" fillId="5" borderId="1" applyAlignment="1" pivotButton="0" quotePrefix="0" xfId="0">
      <alignment horizontal="center" vertical="center" wrapText="1" readingOrder="2"/>
    </xf>
    <xf numFmtId="4" fontId="27" fillId="6" borderId="1" applyAlignment="1" pivotButton="0" quotePrefix="0" xfId="0">
      <alignment horizontal="center" vertical="center" wrapText="1" readingOrder="2"/>
    </xf>
    <xf numFmtId="3" fontId="18" fillId="6" borderId="1" applyAlignment="1" pivotButton="0" quotePrefix="0" xfId="0">
      <alignment horizontal="center" vertical="center" wrapText="1" readingOrder="2"/>
    </xf>
    <xf numFmtId="164" fontId="18" fillId="6" borderId="1" applyAlignment="1" pivotButton="0" quotePrefix="0" xfId="0">
      <alignment horizontal="center" vertical="center" wrapText="1" readingOrder="2"/>
    </xf>
    <xf numFmtId="165" fontId="18" fillId="6" borderId="1" applyAlignment="1" pivotButton="0" quotePrefix="0" xfId="0">
      <alignment horizontal="center" vertical="center" wrapText="1" readingOrder="2"/>
    </xf>
    <xf numFmtId="164" fontId="12" fillId="10" borderId="1" applyAlignment="1" pivotButton="0" quotePrefix="0" xfId="0">
      <alignment horizontal="center" vertical="center" wrapText="1" readingOrder="2"/>
    </xf>
    <xf numFmtId="0" fontId="6" fillId="0" borderId="1" applyAlignment="1" pivotButton="0" quotePrefix="0" xfId="0">
      <alignment horizontal="right" vertical="top" wrapText="1" readingOrder="2"/>
    </xf>
    <xf numFmtId="0" fontId="12" fillId="6" borderId="1" applyAlignment="1" pivotButton="0" quotePrefix="0" xfId="0">
      <alignment horizontal="right" vertical="center" readingOrder="2"/>
    </xf>
    <xf numFmtId="4" fontId="18" fillId="6" borderId="1" applyAlignment="1" pivotButton="0" quotePrefix="0" xfId="0">
      <alignment horizontal="center" vertical="center" wrapText="1" readingOrder="2"/>
    </xf>
    <xf numFmtId="164" fontId="12" fillId="6" borderId="1" applyAlignment="1" pivotButton="0" quotePrefix="0" xfId="0">
      <alignment horizontal="center" vertical="center" wrapText="1" readingOrder="2"/>
    </xf>
    <xf numFmtId="0" fontId="19" fillId="6" borderId="1" applyAlignment="1" pivotButton="0" quotePrefix="0" xfId="0">
      <alignment horizontal="right" vertical="top" wrapText="1" readingOrder="2"/>
    </xf>
    <xf numFmtId="0" fontId="12" fillId="7" borderId="1" applyAlignment="1" pivotButton="0" quotePrefix="0" xfId="0">
      <alignment horizontal="right" vertical="center" readingOrder="2"/>
    </xf>
    <xf numFmtId="0" fontId="28" fillId="7" borderId="1" applyAlignment="1" pivotButton="0" quotePrefix="0" xfId="0">
      <alignment horizontal="center" vertical="center" wrapText="1" readingOrder="2"/>
    </xf>
    <xf numFmtId="164" fontId="18" fillId="7" borderId="1" applyAlignment="1" pivotButton="0" quotePrefix="0" xfId="0">
      <alignment horizontal="center" vertical="center" wrapText="1" readingOrder="2"/>
    </xf>
    <xf numFmtId="165" fontId="18" fillId="7" borderId="1" applyAlignment="1" pivotButton="0" quotePrefix="0" xfId="0">
      <alignment horizontal="center" vertical="center" wrapText="1" readingOrder="2"/>
    </xf>
    <xf numFmtId="3" fontId="18" fillId="7" borderId="1" applyAlignment="1" pivotButton="0" quotePrefix="0" xfId="0">
      <alignment horizontal="center" vertical="center" wrapText="1" readingOrder="2"/>
    </xf>
    <xf numFmtId="164" fontId="12" fillId="7" borderId="1" applyAlignment="1" pivotButton="0" quotePrefix="0" xfId="0">
      <alignment horizontal="center" vertical="center" wrapText="1" readingOrder="2"/>
    </xf>
    <xf numFmtId="0" fontId="6" fillId="7" borderId="1" applyAlignment="1" pivotButton="0" quotePrefix="0" xfId="0">
      <alignment horizontal="right" vertical="top" wrapText="1" readingOrder="2"/>
    </xf>
    <xf numFmtId="0" fontId="29" fillId="7" borderId="1" applyAlignment="1" pivotButton="0" quotePrefix="0" xfId="0">
      <alignment horizontal="center" vertical="center" wrapText="1" readingOrder="2"/>
    </xf>
    <xf numFmtId="0" fontId="28" fillId="0" borderId="1" applyAlignment="1" pivotButton="0" quotePrefix="0" xfId="0">
      <alignment horizontal="center" vertical="center" wrapText="1" readingOrder="2"/>
    </xf>
    <xf numFmtId="0" fontId="29" fillId="5" borderId="1" applyAlignment="1" pivotButton="0" quotePrefix="0" xfId="0">
      <alignment horizontal="center" vertical="center" wrapText="1" readingOrder="2"/>
    </xf>
    <xf numFmtId="165" fontId="12" fillId="10" borderId="1" applyAlignment="1" pivotButton="0" quotePrefix="0" xfId="0">
      <alignment horizontal="center" vertical="center" wrapText="1" readingOrder="2"/>
    </xf>
    <xf numFmtId="165" fontId="12" fillId="5" borderId="1" applyAlignment="1" pivotButton="0" quotePrefix="0" xfId="0">
      <alignment horizontal="center" vertical="center" wrapText="1" readingOrder="2"/>
    </xf>
    <xf numFmtId="0" fontId="14" fillId="0" borderId="1" applyAlignment="1" pivotButton="0" quotePrefix="0" xfId="0">
      <alignment horizontal="right" vertical="center" readingOrder="2"/>
    </xf>
    <xf numFmtId="164" fontId="14" fillId="7" borderId="1" applyAlignment="1" pivotButton="0" quotePrefix="0" xfId="0">
      <alignment horizontal="center" vertical="center" wrapText="1" readingOrder="2"/>
    </xf>
    <xf numFmtId="164" fontId="30" fillId="7" borderId="1" applyAlignment="1" pivotButton="0" quotePrefix="0" xfId="0">
      <alignment horizontal="center" vertical="center" wrapText="1" readingOrder="2"/>
    </xf>
    <xf numFmtId="0" fontId="31" fillId="0" borderId="1" applyAlignment="1" pivotButton="0" quotePrefix="0" xfId="0">
      <alignment horizontal="right" vertical="top" wrapText="1" readingOrder="2"/>
    </xf>
    <xf numFmtId="0" fontId="27" fillId="6" borderId="1" applyAlignment="1" pivotButton="0" quotePrefix="0" xfId="0">
      <alignment horizontal="right" vertical="top" wrapText="1" readingOrder="2"/>
    </xf>
    <xf numFmtId="0" fontId="18" fillId="5" borderId="1" applyAlignment="1" pivotButton="0" quotePrefix="0" xfId="0">
      <alignment horizontal="center" vertical="center" wrapText="1" readingOrder="2"/>
    </xf>
    <xf numFmtId="0" fontId="27" fillId="6" borderId="1" applyAlignment="1" pivotButton="0" quotePrefix="0" xfId="0">
      <alignment horizontal="center" vertical="center" wrapText="1" readingOrder="2"/>
    </xf>
    <xf numFmtId="0" fontId="17" fillId="3" borderId="1" applyAlignment="1" pivotButton="0" quotePrefix="0" xfId="0">
      <alignment horizontal="right" vertical="top" wrapText="1" readingOrder="2"/>
    </xf>
    <xf numFmtId="170" fontId="18" fillId="5" borderId="1" applyAlignment="1" pivotButton="0" quotePrefix="0" xfId="0">
      <alignment horizontal="center" vertical="center" wrapText="1" readingOrder="2"/>
    </xf>
    <xf numFmtId="171" fontId="18" fillId="5" borderId="1" applyAlignment="1" pivotButton="0" quotePrefix="0" xfId="0">
      <alignment horizontal="center" vertical="center" wrapText="1" readingOrder="2"/>
    </xf>
    <xf numFmtId="0" fontId="4" fillId="5" borderId="1" applyAlignment="1" pivotButton="0" quotePrefix="0" xfId="0">
      <alignment horizontal="right" vertical="top" wrapText="1" readingOrder="2"/>
    </xf>
    <xf numFmtId="0" fontId="0" fillId="5" borderId="1" pivotButton="0" quotePrefix="0" xfId="0"/>
    <xf numFmtId="4" fontId="12" fillId="10" borderId="1" applyAlignment="1" pivotButton="0" quotePrefix="0" xfId="0">
      <alignment horizontal="center" vertical="center" wrapText="1" readingOrder="2"/>
    </xf>
    <xf numFmtId="10" fontId="18" fillId="5" borderId="1" applyAlignment="1" pivotButton="0" quotePrefix="0" xfId="0">
      <alignment horizontal="center" vertical="center" wrapText="1" readingOrder="2"/>
    </xf>
    <xf numFmtId="0" fontId="28" fillId="0" borderId="1" applyAlignment="1" pivotButton="0" quotePrefix="0" xfId="0">
      <alignment horizontal="right" vertical="top" wrapText="1" readingOrder="2"/>
    </xf>
    <xf numFmtId="0" fontId="32" fillId="7" borderId="1" applyAlignment="1" pivotButton="0" quotePrefix="0" xfId="0">
      <alignment horizontal="right" vertical="top" wrapText="1" readingOrder="2"/>
    </xf>
    <xf numFmtId="0" fontId="12" fillId="0" borderId="1" applyAlignment="1" pivotButton="0" quotePrefix="0" xfId="0">
      <alignment horizontal="center" vertical="center" wrapText="1" readingOrder="2"/>
    </xf>
    <xf numFmtId="0" fontId="33" fillId="0" borderId="1" applyAlignment="1" pivotButton="0" quotePrefix="0" xfId="0">
      <alignment horizontal="center" vertical="center" wrapText="1" readingOrder="2"/>
    </xf>
    <xf numFmtId="0" fontId="34" fillId="0" borderId="1" applyAlignment="1" pivotButton="0" quotePrefix="0" xfId="0">
      <alignment horizontal="right" vertical="top" wrapText="1" readingOrder="2"/>
    </xf>
    <xf numFmtId="3" fontId="14" fillId="7" borderId="1" applyAlignment="1" pivotButton="0" quotePrefix="0" xfId="0">
      <alignment horizontal="center" vertical="center" wrapText="1" readingOrder="2"/>
    </xf>
    <xf numFmtId="0" fontId="12" fillId="10" borderId="1" applyAlignment="1" pivotButton="0" quotePrefix="0" xfId="0">
      <alignment horizontal="center" vertical="center" wrapText="1" readingOrder="2"/>
    </xf>
    <xf numFmtId="3" fontId="35" fillId="4" borderId="1" applyAlignment="1" pivotButton="0" quotePrefix="0" xfId="0">
      <alignment horizontal="center" vertical="center" wrapText="1" readingOrder="2"/>
    </xf>
    <xf numFmtId="3" fontId="30" fillId="7" borderId="1" applyAlignment="1" pivotButton="0" quotePrefix="0" xfId="0">
      <alignment horizontal="center" vertical="center" wrapText="1" readingOrder="2"/>
    </xf>
    <xf numFmtId="170" fontId="12" fillId="5" borderId="1" applyAlignment="1" pivotButton="0" quotePrefix="0" xfId="0">
      <alignment horizontal="center" vertical="center" wrapText="1" readingOrder="2"/>
    </xf>
    <xf numFmtId="168" fontId="12" fillId="5" borderId="1" applyAlignment="1" pivotButton="0" quotePrefix="0" xfId="0">
      <alignment horizontal="center" vertical="center" wrapText="1" readingOrder="2"/>
    </xf>
    <xf numFmtId="168" fontId="12" fillId="10" borderId="1" applyAlignment="1" pivotButton="0" quotePrefix="0" xfId="0">
      <alignment horizontal="center" vertical="center" wrapText="1" readingOrder="2"/>
    </xf>
    <xf numFmtId="168" fontId="18" fillId="10" borderId="1" applyAlignment="1" pivotButton="0" quotePrefix="0" xfId="0">
      <alignment horizontal="center" vertical="center" wrapText="1" readingOrder="2"/>
    </xf>
    <xf numFmtId="0" fontId="36" fillId="0" borderId="1" applyAlignment="1" pivotButton="0" quotePrefix="0" xfId="0">
      <alignment horizontal="right" vertical="top" wrapText="1" readingOrder="2"/>
    </xf>
    <xf numFmtId="0" fontId="3" fillId="0" borderId="1" applyAlignment="1" pivotButton="0" quotePrefix="0" xfId="0">
      <alignment horizontal="right" vertical="center" readingOrder="2"/>
    </xf>
    <xf numFmtId="172" fontId="18" fillId="5" borderId="1" applyAlignment="1" pivotButton="0" quotePrefix="0" xfId="0">
      <alignment horizontal="center" vertical="center" wrapText="1" readingOrder="2"/>
    </xf>
    <xf numFmtId="0" fontId="12" fillId="3" borderId="1" applyAlignment="1" pivotButton="0" quotePrefix="0" xfId="0">
      <alignment horizontal="right" vertical="center" readingOrder="2"/>
    </xf>
    <xf numFmtId="3" fontId="12" fillId="3" borderId="1" applyAlignment="1" pivotButton="0" quotePrefix="0" xfId="0">
      <alignment horizontal="center" vertical="center" wrapText="1" readingOrder="2"/>
    </xf>
    <xf numFmtId="0" fontId="18" fillId="3" borderId="1" applyAlignment="1" pivotButton="0" quotePrefix="0" xfId="0">
      <alignment horizontal="center" vertical="center" wrapText="1" readingOrder="2"/>
    </xf>
    <xf numFmtId="172" fontId="35" fillId="3" borderId="1" applyAlignment="1" pivotButton="0" quotePrefix="0" xfId="0">
      <alignment horizontal="center" vertical="center" wrapText="1" readingOrder="2"/>
    </xf>
    <xf numFmtId="0" fontId="37" fillId="3" borderId="1" applyAlignment="1" pivotButton="0" quotePrefix="0" xfId="0">
      <alignment horizontal="right" vertical="top" wrapText="1" readingOrder="2"/>
    </xf>
    <xf numFmtId="166" fontId="12" fillId="5" borderId="1" applyAlignment="1" pivotButton="0" quotePrefix="0" xfId="0">
      <alignment horizontal="center" vertical="center" wrapText="1" readingOrder="2"/>
    </xf>
    <xf numFmtId="0" fontId="38" fillId="5" borderId="1" applyAlignment="1" pivotButton="0" quotePrefix="0" xfId="0">
      <alignment horizontal="center" vertical="center" wrapText="1" readingOrder="2"/>
    </xf>
    <xf numFmtId="0" fontId="37" fillId="4" borderId="1" applyAlignment="1" pivotButton="0" quotePrefix="0" xfId="0">
      <alignment horizontal="center" vertical="center" wrapText="1" readingOrder="2"/>
    </xf>
    <xf numFmtId="165" fontId="14" fillId="7" borderId="1" applyAlignment="1" pivotButton="0" quotePrefix="0" xfId="0">
      <alignment horizontal="center" vertical="center" wrapText="1" readingOrder="2"/>
    </xf>
    <xf numFmtId="0" fontId="32" fillId="0" borderId="1" applyAlignment="1" pivotButton="0" quotePrefix="0" xfId="0">
      <alignment horizontal="right" vertical="top" wrapText="1" readingOrder="2"/>
    </xf>
    <xf numFmtId="3" fontId="39" fillId="4" borderId="1" applyAlignment="1" pivotButton="0" quotePrefix="0" xfId="0">
      <alignment horizontal="center" vertical="center" wrapText="1" readingOrder="2"/>
    </xf>
    <xf numFmtId="0" fontId="32" fillId="7" borderId="1" applyAlignment="1" pivotButton="0" quotePrefix="0" xfId="0">
      <alignment horizontal="center" vertical="center" wrapText="1" readingOrder="2"/>
    </xf>
    <xf numFmtId="165" fontId="39" fillId="4" borderId="1" applyAlignment="1" pivotButton="0" quotePrefix="0" xfId="0">
      <alignment horizontal="center" vertical="center" wrapText="1" readingOrder="2"/>
    </xf>
    <xf numFmtId="0" fontId="39" fillId="4" borderId="1" applyAlignment="1" pivotButton="0" quotePrefix="0" xfId="0">
      <alignment horizontal="right" vertical="center" readingOrder="2"/>
    </xf>
    <xf numFmtId="0" fontId="0" fillId="4" borderId="1" pivotButton="0" quotePrefix="0" xfId="0"/>
    <xf numFmtId="0" fontId="14" fillId="7" borderId="1" applyAlignment="1" pivotButton="0" quotePrefix="0" xfId="0">
      <alignment horizontal="right" vertical="center" readingOrder="2"/>
    </xf>
    <xf numFmtId="0" fontId="0" fillId="7" borderId="1" pivotButton="0" quotePrefix="0" xfId="0"/>
  </cellXfs>
  <cellStyles count="1">
    <cellStyle name="Normal" xfId="0" builtinId="0" hidden="0"/>
  </cellStyles>
  <dxfs count="4">
    <dxf>
      <font>
        <name val="DIN Next Arabic"/>
        <b val="1"/>
        <color rgb="009A3E2C"/>
        <sz val="10"/>
      </font>
      <fill>
        <patternFill patternType="solid">
          <fgColor rgb="00F2DAD4"/>
        </patternFill>
      </fill>
    </dxf>
    <dxf>
      <font>
        <name val="DIN Next Arabic"/>
        <b val="1"/>
        <color rgb="001F5E4A"/>
        <sz val="10"/>
      </font>
      <fill>
        <patternFill patternType="solid">
          <fgColor rgb="00D6E9E1"/>
        </patternFill>
      </fill>
    </dxf>
    <dxf>
      <font>
        <name val="DIN Next Arabic"/>
        <color rgb="00C0503A"/>
        <sz val="10"/>
      </font>
    </dxf>
    <dxf>
      <font>
        <name val="DIN Next Arabic"/>
        <color rgb="001F5E4A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لترات في اليوم · وحصة الديزل</a:t>
            </a:r>
          </a:p>
        </rich>
      </tx>
    </title>
    <plotArea>
      <lineChart>
        <grouping val="standard"/>
        <ser>
          <idx val="0"/>
          <order val="0"/>
          <tx>
            <strRef>
              <f>'العمرة — بيان يومي'!E57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'العمرة — بيان يومي'!$B$58:$B$66</f>
            </numRef>
          </cat>
          <val>
            <numRef>
              <f>'العمرة — بيان يومي'!$E$58:$E$66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strRef>
              <f>'العمرة — بيان يومي'!H57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'العمرة — بيان يومي'!$H$58:$H$66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لتر/يوم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ديزل٪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المعاملات في الساعة — فعلي مقابل شكل التصنيف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'الساعة والوردية'!C5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'الساعة والوردية'!$B$6:$B$29</f>
            </numRef>
          </cat>
          <val>
            <numRef>
              <f>'الساعة والوردية'!$C$6:$C$29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'الساعة والوردية'!F5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'الساعة والوردية'!$F$6:$F$29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67</row>
      <rowOff>0</rowOff>
    </from>
    <ext cx="864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30</row>
      <rowOff>0</rowOff>
    </from>
    <ext cx="93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" customWidth="1" min="8" max="8"/>
    <col width="34" customWidth="1" min="9" max="9"/>
  </cols>
  <sheetData>
    <row r="1" ht="26" customHeight="1">
      <c r="A1" s="1" t="inlineStr">
        <is>
          <t>القسم التجاري — الحاسبة والخطة في ملف واحد</t>
        </is>
      </c>
    </row>
    <row r="2" ht="16" customHeight="1">
      <c r="A2" s="2" t="inlineStr">
        <is>
          <t>55 محطة · 276.8 مليون لتر · 626.5 مليون ريال · 10.96 مليون زيارة · 10,959,777 صفّاً من كاش إن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42" customHeight="1">
      <c r="A4" s="4" t="inlineStr">
        <is>
          <t>قاعدة هذا الملف: التشخيص قبل الوصفة. لا يدخل رقمٌ خانة «مبيعات» حتى يُستبعد قبله الوصولُ والبياناتُ والعقدُ والإمدادُ والرقابةُ والعمالة. ولذلك تجد في كل ورقة عموداً اسمه «البوابة» — محطةٌ عليها بوابة مفتوحة لا تدخل حملةً قبل إقفالها، لأن نتيجتها ستُنسب إلى الحملة وهي من البوابة.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6">
      <c r="B6" s="6" t="inlineStr">
        <is>
          <t>الفرصة المؤكَّدة</t>
        </is>
      </c>
      <c r="C6" s="7" t="inlineStr">
        <is>
          <t>منها بعدد التعبئات</t>
        </is>
      </c>
      <c r="D6" s="7" t="inlineStr">
        <is>
          <t>ومنها بحجم التعبئة</t>
        </is>
      </c>
      <c r="E6" s="8" t="inlineStr">
        <is>
          <t>فجوة العمولة</t>
        </is>
      </c>
      <c r="F6" s="9" t="inlineStr">
        <is>
          <t>محطات دون المتوقَّع</t>
        </is>
      </c>
      <c r="G6" s="9" t="inlineStr">
        <is>
          <t>وحدات تجارية شاغرة</t>
        </is>
      </c>
    </row>
    <row r="7" ht="22" customHeight="1">
      <c r="B7" s="10" t="n">
        <v>3185078.529030128</v>
      </c>
      <c r="C7" s="11" t="n">
        <v>853323.9981451068</v>
      </c>
      <c r="D7" s="11" t="n">
        <v>2331754.530885022</v>
      </c>
      <c r="E7" s="12" t="n">
        <v>1132871.984420354</v>
      </c>
      <c r="F7" s="13" t="n">
        <v>33</v>
      </c>
      <c r="G7" s="13" t="n">
        <v>1089</v>
      </c>
    </row>
    <row r="8">
      <c r="B8" s="14" t="inlineStr">
        <is>
          <t>ريال/سنة هامش مساهمة</t>
        </is>
      </c>
      <c r="C8" s="15" t="inlineStr">
        <is>
          <t>767 معاملة/يوم في ساعات الذروة</t>
        </is>
      </c>
      <c r="D8" s="15" t="inlineStr">
        <is>
          <t>58,839 لتر/يوم · تُفسَّر بالمزيج</t>
        </is>
      </c>
      <c r="E8" s="16" t="inlineStr">
        <is>
          <t>ريال/سنة — لا تحتاج حملةً بل تفاوضاً</t>
        </is>
      </c>
      <c r="F8" s="17" t="inlineStr">
        <is>
          <t>من 52 محطة مقيسة</t>
        </is>
      </c>
      <c r="G8" s="17" t="inlineStr">
        <is>
          <t>من 1733 — إشغال 37٪</t>
        </is>
      </c>
    </row>
    <row r="10" ht="22" customHeight="1">
      <c r="A10" s="18" t="inlineStr">
        <is>
          <t>① أين المال فعلاً — وهل يحتاج بيعاً أصلاً؟</t>
        </is>
      </c>
    </row>
    <row r="11" ht="30" customHeight="1">
      <c r="A11" s="19" t="inlineStr"/>
      <c r="B11" s="19" t="inlineStr">
        <is>
          <t>الفرصة</t>
        </is>
      </c>
      <c r="C11" s="19" t="inlineStr">
        <is>
          <t>القيمة ر/سنة</t>
        </is>
      </c>
      <c r="D11" s="19" t="inlineStr">
        <is>
          <t>الصنف</t>
        </is>
      </c>
      <c r="E11" s="19" t="inlineStr">
        <is>
          <t>من يملكها</t>
        </is>
      </c>
      <c r="F11" s="19" t="inlineStr"/>
      <c r="G11" s="19" t="inlineStr"/>
      <c r="H11" s="19" t="inlineStr"/>
      <c r="I11" s="19" t="inlineStr">
        <is>
          <t>هل تحتاج حملةً؟</t>
        </is>
      </c>
    </row>
    <row r="12" ht="28" customHeight="1">
      <c r="B12" s="20" t="inlineStr">
        <is>
          <t>فجوة العمولة في محطات التشغيل</t>
        </is>
      </c>
      <c r="C12" s="21" t="n">
        <v>1132871.984420354</v>
      </c>
      <c r="D12" s="22" t="inlineStr">
        <is>
          <t>عقد</t>
        </is>
      </c>
      <c r="E12" s="23" t="inlineStr">
        <is>
          <t>التجاري + المالية</t>
        </is>
      </c>
      <c r="F12" s="24" t="n"/>
      <c r="G12" s="24" t="n"/>
      <c r="H12" s="24" t="n"/>
      <c r="I12" s="25" t="inlineStr">
        <is>
          <t>لا — تفاوض عقود. وهي أكبر رقم في الخطة كلها</t>
        </is>
      </c>
    </row>
    <row r="13" ht="28" customHeight="1">
      <c r="B13" s="20" t="inlineStr">
        <is>
          <t>حجم التعبئة دون المتوقَّع</t>
        </is>
      </c>
      <c r="C13" s="21" t="n">
        <v>2331754.530885022</v>
      </c>
      <c r="D13" s="22" t="inlineStr">
        <is>
          <t>سلة</t>
        </is>
      </c>
      <c r="E13" s="23" t="inlineStr">
        <is>
          <t>التجاري</t>
        </is>
      </c>
      <c r="F13" s="24" t="n"/>
      <c r="G13" s="24" t="n"/>
      <c r="H13" s="24" t="n"/>
      <c r="I13" s="25" t="inlineStr">
        <is>
          <t>جزئياً — وثلثا تباينها مزيج وقود لا سلوك، فتُفسَّر ولا تُطالَب</t>
        </is>
      </c>
    </row>
    <row r="14" ht="28" customHeight="1">
      <c r="B14" s="20" t="inlineStr">
        <is>
          <t>فاقد ساعات الذروة</t>
        </is>
      </c>
      <c r="C14" s="21" t="n">
        <v>853323.9981451068</v>
      </c>
      <c r="D14" s="22" t="inlineStr">
        <is>
          <t>معاملات</t>
        </is>
      </c>
      <c r="E14" s="23" t="inlineStr">
        <is>
          <t>التجاري + العمليات</t>
        </is>
      </c>
      <c r="F14" s="24" t="n"/>
      <c r="G14" s="24" t="n"/>
      <c r="H14" s="24" t="n"/>
      <c r="I14" s="25" t="inlineStr">
        <is>
          <t>لا — تغطية طاقم وسرعة خدمة. وهذا وحده ما يُطالَب به</t>
        </is>
      </c>
    </row>
    <row r="15" ht="28" customHeight="1">
      <c r="B15" s="20" t="inlineStr">
        <is>
          <t>الوحدات الشاغرة المقيسة حركتها</t>
        </is>
      </c>
      <c r="C15" s="26" t="inlineStr">
        <is>
          <t>غير مُسعَّرة</t>
        </is>
      </c>
      <c r="D15" s="22" t="inlineStr">
        <is>
          <t>تأجير</t>
        </is>
      </c>
      <c r="E15" s="23" t="inlineStr">
        <is>
          <t>التأجير</t>
        </is>
      </c>
      <c r="F15" s="24" t="n"/>
      <c r="G15" s="24" t="n"/>
      <c r="H15" s="24" t="n"/>
      <c r="I15" s="25" t="inlineStr">
        <is>
          <t>لا — اكتتاب. 139 وحدة من 1089 حركتها مقيسة اليوم</t>
        </is>
      </c>
    </row>
    <row r="16" ht="28" customHeight="1">
      <c r="B16" s="20" t="inlineStr">
        <is>
          <t>كلفة آلية الهدية لو عُمِّمت</t>
        </is>
      </c>
      <c r="C16" s="21" t="n">
        <v>-400407.4926829268</v>
      </c>
      <c r="D16" s="22" t="inlineStr">
        <is>
          <t>كلفة</t>
        </is>
      </c>
      <c r="E16" s="23" t="inlineStr">
        <is>
          <t>التجاري</t>
        </is>
      </c>
      <c r="F16" s="24" t="n"/>
      <c r="G16" s="24" t="n"/>
      <c r="H16" s="24" t="n"/>
      <c r="I16" s="25" t="inlineStr">
        <is>
          <t>بالعكس — تُدفع على القائم والعائد من الإضافي · محطة العمرة وحدها</t>
        </is>
      </c>
    </row>
    <row r="17" ht="30" customHeight="1">
      <c r="A17" s="27" t="inlineStr">
        <is>
          <t>أكبر رقمٍ في الجدول لا يحتاج لتراً إضافياً ولا حملة — يحتاج جلسة تفاوض. وأضخم الفرص كثيراً ما تكون خارج دائرة البيع، وعلامة الخبرة أن تقول «هذه ليست مشكلة مبيعات» حين تكون كذلك.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</row>
    <row r="19" ht="22" customHeight="1">
      <c r="A19" s="18" t="inlineStr">
        <is>
          <t>② البوابات — حالاتٌ تُغلق قبل أي إنفاق</t>
        </is>
      </c>
    </row>
    <row r="20" ht="30" customHeight="1">
      <c r="A20" s="19" t="inlineStr"/>
      <c r="B20" s="19" t="inlineStr">
        <is>
          <t>الحالة المرصودة</t>
        </is>
      </c>
      <c r="C20" s="19" t="inlineStr">
        <is>
          <t>الفعل</t>
        </is>
      </c>
      <c r="D20" s="19" t="inlineStr"/>
      <c r="E20" s="19" t="inlineStr">
        <is>
          <t>كيف</t>
        </is>
      </c>
      <c r="F20" s="19" t="inlineStr"/>
      <c r="G20" s="19" t="inlineStr"/>
      <c r="H20" s="19" t="inlineStr">
        <is>
          <t>الصنف</t>
        </is>
      </c>
      <c r="I20" s="19" t="inlineStr">
        <is>
          <t>محطات عليها</t>
        </is>
      </c>
    </row>
    <row r="21" ht="26" customHeight="1">
      <c r="B21" s="29" t="inlineStr">
        <is>
          <t>⛔ فجوة مطابقة تتجاوز ٥٪</t>
        </is>
      </c>
      <c r="C21" s="26" t="inlineStr">
        <is>
          <t>تحقيق ورقابة — لا حملة</t>
        </is>
      </c>
      <c r="D21" s="30" t="n"/>
      <c r="E21" s="31" t="inlineStr">
        <is>
          <t>جرد خزانات · معايرة عدادات · مطابقة إشعارات</t>
        </is>
      </c>
      <c r="F21" s="30" t="n"/>
      <c r="G21" s="30" t="n"/>
      <c r="H21" s="8" t="inlineStr">
        <is>
          <t>رقابة</t>
        </is>
      </c>
      <c r="I21" s="32" t="n">
        <v>2</v>
      </c>
    </row>
    <row r="22" ht="26" customHeight="1">
      <c r="B22" s="29" t="inlineStr">
        <is>
          <t>⛔ تغيير مسار أو مدخل</t>
        </is>
      </c>
      <c r="C22" s="26" t="inlineStr">
        <is>
          <t>هندسة وصول — لا حملة</t>
        </is>
      </c>
      <c r="D22" s="30" t="n"/>
      <c r="E22" s="31" t="inlineStr">
        <is>
          <t>تصحيح المدخل على الخرائط · لافتة على المسار · إعادة تحجيم العمالة</t>
        </is>
      </c>
      <c r="F22" s="30" t="n"/>
      <c r="G22" s="30" t="n"/>
      <c r="H22" s="8" t="inlineStr">
        <is>
          <t>وصول</t>
        </is>
      </c>
      <c r="I22" s="32" t="n">
        <v>2</v>
      </c>
    </row>
    <row r="23" ht="26" customHeight="1">
      <c r="B23" s="29" t="inlineStr">
        <is>
          <t>⛔ وسيلة الدفع غير مسجّلة</t>
        </is>
      </c>
      <c r="C23" s="26" t="inlineStr">
        <is>
          <t>تفعيل النظام قبل أي حملة</t>
        </is>
      </c>
      <c r="D23" s="30" t="n"/>
      <c r="E23" s="31" t="inlineStr">
        <is>
          <t>ضبط نقاط البيع · تدريب الوردية · مؤشر في حافز العامل</t>
        </is>
      </c>
      <c r="F23" s="30" t="n"/>
      <c r="G23" s="30" t="n"/>
      <c r="H23" s="8" t="inlineStr">
        <is>
          <t>بيانات</t>
        </is>
      </c>
      <c r="I23" s="32" t="n">
        <v>18</v>
      </c>
    </row>
    <row r="24" ht="26" customHeight="1">
      <c r="B24" s="29" t="inlineStr">
        <is>
          <t>⛔ تغطية خزان دون ٤ أيام</t>
        </is>
      </c>
      <c r="C24" s="26" t="inlineStr">
        <is>
          <t>تأمين الإمداد قبل رفع الطلب</t>
        </is>
      </c>
      <c r="D24" s="30" t="n"/>
      <c r="E24" s="31" t="inlineStr">
        <is>
          <t>حد أدنى تعاقدي · ناقل بديل · دراسة خزان</t>
        </is>
      </c>
      <c r="F24" s="30" t="n"/>
      <c r="G24" s="30" t="n"/>
      <c r="H24" s="8" t="inlineStr">
        <is>
          <t>إمداد</t>
        </is>
      </c>
      <c r="I24" s="33" t="inlineStr">
        <is>
          <t>—</t>
        </is>
      </c>
    </row>
    <row r="25" ht="26" customHeight="1">
      <c r="B25" s="29" t="inlineStr">
        <is>
          <t>⛔ نقدي المحطة فوق ٧٠٪ · الوسيط ٤٠٪</t>
        </is>
      </c>
      <c r="C25" s="26" t="inlineStr">
        <is>
          <t>فحص نقاط البيع أولاً</t>
        </is>
      </c>
      <c r="D25" s="30" t="n"/>
      <c r="E25" s="31" t="inlineStr">
        <is>
          <t>اختبار قارئ البطاقة · مطابقة تسليم النقد · المحفظة تُطلق هنا</t>
        </is>
      </c>
      <c r="F25" s="30" t="n"/>
      <c r="G25" s="30" t="n"/>
      <c r="H25" s="8" t="inlineStr">
        <is>
          <t>رقابة</t>
        </is>
      </c>
      <c r="I25" s="33" t="inlineStr">
        <is>
          <t>—</t>
        </is>
      </c>
    </row>
    <row r="26" ht="26" customHeight="1">
      <c r="B26" s="34" t="inlineStr">
        <is>
          <t>فاقد في ساعات الذروة</t>
        </is>
      </c>
      <c r="C26" s="35" t="inlineStr">
        <is>
          <t>تغطية لا حملة</t>
        </is>
      </c>
      <c r="D26" s="24" t="n"/>
      <c r="E26" s="23" t="inlineStr">
        <is>
          <t>طاقم الذروة · فحص المضخات · تدرّج التسليم</t>
        </is>
      </c>
      <c r="F26" s="24" t="n"/>
      <c r="G26" s="24" t="n"/>
      <c r="H26" s="22" t="inlineStr">
        <is>
          <t>معاملات</t>
        </is>
      </c>
      <c r="I26" s="36" t="n">
        <v>11</v>
      </c>
    </row>
    <row r="27" ht="26" customHeight="1">
      <c r="B27" s="34" t="inlineStr">
        <is>
          <t>عبء المسائية يفوق الصباحية</t>
        </is>
      </c>
      <c r="C27" s="35" t="inlineStr">
        <is>
          <t>نقل طاقم لا توظيف</t>
        </is>
      </c>
      <c r="D27" s="24" t="n"/>
      <c r="E27" s="23" t="inlineStr">
        <is>
          <t>إعادة جدولة المناوبات · مستهدف وردية لا محطة</t>
        </is>
      </c>
      <c r="F27" s="24" t="n"/>
      <c r="G27" s="24" t="n"/>
      <c r="H27" s="22" t="inlineStr">
        <is>
          <t>عمالة</t>
        </is>
      </c>
      <c r="I27" s="37" t="inlineStr">
        <is>
          <t>—</t>
        </is>
      </c>
    </row>
    <row r="28" ht="26" customHeight="1">
      <c r="B28" s="34" t="inlineStr">
        <is>
          <t>تعبئة دون ما يفسّره مزيجها</t>
        </is>
      </c>
      <c r="C28" s="35" t="inlineStr">
        <is>
          <t>رفع السلة</t>
        </is>
      </c>
      <c r="D28" s="24" t="n"/>
      <c r="E28" s="23" t="inlineStr">
        <is>
          <t>علبة المناديل عند العتبة · نص موحّد · لوحة عند المضخة</t>
        </is>
      </c>
      <c r="F28" s="24" t="n"/>
      <c r="G28" s="24" t="n"/>
      <c r="H28" s="22" t="inlineStr">
        <is>
          <t>سلة</t>
        </is>
      </c>
      <c r="I28" s="36" t="n">
        <v>33</v>
      </c>
    </row>
    <row r="29" ht="26" customHeight="1">
      <c r="B29" s="34" t="inlineStr">
        <is>
          <t>حصة الديزل ٣٠٪ فأكثر</t>
        </is>
      </c>
      <c r="C29" s="35" t="inlineStr">
        <is>
          <t>تعاقد أساطيل</t>
        </is>
      </c>
      <c r="D29" s="24" t="n"/>
      <c r="E29" s="23" t="inlineStr">
        <is>
          <t>حصر ناقلي المنطقة · سعر متدرج · تسجيل في التطبيق</t>
        </is>
      </c>
      <c r="F29" s="24" t="n"/>
      <c r="G29" s="24" t="n"/>
      <c r="H29" s="22" t="inlineStr">
        <is>
          <t>أساطيل</t>
        </is>
      </c>
      <c r="I29" s="36" t="n">
        <v>16</v>
      </c>
    </row>
    <row r="30" ht="26" customHeight="1">
      <c r="B30" s="34" t="inlineStr">
        <is>
          <t>عشر وحدات شاغرة فأكثر</t>
        </is>
      </c>
      <c r="C30" s="35" t="inlineStr">
        <is>
          <t>باقة تأجير حسب الفئة</t>
        </is>
      </c>
      <c r="D30" s="24" t="n"/>
      <c r="E30" s="23" t="inlineStr">
        <is>
          <t>التدريج لتحت التنفيذ · النسبة للمشغّلة · المسوّق للامتياز</t>
        </is>
      </c>
      <c r="F30" s="24" t="n"/>
      <c r="G30" s="24" t="n"/>
      <c r="H30" s="22" t="inlineStr">
        <is>
          <t>تأجير</t>
        </is>
      </c>
      <c r="I30" s="36" t="n">
        <v>3</v>
      </c>
    </row>
    <row r="31" ht="30" customHeight="1">
      <c r="A31" s="38" t="inlineStr">
        <is>
          <t>الأربع الأولى بوابات: تُغلق قبل أي حملة. والستّ الباقية أفعالٌ تجارية تبدأ بعدها. وعمود «محطات عليها» يقول كم محطةً ترفع كل علامة اليوم — والتفصيل في ورقة المحطات.</t>
        </is>
      </c>
      <c r="B31" s="30" t="n"/>
      <c r="C31" s="30" t="n"/>
      <c r="D31" s="30" t="n"/>
      <c r="E31" s="30" t="n"/>
      <c r="F31" s="30" t="n"/>
      <c r="G31" s="30" t="n"/>
      <c r="H31" s="30" t="n"/>
      <c r="I31" s="30" t="n"/>
    </row>
    <row r="33" ht="22" customHeight="1">
      <c r="A33" s="18" t="inlineStr">
        <is>
          <t>③ التصنيف — مصطلحات الشركة نفسها من ملف التحليلات</t>
        </is>
      </c>
    </row>
    <row r="34" ht="30" customHeight="1">
      <c r="A34" s="19" t="inlineStr"/>
      <c r="B34" s="19" t="inlineStr">
        <is>
          <t>التصنيف</t>
        </is>
      </c>
      <c r="C34" s="19" t="inlineStr">
        <is>
          <t>محطات</t>
        </is>
      </c>
      <c r="D34" s="19" t="inlineStr">
        <is>
          <t>لتر/يوم</t>
        </is>
      </c>
      <c r="E34" s="19" t="inlineStr">
        <is>
          <t>لتر/زيارة</t>
        </is>
      </c>
      <c r="F34" s="19" t="inlineStr">
        <is>
          <t>ديزل٪</t>
        </is>
      </c>
      <c r="G34" s="19" t="inlineStr">
        <is>
          <t>R²</t>
        </is>
      </c>
      <c r="H34" s="19" t="inlineStr"/>
      <c r="I34" s="19" t="inlineStr">
        <is>
          <t>المحرّك الأول والفعل</t>
        </is>
      </c>
    </row>
    <row r="35" ht="26" customHeight="1">
      <c r="B35" s="20" t="inlineStr">
        <is>
          <t>حيوية</t>
        </is>
      </c>
      <c r="C35" s="39" t="n">
        <v>25</v>
      </c>
      <c r="D35" s="39" t="n">
        <v>780547.857715735</v>
      </c>
      <c r="E35" s="40" t="n">
        <v>24.50074673826045</v>
      </c>
      <c r="F35" s="41" t="n">
        <v>0.1830846910931725</v>
      </c>
      <c r="G35" s="42" t="n">
        <v>0.4329457373295591</v>
      </c>
      <c r="H35" s="43" t="inlineStr"/>
      <c r="I35" s="25" t="inlineStr">
        <is>
          <t>تغطية ساعات الذروة — طاقم الذروة · توفّر المضخات · سرعة الخدمة</t>
        </is>
      </c>
    </row>
    <row r="36" ht="26" customHeight="1">
      <c r="B36" s="20" t="inlineStr">
        <is>
          <t>خط سفر</t>
        </is>
      </c>
      <c r="C36" s="39" t="n">
        <v>8</v>
      </c>
      <c r="D36" s="39" t="n">
        <v>318207.1212521931</v>
      </c>
      <c r="E36" s="40" t="n">
        <v>34.58337744393539</v>
      </c>
      <c r="F36" s="41" t="n">
        <v>0.3800742150847181</v>
      </c>
      <c r="G36" s="42" t="n">
        <v>0.5542364524709185</v>
      </c>
      <c r="H36" s="43" t="inlineStr"/>
      <c r="I36" s="25" t="inlineStr">
        <is>
          <t>التعاقد وسلة التعبئة — عقود ديزل متدرجة · خدمات شاحنات · ممر سريع</t>
        </is>
      </c>
    </row>
    <row r="37" ht="26" customHeight="1">
      <c r="B37" s="20" t="inlineStr">
        <is>
          <t>حي</t>
        </is>
      </c>
      <c r="C37" s="39" t="n">
        <v>8</v>
      </c>
      <c r="D37" s="39" t="n">
        <v>140722.3440390366</v>
      </c>
      <c r="E37" s="40" t="n">
        <v>24.55016993443944</v>
      </c>
      <c r="F37" s="41" t="n">
        <v>0.2000012093298419</v>
      </c>
      <c r="G37" s="42" t="n">
        <v>0.5460303015012835</v>
      </c>
      <c r="H37" s="43" t="inlineStr"/>
      <c r="I37" s="25" t="inlineStr">
        <is>
          <t>التردد — ساعات العمل · مزيج المستأجرين · سرعة الذروة</t>
        </is>
      </c>
    </row>
    <row r="38" ht="26" customHeight="1">
      <c r="B38" s="20" t="inlineStr">
        <is>
          <t>مختلط</t>
        </is>
      </c>
      <c r="C38" s="39" t="n">
        <v>8</v>
      </c>
      <c r="D38" s="39" t="n">
        <v>241126.3995593624</v>
      </c>
      <c r="E38" s="40" t="n">
        <v>25.98259909734757</v>
      </c>
      <c r="F38" s="41" t="n">
        <v>0.167726942840306</v>
      </c>
      <c r="G38" s="42" t="n">
        <v>0.3925932020977065</v>
      </c>
      <c r="H38" s="43" t="inlineStr"/>
      <c r="I38" s="25" t="inlineStr">
        <is>
          <t>فصل الطلبين — عرض للسكّان وآخر للعابرين · لا رسالة واحدة</t>
        </is>
      </c>
    </row>
    <row r="39" ht="26" customHeight="1">
      <c r="B39" s="20" t="inlineStr">
        <is>
          <t>نائية</t>
        </is>
      </c>
      <c r="C39" s="39" t="n">
        <v>3</v>
      </c>
      <c r="D39" s="39" t="n">
        <v>28978.00042513661</v>
      </c>
      <c r="E39" s="40" t="n">
        <v>23.24704775109273</v>
      </c>
      <c r="F39" s="41" t="n">
        <v>0.186643710937708</v>
      </c>
      <c r="G39" s="42" t="n">
        <v>0.6467458056916224</v>
      </c>
      <c r="H39" s="43" t="inlineStr"/>
      <c r="I39" s="25" t="inlineStr">
        <is>
          <t>حماية الربحية — ضبط العمالة · تأجير الوحدات · لا إنفاق تسويقي</t>
        </is>
      </c>
    </row>
    <row r="40">
      <c r="B40" s="44" t="inlineStr">
        <is>
          <t>الإجمالي</t>
        </is>
      </c>
      <c r="C40" s="45">
        <f>SUM(C35:C39)</f>
        <v/>
      </c>
      <c r="D40" s="45">
        <f>SUM(D35:D39)</f>
        <v/>
      </c>
      <c r="E40" s="46" t="inlineStr"/>
      <c r="F40" s="46" t="inlineStr"/>
      <c r="G40" s="46" t="inlineStr"/>
      <c r="H40" s="43" t="inlineStr"/>
      <c r="I40" s="46" t="inlineStr"/>
    </row>
    <row r="41" ht="30" customHeight="1">
      <c r="A41" s="27" t="inlineStr">
        <is>
          <t>R² هو مدى ما يفسّره التصنيف من تباين حجم التعبئة داخله. وتصنيف الشركة متماسكٌ سلوكياً لا اسماً: خط سفر ديزله ٤٨٪ وسلته ٣٦ لتراً، والحيوية ديزلها ١٨٪. ولذلك يُقارَن كلٌّ بشكله لا بمتوسط الشبكة.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</row>
  </sheetData>
  <mergeCells count="34">
    <mergeCell ref="E28:G28"/>
    <mergeCell ref="A41:I41"/>
    <mergeCell ref="C24:D24"/>
    <mergeCell ref="C30:D30"/>
    <mergeCell ref="E16:H16"/>
    <mergeCell ref="E30:G30"/>
    <mergeCell ref="C26:D26"/>
    <mergeCell ref="A2:I2"/>
    <mergeCell ref="C29:D29"/>
    <mergeCell ref="A33:I33"/>
    <mergeCell ref="E27:G27"/>
    <mergeCell ref="C25:D25"/>
    <mergeCell ref="E12:H12"/>
    <mergeCell ref="A17:I17"/>
    <mergeCell ref="E26:G26"/>
    <mergeCell ref="C22:D22"/>
    <mergeCell ref="A4:I4"/>
    <mergeCell ref="E25:G25"/>
    <mergeCell ref="E14:H14"/>
    <mergeCell ref="A19:I19"/>
    <mergeCell ref="C21:D21"/>
    <mergeCell ref="E22:G22"/>
    <mergeCell ref="A10:I10"/>
    <mergeCell ref="C27:D27"/>
    <mergeCell ref="A31:I31"/>
    <mergeCell ref="E21:G21"/>
    <mergeCell ref="C23:D23"/>
    <mergeCell ref="E13:H13"/>
    <mergeCell ref="E24:G24"/>
    <mergeCell ref="E23:G23"/>
    <mergeCell ref="A1:I1"/>
    <mergeCell ref="C28:D28"/>
    <mergeCell ref="E15:H15"/>
    <mergeCell ref="E29:G29"/>
  </mergeCells>
  <conditionalFormatting sqref="C12:C1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/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7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4" customWidth="1" min="5" max="5"/>
    <col width="30" customWidth="1" min="6" max="6"/>
    <col width="16" customWidth="1" min="7" max="7"/>
    <col width="18" customWidth="1" min="8" max="8"/>
    <col width="4" customWidth="1" min="9" max="9"/>
  </cols>
  <sheetData>
    <row r="1" ht="26" customHeight="1">
      <c r="A1" s="1" t="inlineStr">
        <is>
          <t>حاسبة المبيعات — اختر المحطة وغيّر الأصفر وحده</t>
        </is>
      </c>
    </row>
    <row r="2" ht="16" customHeight="1">
      <c r="A2" s="2" t="inlineStr">
        <is>
          <t>كل خلية بيضاء صيغةٌ حيّة · الذهبية مُدخَلات · وبيانات المحطة تُسحب تلقائياً من ورقة المحطات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4" t="inlineStr">
        <is>
          <t>الحاسبة تجيب سؤالاً واحداً: كم يساوي أن نضيف معاملةً في اليوم في هذه المحطة — وكم يكلّف. فالمعاملة تُطلَب، وحجم التعبئة يُفسَّر بمزيج الوقود ولا يُطالَب به.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6" ht="22" customHeight="1">
      <c r="A6" s="18" t="inlineStr">
        <is>
          <t>① المحطة — اخترها من القائمة وكل ما تحتها يتغيّر</t>
        </is>
      </c>
    </row>
    <row r="7" ht="24" customHeight="1">
      <c r="B7" s="47" t="inlineStr">
        <is>
          <t>المحطة</t>
        </is>
      </c>
      <c r="C7" s="48" t="inlineStr">
        <is>
          <t>العمرة الجديدة</t>
        </is>
      </c>
      <c r="D7" s="30" t="n"/>
      <c r="E7" s="43" t="inlineStr"/>
      <c r="F7" s="49" t="inlineStr">
        <is>
          <t>◀ اضغط الخلية ثم اختر من السهم</t>
        </is>
      </c>
      <c r="G7" s="50" t="inlineStr">
        <is>
          <t>من 52 محطة مقيسة</t>
        </is>
      </c>
      <c r="H7" s="24" t="n"/>
      <c r="I7" s="24" t="n"/>
    </row>
    <row r="8" ht="30" customHeight="1">
      <c r="A8" s="19" t="inlineStr"/>
      <c r="B8" s="19" t="inlineStr">
        <is>
          <t>من بيانات المحطة</t>
        </is>
      </c>
      <c r="C8" s="19" t="inlineStr">
        <is>
          <t>القيمة</t>
        </is>
      </c>
      <c r="D8" s="19" t="inlineStr"/>
      <c r="E8" s="19" t="inlineStr"/>
      <c r="F8" s="19" t="inlineStr">
        <is>
          <t>من بيانات المحطة</t>
        </is>
      </c>
      <c r="G8" s="19" t="inlineStr">
        <is>
          <t>القيمة</t>
        </is>
      </c>
      <c r="H8" s="19" t="inlineStr"/>
      <c r="I8" s="19" t="inlineStr"/>
    </row>
    <row r="9">
      <c r="B9" s="20" t="inlineStr">
        <is>
          <t>الرمز</t>
        </is>
      </c>
      <c r="C9" s="51">
        <f>VLOOKUP($C$7,'المحطات'!$B$5:$R$56,2,FALSE)</f>
        <v/>
      </c>
      <c r="D9" s="43" t="inlineStr"/>
      <c r="E9" s="43" t="inlineStr"/>
      <c r="F9" s="20" t="inlineStr">
        <is>
          <t>متوسط الفاتورة</t>
        </is>
      </c>
      <c r="G9" s="52">
        <f>VLOOKUP($C$7,'المحطات'!$B$5:$R$56,8,FALSE)</f>
        <v/>
      </c>
      <c r="H9" s="43" t="inlineStr"/>
      <c r="I9" s="43" t="inlineStr"/>
    </row>
    <row r="10">
      <c r="B10" s="20" t="inlineStr">
        <is>
          <t>المنطقة</t>
        </is>
      </c>
      <c r="C10" s="51">
        <f>VLOOKUP($C$7,'المحطات'!$B$5:$R$56,3,FALSE)</f>
        <v/>
      </c>
      <c r="D10" s="43" t="inlineStr"/>
      <c r="E10" s="43" t="inlineStr"/>
      <c r="F10" s="20" t="inlineStr">
        <is>
          <t>حصة الديزل</t>
        </is>
      </c>
      <c r="G10" s="53">
        <f>VLOOKUP($C$7,'المحطات'!$B$5:$R$56,9,FALSE)</f>
        <v/>
      </c>
      <c r="H10" s="43" t="inlineStr"/>
      <c r="I10" s="43" t="inlineStr"/>
    </row>
    <row r="11">
      <c r="B11" s="20" t="inlineStr">
        <is>
          <t>التصنيف</t>
        </is>
      </c>
      <c r="C11" s="51">
        <f>VLOOKUP($C$7,'المحطات'!$B$5:$R$56,4,FALSE)</f>
        <v/>
      </c>
      <c r="D11" s="43" t="inlineStr"/>
      <c r="E11" s="43" t="inlineStr"/>
      <c r="F11" s="20" t="inlineStr">
        <is>
          <t>حصة الليل</t>
        </is>
      </c>
      <c r="G11" s="53">
        <f>VLOOKUP($C$7,'المحطات'!$B$5:$R$56,10,FALSE)</f>
        <v/>
      </c>
      <c r="H11" s="43" t="inlineStr"/>
      <c r="I11" s="43" t="inlineStr"/>
    </row>
    <row r="12">
      <c r="B12" s="20" t="inlineStr">
        <is>
          <t>زيارة/يوم</t>
        </is>
      </c>
      <c r="C12" s="54">
        <f>VLOOKUP($C$7,'المحطات'!$B$5:$R$56,5,FALSE)</f>
        <v/>
      </c>
      <c r="D12" s="43" t="inlineStr"/>
      <c r="E12" s="43" t="inlineStr"/>
      <c r="F12" s="20" t="inlineStr">
        <is>
          <t>فجوة الذروة معاملة/يوم</t>
        </is>
      </c>
      <c r="G12" s="55">
        <f>VLOOKUP($C$7,'المحطات'!$B$5:$R$56,12,FALSE)</f>
        <v/>
      </c>
      <c r="H12" s="43" t="inlineStr"/>
      <c r="I12" s="43" t="inlineStr"/>
    </row>
    <row r="13">
      <c r="B13" s="20" t="inlineStr">
        <is>
          <t>لتر/يوم</t>
        </is>
      </c>
      <c r="C13" s="54">
        <f>VLOOKUP($C$7,'المحطات'!$B$5:$R$56,6,FALSE)</f>
        <v/>
      </c>
      <c r="D13" s="43" t="inlineStr"/>
      <c r="E13" s="43" t="inlineStr"/>
      <c r="F13" s="20" t="inlineStr">
        <is>
          <t>فجوة السلة لتر/زيارة</t>
        </is>
      </c>
      <c r="G13" s="55">
        <f>VLOOKUP($C$7,'المحطات'!$B$5:$R$56,13,FALSE)</f>
        <v/>
      </c>
      <c r="H13" s="43" t="inlineStr"/>
      <c r="I13" s="43" t="inlineStr"/>
    </row>
    <row r="14">
      <c r="B14" s="20" t="inlineStr">
        <is>
          <t>لتر لكل زيارة</t>
        </is>
      </c>
      <c r="C14" s="55">
        <f>VLOOKUP($C$7,'المحطات'!$B$5:$R$56,7,FALSE)</f>
        <v/>
      </c>
      <c r="D14" s="43" t="inlineStr"/>
      <c r="E14" s="43" t="inlineStr"/>
      <c r="F14" s="20" t="inlineStr">
        <is>
          <t>البوابات والحالات</t>
        </is>
      </c>
      <c r="G14" s="51">
        <f>VLOOKUP($C$7,'المحطات'!$B$5:$R$56,17,FALSE)</f>
        <v/>
      </c>
      <c r="H14" s="43" t="inlineStr"/>
      <c r="I14" s="43" t="inlineStr"/>
    </row>
    <row r="16" ht="22" customHeight="1">
      <c r="A16" s="18" t="inlineStr">
        <is>
          <t>② المُدخَلات — الذهبيّ وحده قابل للتغيير</t>
        </is>
      </c>
    </row>
    <row r="17" ht="30" customHeight="1">
      <c r="A17" s="19" t="inlineStr"/>
      <c r="B17" s="19" t="inlineStr">
        <is>
          <t>المُدخَل</t>
        </is>
      </c>
      <c r="C17" s="19" t="inlineStr">
        <is>
          <t>القيمة</t>
        </is>
      </c>
      <c r="D17" s="19" t="inlineStr">
        <is>
          <t>الوحدة</t>
        </is>
      </c>
      <c r="E17" s="19" t="inlineStr"/>
      <c r="F17" s="19" t="inlineStr">
        <is>
          <t>المُدخَل</t>
        </is>
      </c>
      <c r="G17" s="19" t="inlineStr">
        <is>
          <t>القيمة</t>
        </is>
      </c>
      <c r="H17" s="19" t="inlineStr">
        <is>
          <t>الوحدة</t>
        </is>
      </c>
      <c r="I17" s="19" t="inlineStr"/>
    </row>
    <row r="18">
      <c r="B18" s="20" t="inlineStr">
        <is>
          <t>نسبة إغلاق الفجوة</t>
        </is>
      </c>
      <c r="C18" s="56" t="n">
        <v>0.4</v>
      </c>
      <c r="D18" s="50" t="inlineStr">
        <is>
          <t>٪ خلال ستة أشهر</t>
        </is>
      </c>
      <c r="E18" s="43" t="inlineStr"/>
      <c r="F18" s="20" t="inlineStr">
        <is>
          <t>أساس الكلفة</t>
        </is>
      </c>
      <c r="G18" s="57" t="inlineStr">
        <is>
          <t>تشغيل المحطة — محمَّل بالكامل</t>
        </is>
      </c>
      <c r="H18" s="50" t="inlineStr">
        <is>
          <t>اختر</t>
        </is>
      </c>
      <c r="I18" s="43" t="inlineStr"/>
    </row>
    <row r="19">
      <c r="B19" s="20" t="inlineStr">
        <is>
          <t>معاملات إضافية في اليوم</t>
        </is>
      </c>
      <c r="C19" s="58">
        <f>$G$12*$C$18</f>
        <v/>
      </c>
      <c r="D19" s="50" t="inlineStr">
        <is>
          <t>اكتب فوقها رقمك إن شئت</t>
        </is>
      </c>
      <c r="E19" s="43" t="inlineStr"/>
      <c r="F19" s="20" t="inlineStr">
        <is>
          <t>هدية على كل فاتورة مؤهَّلة؟</t>
        </is>
      </c>
      <c r="G19" s="57" t="inlineStr">
        <is>
          <t>لا</t>
        </is>
      </c>
      <c r="H19" s="50" t="inlineStr">
        <is>
          <t>نعم / لا</t>
        </is>
      </c>
      <c r="I19" s="43" t="inlineStr"/>
    </row>
    <row r="20">
      <c r="B20" s="20" t="inlineStr">
        <is>
          <t>هامش لتر البنزين</t>
        </is>
      </c>
      <c r="C20" s="59" t="n">
        <v>0.1266</v>
      </c>
      <c r="D20" s="50" t="inlineStr">
        <is>
          <t>ريال/لتر = ١٢٫٦٦ هللة</t>
        </is>
      </c>
      <c r="E20" s="43" t="inlineStr"/>
      <c r="F20" s="20" t="inlineStr">
        <is>
          <t>كلفة العلبة</t>
        </is>
      </c>
      <c r="G20" s="60" t="n">
        <v>0.62</v>
      </c>
      <c r="H20" s="50" t="inlineStr">
        <is>
          <t>ريال</t>
        </is>
      </c>
      <c r="I20" s="43" t="inlineStr"/>
    </row>
    <row r="21">
      <c r="B21" s="20" t="inlineStr">
        <is>
          <t>هامش لتر الديزل</t>
        </is>
      </c>
      <c r="C21" s="59" t="n">
        <v>0.0447</v>
      </c>
      <c r="D21" s="50" t="inlineStr">
        <is>
          <t>ريال/لتر = ٤٫٤٧ هللة</t>
        </is>
      </c>
      <c r="E21" s="43" t="inlineStr"/>
      <c r="F21" s="20" t="inlineStr">
        <is>
          <t>حصة الفواتير المؤهَّلة</t>
        </is>
      </c>
      <c r="G21" s="56" t="n">
        <v>0.3898171657330163</v>
      </c>
      <c r="H21" s="50" t="inlineStr">
        <is>
          <t>٪ — مقيسة في العمرة</t>
        </is>
      </c>
      <c r="I21" s="43" t="inlineStr"/>
    </row>
    <row r="22">
      <c r="B22" s="20" t="inlineStr">
        <is>
          <t>أيام التطبيق</t>
        </is>
      </c>
      <c r="C22" s="61" t="n">
        <v>365</v>
      </c>
      <c r="D22" s="50" t="inlineStr">
        <is>
          <t>يوم</t>
        </is>
      </c>
      <c r="E22" s="43" t="inlineStr"/>
      <c r="F22" s="20" t="inlineStr">
        <is>
          <t>سعر البيع للتر</t>
        </is>
      </c>
      <c r="G22" s="60" t="n">
        <v>2.10900529674919</v>
      </c>
      <c r="H22" s="50" t="inlineStr">
        <is>
          <t>ريال/لتر</t>
        </is>
      </c>
      <c r="I22" s="43" t="inlineStr"/>
    </row>
    <row r="23" ht="22" customHeight="1">
      <c r="A23" s="18" t="inlineStr">
        <is>
          <t>أسُس الكلفة الثلاثة — ولكلٍّ قرارٌ يخصّه</t>
        </is>
      </c>
    </row>
    <row r="24" ht="30" customHeight="1">
      <c r="A24" s="19" t="inlineStr"/>
      <c r="B24" s="19" t="inlineStr">
        <is>
          <t>الأساس</t>
        </is>
      </c>
      <c r="C24" s="19" t="inlineStr">
        <is>
          <t>هللة/لتر</t>
        </is>
      </c>
      <c r="D24" s="19" t="inlineStr"/>
      <c r="E24" s="19" t="inlineStr"/>
      <c r="F24" s="19" t="inlineStr">
        <is>
          <t>يصلح لقرار</t>
        </is>
      </c>
      <c r="G24" s="19" t="inlineStr"/>
      <c r="H24" s="19" t="inlineStr"/>
      <c r="I24" s="19" t="inlineStr"/>
    </row>
    <row r="25">
      <c r="B25" s="62" t="inlineStr">
        <is>
          <t>حدّية — لتر إضافي على طاقم قائم</t>
        </is>
      </c>
      <c r="C25" s="63" t="n">
        <v>0</v>
      </c>
      <c r="D25" s="64" t="inlineStr"/>
      <c r="E25" s="43" t="inlineStr"/>
      <c r="F25" s="23" t="inlineStr">
        <is>
          <t>يصلح لقرار: هل نغلق الفجوة بالطاقم الحالي؟</t>
        </is>
      </c>
      <c r="G25" s="24" t="n"/>
      <c r="H25" s="24" t="n"/>
      <c r="I25" s="24" t="n"/>
    </row>
    <row r="26">
      <c r="B26" s="62" t="inlineStr">
        <is>
          <t>تشغيل المحطة — محمَّل بالكامل</t>
        </is>
      </c>
      <c r="C26" s="63" t="n">
        <v>9.15</v>
      </c>
      <c r="D26" s="64" t="inlineStr"/>
      <c r="E26" s="43" t="inlineStr"/>
      <c r="F26" s="23" t="inlineStr">
        <is>
          <t>يصلح لقرار: هل نفتح وردية أو نوظّف؟</t>
        </is>
      </c>
      <c r="G26" s="24" t="n"/>
      <c r="H26" s="24" t="n"/>
      <c r="I26" s="24" t="n"/>
    </row>
    <row r="27">
      <c r="B27" s="62" t="inlineStr">
        <is>
          <t>المحمَّل الكامل — مع مصاريف المركز</t>
        </is>
      </c>
      <c r="C27" s="63" t="n">
        <v>13.56</v>
      </c>
      <c r="D27" s="64" t="inlineStr"/>
      <c r="E27" s="43" t="inlineStr"/>
      <c r="F27" s="23" t="inlineStr">
        <is>
          <t>يصلح لقرار: هل تستحق المحطة رأس مال جديداً؟</t>
        </is>
      </c>
      <c r="G27" s="24" t="n"/>
      <c r="H27" s="24" t="n"/>
      <c r="I27" s="24" t="n"/>
    </row>
    <row r="28" ht="30" customHeight="1">
      <c r="A28" s="27" t="inlineStr">
        <is>
          <t>الأساس الحدّي صفرٌ لأن النقص في ساعات الذروة طاقةُ خدمةٍ لا طاقة ضخّ: المضخّات والمرافق والأجور مدفوعة أصلاً، فاللتر الإضافي على الطاقم القائم لا يضيف كلفةً مقيسة. ومن يقرّر فتح وردية أو توظيفاً يستعمل الأساس الثاني، ومن يقرّر رأس مال جديداً يستعمل الثالث.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</row>
    <row r="30" ht="22" customHeight="1">
      <c r="A30" s="18" t="inlineStr">
        <is>
          <t>③ النتيجة — محسوبة من المُدخَلات أعلاه</t>
        </is>
      </c>
    </row>
    <row r="31" ht="30" customHeight="1">
      <c r="A31" s="19" t="inlineStr"/>
      <c r="B31" s="19" t="inlineStr">
        <is>
          <t>السطر</t>
        </is>
      </c>
      <c r="C31" s="19" t="inlineStr">
        <is>
          <t>في اليوم</t>
        </is>
      </c>
      <c r="D31" s="19" t="inlineStr">
        <is>
          <t>في السنة</t>
        </is>
      </c>
      <c r="E31" s="19" t="inlineStr"/>
      <c r="F31" s="19" t="inlineStr">
        <is>
          <t>السطر</t>
        </is>
      </c>
      <c r="G31" s="19" t="inlineStr">
        <is>
          <t>القيمة</t>
        </is>
      </c>
      <c r="H31" s="19" t="inlineStr"/>
      <c r="I31" s="19" t="inlineStr"/>
    </row>
    <row r="32">
      <c r="B32" s="20" t="inlineStr">
        <is>
          <t>لترات إضافية</t>
        </is>
      </c>
      <c r="C32" s="65">
        <f>$C$19*$C$14</f>
        <v/>
      </c>
      <c r="D32" s="39">
        <f>C32*$C$22</f>
        <v/>
      </c>
      <c r="E32" s="43" t="inlineStr"/>
      <c r="F32" s="20" t="inlineStr">
        <is>
          <t>الهامش المرجَّح للتر — ريالاً</t>
        </is>
      </c>
      <c r="G32" s="66">
        <f>$C$20*(1-$G$10)+$C$21*$G$10</f>
        <v/>
      </c>
      <c r="H32" s="43" t="inlineStr"/>
      <c r="I32" s="43" t="inlineStr"/>
    </row>
    <row r="33">
      <c r="B33" s="20" t="inlineStr">
        <is>
          <t>مبيعات إضافية</t>
        </is>
      </c>
      <c r="C33" s="67">
        <f>C32*$G$22</f>
        <v/>
      </c>
      <c r="D33" s="67">
        <f>C33*$C$22</f>
        <v/>
      </c>
      <c r="E33" s="43" t="inlineStr"/>
      <c r="F33" s="20" t="inlineStr">
        <is>
          <t>قيمة معاملةٍ واحدة إضافية في اليوم</t>
        </is>
      </c>
      <c r="G33" s="68">
        <f>$C$14*$G$32*$C$22</f>
        <v/>
      </c>
      <c r="H33" s="43" t="inlineStr"/>
      <c r="I33" s="43" t="inlineStr"/>
    </row>
    <row r="34">
      <c r="B34" s="20" t="inlineStr">
        <is>
          <t>هامش مساهمة المستهدف</t>
        </is>
      </c>
      <c r="C34" s="69">
        <f>C32*$G$32</f>
        <v/>
      </c>
      <c r="D34" s="68">
        <f>C34*$C$22</f>
        <v/>
      </c>
      <c r="E34" s="43" t="inlineStr"/>
      <c r="F34" s="20" t="inlineStr">
        <is>
          <t>الزيادة على حركة المحطة</t>
        </is>
      </c>
      <c r="G34" s="41">
        <f>$C$19/$C$12</f>
        <v/>
      </c>
      <c r="H34" s="43" t="inlineStr"/>
      <c r="I34" s="43" t="inlineStr"/>
    </row>
    <row r="35">
      <c r="B35" s="20" t="inlineStr">
        <is>
          <t>كلفة لترات المستهدف</t>
        </is>
      </c>
      <c r="C35" s="70">
        <f>-C32*VLOOKUP($G$18,$B$25:$C$27,2,FALSE)/100</f>
        <v/>
      </c>
      <c r="D35" s="71">
        <f>C35*$C$22</f>
        <v/>
      </c>
      <c r="E35" s="43" t="inlineStr"/>
      <c r="F35" s="20" t="inlineStr">
        <is>
          <t>قيمة إغلاق الفجوة كاملةً</t>
        </is>
      </c>
      <c r="G35" s="68">
        <f>$G$12*$C$14*$G$32*$C$22</f>
        <v/>
      </c>
      <c r="H35" s="43" t="inlineStr"/>
      <c r="I35" s="43" t="inlineStr"/>
    </row>
    <row r="36">
      <c r="B36" s="72" t="inlineStr">
        <is>
          <t>صافي المستهدف</t>
        </is>
      </c>
      <c r="C36" s="73">
        <f>C34+C35</f>
        <v/>
      </c>
      <c r="D36" s="74">
        <f>C36*$C$22</f>
        <v/>
      </c>
      <c r="E36" s="43" t="inlineStr"/>
      <c r="F36" s="20" t="inlineStr">
        <is>
          <t>الفواتير المؤهَّلة للهدية اليوم</t>
        </is>
      </c>
      <c r="G36" s="39">
        <f>($C$12+$C$19)*$G$21</f>
        <v/>
      </c>
      <c r="H36" s="43" t="inlineStr"/>
      <c r="I36" s="43" t="inlineStr"/>
    </row>
    <row r="37">
      <c r="B37" s="20" t="inlineStr">
        <is>
          <t>كلفة الهدية — على المحطة كلها</t>
        </is>
      </c>
      <c r="C37" s="70">
        <f>-IF($G$19="نعم",($C$12+$C$19)*$G$21*$G$20,0)</f>
        <v/>
      </c>
      <c r="D37" s="71">
        <f>C37*$C$22</f>
        <v/>
      </c>
      <c r="E37" s="43" t="inlineStr"/>
      <c r="F37" s="20" t="inlineStr">
        <is>
          <t>لترات/يوم تدفع كلفة الهدية</t>
        </is>
      </c>
      <c r="G37" s="75">
        <f>-C37/$G$32</f>
        <v/>
      </c>
      <c r="H37" s="43" t="inlineStr"/>
      <c r="I37" s="43" t="inlineStr"/>
    </row>
    <row r="38">
      <c r="B38" s="72" t="inlineStr">
        <is>
          <t>الصافي بعد الهدية</t>
        </is>
      </c>
      <c r="C38" s="73">
        <f>C36+C37</f>
        <v/>
      </c>
      <c r="D38" s="74">
        <f>C38*$C$22</f>
        <v/>
      </c>
      <c r="E38" s="43" t="inlineStr"/>
      <c r="F38" s="20" t="inlineStr">
        <is>
          <t>وهي من حجم المحطة</t>
        </is>
      </c>
      <c r="G38" s="76">
        <f>-C37/$G$32/($C$12*$C$14)</f>
        <v/>
      </c>
      <c r="H38" s="43" t="inlineStr"/>
      <c r="I38" s="43" t="inlineStr"/>
    </row>
    <row r="39" ht="36" customHeight="1">
      <c r="A39" s="38" t="inlineStr">
        <is>
          <t>السطران الأخيران يخلطان أساسين عمداً ليُرى الخلط: الهدية تُدفع على كل فاتورةٍ مؤهَّلة — القائمة والإضافية معاً — بينما العائد يأتي من الإضافية وحدها. فلذلك تُقارَن كلفتها بحجم المحطة لا بحجم الزيادة، والسطر «وهي من حجم المحطة» يقول النسبة مباشرة.</t>
        </is>
      </c>
      <c r="B39" s="30" t="n"/>
      <c r="C39" s="30" t="n"/>
      <c r="D39" s="30" t="n"/>
      <c r="E39" s="30" t="n"/>
      <c r="F39" s="30" t="n"/>
      <c r="G39" s="30" t="n"/>
      <c r="H39" s="30" t="n"/>
      <c r="I39" s="30" t="n"/>
    </row>
    <row r="41" ht="22" customHeight="1">
      <c r="A41" s="18" t="inlineStr">
        <is>
          <t>④ حجم التعبئة — يُعرض ولا يُطالَب به</t>
        </is>
      </c>
    </row>
    <row r="42" ht="30" customHeight="1">
      <c r="A42" s="19" t="inlineStr"/>
      <c r="B42" s="19" t="inlineStr">
        <is>
          <t>السطر</t>
        </is>
      </c>
      <c r="C42" s="19" t="inlineStr">
        <is>
          <t>القيمة</t>
        </is>
      </c>
      <c r="D42" s="19" t="inlineStr">
        <is>
          <t>في السنة</t>
        </is>
      </c>
      <c r="E42" s="19" t="inlineStr"/>
      <c r="F42" s="19" t="inlineStr">
        <is>
          <t>لماذا لا يُطالَب به</t>
        </is>
      </c>
      <c r="G42" s="19" t="inlineStr"/>
      <c r="H42" s="19" t="inlineStr"/>
      <c r="I42" s="19" t="inlineStr"/>
    </row>
    <row r="43">
      <c r="B43" s="20" t="inlineStr">
        <is>
          <t>فجوة السلة لكل زيارة</t>
        </is>
      </c>
      <c r="C43" s="40">
        <f>$G$13</f>
        <v/>
      </c>
      <c r="D43" s="39" t="inlineStr">
        <is>
          <t>—</t>
        </is>
      </c>
      <c r="E43" s="43" t="inlineStr"/>
      <c r="F43" s="23" t="inlineStr">
        <is>
          <t>الفرق بين لتر زيارتنا وما يفسّره مزيج تصنيفنا</t>
        </is>
      </c>
      <c r="G43" s="24" t="n"/>
      <c r="H43" s="24" t="n"/>
      <c r="I43" s="24" t="n"/>
    </row>
    <row r="44">
      <c r="B44" s="20" t="inlineStr">
        <is>
          <t>لترات/يوم لو أُغلقت كاملةً</t>
        </is>
      </c>
      <c r="C44" s="39">
        <f>C43*$C$12</f>
        <v/>
      </c>
      <c r="D44" s="39">
        <f>C44*$C$22</f>
        <v/>
      </c>
      <c r="E44" s="43" t="inlineStr"/>
      <c r="F44" s="23" t="inlineStr">
        <is>
          <t>ثلثا تباين حجم التعبئة مزيج وقود لا سلوك — R²=٠٫٦٦</t>
        </is>
      </c>
      <c r="G44" s="24" t="n"/>
      <c r="H44" s="24" t="n"/>
      <c r="I44" s="24" t="n"/>
    </row>
    <row r="45">
      <c r="B45" s="20" t="inlineStr">
        <is>
          <t>قيمتها هامشَ مساهمة</t>
        </is>
      </c>
      <c r="C45" s="77">
        <f>C44*$G$32</f>
        <v/>
      </c>
      <c r="D45" s="67">
        <f>C45*$C$22</f>
        <v/>
      </c>
      <c r="E45" s="43" t="inlineStr"/>
      <c r="F45" s="23" t="inlineStr">
        <is>
          <t>فتُفسَّر بالمزيج وتُتابَع، ولا تُحمَّل على وردية</t>
        </is>
      </c>
      <c r="G45" s="24" t="n"/>
      <c r="H45" s="24" t="n"/>
      <c r="I45" s="24" t="n"/>
    </row>
    <row r="46" ht="30" customHeight="1">
      <c r="A46" s="27" t="inlineStr">
        <is>
          <t>هذه الكتلة معروضةٌ للعلم لا للمطالبة. وإن خرجت صفراً فالمحطة تعبئتها عند ما يفسّره مزيجها — وهذا وضعٌ سليم لا نقص.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</row>
    <row r="48" ht="22" customHeight="1">
      <c r="A48" s="18" t="inlineStr">
        <is>
          <t>⑤ الحساسية — الصافي السنوي قبل أي حافز</t>
        </is>
      </c>
    </row>
    <row r="49" ht="30" customHeight="1">
      <c r="A49" s="19" t="inlineStr"/>
      <c r="B49" s="19" t="inlineStr">
        <is>
          <t>معاملات إضافية/يوم</t>
        </is>
      </c>
      <c r="C49" s="19" t="inlineStr">
        <is>
          <t>لترات/يوم</t>
        </is>
      </c>
      <c r="D49" s="19" t="inlineStr">
        <is>
          <t>هامش مساهمة/سنة</t>
        </is>
      </c>
      <c r="E49" s="19" t="inlineStr"/>
      <c r="F49" s="19" t="inlineStr">
        <is>
          <t>حدّية — الكلفة صفر فيساوي الهامش</t>
        </is>
      </c>
      <c r="G49" s="19" t="inlineStr">
        <is>
          <t>بعد تشغيل المحطة</t>
        </is>
      </c>
      <c r="H49" s="19" t="inlineStr">
        <is>
          <t>بعد المحمَّل الكامل</t>
        </is>
      </c>
      <c r="I49" s="19" t="inlineStr">
        <is>
          <t>الزيادة على الحركة</t>
        </is>
      </c>
    </row>
    <row r="50">
      <c r="B50" s="40">
        <f>$G$12*0.1429</f>
        <v/>
      </c>
      <c r="C50" s="39">
        <f>B50*$C$14</f>
        <v/>
      </c>
      <c r="D50" s="67">
        <f>C50*$G$32*$C$22</f>
        <v/>
      </c>
      <c r="E50" s="43" t="inlineStr"/>
      <c r="F50" s="67">
        <f>$D50-$C50*0.0000/100*$C$22</f>
        <v/>
      </c>
      <c r="G50" s="67">
        <f>$D50-$C50*9.1500/100*$C$22</f>
        <v/>
      </c>
      <c r="H50" s="67">
        <f>$D50-$C50*13.5600/100*$C$22</f>
        <v/>
      </c>
      <c r="I50" s="41">
        <f>B50/$C$12</f>
        <v/>
      </c>
    </row>
    <row r="51">
      <c r="B51" s="40">
        <f>$G$12*0.2857</f>
        <v/>
      </c>
      <c r="C51" s="39">
        <f>B51*$C$14</f>
        <v/>
      </c>
      <c r="D51" s="67">
        <f>C51*$G$32*$C$22</f>
        <v/>
      </c>
      <c r="E51" s="43" t="inlineStr"/>
      <c r="F51" s="67">
        <f>$D51-$C51*0.0000/100*$C$22</f>
        <v/>
      </c>
      <c r="G51" s="67">
        <f>$D51-$C51*9.1500/100*$C$22</f>
        <v/>
      </c>
      <c r="H51" s="67">
        <f>$D51-$C51*13.5600/100*$C$22</f>
        <v/>
      </c>
      <c r="I51" s="41">
        <f>B51/$C$12</f>
        <v/>
      </c>
    </row>
    <row r="52">
      <c r="B52" s="40">
        <f>$G$12*0.4286</f>
        <v/>
      </c>
      <c r="C52" s="39">
        <f>B52*$C$14</f>
        <v/>
      </c>
      <c r="D52" s="67">
        <f>C52*$G$32*$C$22</f>
        <v/>
      </c>
      <c r="E52" s="43" t="inlineStr"/>
      <c r="F52" s="67">
        <f>$D52-$C52*0.0000/100*$C$22</f>
        <v/>
      </c>
      <c r="G52" s="67">
        <f>$D52-$C52*9.1500/100*$C$22</f>
        <v/>
      </c>
      <c r="H52" s="67">
        <f>$D52-$C52*13.5600/100*$C$22</f>
        <v/>
      </c>
      <c r="I52" s="41">
        <f>B52/$C$12</f>
        <v/>
      </c>
    </row>
    <row r="53">
      <c r="B53" s="40">
        <f>$G$12*0.5714</f>
        <v/>
      </c>
      <c r="C53" s="39">
        <f>B53*$C$14</f>
        <v/>
      </c>
      <c r="D53" s="67">
        <f>C53*$G$32*$C$22</f>
        <v/>
      </c>
      <c r="E53" s="43" t="inlineStr"/>
      <c r="F53" s="67">
        <f>$D53-$C53*0.0000/100*$C$22</f>
        <v/>
      </c>
      <c r="G53" s="67">
        <f>$D53-$C53*9.1500/100*$C$22</f>
        <v/>
      </c>
      <c r="H53" s="67">
        <f>$D53-$C53*13.5600/100*$C$22</f>
        <v/>
      </c>
      <c r="I53" s="41">
        <f>B53/$C$12</f>
        <v/>
      </c>
    </row>
    <row r="54">
      <c r="B54" s="40">
        <f>$G$12*0.7143</f>
        <v/>
      </c>
      <c r="C54" s="39">
        <f>B54*$C$14</f>
        <v/>
      </c>
      <c r="D54" s="67">
        <f>C54*$G$32*$C$22</f>
        <v/>
      </c>
      <c r="E54" s="43" t="inlineStr"/>
      <c r="F54" s="67">
        <f>$D54-$C54*0.0000/100*$C$22</f>
        <v/>
      </c>
      <c r="G54" s="67">
        <f>$D54-$C54*9.1500/100*$C$22</f>
        <v/>
      </c>
      <c r="H54" s="67">
        <f>$D54-$C54*13.5600/100*$C$22</f>
        <v/>
      </c>
      <c r="I54" s="41">
        <f>B54/$C$12</f>
        <v/>
      </c>
    </row>
    <row r="55">
      <c r="B55" s="40">
        <f>$G$12*0.8571</f>
        <v/>
      </c>
      <c r="C55" s="39">
        <f>B55*$C$14</f>
        <v/>
      </c>
      <c r="D55" s="67">
        <f>C55*$G$32*$C$22</f>
        <v/>
      </c>
      <c r="E55" s="43" t="inlineStr"/>
      <c r="F55" s="67">
        <f>$D55-$C55*0.0000/100*$C$22</f>
        <v/>
      </c>
      <c r="G55" s="67">
        <f>$D55-$C55*9.1500/100*$C$22</f>
        <v/>
      </c>
      <c r="H55" s="67">
        <f>$D55-$C55*13.5600/100*$C$22</f>
        <v/>
      </c>
      <c r="I55" s="41">
        <f>B55/$C$12</f>
        <v/>
      </c>
    </row>
    <row r="56">
      <c r="B56" s="78">
        <f>$G$12</f>
        <v/>
      </c>
      <c r="C56" s="79">
        <f>B56*$C$14</f>
        <v/>
      </c>
      <c r="D56" s="80">
        <f>C56*$G$32*$C$22</f>
        <v/>
      </c>
      <c r="E56" s="43" t="inlineStr"/>
      <c r="F56" s="80">
        <f>$D56-$C56*0.0000/100*$C$22</f>
        <v/>
      </c>
      <c r="G56" s="80">
        <f>$D56-$C56*9.1500/100*$C$22</f>
        <v/>
      </c>
      <c r="H56" s="80">
        <f>$D56-$C56*13.5600/100*$C$22</f>
        <v/>
      </c>
      <c r="I56" s="81">
        <f>B56/$C$12</f>
        <v/>
      </c>
    </row>
    <row r="57" ht="30" customHeight="1">
      <c r="A57" s="27" t="inlineStr">
        <is>
          <t>الصفّ الأخير هو الفجوة كاملةً. ولاحظ عمود «المحمَّل الكامل»: في محطاتٍ كثيرة يخرج سالباً — لأن هامش اللتر أقلّ من كلفته محمَّلةً بمصاريف المركز. وهذا ليس سبباً لرفض اللتر الإضافي، بل سببٌ لئلّا يُبنى عليه قرار رأس مال.</t>
        </is>
      </c>
      <c r="B57" s="28" t="n"/>
      <c r="C57" s="28" t="n"/>
      <c r="D57" s="28" t="n"/>
      <c r="E57" s="28" t="n"/>
      <c r="F57" s="28" t="n"/>
      <c r="G57" s="28" t="n"/>
      <c r="H57" s="28" t="n"/>
      <c r="I57" s="28" t="n"/>
    </row>
  </sheetData>
  <mergeCells count="21">
    <mergeCell ref="A41:I41"/>
    <mergeCell ref="F27:I27"/>
    <mergeCell ref="A46:I46"/>
    <mergeCell ref="F43:I43"/>
    <mergeCell ref="A57:I57"/>
    <mergeCell ref="A2:I2"/>
    <mergeCell ref="F44:I44"/>
    <mergeCell ref="A23:I23"/>
    <mergeCell ref="F25:I25"/>
    <mergeCell ref="A4:I4"/>
    <mergeCell ref="A28:I28"/>
    <mergeCell ref="A39:I39"/>
    <mergeCell ref="A48:I48"/>
    <mergeCell ref="F45:I45"/>
    <mergeCell ref="A30:I30"/>
    <mergeCell ref="F26:I26"/>
    <mergeCell ref="C7:D7"/>
    <mergeCell ref="A1:I1"/>
    <mergeCell ref="A6:I6"/>
    <mergeCell ref="G7:I7"/>
    <mergeCell ref="A16:I16"/>
  </mergeCells>
  <conditionalFormatting sqref="C32:C38">
    <cfRule type="cellIs" priority="1" operator="lessThan" dxfId="2">
      <formula>0</formula>
    </cfRule>
  </conditionalFormatting>
  <conditionalFormatting sqref="D32:D38">
    <cfRule type="cellIs" priority="2" operator="lessThan" dxfId="2">
      <formula>0</formula>
    </cfRule>
  </conditionalFormatting>
  <conditionalFormatting sqref="G32:G38">
    <cfRule type="cellIs" priority="3" operator="lessThan" dxfId="2">
      <formula>0</formula>
    </cfRule>
  </conditionalFormatting>
  <conditionalFormatting sqref="F50:F56">
    <cfRule type="cellIs" priority="4" operator="lessThan" dxfId="0">
      <formula>0</formula>
    </cfRule>
    <cfRule type="cellIs" priority="5" operator="greaterThan" dxfId="1">
      <formula>0</formula>
    </cfRule>
  </conditionalFormatting>
  <conditionalFormatting sqref="G50:G56">
    <cfRule type="cellIs" priority="6" operator="lessThan" dxfId="0">
      <formula>0</formula>
    </cfRule>
    <cfRule type="cellIs" priority="7" operator="greaterThan" dxfId="1">
      <formula>0</formula>
    </cfRule>
  </conditionalFormatting>
  <conditionalFormatting sqref="H50:H56">
    <cfRule type="cellIs" priority="8" operator="lessThan" dxfId="0">
      <formula>0</formula>
    </cfRule>
    <cfRule type="cellIs" priority="9" operator="greaterThan" dxfId="1">
      <formula>0</formula>
    </cfRule>
  </conditionalFormatting>
  <dataValidations count="3">
    <dataValidation sqref="C7" showDropDown="0" showInputMessage="0" showErrorMessage="0" allowBlank="0" type="list">
      <formula1>'المحطات'!$B$5:$B$56</formula1>
    </dataValidation>
    <dataValidation sqref="G18" showDropDown="0" showInputMessage="0" showErrorMessage="0" allowBlank="0" type="list">
      <formula1>"حدّية — لتر إضافي على طاقم قائم,تشغيل المحطة — محمَّل بالكامل,المحمَّل الكامل — مع مصاريف المركز"</formula1>
    </dataValidation>
    <dataValidation sqref="G19" showDropDown="0" showInputMessage="0" showErrorMessage="0" allowBlank="0" type="list">
      <formula1>"نعم,لا"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58"/>
  <sheetViews>
    <sheetView showGridLines="0" rightToLeft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8" customWidth="1" min="3" max="3"/>
    <col width="9" customWidth="1" min="4" max="4"/>
    <col width="9" customWidth="1" min="5" max="5"/>
    <col width="10" customWidth="1" min="6" max="6"/>
    <col width="11" customWidth="1" min="7" max="7"/>
    <col width="9" customWidth="1" min="8" max="8"/>
    <col width="10" customWidth="1" min="9" max="9"/>
    <col width="8" customWidth="1" min="10" max="10"/>
    <col width="8" customWidth="1" min="11" max="11"/>
    <col width="7" customWidth="1" min="12" max="12"/>
    <col width="10" customWidth="1" min="13" max="13"/>
    <col width="10" customWidth="1" min="14" max="14"/>
    <col width="12" customWidth="1" min="15" max="15"/>
    <col width="12" customWidth="1" min="16" max="16"/>
    <col width="13" customWidth="1" min="17" max="17"/>
    <col width="26" customWidth="1" min="18" max="18"/>
  </cols>
  <sheetData>
    <row r="1" ht="26" customHeight="1">
      <c r="A1" s="1" t="inlineStr">
        <is>
          <t>المحطات — جدول واحد تقرأ منه الحاسبة وكل الأوراق</t>
        </is>
      </c>
    </row>
    <row r="2" ht="16" customHeight="1">
      <c r="A2" s="2" t="inlineStr">
        <is>
          <t>52 محطة مقيسة من كاش إن · 9,058 يوم-محطة · مرتَّبة بقيمة الفرصة · والبوابة في آخر عمود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 ht="34" customHeight="1">
      <c r="A4" s="19" t="inlineStr"/>
      <c r="B4" s="19" t="inlineStr">
        <is>
          <t>المحطة</t>
        </is>
      </c>
      <c r="C4" s="19" t="inlineStr">
        <is>
          <t>الرمز</t>
        </is>
      </c>
      <c r="D4" s="19" t="inlineStr">
        <is>
          <t>المنطقة</t>
        </is>
      </c>
      <c r="E4" s="19" t="inlineStr">
        <is>
          <t>التصنيف</t>
        </is>
      </c>
      <c r="F4" s="19" t="inlineStr">
        <is>
          <t>زيارة/يوم</t>
        </is>
      </c>
      <c r="G4" s="19" t="inlineStr">
        <is>
          <t>لتر/يوم</t>
        </is>
      </c>
      <c r="H4" s="19" t="inlineStr">
        <is>
          <t>لتر/زيارة</t>
        </is>
      </c>
      <c r="I4" s="19" t="inlineStr">
        <is>
          <t>الفاتورة</t>
        </is>
      </c>
      <c r="J4" s="19" t="inlineStr">
        <is>
          <t>ديزل٪</t>
        </is>
      </c>
      <c r="K4" s="19" t="inlineStr">
        <is>
          <t>ليلي٪</t>
        </is>
      </c>
      <c r="L4" s="19" t="inlineStr">
        <is>
          <t>ذروة</t>
        </is>
      </c>
      <c r="M4" s="19" t="inlineStr">
        <is>
          <t>فجوة الذروة</t>
        </is>
      </c>
      <c r="N4" s="19" t="inlineStr">
        <is>
          <t>فجوة السلة</t>
        </is>
      </c>
      <c r="O4" s="19" t="inlineStr">
        <is>
          <t>قيمة المعاملات</t>
        </is>
      </c>
      <c r="P4" s="19" t="inlineStr">
        <is>
          <t>قيمة السلة</t>
        </is>
      </c>
      <c r="Q4" s="19" t="inlineStr">
        <is>
          <t>الإجمالي ر/سنة</t>
        </is>
      </c>
      <c r="R4" s="19" t="inlineStr">
        <is>
          <t>البوابات والحالات</t>
        </is>
      </c>
    </row>
    <row r="5">
      <c r="B5" s="20" t="inlineStr">
        <is>
          <t>جنوب صبيا</t>
        </is>
      </c>
      <c r="C5" s="22" t="inlineStr">
        <is>
          <t>JA348</t>
        </is>
      </c>
      <c r="D5" s="22" t="inlineStr">
        <is>
          <t>جازان</t>
        </is>
      </c>
      <c r="E5" s="22" t="inlineStr">
        <is>
          <t>مختلط</t>
        </is>
      </c>
      <c r="F5" s="39" t="n">
        <v>1435.842105263158</v>
      </c>
      <c r="G5" s="39" t="n">
        <v>22127.57105263158</v>
      </c>
      <c r="H5" s="40" t="n">
        <v>15.4108665371504</v>
      </c>
      <c r="I5" s="40" t="n">
        <v>33.82</v>
      </c>
      <c r="J5" s="41" t="n">
        <v>0.1269707542360723</v>
      </c>
      <c r="K5" s="41" t="n">
        <v>0.5681609911660129</v>
      </c>
      <c r="L5" s="39" t="n">
        <v>21</v>
      </c>
      <c r="M5" s="40" t="n">
        <v>12.77449983069793</v>
      </c>
      <c r="N5" s="40" t="n">
        <v>9.669652460996929</v>
      </c>
      <c r="O5" s="67" t="n">
        <v>8349.761105823638</v>
      </c>
      <c r="P5" s="67" t="n">
        <v>235548.6541310662</v>
      </c>
      <c r="Q5" s="82">
        <f>O5+P5</f>
        <v/>
      </c>
      <c r="R5" s="83" t="inlineStr">
        <is>
          <t>سلة دون المتوقَّع</t>
        </is>
      </c>
    </row>
    <row r="6">
      <c r="B6" s="20" t="inlineStr">
        <is>
          <t>أبو وافي العمرة</t>
        </is>
      </c>
      <c r="C6" s="22" t="inlineStr">
        <is>
          <t>MK033</t>
        </is>
      </c>
      <c r="D6" s="22" t="inlineStr">
        <is>
          <t>مكة</t>
        </is>
      </c>
      <c r="E6" s="22" t="inlineStr">
        <is>
          <t>خط سفر</t>
        </is>
      </c>
      <c r="F6" s="39" t="n">
        <v>1411.108490566038</v>
      </c>
      <c r="G6" s="39" t="n">
        <v>43568.31566037736</v>
      </c>
      <c r="H6" s="40" t="n">
        <v>30.87524166402032</v>
      </c>
      <c r="I6" s="40" t="n">
        <v>62.44</v>
      </c>
      <c r="J6" s="41" t="n">
        <v>0.5079237346762723</v>
      </c>
      <c r="K6" s="41" t="n">
        <v>0.5047751165783624</v>
      </c>
      <c r="L6" s="39" t="n">
        <v>19</v>
      </c>
      <c r="M6" s="40" t="n">
        <v>13.27191706894327</v>
      </c>
      <c r="N6" s="40" t="n">
        <v>12.61382708942475</v>
      </c>
      <c r="O6" s="67" t="n">
        <v>12713.38386039984</v>
      </c>
      <c r="P6" s="67" t="n">
        <v>220894.2468428697</v>
      </c>
      <c r="Q6" s="82">
        <f>O6+P6</f>
        <v/>
      </c>
      <c r="R6" s="83" t="inlineStr">
        <is>
          <t>سلة دون المتوقَّع · ديزل مرتفع</t>
        </is>
      </c>
    </row>
    <row r="7">
      <c r="B7" s="20" t="inlineStr">
        <is>
          <t>الصفا - أحد المسارحة</t>
        </is>
      </c>
      <c r="C7" s="22" t="inlineStr">
        <is>
          <t>JA092</t>
        </is>
      </c>
      <c r="D7" s="22" t="inlineStr">
        <is>
          <t>جازان</t>
        </is>
      </c>
      <c r="E7" s="22" t="inlineStr">
        <is>
          <t>حيوية</t>
        </is>
      </c>
      <c r="F7" s="39" t="n">
        <v>1856.577639751553</v>
      </c>
      <c r="G7" s="39" t="n">
        <v>35294.70819875776</v>
      </c>
      <c r="H7" s="40" t="n">
        <v>19.01062871977759</v>
      </c>
      <c r="I7" s="40" t="n">
        <v>42.31</v>
      </c>
      <c r="J7" s="41" t="n">
        <v>0.06239456986709049</v>
      </c>
      <c r="K7" s="41" t="n">
        <v>0.5412383032963209</v>
      </c>
      <c r="L7" s="39" t="n">
        <v>21</v>
      </c>
      <c r="M7" s="40" t="n">
        <v>6.522951725062623</v>
      </c>
      <c r="N7" s="40" t="n">
        <v>5.477719849708446</v>
      </c>
      <c r="O7" s="67" t="n">
        <v>5498.872233651393</v>
      </c>
      <c r="P7" s="67" t="n">
        <v>180387.2793537415</v>
      </c>
      <c r="Q7" s="82">
        <f>O7+P7</f>
        <v/>
      </c>
      <c r="R7" s="83" t="inlineStr">
        <is>
          <t>سلة دون المتوقَّع</t>
        </is>
      </c>
    </row>
    <row r="8">
      <c r="B8" s="84" t="inlineStr">
        <is>
          <t>الحسينية</t>
        </is>
      </c>
      <c r="C8" s="8" t="inlineStr">
        <is>
          <t>MK008</t>
        </is>
      </c>
      <c r="D8" s="8" t="inlineStr">
        <is>
          <t>مكة</t>
        </is>
      </c>
      <c r="E8" s="8" t="inlineStr">
        <is>
          <t>حي</t>
        </is>
      </c>
      <c r="F8" s="79" t="n">
        <v>1697.722772277228</v>
      </c>
      <c r="G8" s="79" t="n">
        <v>32430.70386138614</v>
      </c>
      <c r="H8" s="85" t="n">
        <v>19.10247326062868</v>
      </c>
      <c r="I8" s="85" t="n">
        <v>42.95</v>
      </c>
      <c r="J8" s="81" t="n">
        <v>0</v>
      </c>
      <c r="K8" s="81" t="n">
        <v>0.5367936082113489</v>
      </c>
      <c r="L8" s="79" t="n">
        <v>20</v>
      </c>
      <c r="M8" s="85" t="n">
        <v>37.02455370156386</v>
      </c>
      <c r="N8" s="85" t="n">
        <v>4.335005755634057</v>
      </c>
      <c r="O8" s="80" t="n">
        <v>32681.80261959618</v>
      </c>
      <c r="P8" s="80" t="n">
        <v>136032.6047388922</v>
      </c>
      <c r="Q8" s="86">
        <f>O8+P8</f>
        <v/>
      </c>
      <c r="R8" s="87" t="inlineStr">
        <is>
          <t>⛔ فجوة مطابقة · فاقد ذروة · سلة دون المتوقَّع</t>
        </is>
      </c>
    </row>
    <row r="9">
      <c r="B9" s="20" t="inlineStr">
        <is>
          <t>الفلاح - فلسطين</t>
        </is>
      </c>
      <c r="C9" s="22" t="inlineStr">
        <is>
          <t>MK210</t>
        </is>
      </c>
      <c r="D9" s="22" t="inlineStr">
        <is>
          <t>جدة</t>
        </is>
      </c>
      <c r="E9" s="22" t="inlineStr">
        <is>
          <t>حيوية</t>
        </is>
      </c>
      <c r="F9" s="39" t="n">
        <v>1340.949438202247</v>
      </c>
      <c r="G9" s="39" t="n">
        <v>32438.98949438202</v>
      </c>
      <c r="H9" s="40" t="n">
        <v>24.19106087838149</v>
      </c>
      <c r="I9" s="40" t="n">
        <v>49.83</v>
      </c>
      <c r="J9" s="41" t="n">
        <v>0.3834267700739019</v>
      </c>
      <c r="K9" s="41" t="n">
        <v>0.5185282941400735</v>
      </c>
      <c r="L9" s="39" t="n">
        <v>21</v>
      </c>
      <c r="M9" s="40" t="n">
        <v>13.85171371322991</v>
      </c>
      <c r="N9" s="40" t="n">
        <v>7.133694704753793</v>
      </c>
      <c r="O9" s="67" t="n">
        <v>11643.30123649533</v>
      </c>
      <c r="P9" s="67" t="n">
        <v>132954.9850589535</v>
      </c>
      <c r="Q9" s="82">
        <f>O9+P9</f>
        <v/>
      </c>
      <c r="R9" s="83" t="inlineStr">
        <is>
          <t>سلة دون المتوقَّع · ديزل مرتفع</t>
        </is>
      </c>
    </row>
    <row r="10">
      <c r="B10" s="84" t="inlineStr">
        <is>
          <t>جبل النور</t>
        </is>
      </c>
      <c r="C10" s="8" t="inlineStr">
        <is>
          <t>MK001</t>
        </is>
      </c>
      <c r="D10" s="8" t="inlineStr">
        <is>
          <t>مكة</t>
        </is>
      </c>
      <c r="E10" s="8" t="inlineStr">
        <is>
          <t>حيوية</t>
        </is>
      </c>
      <c r="F10" s="79" t="n">
        <v>1853.408653846154</v>
      </c>
      <c r="G10" s="79" t="n">
        <v>35781.71125</v>
      </c>
      <c r="H10" s="85" t="n">
        <v>19.30589412957934</v>
      </c>
      <c r="I10" s="85" t="n">
        <v>43.52</v>
      </c>
      <c r="J10" s="81" t="n">
        <v>0</v>
      </c>
      <c r="K10" s="81" t="n">
        <v>0.5290148868119811</v>
      </c>
      <c r="L10" s="79" t="n">
        <v>17</v>
      </c>
      <c r="M10" s="85" t="n">
        <v>5.663956712600986</v>
      </c>
      <c r="N10" s="85" t="n">
        <v>3.853756961030076</v>
      </c>
      <c r="O10" s="80" t="n">
        <v>5052.850117275194</v>
      </c>
      <c r="P10" s="80" t="n">
        <v>132020.7118571476</v>
      </c>
      <c r="Q10" s="86">
        <f>O10+P10</f>
        <v/>
      </c>
      <c r="R10" s="87" t="inlineStr">
        <is>
          <t>⛔ بيانات دفع مفقودة · سلة دون المتوقَّع</t>
        </is>
      </c>
    </row>
    <row r="11">
      <c r="B11" s="20" t="inlineStr">
        <is>
          <t>الأجاويد</t>
        </is>
      </c>
      <c r="C11" s="22" t="inlineStr">
        <is>
          <t>MK071</t>
        </is>
      </c>
      <c r="D11" s="22" t="inlineStr">
        <is>
          <t>جدة</t>
        </is>
      </c>
      <c r="E11" s="22" t="inlineStr">
        <is>
          <t>حيوية</t>
        </is>
      </c>
      <c r="F11" s="39" t="n">
        <v>946.7405660377359</v>
      </c>
      <c r="G11" s="39" t="n">
        <v>18946.87995283019</v>
      </c>
      <c r="H11" s="40" t="n">
        <v>20.01274755990015</v>
      </c>
      <c r="I11" s="40" t="n">
        <v>42.95</v>
      </c>
      <c r="J11" s="41" t="n">
        <v>0.1969646493421883</v>
      </c>
      <c r="K11" s="41" t="n">
        <v>0.5100867424978451</v>
      </c>
      <c r="L11" s="39" t="n">
        <v>17</v>
      </c>
      <c r="M11" s="40" t="n">
        <v>17.04633709539383</v>
      </c>
      <c r="N11" s="40" t="n">
        <v>7.34128188072043</v>
      </c>
      <c r="O11" s="67" t="n">
        <v>13755.28159092327</v>
      </c>
      <c r="P11" s="67" t="n">
        <v>112097.150538272</v>
      </c>
      <c r="Q11" s="82">
        <f>O11+P11</f>
        <v/>
      </c>
      <c r="R11" s="83" t="inlineStr">
        <is>
          <t>سلة دون المتوقَّع</t>
        </is>
      </c>
    </row>
    <row r="12">
      <c r="B12" s="84" t="inlineStr">
        <is>
          <t>الرصيفة</t>
        </is>
      </c>
      <c r="C12" s="8" t="inlineStr">
        <is>
          <t>MK016</t>
        </is>
      </c>
      <c r="D12" s="8" t="inlineStr">
        <is>
          <t>مكة</t>
        </is>
      </c>
      <c r="E12" s="8" t="inlineStr">
        <is>
          <t>حيوية</t>
        </is>
      </c>
      <c r="F12" s="79" t="n">
        <v>1565.871794871795</v>
      </c>
      <c r="G12" s="79" t="n">
        <v>30241.95456410256</v>
      </c>
      <c r="H12" s="85" t="n">
        <v>19.31317408177635</v>
      </c>
      <c r="I12" s="85" t="n">
        <v>43.48</v>
      </c>
      <c r="J12" s="81" t="n">
        <v>0</v>
      </c>
      <c r="K12" s="81" t="n">
        <v>0.5387741734759043</v>
      </c>
      <c r="L12" s="79" t="n">
        <v>21</v>
      </c>
      <c r="M12" s="85" t="n">
        <v>6.263100130710948</v>
      </c>
      <c r="N12" s="85" t="n">
        <v>3.846477008833062</v>
      </c>
      <c r="O12" s="80" t="n">
        <v>5589.456495048016</v>
      </c>
      <c r="P12" s="80" t="n">
        <v>111328.3836947914</v>
      </c>
      <c r="Q12" s="86">
        <f>O12+P12</f>
        <v/>
      </c>
      <c r="R12" s="87" t="inlineStr">
        <is>
          <t>⛔ بيانات دفع مفقودة · سلة دون المتوقَّع</t>
        </is>
      </c>
    </row>
    <row r="13">
      <c r="B13" s="20" t="inlineStr">
        <is>
          <t>العوالي</t>
        </is>
      </c>
      <c r="C13" s="22" t="inlineStr">
        <is>
          <t>MK003</t>
        </is>
      </c>
      <c r="D13" s="22" t="inlineStr">
        <is>
          <t>مكة</t>
        </is>
      </c>
      <c r="E13" s="22" t="inlineStr">
        <is>
          <t>خط سفر</t>
        </is>
      </c>
      <c r="F13" s="39" t="n">
        <v>3491.509433962264</v>
      </c>
      <c r="G13" s="39" t="n">
        <v>94813.45948113207</v>
      </c>
      <c r="H13" s="40" t="n">
        <v>27.15543557146717</v>
      </c>
      <c r="I13" s="40" t="n">
        <v>61.41</v>
      </c>
      <c r="J13" s="41" t="n">
        <v>0</v>
      </c>
      <c r="K13" s="41" t="n">
        <v>0.4913874628478789</v>
      </c>
      <c r="L13" s="39" t="n">
        <v>17</v>
      </c>
      <c r="M13" s="40" t="n">
        <v>91.42784288079065</v>
      </c>
      <c r="N13" s="40" t="n">
        <v>0</v>
      </c>
      <c r="O13" s="67" t="n">
        <v>114725.9906976552</v>
      </c>
      <c r="P13" s="67" t="n">
        <v>0</v>
      </c>
      <c r="Q13" s="82">
        <f>O13+P13</f>
        <v/>
      </c>
      <c r="R13" s="83" t="inlineStr">
        <is>
          <t>فاقد ذروة</t>
        </is>
      </c>
    </row>
    <row r="14">
      <c r="B14" s="84" t="inlineStr">
        <is>
          <t>ممشى الشوقية</t>
        </is>
      </c>
      <c r="C14" s="8" t="inlineStr">
        <is>
          <t>MK020</t>
        </is>
      </c>
      <c r="D14" s="8" t="inlineStr">
        <is>
          <t>مكة</t>
        </is>
      </c>
      <c r="E14" s="8" t="inlineStr">
        <is>
          <t>حيوية</t>
        </is>
      </c>
      <c r="F14" s="79" t="n">
        <v>1361.754716981132</v>
      </c>
      <c r="G14" s="79" t="n">
        <v>26167.55174528302</v>
      </c>
      <c r="H14" s="85" t="n">
        <v>19.21605368351045</v>
      </c>
      <c r="I14" s="85" t="n">
        <v>43.41</v>
      </c>
      <c r="J14" s="81" t="n">
        <v>0</v>
      </c>
      <c r="K14" s="81" t="n">
        <v>0.5534548931040694</v>
      </c>
      <c r="L14" s="79" t="n">
        <v>21</v>
      </c>
      <c r="M14" s="85" t="n">
        <v>12.12583163853097</v>
      </c>
      <c r="N14" s="85" t="n">
        <v>3.943597407098959</v>
      </c>
      <c r="O14" s="80" t="n">
        <v>10767.1882812983</v>
      </c>
      <c r="P14" s="80" t="n">
        <v>99260.85738045978</v>
      </c>
      <c r="Q14" s="86">
        <f>O14+P14</f>
        <v/>
      </c>
      <c r="R14" s="87" t="inlineStr">
        <is>
          <t>⛔ بيانات دفع مفقودة · سلة دون المتوقَّع</t>
        </is>
      </c>
    </row>
    <row r="15">
      <c r="B15" s="20" t="inlineStr">
        <is>
          <t>عاصفة الصحراء</t>
        </is>
      </c>
      <c r="C15" s="22" t="inlineStr">
        <is>
          <t>MK004</t>
        </is>
      </c>
      <c r="D15" s="22" t="inlineStr">
        <is>
          <t>الطائف</t>
        </is>
      </c>
      <c r="E15" s="22" t="inlineStr">
        <is>
          <t>حيوية</t>
        </is>
      </c>
      <c r="F15" s="39" t="n">
        <v>2209.950819672131</v>
      </c>
      <c r="G15" s="39" t="n">
        <v>85791.3462295082</v>
      </c>
      <c r="H15" s="40" t="n">
        <v>38.82047757163946</v>
      </c>
      <c r="I15" s="40" t="n">
        <v>81.06999999999999</v>
      </c>
      <c r="J15" s="41" t="n">
        <v>0.3976393835984971</v>
      </c>
      <c r="K15" s="41" t="n">
        <v>0.4978116863367629</v>
      </c>
      <c r="L15" s="39" t="n">
        <v>17</v>
      </c>
      <c r="M15" s="40" t="n">
        <v>80.54453683585032</v>
      </c>
      <c r="N15" s="40" t="n">
        <v>0</v>
      </c>
      <c r="O15" s="67" t="n">
        <v>107317.7758758279</v>
      </c>
      <c r="P15" s="67" t="n">
        <v>0</v>
      </c>
      <c r="Q15" s="82">
        <f>O15+P15</f>
        <v/>
      </c>
      <c r="R15" s="83" t="inlineStr">
        <is>
          <t>فاقد ذروة · ديزل مرتفع</t>
        </is>
      </c>
    </row>
    <row r="16">
      <c r="B16" s="20" t="inlineStr">
        <is>
          <t>الرصيفة المسار</t>
        </is>
      </c>
      <c r="C16" s="22" t="inlineStr">
        <is>
          <t>MK018</t>
        </is>
      </c>
      <c r="D16" s="22" t="inlineStr">
        <is>
          <t>مكة</t>
        </is>
      </c>
      <c r="E16" s="22" t="inlineStr">
        <is>
          <t>حيوية</t>
        </is>
      </c>
      <c r="F16" s="39" t="n">
        <v>1062.975609756098</v>
      </c>
      <c r="G16" s="39" t="n">
        <v>23542.5618699187</v>
      </c>
      <c r="H16" s="40" t="n">
        <v>22.14779121349792</v>
      </c>
      <c r="I16" s="40" t="n">
        <v>47.63</v>
      </c>
      <c r="J16" s="41" t="n">
        <v>0.209464670268131</v>
      </c>
      <c r="K16" s="41" t="n">
        <v>0.5044284337570557</v>
      </c>
      <c r="L16" s="39" t="n">
        <v>22</v>
      </c>
      <c r="M16" s="40" t="n">
        <v>13.77089020558835</v>
      </c>
      <c r="N16" s="40" t="n">
        <v>5.472427197181815</v>
      </c>
      <c r="O16" s="67" t="n">
        <v>12183.73952072283</v>
      </c>
      <c r="P16" s="67" t="n">
        <v>92950.4405776052</v>
      </c>
      <c r="Q16" s="82">
        <f>O16+P16</f>
        <v/>
      </c>
      <c r="R16" s="83" t="inlineStr">
        <is>
          <t>سلة دون المتوقَّع</t>
        </is>
      </c>
    </row>
    <row r="17">
      <c r="B17" s="20" t="inlineStr">
        <is>
          <t>طريق الليث - الفضيلة</t>
        </is>
      </c>
      <c r="C17" s="22" t="inlineStr">
        <is>
          <t>MK289</t>
        </is>
      </c>
      <c r="D17" s="22" t="inlineStr">
        <is>
          <t>جدة</t>
        </is>
      </c>
      <c r="E17" s="22" t="inlineStr">
        <is>
          <t>خط سفر</t>
        </is>
      </c>
      <c r="F17" s="39" t="n">
        <v>1878.294685990338</v>
      </c>
      <c r="G17" s="39" t="n">
        <v>85532.86806763285</v>
      </c>
      <c r="H17" s="40" t="n">
        <v>45.53751267338294</v>
      </c>
      <c r="I17" s="40" t="n">
        <v>87.56999999999999</v>
      </c>
      <c r="J17" s="41" t="n">
        <v>0.6994483018664335</v>
      </c>
      <c r="K17" s="41" t="n">
        <v>0.4407508095276063</v>
      </c>
      <c r="L17" s="39" t="n">
        <v>17</v>
      </c>
      <c r="M17" s="40" t="n">
        <v>21.87023959979276</v>
      </c>
      <c r="N17" s="40" t="n">
        <v>4.110535887955947</v>
      </c>
      <c r="O17" s="67" t="n">
        <v>25196.7247333933</v>
      </c>
      <c r="P17" s="67" t="n">
        <v>78134.60316547942</v>
      </c>
      <c r="Q17" s="82">
        <f>O17+P17</f>
        <v/>
      </c>
      <c r="R17" s="83" t="inlineStr">
        <is>
          <t>فاقد ذروة · سلة دون المتوقَّع · ديزل مرتفع</t>
        </is>
      </c>
    </row>
    <row r="18">
      <c r="B18" s="20" t="inlineStr">
        <is>
          <t>العمرة الجديدة</t>
        </is>
      </c>
      <c r="C18" s="22" t="inlineStr">
        <is>
          <t>MK007</t>
        </is>
      </c>
      <c r="D18" s="22" t="inlineStr">
        <is>
          <t>مكة</t>
        </is>
      </c>
      <c r="E18" s="22" t="inlineStr">
        <is>
          <t>حيوية</t>
        </is>
      </c>
      <c r="F18" s="39" t="n">
        <v>4260.63679245283</v>
      </c>
      <c r="G18" s="39" t="n">
        <v>130213.3164150943</v>
      </c>
      <c r="H18" s="40" t="n">
        <v>30.56193774736924</v>
      </c>
      <c r="I18" s="40" t="n">
        <v>64.5</v>
      </c>
      <c r="J18" s="41" t="n">
        <v>0.3293010410984876</v>
      </c>
      <c r="K18" s="41" t="n">
        <v>0.5101482969925436</v>
      </c>
      <c r="L18" s="39" t="n">
        <v>17</v>
      </c>
      <c r="M18" s="40" t="n">
        <v>90.90385628177343</v>
      </c>
      <c r="N18" s="40" t="n">
        <v>0</v>
      </c>
      <c r="O18" s="67" t="n">
        <v>101029.27941</v>
      </c>
      <c r="P18" s="67" t="n">
        <v>0</v>
      </c>
      <c r="Q18" s="82">
        <f>O18+P18</f>
        <v/>
      </c>
      <c r="R18" s="83" t="inlineStr">
        <is>
          <t>فاقد ذروة · ديزل مرتفع</t>
        </is>
      </c>
    </row>
    <row r="19">
      <c r="B19" s="20" t="inlineStr">
        <is>
          <t>الجعرانة</t>
        </is>
      </c>
      <c r="C19" s="22" t="inlineStr">
        <is>
          <t>MK064</t>
        </is>
      </c>
      <c r="D19" s="22" t="inlineStr">
        <is>
          <t>مكة</t>
        </is>
      </c>
      <c r="E19" s="22" t="inlineStr">
        <is>
          <t>حي</t>
        </is>
      </c>
      <c r="F19" s="39" t="n">
        <v>1122.97641509434</v>
      </c>
      <c r="G19" s="39" t="n">
        <v>27474.04311320755</v>
      </c>
      <c r="H19" s="40" t="n">
        <v>24.46537856353777</v>
      </c>
      <c r="I19" s="40" t="n">
        <v>51.58</v>
      </c>
      <c r="J19" s="41" t="n">
        <v>0.3293659270300543</v>
      </c>
      <c r="K19" s="41" t="n">
        <v>0.5332694868337596</v>
      </c>
      <c r="L19" s="39" t="n">
        <v>17</v>
      </c>
      <c r="M19" s="40" t="n">
        <v>8.465087573519456</v>
      </c>
      <c r="N19" s="40" t="n">
        <v>5.379782414906966</v>
      </c>
      <c r="O19" s="67" t="n">
        <v>7530.855104615564</v>
      </c>
      <c r="P19" s="67" t="n">
        <v>87873.1578713887</v>
      </c>
      <c r="Q19" s="82">
        <f>O19+P19</f>
        <v/>
      </c>
      <c r="R19" s="83" t="inlineStr">
        <is>
          <t>سلة دون المتوقَّع · ديزل مرتفع</t>
        </is>
      </c>
    </row>
    <row r="20">
      <c r="B20" s="20" t="inlineStr">
        <is>
          <t>الجموم - الكنيدري</t>
        </is>
      </c>
      <c r="C20" s="22" t="inlineStr">
        <is>
          <t>MK068</t>
        </is>
      </c>
      <c r="D20" s="22" t="inlineStr">
        <is>
          <t>مكة</t>
        </is>
      </c>
      <c r="E20" s="22" t="inlineStr">
        <is>
          <t>مختلط</t>
        </is>
      </c>
      <c r="F20" s="39" t="n">
        <v>925.0141509433962</v>
      </c>
      <c r="G20" s="39" t="n">
        <v>19313.2625</v>
      </c>
      <c r="H20" s="40" t="n">
        <v>20.87888329092365</v>
      </c>
      <c r="I20" s="40" t="n">
        <v>45.97</v>
      </c>
      <c r="J20" s="41" t="n">
        <v>0.1403435338505839</v>
      </c>
      <c r="K20" s="41" t="n">
        <v>0.5431941377745368</v>
      </c>
      <c r="L20" s="39" t="n">
        <v>21</v>
      </c>
      <c r="M20" s="40" t="n">
        <v>12.22957259277069</v>
      </c>
      <c r="N20" s="40" t="n">
        <v>4.682463875751651</v>
      </c>
      <c r="O20" s="67" t="n">
        <v>10727.75537310503</v>
      </c>
      <c r="P20" s="67" t="n">
        <v>72790.23462791339</v>
      </c>
      <c r="Q20" s="82">
        <f>O20+P20</f>
        <v/>
      </c>
      <c r="R20" s="83" t="inlineStr">
        <is>
          <t>سلة دون المتوقَّع</t>
        </is>
      </c>
    </row>
    <row r="21">
      <c r="B21" s="84" t="inlineStr">
        <is>
          <t>صناعية صامطة</t>
        </is>
      </c>
      <c r="C21" s="8" t="inlineStr">
        <is>
          <t>JA060</t>
        </is>
      </c>
      <c r="D21" s="8" t="inlineStr">
        <is>
          <t>جازان</t>
        </is>
      </c>
      <c r="E21" s="8" t="inlineStr">
        <is>
          <t>حيوية</t>
        </is>
      </c>
      <c r="F21" s="79" t="n">
        <v>409.7868020304568</v>
      </c>
      <c r="G21" s="79" t="n">
        <v>6695.970050761422</v>
      </c>
      <c r="H21" s="85" t="n">
        <v>16.34013105737786</v>
      </c>
      <c r="I21" s="85" t="n">
        <v>34.93</v>
      </c>
      <c r="J21" s="81" t="n">
        <v>0.2311561594628362</v>
      </c>
      <c r="K21" s="81" t="n">
        <v>0.4820260628282628</v>
      </c>
      <c r="L21" s="79" t="n">
        <v>17</v>
      </c>
      <c r="M21" s="85" t="n">
        <v>0.4837486750099662</v>
      </c>
      <c r="N21" s="85" t="n">
        <v>11.74200939343259</v>
      </c>
      <c r="O21" s="80" t="n">
        <v>310.6390768401515</v>
      </c>
      <c r="P21" s="80" t="n">
        <v>75638.19295164674</v>
      </c>
      <c r="Q21" s="86">
        <f>O21+P21</f>
        <v/>
      </c>
      <c r="R21" s="87" t="inlineStr">
        <is>
          <t>⛔ بيانات دفع مفقودة · سلة دون المتوقَّع</t>
        </is>
      </c>
    </row>
    <row r="22">
      <c r="B22" s="20" t="inlineStr">
        <is>
          <t>النسيم</t>
        </is>
      </c>
      <c r="C22" s="22" t="inlineStr">
        <is>
          <t>MK015</t>
        </is>
      </c>
      <c r="D22" s="22" t="inlineStr">
        <is>
          <t>جدة</t>
        </is>
      </c>
      <c r="E22" s="22" t="inlineStr">
        <is>
          <t>حيوية</t>
        </is>
      </c>
      <c r="F22" s="39" t="n">
        <v>1998.052083333333</v>
      </c>
      <c r="G22" s="39" t="n">
        <v>43923.94083333333</v>
      </c>
      <c r="H22" s="40" t="n">
        <v>21.98338131409237</v>
      </c>
      <c r="I22" s="40" t="n">
        <v>49.55</v>
      </c>
      <c r="J22" s="41" t="n">
        <v>0</v>
      </c>
      <c r="K22" s="41" t="n">
        <v>0.5498897363578068</v>
      </c>
      <c r="L22" s="39" t="n">
        <v>0</v>
      </c>
      <c r="M22" s="40" t="n">
        <v>31.19826214729659</v>
      </c>
      <c r="N22" s="40" t="n">
        <v>1.176269776517039</v>
      </c>
      <c r="O22" s="67" t="n">
        <v>31692.13273182991</v>
      </c>
      <c r="P22" s="67" t="n">
        <v>43441.04906258869</v>
      </c>
      <c r="Q22" s="82">
        <f>O22+P22</f>
        <v/>
      </c>
      <c r="R22" s="83" t="inlineStr">
        <is>
          <t>فاقد ذروة · سلة دون المتوقَّع</t>
        </is>
      </c>
    </row>
    <row r="23">
      <c r="B23" s="20" t="inlineStr">
        <is>
          <t>الحليس - طريق الجنوب</t>
        </is>
      </c>
      <c r="C23" s="22" t="inlineStr">
        <is>
          <t>MK046</t>
        </is>
      </c>
      <c r="D23" s="22" t="inlineStr">
        <is>
          <t>الطائف</t>
        </is>
      </c>
      <c r="E23" s="22" t="inlineStr">
        <is>
          <t>مختلط</t>
        </is>
      </c>
      <c r="F23" s="39" t="n">
        <v>1835.639534883721</v>
      </c>
      <c r="G23" s="39" t="n">
        <v>58968.07290697674</v>
      </c>
      <c r="H23" s="40" t="n">
        <v>32.12399372881892</v>
      </c>
      <c r="I23" s="40" t="n">
        <v>68</v>
      </c>
      <c r="J23" s="41" t="n">
        <v>0.3311486883894702</v>
      </c>
      <c r="K23" s="41" t="n">
        <v>0.4536914452221835</v>
      </c>
      <c r="L23" s="39" t="n">
        <v>17</v>
      </c>
      <c r="M23" s="40" t="n">
        <v>48.29370840176596</v>
      </c>
      <c r="N23" s="40" t="n">
        <v>0.2978937030285138</v>
      </c>
      <c r="O23" s="67" t="n">
        <v>56330.55428537806</v>
      </c>
      <c r="P23" s="67" t="n">
        <v>7942.05067472286</v>
      </c>
      <c r="Q23" s="82">
        <f>O23+P23</f>
        <v/>
      </c>
      <c r="R23" s="83" t="inlineStr">
        <is>
          <t>فاقد ذروة · ديزل مرتفع</t>
        </is>
      </c>
    </row>
    <row r="24">
      <c r="B24" s="20" t="inlineStr">
        <is>
          <t>القسوم - أحد المسارحة</t>
        </is>
      </c>
      <c r="C24" s="22" t="inlineStr">
        <is>
          <t>JA041</t>
        </is>
      </c>
      <c r="D24" s="22" t="inlineStr">
        <is>
          <t>جازان</t>
        </is>
      </c>
      <c r="E24" s="22" t="inlineStr">
        <is>
          <t>حيوية</t>
        </is>
      </c>
      <c r="F24" s="39" t="n">
        <v>856.3333333333334</v>
      </c>
      <c r="G24" s="39" t="n">
        <v>17768.31383838384</v>
      </c>
      <c r="H24" s="40" t="n">
        <v>20.74929603548132</v>
      </c>
      <c r="I24" s="40" t="n">
        <v>46.11</v>
      </c>
      <c r="J24" s="41" t="n">
        <v>0.07412480099420199</v>
      </c>
      <c r="K24" s="41" t="n">
        <v>0.5032261108555387</v>
      </c>
      <c r="L24" s="39" t="n">
        <v>17</v>
      </c>
      <c r="M24" s="40" t="n">
        <v>2.70581266277768</v>
      </c>
      <c r="N24" s="40" t="n">
        <v>3.988848767209518</v>
      </c>
      <c r="O24" s="67" t="n">
        <v>2469.938580368179</v>
      </c>
      <c r="P24" s="67" t="n">
        <v>60108.44234203503</v>
      </c>
      <c r="Q24" s="82">
        <f>O24+P24</f>
        <v/>
      </c>
      <c r="R24" s="83" t="inlineStr">
        <is>
          <t>سلة دون المتوقَّع</t>
        </is>
      </c>
    </row>
    <row r="25">
      <c r="B25" s="84" t="inlineStr">
        <is>
          <t>أحلى مساء</t>
        </is>
      </c>
      <c r="C25" s="8" t="inlineStr">
        <is>
          <t>MK028</t>
        </is>
      </c>
      <c r="D25" s="8" t="inlineStr">
        <is>
          <t>الطائف</t>
        </is>
      </c>
      <c r="E25" s="8" t="inlineStr">
        <is>
          <t>مختلط</t>
        </is>
      </c>
      <c r="F25" s="79" t="n">
        <v>1441.248730964467</v>
      </c>
      <c r="G25" s="79" t="n">
        <v>43563.61629441624</v>
      </c>
      <c r="H25" s="85" t="n">
        <v>30.22629984573445</v>
      </c>
      <c r="I25" s="85" t="n">
        <v>67.68000000000001</v>
      </c>
      <c r="J25" s="81" t="n">
        <v>0.1015388731210816</v>
      </c>
      <c r="K25" s="81" t="n">
        <v>0.5152715848495735</v>
      </c>
      <c r="L25" s="79" t="n">
        <v>17</v>
      </c>
      <c r="M25" s="85" t="n">
        <v>42.30388142855559</v>
      </c>
      <c r="N25" s="85" t="n">
        <v>0</v>
      </c>
      <c r="O25" s="80" t="n">
        <v>55205.70314094883</v>
      </c>
      <c r="P25" s="80" t="n">
        <v>0</v>
      </c>
      <c r="Q25" s="86">
        <f>O25+P25</f>
        <v/>
      </c>
      <c r="R25" s="87" t="inlineStr">
        <is>
          <t>⛔ بيانات دفع مفقودة · فاقد ذروة</t>
        </is>
      </c>
    </row>
    <row r="26">
      <c r="B26" s="20" t="inlineStr">
        <is>
          <t>كورنيش جيزان</t>
        </is>
      </c>
      <c r="C26" s="22" t="inlineStr">
        <is>
          <t>JA069</t>
        </is>
      </c>
      <c r="D26" s="22" t="inlineStr">
        <is>
          <t>جازان</t>
        </is>
      </c>
      <c r="E26" s="22" t="inlineStr">
        <is>
          <t>حيوية</t>
        </is>
      </c>
      <c r="F26" s="39" t="n">
        <v>909.7264150943396</v>
      </c>
      <c r="G26" s="39" t="n">
        <v>20658.71655660377</v>
      </c>
      <c r="H26" s="40" t="n">
        <v>22.70871353610353</v>
      </c>
      <c r="I26" s="40" t="n">
        <v>51.05</v>
      </c>
      <c r="J26" s="41" t="n">
        <v>0.02890248316787639</v>
      </c>
      <c r="K26" s="41" t="n">
        <v>0.5913139965363835</v>
      </c>
      <c r="L26" s="39" t="n">
        <v>0</v>
      </c>
      <c r="M26" s="40" t="n">
        <v>34.36026915703265</v>
      </c>
      <c r="N26" s="40" t="n">
        <v>1.066418302273426</v>
      </c>
      <c r="O26" s="67" t="n">
        <v>35381.68648383605</v>
      </c>
      <c r="P26" s="67" t="n">
        <v>17596.56213675679</v>
      </c>
      <c r="Q26" s="82">
        <f>O26+P26</f>
        <v/>
      </c>
      <c r="R26" s="83" t="inlineStr">
        <is>
          <t>فاقد ذروة · سلة دون المتوقَّع</t>
        </is>
      </c>
    </row>
    <row r="27">
      <c r="B27" s="84" t="inlineStr">
        <is>
          <t>عرفات الشوقية</t>
        </is>
      </c>
      <c r="C27" s="8" t="inlineStr">
        <is>
          <t>MK017</t>
        </is>
      </c>
      <c r="D27" s="8" t="inlineStr">
        <is>
          <t>مكة</t>
        </is>
      </c>
      <c r="E27" s="8" t="inlineStr">
        <is>
          <t>حيوية</t>
        </is>
      </c>
      <c r="F27" s="79" t="n">
        <v>1269.174528301887</v>
      </c>
      <c r="G27" s="79" t="n">
        <v>26741.98150943396</v>
      </c>
      <c r="H27" s="85" t="n">
        <v>21.07037362719046</v>
      </c>
      <c r="I27" s="85" t="n">
        <v>47.61</v>
      </c>
      <c r="J27" s="81" t="n">
        <v>0</v>
      </c>
      <c r="K27" s="81" t="n">
        <v>0.5528775574675264</v>
      </c>
      <c r="L27" s="79" t="n">
        <v>21</v>
      </c>
      <c r="M27" s="85" t="n">
        <v>1.35376818713962</v>
      </c>
      <c r="N27" s="85" t="n">
        <v>2.089277463418956</v>
      </c>
      <c r="O27" s="80" t="n">
        <v>1318.084069266356</v>
      </c>
      <c r="P27" s="80" t="n">
        <v>49012.18098691887</v>
      </c>
      <c r="Q27" s="86">
        <f>O27+P27</f>
        <v/>
      </c>
      <c r="R27" s="87" t="inlineStr">
        <is>
          <t>⛔ بيانات دفع مفقودة · سلة دون المتوقَّع</t>
        </is>
      </c>
    </row>
    <row r="28">
      <c r="B28" s="84" t="inlineStr">
        <is>
          <t>القادسية</t>
        </is>
      </c>
      <c r="C28" s="8" t="inlineStr">
        <is>
          <t>MK047</t>
        </is>
      </c>
      <c r="D28" s="8" t="inlineStr">
        <is>
          <t>مكة</t>
        </is>
      </c>
      <c r="E28" s="8" t="inlineStr">
        <is>
          <t>حيوية</t>
        </is>
      </c>
      <c r="F28" s="79" t="n">
        <v>1689</v>
      </c>
      <c r="G28" s="79" t="n">
        <v>47584.06071065991</v>
      </c>
      <c r="H28" s="85" t="n">
        <v>28.17291930767312</v>
      </c>
      <c r="I28" s="85" t="n">
        <v>59.36</v>
      </c>
      <c r="J28" s="81" t="n">
        <v>0.3260062462839207</v>
      </c>
      <c r="K28" s="81" t="n">
        <v>0.5500326087283197</v>
      </c>
      <c r="L28" s="79" t="n">
        <v>17</v>
      </c>
      <c r="M28" s="85" t="n">
        <v>0</v>
      </c>
      <c r="N28" s="85" t="n">
        <v>1.929061515446325</v>
      </c>
      <c r="O28" s="80" t="n">
        <v>0</v>
      </c>
      <c r="P28" s="80" t="n">
        <v>47521.97209986085</v>
      </c>
      <c r="Q28" s="86">
        <f>O28+P28</f>
        <v/>
      </c>
      <c r="R28" s="87" t="inlineStr">
        <is>
          <t>⛔ بيانات دفع مفقودة · سلة دون المتوقَّع · ديزل مرتفع</t>
        </is>
      </c>
    </row>
    <row r="29">
      <c r="B29" s="84" t="inlineStr">
        <is>
          <t>بن درويش</t>
        </is>
      </c>
      <c r="C29" s="8" t="inlineStr">
        <is>
          <t>MK023</t>
        </is>
      </c>
      <c r="D29" s="8" t="inlineStr">
        <is>
          <t>مكة</t>
        </is>
      </c>
      <c r="E29" s="8" t="inlineStr">
        <is>
          <t>حيوية</t>
        </is>
      </c>
      <c r="F29" s="79" t="n">
        <v>790.4811320754717</v>
      </c>
      <c r="G29" s="79" t="n">
        <v>15820.87353773585</v>
      </c>
      <c r="H29" s="85" t="n">
        <v>20.01423297251495</v>
      </c>
      <c r="I29" s="85" t="n">
        <v>45.16</v>
      </c>
      <c r="J29" s="81" t="n">
        <v>0</v>
      </c>
      <c r="K29" s="81" t="n">
        <v>0.5488596627322744</v>
      </c>
      <c r="L29" s="79" t="n">
        <v>21</v>
      </c>
      <c r="M29" s="85" t="n">
        <v>0.333052019270934</v>
      </c>
      <c r="N29" s="85" t="n">
        <v>3.145418118094465</v>
      </c>
      <c r="O29" s="80" t="n">
        <v>308.0190606276123</v>
      </c>
      <c r="P29" s="80" t="n">
        <v>45957.50612830982</v>
      </c>
      <c r="Q29" s="86">
        <f>O29+P29</f>
        <v/>
      </c>
      <c r="R29" s="87" t="inlineStr">
        <is>
          <t>⛔ بيانات دفع مفقودة · سلة دون المتوقَّع</t>
        </is>
      </c>
    </row>
    <row r="30">
      <c r="B30" s="20" t="inlineStr">
        <is>
          <t>مدخل محايل</t>
        </is>
      </c>
      <c r="C30" s="22" t="inlineStr">
        <is>
          <t>AS153</t>
        </is>
      </c>
      <c r="D30" s="22" t="inlineStr">
        <is>
          <t>عسير</t>
        </is>
      </c>
      <c r="E30" s="22" t="inlineStr">
        <is>
          <t>مختلط</t>
        </is>
      </c>
      <c r="F30" s="39" t="n">
        <v>998</v>
      </c>
      <c r="G30" s="39" t="n">
        <v>22687.5698</v>
      </c>
      <c r="H30" s="40" t="n">
        <v>22.73303587174349</v>
      </c>
      <c r="I30" s="40" t="n">
        <v>50.35</v>
      </c>
      <c r="J30" s="41" t="n">
        <v>0.133098345332694</v>
      </c>
      <c r="K30" s="41" t="n">
        <v>0.5574649298597194</v>
      </c>
      <c r="L30" s="39" t="n">
        <v>21</v>
      </c>
      <c r="M30" s="40" t="n">
        <v>0</v>
      </c>
      <c r="N30" s="40" t="n">
        <v>2.567805190283494</v>
      </c>
      <c r="O30" s="67" t="n">
        <v>0</v>
      </c>
      <c r="P30" s="67" t="n">
        <v>43288.84478809826</v>
      </c>
      <c r="Q30" s="82">
        <f>O30+P30</f>
        <v/>
      </c>
      <c r="R30" s="83" t="inlineStr">
        <is>
          <t>سلة دون المتوقَّع</t>
        </is>
      </c>
    </row>
    <row r="31">
      <c r="B31" s="84" t="inlineStr">
        <is>
          <t>بطحاء قريش 2</t>
        </is>
      </c>
      <c r="C31" s="8" t="inlineStr">
        <is>
          <t>MK031</t>
        </is>
      </c>
      <c r="D31" s="8" t="inlineStr">
        <is>
          <t>مكة</t>
        </is>
      </c>
      <c r="E31" s="8" t="inlineStr">
        <is>
          <t>حيوية</t>
        </is>
      </c>
      <c r="F31" s="79" t="n">
        <v>581.0102040816327</v>
      </c>
      <c r="G31" s="79" t="n">
        <v>14735.42015306122</v>
      </c>
      <c r="H31" s="85" t="n">
        <v>25.36172351112594</v>
      </c>
      <c r="I31" s="85" t="n">
        <v>53.87</v>
      </c>
      <c r="J31" s="81" t="n">
        <v>0.2773527073553005</v>
      </c>
      <c r="K31" s="81" t="n">
        <v>0.5184846941463672</v>
      </c>
      <c r="L31" s="79" t="n">
        <v>17</v>
      </c>
      <c r="M31" s="85" t="n">
        <v>8.397468927406315</v>
      </c>
      <c r="N31" s="85" t="n">
        <v>3.704176213099991</v>
      </c>
      <c r="O31" s="80" t="n">
        <v>8075.549752164455</v>
      </c>
      <c r="P31" s="80" t="n">
        <v>32642.26736073581</v>
      </c>
      <c r="Q31" s="86">
        <f>O31+P31</f>
        <v/>
      </c>
      <c r="R31" s="87" t="inlineStr">
        <is>
          <t>⛔ بيانات دفع مفقودة · سلة دون المتوقَّع</t>
        </is>
      </c>
    </row>
    <row r="32">
      <c r="B32" s="84" t="inlineStr">
        <is>
          <t>المعيصم</t>
        </is>
      </c>
      <c r="C32" s="8" t="inlineStr">
        <is>
          <t>MK002</t>
        </is>
      </c>
      <c r="D32" s="8" t="inlineStr">
        <is>
          <t>مكة</t>
        </is>
      </c>
      <c r="E32" s="8" t="inlineStr">
        <is>
          <t>حيوية</t>
        </is>
      </c>
      <c r="F32" s="79" t="n">
        <v>864.5471698113207</v>
      </c>
      <c r="G32" s="79" t="n">
        <v>18146.00400943396</v>
      </c>
      <c r="H32" s="85" t="n">
        <v>20.98902713821174</v>
      </c>
      <c r="I32" s="85" t="n">
        <v>47.29</v>
      </c>
      <c r="J32" s="81" t="n">
        <v>0</v>
      </c>
      <c r="K32" s="81" t="n">
        <v>0.5039501538595841</v>
      </c>
      <c r="L32" s="79" t="n">
        <v>17</v>
      </c>
      <c r="M32" s="85" t="n">
        <v>5.855925184310815</v>
      </c>
      <c r="N32" s="85" t="n">
        <v>2.170623952397673</v>
      </c>
      <c r="O32" s="80" t="n">
        <v>5679.556166266597</v>
      </c>
      <c r="P32" s="80" t="n">
        <v>34686.44935181208</v>
      </c>
      <c r="Q32" s="86">
        <f>O32+P32</f>
        <v/>
      </c>
      <c r="R32" s="87" t="inlineStr">
        <is>
          <t>⛔ تغيير مسار · بيانات دفع مفقودة · سلة دون المتوقَّع</t>
        </is>
      </c>
    </row>
    <row r="33">
      <c r="B33" s="20" t="inlineStr">
        <is>
          <t>طريق السلام</t>
        </is>
      </c>
      <c r="C33" s="22" t="inlineStr">
        <is>
          <t>MD009</t>
        </is>
      </c>
      <c r="D33" s="22" t="inlineStr">
        <is>
          <t>المدينة المنورة</t>
        </is>
      </c>
      <c r="E33" s="22" t="inlineStr">
        <is>
          <t>خط سفر</t>
        </is>
      </c>
      <c r="F33" s="39" t="n">
        <v>232.8428571428572</v>
      </c>
      <c r="G33" s="39" t="n">
        <v>6373.022</v>
      </c>
      <c r="H33" s="40" t="n">
        <v>27.37048530584698</v>
      </c>
      <c r="I33" s="40" t="n">
        <v>57.5</v>
      </c>
      <c r="J33" s="41" t="n">
        <v>0.3220999394008054</v>
      </c>
      <c r="K33" s="41" t="n">
        <v>0.6007730535615682</v>
      </c>
      <c r="L33" s="39" t="n">
        <v>0</v>
      </c>
      <c r="M33" s="40" t="n">
        <v>0.6324595391501888</v>
      </c>
      <c r="N33" s="40" t="n">
        <v>10.14292706200525</v>
      </c>
      <c r="O33" s="67" t="n">
        <v>633.2315908062226</v>
      </c>
      <c r="P33" s="67" t="n">
        <v>34556.80173099352</v>
      </c>
      <c r="Q33" s="82">
        <f>O33+P33</f>
        <v/>
      </c>
      <c r="R33" s="83" t="inlineStr">
        <is>
          <t>سلة دون المتوقَّع · ديزل مرتفع · وحدات شاغرة</t>
        </is>
      </c>
    </row>
    <row r="34">
      <c r="B34" s="20" t="inlineStr">
        <is>
          <t>طريق السيل</t>
        </is>
      </c>
      <c r="C34" s="22" t="inlineStr">
        <is>
          <t>MK054</t>
        </is>
      </c>
      <c r="D34" s="22" t="inlineStr">
        <is>
          <t>مكة</t>
        </is>
      </c>
      <c r="E34" s="22" t="inlineStr">
        <is>
          <t>خط سفر</t>
        </is>
      </c>
      <c r="F34" s="39" t="n">
        <v>736.8450704225352</v>
      </c>
      <c r="G34" s="39" t="n">
        <v>29580.43387323944</v>
      </c>
      <c r="H34" s="40" t="n">
        <v>40.1447129941127</v>
      </c>
      <c r="I34" s="40" t="n">
        <v>82.45999999999999</v>
      </c>
      <c r="J34" s="41" t="n">
        <v>0.4448704376606614</v>
      </c>
      <c r="K34" s="41" t="n">
        <v>0.4744055355914061</v>
      </c>
      <c r="L34" s="39" t="n">
        <v>17</v>
      </c>
      <c r="M34" s="40" t="n">
        <v>13.96974542594567</v>
      </c>
      <c r="N34" s="40" t="n">
        <v>1.316709965178468</v>
      </c>
      <c r="O34" s="67" t="n">
        <v>18456.45279176659</v>
      </c>
      <c r="P34" s="67" t="n">
        <v>12771.96392004013</v>
      </c>
      <c r="Q34" s="82">
        <f>O34+P34</f>
        <v/>
      </c>
      <c r="R34" s="83" t="inlineStr">
        <is>
          <t>سلة دون المتوقَّع · ديزل مرتفع · وحدات شاغرة</t>
        </is>
      </c>
    </row>
    <row r="35">
      <c r="B35" s="20" t="inlineStr">
        <is>
          <t>البيعة</t>
        </is>
      </c>
      <c r="C35" s="22" t="inlineStr">
        <is>
          <t>MK099</t>
        </is>
      </c>
      <c r="D35" s="22" t="inlineStr">
        <is>
          <t>الطائف</t>
        </is>
      </c>
      <c r="E35" s="22" t="inlineStr">
        <is>
          <t>حي</t>
        </is>
      </c>
      <c r="F35" s="39" t="n">
        <v>455.9575471698113</v>
      </c>
      <c r="G35" s="39" t="n">
        <v>9370.635754716981</v>
      </c>
      <c r="H35" s="40" t="n">
        <v>20.55155312787727</v>
      </c>
      <c r="I35" s="40" t="n">
        <v>46.47</v>
      </c>
      <c r="J35" s="41" t="n">
        <v>0.02233361685986973</v>
      </c>
      <c r="K35" s="41" t="n">
        <v>0.5721941177079131</v>
      </c>
      <c r="L35" s="39" t="n">
        <v>17</v>
      </c>
      <c r="M35" s="40" t="n">
        <v>2.367266475214386</v>
      </c>
      <c r="N35" s="40" t="n">
        <v>3.320417443701128</v>
      </c>
      <c r="O35" s="67" t="n">
        <v>2215.633317531242</v>
      </c>
      <c r="P35" s="67" t="n">
        <v>27579.29613671362</v>
      </c>
      <c r="Q35" s="82">
        <f>O35+P35</f>
        <v/>
      </c>
      <c r="R35" s="83" t="inlineStr">
        <is>
          <t>سلة دون المتوقَّع</t>
        </is>
      </c>
    </row>
    <row r="36">
      <c r="B36" s="20" t="inlineStr">
        <is>
          <t>الملك خالد</t>
        </is>
      </c>
      <c r="C36" s="22" t="inlineStr">
        <is>
          <t>MK093</t>
        </is>
      </c>
      <c r="D36" s="22" t="inlineStr">
        <is>
          <t>الطائف</t>
        </is>
      </c>
      <c r="E36" s="22" t="inlineStr">
        <is>
          <t>حي</t>
        </is>
      </c>
      <c r="F36" s="39" t="n">
        <v>684.7845303867404</v>
      </c>
      <c r="G36" s="39" t="n">
        <v>15690.69966850829</v>
      </c>
      <c r="H36" s="40" t="n">
        <v>22.91333838929857</v>
      </c>
      <c r="I36" s="40" t="n">
        <v>50.86</v>
      </c>
      <c r="J36" s="41" t="n">
        <v>0.09489504258679272</v>
      </c>
      <c r="K36" s="41" t="n">
        <v>0.5162086715182418</v>
      </c>
      <c r="L36" s="39" t="n">
        <v>17</v>
      </c>
      <c r="M36" s="40" t="n">
        <v>1.409566582379009</v>
      </c>
      <c r="N36" s="40" t="n">
        <v>2.370285606703984</v>
      </c>
      <c r="O36" s="67" t="n">
        <v>1400.831718921595</v>
      </c>
      <c r="P36" s="67" t="n">
        <v>28159.60862051089</v>
      </c>
      <c r="Q36" s="82">
        <f>O36+P36</f>
        <v/>
      </c>
      <c r="R36" s="83" t="inlineStr">
        <is>
          <t>سلة دون المتوقَّع</t>
        </is>
      </c>
    </row>
    <row r="37">
      <c r="B37" s="20" t="inlineStr">
        <is>
          <t>الشيباني</t>
        </is>
      </c>
      <c r="C37" s="22" t="inlineStr">
        <is>
          <t>MK005</t>
        </is>
      </c>
      <c r="D37" s="22" t="inlineStr">
        <is>
          <t>الطائف</t>
        </is>
      </c>
      <c r="E37" s="22" t="inlineStr">
        <is>
          <t>حيوية</t>
        </is>
      </c>
      <c r="F37" s="39" t="n">
        <v>1734.404255319149</v>
      </c>
      <c r="G37" s="39" t="n">
        <v>45690.16638297872</v>
      </c>
      <c r="H37" s="40" t="n">
        <v>26.34343535704209</v>
      </c>
      <c r="I37" s="40" t="n">
        <v>59.83</v>
      </c>
      <c r="J37" s="41" t="n">
        <v>0.003734450387951163</v>
      </c>
      <c r="K37" s="41" t="n">
        <v>0.5213513745599078</v>
      </c>
      <c r="L37" s="39" t="n">
        <v>17</v>
      </c>
      <c r="M37" s="40" t="n">
        <v>23.6769331145934</v>
      </c>
      <c r="N37" s="40" t="n">
        <v>0</v>
      </c>
      <c r="O37" s="67" t="n">
        <v>28752.38996813713</v>
      </c>
      <c r="P37" s="67" t="n">
        <v>0</v>
      </c>
      <c r="Q37" s="82">
        <f>O37+P37</f>
        <v/>
      </c>
      <c r="R37" s="83" t="inlineStr">
        <is>
          <t>فاقد ذروة</t>
        </is>
      </c>
    </row>
    <row r="38">
      <c r="B38" s="20" t="inlineStr">
        <is>
          <t>الدائري الشرقي</t>
        </is>
      </c>
      <c r="C38" s="22" t="inlineStr">
        <is>
          <t>QS055</t>
        </is>
      </c>
      <c r="D38" s="22" t="inlineStr">
        <is>
          <t>القصيم</t>
        </is>
      </c>
      <c r="E38" s="22" t="inlineStr">
        <is>
          <t>خط سفر</t>
        </is>
      </c>
      <c r="F38" s="39" t="n">
        <v>439.8018867924528</v>
      </c>
      <c r="G38" s="39" t="n">
        <v>16411.72797169811</v>
      </c>
      <c r="H38" s="40" t="n">
        <v>37.31618363757266</v>
      </c>
      <c r="I38" s="40" t="n">
        <v>75.66</v>
      </c>
      <c r="J38" s="41" t="n">
        <v>0.4565627399800694</v>
      </c>
      <c r="K38" s="41" t="n">
        <v>0.5376348699028293</v>
      </c>
      <c r="L38" s="39" t="n">
        <v>17</v>
      </c>
      <c r="M38" s="40" t="n">
        <v>0.3685589756465625</v>
      </c>
      <c r="N38" s="40" t="n">
        <v>4.521236275788233</v>
      </c>
      <c r="O38" s="67" t="n">
        <v>447.8148626061478</v>
      </c>
      <c r="P38" s="67" t="n">
        <v>25898.13989791349</v>
      </c>
      <c r="Q38" s="82">
        <f>O38+P38</f>
        <v/>
      </c>
      <c r="R38" s="83" t="inlineStr">
        <is>
          <t>سلة دون المتوقَّع · ديزل مرتفع</t>
        </is>
      </c>
    </row>
    <row r="39">
      <c r="B39" s="20" t="inlineStr">
        <is>
          <t>جنوب الطائف</t>
        </is>
      </c>
      <c r="C39" s="22" t="inlineStr">
        <is>
          <t>MK006</t>
        </is>
      </c>
      <c r="D39" s="22" t="inlineStr">
        <is>
          <t>الطائف</t>
        </is>
      </c>
      <c r="E39" s="22" t="inlineStr">
        <is>
          <t>حيوية</t>
        </is>
      </c>
      <c r="F39" s="39" t="n">
        <v>1653.920454545455</v>
      </c>
      <c r="G39" s="39" t="n">
        <v>41494.8025</v>
      </c>
      <c r="H39" s="40" t="n">
        <v>25.08875344395204</v>
      </c>
      <c r="I39" s="40" t="n">
        <v>56.91</v>
      </c>
      <c r="J39" s="41" t="n">
        <v>0</v>
      </c>
      <c r="K39" s="41" t="n">
        <v>0.4871345631935141</v>
      </c>
      <c r="L39" s="39" t="n">
        <v>17</v>
      </c>
      <c r="M39" s="40" t="n">
        <v>22.33492303750064</v>
      </c>
      <c r="N39" s="40" t="n">
        <v>0</v>
      </c>
      <c r="O39" s="67" t="n">
        <v>25893.4616286159</v>
      </c>
      <c r="P39" s="67" t="n">
        <v>0</v>
      </c>
      <c r="Q39" s="82">
        <f>O39+P39</f>
        <v/>
      </c>
      <c r="R39" s="83" t="inlineStr">
        <is>
          <t>فاقد ذروة</t>
        </is>
      </c>
    </row>
    <row r="40">
      <c r="B40" s="20" t="inlineStr">
        <is>
          <t>الكوثر</t>
        </is>
      </c>
      <c r="C40" s="22" t="inlineStr">
        <is>
          <t>MK100</t>
        </is>
      </c>
      <c r="D40" s="22" t="inlineStr">
        <is>
          <t>جدة</t>
        </is>
      </c>
      <c r="E40" s="22" t="inlineStr">
        <is>
          <t>حيوية</t>
        </is>
      </c>
      <c r="F40" s="39" t="n">
        <v>333.8867924528302</v>
      </c>
      <c r="G40" s="39" t="n">
        <v>8874.565000000001</v>
      </c>
      <c r="H40" s="40" t="n">
        <v>26.57956289556962</v>
      </c>
      <c r="I40" s="40" t="n">
        <v>55.34</v>
      </c>
      <c r="J40" s="41" t="n">
        <v>0.3391155318811321</v>
      </c>
      <c r="K40" s="41" t="n">
        <v>0.5052271699819169</v>
      </c>
      <c r="L40" s="39" t="n">
        <v>21</v>
      </c>
      <c r="M40" s="40" t="n">
        <v>3.662328171576595</v>
      </c>
      <c r="N40" s="40" t="n">
        <v>3.801581238716036</v>
      </c>
      <c r="O40" s="67" t="n">
        <v>3511.325568302585</v>
      </c>
      <c r="P40" s="67" t="n">
        <v>18314.26582768503</v>
      </c>
      <c r="Q40" s="82">
        <f>O40+P40</f>
        <v/>
      </c>
      <c r="R40" s="83" t="inlineStr">
        <is>
          <t>سلة دون المتوقَّع · ديزل مرتفع</t>
        </is>
      </c>
    </row>
    <row r="41">
      <c r="B41" s="20" t="inlineStr">
        <is>
          <t>الروابي - المودة</t>
        </is>
      </c>
      <c r="C41" s="22" t="inlineStr">
        <is>
          <t>JA056</t>
        </is>
      </c>
      <c r="D41" s="22" t="inlineStr">
        <is>
          <t>جازان</t>
        </is>
      </c>
      <c r="E41" s="22" t="inlineStr">
        <is>
          <t>حي</t>
        </is>
      </c>
      <c r="F41" s="39" t="n">
        <v>285.6650943396227</v>
      </c>
      <c r="G41" s="39" t="n">
        <v>7094.538443396226</v>
      </c>
      <c r="H41" s="40" t="n">
        <v>24.83516041676987</v>
      </c>
      <c r="I41" s="40" t="n">
        <v>53.27</v>
      </c>
      <c r="J41" s="41" t="n">
        <v>0.2185364286499551</v>
      </c>
      <c r="K41" s="41" t="n">
        <v>0.4723667046449035</v>
      </c>
      <c r="L41" s="39" t="n">
        <v>7</v>
      </c>
      <c r="M41" s="40" t="n">
        <v>6.724964295120503</v>
      </c>
      <c r="N41" s="40" t="n">
        <v>2.853857137698167</v>
      </c>
      <c r="O41" s="67" t="n">
        <v>6626.539913862516</v>
      </c>
      <c r="P41" s="67" t="n">
        <v>12938.36094860957</v>
      </c>
      <c r="Q41" s="82">
        <f>O41+P41</f>
        <v/>
      </c>
      <c r="R41" s="83" t="inlineStr">
        <is>
          <t>سلة دون المتوقَّع</t>
        </is>
      </c>
    </row>
    <row r="42">
      <c r="B42" s="20" t="inlineStr">
        <is>
          <t>خليص</t>
        </is>
      </c>
      <c r="C42" s="22" t="inlineStr">
        <is>
          <t>MK014</t>
        </is>
      </c>
      <c r="D42" s="22" t="inlineStr">
        <is>
          <t>مكة</t>
        </is>
      </c>
      <c r="E42" s="22" t="inlineStr">
        <is>
          <t>خط سفر</t>
        </is>
      </c>
      <c r="F42" s="39" t="n">
        <v>416.9858490566038</v>
      </c>
      <c r="G42" s="39" t="n">
        <v>23825.76537735849</v>
      </c>
      <c r="H42" s="40" t="n">
        <v>57.13806699019241</v>
      </c>
      <c r="I42" s="40" t="n">
        <v>112.5</v>
      </c>
      <c r="J42" s="41" t="n">
        <v>0.629338926422182</v>
      </c>
      <c r="K42" s="41" t="n">
        <v>0.4745760794561147</v>
      </c>
      <c r="L42" s="39" t="n">
        <v>18</v>
      </c>
      <c r="M42" s="40" t="n">
        <v>11.10068273402256</v>
      </c>
      <c r="N42" s="40" t="n">
        <v>0</v>
      </c>
      <c r="O42" s="67" t="n">
        <v>17376.41265920121</v>
      </c>
      <c r="P42" s="67" t="n">
        <v>0</v>
      </c>
      <c r="Q42" s="82">
        <f>O42+P42</f>
        <v/>
      </c>
      <c r="R42" s="83" t="inlineStr">
        <is>
          <t>ديزل مرتفع</t>
        </is>
      </c>
    </row>
    <row r="43">
      <c r="B43" s="84" t="inlineStr">
        <is>
          <t>طريق صبيا</t>
        </is>
      </c>
      <c r="C43" s="8" t="inlineStr">
        <is>
          <t>JA061</t>
        </is>
      </c>
      <c r="D43" s="8" t="inlineStr">
        <is>
          <t>جازان</t>
        </is>
      </c>
      <c r="E43" s="8" t="inlineStr">
        <is>
          <t>حيوية</t>
        </is>
      </c>
      <c r="F43" s="79" t="n">
        <v>538.3299492385787</v>
      </c>
      <c r="G43" s="79" t="n">
        <v>18369.38994923858</v>
      </c>
      <c r="H43" s="85" t="n">
        <v>34.12292029306654</v>
      </c>
      <c r="I43" s="85" t="n">
        <v>69.17</v>
      </c>
      <c r="J43" s="81" t="n">
        <v>0.4314521170622562</v>
      </c>
      <c r="K43" s="81" t="n">
        <v>0.457421429312312</v>
      </c>
      <c r="L43" s="79" t="n">
        <v>17</v>
      </c>
      <c r="M43" s="85" t="n">
        <v>13.63334068736545</v>
      </c>
      <c r="N43" s="85" t="n">
        <v>0</v>
      </c>
      <c r="O43" s="80" t="n">
        <v>15496.76987886517</v>
      </c>
      <c r="P43" s="80" t="n">
        <v>0</v>
      </c>
      <c r="Q43" s="86">
        <f>O43+P43</f>
        <v/>
      </c>
      <c r="R43" s="87" t="inlineStr">
        <is>
          <t>⛔ بيانات دفع مفقودة · ديزل مرتفع</t>
        </is>
      </c>
    </row>
    <row r="44">
      <c r="B44" s="84" t="inlineStr">
        <is>
          <t>الجمعية الوسام</t>
        </is>
      </c>
      <c r="C44" s="8" t="inlineStr">
        <is>
          <t>MK035</t>
        </is>
      </c>
      <c r="D44" s="8" t="inlineStr">
        <is>
          <t>الطائف</t>
        </is>
      </c>
      <c r="E44" s="8" t="inlineStr">
        <is>
          <t>مختلط</t>
        </is>
      </c>
      <c r="F44" s="79" t="n">
        <v>811.6548223350254</v>
      </c>
      <c r="G44" s="79" t="n">
        <v>25554.8459390863</v>
      </c>
      <c r="H44" s="85" t="n">
        <v>31.48486922749787</v>
      </c>
      <c r="I44" s="85" t="n">
        <v>66.88</v>
      </c>
      <c r="J44" s="81" t="n">
        <v>0.3222141313994575</v>
      </c>
      <c r="K44" s="81" t="n">
        <v>0.5216390653925052</v>
      </c>
      <c r="L44" s="79" t="n">
        <v>17</v>
      </c>
      <c r="M44" s="85" t="n">
        <v>6.533925590684188</v>
      </c>
      <c r="N44" s="85" t="n">
        <v>0.6157696084738902</v>
      </c>
      <c r="O44" s="80" t="n">
        <v>7524.5906140424</v>
      </c>
      <c r="P44" s="80" t="n">
        <v>7312.34062025733</v>
      </c>
      <c r="Q44" s="86">
        <f>O44+P44</f>
        <v/>
      </c>
      <c r="R44" s="87" t="inlineStr">
        <is>
          <t>⛔ بيانات دفع مفقودة · سلة دون المتوقَّع · ديزل مرتفع</t>
        </is>
      </c>
    </row>
    <row r="45">
      <c r="B45" s="20" t="inlineStr">
        <is>
          <t>جبل ثور - جوهرة النسيم</t>
        </is>
      </c>
      <c r="C45" s="22" t="inlineStr">
        <is>
          <t>MK323</t>
        </is>
      </c>
      <c r="D45" s="22" t="inlineStr">
        <is>
          <t>مكة</t>
        </is>
      </c>
      <c r="E45" s="22" t="inlineStr">
        <is>
          <t>حيوية</t>
        </is>
      </c>
      <c r="F45" s="39" t="n">
        <v>442.1609195402299</v>
      </c>
      <c r="G45" s="39" t="n">
        <v>9752.351149425287</v>
      </c>
      <c r="H45" s="40" t="n">
        <v>22.05611287303733</v>
      </c>
      <c r="I45" s="40" t="n">
        <v>49.87</v>
      </c>
      <c r="J45" s="41" t="n">
        <v>0</v>
      </c>
      <c r="K45" s="41" t="n">
        <v>0.5795466361651243</v>
      </c>
      <c r="L45" s="39" t="n">
        <v>2</v>
      </c>
      <c r="M45" s="40" t="n">
        <v>4.84033596138355</v>
      </c>
      <c r="N45" s="40" t="n">
        <v>1.10353821757208</v>
      </c>
      <c r="O45" s="67" t="n">
        <v>4933.226460382381</v>
      </c>
      <c r="P45" s="67" t="n">
        <v>9018.915010887273</v>
      </c>
      <c r="Q45" s="82">
        <f>O45+P45</f>
        <v/>
      </c>
      <c r="R45" s="83" t="inlineStr">
        <is>
          <t>سلة دون المتوقَّع</t>
        </is>
      </c>
    </row>
    <row r="46">
      <c r="B46" s="84" t="inlineStr">
        <is>
          <t>الحمرا - طريق الملك عبدالله</t>
        </is>
      </c>
      <c r="C46" s="8" t="inlineStr">
        <is>
          <t>RY025</t>
        </is>
      </c>
      <c r="D46" s="8" t="inlineStr">
        <is>
          <t>الخرج</t>
        </is>
      </c>
      <c r="E46" s="8" t="inlineStr">
        <is>
          <t>مختلط</t>
        </is>
      </c>
      <c r="F46" s="79" t="n">
        <v>865.8041237113403</v>
      </c>
      <c r="G46" s="79" t="n">
        <v>21518.23335051546</v>
      </c>
      <c r="H46" s="85" t="n">
        <v>24.85346599907124</v>
      </c>
      <c r="I46" s="85" t="n">
        <v>54.79</v>
      </c>
      <c r="J46" s="81" t="n">
        <v>0.1009511169126537</v>
      </c>
      <c r="K46" s="81" t="n">
        <v>0.5374778228927283</v>
      </c>
      <c r="L46" s="79" t="n">
        <v>21</v>
      </c>
      <c r="M46" s="85" t="n">
        <v>10.46796735696258</v>
      </c>
      <c r="N46" s="85" t="n">
        <v>0</v>
      </c>
      <c r="O46" s="80" t="n">
        <v>11236.85487100569</v>
      </c>
      <c r="P46" s="80" t="n">
        <v>0</v>
      </c>
      <c r="Q46" s="86">
        <f>O46+P46</f>
        <v/>
      </c>
      <c r="R46" s="87" t="inlineStr">
        <is>
          <t>⛔ بيانات دفع مفقودة</t>
        </is>
      </c>
    </row>
    <row r="47">
      <c r="B47" s="84" t="inlineStr">
        <is>
          <t>السواط - شهار</t>
        </is>
      </c>
      <c r="C47" s="8" t="inlineStr">
        <is>
          <t>MK063</t>
        </is>
      </c>
      <c r="D47" s="8" t="inlineStr">
        <is>
          <t>الطائف</t>
        </is>
      </c>
      <c r="E47" s="8" t="inlineStr">
        <is>
          <t>مختلط</t>
        </is>
      </c>
      <c r="F47" s="79" t="n">
        <v>1186</v>
      </c>
      <c r="G47" s="79" t="n">
        <v>27393.22771573604</v>
      </c>
      <c r="H47" s="85" t="n">
        <v>23.09715658999666</v>
      </c>
      <c r="I47" s="85" t="n">
        <v>51.8</v>
      </c>
      <c r="J47" s="81" t="n">
        <v>0.07180953424951343</v>
      </c>
      <c r="K47" s="81" t="n">
        <v>0.6252471730253978</v>
      </c>
      <c r="L47" s="79" t="n">
        <v>0</v>
      </c>
      <c r="M47" s="85" t="n">
        <v>8.209034811104381</v>
      </c>
      <c r="N47" s="85" t="n">
        <v>0</v>
      </c>
      <c r="O47" s="80" t="n">
        <v>8354.460059773459</v>
      </c>
      <c r="P47" s="80" t="n">
        <v>0</v>
      </c>
      <c r="Q47" s="86">
        <f>O47+P47</f>
        <v/>
      </c>
      <c r="R47" s="87" t="inlineStr">
        <is>
          <t>⛔ بيانات دفع مفقودة</t>
        </is>
      </c>
    </row>
    <row r="48">
      <c r="B48" s="20" t="inlineStr">
        <is>
          <t>المركب</t>
        </is>
      </c>
      <c r="C48" s="22" t="inlineStr">
        <is>
          <t>NJ219</t>
        </is>
      </c>
      <c r="D48" s="22" t="inlineStr">
        <is>
          <t>نجران</t>
        </is>
      </c>
      <c r="E48" s="22" t="inlineStr">
        <is>
          <t>نائية</t>
        </is>
      </c>
      <c r="F48" s="39" t="n">
        <v>274.5135135135135</v>
      </c>
      <c r="G48" s="39" t="n">
        <v>6166.071621621621</v>
      </c>
      <c r="H48" s="40" t="n">
        <v>22.4618145121591</v>
      </c>
      <c r="I48" s="40" t="n">
        <v>48.47</v>
      </c>
      <c r="J48" s="41" t="n">
        <v>0.1794151210646404</v>
      </c>
      <c r="K48" s="41" t="n">
        <v>0.4858718125430738</v>
      </c>
      <c r="L48" s="39" t="n">
        <v>16</v>
      </c>
      <c r="M48" s="40" t="n">
        <v>4.078830732043413</v>
      </c>
      <c r="N48" s="40" t="n">
        <v>0.9607898309519918</v>
      </c>
      <c r="O48" s="67" t="n">
        <v>3742.194657239819</v>
      </c>
      <c r="P48" s="67" t="n">
        <v>4309.213110883563</v>
      </c>
      <c r="Q48" s="82">
        <f>O48+P48</f>
        <v/>
      </c>
      <c r="R48" s="83" t="inlineStr">
        <is>
          <t>سلة دون المتوقَّع · وحدات شاغرة</t>
        </is>
      </c>
    </row>
    <row r="49">
      <c r="B49" s="20" t="inlineStr">
        <is>
          <t>الناصفة</t>
        </is>
      </c>
      <c r="C49" s="22" t="inlineStr">
        <is>
          <t>RY042</t>
        </is>
      </c>
      <c r="D49" s="22" t="inlineStr">
        <is>
          <t>الخرج</t>
        </is>
      </c>
      <c r="E49" s="22" t="inlineStr">
        <is>
          <t>حي</t>
        </is>
      </c>
      <c r="F49" s="39" t="n">
        <v>412.4339622641509</v>
      </c>
      <c r="G49" s="39" t="n">
        <v>12106.13735849057</v>
      </c>
      <c r="H49" s="40" t="n">
        <v>29.35291092913674</v>
      </c>
      <c r="I49" s="40" t="n">
        <v>62.81</v>
      </c>
      <c r="J49" s="41" t="n">
        <v>0.2456963276135254</v>
      </c>
      <c r="K49" s="41" t="n">
        <v>0.454160757582689</v>
      </c>
      <c r="L49" s="39" t="n">
        <v>16</v>
      </c>
      <c r="M49" s="40" t="n">
        <v>4.126763609161745</v>
      </c>
      <c r="N49" s="40" t="n">
        <v>0</v>
      </c>
      <c r="O49" s="67" t="n">
        <v>4707.727970991566</v>
      </c>
      <c r="P49" s="67" t="n">
        <v>0</v>
      </c>
      <c r="Q49" s="82">
        <f>O49+P49</f>
        <v/>
      </c>
      <c r="R49" s="83" t="inlineStr"/>
    </row>
    <row r="50">
      <c r="B50" s="20" t="inlineStr">
        <is>
          <t>خبت نخلان</t>
        </is>
      </c>
      <c r="C50" s="22" t="inlineStr">
        <is>
          <t>JA053</t>
        </is>
      </c>
      <c r="D50" s="22" t="inlineStr">
        <is>
          <t>جازان</t>
        </is>
      </c>
      <c r="E50" s="22" t="inlineStr">
        <is>
          <t>نائية</t>
        </is>
      </c>
      <c r="F50" s="39" t="n">
        <v>652.938679245283</v>
      </c>
      <c r="G50" s="39" t="n">
        <v>14945.31504716981</v>
      </c>
      <c r="H50" s="40" t="n">
        <v>22.88930878538971</v>
      </c>
      <c r="I50" s="40" t="n">
        <v>49.22</v>
      </c>
      <c r="J50" s="41" t="n">
        <v>0.2326524492771965</v>
      </c>
      <c r="K50" s="41" t="n">
        <v>0.511114482419829</v>
      </c>
      <c r="L50" s="39" t="n">
        <v>21</v>
      </c>
      <c r="M50" s="40" t="n">
        <v>4.457008674130748</v>
      </c>
      <c r="N50" s="40" t="n">
        <v>0</v>
      </c>
      <c r="O50" s="67" t="n">
        <v>4004.629410003126</v>
      </c>
      <c r="P50" s="67" t="n">
        <v>0</v>
      </c>
      <c r="Q50" s="82">
        <f>O50+P50</f>
        <v/>
      </c>
      <c r="R50" s="83" t="inlineStr"/>
    </row>
    <row r="51">
      <c r="B51" s="84" t="inlineStr">
        <is>
          <t>غرناطة - طريق الملك عبدالله</t>
        </is>
      </c>
      <c r="C51" s="8" t="inlineStr">
        <is>
          <t>RY024</t>
        </is>
      </c>
      <c r="D51" s="8" t="inlineStr">
        <is>
          <t>الخرج</t>
        </is>
      </c>
      <c r="E51" s="8" t="inlineStr">
        <is>
          <t>حي</t>
        </is>
      </c>
      <c r="F51" s="79" t="n">
        <v>463.7422680412371</v>
      </c>
      <c r="G51" s="79" t="n">
        <v>11784.08432989691</v>
      </c>
      <c r="H51" s="85" t="n">
        <v>25.41084809817042</v>
      </c>
      <c r="I51" s="85" t="n">
        <v>57.2</v>
      </c>
      <c r="J51" s="81" t="n">
        <v>0</v>
      </c>
      <c r="K51" s="81" t="n">
        <v>0.5355578774203588</v>
      </c>
      <c r="L51" s="79" t="n">
        <v>21</v>
      </c>
      <c r="M51" s="85" t="n">
        <v>2.110687748026268</v>
      </c>
      <c r="N51" s="85" t="n">
        <v>0</v>
      </c>
      <c r="O51" s="80" t="n">
        <v>2478.390406838468</v>
      </c>
      <c r="P51" s="80" t="n">
        <v>0</v>
      </c>
      <c r="Q51" s="86">
        <f>O51+P51</f>
        <v/>
      </c>
      <c r="R51" s="87" t="inlineStr">
        <is>
          <t>⛔ فجوة مطابقة · بيانات دفع مفقودة</t>
        </is>
      </c>
    </row>
    <row r="52">
      <c r="B52" s="84" t="inlineStr">
        <is>
          <t>العريفي</t>
        </is>
      </c>
      <c r="C52" s="8" t="inlineStr">
        <is>
          <t>HA043</t>
        </is>
      </c>
      <c r="D52" s="8" t="inlineStr">
        <is>
          <t>حائل</t>
        </is>
      </c>
      <c r="E52" s="8" t="inlineStr">
        <is>
          <t>نائية</t>
        </is>
      </c>
      <c r="F52" s="79" t="n">
        <v>325.8375634517766</v>
      </c>
      <c r="G52" s="79" t="n">
        <v>7866.613756345178</v>
      </c>
      <c r="H52" s="85" t="n">
        <v>24.1427466895155</v>
      </c>
      <c r="I52" s="85" t="n">
        <v>53.65</v>
      </c>
      <c r="J52" s="81" t="n">
        <v>0.09364306293955478</v>
      </c>
      <c r="K52" s="81" t="n">
        <v>0.5747624240535909</v>
      </c>
      <c r="L52" s="79" t="n">
        <v>21</v>
      </c>
      <c r="M52" s="85" t="n">
        <v>1.346510077566625</v>
      </c>
      <c r="N52" s="85" t="n">
        <v>0.1390641372887487</v>
      </c>
      <c r="O52" s="80" t="n">
        <v>1411.181522050016</v>
      </c>
      <c r="P52" s="80" t="n">
        <v>786.7973384606679</v>
      </c>
      <c r="Q52" s="86">
        <f>O52+P52</f>
        <v/>
      </c>
      <c r="R52" s="87" t="inlineStr">
        <is>
          <t>⛔ بيانات دفع مفقودة</t>
        </is>
      </c>
    </row>
    <row r="53">
      <c r="B53" s="20" t="inlineStr">
        <is>
          <t>كورنيش الخبر</t>
        </is>
      </c>
      <c r="C53" s="22" t="inlineStr">
        <is>
          <t>EP051</t>
        </is>
      </c>
      <c r="D53" s="22" t="inlineStr">
        <is>
          <t>الشرقية</t>
        </is>
      </c>
      <c r="E53" s="22" t="inlineStr">
        <is>
          <t>حيوية</t>
        </is>
      </c>
      <c r="F53" s="39" t="n">
        <v>604.7216981132076</v>
      </c>
      <c r="G53" s="39" t="n">
        <v>15616.8370754717</v>
      </c>
      <c r="H53" s="40" t="n">
        <v>25.82483334763379</v>
      </c>
      <c r="I53" s="40" t="n">
        <v>56.84</v>
      </c>
      <c r="J53" s="41" t="n">
        <v>0.08967302120758357</v>
      </c>
      <c r="K53" s="41" t="n">
        <v>0.500893128758746</v>
      </c>
      <c r="L53" s="39" t="n">
        <v>17</v>
      </c>
      <c r="M53" s="40" t="n">
        <v>1.139313940391005</v>
      </c>
      <c r="N53" s="40" t="n">
        <v>0</v>
      </c>
      <c r="O53" s="67" t="n">
        <v>1280.717191102204</v>
      </c>
      <c r="P53" s="67" t="n">
        <v>0</v>
      </c>
      <c r="Q53" s="82">
        <f>O53+P53</f>
        <v/>
      </c>
      <c r="R53" s="83" t="inlineStr"/>
    </row>
    <row r="54">
      <c r="B54" s="20" t="inlineStr">
        <is>
          <t>الكر النازل</t>
        </is>
      </c>
      <c r="C54" s="22" t="inlineStr">
        <is>
          <t>MK084</t>
        </is>
      </c>
      <c r="D54" s="22" t="inlineStr">
        <is>
          <t>مكة</t>
        </is>
      </c>
      <c r="E54" s="22" t="inlineStr">
        <is>
          <t>خط سفر</t>
        </is>
      </c>
      <c r="F54" s="39" t="n">
        <v>573.1415094339623</v>
      </c>
      <c r="G54" s="39" t="n">
        <v>18101.52882075472</v>
      </c>
      <c r="H54" s="40" t="n">
        <v>31.58300092176518</v>
      </c>
      <c r="I54" s="40" t="n">
        <v>69.52</v>
      </c>
      <c r="J54" s="41" t="n">
        <v>0.1280063358351122</v>
      </c>
      <c r="K54" s="41" t="n">
        <v>0.6013612496502231</v>
      </c>
      <c r="L54" s="39" t="n">
        <v>19</v>
      </c>
      <c r="M54" s="40" t="n">
        <v>0.8676718884250795</v>
      </c>
      <c r="N54" s="40" t="n">
        <v>0</v>
      </c>
      <c r="O54" s="67" t="n">
        <v>1161.434981586245</v>
      </c>
      <c r="P54" s="67" t="n">
        <v>0</v>
      </c>
      <c r="Q54" s="82">
        <f>O54+P54</f>
        <v/>
      </c>
      <c r="R54" s="83" t="inlineStr"/>
    </row>
    <row r="55">
      <c r="B55" s="84" t="inlineStr">
        <is>
          <t>الشرايع</t>
        </is>
      </c>
      <c r="C55" s="8" t="inlineStr">
        <is>
          <t>MK019</t>
        </is>
      </c>
      <c r="D55" s="8" t="inlineStr">
        <is>
          <t>مكة</t>
        </is>
      </c>
      <c r="E55" s="8" t="inlineStr">
        <is>
          <t>حيوية</t>
        </is>
      </c>
      <c r="F55" s="79" t="n">
        <v>442.8151658767773</v>
      </c>
      <c r="G55" s="79" t="n">
        <v>10255.44473933649</v>
      </c>
      <c r="H55" s="85" t="n">
        <v>23.15965109060941</v>
      </c>
      <c r="I55" s="85" t="n">
        <v>52.43</v>
      </c>
      <c r="J55" s="81" t="n">
        <v>0</v>
      </c>
      <c r="K55" s="81" t="n">
        <v>0.5610270351263994</v>
      </c>
      <c r="L55" s="79" t="n">
        <v>21</v>
      </c>
      <c r="M55" s="85" t="n">
        <v>0.1325421199250408</v>
      </c>
      <c r="N55" s="85" t="n">
        <v>0</v>
      </c>
      <c r="O55" s="80" t="n">
        <v>141.8444981183132</v>
      </c>
      <c r="P55" s="80" t="n">
        <v>0</v>
      </c>
      <c r="Q55" s="86">
        <f>O55+P55</f>
        <v/>
      </c>
      <c r="R55" s="87" t="inlineStr">
        <is>
          <t>⛔ تغيير مسار · بيانات دفع مفقودة</t>
        </is>
      </c>
    </row>
    <row r="56">
      <c r="B56" s="84" t="inlineStr">
        <is>
          <t>بطحاء قريش 1</t>
        </is>
      </c>
      <c r="C56" s="8" t="inlineStr">
        <is>
          <t>MK022</t>
        </is>
      </c>
      <c r="D56" s="8" t="inlineStr">
        <is>
          <t>مكة</t>
        </is>
      </c>
      <c r="E56" s="8" t="inlineStr">
        <is>
          <t>حي</t>
        </is>
      </c>
      <c r="F56" s="79" t="n">
        <v>811.2924528301887</v>
      </c>
      <c r="G56" s="79" t="n">
        <v>24771.50150943397</v>
      </c>
      <c r="H56" s="85" t="n">
        <v>30.53338093189297</v>
      </c>
      <c r="I56" s="85" t="n">
        <v>63.82</v>
      </c>
      <c r="J56" s="81" t="n">
        <v>0.3647416220639058</v>
      </c>
      <c r="K56" s="81" t="n">
        <v>0.5282626138121097</v>
      </c>
      <c r="L56" s="79" t="n">
        <v>17</v>
      </c>
      <c r="M56" s="85" t="n">
        <v>0</v>
      </c>
      <c r="N56" s="85" t="n">
        <v>0</v>
      </c>
      <c r="O56" s="80" t="n">
        <v>0</v>
      </c>
      <c r="P56" s="80" t="n">
        <v>0</v>
      </c>
      <c r="Q56" s="86">
        <f>O56+P56</f>
        <v/>
      </c>
      <c r="R56" s="87" t="inlineStr">
        <is>
          <t>⛔ بيانات دفع مفقودة · ديزل مرتفع</t>
        </is>
      </c>
    </row>
    <row r="57">
      <c r="B57" s="44" t="inlineStr">
        <is>
          <t>الإجمالي</t>
        </is>
      </c>
      <c r="C57" s="46" t="inlineStr"/>
      <c r="D57" s="46" t="inlineStr"/>
      <c r="E57" s="46" t="inlineStr"/>
      <c r="F57" s="45">
        <f>SUM(F5:F56)</f>
        <v/>
      </c>
      <c r="G57" s="45">
        <f>SUM(G5:G56)</f>
        <v/>
      </c>
      <c r="H57" s="46" t="inlineStr"/>
      <c r="I57" s="46" t="inlineStr"/>
      <c r="J57" s="46" t="inlineStr"/>
      <c r="K57" s="46" t="inlineStr"/>
      <c r="L57" s="46" t="inlineStr"/>
      <c r="M57" s="45">
        <f>SUM(M5:M56)</f>
        <v/>
      </c>
      <c r="N57" s="45">
        <f>SUM(N5:N56)</f>
        <v/>
      </c>
      <c r="O57" s="82">
        <f>SUM(O5:O56)</f>
        <v/>
      </c>
      <c r="P57" s="82">
        <f>SUM(P5:P56)</f>
        <v/>
      </c>
      <c r="Q57" s="82">
        <f>SUM(Q5:Q56)</f>
        <v/>
      </c>
      <c r="R57" s="46" t="inlineStr"/>
    </row>
    <row r="58" ht="36" customHeight="1">
      <c r="A58" s="38" t="inlineStr">
        <is>
          <t>⛔ الصفّ الذهبي = بوابة مفتوحة (فجوة مطابقة · تغيير مسار · بيانات دفع مفقودة). «فجوة الذروة» معاملة/يوم مقارنةً بشكل ساعات تصنيف المحطة، و«فجوة السلة» لتراً لكل زيارة دون ما يفسّره مزيجها. والقيمة تُحتسب بهامش مرجَّح بمزيج كل محطة لا بمتوسط الشبكة.</t>
        </is>
      </c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</row>
  </sheetData>
  <autoFilter ref="B4:R56"/>
  <mergeCells count="3">
    <mergeCell ref="A2:R2"/>
    <mergeCell ref="A58:R58"/>
    <mergeCell ref="A1:R1"/>
  </mergeCells>
  <conditionalFormatting sqref="M5:M56">
    <cfRule type="dataBar" priority="1">
      <dataBar showValue="1">
        <cfvo type="num" val="0"/>
        <cfvo type="max"/>
        <color rgb="00F5831F"/>
      </dataBar>
    </cfRule>
  </conditionalFormatting>
  <conditionalFormatting sqref="Q5:Q56">
    <cfRule type="dataBar" priority="2">
      <dataBar showValue="1">
        <cfvo type="num" val="0"/>
        <cfvo type="max"/>
        <color rgb="00F5831F"/>
      </dataBar>
    </cfRule>
  </conditionalFormatting>
  <conditionalFormatting sqref="F5:F56">
    <cfRule type="dataBar" priority="3">
      <dataBar showValue="1">
        <cfvo type="num" val="0"/>
        <cfvo type="max"/>
        <color rgb="00F5831F"/>
      </dataBar>
    </cfRule>
  </conditionalFormatting>
  <printOptions horizontalCentered="1"/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42"/>
  <sheetViews>
    <sheetView showGridLines="0" rightToLeft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7" customWidth="1" min="3" max="3"/>
    <col width="12" customWidth="1" min="4" max="4"/>
    <col width="12" customWidth="1" min="5" max="5"/>
    <col width="8" customWidth="1" min="6" max="6"/>
    <col width="11" customWidth="1" min="7" max="7"/>
    <col width="11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9" customWidth="1" min="14" max="14"/>
    <col width="11" customWidth="1" min="15" max="15"/>
    <col width="11" customWidth="1" min="16" max="16"/>
    <col width="11" customWidth="1" min="17" max="17"/>
    <col width="26" customWidth="1" min="18" max="18"/>
  </cols>
  <sheetData>
    <row r="1" ht="26" customHeight="1">
      <c r="A1" s="1" t="inlineStr">
        <is>
          <t>مبيعات الربع الأول والثاني — المحطات المشغّلة</t>
        </is>
      </c>
    </row>
    <row r="2" ht="16" customHeight="1">
      <c r="A2" s="2" t="inlineStr">
        <is>
          <t>26 محطة من تقرير ربحية الربع الثاني · المبيعات والحجم والصافي والأجور · وحصّتنا مقارنةً بالعمولة المعيارية (٣ هللات بنزين · ١٫٥ ديزل)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 ht="36" customHeight="1">
      <c r="A4" s="19" t="inlineStr"/>
      <c r="B4" s="19" t="inlineStr">
        <is>
          <t>المحطة</t>
        </is>
      </c>
      <c r="C4" s="19" t="inlineStr">
        <is>
          <t>الرمز</t>
        </is>
      </c>
      <c r="D4" s="19" t="inlineStr">
        <is>
          <t>مبيعات ر١</t>
        </is>
      </c>
      <c r="E4" s="19" t="inlineStr">
        <is>
          <t>مبيعات ر٢</t>
        </is>
      </c>
      <c r="F4" s="19" t="inlineStr">
        <is>
          <t>التغيّر</t>
        </is>
      </c>
      <c r="G4" s="19" t="inlineStr">
        <is>
          <t>حجم ر١ لتر</t>
        </is>
      </c>
      <c r="H4" s="19" t="inlineStr">
        <is>
          <t>حجم ر٢ لتر</t>
        </is>
      </c>
      <c r="I4" s="19" t="inlineStr">
        <is>
          <t>التغيّر</t>
        </is>
      </c>
      <c r="J4" s="19" t="inlineStr">
        <is>
          <t>صافي ر١</t>
        </is>
      </c>
      <c r="K4" s="19" t="inlineStr">
        <is>
          <t>صافي ر٢</t>
        </is>
      </c>
      <c r="L4" s="19" t="inlineStr">
        <is>
          <t>هامش ر٢</t>
        </is>
      </c>
      <c r="M4" s="19" t="inlineStr">
        <is>
          <t>أجور ر٢</t>
        </is>
      </c>
      <c r="N4" s="19" t="inlineStr">
        <is>
          <t>مرافق ر٢</t>
        </is>
      </c>
      <c r="O4" s="19" t="inlineStr">
        <is>
          <t>حصّتنا ر٢</t>
        </is>
      </c>
      <c r="P4" s="19" t="inlineStr">
        <is>
          <t>المعياري ر٢</t>
        </is>
      </c>
      <c r="Q4" s="19" t="inlineStr">
        <is>
          <t>الفجوة ر٢</t>
        </is>
      </c>
      <c r="R4" s="19" t="inlineStr">
        <is>
          <t>شروط العقد ونوعها</t>
        </is>
      </c>
    </row>
    <row r="5">
      <c r="B5" s="88" t="inlineStr">
        <is>
          <t>أبو وافي</t>
        </is>
      </c>
      <c r="C5" s="89" t="inlineStr">
        <is>
          <t>MK033</t>
        </is>
      </c>
      <c r="D5" s="90" t="n">
        <v>7649675</v>
      </c>
      <c r="E5" s="90" t="n">
        <v>5978632</v>
      </c>
      <c r="F5" s="91">
        <f>IF(D5=0,"—",E5/D5-1)</f>
        <v/>
      </c>
      <c r="G5" s="92" t="n">
        <v>4362356</v>
      </c>
      <c r="H5" s="92" t="n">
        <v>3410759</v>
      </c>
      <c r="I5" s="91">
        <f>IF(G5=0,"—",H5/G5-1)</f>
        <v/>
      </c>
      <c r="J5" s="90" t="n">
        <v>193001</v>
      </c>
      <c r="K5" s="90" t="n">
        <v>143676</v>
      </c>
      <c r="L5" s="91" t="n">
        <v>0.024</v>
      </c>
      <c r="M5" s="90" t="n">
        <v>115500</v>
      </c>
      <c r="N5" s="90" t="n">
        <v>22408</v>
      </c>
      <c r="O5" s="90" t="n">
        <v>18678</v>
      </c>
      <c r="P5" s="90" t="n">
        <v>76336.68825958938</v>
      </c>
      <c r="Q5" s="93">
        <f>O5-P5</f>
        <v/>
      </c>
      <c r="R5" s="94" t="inlineStr">
        <is>
          <t>نسبة ثابتة من الصافي — نسبة ١٥٪ في ر١ ثم ١٣٪ في ر٢</t>
        </is>
      </c>
    </row>
    <row r="6">
      <c r="B6" s="88" t="inlineStr">
        <is>
          <t>الذكرى الخالدة</t>
        </is>
      </c>
      <c r="C6" s="89" t="inlineStr">
        <is>
          <t>MK029</t>
        </is>
      </c>
      <c r="D6" s="90" t="n">
        <v>7413928</v>
      </c>
      <c r="E6" s="90" t="n">
        <v>7243350</v>
      </c>
      <c r="F6" s="91">
        <f>IF(D6=0,"—",E6/D6-1)</f>
        <v/>
      </c>
      <c r="G6" s="92" t="n">
        <v>4041498</v>
      </c>
      <c r="H6" s="92" t="n">
        <v>3860413</v>
      </c>
      <c r="I6" s="91">
        <f>IF(G6=0,"—",H6/G6-1)</f>
        <v/>
      </c>
      <c r="J6" s="90" t="n">
        <v>256990</v>
      </c>
      <c r="K6" s="90" t="n">
        <v>268282</v>
      </c>
      <c r="L6" s="91" t="n">
        <v>0.03700000000000001</v>
      </c>
      <c r="M6" s="90" t="n">
        <v>108500</v>
      </c>
      <c r="N6" s="95" t="inlineStr">
        <is>
          <t>—</t>
        </is>
      </c>
      <c r="O6" s="90" t="n">
        <v>49360</v>
      </c>
      <c r="P6" s="90" t="n">
        <v>104231.151</v>
      </c>
      <c r="Q6" s="93">
        <f>O6-P6</f>
        <v/>
      </c>
      <c r="R6" s="94" t="inlineStr">
        <is>
          <t>عمولة دون المعياري — عمولة ٠٫٠١٥ بنزين · ٠٫٠٠٥ ديزل — الأدنى في الشبكة</t>
        </is>
      </c>
    </row>
    <row r="7">
      <c r="B7" s="20" t="inlineStr">
        <is>
          <t>الدائري الشمالي</t>
        </is>
      </c>
      <c r="C7" s="96" t="inlineStr">
        <is>
          <t>RY075</t>
        </is>
      </c>
      <c r="D7" s="67" t="n">
        <v>6315203</v>
      </c>
      <c r="E7" s="67" t="n">
        <v>7351302</v>
      </c>
      <c r="F7" s="41">
        <f>IF(D7=0,"—",E7/D7-1)</f>
        <v/>
      </c>
      <c r="G7" s="39" t="n">
        <v>3290913</v>
      </c>
      <c r="H7" s="39" t="n">
        <v>3827940</v>
      </c>
      <c r="I7" s="41">
        <f>IF(G7=0,"—",H7/G7-1)</f>
        <v/>
      </c>
      <c r="J7" s="67" t="n">
        <v>238105</v>
      </c>
      <c r="K7" s="67" t="n">
        <v>287219</v>
      </c>
      <c r="L7" s="41" t="n">
        <v>0.039</v>
      </c>
      <c r="M7" s="67" t="n">
        <v>105000</v>
      </c>
      <c r="N7" s="67" t="n">
        <v>25490</v>
      </c>
      <c r="O7" s="67" t="n">
        <v>57444</v>
      </c>
      <c r="P7" s="67" t="n">
        <v>103354.38</v>
      </c>
      <c r="Q7" s="21">
        <f>O7-P7</f>
        <v/>
      </c>
      <c r="R7" s="83" t="inlineStr">
        <is>
          <t>نسبة ثابتة من الصافي — نسبة ٢٠٪ ثابتة</t>
        </is>
      </c>
    </row>
    <row r="8">
      <c r="B8" s="20" t="inlineStr">
        <is>
          <t>صبيا خبت نخلان</t>
        </is>
      </c>
      <c r="C8" s="96" t="inlineStr">
        <is>
          <t>JA053</t>
        </is>
      </c>
      <c r="D8" s="67" t="n">
        <v>2482548</v>
      </c>
      <c r="E8" s="67" t="n">
        <v>2486549</v>
      </c>
      <c r="F8" s="41">
        <f>IF(D8=0,"—",E8/D8-1)</f>
        <v/>
      </c>
      <c r="G8" s="39" t="n">
        <v>1325213</v>
      </c>
      <c r="H8" s="39" t="n">
        <v>1325693</v>
      </c>
      <c r="I8" s="41">
        <f>IF(G8=0,"—",H8/G8-1)</f>
        <v/>
      </c>
      <c r="J8" s="67" t="n">
        <v>49026</v>
      </c>
      <c r="K8" s="67" t="n">
        <v>46503</v>
      </c>
      <c r="L8" s="41" t="n">
        <v>0.019</v>
      </c>
      <c r="M8" s="67" t="n">
        <v>73500</v>
      </c>
      <c r="N8" s="97" t="inlineStr">
        <is>
          <t>—</t>
        </is>
      </c>
      <c r="O8" s="67" t="n">
        <v>6975</v>
      </c>
      <c r="P8" s="67" t="n">
        <v>35144.40414840548</v>
      </c>
      <c r="Q8" s="21">
        <f>O8-P8</f>
        <v/>
      </c>
      <c r="R8" s="83" t="inlineStr">
        <is>
          <t>نسبة ثابتة من الصافي — نسبة ١٥٪ ثابتة</t>
        </is>
      </c>
    </row>
    <row r="9">
      <c r="B9" s="20" t="inlineStr">
        <is>
          <t>بريدة القصيم</t>
        </is>
      </c>
      <c r="C9" s="96" t="inlineStr">
        <is>
          <t>QS055</t>
        </is>
      </c>
      <c r="D9" s="67" t="n">
        <v>2510791</v>
      </c>
      <c r="E9" s="67" t="n">
        <v>2554762</v>
      </c>
      <c r="F9" s="41">
        <f>IF(D9=0,"—",E9/D9-1)</f>
        <v/>
      </c>
      <c r="G9" s="39" t="n">
        <v>1400083</v>
      </c>
      <c r="H9" s="39" t="n">
        <v>1447839</v>
      </c>
      <c r="I9" s="41">
        <f>IF(G9=0,"—",H9/G9-1)</f>
        <v/>
      </c>
      <c r="J9" s="67" t="n">
        <v>60508</v>
      </c>
      <c r="K9" s="67" t="n">
        <v>27133</v>
      </c>
      <c r="L9" s="41" t="n">
        <v>0.011</v>
      </c>
      <c r="M9" s="67" t="n">
        <v>63000</v>
      </c>
      <c r="N9" s="67" t="n">
        <v>23468</v>
      </c>
      <c r="O9" s="67" t="n">
        <v>5427</v>
      </c>
      <c r="P9" s="67" t="n">
        <v>33519.72988664995</v>
      </c>
      <c r="Q9" s="21">
        <f>O9-P9</f>
        <v/>
      </c>
      <c r="R9" s="83" t="inlineStr">
        <is>
          <t>نسبة ثابتة من الصافي — نسبة ٢٠٪ ثابتة</t>
        </is>
      </c>
    </row>
    <row r="10">
      <c r="B10" s="20" t="inlineStr">
        <is>
          <t>القسوم</t>
        </is>
      </c>
      <c r="C10" s="96" t="inlineStr">
        <is>
          <t>JA041</t>
        </is>
      </c>
      <c r="D10" s="67" t="n">
        <v>0</v>
      </c>
      <c r="E10" s="67" t="n">
        <v>2150813</v>
      </c>
      <c r="F10" s="41">
        <f>IF(D10=0,"—",E10/D10-1)</f>
        <v/>
      </c>
      <c r="G10" s="39" t="n">
        <v>0</v>
      </c>
      <c r="H10" s="39" t="n">
        <v>1111929</v>
      </c>
      <c r="I10" s="41">
        <f>IF(G10=0,"—",H10/G10-1)</f>
        <v/>
      </c>
      <c r="J10" s="67" t="n">
        <v>0</v>
      </c>
      <c r="K10" s="67" t="n">
        <v>30748</v>
      </c>
      <c r="L10" s="41" t="n">
        <v>0.014</v>
      </c>
      <c r="M10" s="97" t="inlineStr">
        <is>
          <t>—</t>
        </is>
      </c>
      <c r="N10" s="97" t="inlineStr">
        <is>
          <t>—</t>
        </is>
      </c>
      <c r="O10" s="67" t="n">
        <v>4612</v>
      </c>
      <c r="P10" s="67" t="n">
        <v>32121.54726232977</v>
      </c>
      <c r="Q10" s="21">
        <f>O10-P10</f>
        <v/>
      </c>
      <c r="R10" s="83" t="inlineStr">
        <is>
          <t>نسبة ثابتة من الصافي — نسبة ١٥٪ — محطة جديدة في ر٢</t>
        </is>
      </c>
    </row>
    <row r="11">
      <c r="B11" s="20" t="inlineStr">
        <is>
          <t>الجمعية</t>
        </is>
      </c>
      <c r="C11" s="96" t="inlineStr">
        <is>
          <t>MK035</t>
        </is>
      </c>
      <c r="D11" s="67" t="n">
        <v>3932845</v>
      </c>
      <c r="E11" s="67" t="n">
        <v>4579569</v>
      </c>
      <c r="F11" s="41">
        <f>IF(D11=0,"—",E11/D11-1)</f>
        <v/>
      </c>
      <c r="G11" s="39" t="n">
        <v>2102148</v>
      </c>
      <c r="H11" s="39" t="n">
        <v>2468597</v>
      </c>
      <c r="I11" s="41">
        <f>IF(G11=0,"—",H11/G11-1)</f>
        <v/>
      </c>
      <c r="J11" s="67" t="n">
        <v>136774</v>
      </c>
      <c r="K11" s="67" t="n">
        <v>177835</v>
      </c>
      <c r="L11" s="41" t="n">
        <v>0.039</v>
      </c>
      <c r="M11" s="67" t="n">
        <v>63000</v>
      </c>
      <c r="N11" s="67" t="n">
        <v>4902</v>
      </c>
      <c r="O11" s="67" t="n">
        <v>35567</v>
      </c>
      <c r="P11" s="67" t="n">
        <v>62126.65742804539</v>
      </c>
      <c r="Q11" s="21">
        <f>O11-P11</f>
        <v/>
      </c>
      <c r="R11" s="83" t="inlineStr">
        <is>
          <t>نسبة ثابتة من الصافي — نسبة ٢٠٪ ثابتة</t>
        </is>
      </c>
    </row>
    <row r="12">
      <c r="B12" s="20" t="inlineStr">
        <is>
          <t>الرصيفة</t>
        </is>
      </c>
      <c r="C12" s="96" t="inlineStr">
        <is>
          <t>MK016</t>
        </is>
      </c>
      <c r="D12" s="67" t="n">
        <v>5684187</v>
      </c>
      <c r="E12" s="67" t="n">
        <v>5115259</v>
      </c>
      <c r="F12" s="41">
        <f>IF(D12=0,"—",E12/D12-1)</f>
        <v/>
      </c>
      <c r="G12" s="39" t="n">
        <v>2904948</v>
      </c>
      <c r="H12" s="39" t="n">
        <v>2611625</v>
      </c>
      <c r="I12" s="41">
        <f>IF(G12=0,"—",H12/G12-1)</f>
        <v/>
      </c>
      <c r="J12" s="67" t="n">
        <v>247404</v>
      </c>
      <c r="K12" s="67" t="n">
        <v>214310</v>
      </c>
      <c r="L12" s="41" t="n">
        <v>0.042</v>
      </c>
      <c r="M12" s="67" t="n">
        <v>101500</v>
      </c>
      <c r="N12" s="67" t="n">
        <v>9912</v>
      </c>
      <c r="O12" s="67" t="n">
        <v>53577</v>
      </c>
      <c r="P12" s="67" t="n">
        <v>78348.75</v>
      </c>
      <c r="Q12" s="21">
        <f>O12-P12</f>
        <v/>
      </c>
      <c r="R12" s="83" t="inlineStr">
        <is>
          <t>نسبة ثابتة من الصافي — نسبة ٢٥٪ ثابتة</t>
        </is>
      </c>
    </row>
    <row r="13">
      <c r="B13" s="20" t="inlineStr">
        <is>
          <t>الأجاويد</t>
        </is>
      </c>
      <c r="C13" s="96" t="inlineStr">
        <is>
          <t>MK071</t>
        </is>
      </c>
      <c r="D13" s="67" t="n">
        <v>3033342</v>
      </c>
      <c r="E13" s="67" t="n">
        <v>3320850</v>
      </c>
      <c r="F13" s="41">
        <f>IF(D13=0,"—",E13/D13-1)</f>
        <v/>
      </c>
      <c r="G13" s="39" t="n">
        <v>1623305</v>
      </c>
      <c r="H13" s="39" t="n">
        <v>1783599</v>
      </c>
      <c r="I13" s="41">
        <f>IF(G13=0,"—",H13/G13-1)</f>
        <v/>
      </c>
      <c r="J13" s="67" t="n">
        <v>95402</v>
      </c>
      <c r="K13" s="67" t="n">
        <v>119629</v>
      </c>
      <c r="L13" s="41" t="n">
        <v>0.036</v>
      </c>
      <c r="M13" s="67" t="n">
        <v>63000</v>
      </c>
      <c r="N13" s="97" t="inlineStr">
        <is>
          <t>—</t>
        </is>
      </c>
      <c r="O13" s="67" t="n">
        <v>23926</v>
      </c>
      <c r="P13" s="67" t="n">
        <v>48238.38072596883</v>
      </c>
      <c r="Q13" s="21">
        <f>O13-P13</f>
        <v/>
      </c>
      <c r="R13" s="83" t="inlineStr">
        <is>
          <t>نسبة ثابتة من الصافي — نسبة ٢٠٪ ثابتة</t>
        </is>
      </c>
    </row>
    <row r="14">
      <c r="B14" s="20" t="inlineStr">
        <is>
          <t>كورنيش جيزان</t>
        </is>
      </c>
      <c r="C14" s="96" t="inlineStr">
        <is>
          <t>JA069</t>
        </is>
      </c>
      <c r="D14" s="67" t="n">
        <v>3363012</v>
      </c>
      <c r="E14" s="67" t="n">
        <v>4013901</v>
      </c>
      <c r="F14" s="41">
        <f>IF(D14=0,"—",E14/D14-1)</f>
        <v/>
      </c>
      <c r="G14" s="39" t="n">
        <v>1721282</v>
      </c>
      <c r="H14" s="39" t="n">
        <v>2053365</v>
      </c>
      <c r="I14" s="41">
        <f>IF(G14=0,"—",H14/G14-1)</f>
        <v/>
      </c>
      <c r="J14" s="67" t="n">
        <v>102022</v>
      </c>
      <c r="K14" s="67" t="n">
        <v>147356</v>
      </c>
      <c r="L14" s="41" t="n">
        <v>0.03700000000000001</v>
      </c>
      <c r="M14" s="67" t="n">
        <v>84000</v>
      </c>
      <c r="N14" s="67" t="n">
        <v>15537</v>
      </c>
      <c r="O14" s="67" t="n">
        <v>36839</v>
      </c>
      <c r="P14" s="67" t="n">
        <v>60710.7397897499</v>
      </c>
      <c r="Q14" s="21">
        <f>O14-P14</f>
        <v/>
      </c>
      <c r="R14" s="83" t="inlineStr">
        <is>
          <t>نسبة ثابتة من الصافي — نسبة ٢٥٪ ثابتة</t>
        </is>
      </c>
    </row>
    <row r="15">
      <c r="B15" s="20" t="inlineStr">
        <is>
          <t>بن درويش</t>
        </is>
      </c>
      <c r="C15" s="96" t="inlineStr">
        <is>
          <t>MK023</t>
        </is>
      </c>
      <c r="D15" s="67" t="n">
        <v>3038405</v>
      </c>
      <c r="E15" s="67" t="n">
        <v>2700766</v>
      </c>
      <c r="F15" s="41">
        <f>IF(D15=0,"—",E15/D15-1)</f>
        <v/>
      </c>
      <c r="G15" s="39" t="n">
        <v>1548580</v>
      </c>
      <c r="H15" s="39" t="n">
        <v>1376226</v>
      </c>
      <c r="I15" s="41">
        <f>IF(G15=0,"—",H15/G15-1)</f>
        <v/>
      </c>
      <c r="J15" s="67" t="n">
        <v>105623</v>
      </c>
      <c r="K15" s="67" t="n">
        <v>115715</v>
      </c>
      <c r="L15" s="41" t="n">
        <v>0.043</v>
      </c>
      <c r="M15" s="67" t="n">
        <v>49000</v>
      </c>
      <c r="N15" s="67" t="n">
        <v>3058</v>
      </c>
      <c r="O15" s="67" t="n">
        <v>23143</v>
      </c>
      <c r="P15" s="67" t="n">
        <v>41286.78</v>
      </c>
      <c r="Q15" s="21">
        <f>O15-P15</f>
        <v/>
      </c>
      <c r="R15" s="83" t="inlineStr">
        <is>
          <t>نسبة ثابتة من الصافي — نسبة ٢٠٪ ثابتة</t>
        </is>
      </c>
    </row>
    <row r="16">
      <c r="B16" s="20" t="inlineStr">
        <is>
          <t>الكوثر</t>
        </is>
      </c>
      <c r="C16" s="96" t="inlineStr">
        <is>
          <t>MK100</t>
        </is>
      </c>
      <c r="D16" s="67" t="n">
        <v>1410031</v>
      </c>
      <c r="E16" s="67" t="n">
        <v>1489789</v>
      </c>
      <c r="F16" s="41">
        <f>IF(D16=0,"—",E16/D16-1)</f>
        <v/>
      </c>
      <c r="G16" s="39" t="n">
        <v>779165</v>
      </c>
      <c r="H16" s="39" t="n">
        <v>822350</v>
      </c>
      <c r="I16" s="41">
        <f>IF(G16=0,"—",H16/G16-1)</f>
        <v/>
      </c>
      <c r="J16" s="67" t="n">
        <v>30204</v>
      </c>
      <c r="K16" s="67" t="n">
        <v>30859</v>
      </c>
      <c r="L16" s="41" t="n">
        <v>0.021</v>
      </c>
      <c r="M16" s="67" t="n">
        <v>42000</v>
      </c>
      <c r="N16" s="67" t="n">
        <v>4675</v>
      </c>
      <c r="O16" s="67" t="n">
        <v>6172</v>
      </c>
      <c r="P16" s="67" t="n">
        <v>20487.42513536326</v>
      </c>
      <c r="Q16" s="21">
        <f>O16-P16</f>
        <v/>
      </c>
      <c r="R16" s="83" t="inlineStr">
        <is>
          <t>نسبة ثابتة من الصافي — نسبة ٢٠٪ ثابتة</t>
        </is>
      </c>
    </row>
    <row r="17">
      <c r="B17" s="20" t="inlineStr">
        <is>
          <t>المودة الروابي</t>
        </is>
      </c>
      <c r="C17" s="96" t="inlineStr">
        <is>
          <t>JA056</t>
        </is>
      </c>
      <c r="D17" s="67" t="n">
        <v>1070511</v>
      </c>
      <c r="E17" s="67" t="n">
        <v>1288142</v>
      </c>
      <c r="F17" s="41">
        <f>IF(D17=0,"—",E17/D17-1)</f>
        <v/>
      </c>
      <c r="G17" s="39" t="n">
        <v>573437</v>
      </c>
      <c r="H17" s="39" t="n">
        <v>688372</v>
      </c>
      <c r="I17" s="41">
        <f>IF(G17=0,"—",H17/G17-1)</f>
        <v/>
      </c>
      <c r="J17" s="67" t="n">
        <v>6204</v>
      </c>
      <c r="K17" s="67" t="n">
        <v>20580</v>
      </c>
      <c r="L17" s="41" t="n">
        <v>0.016</v>
      </c>
      <c r="M17" s="67" t="n">
        <v>42000</v>
      </c>
      <c r="N17" s="67" t="n">
        <v>11280</v>
      </c>
      <c r="O17" s="67" t="n">
        <v>4116</v>
      </c>
      <c r="P17" s="67" t="n">
        <v>18394.6446230606</v>
      </c>
      <c r="Q17" s="21">
        <f>O17-P17</f>
        <v/>
      </c>
      <c r="R17" s="83" t="inlineStr">
        <is>
          <t>نسبة ثابتة من الصافي — نسبة ٢٠٪ ثابتة</t>
        </is>
      </c>
    </row>
    <row r="18">
      <c r="B18" s="20" t="inlineStr">
        <is>
          <t>ممشى الشوقية</t>
        </is>
      </c>
      <c r="C18" s="96" t="inlineStr">
        <is>
          <t>MK020</t>
        </is>
      </c>
      <c r="D18" s="67" t="n">
        <v>4536406</v>
      </c>
      <c r="E18" s="67" t="n">
        <v>4777169</v>
      </c>
      <c r="F18" s="41">
        <f>IF(D18=0,"—",E18/D18-1)</f>
        <v/>
      </c>
      <c r="G18" s="39" t="n">
        <v>2309336</v>
      </c>
      <c r="H18" s="39" t="n">
        <v>2431417</v>
      </c>
      <c r="I18" s="41">
        <f>IF(G18=0,"—",H18/G18-1)</f>
        <v/>
      </c>
      <c r="J18" s="67" t="n">
        <v>161698</v>
      </c>
      <c r="K18" s="67" t="n">
        <v>184802</v>
      </c>
      <c r="L18" s="41" t="n">
        <v>0.039</v>
      </c>
      <c r="M18" s="67" t="n">
        <v>80500</v>
      </c>
      <c r="N18" s="67" t="n">
        <v>30337</v>
      </c>
      <c r="O18" s="67" t="n">
        <v>60785</v>
      </c>
      <c r="P18" s="67" t="n">
        <v>72942.50999999999</v>
      </c>
      <c r="Q18" s="21">
        <f>O18-P18</f>
        <v/>
      </c>
      <c r="R18" s="83" t="inlineStr">
        <is>
          <t>عمولة دون المعياري — عمولة ٠٫٠٢٥ بنزين · ٠٫٠١٥ ديزل — دون المعياري</t>
        </is>
      </c>
    </row>
    <row r="19">
      <c r="B19" s="20" t="inlineStr">
        <is>
          <t>محطة طريق السيل</t>
        </is>
      </c>
      <c r="C19" s="96" t="inlineStr">
        <is>
          <t>MK054</t>
        </is>
      </c>
      <c r="D19" s="67" t="n">
        <v>946016</v>
      </c>
      <c r="E19" s="67" t="n">
        <v>4149274</v>
      </c>
      <c r="F19" s="41">
        <f>IF(D19=0,"—",E19/D19-1)</f>
        <v/>
      </c>
      <c r="G19" s="39" t="n">
        <v>512886</v>
      </c>
      <c r="H19" s="39" t="n">
        <v>2311916</v>
      </c>
      <c r="I19" s="41">
        <f>IF(G19=0,"—",H19/G19-1)</f>
        <v/>
      </c>
      <c r="J19" s="67" t="n">
        <v>9059</v>
      </c>
      <c r="K19" s="67" t="n">
        <v>77515</v>
      </c>
      <c r="L19" s="41" t="n">
        <v>0.019</v>
      </c>
      <c r="M19" s="67" t="n">
        <v>94500</v>
      </c>
      <c r="N19" s="67" t="n">
        <v>6583</v>
      </c>
      <c r="O19" s="67" t="n">
        <v>49793</v>
      </c>
      <c r="P19" s="67" t="n">
        <v>53929.93375867972</v>
      </c>
      <c r="Q19" s="21">
        <f>O19-P19</f>
        <v/>
      </c>
      <c r="R19" s="83" t="inlineStr">
        <is>
          <t>عمولة دون المعياري — عمولة ٠٫٠٣ بنزين · ٠٫٠١ ديزل — دون المعياري · ر١ جزئي ٢٠ يوماً</t>
        </is>
      </c>
    </row>
    <row r="20">
      <c r="B20" s="20" t="inlineStr">
        <is>
          <t>الحليس</t>
        </is>
      </c>
      <c r="C20" s="96" t="inlineStr">
        <is>
          <t>MK046</t>
        </is>
      </c>
      <c r="D20" s="67" t="n">
        <v>8130579</v>
      </c>
      <c r="E20" s="67" t="n">
        <v>8694181</v>
      </c>
      <c r="F20" s="41">
        <f>IF(D20=0,"—",E20/D20-1)</f>
        <v/>
      </c>
      <c r="G20" s="39" t="n">
        <v>4437805</v>
      </c>
      <c r="H20" s="39" t="n">
        <v>4764070</v>
      </c>
      <c r="I20" s="41">
        <f>IF(G20=0,"—",H20/G20-1)</f>
        <v/>
      </c>
      <c r="J20" s="67" t="n">
        <v>304825</v>
      </c>
      <c r="K20" s="67" t="n">
        <v>313375</v>
      </c>
      <c r="L20" s="41" t="n">
        <v>0.036</v>
      </c>
      <c r="M20" s="67" t="n">
        <v>126000</v>
      </c>
      <c r="N20" s="67" t="n">
        <v>13100</v>
      </c>
      <c r="O20" s="67" t="n">
        <v>116558</v>
      </c>
      <c r="P20" s="67" t="n">
        <v>119257.8670215656</v>
      </c>
      <c r="Q20" s="21">
        <f>O20-P20</f>
        <v/>
      </c>
      <c r="R20" s="83" t="inlineStr">
        <is>
          <t>عمولة معيارية — عمولة ٠٫٠٣ بنزين · ٠٫٠١٥ ديزل</t>
        </is>
      </c>
    </row>
    <row r="21">
      <c r="B21" s="20" t="inlineStr">
        <is>
          <t>الملك خالد</t>
        </is>
      </c>
      <c r="C21" s="96" t="inlineStr">
        <is>
          <t>MK093</t>
        </is>
      </c>
      <c r="D21" s="67" t="n">
        <v>2616390</v>
      </c>
      <c r="E21" s="67" t="n">
        <v>2863669</v>
      </c>
      <c r="F21" s="41">
        <f>IF(D21=0,"—",E21/D21-1)</f>
        <v/>
      </c>
      <c r="G21" s="39" t="n">
        <v>1355996</v>
      </c>
      <c r="H21" s="39" t="n">
        <v>1483276</v>
      </c>
      <c r="I21" s="41">
        <f>IF(G21=0,"—",H21/G21-1)</f>
        <v/>
      </c>
      <c r="J21" s="67" t="n">
        <v>94729</v>
      </c>
      <c r="K21" s="67" t="n">
        <v>101451</v>
      </c>
      <c r="L21" s="41" t="n">
        <v>0.035</v>
      </c>
      <c r="M21" s="67" t="n">
        <v>52500</v>
      </c>
      <c r="N21" s="97" t="inlineStr">
        <is>
          <t>—</t>
        </is>
      </c>
      <c r="O21" s="67" t="n">
        <v>41708</v>
      </c>
      <c r="P21" s="67" t="n">
        <v>42386.94691218049</v>
      </c>
      <c r="Q21" s="21">
        <f>O21-P21</f>
        <v/>
      </c>
      <c r="R21" s="83" t="inlineStr">
        <is>
          <t>عمولة دون المعياري — عمولة ٠٫٠٣ بنزين · ٠٫٠١ ديزل — دون المعياري</t>
        </is>
      </c>
    </row>
    <row r="22">
      <c r="B22" s="20" t="inlineStr">
        <is>
          <t>أحلى مسا</t>
        </is>
      </c>
      <c r="C22" s="96" t="inlineStr">
        <is>
          <t>MK028</t>
        </is>
      </c>
      <c r="D22" s="67" t="n">
        <v>7957528</v>
      </c>
      <c r="E22" s="67" t="n">
        <v>7010487</v>
      </c>
      <c r="F22" s="41">
        <f>IF(D22=0,"—",E22/D22-1)</f>
        <v/>
      </c>
      <c r="G22" s="39" t="n">
        <v>4104111</v>
      </c>
      <c r="H22" s="39" t="n">
        <v>3624705</v>
      </c>
      <c r="I22" s="41">
        <f>IF(G22=0,"—",H22/G22-1)</f>
        <v/>
      </c>
      <c r="J22" s="67" t="n">
        <v>362198</v>
      </c>
      <c r="K22" s="67" t="n">
        <v>267281</v>
      </c>
      <c r="L22" s="41" t="n">
        <v>0.038</v>
      </c>
      <c r="M22" s="67" t="n">
        <v>126000</v>
      </c>
      <c r="N22" s="67" t="n">
        <v>12809</v>
      </c>
      <c r="O22" s="67" t="n">
        <v>102784</v>
      </c>
      <c r="P22" s="67" t="n">
        <v>103220.4230835547</v>
      </c>
      <c r="Q22" s="21">
        <f>O22-P22</f>
        <v/>
      </c>
      <c r="R22" s="83" t="inlineStr">
        <is>
          <t>عمولة معيارية — عمولة ٠٫٠٣ بنزين · ٠٫٠١٥ ديزل</t>
        </is>
      </c>
    </row>
    <row r="23">
      <c r="B23" s="20" t="inlineStr">
        <is>
          <t>حائل العريفي</t>
        </is>
      </c>
      <c r="C23" s="96" t="inlineStr">
        <is>
          <t>HA043</t>
        </is>
      </c>
      <c r="D23" s="67" t="n">
        <v>1406710</v>
      </c>
      <c r="E23" s="67" t="n">
        <v>1382515</v>
      </c>
      <c r="F23" s="41">
        <f>IF(D23=0,"—",E23/D23-1)</f>
        <v/>
      </c>
      <c r="G23" s="39" t="n">
        <v>726195</v>
      </c>
      <c r="H23" s="39" t="n">
        <v>716645</v>
      </c>
      <c r="I23" s="41">
        <f>IF(G23=0,"—",H23/G23-1)</f>
        <v/>
      </c>
      <c r="J23" s="67" t="n">
        <v>6648</v>
      </c>
      <c r="K23" s="67" t="n">
        <v>6521</v>
      </c>
      <c r="L23" s="41" t="n">
        <v>0.005</v>
      </c>
      <c r="M23" s="67" t="n">
        <v>63000</v>
      </c>
      <c r="N23" s="67" t="n">
        <v>12256</v>
      </c>
      <c r="O23" s="67" t="n">
        <v>20411</v>
      </c>
      <c r="P23" s="67" t="n">
        <v>20492.71750739524</v>
      </c>
      <c r="Q23" s="21">
        <f>O23-P23</f>
        <v/>
      </c>
      <c r="R23" s="83" t="inlineStr">
        <is>
          <t>عمولة معيارية — عمولة ٠٫٠٣ · ٠٫٠١٥ — العمولة تتجاوز الربح فيخسر المالك</t>
        </is>
      </c>
    </row>
    <row r="24">
      <c r="B24" s="20" t="inlineStr">
        <is>
          <t>الكر النازل</t>
        </is>
      </c>
      <c r="C24" s="96" t="inlineStr">
        <is>
          <t>MK084</t>
        </is>
      </c>
      <c r="D24" s="67" t="n">
        <v>3125576</v>
      </c>
      <c r="E24" s="67" t="n">
        <v>2760743</v>
      </c>
      <c r="F24" s="41">
        <f>IF(D24=0,"—",E24/D24-1)</f>
        <v/>
      </c>
      <c r="G24" s="39" t="n">
        <v>1634115</v>
      </c>
      <c r="H24" s="39" t="n">
        <v>1441961</v>
      </c>
      <c r="I24" s="41">
        <f>IF(G24=0,"—",H24/G24-1)</f>
        <v/>
      </c>
      <c r="J24" s="67" t="n">
        <v>99193</v>
      </c>
      <c r="K24" s="67" t="n">
        <v>81831</v>
      </c>
      <c r="L24" s="41" t="n">
        <v>0.03</v>
      </c>
      <c r="M24" s="67" t="n">
        <v>73500</v>
      </c>
      <c r="N24" s="67" t="n">
        <v>11406</v>
      </c>
      <c r="O24" s="67" t="n">
        <v>40435</v>
      </c>
      <c r="P24" s="67" t="n">
        <v>40490.12783959298</v>
      </c>
      <c r="Q24" s="21">
        <f>O24-P24</f>
        <v/>
      </c>
      <c r="R24" s="83" t="inlineStr">
        <is>
          <t>عمولة معيارية — عمولة ٠٫٠٣ بنزين · ٠٫٠١٥ ديزل</t>
        </is>
      </c>
    </row>
    <row r="25">
      <c r="B25" s="20" t="inlineStr">
        <is>
          <t>مدخل محايل</t>
        </is>
      </c>
      <c r="C25" s="96" t="inlineStr">
        <is>
          <t>AS153</t>
        </is>
      </c>
      <c r="D25" s="67" t="n">
        <v>0</v>
      </c>
      <c r="E25" s="67" t="n">
        <v>2835373</v>
      </c>
      <c r="F25" s="41">
        <f>IF(D25=0,"—",E25/D25-1)</f>
        <v/>
      </c>
      <c r="G25" s="39" t="n">
        <v>0</v>
      </c>
      <c r="H25" s="39" t="n">
        <v>1470777</v>
      </c>
      <c r="I25" s="41">
        <f>IF(G25=0,"—",H25/G25-1)</f>
        <v/>
      </c>
      <c r="J25" s="67" t="n">
        <v>0</v>
      </c>
      <c r="K25" s="67" t="n">
        <v>87704</v>
      </c>
      <c r="L25" s="41" t="n">
        <v>0.031</v>
      </c>
      <c r="M25" s="67" t="n">
        <v>51100</v>
      </c>
      <c r="N25" s="67" t="n">
        <v>4814</v>
      </c>
      <c r="O25" s="67" t="n">
        <v>41374</v>
      </c>
      <c r="P25" s="67" t="n">
        <v>41186.94022419924</v>
      </c>
      <c r="Q25" s="21">
        <f>O25-P25</f>
        <v/>
      </c>
      <c r="R25" s="83" t="inlineStr">
        <is>
          <t>عمولة معيارية — عمولة ٠٫٠٣ · ٠٫٠١٥ — محطة جديدة في ر٢</t>
        </is>
      </c>
    </row>
    <row r="26">
      <c r="B26" s="20" t="inlineStr">
        <is>
          <t>القادسية</t>
        </is>
      </c>
      <c r="C26" s="96" t="inlineStr">
        <is>
          <t>MK047</t>
        </is>
      </c>
      <c r="D26" s="67" t="n">
        <v>8197921</v>
      </c>
      <c r="E26" s="67" t="n">
        <v>7796113</v>
      </c>
      <c r="F26" s="41">
        <f>IF(D26=0,"—",E26/D26-1)</f>
        <v/>
      </c>
      <c r="G26" s="39" t="n">
        <v>4472655</v>
      </c>
      <c r="H26" s="39" t="n">
        <v>4234727</v>
      </c>
      <c r="I26" s="41">
        <f>IF(G26=0,"—",H26/G26-1)</f>
        <v/>
      </c>
      <c r="J26" s="67" t="n">
        <v>314127</v>
      </c>
      <c r="K26" s="67" t="n">
        <v>305040</v>
      </c>
      <c r="L26" s="41" t="n">
        <v>0.039</v>
      </c>
      <c r="M26" s="67" t="n">
        <v>108500</v>
      </c>
      <c r="N26" s="67" t="n">
        <v>11847</v>
      </c>
      <c r="O26" s="67" t="n">
        <v>106868</v>
      </c>
      <c r="P26" s="67" t="n">
        <v>106333.5982003925</v>
      </c>
      <c r="Q26" s="21">
        <f>O26-P26</f>
        <v/>
      </c>
      <c r="R26" s="83" t="inlineStr">
        <is>
          <t>عمولة معيارية — عمولة ٠٫٠٣ بنزين · ٠٫٠١٥ ديزل</t>
        </is>
      </c>
    </row>
    <row r="27">
      <c r="B27" s="20" t="inlineStr">
        <is>
          <t>الجعرانة</t>
        </is>
      </c>
      <c r="C27" s="96" t="inlineStr">
        <is>
          <t>MK064</t>
        </is>
      </c>
      <c r="D27" s="67" t="n">
        <v>4544806</v>
      </c>
      <c r="E27" s="67" t="n">
        <v>4422661</v>
      </c>
      <c r="F27" s="41">
        <f>IF(D27=0,"—",E27/D27-1)</f>
        <v/>
      </c>
      <c r="G27" s="39" t="n">
        <v>2482613</v>
      </c>
      <c r="H27" s="39" t="n">
        <v>2394191</v>
      </c>
      <c r="I27" s="41">
        <f>IF(G27=0,"—",H27/G27-1)</f>
        <v/>
      </c>
      <c r="J27" s="67" t="n">
        <v>129578</v>
      </c>
      <c r="K27" s="67" t="n">
        <v>119319</v>
      </c>
      <c r="L27" s="41" t="n">
        <v>0.027</v>
      </c>
      <c r="M27" s="67" t="n">
        <v>87500</v>
      </c>
      <c r="N27" s="67" t="n">
        <v>10335</v>
      </c>
      <c r="O27" s="67" t="n">
        <v>61224</v>
      </c>
      <c r="P27" s="67" t="n">
        <v>59997.25592696981</v>
      </c>
      <c r="Q27" s="21">
        <f>O27-P27</f>
        <v/>
      </c>
      <c r="R27" s="83" t="inlineStr">
        <is>
          <t>عمولة معيارية — عمولة ٠٫٠٣ بنزين · ٠٫٠١٥ ديزل</t>
        </is>
      </c>
    </row>
    <row r="28">
      <c r="B28" s="20" t="inlineStr">
        <is>
          <t>خليص</t>
        </is>
      </c>
      <c r="C28" s="96" t="inlineStr">
        <is>
          <t>MK014</t>
        </is>
      </c>
      <c r="D28" s="67" t="n">
        <v>0</v>
      </c>
      <c r="E28" s="67" t="n">
        <v>0</v>
      </c>
      <c r="F28" s="41">
        <f>IF(D28=0,"—",E28/D28-1)</f>
        <v/>
      </c>
      <c r="G28" s="39" t="n">
        <v>2173835</v>
      </c>
      <c r="H28" s="39" t="n">
        <v>2089097</v>
      </c>
      <c r="I28" s="41">
        <f>IF(G28=0,"—",H28/G28-1)</f>
        <v/>
      </c>
      <c r="J28" s="67" t="n">
        <v>84146</v>
      </c>
      <c r="K28" s="67" t="n">
        <v>66940</v>
      </c>
      <c r="L28" s="97" t="inlineStr">
        <is>
          <t>—</t>
        </is>
      </c>
      <c r="M28" s="97" t="inlineStr">
        <is>
          <t>—</t>
        </is>
      </c>
      <c r="N28" s="97" t="inlineStr">
        <is>
          <t>—</t>
        </is>
      </c>
      <c r="O28" s="67" t="n">
        <v>66940</v>
      </c>
      <c r="P28" s="67" t="n">
        <v>42951.65905242298</v>
      </c>
      <c r="Q28" s="21">
        <f>O28-P28</f>
        <v/>
      </c>
      <c r="R28" s="83" t="inlineStr">
        <is>
          <t>عمولة أعلى من المعياري — عمولة لتر فقط ٠٫٠٦ بنزين · ٠٫٠٢ ديزل — تحت مسمى نسبة المالك</t>
        </is>
      </c>
    </row>
    <row r="29">
      <c r="B29" s="20" t="inlineStr">
        <is>
          <t>البيعة</t>
        </is>
      </c>
      <c r="C29" s="96" t="inlineStr">
        <is>
          <t>MK099</t>
        </is>
      </c>
      <c r="D29" s="67" t="n">
        <v>0</v>
      </c>
      <c r="E29" s="67" t="n">
        <v>0</v>
      </c>
      <c r="F29" s="41">
        <f>IF(D29=0,"—",E29/D29-1)</f>
        <v/>
      </c>
      <c r="G29" s="39" t="n">
        <v>778238</v>
      </c>
      <c r="H29" s="39" t="n">
        <v>894334</v>
      </c>
      <c r="I29" s="41">
        <f>IF(G29=0,"—",H29/G29-1)</f>
        <v/>
      </c>
      <c r="J29" s="67" t="n">
        <v>45968</v>
      </c>
      <c r="K29" s="67" t="n">
        <v>52787</v>
      </c>
      <c r="L29" s="97" t="inlineStr">
        <is>
          <t>—</t>
        </is>
      </c>
      <c r="M29" s="97" t="inlineStr">
        <is>
          <t>—</t>
        </is>
      </c>
      <c r="N29" s="97" t="inlineStr">
        <is>
          <t>—</t>
        </is>
      </c>
      <c r="O29" s="67" t="n">
        <v>52787</v>
      </c>
      <c r="P29" s="67" t="n">
        <v>26530.41430648867</v>
      </c>
      <c r="Q29" s="21">
        <f>O29-P29</f>
        <v/>
      </c>
      <c r="R29" s="83" t="inlineStr">
        <is>
          <t>عمولة أعلى من المعياري — عمولة لتر فقط ٠٫٠٦ بنزين · ٠٫٠١٥ ديزل — تحت مسمى نسبة المالك</t>
        </is>
      </c>
    </row>
    <row r="30">
      <c r="B30" s="20" t="inlineStr">
        <is>
          <t>الجموم</t>
        </is>
      </c>
      <c r="C30" s="96" t="inlineStr">
        <is>
          <t>MK068</t>
        </is>
      </c>
      <c r="D30" s="67" t="n">
        <v>0</v>
      </c>
      <c r="E30" s="67" t="n">
        <v>0</v>
      </c>
      <c r="F30" s="41">
        <f>IF(D30=0,"—",E30/D30-1)</f>
        <v/>
      </c>
      <c r="G30" s="39" t="n">
        <v>1803115</v>
      </c>
      <c r="H30" s="39" t="n">
        <v>1708786</v>
      </c>
      <c r="I30" s="41">
        <f>IF(G30=0,"—",H30/G30-1)</f>
        <v/>
      </c>
      <c r="J30" s="67" t="n">
        <v>130387</v>
      </c>
      <c r="K30" s="67" t="n">
        <v>120967</v>
      </c>
      <c r="L30" s="97" t="inlineStr">
        <is>
          <t>—</t>
        </is>
      </c>
      <c r="M30" s="97" t="inlineStr">
        <is>
          <t>—</t>
        </is>
      </c>
      <c r="N30" s="97" t="inlineStr">
        <is>
          <t>—</t>
        </is>
      </c>
      <c r="O30" s="67" t="n">
        <v>120967</v>
      </c>
      <c r="P30" s="67" t="n">
        <v>47666.32401248394</v>
      </c>
      <c r="Q30" s="21">
        <f>O30-P30</f>
        <v/>
      </c>
      <c r="R30" s="83" t="inlineStr">
        <is>
          <t>عمولة أعلى من المعياري — عمولة لتر فقط ٠٫٠٨ بنزين · ٠٫٠٢ ديزل — تحت مسمى نسبة المالك</t>
        </is>
      </c>
    </row>
    <row r="31">
      <c r="B31" s="44" t="inlineStr">
        <is>
          <t>الإجمالي</t>
        </is>
      </c>
      <c r="C31" s="46" t="inlineStr"/>
      <c r="D31" s="82">
        <f>SUM(D5:D30)</f>
        <v/>
      </c>
      <c r="E31" s="82">
        <f>SUM(E5:E30)</f>
        <v/>
      </c>
      <c r="F31" s="98">
        <f>E31/D31-1</f>
        <v/>
      </c>
      <c r="G31" s="45">
        <f>SUM(G5:G30)</f>
        <v/>
      </c>
      <c r="H31" s="45">
        <f>SUM(H5:H30)</f>
        <v/>
      </c>
      <c r="I31" s="98">
        <f>H31/G31-1</f>
        <v/>
      </c>
      <c r="J31" s="82">
        <f>SUM(J5:J30)</f>
        <v/>
      </c>
      <c r="K31" s="82">
        <f>SUM(K5:K30)</f>
        <v/>
      </c>
      <c r="L31" s="98">
        <f>K31/E31</f>
        <v/>
      </c>
      <c r="M31" s="82">
        <f>SUM(M5:M30)</f>
        <v/>
      </c>
      <c r="N31" s="82">
        <f>SUM(N5:N30)</f>
        <v/>
      </c>
      <c r="O31" s="82">
        <f>SUM(O5:O30)</f>
        <v/>
      </c>
      <c r="P31" s="82">
        <f>SUM(P5:P30)</f>
        <v/>
      </c>
      <c r="Q31" s="82">
        <f>SUM(Q5:Q30)</f>
        <v/>
      </c>
      <c r="R31" s="46" t="inlineStr"/>
    </row>
    <row r="32" ht="44" customHeight="1">
      <c r="A32" s="38" t="inlineStr">
        <is>
          <t>«المعياري» هو ما كانت حصّتنا ستكونه بعمولة درب المعيارية على حجم الربع الثاني، و«الفجوة» الفرقُ — كلاهما للربع لا للسنة. ومجموع الفجوة -283,218 للربع، أي -1,132,872 ريال في السنة — أكبر رقمٍ في الخطة كلها، ولا يحتاج لتراً إضافياً ولا حملة: يحتاج جلسة تفاوض على العقود. والصفوف الحمراء هي التي تتجاوز فجوتها ٥٠ ألف ريال في الربع.</t>
        </is>
      </c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</row>
    <row r="34" ht="22" customHeight="1">
      <c r="A34" s="18" t="inlineStr">
        <is>
          <t>الخلاصة — الربع الثاني مقابل الأول على مستوى هذه المحطات</t>
        </is>
      </c>
    </row>
    <row r="35" ht="30" customHeight="1">
      <c r="A35" s="19" t="inlineStr"/>
      <c r="B35" s="19" t="inlineStr">
        <is>
          <t>المقياس</t>
        </is>
      </c>
      <c r="C35" s="19" t="inlineStr">
        <is>
          <t>الربع الأول</t>
        </is>
      </c>
      <c r="D35" s="19" t="inlineStr">
        <is>
          <t>الربع الثاني</t>
        </is>
      </c>
      <c r="E35" s="19" t="inlineStr">
        <is>
          <t>التغيّر</t>
        </is>
      </c>
      <c r="F35" s="19" t="inlineStr"/>
      <c r="G35" s="19" t="inlineStr"/>
      <c r="H35" s="19" t="inlineStr"/>
      <c r="I35" s="19" t="inlineStr"/>
      <c r="J35" s="19" t="inlineStr"/>
      <c r="K35" s="19" t="inlineStr"/>
      <c r="L35" s="19" t="inlineStr"/>
      <c r="M35" s="19" t="inlineStr"/>
      <c r="N35" s="19" t="inlineStr"/>
      <c r="O35" s="19" t="inlineStr"/>
      <c r="P35" s="19" t="inlineStr"/>
      <c r="Q35" s="19" t="inlineStr"/>
      <c r="R35" s="19" t="inlineStr">
        <is>
          <t>القراءة</t>
        </is>
      </c>
    </row>
    <row r="36">
      <c r="B36" s="20" t="inlineStr">
        <is>
          <t>المبيعات ريال</t>
        </is>
      </c>
      <c r="C36" s="67" t="n">
        <v>89366410</v>
      </c>
      <c r="D36" s="67" t="n">
        <v>96965869</v>
      </c>
      <c r="E36" s="99">
        <f>D36/C36-1</f>
        <v/>
      </c>
      <c r="F36" s="43" t="inlineStr"/>
      <c r="G36" s="43" t="inlineStr"/>
      <c r="H36" s="43" t="inlineStr"/>
      <c r="I36" s="43" t="inlineStr"/>
      <c r="J36" s="43" t="inlineStr"/>
      <c r="K36" s="43" t="inlineStr"/>
      <c r="L36" s="43" t="inlineStr"/>
      <c r="M36" s="43" t="inlineStr"/>
      <c r="N36" s="43" t="inlineStr"/>
      <c r="O36" s="43" t="inlineStr"/>
      <c r="P36" s="43" t="inlineStr"/>
      <c r="Q36" s="43" t="inlineStr"/>
      <c r="R36" s="25" t="inlineStr">
        <is>
          <t>وهي مبيعات المحطات المشغّلة وحدها لا الشبكة</t>
        </is>
      </c>
    </row>
    <row r="37">
      <c r="B37" s="20" t="inlineStr">
        <is>
          <t>الحجم لتر</t>
        </is>
      </c>
      <c r="C37" s="39" t="n">
        <v>52463828</v>
      </c>
      <c r="D37" s="39" t="n">
        <v>56354609</v>
      </c>
      <c r="E37" s="99">
        <f>D37/C37-1</f>
        <v/>
      </c>
      <c r="F37" s="43" t="inlineStr"/>
      <c r="G37" s="43" t="inlineStr"/>
      <c r="H37" s="43" t="inlineStr"/>
      <c r="I37" s="43" t="inlineStr"/>
      <c r="J37" s="43" t="inlineStr"/>
      <c r="K37" s="43" t="inlineStr"/>
      <c r="L37" s="43" t="inlineStr"/>
      <c r="M37" s="43" t="inlineStr"/>
      <c r="N37" s="43" t="inlineStr"/>
      <c r="O37" s="43" t="inlineStr"/>
      <c r="P37" s="43" t="inlineStr"/>
      <c r="Q37" s="43" t="inlineStr"/>
      <c r="R37" s="25" t="inlineStr">
        <is>
          <t>الحجم يهبط أكثر من المبيعات — أي أن السعر المتوسط ارتفع بالمزيج</t>
        </is>
      </c>
    </row>
    <row r="38">
      <c r="B38" s="20" t="inlineStr">
        <is>
          <t>صافي المحطات ريال</t>
        </is>
      </c>
      <c r="C38" s="67" t="n">
        <v>3263819</v>
      </c>
      <c r="D38" s="67" t="n">
        <v>3415378</v>
      </c>
      <c r="E38" s="99">
        <f>D38/C38-1</f>
        <v/>
      </c>
      <c r="F38" s="43" t="inlineStr"/>
      <c r="G38" s="43" t="inlineStr"/>
      <c r="H38" s="43" t="inlineStr"/>
      <c r="I38" s="43" t="inlineStr"/>
      <c r="J38" s="43" t="inlineStr"/>
      <c r="K38" s="43" t="inlineStr"/>
      <c r="L38" s="43" t="inlineStr"/>
      <c r="M38" s="43" t="inlineStr"/>
      <c r="N38" s="43" t="inlineStr"/>
      <c r="O38" s="43" t="inlineStr"/>
      <c r="P38" s="43" t="inlineStr"/>
      <c r="Q38" s="43" t="inlineStr"/>
      <c r="R38" s="25" t="inlineStr"/>
    </row>
    <row r="39">
      <c r="B39" s="20" t="inlineStr">
        <is>
          <t>عدد العمّال</t>
        </is>
      </c>
      <c r="C39" s="39" t="n">
        <v>513</v>
      </c>
      <c r="D39" s="39" t="n">
        <v>508</v>
      </c>
      <c r="E39" s="99">
        <f>D39/C39-1</f>
        <v/>
      </c>
      <c r="F39" s="43" t="inlineStr"/>
      <c r="G39" s="43" t="inlineStr"/>
      <c r="H39" s="43" t="inlineStr"/>
      <c r="I39" s="43" t="inlineStr"/>
      <c r="J39" s="43" t="inlineStr"/>
      <c r="K39" s="43" t="inlineStr"/>
      <c r="L39" s="43" t="inlineStr"/>
      <c r="M39" s="43" t="inlineStr"/>
      <c r="N39" s="43" t="inlineStr"/>
      <c r="O39" s="43" t="inlineStr"/>
      <c r="P39" s="43" t="inlineStr"/>
      <c r="Q39" s="43" t="inlineStr"/>
      <c r="R39" s="25" t="inlineStr">
        <is>
          <t>قلّ مع الحجم — فالعمالة تُضبط فعلاً</t>
        </is>
      </c>
    </row>
    <row r="40" ht="26" customHeight="1">
      <c r="B40" s="100" t="inlineStr">
        <is>
          <t>فجوة العمولة عن المعياري</t>
        </is>
      </c>
      <c r="C40" s="101" t="n">
        <v>1208470</v>
      </c>
      <c r="D40" s="101" t="n">
        <v>1491687.996105088</v>
      </c>
      <c r="E40" s="102">
        <f>C40-D40</f>
        <v/>
      </c>
      <c r="F40" s="43" t="inlineStr"/>
      <c r="G40" s="43" t="inlineStr"/>
      <c r="H40" s="43" t="inlineStr"/>
      <c r="I40" s="43" t="inlineStr"/>
      <c r="J40" s="43" t="inlineStr"/>
      <c r="K40" s="43" t="inlineStr"/>
      <c r="L40" s="43" t="inlineStr"/>
      <c r="M40" s="43" t="inlineStr"/>
      <c r="N40" s="43" t="inlineStr"/>
      <c r="O40" s="43" t="inlineStr"/>
      <c r="P40" s="43" t="inlineStr"/>
      <c r="Q40" s="43" t="inlineStr"/>
      <c r="R40" s="103" t="inlineStr">
        <is>
          <t>حصّتنا الفعلية مقابل المعياري — والعمودان هنا ليسا ر١ و ر٢ بل الفعلي والمعياري للربع الثاني</t>
        </is>
      </c>
    </row>
    <row r="41" ht="30" customHeight="1">
      <c r="A41" s="38" t="inlineStr">
        <is>
          <t>وفجوة الربع -283,218 ريالاً × أربعة أرباع = -1,132,872 ريال في السنة — وهو الرقم المعروض في الملخص.</t>
        </is>
      </c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n"/>
    </row>
    <row r="42" ht="30" customHeight="1">
      <c r="A42" s="27" t="inlineStr">
        <is>
          <t>والقراءة الواحدة من الجدولين: الربع الثاني أضعف حجماً في أغلب المحطات، لكن الفارق الأكبر في صافينا ليس الحجم — هو بنود العقد. فمن يعالج هذا الربع بحملةٍ يعالج العَرَض.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</row>
  </sheetData>
  <autoFilter ref="B4:R30"/>
  <mergeCells count="6">
    <mergeCell ref="A41:R41"/>
    <mergeCell ref="A2:R2"/>
    <mergeCell ref="A42:R42"/>
    <mergeCell ref="A32:R32"/>
    <mergeCell ref="A1:R1"/>
    <mergeCell ref="A34:R34"/>
  </mergeCells>
  <conditionalFormatting sqref="F5:F30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I5:I30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Q5:Q30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L5:L30">
    <cfRule type="dataBar" priority="7">
      <dataBar showValue="1">
        <cfvo type="num" val="0"/>
        <cfvo type="max"/>
        <color rgb="002E8B6F"/>
      </dataBar>
    </cfRule>
  </conditionalFormatting>
  <conditionalFormatting sqref="E36:E39">
    <cfRule type="cellIs" priority="8" operator="lessThan" dxfId="0">
      <formula>0</formula>
    </cfRule>
    <cfRule type="cellIs" priority="9" operator="greaterThan" dxfId="1">
      <formula>0</formula>
    </cfRule>
  </conditionalFormatting>
  <printOptions horizontalCentered="1"/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92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3" customWidth="1" min="3" max="3"/>
    <col width="13" customWidth="1" min="4" max="4"/>
    <col width="13" customWidth="1" min="5" max="5"/>
    <col width="4" customWidth="1" min="6" max="6"/>
    <col width="12" customWidth="1" min="7" max="7"/>
    <col width="12" customWidth="1" min="8" max="8"/>
    <col width="12" customWidth="1" min="9" max="9"/>
    <col width="4" customWidth="1" min="10" max="10"/>
    <col width="28" customWidth="1" min="11" max="11"/>
  </cols>
  <sheetData>
    <row r="1" ht="26" customHeight="1">
      <c r="A1" s="1" t="inlineStr">
        <is>
          <t>MK007 · العمرة الجديدة — البيان اليومي الوحيد لدينا</t>
        </is>
      </c>
    </row>
    <row r="2" ht="16" customHeight="1">
      <c r="A2" s="2" t="inlineStr">
        <is>
          <t>كاش إن — تقرير محطة العمرة اليومي · 263 يوماً كاملاً (2026-01-01 → 2026-09-20) · 1,140,208 عملية · يوم 2026-09-21 ناقص فاستُبعد · وهي المحطة الوحيدة التي نملك لها بياناً بالساعة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46" customHeight="1">
      <c r="A4" s="104" t="inlineStr">
        <is>
          <t>الحكم أولاً: هذه المحطة ليست في انحدار. مقابل يناير هي +9.2٪ معاملةً و+0.1٪ لتراً، ووسيط نظائرها في مكة +1.1٪. أمّا الـ−٢٢٪ المتداولة فهي قياسٌ على ذروة مارس، وذروة مارس موسم لا خطَّ أساس. وما بقي بعد الفرز فجوةٌ واحدة: ساعات الذروة المسائية.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6" ht="22" customHeight="1">
      <c r="A6" s="18" t="inlineStr">
        <is>
          <t>① أي خط أساس تقيس عليه — هو ما يقرّر أترى أزمةً أم استواءً</t>
        </is>
      </c>
    </row>
    <row r="7" ht="30" customHeight="1">
      <c r="A7" s="19" t="inlineStr"/>
      <c r="B7" s="19" t="inlineStr">
        <is>
          <t>خط الأساس</t>
        </is>
      </c>
      <c r="C7" s="19" t="inlineStr">
        <is>
          <t>لتر/يوم</t>
        </is>
      </c>
      <c r="D7" s="19" t="inlineStr">
        <is>
          <t>معاملة/يوم</t>
        </is>
      </c>
      <c r="E7" s="19" t="inlineStr"/>
      <c r="F7" s="19" t="inlineStr"/>
      <c r="G7" s="19" t="inlineStr">
        <is>
          <t>الفرق لتراً</t>
        </is>
      </c>
      <c r="H7" s="19" t="inlineStr">
        <is>
          <t>الفرق معاملةً</t>
        </is>
      </c>
      <c r="I7" s="19" t="inlineStr"/>
      <c r="J7" s="19" t="inlineStr"/>
      <c r="K7" s="19" t="inlineStr">
        <is>
          <t>القراءة</t>
        </is>
      </c>
    </row>
    <row r="8">
      <c r="B8" s="20" t="inlineStr">
        <is>
          <t>يناير — قبل الموسم</t>
        </is>
      </c>
      <c r="C8" s="39" t="n">
        <v>137112.164516129</v>
      </c>
      <c r="D8" s="39" t="n">
        <v>4321.903225806452</v>
      </c>
      <c r="E8" s="43" t="inlineStr"/>
      <c r="F8" s="43" t="inlineStr"/>
      <c r="G8" s="41">
        <f>C10/C8-1</f>
        <v/>
      </c>
      <c r="H8" s="41">
        <f>D10/D8-1</f>
        <v/>
      </c>
      <c r="I8" s="43" t="inlineStr"/>
      <c r="J8" s="43" t="inlineStr"/>
      <c r="K8" s="25" t="inlineStr">
        <is>
          <t>لا أزمة — الحال اليوم كحال يناير</t>
        </is>
      </c>
    </row>
    <row r="9">
      <c r="B9" s="20" t="inlineStr">
        <is>
          <t>ذروة مارس ٣–١٦</t>
        </is>
      </c>
      <c r="C9" s="39" t="n">
        <v>160932.0428571429</v>
      </c>
      <c r="D9" s="39" t="n">
        <v>4735.785714285715</v>
      </c>
      <c r="E9" s="43" t="inlineStr"/>
      <c r="F9" s="43" t="inlineStr"/>
      <c r="G9" s="41">
        <f>C10/C9-1</f>
        <v/>
      </c>
      <c r="H9" s="41">
        <f>D10/D9-1</f>
        <v/>
      </c>
      <c r="I9" s="43" t="inlineStr"/>
      <c r="J9" s="43" t="inlineStr"/>
      <c r="K9" s="25" t="inlineStr">
        <is>
          <t>موسم لا خطَّ أساس — القياس عليه يصنع أزمةً ورقية</t>
        </is>
      </c>
    </row>
    <row r="10">
      <c r="B10" s="20" t="inlineStr">
        <is>
          <t>آخر أربعة عشر يوماً</t>
        </is>
      </c>
      <c r="C10" s="39" t="n">
        <v>137223.8928571429</v>
      </c>
      <c r="D10" s="39" t="n">
        <v>4719.428571428572</v>
      </c>
      <c r="E10" s="43" t="inlineStr"/>
      <c r="F10" s="43" t="inlineStr"/>
      <c r="G10" s="64" t="inlineStr">
        <is>
          <t>—</t>
        </is>
      </c>
      <c r="H10" s="64" t="inlineStr">
        <is>
          <t>—</t>
        </is>
      </c>
      <c r="I10" s="43" t="inlineStr"/>
      <c r="J10" s="43" t="inlineStr"/>
      <c r="K10" s="25" t="inlineStr">
        <is>
          <t>الحال اليوم</t>
        </is>
      </c>
    </row>
    <row r="11" ht="30" customHeight="1">
      <c r="A11" s="27" t="inlineStr">
        <is>
          <t>والانحدار نفسه ليس شكل منافسة: من القمة 2026-03-09 إلى القاع 2026-05-04 انزلاقٌ في 56 يوماً لا هبوطٌ في ليلة. ورافقه هبوط حصة الديزل من 39٪ إلى 25٪ — وحجم التعبئة يُفسَّر بالمزيج لا يُطالَب به.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</row>
    <row r="13" ht="22" customHeight="1">
      <c r="A13" s="18" t="inlineStr">
        <is>
          <t>① ب · رقمان مختلفان عمداً — ولا تناقض بينهما</t>
        </is>
      </c>
    </row>
    <row r="14" ht="30" customHeight="1">
      <c r="A14" s="19" t="inlineStr"/>
      <c r="B14" s="19" t="inlineStr">
        <is>
          <t>الرقم</t>
        </is>
      </c>
      <c r="C14" s="19" t="inlineStr">
        <is>
          <t>في ورقة المحطات والحاسبة</t>
        </is>
      </c>
      <c r="D14" s="19" t="inlineStr">
        <is>
          <t>في هذه الورقة</t>
        </is>
      </c>
      <c r="E14" s="19" t="inlineStr"/>
      <c r="F14" s="19" t="inlineStr"/>
      <c r="G14" s="19" t="inlineStr"/>
      <c r="H14" s="19" t="inlineStr"/>
      <c r="I14" s="19" t="inlineStr"/>
      <c r="J14" s="19" t="inlineStr"/>
      <c r="K14" s="19" t="inlineStr">
        <is>
          <t>لماذا يختلفان</t>
        </is>
      </c>
    </row>
    <row r="15" ht="26" customHeight="1">
      <c r="B15" s="20" t="inlineStr">
        <is>
          <t>النافذة المقيسة</t>
        </is>
      </c>
      <c r="C15" s="105" t="inlineStr">
        <is>
          <t>٢١٢ يوماً · يناير–يوليو</t>
        </is>
      </c>
      <c r="D15" s="106" t="inlineStr">
        <is>
          <t>82 يوماً · الربع الثالث</t>
        </is>
      </c>
      <c r="E15" s="43" t="inlineStr"/>
      <c r="F15" s="43" t="inlineStr"/>
      <c r="G15" s="43" t="inlineStr"/>
      <c r="H15" s="43" t="inlineStr"/>
      <c r="I15" s="43" t="inlineStr"/>
      <c r="J15" s="43" t="inlineStr"/>
      <c r="K15" s="25" t="inlineStr">
        <is>
          <t>ورقة المحطات تستعمل نافذة الشبكة كلها ليكون القياس واحداً عبر ٥٢ محطة</t>
        </is>
      </c>
    </row>
    <row r="16" ht="26" customHeight="1">
      <c r="B16" s="20" t="inlineStr">
        <is>
          <t>زيارة/يوم</t>
        </is>
      </c>
      <c r="C16" s="40" t="n">
        <v>4260.64</v>
      </c>
      <c r="D16" s="78" t="n">
        <v>4538.963414634146</v>
      </c>
      <c r="E16" s="43" t="inlineStr"/>
      <c r="F16" s="43" t="inlineStr"/>
      <c r="G16" s="43" t="inlineStr"/>
      <c r="H16" s="43" t="inlineStr"/>
      <c r="I16" s="43" t="inlineStr"/>
      <c r="J16" s="43" t="inlineStr"/>
      <c r="K16" s="25" t="inlineStr">
        <is>
          <t>المحطة تعافت، فالنافذة الأحدث أعلى حركةً</t>
        </is>
      </c>
    </row>
    <row r="17" ht="26" customHeight="1">
      <c r="B17" s="20" t="inlineStr">
        <is>
          <t>لتر لكل زيارة</t>
        </is>
      </c>
      <c r="C17" s="40" t="n">
        <v>30.562</v>
      </c>
      <c r="D17" s="78" t="n">
        <v>30.0950039629764</v>
      </c>
      <c r="E17" s="43" t="inlineStr"/>
      <c r="F17" s="43" t="inlineStr"/>
      <c r="G17" s="43" t="inlineStr"/>
      <c r="H17" s="43" t="inlineStr"/>
      <c r="I17" s="43" t="inlineStr"/>
      <c r="J17" s="43" t="inlineStr"/>
      <c r="K17" s="25" t="inlineStr">
        <is>
          <t>وأقلّ سلّةً — لأن حصة الديزل لم تعُد إلى مستوى الربع الأول</t>
        </is>
      </c>
    </row>
    <row r="18" ht="26" customHeight="1">
      <c r="B18" s="20" t="inlineStr">
        <is>
          <t>فجوة ساعات الذروة</t>
        </is>
      </c>
      <c r="C18" s="40" t="n">
        <v>90.90000000000001</v>
      </c>
      <c r="D18" s="78" t="n">
        <v>64.67146697296862</v>
      </c>
      <c r="E18" s="43" t="inlineStr"/>
      <c r="F18" s="43" t="inlineStr"/>
      <c r="G18" s="43" t="inlineStr"/>
      <c r="H18" s="43" t="inlineStr"/>
      <c r="I18" s="43" t="inlineStr"/>
      <c r="J18" s="43" t="inlineStr"/>
      <c r="K18" s="25" t="inlineStr">
        <is>
          <t>والفجوة الأحدث أصغر لأن التعافي أغلق جزءاً منها فعلاً</t>
        </is>
      </c>
    </row>
    <row r="19" ht="30" customHeight="1">
      <c r="A19" s="107" t="inlineStr">
        <is>
          <t>فمن يخطّط للشبكة يستعمل ورقة المحطات — نافذتها واحدة لكل محطة. ومن يخطّط لهذه المحطة وحدها يستعمل هذه الورقة — نافذتها أحدث. والرقم الأصغر هنا ليس تحفّظاً: هو ما بقي من الفجوة بعد التعافي.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1" ht="22" customHeight="1">
      <c r="A21" s="18" t="inlineStr">
        <is>
          <t>② الأرباع — معدّلات يومية، فالأرباع غير متساوية الطول</t>
        </is>
      </c>
    </row>
    <row r="22" ht="30" customHeight="1">
      <c r="A22" s="19" t="inlineStr"/>
      <c r="B22" s="19" t="inlineStr">
        <is>
          <t>المقياس</t>
        </is>
      </c>
      <c r="C22" s="19" t="inlineStr">
        <is>
          <t>الربع الأول</t>
        </is>
      </c>
      <c r="D22" s="19" t="inlineStr">
        <is>
          <t>الربع الثاني</t>
        </is>
      </c>
      <c r="E22" s="19" t="inlineStr">
        <is>
          <t>الربع الثالث</t>
        </is>
      </c>
      <c r="F22" s="19" t="inlineStr"/>
      <c r="G22" s="19" t="inlineStr">
        <is>
          <t>ر١←ر٢</t>
        </is>
      </c>
      <c r="H22" s="19" t="inlineStr">
        <is>
          <t>ر٢←ر٣</t>
        </is>
      </c>
      <c r="I22" s="19" t="inlineStr">
        <is>
          <t>ر١←ر٣</t>
        </is>
      </c>
      <c r="J22" s="19" t="inlineStr"/>
      <c r="K22" s="19" t="inlineStr">
        <is>
          <t>القراءة</t>
        </is>
      </c>
    </row>
    <row r="23">
      <c r="B23" s="20" t="inlineStr">
        <is>
          <t>أيام مقيسة</t>
        </is>
      </c>
      <c r="C23" s="39" t="n">
        <v>90</v>
      </c>
      <c r="D23" s="39" t="n">
        <v>91</v>
      </c>
      <c r="E23" s="39" t="n">
        <v>82</v>
      </c>
      <c r="F23" s="43" t="inlineStr"/>
      <c r="G23" s="97" t="inlineStr">
        <is>
          <t>—</t>
        </is>
      </c>
      <c r="H23" s="97" t="inlineStr">
        <is>
          <t>—</t>
        </is>
      </c>
      <c r="I23" s="97" t="inlineStr">
        <is>
          <t>—</t>
        </is>
      </c>
      <c r="J23" s="43" t="inlineStr"/>
      <c r="K23" s="25" t="inlineStr">
        <is>
          <t>—</t>
        </is>
      </c>
    </row>
    <row r="24">
      <c r="B24" s="20" t="inlineStr">
        <is>
          <t>معاملات/يوم</t>
        </is>
      </c>
      <c r="C24" s="39" t="n">
        <v>4560.366666666667</v>
      </c>
      <c r="D24" s="39" t="n">
        <v>3914.43956043956</v>
      </c>
      <c r="E24" s="39" t="n">
        <v>4538.963414634146</v>
      </c>
      <c r="F24" s="43" t="inlineStr"/>
      <c r="G24" s="41">
        <f>D24/C24-1</f>
        <v/>
      </c>
      <c r="H24" s="41">
        <f>E24/D24-1</f>
        <v/>
      </c>
      <c r="I24" s="41">
        <f>E24/C24-1</f>
        <v/>
      </c>
      <c r="J24" s="43" t="inlineStr"/>
      <c r="K24" s="25" t="inlineStr">
        <is>
          <t>عادت فوق مستوى الربع الأول</t>
        </is>
      </c>
    </row>
    <row r="25">
      <c r="B25" s="20" t="inlineStr">
        <is>
          <t>لترات/يوم</t>
        </is>
      </c>
      <c r="C25" s="39" t="n">
        <v>148118.0188888889</v>
      </c>
      <c r="D25" s="39" t="n">
        <v>111676.9912087912</v>
      </c>
      <c r="E25" s="39" t="n">
        <v>136600.1219512195</v>
      </c>
      <c r="F25" s="43" t="inlineStr"/>
      <c r="G25" s="41">
        <f>D25/C25-1</f>
        <v/>
      </c>
      <c r="H25" s="41">
        <f>E25/D25-1</f>
        <v/>
      </c>
      <c r="I25" s="41">
        <f>E25/C25-1</f>
        <v/>
      </c>
      <c r="J25" s="43" t="inlineStr"/>
      <c r="K25" s="25" t="inlineStr">
        <is>
          <t>دونه قليلاً — والفارق مزيج لا حركة</t>
        </is>
      </c>
    </row>
    <row r="26">
      <c r="B26" s="20" t="inlineStr">
        <is>
          <t>مبيعات/يوم</t>
        </is>
      </c>
      <c r="C26" s="67" t="n">
        <v>308601.0783333333</v>
      </c>
      <c r="D26" s="67" t="n">
        <v>239741.4638461539</v>
      </c>
      <c r="E26" s="67" t="n">
        <v>288090.3807317073</v>
      </c>
      <c r="F26" s="43" t="inlineStr"/>
      <c r="G26" s="41">
        <f>D26/C26-1</f>
        <v/>
      </c>
      <c r="H26" s="41">
        <f>E26/D26-1</f>
        <v/>
      </c>
      <c r="I26" s="41">
        <f>E26/C26-1</f>
        <v/>
      </c>
      <c r="J26" s="43" t="inlineStr"/>
      <c r="K26" s="25" t="inlineStr"/>
    </row>
    <row r="27">
      <c r="B27" s="20" t="inlineStr">
        <is>
          <t>لتر لكل معاملة</t>
        </is>
      </c>
      <c r="C27" s="40" t="n">
        <v>32.4794100376919</v>
      </c>
      <c r="D27" s="40" t="n">
        <v>28.52949687547374</v>
      </c>
      <c r="E27" s="40" t="n">
        <v>30.0950039629764</v>
      </c>
      <c r="F27" s="43" t="inlineStr"/>
      <c r="G27" s="41">
        <f>D27/C27-1</f>
        <v/>
      </c>
      <c r="H27" s="41">
        <f>E27/D27-1</f>
        <v/>
      </c>
      <c r="I27" s="41">
        <f>E27/C27-1</f>
        <v/>
      </c>
      <c r="J27" s="43" t="inlineStr"/>
      <c r="K27" s="25" t="inlineStr">
        <is>
          <t>يتحرّك مع حصة الديزل لا مع سلوك العميل</t>
        </is>
      </c>
    </row>
    <row r="28">
      <c r="B28" s="20" t="inlineStr">
        <is>
          <t>متوسط الفاتورة</t>
        </is>
      </c>
      <c r="C28" s="77" t="n">
        <v>67.67023375313387</v>
      </c>
      <c r="D28" s="77" t="n">
        <v>61.24541205567441</v>
      </c>
      <c r="E28" s="77" t="n">
        <v>63.4705227636051</v>
      </c>
      <c r="F28" s="43" t="inlineStr"/>
      <c r="G28" s="41">
        <f>D28/C28-1</f>
        <v/>
      </c>
      <c r="H28" s="41">
        <f>E28/D28-1</f>
        <v/>
      </c>
      <c r="I28" s="41">
        <f>E28/C28-1</f>
        <v/>
      </c>
      <c r="J28" s="43" t="inlineStr"/>
      <c r="K28" s="25" t="inlineStr"/>
    </row>
    <row r="29">
      <c r="B29" s="20" t="inlineStr">
        <is>
          <t>حصة الديزل من اللترات</t>
        </is>
      </c>
      <c r="C29" s="41" t="n">
        <v>0.386440753922227</v>
      </c>
      <c r="D29" s="41" t="n">
        <v>0.2538285307168547</v>
      </c>
      <c r="E29" s="41" t="n">
        <v>0.3325585807247609</v>
      </c>
      <c r="F29" s="43" t="inlineStr"/>
      <c r="G29" s="108">
        <f>D29-C29</f>
        <v/>
      </c>
      <c r="H29" s="108">
        <f>E29-D29</f>
        <v/>
      </c>
      <c r="I29" s="108">
        <f>E29-C29</f>
        <v/>
      </c>
      <c r="J29" s="43" t="inlineStr"/>
      <c r="K29" s="25" t="inlineStr">
        <is>
          <t>المتغيّر الأكبر — وسلّة الديزل ضعف البنزين</t>
        </is>
      </c>
    </row>
    <row r="30">
      <c r="B30" s="20" t="inlineStr">
        <is>
          <t>فواتير ٦٠ ريالاً فأكثر</t>
        </is>
      </c>
      <c r="C30" s="41" t="n">
        <v>0.4111121669066571</v>
      </c>
      <c r="D30" s="41" t="n">
        <v>0.3762176669080946</v>
      </c>
      <c r="E30" s="41" t="n">
        <v>0.3898171657330163</v>
      </c>
      <c r="F30" s="43" t="inlineStr"/>
      <c r="G30" s="108">
        <f>D30-C30</f>
        <v/>
      </c>
      <c r="H30" s="108">
        <f>E30-D30</f>
        <v/>
      </c>
      <c r="I30" s="108">
        <f>E30-C30</f>
        <v/>
      </c>
      <c r="J30" s="43" t="inlineStr"/>
      <c r="K30" s="25" t="inlineStr"/>
    </row>
    <row r="31">
      <c r="B31" s="20" t="inlineStr">
        <is>
          <t>حصة النقدي من المبيعات</t>
        </is>
      </c>
      <c r="C31" s="41" t="n">
        <v>0.5814760804258082</v>
      </c>
      <c r="D31" s="41" t="n">
        <v>0.4062422278197364</v>
      </c>
      <c r="E31" s="41" t="n">
        <v>0.4531928450255374</v>
      </c>
      <c r="F31" s="43" t="inlineStr"/>
      <c r="G31" s="108">
        <f>D31-C31</f>
        <v/>
      </c>
      <c r="H31" s="108">
        <f>E31-D31</f>
        <v/>
      </c>
      <c r="I31" s="108">
        <f>E31-C31</f>
        <v/>
      </c>
      <c r="J31" s="43" t="inlineStr"/>
      <c r="K31" s="25" t="inlineStr">
        <is>
          <t>هبطت ١٣ نقطة في أبريل ولم تعُد — تغيّر قنوات لا تغيّر عميل</t>
        </is>
      </c>
    </row>
    <row r="32">
      <c r="B32" s="20" t="inlineStr">
        <is>
          <t>حصة الوردية المسائية</t>
        </is>
      </c>
      <c r="C32" s="41" t="n">
        <v>0.5907785192711112</v>
      </c>
      <c r="D32" s="41" t="n">
        <v>0.6088671416620346</v>
      </c>
      <c r="E32" s="41" t="n">
        <v>0.6050269348056798</v>
      </c>
      <c r="F32" s="43" t="inlineStr"/>
      <c r="G32" s="108">
        <f>D32-C32</f>
        <v/>
      </c>
      <c r="H32" s="108">
        <f>E32-D32</f>
        <v/>
      </c>
      <c r="I32" s="108">
        <f>E32-C32</f>
        <v/>
      </c>
      <c r="J32" s="43" t="inlineStr"/>
      <c r="K32" s="25" t="inlineStr">
        <is>
          <t>ثابتة نحو ٦٠٪ في الأرباع الثلاثة</t>
        </is>
      </c>
    </row>
    <row r="33">
      <c r="B33" s="20" t="inlineStr">
        <is>
          <t>زمن الخدمة</t>
        </is>
      </c>
      <c r="C33" s="109" t="n">
        <v>101.1478095084947</v>
      </c>
      <c r="D33" s="109" t="n">
        <v>97.81517795482492</v>
      </c>
      <c r="E33" s="109" t="n">
        <v>106.2012098496756</v>
      </c>
      <c r="F33" s="43" t="inlineStr"/>
      <c r="G33" s="41">
        <f>D33/C33-1</f>
        <v/>
      </c>
      <c r="H33" s="41">
        <f>E33/D33-1</f>
        <v/>
      </c>
      <c r="I33" s="41">
        <f>E33/C33-1</f>
        <v/>
      </c>
      <c r="J33" s="43" t="inlineStr"/>
      <c r="K33" s="25" t="inlineStr">
        <is>
          <t>ارتفع في الربع الثالث مع ارتفاع الحركة</t>
        </is>
      </c>
    </row>
    <row r="34" ht="30" customHeight="1">
      <c r="A34" s="110" t="inlineStr">
        <is>
          <t>وأعمدة الفرق تُقرأ بحسب سطرها: صفوف الأعداد (معاملات · لترات · مبيعات · لتر لكل معاملة) فرقُها نسبةٌ مئوية، وصفوف النسب (ديزل · نقدي · مسائية · ٦٠ فأكثر) فرقُها نقاطٌ مئوية.</t>
        </is>
      </c>
      <c r="B34" s="111" t="n"/>
      <c r="C34" s="111" t="n"/>
      <c r="D34" s="111" t="n"/>
      <c r="E34" s="111" t="n"/>
      <c r="F34" s="111" t="n"/>
      <c r="G34" s="111" t="n"/>
      <c r="H34" s="111" t="n"/>
      <c r="I34" s="111" t="n"/>
      <c r="J34" s="111" t="n"/>
      <c r="K34" s="111" t="n"/>
    </row>
    <row r="35" ht="30" customHeight="1">
      <c r="A35" s="27" t="inlineStr">
        <is>
          <t>اقرأ السطرين معاً: المعاملات ر١←ر٣ موجبة واللترات سالبة. أي أن عدد العملاء لم ينقص — نقصت لترات الفاتورة، ونقصت لأن الديزل نقص. ومن يبني حملةً على «تراجع المبيعات» هنا يبيع لعميلٍ لم يذهب أصلاً.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</row>
    <row r="37" ht="22" customHeight="1">
      <c r="A37" s="18" t="inlineStr">
        <is>
          <t>③ المنتجات — أين تحرّك المزيج بالضبط</t>
        </is>
      </c>
    </row>
    <row r="38" ht="30" customHeight="1">
      <c r="A38" s="19" t="inlineStr"/>
      <c r="B38" s="19" t="inlineStr">
        <is>
          <t>المنتج</t>
        </is>
      </c>
      <c r="C38" s="19" t="inlineStr">
        <is>
          <t>ر١ لتر/يوم</t>
        </is>
      </c>
      <c r="D38" s="19" t="inlineStr">
        <is>
          <t>ر٢ لتر/يوم</t>
        </is>
      </c>
      <c r="E38" s="19" t="inlineStr">
        <is>
          <t>ر٣ لتر/يوم</t>
        </is>
      </c>
      <c r="F38" s="19" t="inlineStr"/>
      <c r="G38" s="19" t="inlineStr">
        <is>
          <t>حصة ر١</t>
        </is>
      </c>
      <c r="H38" s="19" t="inlineStr">
        <is>
          <t>حصة ر٣</t>
        </is>
      </c>
      <c r="I38" s="19" t="inlineStr">
        <is>
          <t>الفرق</t>
        </is>
      </c>
      <c r="J38" s="19" t="inlineStr"/>
      <c r="K38" s="19" t="inlineStr">
        <is>
          <t>لتر/معاملة ر٣</t>
        </is>
      </c>
    </row>
    <row r="39">
      <c r="B39" s="20" t="inlineStr">
        <is>
          <t>بنزين ٩١</t>
        </is>
      </c>
      <c r="C39" s="39" t="n">
        <v>47431.27666666665</v>
      </c>
      <c r="D39" s="39" t="n">
        <v>42009.22747252747</v>
      </c>
      <c r="E39" s="39" t="n">
        <v>47018.93658536587</v>
      </c>
      <c r="F39" s="43" t="inlineStr"/>
      <c r="G39" s="41" t="n">
        <v>0.3202262427115458</v>
      </c>
      <c r="H39" s="41" t="n">
        <v>0.3442085988924412</v>
      </c>
      <c r="I39" s="108">
        <f>H39-G39</f>
        <v/>
      </c>
      <c r="J39" s="43" t="inlineStr"/>
      <c r="K39" s="40" t="n">
        <v>22.14943873154479</v>
      </c>
    </row>
    <row r="40">
      <c r="B40" s="20" t="inlineStr">
        <is>
          <t>بنزين ٩٥</t>
        </is>
      </c>
      <c r="C40" s="39" t="n">
        <v>43447.91777777777</v>
      </c>
      <c r="D40" s="39" t="n">
        <v>41320.96153846153</v>
      </c>
      <c r="E40" s="39" t="n">
        <v>44153.64390243904</v>
      </c>
      <c r="F40" s="43" t="inlineStr"/>
      <c r="G40" s="41" t="n">
        <v>0.2933331008860599</v>
      </c>
      <c r="H40" s="41" t="n">
        <v>0.3232328293104049</v>
      </c>
      <c r="I40" s="108">
        <f>H40-G40</f>
        <v/>
      </c>
      <c r="J40" s="43" t="inlineStr"/>
      <c r="K40" s="40" t="n">
        <v>26.81547634036692</v>
      </c>
    </row>
    <row r="41">
      <c r="B41" s="20" t="inlineStr">
        <is>
          <t>ديزل</t>
        </is>
      </c>
      <c r="C41" s="39" t="n">
        <v>57238.83888888888</v>
      </c>
      <c r="D41" s="39" t="n">
        <v>28346.80659340658</v>
      </c>
      <c r="E41" s="39" t="n">
        <v>45427.54268292683</v>
      </c>
      <c r="F41" s="43" t="inlineStr"/>
      <c r="G41" s="41" t="n">
        <v>0.386440753922227</v>
      </c>
      <c r="H41" s="41" t="n">
        <v>0.3325585807247609</v>
      </c>
      <c r="I41" s="108">
        <f>H41-G41</f>
        <v/>
      </c>
      <c r="J41" s="43" t="inlineStr"/>
      <c r="K41" s="40" t="n">
        <v>59.0285947453491</v>
      </c>
    </row>
    <row r="42">
      <c r="B42" s="44" t="inlineStr">
        <is>
          <t>الإجمالي</t>
        </is>
      </c>
      <c r="C42" s="45">
        <f>SUM(C39:C41)</f>
        <v/>
      </c>
      <c r="D42" s="45">
        <f>SUM(D39:D41)</f>
        <v/>
      </c>
      <c r="E42" s="45">
        <f>SUM(E39:E41)</f>
        <v/>
      </c>
      <c r="F42" s="43" t="inlineStr"/>
      <c r="G42" s="98">
        <f>SUM(G39:G41)</f>
        <v/>
      </c>
      <c r="H42" s="98">
        <f>SUM(H39:H41)</f>
        <v/>
      </c>
      <c r="I42" s="46" t="inlineStr"/>
      <c r="J42" s="43" t="inlineStr"/>
      <c r="K42" s="112" t="n">
        <v>30.0950039629764</v>
      </c>
    </row>
    <row r="43" ht="30" customHeight="1">
      <c r="A43" s="27" t="inlineStr">
        <is>
          <t>سلّة الديزل 59.0 لتراً مقابل 22.1 للبنزين ٩١ — فنقطةٌ واحدة من حصة الديزل تُحرّك لتر الفاتورة أكثر مما يُحرّكه أي عرضٍ تسويقي.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</row>
    <row r="45" ht="22" customHeight="1">
      <c r="A45" s="18" t="inlineStr">
        <is>
          <t>④ قنوات الدفع — ما تغيّر في أبريل ليس عميلاً بل نظاماً</t>
        </is>
      </c>
    </row>
    <row r="46" ht="30" customHeight="1">
      <c r="A46" s="19" t="inlineStr"/>
      <c r="B46" s="19" t="inlineStr">
        <is>
          <t>القناة</t>
        </is>
      </c>
      <c r="C46" s="19" t="inlineStr">
        <is>
          <t>أول ظهور</t>
        </is>
      </c>
      <c r="D46" s="19" t="inlineStr">
        <is>
          <t>آخر ظهور</t>
        </is>
      </c>
      <c r="E46" s="19" t="inlineStr">
        <is>
          <t>أيام</t>
        </is>
      </c>
      <c r="F46" s="19" t="inlineStr"/>
      <c r="G46" s="19" t="inlineStr">
        <is>
          <t>حصة ر١</t>
        </is>
      </c>
      <c r="H46" s="19" t="inlineStr">
        <is>
          <t>حصة ر٢</t>
        </is>
      </c>
      <c r="I46" s="19" t="inlineStr">
        <is>
          <t>حصة ر٣</t>
        </is>
      </c>
      <c r="J46" s="19" t="inlineStr"/>
      <c r="K46" s="19" t="inlineStr">
        <is>
          <t>القراءة</t>
        </is>
      </c>
    </row>
    <row r="47">
      <c r="B47" s="20" t="inlineStr">
        <is>
          <t>نقدي</t>
        </is>
      </c>
      <c r="C47" s="105" t="inlineStr">
        <is>
          <t>2026-01-01</t>
        </is>
      </c>
      <c r="D47" s="105" t="inlineStr">
        <is>
          <t>2026-09-20</t>
        </is>
      </c>
      <c r="E47" s="39" t="n">
        <v>263</v>
      </c>
      <c r="F47" s="43" t="inlineStr"/>
      <c r="G47" s="113" t="n">
        <v>0.5814760804258082</v>
      </c>
      <c r="H47" s="113" t="n">
        <v>0.4062422278197364</v>
      </c>
      <c r="I47" s="113" t="n">
        <v>0.4531928450255374</v>
      </c>
      <c r="J47" s="43" t="inlineStr"/>
      <c r="K47" s="25" t="inlineStr">
        <is>
          <t>هبطت ١٣ نقطة ولم تعُد</t>
        </is>
      </c>
    </row>
    <row r="48">
      <c r="B48" s="20" t="inlineStr">
        <is>
          <t>بطاقة</t>
        </is>
      </c>
      <c r="C48" s="105" t="inlineStr">
        <is>
          <t>2026-01-01</t>
        </is>
      </c>
      <c r="D48" s="105" t="inlineStr">
        <is>
          <t>2026-09-20</t>
        </is>
      </c>
      <c r="E48" s="39" t="n">
        <v>263</v>
      </c>
      <c r="F48" s="43" t="inlineStr"/>
      <c r="G48" s="113" t="n">
        <v>0.3834233210472635</v>
      </c>
      <c r="H48" s="113" t="n">
        <v>0.52604954978422</v>
      </c>
      <c r="I48" s="113" t="n">
        <v>0.4655838514417563</v>
      </c>
      <c r="J48" s="43" t="inlineStr"/>
      <c r="K48" s="25" t="inlineStr">
        <is>
          <t>استقبلت جزءاً من الهبوط</t>
        </is>
      </c>
    </row>
    <row r="49">
      <c r="B49" s="20" t="inlineStr">
        <is>
          <t>شبكة</t>
        </is>
      </c>
      <c r="C49" s="105" t="inlineStr">
        <is>
          <t>2026-01-11</t>
        </is>
      </c>
      <c r="D49" s="105" t="inlineStr">
        <is>
          <t>2026-09-20</t>
        </is>
      </c>
      <c r="E49" s="39" t="n">
        <v>168</v>
      </c>
      <c r="F49" s="43" t="inlineStr"/>
      <c r="G49" s="113" t="n">
        <v>1.767438196519156e-05</v>
      </c>
      <c r="H49" s="113" t="n">
        <v>0.04628430132956397</v>
      </c>
      <c r="I49" s="113" t="n">
        <v>0.05298231311066346</v>
      </c>
      <c r="J49" s="43" t="inlineStr"/>
      <c r="K49" s="25" t="inlineStr">
        <is>
          <t>قناةٌ جديدة بدأت ١١ يناير واتسعت في أبريل</t>
        </is>
      </c>
    </row>
    <row r="50">
      <c r="B50" s="20" t="inlineStr">
        <is>
          <t>سيارة</t>
        </is>
      </c>
      <c r="C50" s="105" t="inlineStr">
        <is>
          <t>2026-04-08</t>
        </is>
      </c>
      <c r="D50" s="105" t="inlineStr">
        <is>
          <t>2026-09-20</t>
        </is>
      </c>
      <c r="E50" s="39" t="n">
        <v>166</v>
      </c>
      <c r="F50" s="43" t="inlineStr"/>
      <c r="G50" s="113" t="n">
        <v>0</v>
      </c>
      <c r="H50" s="113" t="n">
        <v>0.01923220293038372</v>
      </c>
      <c r="I50" s="113" t="n">
        <v>0.02819166689339796</v>
      </c>
      <c r="J50" s="43" t="inlineStr"/>
      <c r="K50" s="25" t="inlineStr">
        <is>
          <t>قناةٌ جديدة بدأت ٨ أبريل</t>
        </is>
      </c>
    </row>
    <row r="51">
      <c r="B51" s="20" t="inlineStr">
        <is>
          <t>بترومين</t>
        </is>
      </c>
      <c r="C51" s="105" t="inlineStr">
        <is>
          <t>2026-01-01</t>
        </is>
      </c>
      <c r="D51" s="105" t="inlineStr">
        <is>
          <t>2026-09-09</t>
        </is>
      </c>
      <c r="E51" s="39" t="n">
        <v>108</v>
      </c>
      <c r="F51" s="43" t="inlineStr"/>
      <c r="G51" s="113" t="n">
        <v>0.03503428566006253</v>
      </c>
      <c r="H51" s="113" t="n">
        <v>0.002146313913769383</v>
      </c>
      <c r="I51" s="113" t="n">
        <v>1.379013373497039e-05</v>
      </c>
      <c r="J51" s="43" t="inlineStr"/>
      <c r="K51" s="25" t="inlineStr">
        <is>
          <t>توقّفت تقريباً في أبريل</t>
        </is>
      </c>
    </row>
    <row r="52">
      <c r="B52" s="20" t="inlineStr">
        <is>
          <t>أخرى</t>
        </is>
      </c>
      <c r="C52" s="105" t="inlineStr">
        <is>
          <t>2026-01-11</t>
        </is>
      </c>
      <c r="D52" s="105" t="inlineStr">
        <is>
          <t>2026-09-16</t>
        </is>
      </c>
      <c r="E52" s="39" t="n">
        <v>23</v>
      </c>
      <c r="F52" s="43" t="inlineStr"/>
      <c r="G52" s="113" t="n">
        <v>6.120811045412547e-06</v>
      </c>
      <c r="H52" s="113" t="n">
        <v>4.027002859459885e-05</v>
      </c>
      <c r="I52" s="113" t="n">
        <v>3.553339490993291e-05</v>
      </c>
      <c r="J52" s="43" t="inlineStr"/>
      <c r="K52" s="25" t="inlineStr">
        <is>
          <t>غير معروف — وهو ضئيل هنا</t>
        </is>
      </c>
    </row>
    <row r="53">
      <c r="B53" s="20" t="inlineStr">
        <is>
          <t>بطاقة ذكية</t>
        </is>
      </c>
      <c r="C53" s="105" t="inlineStr">
        <is>
          <t>2026-01-02</t>
        </is>
      </c>
      <c r="D53" s="105" t="inlineStr">
        <is>
          <t>2026-04-27</t>
        </is>
      </c>
      <c r="E53" s="39" t="n">
        <v>21</v>
      </c>
      <c r="F53" s="43" t="inlineStr"/>
      <c r="G53" s="113" t="n">
        <v>4.251767385539543e-05</v>
      </c>
      <c r="H53" s="113" t="n">
        <v>5.134193731581603e-06</v>
      </c>
      <c r="I53" s="113" t="n">
        <v>0</v>
      </c>
      <c r="J53" s="43" t="inlineStr"/>
      <c r="K53" s="25" t="inlineStr">
        <is>
          <t>انتهت ٢٧ أبريل</t>
        </is>
      </c>
    </row>
    <row r="54" ht="30" customHeight="1">
      <c r="A54" s="38" t="inlineStr">
        <is>
          <t>⛔ بوابة: ثلاث قنوات دخلت أو خرجت داخل الربع الثاني نفسه. فأي مقارنة ربعية لا توثّق هذا التغيير تنسب أثر النظام إلى البيع.</t>
        </is>
      </c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</row>
    <row r="56" ht="22" customHeight="1">
      <c r="A56" s="18" t="inlineStr">
        <is>
          <t>⑤ الأشهر — الانزلاق والتعافي في صورة واحدة</t>
        </is>
      </c>
    </row>
    <row r="57" ht="30" customHeight="1">
      <c r="A57" s="19" t="inlineStr"/>
      <c r="B57" s="19" t="inlineStr">
        <is>
          <t>الشهر</t>
        </is>
      </c>
      <c r="C57" s="19" t="inlineStr">
        <is>
          <t>أيام</t>
        </is>
      </c>
      <c r="D57" s="19" t="inlineStr">
        <is>
          <t>معاملات/يوم</t>
        </is>
      </c>
      <c r="E57" s="19" t="inlineStr">
        <is>
          <t>لترات/يوم</t>
        </is>
      </c>
      <c r="F57" s="19" t="inlineStr"/>
      <c r="G57" s="19" t="inlineStr">
        <is>
          <t>لتر/معاملة</t>
        </is>
      </c>
      <c r="H57" s="19" t="inlineStr">
        <is>
          <t>ديزل٪</t>
        </is>
      </c>
      <c r="I57" s="19" t="inlineStr">
        <is>
          <t>نقدي٪</t>
        </is>
      </c>
      <c r="J57" s="19" t="inlineStr"/>
      <c r="K57" s="19" t="inlineStr">
        <is>
          <t>مبيعات/يوم</t>
        </is>
      </c>
    </row>
    <row r="58">
      <c r="B58" s="20" t="inlineStr">
        <is>
          <t>يناير</t>
        </is>
      </c>
      <c r="C58" s="39" t="n">
        <v>31</v>
      </c>
      <c r="D58" s="39" t="n">
        <v>4321.903225806452</v>
      </c>
      <c r="E58" s="39" t="n">
        <v>137112.164516129</v>
      </c>
      <c r="F58" s="43" t="inlineStr"/>
      <c r="G58" s="40" t="n">
        <v>31.72495017875935</v>
      </c>
      <c r="H58" s="41" t="n">
        <v>0.3739636428108269</v>
      </c>
      <c r="I58" s="41" t="n">
        <v>0.5934393585756172</v>
      </c>
      <c r="J58" s="43" t="inlineStr"/>
      <c r="K58" s="67" t="n">
        <v>286490.6932258064</v>
      </c>
    </row>
    <row r="59">
      <c r="B59" s="20" t="inlineStr">
        <is>
          <t>فبراير</t>
        </is>
      </c>
      <c r="C59" s="39" t="n">
        <v>28</v>
      </c>
      <c r="D59" s="39" t="n">
        <v>4632.464285714285</v>
      </c>
      <c r="E59" s="39" t="n">
        <v>148849.9071428572</v>
      </c>
      <c r="F59" s="43" t="inlineStr"/>
      <c r="G59" s="40" t="n">
        <v>32.13190603581864</v>
      </c>
      <c r="H59" s="41" t="n">
        <v>0.3884293176055053</v>
      </c>
      <c r="I59" s="41" t="n">
        <v>0.5651622596107529</v>
      </c>
      <c r="J59" s="43" t="inlineStr"/>
      <c r="K59" s="67" t="n">
        <v>310002.7796428571</v>
      </c>
    </row>
    <row r="60">
      <c r="B60" s="20" t="inlineStr">
        <is>
          <t>مارس</t>
        </is>
      </c>
      <c r="C60" s="39" t="n">
        <v>31</v>
      </c>
      <c r="D60" s="39" t="n">
        <v>4733.709677419355</v>
      </c>
      <c r="E60" s="39" t="n">
        <v>158462.8129032258</v>
      </c>
      <c r="F60" s="43" t="inlineStr"/>
      <c r="G60" s="40" t="n">
        <v>33.47539745817576</v>
      </c>
      <c r="H60" s="41" t="n">
        <v>0.3955495857458934</v>
      </c>
      <c r="I60" s="41" t="n">
        <v>0.5849380893024999</v>
      </c>
      <c r="J60" s="43" t="inlineStr"/>
      <c r="K60" s="67" t="n">
        <v>329445.4106451612</v>
      </c>
    </row>
    <row r="61">
      <c r="B61" s="20" t="inlineStr">
        <is>
          <t>أبريل</t>
        </is>
      </c>
      <c r="C61" s="39" t="n">
        <v>30</v>
      </c>
      <c r="D61" s="39" t="n">
        <v>4177.366666666667</v>
      </c>
      <c r="E61" s="39" t="n">
        <v>120074.0533333333</v>
      </c>
      <c r="F61" s="43" t="inlineStr"/>
      <c r="G61" s="40" t="n">
        <v>28.74395831504696</v>
      </c>
      <c r="H61" s="41" t="n">
        <v>0.243336972939144</v>
      </c>
      <c r="I61" s="41" t="n">
        <v>0.4364660525942879</v>
      </c>
      <c r="J61" s="43" t="inlineStr"/>
      <c r="K61" s="67" t="n">
        <v>258406.781</v>
      </c>
    </row>
    <row r="62">
      <c r="B62" s="20" t="inlineStr">
        <is>
          <t>مايو</t>
        </is>
      </c>
      <c r="C62" s="39" t="n">
        <v>31</v>
      </c>
      <c r="D62" s="39" t="n">
        <v>3459.677419354839</v>
      </c>
      <c r="E62" s="39" t="n">
        <v>100891.6516129032</v>
      </c>
      <c r="F62" s="43" t="inlineStr"/>
      <c r="G62" s="40" t="n">
        <v>29.16215571095571</v>
      </c>
      <c r="H62" s="41" t="n">
        <v>0.2490550386662</v>
      </c>
      <c r="I62" s="41" t="n">
        <v>0.3387063852562681</v>
      </c>
      <c r="J62" s="43" t="inlineStr"/>
      <c r="K62" s="67" t="n">
        <v>216869.5183870967</v>
      </c>
    </row>
    <row r="63">
      <c r="B63" s="20" t="inlineStr">
        <is>
          <t>يونيو</t>
        </is>
      </c>
      <c r="C63" s="39" t="n">
        <v>30</v>
      </c>
      <c r="D63" s="39" t="n">
        <v>4121.433333333333</v>
      </c>
      <c r="E63" s="39" t="n">
        <v>114424.78</v>
      </c>
      <c r="F63" s="43" t="inlineStr"/>
      <c r="G63" s="40" t="n">
        <v>27.76334608509984</v>
      </c>
      <c r="H63" s="41" t="n">
        <v>0.2691872920067374</v>
      </c>
      <c r="I63" s="41" t="n">
        <v>0.4361740868618885</v>
      </c>
      <c r="J63" s="43" t="inlineStr"/>
      <c r="K63" s="67" t="n">
        <v>244710.4903333333</v>
      </c>
    </row>
    <row r="64">
      <c r="B64" s="20" t="inlineStr">
        <is>
          <t>يوليو</t>
        </is>
      </c>
      <c r="C64" s="39" t="n">
        <v>31</v>
      </c>
      <c r="D64" s="39" t="n">
        <v>4405.870967741936</v>
      </c>
      <c r="E64" s="39" t="n">
        <v>132637.2</v>
      </c>
      <c r="F64" s="43" t="inlineStr"/>
      <c r="G64" s="40" t="n">
        <v>30.10464922171296</v>
      </c>
      <c r="H64" s="41" t="n">
        <v>0.3305985631627892</v>
      </c>
      <c r="I64" s="41" t="n">
        <v>0.4546225927604055</v>
      </c>
      <c r="J64" s="43" t="inlineStr"/>
      <c r="K64" s="67" t="n">
        <v>279777.7245161291</v>
      </c>
    </row>
    <row r="65">
      <c r="B65" s="20" t="inlineStr">
        <is>
          <t>أغسطس</t>
        </is>
      </c>
      <c r="C65" s="39" t="n">
        <v>31</v>
      </c>
      <c r="D65" s="39" t="n">
        <v>4488.741935483871</v>
      </c>
      <c r="E65" s="39" t="n">
        <v>137242.6419354839</v>
      </c>
      <c r="F65" s="43" t="inlineStr"/>
      <c r="G65" s="40" t="n">
        <v>30.57485681022774</v>
      </c>
      <c r="H65" s="41" t="n">
        <v>0.3414037426861053</v>
      </c>
      <c r="I65" s="41" t="n">
        <v>0.452393913451091</v>
      </c>
      <c r="J65" s="43" t="inlineStr"/>
      <c r="K65" s="67" t="n">
        <v>288892.4138709678</v>
      </c>
    </row>
    <row r="66">
      <c r="B66" s="20" t="inlineStr">
        <is>
          <t>سبتمبر</t>
        </is>
      </c>
      <c r="C66" s="39" t="n">
        <v>20</v>
      </c>
      <c r="D66" s="39" t="n">
        <v>4823.1</v>
      </c>
      <c r="E66" s="39" t="n">
        <v>141746.745</v>
      </c>
      <c r="F66" s="43" t="inlineStr"/>
      <c r="G66" s="40" t="n">
        <v>29.38913665484854</v>
      </c>
      <c r="H66" s="41" t="n">
        <v>0.322127008983522</v>
      </c>
      <c r="I66" s="41" t="n">
        <v>0.4523178303644155</v>
      </c>
      <c r="J66" s="43" t="inlineStr"/>
      <c r="K66" s="67" t="n">
        <v>299731.8465</v>
      </c>
    </row>
    <row r="85" ht="30" customHeight="1">
      <c r="A85" s="27" t="inlineStr">
        <is>
          <t>الخطّان يتحرّكان معاً — وهذا هو التشخيص كلّه في صورة: اللترات تتبع الديزل. ولو كان السبب منافسةً أو خدمةً لتحرّك عدد المعاملات، وهو لم يتحرّك بالقدر نفسه.</t>
        </is>
      </c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</row>
    <row r="87" ht="22" customHeight="1">
      <c r="A87" s="18" t="inlineStr">
        <is>
          <t>⑥ الحملات الثلاث — مقيسةً بثلاث نوافذ</t>
        </is>
      </c>
    </row>
    <row r="88" ht="30" customHeight="1">
      <c r="A88" s="19" t="inlineStr"/>
      <c r="B88" s="19" t="inlineStr">
        <is>
          <t>الحملة</t>
        </is>
      </c>
      <c r="C88" s="19" t="inlineStr">
        <is>
          <t>المقياس</t>
        </is>
      </c>
      <c r="D88" s="19" t="inlineStr">
        <is>
          <t>قبل</t>
        </is>
      </c>
      <c r="E88" s="19" t="inlineStr">
        <is>
          <t>أثناء</t>
        </is>
      </c>
      <c r="F88" s="19" t="inlineStr">
        <is>
          <t>بعد</t>
        </is>
      </c>
      <c r="G88" s="19" t="inlineStr"/>
      <c r="H88" s="19" t="inlineStr">
        <is>
          <t>الأثر أثناء</t>
        </is>
      </c>
      <c r="I88" s="19" t="inlineStr"/>
      <c r="J88" s="19" t="inlineStr"/>
      <c r="K88" s="19" t="inlineStr">
        <is>
          <t>الحكم</t>
        </is>
      </c>
    </row>
    <row r="89" ht="30" customHeight="1">
      <c r="B89" s="20" t="inlineStr">
        <is>
          <t>حملة فطور محطة العمرة — بف</t>
        </is>
      </c>
      <c r="C89" s="114" t="inlineStr">
        <is>
          <t>الفترة الصباحية ٠٥–١١</t>
        </is>
      </c>
      <c r="D89" s="39" t="n">
        <v>1006.428571428571</v>
      </c>
      <c r="E89" s="79" t="n">
        <v>1128.307692307692</v>
      </c>
      <c r="F89" s="39" t="n">
        <v>1240.571428571429</v>
      </c>
      <c r="G89" s="43" t="inlineStr"/>
      <c r="H89" s="99">
        <f>E89/D89-1</f>
        <v/>
      </c>
      <c r="I89" s="111" t="n"/>
      <c r="J89" s="111" t="n"/>
      <c r="K89" s="115" t="inlineStr">
        <is>
          <t>لا يُنسب للحملة — ما بعدها أعلى منها</t>
        </is>
      </c>
    </row>
    <row r="90" ht="30" customHeight="1">
      <c r="B90" s="20" t="inlineStr">
        <is>
          <t>حملة فطور محطة العمرة — انسول</t>
        </is>
      </c>
      <c r="C90" s="114" t="inlineStr">
        <is>
          <t>الفترة الصباحية ٠٥–١١</t>
        </is>
      </c>
      <c r="D90" s="39" t="n">
        <v>1018.071428571429</v>
      </c>
      <c r="E90" s="79" t="n">
        <v>1128.416666666667</v>
      </c>
      <c r="F90" s="39" t="n">
        <v>1240.571428571429</v>
      </c>
      <c r="G90" s="43" t="inlineStr"/>
      <c r="H90" s="99">
        <f>E90/D90-1</f>
        <v/>
      </c>
      <c r="I90" s="111" t="n"/>
      <c r="J90" s="111" t="n"/>
      <c r="K90" s="115" t="inlineStr">
        <is>
          <t>لا يُنسب للحملة — ما بعدها أعلى منها</t>
        </is>
      </c>
    </row>
    <row r="91" ht="30" customHeight="1">
      <c r="B91" s="20" t="inlineStr">
        <is>
          <t>حملة افتتاح واش واي</t>
        </is>
      </c>
      <c r="C91" s="114" t="inlineStr">
        <is>
          <t>حصة فواتير ٦٠ ريالاً فأكثر</t>
        </is>
      </c>
      <c r="D91" s="40" t="n">
        <v>38.54581981146654</v>
      </c>
      <c r="E91" s="85" t="n">
        <v>44.48820812059324</v>
      </c>
      <c r="F91" s="40" t="n">
        <v>37.713403559753</v>
      </c>
      <c r="G91" s="43" t="inlineStr"/>
      <c r="H91" s="99">
        <f>E91/D91-1</f>
        <v/>
      </c>
      <c r="I91" s="111" t="n"/>
      <c r="J91" s="111" t="n"/>
      <c r="K91" s="38" t="inlineStr">
        <is>
          <t>أثرٌ أثناء التنفيذ بلا بقاء بعده</t>
        </is>
      </c>
    </row>
    <row r="92" ht="46" customHeight="1">
      <c r="A92" s="38" t="inlineStr">
        <is>
          <t>الفطور: الصباح ارتفع أثناء الحملة ١٢٪ — لكنه ارتفع بعدها أكثر، فالارتفاع اتجاهٌ سابقٌ للحملة لا أثرٌ لها. وواش واي: حصة الفواتير الكبيرة قفزت ٦ نقاط أثناء الأيام الأربعة ثم عادت دون مستوى ما قبلها — وهو ما تفعله حملة افتتاحٍ بالضبط: تحرّك ولا تُبقي. وتشتّت خط الأساس الطبيعي 8.8٪ فأي أثرٍ دونه لا يُحسب أثراً. والدرس: عرِّف الرقم والنافذة وخط الأساس قبل الإطلاق.</t>
        </is>
      </c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30" t="n"/>
    </row>
  </sheetData>
  <mergeCells count="21">
    <mergeCell ref="A34:K34"/>
    <mergeCell ref="H89:J89"/>
    <mergeCell ref="A92:K92"/>
    <mergeCell ref="A11:K11"/>
    <mergeCell ref="A45:K45"/>
    <mergeCell ref="A1:K1"/>
    <mergeCell ref="A6:K6"/>
    <mergeCell ref="H90:J90"/>
    <mergeCell ref="A54:K54"/>
    <mergeCell ref="A87:K87"/>
    <mergeCell ref="A37:K37"/>
    <mergeCell ref="A56:K56"/>
    <mergeCell ref="A21:K21"/>
    <mergeCell ref="A2:K2"/>
    <mergeCell ref="A85:K85"/>
    <mergeCell ref="H91:J91"/>
    <mergeCell ref="A35:K35"/>
    <mergeCell ref="A4:K4"/>
    <mergeCell ref="A43:K43"/>
    <mergeCell ref="A19:K19"/>
    <mergeCell ref="A13:K13"/>
  </mergeCells>
  <conditionalFormatting sqref="G8:G10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H8:H10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G23:G33">
    <cfRule type="cellIs" priority="5" operator="lessThan" dxfId="2">
      <formula>0</formula>
    </cfRule>
    <cfRule type="cellIs" priority="6" operator="greaterThan" dxfId="3">
      <formula>0</formula>
    </cfRule>
  </conditionalFormatting>
  <conditionalFormatting sqref="H23:H33">
    <cfRule type="cellIs" priority="7" operator="lessThan" dxfId="2">
      <formula>0</formula>
    </cfRule>
    <cfRule type="cellIs" priority="8" operator="greaterThan" dxfId="3">
      <formula>0</formula>
    </cfRule>
  </conditionalFormatting>
  <conditionalFormatting sqref="I23:I33">
    <cfRule type="cellIs" priority="9" operator="lessThan" dxfId="2">
      <formula>0</formula>
    </cfRule>
    <cfRule type="cellIs" priority="10" operator="greaterThan" dxfId="3">
      <formula>0</formula>
    </cfRule>
  </conditionalFormatting>
  <conditionalFormatting sqref="D58:D66">
    <cfRule type="dataBar" priority="11">
      <dataBar showValue="1">
        <cfvo type="min"/>
        <cfvo type="max"/>
        <color rgb="00F5831F"/>
      </dataBar>
    </cfRule>
  </conditionalFormatting>
  <conditionalFormatting sqref="E58:E66">
    <cfRule type="dataBar" priority="12">
      <dataBar showValue="1">
        <cfvo type="min"/>
        <cfvo type="max"/>
        <color rgb="00F5831F"/>
      </dataBar>
    </cfRule>
  </conditionalFormatting>
  <printOptions horizontalCentered="1"/>
  <pageMargins left="0.3" right="0.3" top="0.4" bottom="0.4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0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" customWidth="1" min="7" max="7"/>
    <col width="11" customWidth="1" min="8" max="8"/>
    <col width="11" customWidth="1" min="9" max="9"/>
    <col width="9" customWidth="1" min="10" max="10"/>
    <col width="30" customWidth="1" min="11" max="11"/>
  </cols>
  <sheetData>
    <row r="1" ht="26" customHeight="1">
      <c r="A1" s="1" t="inlineStr">
        <is>
          <t>الساعة والوردية — أين الفجوة بالضبط، وفي أي وردية</t>
        </is>
      </c>
    </row>
    <row r="2" ht="16" customHeight="1">
      <c r="A2" s="2" t="inlineStr">
        <is>
          <t>العمرة بالساعة (المحطة الوحيدة) ثم 40 محطة بالوردية · المقارنة بشكل تصنيف «حيوية» — وسيط 25 محطة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2" customHeight="1">
      <c r="A4" s="18" t="inlineStr">
        <is>
          <t>① العمرة — الفجوة لكل ساعة</t>
        </is>
      </c>
    </row>
    <row r="5" ht="30" customHeight="1">
      <c r="A5" s="19" t="inlineStr"/>
      <c r="B5" s="19" t="inlineStr">
        <is>
          <t>الساعة</t>
        </is>
      </c>
      <c r="C5" s="19" t="inlineStr">
        <is>
          <t>فعلي/يوم</t>
        </is>
      </c>
      <c r="D5" s="19" t="inlineStr">
        <is>
          <t>حصتنا</t>
        </is>
      </c>
      <c r="E5" s="19" t="inlineStr">
        <is>
          <t>شكل التصنيف</t>
        </is>
      </c>
      <c r="F5" s="19" t="inlineStr">
        <is>
          <t>المتوقَّع/يوم</t>
        </is>
      </c>
      <c r="G5" s="19" t="inlineStr"/>
      <c r="H5" s="19" t="inlineStr">
        <is>
          <t>الفجوة</t>
        </is>
      </c>
      <c r="I5" s="19" t="inlineStr">
        <is>
          <t>ذروة؟</t>
        </is>
      </c>
      <c r="J5" s="19" t="inlineStr">
        <is>
          <t>الوردية</t>
        </is>
      </c>
      <c r="K5" s="19" t="inlineStr">
        <is>
          <t>ملاحظة</t>
        </is>
      </c>
    </row>
    <row r="6">
      <c r="B6" s="116" t="inlineStr">
        <is>
          <t>00:٠٠</t>
        </is>
      </c>
      <c r="C6" s="39" t="n">
        <v>226.0853658536585</v>
      </c>
      <c r="D6" s="113" t="n">
        <v>0.04980991147113745</v>
      </c>
      <c r="E6" s="113" t="n">
        <v>0.04937887312617863</v>
      </c>
      <c r="F6" s="39">
        <f>E6*4538.9634</f>
        <v/>
      </c>
      <c r="G6" s="43" t="inlineStr"/>
      <c r="H6" s="39">
        <f>MAX(0,F6-C6)</f>
        <v/>
      </c>
      <c r="I6" s="117" t="inlineStr">
        <is>
          <t>★</t>
        </is>
      </c>
      <c r="J6" s="22" t="inlineStr">
        <is>
          <t>صباحية</t>
        </is>
      </c>
      <c r="K6" s="118" t="inlineStr"/>
    </row>
    <row r="7">
      <c r="B7" s="116" t="inlineStr">
        <is>
          <t>01:٠٠</t>
        </is>
      </c>
      <c r="C7" s="39" t="n">
        <v>166.8780487804878</v>
      </c>
      <c r="D7" s="113" t="n">
        <v>0.03676567390749473</v>
      </c>
      <c r="E7" s="113" t="n">
        <v>0.03704453073728499</v>
      </c>
      <c r="F7" s="39">
        <f>E7*4538.9634</f>
        <v/>
      </c>
      <c r="G7" s="43" t="inlineStr"/>
      <c r="H7" s="39">
        <f>MAX(0,F7-C7)</f>
        <v/>
      </c>
      <c r="I7" s="117" t="inlineStr"/>
      <c r="J7" s="22" t="inlineStr">
        <is>
          <t>صباحية</t>
        </is>
      </c>
      <c r="K7" s="118" t="inlineStr"/>
    </row>
    <row r="8">
      <c r="B8" s="116" t="inlineStr">
        <is>
          <t>02:٠٠</t>
        </is>
      </c>
      <c r="C8" s="39" t="n">
        <v>130.2317073170732</v>
      </c>
      <c r="D8" s="113" t="n">
        <v>0.0286919491126963</v>
      </c>
      <c r="E8" s="113" t="n">
        <v>0.03022324520171691</v>
      </c>
      <c r="F8" s="39">
        <f>E8*4538.9634</f>
        <v/>
      </c>
      <c r="G8" s="43" t="inlineStr"/>
      <c r="H8" s="119">
        <f>MAX(0,F8-C8)</f>
        <v/>
      </c>
      <c r="I8" s="117" t="inlineStr"/>
      <c r="J8" s="22" t="inlineStr">
        <is>
          <t>صباحية</t>
        </is>
      </c>
      <c r="K8" s="118" t="inlineStr"/>
    </row>
    <row r="9">
      <c r="B9" s="116" t="inlineStr">
        <is>
          <t>03:٠٠</t>
        </is>
      </c>
      <c r="C9" s="39" t="n">
        <v>105.1219512195122</v>
      </c>
      <c r="D9" s="113" t="n">
        <v>0.02315990273915555</v>
      </c>
      <c r="E9" s="113" t="n">
        <v>0.02282431326343887</v>
      </c>
      <c r="F9" s="39">
        <f>E9*4538.9634</f>
        <v/>
      </c>
      <c r="G9" s="43" t="inlineStr"/>
      <c r="H9" s="39">
        <f>MAX(0,F9-C9)</f>
        <v/>
      </c>
      <c r="I9" s="117" t="inlineStr"/>
      <c r="J9" s="22" t="inlineStr">
        <is>
          <t>صباحية</t>
        </is>
      </c>
      <c r="K9" s="118" t="inlineStr"/>
    </row>
    <row r="10">
      <c r="B10" s="116" t="inlineStr">
        <is>
          <t>04:٠٠</t>
        </is>
      </c>
      <c r="C10" s="39" t="n">
        <v>90.40243902439025</v>
      </c>
      <c r="D10" s="113" t="n">
        <v>0.01991697900294201</v>
      </c>
      <c r="E10" s="113" t="n">
        <v>0.01842083278633743</v>
      </c>
      <c r="F10" s="39">
        <f>E10*4538.9634</f>
        <v/>
      </c>
      <c r="G10" s="43" t="inlineStr"/>
      <c r="H10" s="39">
        <f>MAX(0,F10-C10)</f>
        <v/>
      </c>
      <c r="I10" s="117" t="inlineStr"/>
      <c r="J10" s="22" t="inlineStr">
        <is>
          <t>صباحية</t>
        </is>
      </c>
      <c r="K10" s="118" t="inlineStr"/>
    </row>
    <row r="11">
      <c r="B11" s="116" t="inlineStr">
        <is>
          <t>05:٠٠</t>
        </is>
      </c>
      <c r="C11" s="39" t="n">
        <v>123.7926829268293</v>
      </c>
      <c r="D11" s="113" t="n">
        <v>0.02727333790083156</v>
      </c>
      <c r="E11" s="113" t="n">
        <v>0.02348243949239387</v>
      </c>
      <c r="F11" s="39">
        <f>E11*4538.9634</f>
        <v/>
      </c>
      <c r="G11" s="43" t="inlineStr"/>
      <c r="H11" s="39">
        <f>MAX(0,F11-C11)</f>
        <v/>
      </c>
      <c r="I11" s="117" t="inlineStr"/>
      <c r="J11" s="22" t="inlineStr">
        <is>
          <t>صباحية</t>
        </is>
      </c>
      <c r="K11" s="118" t="inlineStr"/>
    </row>
    <row r="12">
      <c r="B12" s="116" t="inlineStr">
        <is>
          <t>06:٠٠</t>
        </is>
      </c>
      <c r="C12" s="39" t="n">
        <v>162.5243902439024</v>
      </c>
      <c r="D12" s="113" t="n">
        <v>0.03580649928129073</v>
      </c>
      <c r="E12" s="113" t="n">
        <v>0.03433302415060634</v>
      </c>
      <c r="F12" s="39">
        <f>E12*4538.9634</f>
        <v/>
      </c>
      <c r="G12" s="43" t="inlineStr"/>
      <c r="H12" s="39">
        <f>MAX(0,F12-C12)</f>
        <v/>
      </c>
      <c r="I12" s="117" t="inlineStr"/>
      <c r="J12" s="22" t="inlineStr">
        <is>
          <t>صباحية</t>
        </is>
      </c>
      <c r="K12" s="118" t="inlineStr"/>
    </row>
    <row r="13">
      <c r="B13" s="116" t="inlineStr">
        <is>
          <t>07:٠٠</t>
        </is>
      </c>
      <c r="C13" s="39" t="n">
        <v>173.7317073170732</v>
      </c>
      <c r="D13" s="113" t="n">
        <v>0.03827563508375986</v>
      </c>
      <c r="E13" s="113" t="n">
        <v>0.04003631311202263</v>
      </c>
      <c r="F13" s="39">
        <f>E13*4538.9634</f>
        <v/>
      </c>
      <c r="G13" s="43" t="inlineStr"/>
      <c r="H13" s="119">
        <f>MAX(0,F13-C13)</f>
        <v/>
      </c>
      <c r="I13" s="117" t="inlineStr"/>
      <c r="J13" s="22" t="inlineStr">
        <is>
          <t>صباحية</t>
        </is>
      </c>
      <c r="K13" s="118" t="inlineStr"/>
    </row>
    <row r="14">
      <c r="B14" s="116" t="inlineStr">
        <is>
          <t>08:٠٠</t>
        </is>
      </c>
      <c r="C14" s="39" t="n">
        <v>162.7926829268293</v>
      </c>
      <c r="D14" s="113" t="n">
        <v>0.03586560808178509</v>
      </c>
      <c r="E14" s="113" t="n">
        <v>0.03451716541491226</v>
      </c>
      <c r="F14" s="39">
        <f>E14*4538.9634</f>
        <v/>
      </c>
      <c r="G14" s="43" t="inlineStr"/>
      <c r="H14" s="39">
        <f>MAX(0,F14-C14)</f>
        <v/>
      </c>
      <c r="I14" s="117" t="inlineStr"/>
      <c r="J14" s="22" t="inlineStr">
        <is>
          <t>صباحية</t>
        </is>
      </c>
      <c r="K14" s="118" t="inlineStr"/>
    </row>
    <row r="15">
      <c r="B15" s="116" t="inlineStr">
        <is>
          <t>09:٠٠</t>
        </is>
      </c>
      <c r="C15" s="39" t="n">
        <v>149.7073170731707</v>
      </c>
      <c r="D15" s="113" t="n">
        <v>0.0329827106758554</v>
      </c>
      <c r="E15" s="113" t="n">
        <v>0.03226717902350814</v>
      </c>
      <c r="F15" s="39">
        <f>E15*4538.9634</f>
        <v/>
      </c>
      <c r="G15" s="43" t="inlineStr"/>
      <c r="H15" s="39">
        <f>MAX(0,F15-C15)</f>
        <v/>
      </c>
      <c r="I15" s="117" t="inlineStr"/>
      <c r="J15" s="22" t="inlineStr">
        <is>
          <t>صباحية</t>
        </is>
      </c>
      <c r="K15" s="118" t="inlineStr"/>
    </row>
    <row r="16">
      <c r="B16" s="116" t="inlineStr">
        <is>
          <t>10:٠٠</t>
        </is>
      </c>
      <c r="C16" s="39" t="n">
        <v>155.280487804878</v>
      </c>
      <c r="D16" s="113" t="n">
        <v>0.03421056166794288</v>
      </c>
      <c r="E16" s="113" t="n">
        <v>0.03209759927377111</v>
      </c>
      <c r="F16" s="39">
        <f>E16*4538.9634</f>
        <v/>
      </c>
      <c r="G16" s="43" t="inlineStr"/>
      <c r="H16" s="39">
        <f>MAX(0,F16-C16)</f>
        <v/>
      </c>
      <c r="I16" s="117" t="inlineStr"/>
      <c r="J16" s="22" t="inlineStr">
        <is>
          <t>صباحية</t>
        </is>
      </c>
      <c r="K16" s="118" t="inlineStr"/>
    </row>
    <row r="17">
      <c r="B17" s="116" t="inlineStr">
        <is>
          <t>11:٠٠</t>
        </is>
      </c>
      <c r="C17" s="39" t="n">
        <v>146.219512195122</v>
      </c>
      <c r="D17" s="113" t="n">
        <v>0.03221429626942866</v>
      </c>
      <c r="E17" s="113" t="n">
        <v>0.03033723027098642</v>
      </c>
      <c r="F17" s="39">
        <f>E17*4538.9634</f>
        <v/>
      </c>
      <c r="G17" s="43" t="inlineStr"/>
      <c r="H17" s="39">
        <f>MAX(0,F17-C17)</f>
        <v/>
      </c>
      <c r="I17" s="117" t="inlineStr"/>
      <c r="J17" s="22" t="inlineStr">
        <is>
          <t>صباحية</t>
        </is>
      </c>
      <c r="K17" s="118" t="inlineStr"/>
    </row>
    <row r="18">
      <c r="B18" s="116" t="inlineStr">
        <is>
          <t>12:٠٠</t>
        </is>
      </c>
      <c r="C18" s="39" t="n">
        <v>157.0975609756098</v>
      </c>
      <c r="D18" s="113" t="n">
        <v>0.03461088945310926</v>
      </c>
      <c r="E18" s="113" t="n">
        <v>0.03225859273936039</v>
      </c>
      <c r="F18" s="39">
        <f>E18*4538.9634</f>
        <v/>
      </c>
      <c r="G18" s="43" t="inlineStr"/>
      <c r="H18" s="39">
        <f>MAX(0,F18-C18)</f>
        <v/>
      </c>
      <c r="I18" s="117" t="inlineStr"/>
      <c r="J18" s="22" t="inlineStr">
        <is>
          <t>مسائية</t>
        </is>
      </c>
      <c r="K18" s="118" t="inlineStr"/>
    </row>
    <row r="19">
      <c r="B19" s="116" t="inlineStr">
        <is>
          <t>13:٠٠</t>
        </is>
      </c>
      <c r="C19" s="39" t="n">
        <v>173.8170731707317</v>
      </c>
      <c r="D19" s="113" t="n">
        <v>0.0382944424293717</v>
      </c>
      <c r="E19" s="113" t="n">
        <v>0.03823742286884944</v>
      </c>
      <c r="F19" s="39">
        <f>E19*4538.9634</f>
        <v/>
      </c>
      <c r="G19" s="43" t="inlineStr"/>
      <c r="H19" s="39">
        <f>MAX(0,F19-C19)</f>
        <v/>
      </c>
      <c r="I19" s="117" t="inlineStr"/>
      <c r="J19" s="22" t="inlineStr">
        <is>
          <t>مسائية</t>
        </is>
      </c>
      <c r="K19" s="118" t="inlineStr"/>
    </row>
    <row r="20">
      <c r="B20" s="116" t="inlineStr">
        <is>
          <t>14:٠٠</t>
        </is>
      </c>
      <c r="C20" s="39" t="n">
        <v>208.1219512195122</v>
      </c>
      <c r="D20" s="113" t="n">
        <v>0.04585230860167386</v>
      </c>
      <c r="E20" s="113" t="n">
        <v>0.03867613985665704</v>
      </c>
      <c r="F20" s="39">
        <f>E20*4538.9634</f>
        <v/>
      </c>
      <c r="G20" s="43" t="inlineStr"/>
      <c r="H20" s="39">
        <f>MAX(0,F20-C20)</f>
        <v/>
      </c>
      <c r="I20" s="117" t="inlineStr"/>
      <c r="J20" s="22" t="inlineStr">
        <is>
          <t>مسائية</t>
        </is>
      </c>
      <c r="K20" s="118" t="inlineStr"/>
    </row>
    <row r="21">
      <c r="B21" s="116" t="inlineStr">
        <is>
          <t>15:٠٠</t>
        </is>
      </c>
      <c r="C21" s="39" t="n">
        <v>210.3414634146341</v>
      </c>
      <c r="D21" s="113" t="n">
        <v>0.04634129958758178</v>
      </c>
      <c r="E21" s="113" t="n">
        <v>0.04090588008647816</v>
      </c>
      <c r="F21" s="39">
        <f>E21*4538.9634</f>
        <v/>
      </c>
      <c r="G21" s="43" t="inlineStr"/>
      <c r="H21" s="39">
        <f>MAX(0,F21-C21)</f>
        <v/>
      </c>
      <c r="I21" s="117" t="inlineStr"/>
      <c r="J21" s="22" t="inlineStr">
        <is>
          <t>مسائية</t>
        </is>
      </c>
      <c r="K21" s="118" t="inlineStr"/>
    </row>
    <row r="22">
      <c r="B22" s="116" t="inlineStr">
        <is>
          <t>16:٠٠</t>
        </is>
      </c>
      <c r="C22" s="39" t="n">
        <v>231.9146341463415</v>
      </c>
      <c r="D22" s="113" t="n">
        <v>0.05109418450006045</v>
      </c>
      <c r="E22" s="113" t="n">
        <v>0.05271811428486017</v>
      </c>
      <c r="F22" s="39">
        <f>E22*4538.9634</f>
        <v/>
      </c>
      <c r="G22" s="43" t="inlineStr"/>
      <c r="H22" s="119">
        <f>MAX(0,F22-C22)</f>
        <v/>
      </c>
      <c r="I22" s="117" t="inlineStr">
        <is>
          <t>★</t>
        </is>
      </c>
      <c r="J22" s="22" t="inlineStr">
        <is>
          <t>مسائية</t>
        </is>
      </c>
      <c r="K22" s="118" t="inlineStr"/>
    </row>
    <row r="23">
      <c r="B23" s="116" t="inlineStr">
        <is>
          <t>17:٠٠</t>
        </is>
      </c>
      <c r="C23" s="39" t="n">
        <v>278.1829268292683</v>
      </c>
      <c r="D23" s="113" t="n">
        <v>0.0612877658216795</v>
      </c>
      <c r="E23" s="113" t="n">
        <v>0.06353111701633435</v>
      </c>
      <c r="F23" s="39">
        <f>E23*4538.9634</f>
        <v/>
      </c>
      <c r="G23" s="43" t="inlineStr"/>
      <c r="H23" s="119">
        <f>MAX(0,F23-C23)</f>
        <v/>
      </c>
      <c r="I23" s="117" t="inlineStr">
        <is>
          <t>★</t>
        </is>
      </c>
      <c r="J23" s="22" t="inlineStr">
        <is>
          <t>مسائية</t>
        </is>
      </c>
      <c r="K23" s="118" t="inlineStr"/>
    </row>
    <row r="24">
      <c r="B24" s="116" t="inlineStr">
        <is>
          <t>18:٠٠</t>
        </is>
      </c>
      <c r="C24" s="39" t="n">
        <v>266.5</v>
      </c>
      <c r="D24" s="113" t="n">
        <v>0.05871384623651581</v>
      </c>
      <c r="E24" s="113" t="n">
        <v>0.05593071880650995</v>
      </c>
      <c r="F24" s="39">
        <f>E24*4538.9634</f>
        <v/>
      </c>
      <c r="G24" s="43" t="inlineStr"/>
      <c r="H24" s="39">
        <f>MAX(0,F24-C24)</f>
        <v/>
      </c>
      <c r="I24" s="117" t="inlineStr">
        <is>
          <t>★</t>
        </is>
      </c>
      <c r="J24" s="22" t="inlineStr">
        <is>
          <t>مسائية</t>
        </is>
      </c>
      <c r="K24" s="118" t="inlineStr"/>
    </row>
    <row r="25">
      <c r="B25" s="116" t="inlineStr">
        <is>
          <t>19:٠٠</t>
        </is>
      </c>
      <c r="C25" s="39" t="n">
        <v>257.5243902439024</v>
      </c>
      <c r="D25" s="113" t="n">
        <v>0.05673638818361343</v>
      </c>
      <c r="E25" s="113" t="n">
        <v>0.05749561970885392</v>
      </c>
      <c r="F25" s="39">
        <f>E25*4538.9634</f>
        <v/>
      </c>
      <c r="G25" s="43" t="inlineStr"/>
      <c r="H25" s="39">
        <f>MAX(0,F25-C25)</f>
        <v/>
      </c>
      <c r="I25" s="117" t="inlineStr">
        <is>
          <t>★</t>
        </is>
      </c>
      <c r="J25" s="22" t="inlineStr">
        <is>
          <t>مسائية</t>
        </is>
      </c>
      <c r="K25" s="118" t="inlineStr"/>
    </row>
    <row r="26">
      <c r="B26" s="116" t="inlineStr">
        <is>
          <t>20:٠٠</t>
        </is>
      </c>
      <c r="C26" s="39" t="n">
        <v>257.1341463414634</v>
      </c>
      <c r="D26" s="113" t="n">
        <v>0.05665041174653072</v>
      </c>
      <c r="E26" s="113" t="n">
        <v>0.05974301287449359</v>
      </c>
      <c r="F26" s="39">
        <f>E26*4538.9634</f>
        <v/>
      </c>
      <c r="G26" s="43" t="inlineStr"/>
      <c r="H26" s="119">
        <f>MAX(0,F26-C26)</f>
        <v/>
      </c>
      <c r="I26" s="117" t="inlineStr">
        <is>
          <t>★</t>
        </is>
      </c>
      <c r="J26" s="22" t="inlineStr">
        <is>
          <t>مسائية</t>
        </is>
      </c>
      <c r="K26" s="118" t="inlineStr"/>
    </row>
    <row r="27">
      <c r="B27" s="116" t="inlineStr">
        <is>
          <t>21:٠٠</t>
        </is>
      </c>
      <c r="C27" s="39" t="n">
        <v>264.0487804878049</v>
      </c>
      <c r="D27" s="113" t="n">
        <v>0.05817380674109003</v>
      </c>
      <c r="E27" s="113" t="n">
        <v>0.06160964957887075</v>
      </c>
      <c r="F27" s="39">
        <f>E27*4538.9634</f>
        <v/>
      </c>
      <c r="G27" s="43" t="inlineStr"/>
      <c r="H27" s="119">
        <f>MAX(0,F27-C27)</f>
        <v/>
      </c>
      <c r="I27" s="117" t="inlineStr">
        <is>
          <t>★</t>
        </is>
      </c>
      <c r="J27" s="22" t="inlineStr">
        <is>
          <t>مسائية</t>
        </is>
      </c>
      <c r="K27" s="118" t="inlineStr"/>
    </row>
    <row r="28">
      <c r="B28" s="116" t="inlineStr">
        <is>
          <t>22:٠٠</t>
        </is>
      </c>
      <c r="C28" s="39" t="n">
        <v>251.3048780487805</v>
      </c>
      <c r="D28" s="113" t="n">
        <v>0.05536613871760771</v>
      </c>
      <c r="E28" s="113" t="n">
        <v>0.05845925191974238</v>
      </c>
      <c r="F28" s="39">
        <f>E28*4538.9634</f>
        <v/>
      </c>
      <c r="G28" s="43" t="inlineStr"/>
      <c r="H28" s="119">
        <f>MAX(0,F28-C28)</f>
        <v/>
      </c>
      <c r="I28" s="117" t="inlineStr">
        <is>
          <t>★</t>
        </is>
      </c>
      <c r="J28" s="22" t="inlineStr">
        <is>
          <t>مسائية</t>
        </is>
      </c>
      <c r="K28" s="118" t="inlineStr"/>
    </row>
    <row r="29">
      <c r="B29" s="116" t="inlineStr">
        <is>
          <t>23:٠٠</t>
        </is>
      </c>
      <c r="C29" s="39" t="n">
        <v>190.2073170731707</v>
      </c>
      <c r="D29" s="113" t="n">
        <v>0.04190545278684561</v>
      </c>
      <c r="E29" s="113" t="n">
        <v>0.05063923058322478</v>
      </c>
      <c r="F29" s="39">
        <f>E29*4538.9634</f>
        <v/>
      </c>
      <c r="G29" s="43" t="inlineStr"/>
      <c r="H29" s="119">
        <f>MAX(0,F29-C29)</f>
        <v/>
      </c>
      <c r="I29" s="117" t="inlineStr"/>
      <c r="J29" s="22" t="inlineStr">
        <is>
          <t>مسائية</t>
        </is>
      </c>
      <c r="K29" s="118" t="inlineStr">
        <is>
          <t>ساعة تسليم الورديات</t>
        </is>
      </c>
    </row>
    <row r="30">
      <c r="B30" s="120" t="inlineStr">
        <is>
          <t>المجموع</t>
        </is>
      </c>
      <c r="C30" s="45">
        <f>SUM(C6:C29)</f>
        <v/>
      </c>
      <c r="D30" s="98">
        <f>SUM(D6:D29)</f>
        <v/>
      </c>
      <c r="E30" s="98">
        <f>SUM(E6:E29)</f>
        <v/>
      </c>
      <c r="F30" s="45">
        <f>SUM(F6:F29)</f>
        <v/>
      </c>
      <c r="G30" s="43" t="inlineStr"/>
      <c r="H30" s="45">
        <f>SUM(H6:H29)</f>
        <v/>
      </c>
      <c r="I30" s="46" t="inlineStr"/>
      <c r="J30" s="46" t="inlineStr"/>
      <c r="K30" s="46" t="inlineStr"/>
    </row>
    <row r="49" ht="42" customHeight="1">
      <c r="A49" s="107" t="inlineStr">
        <is>
          <t>الساعة 23:٠٠ فيها 40 معاملة/يوم فاقداً — أكبر من أي ساعة ذروة. وتسقط من الرقم المحافظ (65 معاملة/يوم) لأنها ليست ضمن ساعاتنا الثماني الأعلى، وليست كذلك لأننا ننخفض فيها. وشكاوى المحطة تذكر تسليم الورديات صراحةً سبباً للتأخير عند منتصف الليل. فإغلاقها يُختبر أولاً بتغيير موعد التسليم — لا بحملة.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1" ht="22" customHeight="1">
      <c r="A51" s="18" t="inlineStr">
        <is>
          <t>② العمرة — الوردية: الفجوة كلّها في جهةٍ واحدة</t>
        </is>
      </c>
    </row>
    <row r="52" ht="30" customHeight="1">
      <c r="A52" s="19" t="inlineStr"/>
      <c r="B52" s="19" t="inlineStr">
        <is>
          <t>المقياس</t>
        </is>
      </c>
      <c r="C52" s="19" t="inlineStr">
        <is>
          <t>الصباحية ٠٠–١١</t>
        </is>
      </c>
      <c r="D52" s="19" t="inlineStr">
        <is>
          <t>المسائية ١٢–٢٣</t>
        </is>
      </c>
      <c r="E52" s="19" t="inlineStr">
        <is>
          <t>الإجمالي</t>
        </is>
      </c>
      <c r="F52" s="19" t="inlineStr"/>
      <c r="G52" s="19" t="inlineStr"/>
      <c r="H52" s="19" t="inlineStr"/>
      <c r="I52" s="19" t="inlineStr"/>
      <c r="J52" s="19" t="inlineStr"/>
      <c r="K52" s="19" t="inlineStr">
        <is>
          <t>القراءة</t>
        </is>
      </c>
    </row>
    <row r="53">
      <c r="B53" s="20" t="inlineStr">
        <is>
          <t>معاملات/يوم</t>
        </is>
      </c>
      <c r="C53" s="39" t="n">
        <v>1792.768292682927</v>
      </c>
      <c r="D53" s="39" t="n">
        <v>2746.195121951219</v>
      </c>
      <c r="E53" s="45">
        <f>C53+D53</f>
        <v/>
      </c>
      <c r="F53" s="43" t="inlineStr"/>
      <c r="G53" s="43" t="inlineStr"/>
      <c r="H53" s="43" t="inlineStr"/>
      <c r="I53" s="43" t="inlineStr"/>
      <c r="J53" s="43" t="inlineStr"/>
      <c r="K53" s="25" t="inlineStr">
        <is>
          <t>المسائية ٦٠٪ من الطلب</t>
        </is>
      </c>
    </row>
    <row r="54">
      <c r="B54" s="20" t="inlineStr">
        <is>
          <t>عدد العمّال</t>
        </is>
      </c>
      <c r="C54" s="39" t="n">
        <v>11</v>
      </c>
      <c r="D54" s="39" t="n">
        <v>9</v>
      </c>
      <c r="E54" s="45">
        <f>C54+D54</f>
        <v/>
      </c>
      <c r="F54" s="43" t="inlineStr"/>
      <c r="G54" s="43" t="inlineStr"/>
      <c r="H54" s="43" t="inlineStr"/>
      <c r="I54" s="43" t="inlineStr"/>
      <c r="J54" s="43" t="inlineStr"/>
      <c r="K54" s="25" t="inlineStr">
        <is>
          <t>وهي ٤٥٪ من العمالة — الطلب في جهةٍ والطاقم في أخرى</t>
        </is>
      </c>
    </row>
    <row r="55">
      <c r="B55" s="20" t="inlineStr">
        <is>
          <t>معاملات لكل عامل</t>
        </is>
      </c>
      <c r="C55" s="121">
        <f>C53/C54</f>
        <v/>
      </c>
      <c r="D55" s="122">
        <f>D53/D54</f>
        <v/>
      </c>
      <c r="E55" s="45">
        <f>E53/E54</f>
        <v/>
      </c>
      <c r="F55" s="43" t="inlineStr"/>
      <c r="G55" s="43" t="inlineStr"/>
      <c r="H55" s="43" t="inlineStr"/>
      <c r="I55" s="43" t="inlineStr"/>
      <c r="J55" s="43" t="inlineStr"/>
      <c r="K55" s="25" t="inlineStr">
        <is>
          <t>العامل المسائي يخدم 1.87× ما يخدمه الصباحي</t>
        </is>
      </c>
    </row>
    <row r="56">
      <c r="B56" s="20" t="inlineStr">
        <is>
          <t>الفجوة في ساعات الذروة</t>
        </is>
      </c>
      <c r="C56" s="40" t="n">
        <v>0</v>
      </c>
      <c r="D56" s="40" t="n">
        <v>64.67146697296862</v>
      </c>
      <c r="E56" s="112">
        <f>C56+D56</f>
        <v/>
      </c>
      <c r="F56" s="43" t="inlineStr"/>
      <c r="G56" s="43" t="inlineStr"/>
      <c r="H56" s="43" t="inlineStr"/>
      <c r="I56" s="43" t="inlineStr"/>
      <c r="J56" s="43" t="inlineStr"/>
      <c r="K56" s="25" t="inlineStr">
        <is>
          <t>الرقم المؤكَّد — وكلّه في المسائية</t>
        </is>
      </c>
    </row>
    <row r="57">
      <c r="B57" s="20" t="inlineStr">
        <is>
          <t>الفجوة في كل الساعات</t>
        </is>
      </c>
      <c r="C57" s="40" t="n">
        <v>16.20787102861066</v>
      </c>
      <c r="D57" s="40" t="n">
        <v>104.3137648622777</v>
      </c>
      <c r="E57" s="112">
        <f>C57+D57</f>
        <v/>
      </c>
      <c r="F57" s="43" t="inlineStr"/>
      <c r="G57" s="43" t="inlineStr"/>
      <c r="H57" s="43" t="inlineStr"/>
      <c r="I57" s="43" t="inlineStr"/>
      <c r="J57" s="43" t="inlineStr"/>
      <c r="K57" s="25" t="inlineStr">
        <is>
          <t>يشمل ساعة تسليم الورديات وساعات الهدوء — لا يُطالَب به</t>
        </is>
      </c>
    </row>
    <row r="58">
      <c r="B58" s="20" t="inlineStr">
        <is>
          <t>العدد المتوازن للعمّال</t>
        </is>
      </c>
      <c r="C58" s="40" t="n">
        <v>7.899461303886404</v>
      </c>
      <c r="D58" s="40" t="n">
        <v>12.1005386961136</v>
      </c>
      <c r="E58" s="112">
        <f>C58+D58</f>
        <v/>
      </c>
      <c r="F58" s="43" t="inlineStr"/>
      <c r="G58" s="43" t="inlineStr"/>
      <c r="H58" s="43" t="inlineStr"/>
      <c r="I58" s="43" t="inlineStr"/>
      <c r="J58" s="43" t="inlineStr"/>
      <c r="K58" s="25" t="inlineStr">
        <is>
          <t>أي نقل 3 عمّال من الصباحية إلى المسائية — بلا توظيف</t>
        </is>
      </c>
    </row>
    <row r="59" ht="34" customHeight="1">
      <c r="A59" s="38" t="inlineStr">
        <is>
          <t>وسعة الخدمة تؤكّد القراءة: زمن الخدمة المقيس 106 ثانية، فالعامل الواحد يخدم 34 معاملة في الساعة نظرياً، و9 عمّال يخدمون 305. وساعة الذروة (17:٠٠) فيها 278 معاملة — أي 91٪ من السعة. والمحطة عند هذا الحدّ لا تُزاد مبيعاتها بعرضٍ بل بيدٍ إضافية أو بخدمةٍ أسرع.</t>
        </is>
      </c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</row>
    <row r="61" ht="22" customHeight="1">
      <c r="A61" s="18" t="inlineStr">
        <is>
          <t>③ الشبكة — 40 محطة عليها بيان وردية · اختلال الحِمل وقابلية النقل</t>
        </is>
      </c>
    </row>
    <row r="62" ht="30" customHeight="1">
      <c r="A62" s="19" t="inlineStr"/>
      <c r="B62" s="19" t="inlineStr">
        <is>
          <t>المحطة</t>
        </is>
      </c>
      <c r="C62" s="19" t="inlineStr">
        <is>
          <t>التصنيف</t>
        </is>
      </c>
      <c r="D62" s="19" t="inlineStr">
        <is>
          <t>عمّال</t>
        </is>
      </c>
      <c r="E62" s="19" t="inlineStr">
        <is>
          <t>حصة الطلب المسائية</t>
        </is>
      </c>
      <c r="F62" s="19" t="inlineStr">
        <is>
          <t>حصة العمالة المسائية</t>
        </is>
      </c>
      <c r="G62" s="19" t="inlineStr"/>
      <c r="H62" s="19" t="inlineStr">
        <is>
          <t>الاختلال</t>
        </is>
      </c>
      <c r="I62" s="19" t="inlineStr">
        <is>
          <t>حِمل صباحي</t>
        </is>
      </c>
      <c r="J62" s="19" t="inlineStr">
        <is>
          <t>حِمل مسائي</t>
        </is>
      </c>
      <c r="K62" s="19" t="inlineStr">
        <is>
          <t>عمّال قابلون للنقل</t>
        </is>
      </c>
    </row>
    <row r="63">
      <c r="B63" s="20" t="inlineStr">
        <is>
          <t>كورنيش الخبر</t>
        </is>
      </c>
      <c r="C63" s="22" t="inlineStr">
        <is>
          <t>حيوية</t>
        </is>
      </c>
      <c r="D63" s="39" t="n">
        <v>5</v>
      </c>
      <c r="E63" s="41" t="n">
        <v>0.6794617784711389</v>
      </c>
      <c r="F63" s="41" t="n">
        <v>0.5045719461792246</v>
      </c>
      <c r="G63" s="43" t="inlineStr"/>
      <c r="H63" s="123">
        <f>E63-F63</f>
        <v/>
      </c>
      <c r="I63" s="39" t="n">
        <v>78.24946696720509</v>
      </c>
      <c r="J63" s="39" t="n">
        <v>162.8636227531177</v>
      </c>
      <c r="K63" s="40" t="n">
        <v>0.8744491614595712</v>
      </c>
    </row>
    <row r="64">
      <c r="B64" s="20" t="inlineStr">
        <is>
          <t>المركب</t>
        </is>
      </c>
      <c r="C64" s="22" t="inlineStr">
        <is>
          <t>نائية</t>
        </is>
      </c>
      <c r="D64" s="39" t="n">
        <v>7</v>
      </c>
      <c r="E64" s="41" t="n">
        <v>0.6905984594114162</v>
      </c>
      <c r="F64" s="41" t="n">
        <v>0.535248181019769</v>
      </c>
      <c r="G64" s="43" t="inlineStr"/>
      <c r="H64" s="123">
        <f>E64-F64</f>
        <v/>
      </c>
      <c r="I64" s="39" t="n">
        <v>26.02792415760215</v>
      </c>
      <c r="J64" s="39" t="n">
        <v>50.4438893160905</v>
      </c>
      <c r="K64" s="40" t="n">
        <v>1.08745194874153</v>
      </c>
    </row>
    <row r="65">
      <c r="B65" s="20" t="inlineStr">
        <is>
          <t>الملك خالد</t>
        </is>
      </c>
      <c r="C65" s="22" t="inlineStr">
        <is>
          <t>حي</t>
        </is>
      </c>
      <c r="D65" s="39" t="n">
        <v>7</v>
      </c>
      <c r="E65" s="41" t="n">
        <v>0.6574743432517911</v>
      </c>
      <c r="F65" s="41" t="n">
        <v>0.5095298920717504</v>
      </c>
      <c r="G65" s="43" t="inlineStr"/>
      <c r="H65" s="123">
        <f>E65-F65</f>
        <v/>
      </c>
      <c r="I65" s="39" t="n">
        <v>68.31710533465747</v>
      </c>
      <c r="J65" s="39" t="n">
        <v>126.2286784853886</v>
      </c>
      <c r="K65" s="40" t="n">
        <v>1.035611158260285</v>
      </c>
    </row>
    <row r="66">
      <c r="B66" s="20" t="inlineStr">
        <is>
          <t>المعيصم</t>
        </is>
      </c>
      <c r="C66" s="22" t="inlineStr">
        <is>
          <t>حيوية</t>
        </is>
      </c>
      <c r="D66" s="39" t="n">
        <v>4</v>
      </c>
      <c r="E66" s="41" t="n">
        <v>0.6948915325402379</v>
      </c>
      <c r="F66" s="41" t="n">
        <v>0.5555555555555556</v>
      </c>
      <c r="G66" s="43" t="inlineStr"/>
      <c r="H66" s="123">
        <f>E66-F66</f>
        <v/>
      </c>
      <c r="I66" s="39" t="n">
        <v>2.313679245283019</v>
      </c>
      <c r="J66" s="39" t="n">
        <v>4.215566037735848</v>
      </c>
      <c r="K66" s="40" t="n">
        <v>0.5573439079387295</v>
      </c>
    </row>
    <row r="67">
      <c r="B67" s="20" t="inlineStr">
        <is>
          <t>الكوثر</t>
        </is>
      </c>
      <c r="C67" s="22" t="inlineStr">
        <is>
          <t>حيوية</t>
        </is>
      </c>
      <c r="D67" s="39" t="n">
        <v>6</v>
      </c>
      <c r="E67" s="41" t="n">
        <v>0.6277637285788961</v>
      </c>
      <c r="F67" s="41" t="n">
        <v>0.5022380642227132</v>
      </c>
      <c r="G67" s="43" t="inlineStr"/>
      <c r="H67" s="123">
        <f>E67-F67</f>
        <v/>
      </c>
      <c r="I67" s="39" t="n">
        <v>41.61394230686092</v>
      </c>
      <c r="J67" s="39" t="n">
        <v>69.55501502000475</v>
      </c>
      <c r="K67" s="40" t="n">
        <v>0.7531539861370971</v>
      </c>
    </row>
    <row r="68">
      <c r="B68" s="20" t="inlineStr">
        <is>
          <t>الرصيفة المسار</t>
        </is>
      </c>
      <c r="C68" s="22" t="inlineStr">
        <is>
          <t>حيوية</t>
        </is>
      </c>
      <c r="D68" s="39" t="n">
        <v>7</v>
      </c>
      <c r="E68" s="41" t="n">
        <v>0.6231442885005163</v>
      </c>
      <c r="F68" s="41" t="n">
        <v>0.4988666771892847</v>
      </c>
      <c r="G68" s="43" t="inlineStr"/>
      <c r="H68" s="123">
        <f>E68-F68</f>
        <v/>
      </c>
      <c r="I68" s="39" t="n">
        <v>114.1941240611775</v>
      </c>
      <c r="J68" s="39" t="n">
        <v>189.6819743369203</v>
      </c>
      <c r="K68" s="40" t="n">
        <v>0.8699432791786208</v>
      </c>
    </row>
    <row r="69">
      <c r="B69" s="20" t="inlineStr">
        <is>
          <t>البيعة</t>
        </is>
      </c>
      <c r="C69" s="22" t="inlineStr">
        <is>
          <t>حي</t>
        </is>
      </c>
      <c r="D69" s="39" t="n">
        <v>7</v>
      </c>
      <c r="E69" s="41" t="n">
        <v>0.6247154740719282</v>
      </c>
      <c r="F69" s="41" t="n">
        <v>0.5031508337052949</v>
      </c>
      <c r="G69" s="43" t="inlineStr"/>
      <c r="H69" s="123">
        <f>E69-F69</f>
        <v/>
      </c>
      <c r="I69" s="39" t="n">
        <v>49.19410190380085</v>
      </c>
      <c r="J69" s="39" t="n">
        <v>80.86507824454782</v>
      </c>
      <c r="K69" s="40" t="n">
        <v>0.850952482566433</v>
      </c>
    </row>
    <row r="70">
      <c r="B70" s="20" t="inlineStr">
        <is>
          <t>الحليس - طريق الجنوب</t>
        </is>
      </c>
      <c r="C70" s="22" t="inlineStr">
        <is>
          <t>مختلط</t>
        </is>
      </c>
      <c r="D70" s="39" t="n">
        <v>9</v>
      </c>
      <c r="E70" s="41" t="n">
        <v>0.6233979333895073</v>
      </c>
      <c r="F70" s="41" t="n">
        <v>0.5025821781154207</v>
      </c>
      <c r="G70" s="43" t="inlineStr"/>
      <c r="H70" s="123">
        <f>E70-F70</f>
        <v/>
      </c>
      <c r="I70" s="39" t="n">
        <v>154.3994408981031</v>
      </c>
      <c r="J70" s="39" t="n">
        <v>252.9546340715571</v>
      </c>
      <c r="K70" s="40" t="n">
        <v>1.08734179746678</v>
      </c>
    </row>
    <row r="71">
      <c r="B71" s="20" t="inlineStr">
        <is>
          <t>الجعرانة</t>
        </is>
      </c>
      <c r="C71" s="22" t="inlineStr">
        <is>
          <t>حي</t>
        </is>
      </c>
      <c r="D71" s="39" t="n">
        <v>6</v>
      </c>
      <c r="E71" s="41" t="n">
        <v>0.6011169850648422</v>
      </c>
      <c r="F71" s="41" t="n">
        <v>0.4898715766008016</v>
      </c>
      <c r="G71" s="43" t="inlineStr"/>
      <c r="H71" s="123">
        <f>E71-F71</f>
        <v/>
      </c>
      <c r="I71" s="39" t="n">
        <v>146.2805284376734</v>
      </c>
      <c r="J71" s="39" t="n">
        <v>229.5605502559817</v>
      </c>
      <c r="K71" s="40" t="n">
        <v>0.6674724507842441</v>
      </c>
    </row>
    <row r="72">
      <c r="B72" s="20" t="inlineStr">
        <is>
          <t>طريق السلام</t>
        </is>
      </c>
      <c r="C72" s="22" t="inlineStr">
        <is>
          <t>خط سفر</t>
        </is>
      </c>
      <c r="D72" s="39" t="n">
        <v>8</v>
      </c>
      <c r="E72" s="41" t="n">
        <v>0.6027010435850215</v>
      </c>
      <c r="F72" s="41" t="n">
        <v>0.4936634116495773</v>
      </c>
      <c r="G72" s="43" t="inlineStr"/>
      <c r="H72" s="123">
        <f>E72-F72</f>
        <v/>
      </c>
      <c r="I72" s="39" t="n">
        <v>22.82502020008961</v>
      </c>
      <c r="J72" s="39" t="n">
        <v>35.51436554424637</v>
      </c>
      <c r="K72" s="40" t="n">
        <v>0.872301055483554</v>
      </c>
    </row>
    <row r="73">
      <c r="B73" s="20" t="inlineStr">
        <is>
          <t>النسيم</t>
        </is>
      </c>
      <c r="C73" s="22" t="inlineStr">
        <is>
          <t>حيوية</t>
        </is>
      </c>
      <c r="D73" s="39" t="n">
        <v>12</v>
      </c>
      <c r="E73" s="41" t="n">
        <v>0.5944012182148146</v>
      </c>
      <c r="F73" s="41" t="n">
        <v>0.504788221040735</v>
      </c>
      <c r="G73" s="43" t="inlineStr"/>
      <c r="H73" s="123">
        <f>E73-F73</f>
        <v/>
      </c>
      <c r="I73" s="39" t="n">
        <v>136.3333663645396</v>
      </c>
      <c r="J73" s="39" t="n">
        <v>196.0049147308411</v>
      </c>
      <c r="K73" s="40" t="n">
        <v>1.075355966088956</v>
      </c>
    </row>
    <row r="74">
      <c r="B74" s="20" t="inlineStr">
        <is>
          <t>جنوب الطائف</t>
        </is>
      </c>
      <c r="C74" s="22" t="inlineStr">
        <is>
          <t>حيوية</t>
        </is>
      </c>
      <c r="D74" s="39" t="n">
        <v>17</v>
      </c>
      <c r="E74" s="41" t="n">
        <v>0.6420709083413495</v>
      </c>
      <c r="F74" s="41" t="n">
        <v>0.5527494982263496</v>
      </c>
      <c r="G74" s="43" t="inlineStr"/>
      <c r="H74" s="123">
        <f>E74-F74</f>
        <v/>
      </c>
      <c r="I74" s="39" t="n">
        <v>77.85686975437758</v>
      </c>
      <c r="J74" s="39" t="n">
        <v>113.007017451754</v>
      </c>
      <c r="K74" s="40" t="n">
        <v>1.518463971954999</v>
      </c>
    </row>
    <row r="75">
      <c r="B75" s="20" t="inlineStr">
        <is>
          <t>بن درويش</t>
        </is>
      </c>
      <c r="C75" s="22" t="inlineStr">
        <is>
          <t>حيوية</t>
        </is>
      </c>
      <c r="D75" s="39" t="n">
        <v>10</v>
      </c>
      <c r="E75" s="41" t="n">
        <v>0.6041918222606353</v>
      </c>
      <c r="F75" s="41" t="n">
        <v>0.5157669309532762</v>
      </c>
      <c r="G75" s="43" t="inlineStr"/>
      <c r="H75" s="123">
        <f>E75-F75</f>
        <v/>
      </c>
      <c r="I75" s="39" t="n">
        <v>60.66975546430046</v>
      </c>
      <c r="J75" s="39" t="n">
        <v>86.94873658530561</v>
      </c>
      <c r="K75" s="40" t="n">
        <v>0.8842489130735909</v>
      </c>
    </row>
    <row r="76">
      <c r="B76" s="20" t="inlineStr">
        <is>
          <t>الدائري الشمالي</t>
        </is>
      </c>
      <c r="C76" s="22" t="inlineStr">
        <is>
          <t>—</t>
        </is>
      </c>
      <c r="D76" s="39" t="n">
        <v>9</v>
      </c>
      <c r="E76" s="41" t="n">
        <v>0.6453717085256092</v>
      </c>
      <c r="F76" s="41" t="n">
        <v>0.5614036158584428</v>
      </c>
      <c r="G76" s="43" t="inlineStr"/>
      <c r="H76" s="123">
        <f>E76-F76</f>
        <v/>
      </c>
      <c r="I76" s="39" t="n">
        <v>75.9450499890754</v>
      </c>
      <c r="J76" s="39" t="n">
        <v>107.9756574699131</v>
      </c>
      <c r="K76" s="40" t="n">
        <v>0.7557128340044978</v>
      </c>
    </row>
    <row r="77">
      <c r="B77" s="20" t="inlineStr">
        <is>
          <t>الدائري الشرقي</t>
        </is>
      </c>
      <c r="C77" s="22" t="inlineStr">
        <is>
          <t>خط سفر</t>
        </is>
      </c>
      <c r="D77" s="39" t="n">
        <v>6</v>
      </c>
      <c r="E77" s="41" t="n">
        <v>0.6210899605492918</v>
      </c>
      <c r="F77" s="41" t="n">
        <v>0.5375068190228477</v>
      </c>
      <c r="G77" s="43" t="inlineStr"/>
      <c r="H77" s="123">
        <f>E77-F77</f>
        <v/>
      </c>
      <c r="I77" s="39" t="n">
        <v>59.75440812104303</v>
      </c>
      <c r="J77" s="39" t="n">
        <v>84.27712300327349</v>
      </c>
      <c r="K77" s="40" t="n">
        <v>0.5014988491586645</v>
      </c>
    </row>
    <row r="78">
      <c r="B78" s="20" t="inlineStr">
        <is>
          <t>كورنيش جيزان</t>
        </is>
      </c>
      <c r="C78" s="22" t="inlineStr">
        <is>
          <t>حيوية</t>
        </is>
      </c>
      <c r="D78" s="39" t="n">
        <v>10</v>
      </c>
      <c r="E78" s="41" t="n">
        <v>0.5065868761168599</v>
      </c>
      <c r="F78" s="41" t="n">
        <v>0.4336069443757361</v>
      </c>
      <c r="G78" s="43" t="inlineStr"/>
      <c r="H78" s="123">
        <f>E78-F78</f>
        <v/>
      </c>
      <c r="I78" s="39" t="n">
        <v>79.10367745509184</v>
      </c>
      <c r="J78" s="39" t="n">
        <v>106.0868618380321</v>
      </c>
      <c r="K78" s="40" t="n">
        <v>0.7297993174112383</v>
      </c>
    </row>
    <row r="79">
      <c r="B79" s="20" t="inlineStr">
        <is>
          <t>القسوم - أحد المسارحة</t>
        </is>
      </c>
      <c r="C79" s="22" t="inlineStr">
        <is>
          <t>حيوية</t>
        </is>
      </c>
      <c r="D79" s="39" t="n">
        <v>7</v>
      </c>
      <c r="E79" s="41" t="n">
        <v>0.6005685772592688</v>
      </c>
      <c r="F79" s="41" t="n">
        <v>0.5448504039864408</v>
      </c>
      <c r="G79" s="43" t="inlineStr"/>
      <c r="H79" s="123">
        <f>E79-F79</f>
        <v/>
      </c>
      <c r="I79" s="39" t="n">
        <v>107.3525546093558</v>
      </c>
      <c r="J79" s="39" t="n">
        <v>134.8371753578029</v>
      </c>
      <c r="K79" s="40" t="n">
        <v>0.3900272129097961</v>
      </c>
    </row>
    <row r="80">
      <c r="B80" s="20" t="inlineStr">
        <is>
          <t>عاصفة الصحراء</t>
        </is>
      </c>
      <c r="C80" s="22" t="inlineStr">
        <is>
          <t>حيوية</t>
        </is>
      </c>
      <c r="D80" s="39" t="n">
        <v>16</v>
      </c>
      <c r="E80" s="41" t="n">
        <v>0.6019709878306152</v>
      </c>
      <c r="F80" s="41" t="n">
        <v>0.5472252915955358</v>
      </c>
      <c r="G80" s="43" t="inlineStr"/>
      <c r="H80" s="123">
        <f>E80-F80</f>
        <v/>
      </c>
      <c r="I80" s="39" t="n">
        <v>121.4200376272729</v>
      </c>
      <c r="J80" s="39" t="n">
        <v>151.9382756792761</v>
      </c>
      <c r="K80" s="40" t="n">
        <v>0.8759311397612706</v>
      </c>
    </row>
    <row r="81">
      <c r="B81" s="20" t="inlineStr">
        <is>
          <t>الدائري الثالث - الذكرى</t>
        </is>
      </c>
      <c r="C81" s="22" t="inlineStr">
        <is>
          <t>—</t>
        </is>
      </c>
      <c r="D81" s="39" t="n">
        <v>9</v>
      </c>
      <c r="E81" s="41" t="n">
        <v>0.6153154371492325</v>
      </c>
      <c r="F81" s="41" t="n">
        <v>0.5669308115136531</v>
      </c>
      <c r="G81" s="43" t="inlineStr"/>
      <c r="H81" s="123">
        <f>E81-F81</f>
        <v/>
      </c>
      <c r="I81" s="39" t="n">
        <v>68.85062882929716</v>
      </c>
      <c r="J81" s="39" t="n">
        <v>84.12560273285926</v>
      </c>
      <c r="K81" s="40" t="n">
        <v>0.4354616307202149</v>
      </c>
    </row>
    <row r="82">
      <c r="B82" s="20" t="inlineStr">
        <is>
          <t>الأجاويد</t>
        </is>
      </c>
      <c r="C82" s="22" t="inlineStr">
        <is>
          <t>حيوية</t>
        </is>
      </c>
      <c r="D82" s="39" t="n">
        <v>5</v>
      </c>
      <c r="E82" s="41" t="n">
        <v>0.5894205043122132</v>
      </c>
      <c r="F82" s="41" t="n">
        <v>0.5413680839229251</v>
      </c>
      <c r="G82" s="43" t="inlineStr"/>
      <c r="H82" s="123">
        <f>E82-F82</f>
        <v/>
      </c>
      <c r="I82" s="39" t="n">
        <v>169.5094695876415</v>
      </c>
      <c r="J82" s="39" t="n">
        <v>206.1548578346703</v>
      </c>
      <c r="K82" s="40" t="n">
        <v>0.2402621019464402</v>
      </c>
    </row>
    <row r="83">
      <c r="B83" s="20" t="inlineStr">
        <is>
          <t>جنوب صبيا</t>
        </is>
      </c>
      <c r="C83" s="22" t="inlineStr">
        <is>
          <t>مختلط</t>
        </is>
      </c>
      <c r="D83" s="39" t="n">
        <v>7</v>
      </c>
      <c r="E83" s="41" t="n">
        <v>0.5776310964429776</v>
      </c>
      <c r="F83" s="41" t="n">
        <v>0.5333999260096741</v>
      </c>
      <c r="G83" s="43" t="inlineStr"/>
      <c r="H83" s="123">
        <f>E83-F83</f>
        <v/>
      </c>
      <c r="I83" s="39" t="n">
        <v>185.6011359337976</v>
      </c>
      <c r="J83" s="39" t="n">
        <v>222.0399449838241</v>
      </c>
      <c r="K83" s="40" t="n">
        <v>0.3096181930331244</v>
      </c>
    </row>
    <row r="84">
      <c r="B84" s="20" t="inlineStr">
        <is>
          <t>الحسينية</t>
        </is>
      </c>
      <c r="C84" s="22" t="inlineStr">
        <is>
          <t>حي</t>
        </is>
      </c>
      <c r="D84" s="39" t="n">
        <v>7</v>
      </c>
      <c r="E84" s="41" t="n">
        <v>0.5860982964055966</v>
      </c>
      <c r="F84" s="41" t="n">
        <v>0.5467252879878347</v>
      </c>
      <c r="G84" s="43" t="inlineStr"/>
      <c r="H84" s="123">
        <f>E84-F84</f>
        <v/>
      </c>
      <c r="I84" s="39" t="n">
        <v>221.4530478271692</v>
      </c>
      <c r="J84" s="39" t="n">
        <v>259.9843676733423</v>
      </c>
      <c r="K84" s="40" t="n">
        <v>0.2756110589243335</v>
      </c>
    </row>
    <row r="85">
      <c r="B85" s="20" t="inlineStr">
        <is>
          <t>الروابي - المودة</t>
        </is>
      </c>
      <c r="C85" s="22" t="inlineStr">
        <is>
          <t>حي</t>
        </is>
      </c>
      <c r="D85" s="39" t="n">
        <v>7</v>
      </c>
      <c r="E85" s="41" t="n">
        <v>0.5767795210569777</v>
      </c>
      <c r="F85" s="41" t="n">
        <v>0.5377115844807466</v>
      </c>
      <c r="G85" s="43" t="inlineStr"/>
      <c r="H85" s="123">
        <f>E85-F85</f>
        <v/>
      </c>
      <c r="I85" s="39" t="n">
        <v>37.35372440748881</v>
      </c>
      <c r="J85" s="39" t="n">
        <v>43.76638592433862</v>
      </c>
      <c r="K85" s="40" t="n">
        <v>0.2734755560336176</v>
      </c>
    </row>
    <row r="86">
      <c r="B86" s="20" t="inlineStr">
        <is>
          <t>العمرة الجديدة</t>
        </is>
      </c>
      <c r="C86" s="22" t="inlineStr">
        <is>
          <t>حيوية</t>
        </is>
      </c>
      <c r="D86" s="39" t="n">
        <v>26</v>
      </c>
      <c r="E86" s="41" t="n">
        <v>0.6003854976706287</v>
      </c>
      <c r="F86" s="41" t="n">
        <v>0.5669997721913275</v>
      </c>
      <c r="G86" s="43" t="inlineStr"/>
      <c r="H86" s="123">
        <f>E86-F86</f>
        <v/>
      </c>
      <c r="I86" s="39" t="n">
        <v>151.2345141977164</v>
      </c>
      <c r="J86" s="39" t="n">
        <v>173.5182298693549</v>
      </c>
      <c r="K86" s="40" t="n">
        <v>0.8680288624618309</v>
      </c>
    </row>
    <row r="87">
      <c r="B87" s="20" t="inlineStr">
        <is>
          <t>الجموم - الكنيدري</t>
        </is>
      </c>
      <c r="C87" s="22" t="inlineStr">
        <is>
          <t>مختلط</t>
        </is>
      </c>
      <c r="D87" s="39" t="n">
        <v>9</v>
      </c>
      <c r="E87" s="41" t="n">
        <v>0.6047160333916378</v>
      </c>
      <c r="F87" s="41" t="n">
        <v>0.5739049785467152</v>
      </c>
      <c r="G87" s="43" t="inlineStr"/>
      <c r="H87" s="123">
        <f>E87-F87</f>
        <v/>
      </c>
      <c r="I87" s="39" t="n">
        <v>95.34442816289992</v>
      </c>
      <c r="J87" s="39" t="n">
        <v>108.2939190466576</v>
      </c>
      <c r="K87" s="40" t="n">
        <v>0.2772994936043037</v>
      </c>
    </row>
    <row r="88">
      <c r="B88" s="20" t="inlineStr">
        <is>
          <t>العوالي</t>
        </is>
      </c>
      <c r="C88" s="22" t="inlineStr">
        <is>
          <t>خط سفر</t>
        </is>
      </c>
      <c r="D88" s="39" t="n">
        <v>23</v>
      </c>
      <c r="E88" s="41" t="n">
        <v>0.6115027931171737</v>
      </c>
      <c r="F88" s="41" t="n">
        <v>0.5820168014986283</v>
      </c>
      <c r="G88" s="43" t="inlineStr"/>
      <c r="H88" s="123">
        <f>E88-F88</f>
        <v/>
      </c>
      <c r="I88" s="39" t="n">
        <v>83.32817833791142</v>
      </c>
      <c r="J88" s="39" t="n">
        <v>94.19454118365705</v>
      </c>
      <c r="K88" s="40" t="n">
        <v>0.6781778072265435</v>
      </c>
    </row>
    <row r="89">
      <c r="B89" s="20" t="inlineStr">
        <is>
          <t>خليص</t>
        </is>
      </c>
      <c r="C89" s="22" t="inlineStr">
        <is>
          <t>خط سفر</t>
        </is>
      </c>
      <c r="D89" s="39" t="n">
        <v>6</v>
      </c>
      <c r="E89" s="41" t="n">
        <v>0.6079096812145072</v>
      </c>
      <c r="F89" s="41" t="n">
        <v>0.5794295391250606</v>
      </c>
      <c r="G89" s="43" t="inlineStr"/>
      <c r="H89" s="123">
        <f>E89-F89</f>
        <v/>
      </c>
      <c r="I89" s="39" t="n">
        <v>64.78920943774639</v>
      </c>
      <c r="J89" s="39" t="n">
        <v>72.91111773435776</v>
      </c>
      <c r="K89" s="40" t="n">
        <v>0.1708808525366796</v>
      </c>
    </row>
    <row r="90">
      <c r="B90" s="20" t="inlineStr">
        <is>
          <t>طريق السيل</t>
        </is>
      </c>
      <c r="C90" s="22" t="inlineStr">
        <is>
          <t>خط سفر</t>
        </is>
      </c>
      <c r="D90" s="39" t="n">
        <v>17</v>
      </c>
      <c r="E90" s="41" t="n">
        <v>0.6486344387194218</v>
      </c>
      <c r="F90" s="41" t="n">
        <v>0.6264379809928798</v>
      </c>
      <c r="G90" s="43" t="inlineStr"/>
      <c r="H90" s="123">
        <f>E90-F90</f>
        <v/>
      </c>
      <c r="I90" s="39" t="n">
        <v>40.75944512121318</v>
      </c>
      <c r="J90" s="39" t="n">
        <v>44.8697559166342</v>
      </c>
      <c r="K90" s="40" t="n">
        <v>0.3773397813512139</v>
      </c>
    </row>
    <row r="91">
      <c r="B91" s="20" t="inlineStr">
        <is>
          <t>مدخل محايل</t>
        </is>
      </c>
      <c r="C91" s="22" t="inlineStr">
        <is>
          <t>مختلط</t>
        </is>
      </c>
      <c r="D91" s="39" t="n">
        <v>6</v>
      </c>
      <c r="E91" s="41" t="n">
        <v>0.6469821927829162</v>
      </c>
      <c r="F91" s="41" t="n">
        <v>0.6279333448655201</v>
      </c>
      <c r="G91" s="43" t="inlineStr"/>
      <c r="H91" s="123">
        <f>E91-F91</f>
        <v/>
      </c>
      <c r="I91" s="39" t="n">
        <v>157.8032659554293</v>
      </c>
      <c r="J91" s="39" t="n">
        <v>171.3637297332012</v>
      </c>
      <c r="K91" s="40" t="n">
        <v>0.1142930875043768</v>
      </c>
    </row>
    <row r="92">
      <c r="B92" s="20" t="inlineStr">
        <is>
          <t>طريق الليث - الفضيلة</t>
        </is>
      </c>
      <c r="C92" s="22" t="inlineStr">
        <is>
          <t>خط سفر</t>
        </is>
      </c>
      <c r="D92" s="39" t="n">
        <v>29</v>
      </c>
      <c r="E92" s="41" t="n">
        <v>0.6221188229718668</v>
      </c>
      <c r="F92" s="41" t="n">
        <v>0.6039630871690675</v>
      </c>
      <c r="G92" s="43" t="inlineStr"/>
      <c r="H92" s="123">
        <f>E92-F92</f>
        <v/>
      </c>
      <c r="I92" s="39" t="n">
        <v>18.44654796819539</v>
      </c>
      <c r="J92" s="39" t="n">
        <v>19.91399793962868</v>
      </c>
      <c r="K92" s="40" t="n">
        <v>0.5265163382811791</v>
      </c>
    </row>
    <row r="93">
      <c r="B93" s="20" t="inlineStr">
        <is>
          <t>خبت نخلان</t>
        </is>
      </c>
      <c r="C93" s="22" t="inlineStr">
        <is>
          <t>نائية</t>
        </is>
      </c>
      <c r="D93" s="39" t="n">
        <v>9</v>
      </c>
      <c r="E93" s="41" t="n">
        <v>0.5839407604722369</v>
      </c>
      <c r="F93" s="41" t="n">
        <v>0.5673314415317832</v>
      </c>
      <c r="G93" s="43" t="inlineStr"/>
      <c r="H93" s="123">
        <f>E93-F93</f>
        <v/>
      </c>
      <c r="I93" s="39" t="n">
        <v>69.62664946387662</v>
      </c>
      <c r="J93" s="39" t="n">
        <v>74.52596372538109</v>
      </c>
      <c r="K93" s="40" t="n">
        <v>0.1494838704640833</v>
      </c>
    </row>
    <row r="94">
      <c r="B94" s="20" t="inlineStr">
        <is>
          <t>الصفا - أحد المسارحة</t>
        </is>
      </c>
      <c r="C94" s="22" t="inlineStr">
        <is>
          <t>حيوية</t>
        </is>
      </c>
      <c r="D94" s="39" t="n">
        <v>11</v>
      </c>
      <c r="E94" s="41" t="n">
        <v>0.6120752242441275</v>
      </c>
      <c r="F94" s="41" t="n">
        <v>0.5999928600743686</v>
      </c>
      <c r="G94" s="43" t="inlineStr"/>
      <c r="H94" s="123">
        <f>E94-F94</f>
        <v/>
      </c>
      <c r="I94" s="39" t="n">
        <v>163.6729677960184</v>
      </c>
      <c r="J94" s="39" t="n">
        <v>172.1693742224083</v>
      </c>
      <c r="K94" s="40" t="n">
        <v>0.1329060058673484</v>
      </c>
    </row>
    <row r="95">
      <c r="B95" s="20" t="inlineStr">
        <is>
          <t>الجمعية الوسام</t>
        </is>
      </c>
      <c r="C95" s="22" t="inlineStr">
        <is>
          <t>مختلط</t>
        </is>
      </c>
      <c r="D95" s="39" t="n">
        <v>2</v>
      </c>
      <c r="E95" s="41" t="n">
        <v>0.59375</v>
      </c>
      <c r="F95" s="41" t="n">
        <v>0.5910984675875897</v>
      </c>
      <c r="G95" s="43" t="inlineStr"/>
      <c r="H95" s="123">
        <f>E95-F95</f>
        <v/>
      </c>
      <c r="I95" s="39" t="n">
        <v>2.178673527845645</v>
      </c>
      <c r="J95" s="39" t="n">
        <v>2.202730218819008</v>
      </c>
      <c r="K95" s="40" t="n">
        <v>0.00530306482482068</v>
      </c>
    </row>
    <row r="96">
      <c r="B96" s="20" t="inlineStr">
        <is>
          <t>أبو وافي العمرة</t>
        </is>
      </c>
      <c r="C96" s="22" t="inlineStr">
        <is>
          <t>خط سفر</t>
        </is>
      </c>
      <c r="D96" s="39" t="n">
        <v>15</v>
      </c>
      <c r="E96" s="41" t="n">
        <v>0.5945034445571977</v>
      </c>
      <c r="F96" s="41" t="n">
        <v>0.5927613544222347</v>
      </c>
      <c r="G96" s="43" t="inlineStr"/>
      <c r="H96" s="123">
        <f>E96-F96</f>
        <v/>
      </c>
      <c r="I96" s="39" t="n">
        <v>93.49361670344575</v>
      </c>
      <c r="J96" s="39" t="n">
        <v>94.17123563461524</v>
      </c>
      <c r="K96" s="40" t="n">
        <v>0.02613135202444605</v>
      </c>
    </row>
    <row r="97">
      <c r="B97" s="20" t="inlineStr">
        <is>
          <t>الفلاح - فلسطين</t>
        </is>
      </c>
      <c r="C97" s="22" t="inlineStr">
        <is>
          <t>حيوية</t>
        </is>
      </c>
      <c r="D97" s="39" t="n">
        <v>1</v>
      </c>
      <c r="E97" s="41" t="n">
        <v>0.6163719744795727</v>
      </c>
      <c r="F97" s="41" t="n">
        <v>0.6163719744795728</v>
      </c>
      <c r="G97" s="43" t="inlineStr"/>
      <c r="H97" s="123">
        <f>E97-F97</f>
        <v/>
      </c>
      <c r="I97" s="39" t="n">
        <v>1340.191011235955</v>
      </c>
      <c r="J97" s="39" t="n">
        <v>1340.191011235955</v>
      </c>
      <c r="K97" s="40" t="n">
        <v>-1.110223024625157e-16</v>
      </c>
    </row>
    <row r="98">
      <c r="B98" s="20" t="inlineStr">
        <is>
          <t>الشيباني</t>
        </is>
      </c>
      <c r="C98" s="22" t="inlineStr">
        <is>
          <t>حيوية</t>
        </is>
      </c>
      <c r="D98" s="39" t="n">
        <v>10</v>
      </c>
      <c r="E98" s="41" t="n">
        <v>0.6221521356298283</v>
      </c>
      <c r="F98" s="41" t="n">
        <v>0.6222602919162876</v>
      </c>
      <c r="G98" s="43" t="inlineStr"/>
      <c r="H98" s="123">
        <f>E98-F98</f>
        <v/>
      </c>
      <c r="I98" s="39" t="n">
        <v>173.4251736477947</v>
      </c>
      <c r="J98" s="39" t="n">
        <v>173.3453971723455</v>
      </c>
      <c r="K98" s="40" t="n">
        <v>-0.001081562864593266</v>
      </c>
    </row>
    <row r="99">
      <c r="B99" s="20" t="inlineStr">
        <is>
          <t>جبل ثور - جوهرة النسيم</t>
        </is>
      </c>
      <c r="C99" s="22" t="inlineStr">
        <is>
          <t>حيوية</t>
        </is>
      </c>
      <c r="D99" s="39" t="n">
        <v>4</v>
      </c>
      <c r="E99" s="41" t="n">
        <v>0.6002599766021058</v>
      </c>
      <c r="F99" s="41" t="n">
        <v>0.6170550126864363</v>
      </c>
      <c r="G99" s="43" t="inlineStr"/>
      <c r="H99" s="123">
        <f>E99-F99</f>
        <v/>
      </c>
      <c r="I99" s="39" t="n">
        <v>115.3792568377407</v>
      </c>
      <c r="J99" s="39" t="n">
        <v>107.5231539900652</v>
      </c>
      <c r="K99" s="40" t="n">
        <v>-0.06718014433732167</v>
      </c>
    </row>
    <row r="100">
      <c r="B100" s="20" t="inlineStr">
        <is>
          <t>الكر النازل</t>
        </is>
      </c>
      <c r="C100" s="22" t="inlineStr">
        <is>
          <t>خط سفر</t>
        </is>
      </c>
      <c r="D100" s="39" t="n">
        <v>3</v>
      </c>
      <c r="E100" s="41" t="n">
        <v>0.6356633169551369</v>
      </c>
      <c r="F100" s="41" t="n">
        <v>0.6542535579234242</v>
      </c>
      <c r="G100" s="43" t="inlineStr"/>
      <c r="H100" s="123">
        <f>E100-F100</f>
        <v/>
      </c>
      <c r="I100" s="39" t="n">
        <v>201.3145042559537</v>
      </c>
      <c r="J100" s="39" t="n">
        <v>185.6140907062466</v>
      </c>
      <c r="K100" s="40" t="n">
        <v>-0.05577072290486196</v>
      </c>
    </row>
    <row r="101">
      <c r="B101" s="20" t="inlineStr">
        <is>
          <t>العزيزية</t>
        </is>
      </c>
      <c r="C101" s="22" t="inlineStr">
        <is>
          <t>—</t>
        </is>
      </c>
      <c r="D101" s="39" t="n">
        <v>5</v>
      </c>
      <c r="E101" s="41" t="n">
        <v>0.577598014038692</v>
      </c>
      <c r="F101" s="41" t="n">
        <v>0.6008464672192969</v>
      </c>
      <c r="G101" s="43" t="inlineStr"/>
      <c r="H101" s="123">
        <f>E101-F101</f>
        <v/>
      </c>
      <c r="I101" s="39" t="n">
        <v>210.9226510924279</v>
      </c>
      <c r="J101" s="39" t="n">
        <v>191.6017302749614</v>
      </c>
      <c r="K101" s="40" t="n">
        <v>-0.1162422659030243</v>
      </c>
    </row>
    <row r="102">
      <c r="B102" s="20" t="inlineStr">
        <is>
          <t>الناصفة</t>
        </is>
      </c>
      <c r="C102" s="22" t="inlineStr">
        <is>
          <t>حي</t>
        </is>
      </c>
      <c r="D102" s="39" t="n">
        <v>8</v>
      </c>
      <c r="E102" s="41" t="n">
        <v>0.6434590207160626</v>
      </c>
      <c r="F102" s="41" t="n">
        <v>0.669725485460519</v>
      </c>
      <c r="G102" s="43" t="inlineStr"/>
      <c r="H102" s="123">
        <f>E102-F102</f>
        <v/>
      </c>
      <c r="I102" s="39" t="n">
        <v>55.52128106678774</v>
      </c>
      <c r="J102" s="39" t="n">
        <v>49.41390273843911</v>
      </c>
      <c r="K102" s="40" t="n">
        <v>-0.210131717955651</v>
      </c>
    </row>
    <row r="103">
      <c r="B103" s="44" t="inlineStr">
        <is>
          <t>الإجمالي</t>
        </is>
      </c>
      <c r="C103" s="46" t="inlineStr"/>
      <c r="D103" s="45">
        <f>SUM(D63:D102)</f>
        <v/>
      </c>
      <c r="E103" s="98" t="n">
        <v>0.6081367059010179</v>
      </c>
      <c r="F103" s="46" t="inlineStr"/>
      <c r="G103" s="43" t="inlineStr"/>
      <c r="H103" s="46" t="inlineStr"/>
      <c r="I103" s="46" t="inlineStr"/>
      <c r="J103" s="46" t="inlineStr"/>
      <c r="K103" s="112">
        <f>SUM(K63:K102)</f>
        <v/>
      </c>
    </row>
    <row r="104" ht="40" customHeight="1">
      <c r="A104" s="38" t="inlineStr">
        <is>
          <t>«الاختلال» = حصة الطلب المسائية ناقص حصة العمالة المسائية. وهو موجبٌ في أغلب الشبكة: المساء 61٪ من المعاملات و61٪ من الإيراد. ومجموع العمّال القابلين للنقل 17 عاملاً عبر 40 محطة — نقلٌ لا توظيف، وكلفته صفر. و15 محطة بلا بيان عامل أصلاً فلا تدخل الحساب.</t>
        </is>
      </c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0" t="n"/>
      <c r="K104" s="30" t="n"/>
    </row>
  </sheetData>
  <autoFilter ref="B62:K102"/>
  <mergeCells count="8">
    <mergeCell ref="A61:K61"/>
    <mergeCell ref="A4:K4"/>
    <mergeCell ref="A104:K104"/>
    <mergeCell ref="A59:K59"/>
    <mergeCell ref="A2:K2"/>
    <mergeCell ref="A49:K49"/>
    <mergeCell ref="A51:K51"/>
    <mergeCell ref="A1:K1"/>
  </mergeCells>
  <conditionalFormatting sqref="C6:C29">
    <cfRule type="dataBar" priority="1">
      <dataBar showValue="1">
        <cfvo type="num" val="0"/>
        <cfvo type="max"/>
        <color rgb="00F7A94B"/>
      </dataBar>
    </cfRule>
  </conditionalFormatting>
  <conditionalFormatting sqref="H63:H102">
    <cfRule type="cellIs" priority="2" operator="lessThan" dxfId="1">
      <formula>0</formula>
    </cfRule>
    <cfRule type="cellIs" priority="3" operator="greaterThan" dxfId="0">
      <formula>0</formula>
    </cfRule>
  </conditionalFormatting>
  <conditionalFormatting sqref="J63:J102">
    <cfRule type="dataBar" priority="4">
      <dataBar showValue="1">
        <cfvo type="num" val="0"/>
        <cfvo type="max"/>
        <color rgb="00C0503A"/>
      </dataBar>
    </cfRule>
  </conditionalFormatting>
  <printOptions horizontalCentered="1"/>
  <pageMargins left="0.3" right="0.3" top="0.4" bottom="0.4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" customWidth="1" min="8" max="8"/>
    <col width="13" customWidth="1" min="9" max="9"/>
    <col width="30" customWidth="1" min="10" max="10"/>
  </cols>
  <sheetData>
    <row r="1" ht="26" customHeight="1">
      <c r="A1" s="1" t="inlineStr">
        <is>
          <t>كلفة اللتر — لا قيمته</t>
        </is>
      </c>
    </row>
    <row r="2" ht="16" customHeight="1">
      <c r="A2" s="2" t="inlineStr">
        <is>
          <t>القيمة تُقاس بالهامش، والتكلفة بما نُخرجه من جيبنا لنبيع لتراً: شراؤه ثم تشغيل المحطة التي باعته ثم ما يُحمَّل عليه من المركز · المصدر: قائمة الدخل · 141 محطة · 662 مليون لتر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2" customHeight="1">
      <c r="A4" s="18" t="inlineStr">
        <is>
          <t>① الطبقات الأربع — هللة لكل لتر، وبتفصيل نموذج العمل</t>
        </is>
      </c>
    </row>
    <row r="5" ht="30" customHeight="1">
      <c r="A5" s="19" t="inlineStr"/>
      <c r="B5" s="19" t="inlineStr">
        <is>
          <t>الطبقة</t>
        </is>
      </c>
      <c r="C5" s="19" t="inlineStr">
        <is>
          <t>الشبكة</t>
        </is>
      </c>
      <c r="D5" s="19" t="inlineStr">
        <is>
          <t>استثماري</t>
        </is>
      </c>
      <c r="E5" s="19" t="inlineStr">
        <is>
          <t>إيجاري</t>
        </is>
      </c>
      <c r="F5" s="19" t="inlineStr">
        <is>
          <t>تشغيلي</t>
        </is>
      </c>
      <c r="G5" s="19" t="inlineStr">
        <is>
          <t>امتياز</t>
        </is>
      </c>
      <c r="H5" s="19" t="inlineStr"/>
      <c r="I5" s="19" t="inlineStr">
        <is>
          <t>ألف ريال</t>
        </is>
      </c>
      <c r="J5" s="19" t="inlineStr">
        <is>
          <t>ما تعنيه</t>
        </is>
      </c>
    </row>
    <row r="6" ht="26" customHeight="1">
      <c r="B6" s="20" t="inlineStr">
        <is>
          <t>شراء الوقود</t>
        </is>
      </c>
      <c r="C6" s="124" t="n">
        <v>171.4143613000756</v>
      </c>
      <c r="D6" s="63" t="n">
        <v>178.1525054466231</v>
      </c>
      <c r="E6" s="63" t="n">
        <v>177.3191763191763</v>
      </c>
      <c r="F6" s="63" t="n">
        <v>179.1296033994334</v>
      </c>
      <c r="G6" s="63" t="n">
        <v>165.2377423033067</v>
      </c>
      <c r="H6" s="43" t="inlineStr"/>
      <c r="I6" s="67" t="n">
        <v>1133906</v>
      </c>
      <c r="J6" s="25" t="inlineStr">
        <is>
          <t>ما ندفعه لأرامكو — لا نملك فيه قراراً</t>
        </is>
      </c>
    </row>
    <row r="7" ht="26" customHeight="1">
      <c r="B7" s="20" t="inlineStr">
        <is>
          <t>تشغيل المحطة</t>
        </is>
      </c>
      <c r="C7" s="124" t="n">
        <v>4.321239606953893</v>
      </c>
      <c r="D7" s="63" t="n">
        <v>11.07516339869281</v>
      </c>
      <c r="E7" s="63" t="n">
        <v>5.634491634491635</v>
      </c>
      <c r="F7" s="63" t="n">
        <v>9.841359773371105</v>
      </c>
      <c r="G7" s="63" t="n">
        <v>0.04104903078677309</v>
      </c>
      <c r="H7" s="43" t="inlineStr"/>
      <c r="I7" s="67" t="n">
        <v>28585</v>
      </c>
      <c r="J7" s="25" t="inlineStr">
        <is>
          <t>أجور ومرافق وصيانة — هنا وحدها تُضبط التكلفة</t>
        </is>
      </c>
    </row>
    <row r="8" ht="26" customHeight="1">
      <c r="B8" s="20" t="inlineStr">
        <is>
          <t>بيع وتسويق</t>
        </is>
      </c>
      <c r="C8" s="124" t="n">
        <v>0.3611489040060469</v>
      </c>
      <c r="D8" s="63" t="n">
        <v>0.6503267973856209</v>
      </c>
      <c r="E8" s="63" t="n">
        <v>0.7683397683397684</v>
      </c>
      <c r="F8" s="63" t="n">
        <v>0.5077903682719547</v>
      </c>
      <c r="G8" s="63" t="n">
        <v>0.1362599771949829</v>
      </c>
      <c r="H8" s="43" t="inlineStr"/>
      <c r="I8" s="67" t="n">
        <v>2389</v>
      </c>
      <c r="J8" s="25" t="inlineStr">
        <is>
          <t>محمّل من المركز</t>
        </is>
      </c>
    </row>
    <row r="9" ht="26" customHeight="1">
      <c r="B9" s="20" t="inlineStr">
        <is>
          <t>عمومية وإدارية</t>
        </is>
      </c>
      <c r="C9" s="124" t="n">
        <v>1.766288737717309</v>
      </c>
      <c r="D9" s="63" t="n">
        <v>3.181917211328976</v>
      </c>
      <c r="E9" s="63" t="n">
        <v>3.759330759330759</v>
      </c>
      <c r="F9" s="63" t="n">
        <v>2.48229461756374</v>
      </c>
      <c r="G9" s="63" t="n">
        <v>0.6661915621436716</v>
      </c>
      <c r="H9" s="43" t="inlineStr"/>
      <c r="I9" s="67" t="n">
        <v>11684</v>
      </c>
      <c r="J9" s="25" t="inlineStr">
        <is>
          <t>محمّل من المركز</t>
        </is>
      </c>
    </row>
    <row r="10" ht="26" customHeight="1">
      <c r="B10" s="20" t="inlineStr">
        <is>
          <t>فوائد القروض</t>
        </is>
      </c>
      <c r="C10" s="124" t="n">
        <v>0.4601662887377173</v>
      </c>
      <c r="D10" s="63" t="n">
        <v>0.8289760348583877</v>
      </c>
      <c r="E10" s="63" t="n">
        <v>0.9794079794079794</v>
      </c>
      <c r="F10" s="63" t="n">
        <v>0.646600566572238</v>
      </c>
      <c r="G10" s="63" t="n">
        <v>0.1736031927023945</v>
      </c>
      <c r="H10" s="43" t="inlineStr"/>
      <c r="I10" s="67" t="n">
        <v>3044</v>
      </c>
      <c r="J10" s="25" t="inlineStr">
        <is>
          <t>محمّل من المركز</t>
        </is>
      </c>
    </row>
    <row r="11">
      <c r="B11" s="44" t="inlineStr">
        <is>
          <t>مجموع الكلفة</t>
        </is>
      </c>
      <c r="C11" s="125">
        <f>SUM(C6:C10)</f>
        <v/>
      </c>
      <c r="D11" s="125">
        <f>SUM(D6:D10)</f>
        <v/>
      </c>
      <c r="E11" s="125">
        <f>SUM(E6:E10)</f>
        <v/>
      </c>
      <c r="F11" s="125">
        <f>SUM(F6:F10)</f>
        <v/>
      </c>
      <c r="G11" s="125">
        <f>SUM(G6:G10)</f>
        <v/>
      </c>
      <c r="H11" s="43" t="inlineStr"/>
      <c r="I11" s="82">
        <f>SUM(I6:I10)</f>
        <v/>
      </c>
      <c r="J11" s="46" t="inlineStr"/>
    </row>
    <row r="12" ht="30" customHeight="1">
      <c r="A12" s="38" t="inlineStr">
        <is>
          <t>٩٧٪ من كلفة اللتر شراؤه من أرامكو — ولا قرار لنا فيه. والقرار كلّه في الطبقة الثانية: تشغيل المحطة. ولذلك لا يُقاس أداء التجاري على الطبقة الأولى ولا يُلام عليها. ⚠ ولا يُطرح هذا الجدول من جدول ② أدناه: هامش المساهمة هناك محسوبٌ بعد الطبقة الأولى أصلاً، فطرحُها ثانيةً يحتسبها مرتين.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</row>
    <row r="14" ht="22" customHeight="1">
      <c r="A14" s="18" t="inlineStr">
        <is>
          <t>② قيمة اللتر بالمنتج — الهامش ليس واحداً</t>
        </is>
      </c>
    </row>
    <row r="15" ht="30" customHeight="1">
      <c r="A15" s="19" t="inlineStr"/>
      <c r="B15" s="19" t="inlineStr">
        <is>
          <t>المنتج</t>
        </is>
      </c>
      <c r="C15" s="19" t="inlineStr">
        <is>
          <t>سعر المضخة</t>
        </is>
      </c>
      <c r="D15" s="19" t="inlineStr">
        <is>
          <t>قبل الضريبة</t>
        </is>
      </c>
      <c r="E15" s="19" t="inlineStr">
        <is>
          <t>هامش اللتر</t>
        </is>
      </c>
      <c r="F15" s="19" t="inlineStr">
        <is>
          <t>خصم التشغيل</t>
        </is>
      </c>
      <c r="G15" s="19" t="inlineStr">
        <is>
          <t>الصافي</t>
        </is>
      </c>
      <c r="H15" s="19" t="inlineStr"/>
      <c r="I15" s="19" t="inlineStr">
        <is>
          <t>الوزن في المزيج</t>
        </is>
      </c>
      <c r="J15" s="19" t="inlineStr">
        <is>
          <t>الملاحظة</t>
        </is>
      </c>
    </row>
    <row r="16">
      <c r="B16" s="20" t="inlineStr">
        <is>
          <t>بنزين ٩١</t>
        </is>
      </c>
      <c r="C16" s="77" t="n">
        <v>2.191</v>
      </c>
      <c r="D16" s="77" t="n">
        <v>1.905217391304348</v>
      </c>
      <c r="E16" s="124" t="n">
        <v>12.66</v>
      </c>
      <c r="F16" s="63" t="n">
        <v>-9.15</v>
      </c>
      <c r="G16" s="124">
        <f>E16+F16</f>
        <v/>
      </c>
      <c r="H16" s="43" t="inlineStr"/>
      <c r="I16" s="41" t="n">
        <v>0.555</v>
      </c>
      <c r="J16" s="83" t="inlineStr">
        <is>
          <t>من انحدار ١٩ محطة — لا من جدول معتمد</t>
        </is>
      </c>
    </row>
    <row r="17">
      <c r="B17" s="20" t="inlineStr">
        <is>
          <t>بنزين ٩٥</t>
        </is>
      </c>
      <c r="C17" s="77" t="n">
        <v>2.34</v>
      </c>
      <c r="D17" s="77" t="n">
        <v>2.034782608695652</v>
      </c>
      <c r="E17" s="124" t="n">
        <v>12.66</v>
      </c>
      <c r="F17" s="63" t="n">
        <v>-9.15</v>
      </c>
      <c r="G17" s="124">
        <f>E17+F17</f>
        <v/>
      </c>
      <c r="H17" s="43" t="inlineStr"/>
      <c r="I17" s="41" t="n">
        <v>0.36</v>
      </c>
      <c r="J17" s="83" t="inlineStr">
        <is>
          <t>من انحدار ١٩ محطة — لا من جدول معتمد</t>
        </is>
      </c>
    </row>
    <row r="18">
      <c r="B18" s="20" t="inlineStr">
        <is>
          <t>ديزل</t>
        </is>
      </c>
      <c r="C18" s="77" t="n">
        <v>1.796</v>
      </c>
      <c r="D18" s="77" t="n">
        <v>1.561739130434783</v>
      </c>
      <c r="E18" s="124" t="n">
        <v>4.47</v>
      </c>
      <c r="F18" s="63" t="n">
        <v>-9.15</v>
      </c>
      <c r="G18" s="124">
        <f>E18+F18</f>
        <v/>
      </c>
      <c r="H18" s="43" t="inlineStr"/>
      <c r="I18" s="41" t="n">
        <v>0.08500000000000001</v>
      </c>
      <c r="J18" s="83" t="inlineStr">
        <is>
          <t>من انحدار ١٩ محطة — لا من جدول معتمد</t>
        </is>
      </c>
    </row>
    <row r="19">
      <c r="B19" s="44" t="inlineStr">
        <is>
          <t>المرجَّح بالمزيج</t>
        </is>
      </c>
      <c r="C19" s="46" t="inlineStr"/>
      <c r="D19" s="46" t="inlineStr"/>
      <c r="E19" s="125">
        <f>SUMPRODUCT(E16:E18,$I$16:$I$18)</f>
        <v/>
      </c>
      <c r="F19" s="126" t="n">
        <v>-9.15</v>
      </c>
      <c r="G19" s="125">
        <f>E19+F19</f>
        <v/>
      </c>
      <c r="H19" s="43" t="inlineStr"/>
      <c r="I19" s="98">
        <f>SUM(I16:I18)</f>
        <v/>
      </c>
      <c r="J19" s="46" t="inlineStr"/>
    </row>
    <row r="20" ht="36" customHeight="1">
      <c r="A20" s="38" t="inlineStr">
        <is>
          <t>⛔ تحفُّظ صريح: هامشا البنزين (12.66 هللة) والديزل (4.47) مستنتجان بانحدار هامش ١٩ محطة على حصة ديزلها، وأقصى حصة ديزل مرصودة ٤٣٪ — فرقم الديزل استقراءٌ خارج المدى لا قياس. ويسنده هيكل عمولتنا (٣ هللات بنزين · ١٫٥ ديزل) ولا يغني عن جدول هامش معتمد من المالية.</t>
        </is>
      </c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</row>
    <row r="22" ht="22" customHeight="1">
      <c r="A22" s="18" t="inlineStr">
        <is>
          <t>③ داخل «تشغيل المحطة» — أجورٌ ومرافق، لأعلى وأدنى المحطات</t>
        </is>
      </c>
    </row>
    <row r="23" ht="30" customHeight="1">
      <c r="A23" s="19" t="inlineStr"/>
      <c r="B23" s="19" t="inlineStr">
        <is>
          <t>المحطة</t>
        </is>
      </c>
      <c r="C23" s="19" t="inlineStr">
        <is>
          <t>الرمز</t>
        </is>
      </c>
      <c r="D23" s="19" t="inlineStr">
        <is>
          <t>لتر الربع</t>
        </is>
      </c>
      <c r="E23" s="19" t="inlineStr">
        <is>
          <t>عمّال</t>
        </is>
      </c>
      <c r="F23" s="19" t="inlineStr">
        <is>
          <t>أجر/لتر</t>
        </is>
      </c>
      <c r="G23" s="19" t="inlineStr">
        <is>
          <t>مرافق/لتر</t>
        </is>
      </c>
      <c r="H23" s="19" t="inlineStr"/>
      <c r="I23" s="19" t="inlineStr">
        <is>
          <t>لتر لكل عامل</t>
        </is>
      </c>
      <c r="J23" s="19" t="inlineStr">
        <is>
          <t>القراءة</t>
        </is>
      </c>
    </row>
    <row r="24">
      <c r="B24" s="20" t="inlineStr">
        <is>
          <t>حائل العريفي</t>
        </is>
      </c>
      <c r="C24" s="22" t="inlineStr">
        <is>
          <t>HA043</t>
        </is>
      </c>
      <c r="D24" s="39" t="n">
        <v>716645</v>
      </c>
      <c r="E24" s="39" t="n">
        <v>18</v>
      </c>
      <c r="F24" s="124" t="n">
        <v>8.790963447732141</v>
      </c>
      <c r="G24" s="63" t="n">
        <v>1.710191238339764</v>
      </c>
      <c r="H24" s="43" t="inlineStr"/>
      <c r="I24" s="39" t="n">
        <v>39813.61111111111</v>
      </c>
      <c r="J24" s="118" t="inlineStr">
        <is>
          <t>أعلى خمس كلفةَ عمالة</t>
        </is>
      </c>
    </row>
    <row r="25">
      <c r="B25" s="20" t="inlineStr">
        <is>
          <t>المودة الروابي</t>
        </is>
      </c>
      <c r="C25" s="22" t="inlineStr">
        <is>
          <t>JA056</t>
        </is>
      </c>
      <c r="D25" s="39" t="n">
        <v>688372</v>
      </c>
      <c r="E25" s="39" t="n">
        <v>12</v>
      </c>
      <c r="F25" s="124" t="n">
        <v>6.101352175858402</v>
      </c>
      <c r="G25" s="63" t="n">
        <v>1.638648870087685</v>
      </c>
      <c r="H25" s="43" t="inlineStr"/>
      <c r="I25" s="39" t="n">
        <v>57364.33333333334</v>
      </c>
      <c r="J25" s="118" t="inlineStr">
        <is>
          <t>أعلى خمس كلفةَ عمالة</t>
        </is>
      </c>
    </row>
    <row r="26">
      <c r="B26" s="20" t="inlineStr">
        <is>
          <t>صبيا خبت نخلان</t>
        </is>
      </c>
      <c r="C26" s="22" t="inlineStr">
        <is>
          <t>JA053</t>
        </is>
      </c>
      <c r="D26" s="39" t="n">
        <v>1325693</v>
      </c>
      <c r="E26" s="39" t="n">
        <v>21</v>
      </c>
      <c r="F26" s="124" t="n">
        <v>5.544270053473919</v>
      </c>
      <c r="G26" s="63" t="n">
        <v>0</v>
      </c>
      <c r="H26" s="43" t="inlineStr"/>
      <c r="I26" s="39" t="n">
        <v>63128.23809523809</v>
      </c>
      <c r="J26" s="118" t="inlineStr">
        <is>
          <t>أعلى خمس كلفةَ عمالة</t>
        </is>
      </c>
    </row>
    <row r="27">
      <c r="B27" s="20" t="inlineStr">
        <is>
          <t>الكوثر</t>
        </is>
      </c>
      <c r="C27" s="22" t="inlineStr">
        <is>
          <t>MK100</t>
        </is>
      </c>
      <c r="D27" s="39" t="n">
        <v>822350</v>
      </c>
      <c r="E27" s="39" t="n">
        <v>12</v>
      </c>
      <c r="F27" s="124" t="n">
        <v>5.107314403842646</v>
      </c>
      <c r="G27" s="63" t="n">
        <v>0.5684927342372469</v>
      </c>
      <c r="H27" s="43" t="inlineStr"/>
      <c r="I27" s="39" t="n">
        <v>68529.16666666667</v>
      </c>
      <c r="J27" s="118" t="inlineStr">
        <is>
          <t>أعلى خمس كلفةَ عمالة</t>
        </is>
      </c>
    </row>
    <row r="28">
      <c r="B28" s="20" t="inlineStr">
        <is>
          <t>الكر النازل</t>
        </is>
      </c>
      <c r="C28" s="22" t="inlineStr">
        <is>
          <t>MK084</t>
        </is>
      </c>
      <c r="D28" s="39" t="n">
        <v>1441961</v>
      </c>
      <c r="E28" s="39" t="n">
        <v>21</v>
      </c>
      <c r="F28" s="124" t="n">
        <v>5.097225237020973</v>
      </c>
      <c r="G28" s="63" t="n">
        <v>0.7910061367817853</v>
      </c>
      <c r="H28" s="43" t="inlineStr"/>
      <c r="I28" s="39" t="n">
        <v>68664.80952380953</v>
      </c>
      <c r="J28" s="118" t="inlineStr">
        <is>
          <t>أعلى خمس كلفةَ عمالة</t>
        </is>
      </c>
    </row>
    <row r="29">
      <c r="B29" s="20" t="inlineStr">
        <is>
          <t>الحليس</t>
        </is>
      </c>
      <c r="C29" s="22" t="inlineStr">
        <is>
          <t>MK046</t>
        </is>
      </c>
      <c r="D29" s="39" t="n">
        <v>4764070</v>
      </c>
      <c r="E29" s="39" t="n">
        <v>36</v>
      </c>
      <c r="F29" s="124" t="n">
        <v>2.644797410617392</v>
      </c>
      <c r="G29" s="63" t="n">
        <v>0.2749749688816495</v>
      </c>
      <c r="H29" s="43" t="inlineStr"/>
      <c r="I29" s="39" t="n">
        <v>132335.2777777778</v>
      </c>
      <c r="J29" s="127" t="inlineStr">
        <is>
          <t>أدناها</t>
        </is>
      </c>
    </row>
    <row r="30">
      <c r="B30" s="20" t="inlineStr">
        <is>
          <t>القادسية</t>
        </is>
      </c>
      <c r="C30" s="22" t="inlineStr">
        <is>
          <t>MK047</t>
        </is>
      </c>
      <c r="D30" s="39" t="n">
        <v>4234727</v>
      </c>
      <c r="E30" s="39" t="n">
        <v>31</v>
      </c>
      <c r="F30" s="124" t="n">
        <v>2.562148634374778</v>
      </c>
      <c r="G30" s="63" t="n">
        <v>0.2797582937459723</v>
      </c>
      <c r="H30" s="43" t="inlineStr"/>
      <c r="I30" s="39" t="n">
        <v>136604.0967741935</v>
      </c>
      <c r="J30" s="127" t="inlineStr">
        <is>
          <t>أدناها</t>
        </is>
      </c>
    </row>
    <row r="31">
      <c r="B31" s="20" t="inlineStr">
        <is>
          <t>الجمعية</t>
        </is>
      </c>
      <c r="C31" s="22" t="inlineStr">
        <is>
          <t>MK035</t>
        </is>
      </c>
      <c r="D31" s="39" t="n">
        <v>2468597</v>
      </c>
      <c r="E31" s="39" t="n">
        <v>18</v>
      </c>
      <c r="F31" s="124" t="n">
        <v>2.5520568970958</v>
      </c>
      <c r="G31" s="63" t="n">
        <v>0.1985743318978351</v>
      </c>
      <c r="H31" s="43" t="inlineStr"/>
      <c r="I31" s="39" t="n">
        <v>137144.2777777778</v>
      </c>
      <c r="J31" s="127" t="inlineStr">
        <is>
          <t>أدناها</t>
        </is>
      </c>
    </row>
    <row r="32" ht="46" customHeight="1">
      <c r="A32" s="38" t="inlineStr">
        <is>
          <t>⛔ ومعدّل الأجر في هذا التقرير ليس مقيساً: الأجور ÷ عدد العمّال = ٣٬٥٠٠ ريالاً بالضبط في ٢١ محطة بلا استثناء واحد — أي أنه سعرٌ ثابت يُضرب في العدد، وهو أجرٌ شهري طُبِّق مرة بدل ثلاث. ولذلك مصاريف التقرير ٤٫٨٦ هللة بينما قائمة الدخل تقول ٩٫١٥ للمحطات نفسها — ٢٫٠٢×. فالقائمة هي المرجع، والتقرير للمقارنة النسبية بين المحطات لا لمستوى الكلفة المطلق.</t>
        </is>
      </c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</row>
    <row r="34" ht="22" customHeight="1">
      <c r="A34" s="18" t="inlineStr">
        <is>
          <t>④ ما لم يدخل الحساب لأنه غير مقيس — ولا يُملأ بتقدير</t>
        </is>
      </c>
    </row>
    <row r="35" ht="30" customHeight="1">
      <c r="A35" s="19" t="inlineStr"/>
      <c r="B35" s="19" t="inlineStr">
        <is>
          <t>البند</t>
        </is>
      </c>
      <c r="C35" s="19" t="inlineStr">
        <is>
          <t>الحالة</t>
        </is>
      </c>
      <c r="D35" s="19" t="inlineStr"/>
      <c r="E35" s="19" t="inlineStr"/>
      <c r="F35" s="19" t="inlineStr"/>
      <c r="G35" s="19" t="inlineStr">
        <is>
          <t>لماذا يهمّ</t>
        </is>
      </c>
      <c r="H35" s="19" t="inlineStr"/>
      <c r="I35" s="19" t="inlineStr"/>
      <c r="J35" s="19" t="inlineStr">
        <is>
          <t>المالك</t>
        </is>
      </c>
    </row>
    <row r="36" ht="28" customHeight="1">
      <c r="B36" s="20" t="inlineStr">
        <is>
          <t>رسوم البطاقات</t>
        </is>
      </c>
      <c r="C36" s="106" t="inlineStr">
        <is>
          <t>غير مقيسة</t>
        </is>
      </c>
      <c r="D36" s="30" t="n"/>
      <c r="E36" s="30" t="n"/>
      <c r="F36" s="30" t="n"/>
      <c r="G36" s="23" t="inlineStr">
        <is>
          <t>55٪ من المبيعات بطاقةٌ اليوم بعد أن كانت 42٪ — والرسم غير معروف لنا</t>
        </is>
      </c>
      <c r="H36" s="24" t="n"/>
      <c r="I36" s="24" t="n"/>
      <c r="J36" s="25" t="inlineStr">
        <is>
          <t>المالية — جدول رسوم مدى/فيزا</t>
        </is>
      </c>
    </row>
    <row r="37" ht="28" customHeight="1">
      <c r="B37" s="20" t="inlineStr">
        <is>
          <t>الفروقات والفاقد</t>
        </is>
      </c>
      <c r="C37" s="106" t="inlineStr">
        <is>
          <t>غير مقيسة</t>
        </is>
      </c>
      <c r="D37" s="30" t="n"/>
      <c r="E37" s="30" t="n"/>
      <c r="F37" s="30" t="n"/>
      <c r="G37" s="23" t="inlineStr">
        <is>
          <t>لا جرد خزانات في بياناتنا — والفرق يظهر هامشاً لا كلفة</t>
        </is>
      </c>
      <c r="H37" s="24" t="n"/>
      <c r="I37" s="24" t="n"/>
      <c r="J37" s="25" t="inlineStr">
        <is>
          <t>العمليات — جرد شهري</t>
        </is>
      </c>
    </row>
    <row r="38" ht="28" customHeight="1">
      <c r="B38" s="20" t="inlineStr">
        <is>
          <t>النقل والتوريد</t>
        </is>
      </c>
      <c r="C38" s="106" t="inlineStr">
        <is>
          <t>غير مقيسة</t>
        </is>
      </c>
      <c r="D38" s="30" t="n"/>
      <c r="E38" s="30" t="n"/>
      <c r="F38" s="30" t="n"/>
      <c r="G38" s="23" t="inlineStr">
        <is>
          <t>من يتحمّل أجرة الناقلة غير محسوم في أي ملف لدينا</t>
        </is>
      </c>
      <c r="H38" s="24" t="n"/>
      <c r="I38" s="24" t="n"/>
      <c r="J38" s="25" t="inlineStr">
        <is>
          <t>سلسلة الإمداد</t>
        </is>
      </c>
    </row>
    <row r="39" ht="30" customHeight="1">
      <c r="A39" s="27" t="inlineStr">
        <is>
          <t>وهذه البنود تُقتطع من هامش كل لتر إضافي، فكلّما بقيت غير مقيسة بقي الصافي أعلى مما هو. والفرق بينها وبين التقدير أنها مكتوبة هنا باسمها وباسم من يملك سدّها.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</row>
  </sheetData>
  <mergeCells count="16">
    <mergeCell ref="G38:I38"/>
    <mergeCell ref="A1:J1"/>
    <mergeCell ref="A32:J32"/>
    <mergeCell ref="G36:I36"/>
    <mergeCell ref="A14:J14"/>
    <mergeCell ref="A22:J22"/>
    <mergeCell ref="G37:I37"/>
    <mergeCell ref="A39:J39"/>
    <mergeCell ref="A34:J34"/>
    <mergeCell ref="A12:J12"/>
    <mergeCell ref="A4:J4"/>
    <mergeCell ref="C38:F38"/>
    <mergeCell ref="A20:J20"/>
    <mergeCell ref="A2:J2"/>
    <mergeCell ref="C37:F37"/>
    <mergeCell ref="C36:F36"/>
  </mergeCells>
  <conditionalFormatting sqref="G16:G19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F24:F31">
    <cfRule type="dataBar" priority="3">
      <dataBar showValue="1">
        <cfvo type="num" val="0"/>
        <cfvo type="max"/>
        <color rgb="00C0503A"/>
      </dataBar>
    </cfRule>
  </conditionalFormatting>
  <printOptions horizontalCentered="1"/>
  <pageMargins left="0.3" right="0.3" top="0.4" bottom="0.4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3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4" customWidth="1" min="7" max="7"/>
    <col width="13" customWidth="1" min="8" max="8"/>
    <col width="13" customWidth="1" min="9" max="9"/>
    <col width="4" customWidth="1" min="10" max="10"/>
    <col width="30" customWidth="1" min="11" max="11"/>
  </cols>
  <sheetData>
    <row r="1" ht="26" customHeight="1">
      <c r="A1" s="1" t="inlineStr">
        <is>
          <t>خطة المستهدف — بالمعاملات لا باللترات</t>
        </is>
      </c>
    </row>
    <row r="2" ht="16" customHeight="1">
      <c r="A2" s="2" t="inlineStr">
        <is>
          <t>المطلوب من الوردية عددُ عملاء تخدمهم لا لترات يضخّونها: اللترات تتبع المزيج ولا يملكها العامل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30" customHeight="1">
      <c r="A4" s="104" t="inlineStr">
        <is>
          <t>⛔ قبل أي مستهدف: البوابات تُقفل أولاً. والمستهدف أدناه صالحٌ للحساب والعرض، ولا يُحمَّل على وردية قبل إقرار جدول الورديات من العمليات.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6" ht="22" customHeight="1">
      <c r="A6" s="18" t="inlineStr">
        <is>
          <t>① الشبكة — المستهدف بالتصنيف</t>
        </is>
      </c>
    </row>
    <row r="7" ht="30" customHeight="1">
      <c r="A7" s="19" t="inlineStr"/>
      <c r="B7" s="19" t="inlineStr">
        <is>
          <t>التصنيف</t>
        </is>
      </c>
      <c r="C7" s="19" t="inlineStr">
        <is>
          <t>محطات</t>
        </is>
      </c>
      <c r="D7" s="19" t="inlineStr">
        <is>
          <t>دون المتوقَّع</t>
        </is>
      </c>
      <c r="E7" s="19" t="inlineStr">
        <is>
          <t>فجوة الذروة</t>
        </is>
      </c>
      <c r="F7" s="19" t="inlineStr">
        <is>
          <t>فاقد السلة لتر/يوم</t>
        </is>
      </c>
      <c r="G7" s="19" t="inlineStr"/>
      <c r="H7" s="19" t="inlineStr">
        <is>
          <t>قيمة المعاملات</t>
        </is>
      </c>
      <c r="I7" s="19" t="inlineStr">
        <is>
          <t>قيمة السلة</t>
        </is>
      </c>
      <c r="J7" s="19" t="inlineStr"/>
      <c r="K7" s="19" t="inlineStr">
        <is>
          <t>المحرّك الأول والفعل</t>
        </is>
      </c>
    </row>
    <row r="8" ht="26" customHeight="1">
      <c r="B8" s="20" t="inlineStr">
        <is>
          <t>حيوية</t>
        </is>
      </c>
      <c r="C8" s="39" t="n">
        <v>25</v>
      </c>
      <c r="D8" s="39" t="n">
        <v>18</v>
      </c>
      <c r="E8" s="39" t="n">
        <v>400.8011983317217</v>
      </c>
      <c r="F8" s="39" t="n">
        <v>30707.64766714189</v>
      </c>
      <c r="G8" s="43" t="inlineStr"/>
      <c r="H8" s="67" t="n">
        <v>438083.0858759653</v>
      </c>
      <c r="I8" s="67" t="n">
        <v>1294937.611720208</v>
      </c>
      <c r="J8" s="43" t="inlineStr"/>
      <c r="K8" s="25" t="inlineStr">
        <is>
          <t>تغطية ساعات الذروة — طاقم الذروة · توفّر المضخات · سرعة الخدمة</t>
        </is>
      </c>
    </row>
    <row r="9" ht="26" customHeight="1">
      <c r="B9" s="20" t="inlineStr">
        <is>
          <t>خط سفر</t>
        </is>
      </c>
      <c r="C9" s="39" t="n">
        <v>8</v>
      </c>
      <c r="D9" s="39" t="n">
        <v>5</v>
      </c>
      <c r="E9" s="39" t="n">
        <v>153.5091181127167</v>
      </c>
      <c r="F9" s="39" t="n">
        <v>12336.25753119697</v>
      </c>
      <c r="G9" s="43" t="inlineStr"/>
      <c r="H9" s="67" t="n">
        <v>190711.4461774147</v>
      </c>
      <c r="I9" s="67" t="n">
        <v>372255.7555572962</v>
      </c>
      <c r="J9" s="43" t="inlineStr"/>
      <c r="K9" s="25" t="inlineStr">
        <is>
          <t>التعاقد وسلة التعبئة — عقود ديزل متدرجة · خدمات شاحنات · ممر سريع</t>
        </is>
      </c>
    </row>
    <row r="10" ht="26" customHeight="1">
      <c r="B10" s="20" t="inlineStr">
        <is>
          <t>حي</t>
        </is>
      </c>
      <c r="C10" s="39" t="n">
        <v>8</v>
      </c>
      <c r="D10" s="39" t="n">
        <v>5</v>
      </c>
      <c r="E10" s="39" t="n">
        <v>62.22888998498522</v>
      </c>
      <c r="F10" s="39" t="n">
        <v>6941.343374929599</v>
      </c>
      <c r="G10" s="43" t="inlineStr"/>
      <c r="H10" s="67" t="n">
        <v>57641.78105235712</v>
      </c>
      <c r="I10" s="67" t="n">
        <v>292583.028316115</v>
      </c>
      <c r="J10" s="43" t="inlineStr"/>
      <c r="K10" s="25" t="inlineStr">
        <is>
          <t>التردد — ساعات العمل · مزيج المستأجرين · سرعة الذروة</t>
        </is>
      </c>
    </row>
    <row r="11" ht="26" customHeight="1">
      <c r="B11" s="20" t="inlineStr">
        <is>
          <t>مختلط</t>
        </is>
      </c>
      <c r="C11" s="39" t="n">
        <v>8</v>
      </c>
      <c r="D11" s="39" t="n">
        <v>4</v>
      </c>
      <c r="E11" s="39" t="n">
        <v>140.8125900125413</v>
      </c>
      <c r="F11" s="39" t="n">
        <v>8729.890761461042</v>
      </c>
      <c r="G11" s="43" t="inlineStr"/>
      <c r="H11" s="67" t="n">
        <v>157729.6794500771</v>
      </c>
      <c r="I11" s="67" t="n">
        <v>366882.1248420581</v>
      </c>
      <c r="J11" s="43" t="inlineStr"/>
      <c r="K11" s="25" t="inlineStr">
        <is>
          <t>فصل الطلبين — عرض للسكّان وآخر للعابرين · لا رسالة واحدة</t>
        </is>
      </c>
    </row>
    <row r="12" ht="26" customHeight="1">
      <c r="B12" s="20" t="inlineStr">
        <is>
          <t>نائية</t>
        </is>
      </c>
      <c r="C12" s="39" t="n">
        <v>3</v>
      </c>
      <c r="D12" s="39" t="n">
        <v>1</v>
      </c>
      <c r="E12" s="39" t="n">
        <v>9.882349483740786</v>
      </c>
      <c r="F12" s="39" t="n">
        <v>123.6248447601501</v>
      </c>
      <c r="G12" s="43" t="inlineStr"/>
      <c r="H12" s="67" t="n">
        <v>9158.005589292961</v>
      </c>
      <c r="I12" s="67" t="n">
        <v>5096.01044934423</v>
      </c>
      <c r="J12" s="43" t="inlineStr"/>
      <c r="K12" s="25" t="inlineStr">
        <is>
          <t>حماية الربحية — ضبط العمالة · تأجير الوحدات · لا إنفاق تسويقي</t>
        </is>
      </c>
    </row>
    <row r="13">
      <c r="B13" s="44" t="inlineStr">
        <is>
          <t>الإجمالي</t>
        </is>
      </c>
      <c r="C13" s="45">
        <f>SUM(C8:C12)</f>
        <v/>
      </c>
      <c r="D13" s="45">
        <f>SUM(D8:D12)</f>
        <v/>
      </c>
      <c r="E13" s="45">
        <f>SUM(E8:E12)</f>
        <v/>
      </c>
      <c r="F13" s="45">
        <f>SUM(F8:F12)</f>
        <v/>
      </c>
      <c r="G13" s="43" t="inlineStr"/>
      <c r="H13" s="82">
        <f>SUM(H8:H12)</f>
        <v/>
      </c>
      <c r="I13" s="82">
        <f>SUM(I8:I12)</f>
        <v/>
      </c>
      <c r="J13" s="43" t="inlineStr"/>
      <c r="K13" s="46" t="inlineStr"/>
    </row>
    <row r="14" ht="30" customHeight="1">
      <c r="A14" s="27" t="inlineStr">
        <is>
          <t>وفاقد ساعات الهدوء 1,880 معاملة/يوم غير مُدرَج عمداً: النقص في ساعات الهدوء اختلاف طلبٍ لا فاقد، ولا يُطالَب به من لا يملكه.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</row>
    <row r="16" ht="22" customHeight="1">
      <c r="A16" s="18" t="inlineStr">
        <is>
          <t>② أعلى خمس عشرة محطة قيمةً — ومن يملك كلاً منها</t>
        </is>
      </c>
    </row>
    <row r="17" ht="30" customHeight="1">
      <c r="A17" s="19" t="inlineStr"/>
      <c r="B17" s="19" t="inlineStr">
        <is>
          <t>المحطة</t>
        </is>
      </c>
      <c r="C17" s="19" t="inlineStr">
        <is>
          <t>التصنيف</t>
        </is>
      </c>
      <c r="D17" s="19" t="inlineStr">
        <is>
          <t>فجوة الذروة</t>
        </is>
      </c>
      <c r="E17" s="19" t="inlineStr">
        <is>
          <t>فجوة السلة</t>
        </is>
      </c>
      <c r="F17" s="19" t="inlineStr">
        <is>
          <t>الإجمالي ر/سنة</t>
        </is>
      </c>
      <c r="G17" s="19" t="inlineStr"/>
      <c r="H17" s="19" t="inlineStr">
        <is>
          <t>المطلوب/يوم</t>
        </is>
      </c>
      <c r="I17" s="19" t="inlineStr">
        <is>
          <t>قيمة الإغلاق</t>
        </is>
      </c>
      <c r="J17" s="19" t="inlineStr"/>
      <c r="K17" s="19" t="inlineStr">
        <is>
          <t>الفعل والبوابة</t>
        </is>
      </c>
    </row>
    <row r="18">
      <c r="B18" s="20" t="inlineStr">
        <is>
          <t>جنوب صبيا</t>
        </is>
      </c>
      <c r="C18" s="22" t="inlineStr">
        <is>
          <t>مختلط</t>
        </is>
      </c>
      <c r="D18" s="40" t="n">
        <v>12.77449983069793</v>
      </c>
      <c r="E18" s="40" t="n">
        <v>9.669652460996929</v>
      </c>
      <c r="F18" s="21" t="n">
        <v>243898.4152368899</v>
      </c>
      <c r="G18" s="43" t="inlineStr"/>
      <c r="H18" s="40">
        <f>D18*0.4</f>
        <v/>
      </c>
      <c r="I18" s="67">
        <f>F18*0.4</f>
        <v/>
      </c>
      <c r="J18" s="43" t="inlineStr"/>
      <c r="K18" s="114" t="inlineStr">
        <is>
          <t>عرض للسكّان وآخر للعابرين · لا رسالة واحدة</t>
        </is>
      </c>
    </row>
    <row r="19">
      <c r="B19" s="20" t="inlineStr">
        <is>
          <t>أبو وافي العمرة</t>
        </is>
      </c>
      <c r="C19" s="22" t="inlineStr">
        <is>
          <t>خط سفر</t>
        </is>
      </c>
      <c r="D19" s="40" t="n">
        <v>13.27191706894327</v>
      </c>
      <c r="E19" s="40" t="n">
        <v>12.61382708942475</v>
      </c>
      <c r="F19" s="21" t="n">
        <v>233607.6307032695</v>
      </c>
      <c r="G19" s="43" t="inlineStr"/>
      <c r="H19" s="40">
        <f>D19*0.4</f>
        <v/>
      </c>
      <c r="I19" s="67">
        <f>F19*0.4</f>
        <v/>
      </c>
      <c r="J19" s="43" t="inlineStr"/>
      <c r="K19" s="114" t="inlineStr">
        <is>
          <t>عقود ديزل متدرجة · خدمات شاحنات · ممر سريع</t>
        </is>
      </c>
    </row>
    <row r="20">
      <c r="B20" s="20" t="inlineStr">
        <is>
          <t>الصفا - أحد المسارحة</t>
        </is>
      </c>
      <c r="C20" s="22" t="inlineStr">
        <is>
          <t>حيوية</t>
        </is>
      </c>
      <c r="D20" s="40" t="n">
        <v>6.522951725062623</v>
      </c>
      <c r="E20" s="40" t="n">
        <v>5.477719849708446</v>
      </c>
      <c r="F20" s="21" t="n">
        <v>185886.1515873929</v>
      </c>
      <c r="G20" s="43" t="inlineStr"/>
      <c r="H20" s="40">
        <f>D20*0.4</f>
        <v/>
      </c>
      <c r="I20" s="67">
        <f>F20*0.4</f>
        <v/>
      </c>
      <c r="J20" s="43" t="inlineStr"/>
      <c r="K20" s="114" t="inlineStr">
        <is>
          <t>طاقم الذروة · توفّر المضخات · سرعة الخدمة</t>
        </is>
      </c>
    </row>
    <row r="21">
      <c r="B21" s="84" t="inlineStr">
        <is>
          <t>الحسينية</t>
        </is>
      </c>
      <c r="C21" s="8" t="inlineStr">
        <is>
          <t>حي</t>
        </is>
      </c>
      <c r="D21" s="85" t="n">
        <v>37.02455370156386</v>
      </c>
      <c r="E21" s="85" t="n">
        <v>4.335005755634057</v>
      </c>
      <c r="F21" s="86" t="n">
        <v>168714.4073584884</v>
      </c>
      <c r="G21" s="43" t="inlineStr"/>
      <c r="H21" s="85">
        <f>D21*0.4</f>
        <v/>
      </c>
      <c r="I21" s="80">
        <f>F21*0.4</f>
        <v/>
      </c>
      <c r="J21" s="43" t="inlineStr"/>
      <c r="K21" s="87" t="inlineStr">
        <is>
          <t>⛔ فجوة مطابقة · فاقد ذروة · سلة دون المتوقَّع</t>
        </is>
      </c>
    </row>
    <row r="22">
      <c r="B22" s="20" t="inlineStr">
        <is>
          <t>الفلاح - فلسطين</t>
        </is>
      </c>
      <c r="C22" s="22" t="inlineStr">
        <is>
          <t>حيوية</t>
        </is>
      </c>
      <c r="D22" s="40" t="n">
        <v>13.85171371322991</v>
      </c>
      <c r="E22" s="40" t="n">
        <v>7.133694704753793</v>
      </c>
      <c r="F22" s="21" t="n">
        <v>144598.2862954489</v>
      </c>
      <c r="G22" s="43" t="inlineStr"/>
      <c r="H22" s="40">
        <f>D22*0.4</f>
        <v/>
      </c>
      <c r="I22" s="67">
        <f>F22*0.4</f>
        <v/>
      </c>
      <c r="J22" s="43" t="inlineStr"/>
      <c r="K22" s="114" t="inlineStr">
        <is>
          <t>طاقم الذروة · توفّر المضخات · سرعة الخدمة</t>
        </is>
      </c>
    </row>
    <row r="23">
      <c r="B23" s="84" t="inlineStr">
        <is>
          <t>جبل النور</t>
        </is>
      </c>
      <c r="C23" s="8" t="inlineStr">
        <is>
          <t>حيوية</t>
        </is>
      </c>
      <c r="D23" s="85" t="n">
        <v>5.663956712600986</v>
      </c>
      <c r="E23" s="85" t="n">
        <v>3.853756961030076</v>
      </c>
      <c r="F23" s="86" t="n">
        <v>137073.5619744228</v>
      </c>
      <c r="G23" s="43" t="inlineStr"/>
      <c r="H23" s="85">
        <f>D23*0.4</f>
        <v/>
      </c>
      <c r="I23" s="80">
        <f>F23*0.4</f>
        <v/>
      </c>
      <c r="J23" s="43" t="inlineStr"/>
      <c r="K23" s="87" t="inlineStr">
        <is>
          <t>⛔ بيانات دفع مفقودة · سلة دون المتوقَّع</t>
        </is>
      </c>
    </row>
    <row r="24">
      <c r="B24" s="20" t="inlineStr">
        <is>
          <t>الأجاويد</t>
        </is>
      </c>
      <c r="C24" s="22" t="inlineStr">
        <is>
          <t>حيوية</t>
        </is>
      </c>
      <c r="D24" s="40" t="n">
        <v>17.04633709539383</v>
      </c>
      <c r="E24" s="40" t="n">
        <v>7.34128188072043</v>
      </c>
      <c r="F24" s="21" t="n">
        <v>125852.4321291953</v>
      </c>
      <c r="G24" s="43" t="inlineStr"/>
      <c r="H24" s="40">
        <f>D24*0.4</f>
        <v/>
      </c>
      <c r="I24" s="67">
        <f>F24*0.4</f>
        <v/>
      </c>
      <c r="J24" s="43" t="inlineStr"/>
      <c r="K24" s="114" t="inlineStr">
        <is>
          <t>طاقم الذروة · توفّر المضخات · سرعة الخدمة</t>
        </is>
      </c>
    </row>
    <row r="25">
      <c r="B25" s="84" t="inlineStr">
        <is>
          <t>الرصيفة</t>
        </is>
      </c>
      <c r="C25" s="8" t="inlineStr">
        <is>
          <t>حيوية</t>
        </is>
      </c>
      <c r="D25" s="85" t="n">
        <v>6.263100130710948</v>
      </c>
      <c r="E25" s="85" t="n">
        <v>3.846477008833062</v>
      </c>
      <c r="F25" s="86" t="n">
        <v>116917.8401898395</v>
      </c>
      <c r="G25" s="43" t="inlineStr"/>
      <c r="H25" s="85">
        <f>D25*0.4</f>
        <v/>
      </c>
      <c r="I25" s="80">
        <f>F25*0.4</f>
        <v/>
      </c>
      <c r="J25" s="43" t="inlineStr"/>
      <c r="K25" s="87" t="inlineStr">
        <is>
          <t>⛔ بيانات دفع مفقودة · سلة دون المتوقَّع</t>
        </is>
      </c>
    </row>
    <row r="26">
      <c r="B26" s="20" t="inlineStr">
        <is>
          <t>العوالي</t>
        </is>
      </c>
      <c r="C26" s="22" t="inlineStr">
        <is>
          <t>خط سفر</t>
        </is>
      </c>
      <c r="D26" s="40" t="n">
        <v>91.42784288079065</v>
      </c>
      <c r="E26" s="40" t="n">
        <v>0</v>
      </c>
      <c r="F26" s="21" t="n">
        <v>114725.9906976552</v>
      </c>
      <c r="G26" s="43" t="inlineStr"/>
      <c r="H26" s="40">
        <f>D26*0.4</f>
        <v/>
      </c>
      <c r="I26" s="67">
        <f>F26*0.4</f>
        <v/>
      </c>
      <c r="J26" s="43" t="inlineStr"/>
      <c r="K26" s="114" t="inlineStr">
        <is>
          <t>عقود ديزل متدرجة · خدمات شاحنات · ممر سريع</t>
        </is>
      </c>
    </row>
    <row r="27">
      <c r="B27" s="84" t="inlineStr">
        <is>
          <t>ممشى الشوقية</t>
        </is>
      </c>
      <c r="C27" s="8" t="inlineStr">
        <is>
          <t>حيوية</t>
        </is>
      </c>
      <c r="D27" s="85" t="n">
        <v>12.12583163853097</v>
      </c>
      <c r="E27" s="85" t="n">
        <v>3.943597407098959</v>
      </c>
      <c r="F27" s="86" t="n">
        <v>110028.0456617581</v>
      </c>
      <c r="G27" s="43" t="inlineStr"/>
      <c r="H27" s="85">
        <f>D27*0.4</f>
        <v/>
      </c>
      <c r="I27" s="80">
        <f>F27*0.4</f>
        <v/>
      </c>
      <c r="J27" s="43" t="inlineStr"/>
      <c r="K27" s="87" t="inlineStr">
        <is>
          <t>⛔ بيانات دفع مفقودة · سلة دون المتوقَّع</t>
        </is>
      </c>
    </row>
    <row r="28">
      <c r="B28" s="20" t="inlineStr">
        <is>
          <t>عاصفة الصحراء</t>
        </is>
      </c>
      <c r="C28" s="22" t="inlineStr">
        <is>
          <t>حيوية</t>
        </is>
      </c>
      <c r="D28" s="40" t="n">
        <v>80.54453683585032</v>
      </c>
      <c r="E28" s="40" t="n">
        <v>0</v>
      </c>
      <c r="F28" s="21" t="n">
        <v>107317.7758758279</v>
      </c>
      <c r="G28" s="43" t="inlineStr"/>
      <c r="H28" s="40">
        <f>D28*0.4</f>
        <v/>
      </c>
      <c r="I28" s="67">
        <f>F28*0.4</f>
        <v/>
      </c>
      <c r="J28" s="43" t="inlineStr"/>
      <c r="K28" s="114" t="inlineStr">
        <is>
          <t>طاقم الذروة · توفّر المضخات · سرعة الخدمة</t>
        </is>
      </c>
    </row>
    <row r="29">
      <c r="B29" s="20" t="inlineStr">
        <is>
          <t>الرصيفة المسار</t>
        </is>
      </c>
      <c r="C29" s="22" t="inlineStr">
        <is>
          <t>حيوية</t>
        </is>
      </c>
      <c r="D29" s="40" t="n">
        <v>13.77089020558835</v>
      </c>
      <c r="E29" s="40" t="n">
        <v>5.472427197181815</v>
      </c>
      <c r="F29" s="21" t="n">
        <v>105134.180098328</v>
      </c>
      <c r="G29" s="43" t="inlineStr"/>
      <c r="H29" s="40">
        <f>D29*0.4</f>
        <v/>
      </c>
      <c r="I29" s="67">
        <f>F29*0.4</f>
        <v/>
      </c>
      <c r="J29" s="43" t="inlineStr"/>
      <c r="K29" s="114" t="inlineStr">
        <is>
          <t>طاقم الذروة · توفّر المضخات · سرعة الخدمة</t>
        </is>
      </c>
    </row>
    <row r="30">
      <c r="B30" s="20" t="inlineStr">
        <is>
          <t>طريق الليث - الفضيلة</t>
        </is>
      </c>
      <c r="C30" s="22" t="inlineStr">
        <is>
          <t>خط سفر</t>
        </is>
      </c>
      <c r="D30" s="40" t="n">
        <v>21.87023959979276</v>
      </c>
      <c r="E30" s="40" t="n">
        <v>4.110535887955947</v>
      </c>
      <c r="F30" s="21" t="n">
        <v>103331.3278988727</v>
      </c>
      <c r="G30" s="43" t="inlineStr"/>
      <c r="H30" s="40">
        <f>D30*0.4</f>
        <v/>
      </c>
      <c r="I30" s="67">
        <f>F30*0.4</f>
        <v/>
      </c>
      <c r="J30" s="43" t="inlineStr"/>
      <c r="K30" s="114" t="inlineStr">
        <is>
          <t>عقود ديزل متدرجة · خدمات شاحنات · ممر سريع</t>
        </is>
      </c>
    </row>
    <row r="31">
      <c r="B31" s="20" t="inlineStr">
        <is>
          <t>العمرة الجديدة</t>
        </is>
      </c>
      <c r="C31" s="22" t="inlineStr">
        <is>
          <t>حيوية</t>
        </is>
      </c>
      <c r="D31" s="40" t="n">
        <v>90.90385628177343</v>
      </c>
      <c r="E31" s="40" t="n">
        <v>0</v>
      </c>
      <c r="F31" s="21" t="n">
        <v>101029.27941</v>
      </c>
      <c r="G31" s="43" t="inlineStr"/>
      <c r="H31" s="40">
        <f>D31*0.4</f>
        <v/>
      </c>
      <c r="I31" s="67">
        <f>F31*0.4</f>
        <v/>
      </c>
      <c r="J31" s="43" t="inlineStr"/>
      <c r="K31" s="114" t="inlineStr">
        <is>
          <t>طاقم الذروة · توفّر المضخات · سرعة الخدمة</t>
        </is>
      </c>
    </row>
    <row r="32">
      <c r="B32" s="20" t="inlineStr">
        <is>
          <t>الجعرانة</t>
        </is>
      </c>
      <c r="C32" s="22" t="inlineStr">
        <is>
          <t>حي</t>
        </is>
      </c>
      <c r="D32" s="40" t="n">
        <v>8.465087573519456</v>
      </c>
      <c r="E32" s="40" t="n">
        <v>5.379782414906966</v>
      </c>
      <c r="F32" s="21" t="n">
        <v>95404.01297600426</v>
      </c>
      <c r="G32" s="43" t="inlineStr"/>
      <c r="H32" s="40">
        <f>D32*0.4</f>
        <v/>
      </c>
      <c r="I32" s="67">
        <f>F32*0.4</f>
        <v/>
      </c>
      <c r="J32" s="43" t="inlineStr"/>
      <c r="K32" s="114" t="inlineStr">
        <is>
          <t>ساعات العمل · مزيج المستأجرين · سرعة الذروة</t>
        </is>
      </c>
    </row>
    <row r="33">
      <c r="B33" s="44" t="inlineStr">
        <is>
          <t>مجموع الخمس عشرة</t>
        </is>
      </c>
      <c r="C33" s="46" t="inlineStr"/>
      <c r="D33" s="112">
        <f>SUM(D18:D32)</f>
        <v/>
      </c>
      <c r="E33" s="112">
        <f>SUM(E18:E32)</f>
        <v/>
      </c>
      <c r="F33" s="82">
        <f>SUM(F18:F32)</f>
        <v/>
      </c>
      <c r="G33" s="43" t="inlineStr"/>
      <c r="H33" s="112">
        <f>SUM(H18:H32)</f>
        <v/>
      </c>
      <c r="I33" s="82">
        <f>SUM(I18:I32)</f>
        <v/>
      </c>
      <c r="J33" s="43" t="inlineStr"/>
      <c r="K33" s="46" t="inlineStr"/>
    </row>
    <row r="35" ht="22" customHeight="1">
      <c r="A35" s="18" t="inlineStr">
        <is>
          <t>③ القياس قبل التنفيذ — بأي رقم نحكم ومتى</t>
        </is>
      </c>
    </row>
    <row r="36" ht="30" customHeight="1">
      <c r="A36" s="19" t="inlineStr"/>
      <c r="B36" s="19" t="inlineStr">
        <is>
          <t>السؤال</t>
        </is>
      </c>
      <c r="C36" s="19" t="inlineStr">
        <is>
          <t>الجواب</t>
        </is>
      </c>
      <c r="D36" s="19" t="inlineStr"/>
      <c r="E36" s="19" t="inlineStr"/>
      <c r="F36" s="19" t="inlineStr"/>
      <c r="G36" s="19" t="inlineStr"/>
      <c r="H36" s="19" t="inlineStr"/>
      <c r="I36" s="19" t="inlineStr"/>
      <c r="J36" s="19" t="inlineStr"/>
      <c r="K36" s="19" t="inlineStr">
        <is>
          <t>لماذا</t>
        </is>
      </c>
    </row>
    <row r="37" ht="26" customHeight="1">
      <c r="B37" s="20" t="inlineStr">
        <is>
          <t>ما الرقم الذي نحكم به؟</t>
        </is>
      </c>
      <c r="C37" s="128" t="inlineStr">
        <is>
          <t>معاملات ساعات ذروة المحطة وحدها — لا مبيعاتها كلها</t>
        </is>
      </c>
      <c r="D37" s="24" t="n"/>
      <c r="E37" s="24" t="n"/>
      <c r="F37" s="24" t="n"/>
      <c r="G37" s="24" t="n"/>
      <c r="H37" s="24" t="n"/>
      <c r="I37" s="24" t="n"/>
      <c r="J37" s="24" t="n"/>
      <c r="K37" s="25" t="inlineStr">
        <is>
          <t>مبيعات المحطة تتحرّك بالمزيج والموسم، وهما خارج يد الوردية</t>
        </is>
      </c>
    </row>
    <row r="38" ht="26" customHeight="1">
      <c r="B38" s="20" t="inlineStr">
        <is>
          <t>مقابل أي خط أساس؟</t>
        </is>
      </c>
      <c r="C38" s="128" t="inlineStr">
        <is>
          <t>الأسابيع الأربعة السابقة للتنفيذ في المحطة نفسها</t>
        </is>
      </c>
      <c r="D38" s="24" t="n"/>
      <c r="E38" s="24" t="n"/>
      <c r="F38" s="24" t="n"/>
      <c r="G38" s="24" t="n"/>
      <c r="H38" s="24" t="n"/>
      <c r="I38" s="24" t="n"/>
      <c r="J38" s="24" t="n"/>
      <c r="K38" s="25" t="inlineStr">
        <is>
          <t>المقارنة بالعام الماضي تخلط الموسم بالأثر</t>
        </is>
      </c>
    </row>
    <row r="39" ht="26" customHeight="1">
      <c r="B39" s="20" t="inlineStr">
        <is>
          <t>متى نحكم؟</t>
        </is>
      </c>
      <c r="C39" s="128" t="inlineStr">
        <is>
          <t>بعد ستة أسابيع — ثم كل شهر</t>
        </is>
      </c>
      <c r="D39" s="24" t="n"/>
      <c r="E39" s="24" t="n"/>
      <c r="F39" s="24" t="n"/>
      <c r="G39" s="24" t="n"/>
      <c r="H39" s="24" t="n"/>
      <c r="I39" s="24" t="n"/>
      <c r="J39" s="24" t="n"/>
      <c r="K39" s="25" t="inlineStr">
        <is>
          <t>أقصر من ذلك يقرأ التشتّت أثراً</t>
        </is>
      </c>
    </row>
    <row r="40" ht="26" customHeight="1">
      <c r="B40" s="20" t="inlineStr">
        <is>
          <t>ما حدّ الأثر المقبول؟</t>
        </is>
      </c>
      <c r="C40" s="128" t="inlineStr">
        <is>
          <t>أكثر من 8.8٪ — وهو تشتّت خط الأساس المقيس</t>
        </is>
      </c>
      <c r="D40" s="24" t="n"/>
      <c r="E40" s="24" t="n"/>
      <c r="F40" s="24" t="n"/>
      <c r="G40" s="24" t="n"/>
      <c r="H40" s="24" t="n"/>
      <c r="I40" s="24" t="n"/>
      <c r="J40" s="24" t="n"/>
      <c r="K40" s="25" t="inlineStr">
        <is>
          <t>ما دونه لا يُحسب أثراً مهما بدا موجباً</t>
        </is>
      </c>
    </row>
    <row r="41" ht="26" customHeight="1">
      <c r="B41" s="20" t="inlineStr">
        <is>
          <t>من يملك الرقم؟</t>
        </is>
      </c>
      <c r="C41" s="128" t="inlineStr">
        <is>
          <t>مدير المحطة للتنفيذ · التجاري للقياس · العمليات للطاقم</t>
        </is>
      </c>
      <c r="D41" s="24" t="n"/>
      <c r="E41" s="24" t="n"/>
      <c r="F41" s="24" t="n"/>
      <c r="G41" s="24" t="n"/>
      <c r="H41" s="24" t="n"/>
      <c r="I41" s="24" t="n"/>
      <c r="J41" s="24" t="n"/>
      <c r="K41" s="25" t="inlineStr">
        <is>
          <t>الهدف بلا مالكٍ واحد لا يُقاس ولا يُحاسَب عليه</t>
        </is>
      </c>
    </row>
    <row r="42" ht="26" customHeight="1">
      <c r="B42" s="20" t="inlineStr">
        <is>
          <t>ما الذي لا نطالب به؟</t>
        </is>
      </c>
      <c r="C42" s="128" t="inlineStr">
        <is>
          <t>لترات الفاتورة الواحدة</t>
        </is>
      </c>
      <c r="D42" s="24" t="n"/>
      <c r="E42" s="24" t="n"/>
      <c r="F42" s="24" t="n"/>
      <c r="G42" s="24" t="n"/>
      <c r="H42" s="24" t="n"/>
      <c r="I42" s="24" t="n"/>
      <c r="J42" s="24" t="n"/>
      <c r="K42" s="25" t="inlineStr">
        <is>
          <t>ثلثا تباينها مزيج وقود لا سلوك — تُفسَّر ولا تُطلَب</t>
        </is>
      </c>
    </row>
    <row r="43" ht="30" customHeight="1">
      <c r="A43" s="107" t="inlineStr">
        <is>
          <t>ما لا يُصمَّم قياسه قبلاً تُنسب نتيجته بعداً إلى أي سبب. والسؤال الكاشف لأي خطة: ما آخر هدفٍ بيعيّ رفضتَه، ولماذا؟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</sheetData>
  <mergeCells count="14">
    <mergeCell ref="A6:K6"/>
    <mergeCell ref="A35:K35"/>
    <mergeCell ref="A4:K4"/>
    <mergeCell ref="C38:J38"/>
    <mergeCell ref="C42:J42"/>
    <mergeCell ref="A2:K2"/>
    <mergeCell ref="A16:K16"/>
    <mergeCell ref="A43:K43"/>
    <mergeCell ref="C41:J41"/>
    <mergeCell ref="C37:J37"/>
    <mergeCell ref="A14:K14"/>
    <mergeCell ref="A1:K1"/>
    <mergeCell ref="C39:J39"/>
    <mergeCell ref="C40:J40"/>
  </mergeCells>
  <conditionalFormatting sqref="F18:F32">
    <cfRule type="dataBar" priority="1">
      <dataBar showValue="1">
        <cfvo type="num" val="0"/>
        <cfvo type="max"/>
        <color rgb="00F5831F"/>
      </dataBar>
    </cfRule>
  </conditionalFormatting>
  <printOptions horizontalCentered="1"/>
  <pageMargins left="0.3" right="0.3" top="0.4" bottom="0.4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4" customWidth="1" min="7" max="7"/>
    <col width="13" customWidth="1" min="8" max="8"/>
    <col width="4" customWidth="1" min="9" max="9"/>
    <col width="32" customWidth="1" min="10" max="10"/>
  </cols>
  <sheetData>
    <row r="1" ht="26" customHeight="1">
      <c r="A1" s="1" t="inlineStr">
        <is>
          <t>لكل منتج منافسٌ مختلف ومقياسٌ مختلف ومصدرُ بيانات مختلف</t>
        </is>
      </c>
    </row>
    <row r="2" ht="16" customHeight="1">
      <c r="A2" s="2" t="inlineStr">
        <is>
          <t>ولا يُجمعون في جدول واحد — فمن يقارن وقود الأفراد بالعقار يقارن سوقين لا منافسين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2" customHeight="1">
      <c r="A4" s="18" t="inlineStr">
        <is>
          <t>① وقود الأفراد — المسح الميداني حول محطاتنا</t>
        </is>
      </c>
    </row>
    <row r="5" ht="30" customHeight="1">
      <c r="A5" s="19" t="inlineStr"/>
      <c r="B5" s="19" t="inlineStr">
        <is>
          <t>العلامة</t>
        </is>
      </c>
      <c r="C5" s="19" t="inlineStr">
        <is>
          <t>مواقع</t>
        </is>
      </c>
      <c r="D5" s="19" t="inlineStr">
        <is>
          <t>الحصة</t>
        </is>
      </c>
      <c r="E5" s="19" t="inlineStr">
        <is>
          <t>أقرب مسافة م</t>
        </is>
      </c>
      <c r="F5" s="19" t="inlineStr">
        <is>
          <t>وسيط المسافة م</t>
        </is>
      </c>
      <c r="G5" s="19" t="inlineStr"/>
      <c r="H5" s="19" t="inlineStr">
        <is>
          <t>التقييم</t>
        </is>
      </c>
      <c r="I5" s="19" t="inlineStr"/>
      <c r="J5" s="19" t="inlineStr">
        <is>
          <t>الملاحظة</t>
        </is>
      </c>
    </row>
    <row r="6">
      <c r="B6" s="20" t="inlineStr">
        <is>
          <t>الدريس</t>
        </is>
      </c>
      <c r="C6" s="39" t="n">
        <v>16</v>
      </c>
      <c r="D6" s="41" t="n">
        <v>0.4</v>
      </c>
      <c r="E6" s="39" t="n">
        <v>411</v>
      </c>
      <c r="F6" s="39" t="n">
        <v>1517</v>
      </c>
      <c r="G6" s="43" t="inlineStr"/>
      <c r="H6" s="129" t="n">
        <v>3.76875</v>
      </c>
      <c r="I6" s="43" t="inlineStr"/>
      <c r="J6" s="83" t="inlineStr">
        <is>
          <t>42 مراجعة — وسيط</t>
        </is>
      </c>
    </row>
    <row r="7">
      <c r="B7" s="20" t="inlineStr">
        <is>
          <t>مستقلة/أخرى</t>
        </is>
      </c>
      <c r="C7" s="39" t="n">
        <v>13</v>
      </c>
      <c r="D7" s="41" t="n">
        <v>0.325</v>
      </c>
      <c r="E7" s="39" t="n">
        <v>181</v>
      </c>
      <c r="F7" s="39" t="n">
        <v>1967</v>
      </c>
      <c r="G7" s="43" t="inlineStr"/>
      <c r="H7" s="129" t="n">
        <v>3.876923076923077</v>
      </c>
      <c r="I7" s="43" t="inlineStr"/>
      <c r="J7" s="83" t="inlineStr">
        <is>
          <t>268 مراجعة — وسيط</t>
        </is>
      </c>
    </row>
    <row r="8">
      <c r="B8" s="20" t="inlineStr">
        <is>
          <t>بتروجين</t>
        </is>
      </c>
      <c r="C8" s="39" t="n">
        <v>3</v>
      </c>
      <c r="D8" s="41" t="n">
        <v>0.075</v>
      </c>
      <c r="E8" s="39" t="n">
        <v>923</v>
      </c>
      <c r="F8" s="39" t="n">
        <v>1165</v>
      </c>
      <c r="G8" s="43" t="inlineStr"/>
      <c r="H8" s="129" t="n">
        <v>3.4</v>
      </c>
      <c r="I8" s="43" t="inlineStr"/>
      <c r="J8" s="83" t="inlineStr">
        <is>
          <t>18 مراجعة — وسيط</t>
        </is>
      </c>
    </row>
    <row r="9">
      <c r="B9" s="20" t="inlineStr">
        <is>
          <t>ساسكو</t>
        </is>
      </c>
      <c r="C9" s="39" t="n">
        <v>3</v>
      </c>
      <c r="D9" s="41" t="n">
        <v>0.075</v>
      </c>
      <c r="E9" s="39" t="n">
        <v>1701</v>
      </c>
      <c r="F9" s="39" t="n">
        <v>1806</v>
      </c>
      <c r="G9" s="43" t="inlineStr"/>
      <c r="H9" s="129" t="n">
        <v>4</v>
      </c>
      <c r="I9" s="43" t="inlineStr"/>
      <c r="J9" s="83" t="inlineStr">
        <is>
          <t>21 مراجعة — وسيط</t>
        </is>
      </c>
    </row>
    <row r="10">
      <c r="B10" s="20" t="inlineStr">
        <is>
          <t>أومكو</t>
        </is>
      </c>
      <c r="C10" s="39" t="n">
        <v>3</v>
      </c>
      <c r="D10" s="41" t="n">
        <v>0.075</v>
      </c>
      <c r="E10" s="39" t="n">
        <v>1755</v>
      </c>
      <c r="F10" s="39" t="n">
        <v>2116</v>
      </c>
      <c r="G10" s="43" t="inlineStr"/>
      <c r="H10" s="129" t="n">
        <v>3.2</v>
      </c>
      <c r="I10" s="43" t="inlineStr"/>
      <c r="J10" s="83" t="inlineStr">
        <is>
          <t>108 مراجعة — وسيط</t>
        </is>
      </c>
    </row>
    <row r="11">
      <c r="B11" s="20" t="inlineStr">
        <is>
          <t>نفط</t>
        </is>
      </c>
      <c r="C11" s="39" t="n">
        <v>2</v>
      </c>
      <c r="D11" s="41" t="n">
        <v>0.05</v>
      </c>
      <c r="E11" s="39" t="n">
        <v>695</v>
      </c>
      <c r="F11" s="39" t="n">
        <v>1038</v>
      </c>
      <c r="G11" s="43" t="inlineStr"/>
      <c r="H11" s="129" t="n">
        <v>3</v>
      </c>
      <c r="I11" s="43" t="inlineStr"/>
      <c r="J11" s="83" t="inlineStr">
        <is>
          <t>6 مراجعة — وسيط</t>
        </is>
      </c>
    </row>
    <row r="12">
      <c r="B12" s="130" t="inlineStr">
        <is>
          <t>درب</t>
        </is>
      </c>
      <c r="C12" s="131" t="n">
        <v>79</v>
      </c>
      <c r="D12" s="132" t="inlineStr"/>
      <c r="E12" s="132" t="inlineStr"/>
      <c r="F12" s="132" t="inlineStr"/>
      <c r="G12" s="43" t="inlineStr"/>
      <c r="H12" s="133" t="n">
        <v>4.86</v>
      </c>
      <c r="I12" s="43" t="inlineStr"/>
      <c r="J12" s="134" t="inlineStr">
        <is>
          <t>فارقنا +1.15 نجمة</t>
        </is>
      </c>
    </row>
    <row r="13" ht="44" customHeight="1">
      <c r="A13" s="38" t="inlineStr">
        <is>
          <t>⛔ وهنا الفحص الثاني: تقييمنا 4.86★ مقابل 3.71 للمنافسين، وهو ثابتٌ على المواقع كلها. والنمو فيها يمتدّ من +7٪ إلى -53٪. وما يستقرّ لا يفسّر ما يتباين — فأياً كان محرّك النتيجة فليس هو التفوّق الخدمي. وارتباط فجوة التقييم بالنمو -0.32 على 40 موقعاً، وارتباط عدد المنافسين بالنمو -0.27: لا شيء في كليهما.</t>
        </is>
      </c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</row>
    <row r="15" ht="22" customHeight="1">
      <c r="A15" s="18" t="inlineStr">
        <is>
          <t>② وقود الشركات — والتصنيف بحجم السلة لا بالاسم</t>
        </is>
      </c>
    </row>
    <row r="16" ht="30" customHeight="1">
      <c r="A16" s="19" t="inlineStr"/>
      <c r="B16" s="19" t="inlineStr">
        <is>
          <t>القناة</t>
        </is>
      </c>
      <c r="C16" s="19" t="inlineStr">
        <is>
          <t>الإيراد ريال</t>
        </is>
      </c>
      <c r="D16" s="19" t="inlineStr">
        <is>
          <t>الزيارات</t>
        </is>
      </c>
      <c r="E16" s="19" t="inlineStr">
        <is>
          <t>متوسط الفاتورة</t>
        </is>
      </c>
      <c r="F16" s="19" t="inlineStr">
        <is>
          <t>الحصة</t>
        </is>
      </c>
      <c r="G16" s="19" t="inlineStr"/>
      <c r="H16" s="19" t="inlineStr">
        <is>
          <t>التصنيف</t>
        </is>
      </c>
      <c r="I16" s="19" t="inlineStr"/>
      <c r="J16" s="19" t="inlineStr">
        <is>
          <t>الدليل</t>
        </is>
      </c>
    </row>
    <row r="17">
      <c r="B17" s="20" t="inlineStr">
        <is>
          <t>غير مسجَّلة</t>
        </is>
      </c>
      <c r="C17" s="67" t="n">
        <v>226312178.07</v>
      </c>
      <c r="D17" s="39" t="n">
        <v>4072181</v>
      </c>
      <c r="E17" s="135">
        <f>C17/D17</f>
        <v/>
      </c>
      <c r="F17" s="41" t="n">
        <v>0.3612453655136223</v>
      </c>
      <c r="G17" s="43" t="inlineStr"/>
      <c r="H17" s="26" t="inlineStr">
        <is>
          <t>غير مسجَّلة</t>
        </is>
      </c>
      <c r="I17" s="43" t="inlineStr"/>
      <c r="J17" s="83" t="inlineStr">
        <is>
          <t>وسيلة الدفع غير مسجَّلة — بوابة بيانات</t>
        </is>
      </c>
    </row>
    <row r="18">
      <c r="B18" s="20" t="inlineStr">
        <is>
          <t>نقدي</t>
        </is>
      </c>
      <c r="C18" s="67" t="n">
        <v>184558615.42</v>
      </c>
      <c r="D18" s="39" t="n">
        <v>3554445</v>
      </c>
      <c r="E18" s="135">
        <f>C18/D18</f>
        <v/>
      </c>
      <c r="F18" s="41" t="n">
        <v>0.2945972463994586</v>
      </c>
      <c r="G18" s="43" t="inlineStr"/>
      <c r="H18" s="136" t="inlineStr">
        <is>
          <t>نقاط بيع</t>
        </is>
      </c>
      <c r="I18" s="43" t="inlineStr"/>
      <c r="J18" s="83" t="inlineStr">
        <is>
          <t>سلّتها بحجم النقدي — جهاز نقاط بيع لا أسطول</t>
        </is>
      </c>
    </row>
    <row r="19">
      <c r="B19" s="20" t="inlineStr">
        <is>
          <t>شبكة (مدى)</t>
        </is>
      </c>
      <c r="C19" s="67" t="n">
        <v>179236303.33</v>
      </c>
      <c r="D19" s="39" t="n">
        <v>2805314</v>
      </c>
      <c r="E19" s="135">
        <f>C19/D19</f>
        <v/>
      </c>
      <c r="F19" s="41" t="n">
        <v>0.2861016338666902</v>
      </c>
      <c r="G19" s="43" t="inlineStr"/>
      <c r="H19" s="136" t="inlineStr">
        <is>
          <t>نقاط بيع</t>
        </is>
      </c>
      <c r="I19" s="43" t="inlineStr"/>
      <c r="J19" s="83" t="inlineStr">
        <is>
          <t>سلّتها بحجم النقدي — جهاز نقاط بيع لا أسطول</t>
        </is>
      </c>
    </row>
    <row r="20">
      <c r="B20" s="20" t="inlineStr">
        <is>
          <t>جهاز خارجي</t>
        </is>
      </c>
      <c r="C20" s="67" t="n">
        <v>24405655.16</v>
      </c>
      <c r="D20" s="39" t="n">
        <v>447764</v>
      </c>
      <c r="E20" s="135">
        <f>C20/D20</f>
        <v/>
      </c>
      <c r="F20" s="41" t="n">
        <v>0.03895693945443199</v>
      </c>
      <c r="G20" s="43" t="inlineStr"/>
      <c r="H20" s="136" t="inlineStr">
        <is>
          <t>نقاط بيع</t>
        </is>
      </c>
      <c r="I20" s="43" t="inlineStr"/>
      <c r="J20" s="83" t="inlineStr">
        <is>
          <t>سلّتها بحجم النقدي — جهاز نقاط بيع لا أسطول</t>
        </is>
      </c>
    </row>
    <row r="21">
      <c r="B21" s="20" t="inlineStr">
        <is>
          <t>تطبيق سيارة</t>
        </is>
      </c>
      <c r="C21" s="67" t="n">
        <v>7751172.89</v>
      </c>
      <c r="D21" s="39" t="n">
        <v>51926</v>
      </c>
      <c r="E21" s="135">
        <f>C21/D21</f>
        <v/>
      </c>
      <c r="F21" s="41" t="n">
        <v>0.01237262310710141</v>
      </c>
      <c r="G21" s="43" t="inlineStr"/>
      <c r="H21" s="137" t="inlineStr">
        <is>
          <t>أسطول</t>
        </is>
      </c>
      <c r="I21" s="43" t="inlineStr"/>
      <c r="J21" s="83" t="inlineStr">
        <is>
          <t>سلّتها ثلاثة أضعاف النقدي — قناة أسطول</t>
        </is>
      </c>
    </row>
    <row r="22">
      <c r="B22" s="20" t="inlineStr">
        <is>
          <t>تطبيق بترو</t>
        </is>
      </c>
      <c r="C22" s="67" t="n">
        <v>4205482.65</v>
      </c>
      <c r="D22" s="39" t="n">
        <v>24473</v>
      </c>
      <c r="E22" s="135">
        <f>C22/D22</f>
        <v/>
      </c>
      <c r="F22" s="41" t="n">
        <v>0.006712900428144632</v>
      </c>
      <c r="G22" s="43" t="inlineStr"/>
      <c r="H22" s="137" t="inlineStr">
        <is>
          <t>أسطول</t>
        </is>
      </c>
      <c r="I22" s="43" t="inlineStr"/>
      <c r="J22" s="83" t="inlineStr">
        <is>
          <t>سلّتها ثلاثة أضعاف النقدي — قناة أسطول</t>
        </is>
      </c>
    </row>
    <row r="23">
      <c r="B23" s="20" t="inlineStr">
        <is>
          <t>بطاقة ذكية</t>
        </is>
      </c>
      <c r="C23" s="67" t="n">
        <v>8008.66</v>
      </c>
      <c r="D23" s="39" t="n">
        <v>166</v>
      </c>
      <c r="E23" s="135">
        <f>C23/D23</f>
        <v/>
      </c>
      <c r="F23" s="41" t="n">
        <v>1.278363070713531e-05</v>
      </c>
      <c r="G23" s="43" t="inlineStr"/>
      <c r="H23" s="136" t="inlineStr">
        <is>
          <t>نقاط بيع</t>
        </is>
      </c>
      <c r="I23" s="43" t="inlineStr"/>
      <c r="J23" s="83" t="inlineStr">
        <is>
          <t>سلّتها بحجم النقدي — جهاز نقاط بيع لا أسطول</t>
        </is>
      </c>
    </row>
    <row r="24">
      <c r="B24" s="20" t="inlineStr">
        <is>
          <t>محفظة كاش إن</t>
        </is>
      </c>
      <c r="C24" s="67" t="n">
        <v>318</v>
      </c>
      <c r="D24" s="39" t="n">
        <v>8</v>
      </c>
      <c r="E24" s="135">
        <f>C24/D24</f>
        <v/>
      </c>
      <c r="F24" s="41" t="n">
        <v>5.075998437777392e-07</v>
      </c>
      <c r="G24" s="43" t="inlineStr"/>
      <c r="H24" s="136" t="inlineStr">
        <is>
          <t>نقاط بيع</t>
        </is>
      </c>
      <c r="I24" s="43" t="inlineStr"/>
      <c r="J24" s="83" t="inlineStr">
        <is>
          <t>سلّتها بحجم النقدي — جهاز نقاط بيع لا أسطول</t>
        </is>
      </c>
    </row>
    <row r="25" ht="30" customHeight="1">
      <c r="A25" s="27" t="inlineStr">
        <is>
          <t>«الجهاز الخارجي» اسمٌ يوحي بقناة أسطول، وفاتورته 54.50 ريالاً — بحجم النقدي 51.92. فهو جهاز نقاط بيع. وحين حُسب أسطولاً انتفخت حصة الأسطول في كورنيش الخبر من ٠٫٩٪ الحقيقية إلى ٥١٫٣٪، فانتفخت معها شريحةٌ كاملة.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</row>
    <row r="27" ht="22" customHeight="1">
      <c r="A27" s="18" t="inlineStr">
        <is>
          <t>③ العقار والتأجير — بديل المستأجر لا متر المربّع</t>
        </is>
      </c>
    </row>
    <row r="28" ht="30" customHeight="1">
      <c r="A28" s="19" t="inlineStr"/>
      <c r="B28" s="19" t="inlineStr">
        <is>
          <t>الصيغة</t>
        </is>
      </c>
      <c r="C28" s="19" t="inlineStr">
        <is>
          <t>الوحدات</t>
        </is>
      </c>
      <c r="D28" s="19" t="inlineStr">
        <is>
          <t>المؤجَّرة</t>
        </is>
      </c>
      <c r="E28" s="19" t="inlineStr">
        <is>
          <t>الشاغرة</t>
        </is>
      </c>
      <c r="F28" s="19" t="inlineStr">
        <is>
          <t>الإشغال</t>
        </is>
      </c>
      <c r="G28" s="19" t="inlineStr"/>
      <c r="H28" s="19" t="inlineStr"/>
      <c r="I28" s="19" t="inlineStr"/>
      <c r="J28" s="19" t="inlineStr">
        <is>
          <t>بديل المستأجر</t>
        </is>
      </c>
    </row>
    <row r="29">
      <c r="B29" s="20" t="inlineStr">
        <is>
          <t>أسواق</t>
        </is>
      </c>
      <c r="C29" s="39" t="n">
        <v>110</v>
      </c>
      <c r="D29" s="39" t="n">
        <v>56</v>
      </c>
      <c r="E29" s="39" t="n">
        <v>54</v>
      </c>
      <c r="F29" s="41">
        <f>D29/C29</f>
        <v/>
      </c>
      <c r="G29" s="43" t="inlineStr"/>
      <c r="H29" s="43" t="inlineStr"/>
      <c r="I29" s="43" t="inlineStr"/>
      <c r="J29" s="25" t="inlineStr">
        <is>
          <t>بقالة الحي</t>
        </is>
      </c>
    </row>
    <row r="30">
      <c r="B30" s="20" t="inlineStr">
        <is>
          <t>أكشاك</t>
        </is>
      </c>
      <c r="C30" s="39" t="n">
        <v>415</v>
      </c>
      <c r="D30" s="39" t="n">
        <v>201</v>
      </c>
      <c r="E30" s="39" t="n">
        <v>214</v>
      </c>
      <c r="F30" s="41">
        <f>D30/C30</f>
        <v/>
      </c>
      <c r="G30" s="43" t="inlineStr"/>
      <c r="H30" s="43" t="inlineStr"/>
      <c r="I30" s="43" t="inlineStr"/>
      <c r="J30" s="25" t="inlineStr">
        <is>
          <t>عربة أو كشك في ساحة تجارية</t>
        </is>
      </c>
    </row>
    <row r="31">
      <c r="B31" s="20" t="inlineStr">
        <is>
          <t>سيّاقة</t>
        </is>
      </c>
      <c r="C31" s="39" t="n">
        <v>155</v>
      </c>
      <c r="D31" s="39" t="n">
        <v>69</v>
      </c>
      <c r="E31" s="39" t="n">
        <v>86</v>
      </c>
      <c r="F31" s="41">
        <f>D31/C31</f>
        <v/>
      </c>
      <c r="G31" s="43" t="inlineStr"/>
      <c r="H31" s="43" t="inlineStr"/>
      <c r="I31" s="43" t="inlineStr"/>
      <c r="J31" s="25" t="inlineStr">
        <is>
          <t>لا بديل: نافذة السيّاقة تحتاج مسار سيارات</t>
        </is>
      </c>
    </row>
    <row r="32">
      <c r="B32" s="20" t="inlineStr">
        <is>
          <t>مغاسل</t>
        </is>
      </c>
      <c r="C32" s="39" t="n">
        <v>266</v>
      </c>
      <c r="D32" s="39" t="n">
        <v>117</v>
      </c>
      <c r="E32" s="39" t="n">
        <v>149</v>
      </c>
      <c r="F32" s="41">
        <f>D32/C32</f>
        <v/>
      </c>
      <c r="G32" s="43" t="inlineStr"/>
      <c r="H32" s="43" t="inlineStr"/>
      <c r="I32" s="43" t="inlineStr"/>
      <c r="J32" s="25" t="inlineStr">
        <is>
          <t>مغسلة حي مستقلة — لكن بلا حركة مرور مضمونة</t>
        </is>
      </c>
    </row>
    <row r="33">
      <c r="B33" s="20" t="inlineStr">
        <is>
          <t>أخرى</t>
        </is>
      </c>
      <c r="C33" s="39" t="n">
        <v>23</v>
      </c>
      <c r="D33" s="39" t="n">
        <v>6</v>
      </c>
      <c r="E33" s="39" t="n">
        <v>14</v>
      </c>
      <c r="F33" s="138">
        <f>D33/C33</f>
        <v/>
      </c>
      <c r="G33" s="43" t="inlineStr"/>
      <c r="H33" s="43" t="inlineStr"/>
      <c r="I33" s="43" t="inlineStr"/>
      <c r="J33" s="139" t="inlineStr">
        <is>
          <t>—</t>
        </is>
      </c>
    </row>
    <row r="34">
      <c r="B34" s="20" t="inlineStr">
        <is>
          <t>محلات</t>
        </is>
      </c>
      <c r="C34" s="39" t="n">
        <v>764</v>
      </c>
      <c r="D34" s="39" t="n">
        <v>192</v>
      </c>
      <c r="E34" s="39" t="n">
        <v>572</v>
      </c>
      <c r="F34" s="138">
        <f>D34/C34</f>
        <v/>
      </c>
      <c r="G34" s="43" t="inlineStr"/>
      <c r="H34" s="43" t="inlineStr"/>
      <c r="I34" s="43" t="inlineStr"/>
      <c r="J34" s="139" t="inlineStr">
        <is>
          <t>محل على شارع الحي — أوفر إيجاراً وأقرب للسكن</t>
        </is>
      </c>
    </row>
    <row r="35">
      <c r="B35" s="44" t="inlineStr">
        <is>
          <t>الإجمالي</t>
        </is>
      </c>
      <c r="C35" s="45">
        <f>SUM(C29:C34)</f>
        <v/>
      </c>
      <c r="D35" s="45">
        <f>SUM(D29:D34)</f>
        <v/>
      </c>
      <c r="E35" s="45">
        <f>SUM(E29:E34)</f>
        <v/>
      </c>
      <c r="F35" s="98">
        <f>D35/C35</f>
        <v/>
      </c>
      <c r="G35" s="43" t="inlineStr"/>
      <c r="H35" s="43" t="inlineStr"/>
      <c r="I35" s="43" t="inlineStr"/>
      <c r="J35" s="46" t="inlineStr"/>
    </row>
    <row r="36" ht="30" customHeight="1">
      <c r="A36" s="27" t="inlineStr">
        <is>
          <t>المحل هو الصيغة الوحيدة التي يملك مستأجرها مقارنةً يخسرها موقعُنا — 764 محلاً بإشغال 25.1٪، بينما الصيغ التي لا بديل لها بحركة مضمونة (أسواق · أكشاك · سيّاقة · مغاسل) بين ٤٤٪ و٥١٪. والإشغال العام 37٪. وهذه أفضل قراءة تحتملها البيانات، ويُثبتها نهائياً جدولُ إيجارات ومبيعاتُ مستأجرين لا نملكهما بعد.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</row>
  </sheetData>
  <mergeCells count="8">
    <mergeCell ref="A1:J1"/>
    <mergeCell ref="A36:J36"/>
    <mergeCell ref="A27:J27"/>
    <mergeCell ref="A15:J15"/>
    <mergeCell ref="A4:J4"/>
    <mergeCell ref="A2:J2"/>
    <mergeCell ref="A25:J25"/>
    <mergeCell ref="A13:J13"/>
  </mergeCells>
  <printOptions horizontalCentered="1"/>
  <pageMargins left="0.3" right="0.3" top="0.4" bottom="0.4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0" customWidth="1" min="4" max="4"/>
    <col width="10" customWidth="1" min="5" max="5"/>
    <col width="13" customWidth="1" min="6" max="6"/>
    <col width="13" customWidth="1" min="7" max="7"/>
    <col width="4" customWidth="1" min="8" max="8"/>
    <col width="13" customWidth="1" min="9" max="9"/>
    <col width="30" customWidth="1" min="10" max="10"/>
  </cols>
  <sheetData>
    <row r="1" ht="26" customHeight="1">
      <c r="A1" s="1" t="inlineStr">
        <is>
          <t>سعِّر من دفتر المستأجر لا من متر المربّع</t>
        </is>
      </c>
    </row>
    <row r="2" ht="16" customHeight="1">
      <c r="A2" s="2" t="inlineStr">
        <is>
          <t>الوحدة ليست مساحة — هي وصولٌ إلى تيّار حركة، وقيمتها ما يستطيع المستأجر تحويله منه · المدى 43× بين أعلى وأدنى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2" customHeight="1">
      <c r="A4" s="18" t="inlineStr">
        <is>
          <t>① المُدخَل الأول — حركةٌ لكل وحدة شاغرة</t>
        </is>
      </c>
    </row>
    <row r="5" ht="30" customHeight="1">
      <c r="A5" s="19" t="inlineStr"/>
      <c r="B5" s="19" t="inlineStr">
        <is>
          <t>المحطة</t>
        </is>
      </c>
      <c r="C5" s="19" t="inlineStr">
        <is>
          <t>الفئة</t>
        </is>
      </c>
      <c r="D5" s="19" t="inlineStr">
        <is>
          <t>وحدات</t>
        </is>
      </c>
      <c r="E5" s="19" t="inlineStr">
        <is>
          <t>شاغرة</t>
        </is>
      </c>
      <c r="F5" s="19" t="inlineStr">
        <is>
          <t>زيارة/يوم</t>
        </is>
      </c>
      <c r="G5" s="19" t="inlineStr">
        <is>
          <t>زيارة لكل وحدة شاغرة</t>
        </is>
      </c>
      <c r="H5" s="19" t="inlineStr"/>
      <c r="I5" s="19" t="inlineStr">
        <is>
          <t>الحكم</t>
        </is>
      </c>
      <c r="J5" s="19" t="inlineStr">
        <is>
          <t>الفعل</t>
        </is>
      </c>
    </row>
    <row r="6">
      <c r="B6" s="20" t="inlineStr">
        <is>
          <t>الحليس(طريق الجنوب)</t>
        </is>
      </c>
      <c r="C6" s="22" t="inlineStr">
        <is>
          <t>مشغّلة</t>
        </is>
      </c>
      <c r="D6" s="39" t="n">
        <v>16</v>
      </c>
      <c r="E6" s="39" t="n">
        <v>2</v>
      </c>
      <c r="F6" s="39" t="n">
        <v>1835.639534883721</v>
      </c>
      <c r="G6" s="140">
        <f>F6/E6</f>
        <v/>
      </c>
      <c r="H6" s="43" t="inlineStr"/>
      <c r="I6" s="137" t="inlineStr">
        <is>
          <t>فوق الوسيط</t>
        </is>
      </c>
      <c r="J6" s="114" t="inlineStr">
        <is>
          <t>الحركة موجودة — سعِّر منها</t>
        </is>
      </c>
    </row>
    <row r="7">
      <c r="B7" s="20" t="inlineStr">
        <is>
          <t>المعيصم</t>
        </is>
      </c>
      <c r="C7" s="22" t="inlineStr">
        <is>
          <t>مشغّلة</t>
        </is>
      </c>
      <c r="D7" s="39" t="n">
        <v>18</v>
      </c>
      <c r="E7" s="39" t="n">
        <v>1</v>
      </c>
      <c r="F7" s="39" t="n">
        <v>864.5471698113207</v>
      </c>
      <c r="G7" s="140">
        <f>F7/E7</f>
        <v/>
      </c>
      <c r="H7" s="43" t="inlineStr"/>
      <c r="I7" s="137" t="inlineStr">
        <is>
          <t>فوق الوسيط</t>
        </is>
      </c>
      <c r="J7" s="114" t="inlineStr">
        <is>
          <t>الحركة موجودة — سعِّر منها</t>
        </is>
      </c>
    </row>
    <row r="8">
      <c r="B8" s="20" t="inlineStr">
        <is>
          <t>النورية العمرة الجديدة</t>
        </is>
      </c>
      <c r="C8" s="22" t="inlineStr">
        <is>
          <t>مشغّلة</t>
        </is>
      </c>
      <c r="D8" s="39" t="n">
        <v>62</v>
      </c>
      <c r="E8" s="39" t="n">
        <v>9</v>
      </c>
      <c r="F8" s="39" t="n">
        <v>4260.63679245283</v>
      </c>
      <c r="G8" s="140">
        <f>F8/E8</f>
        <v/>
      </c>
      <c r="H8" s="43" t="inlineStr"/>
      <c r="I8" s="137" t="inlineStr">
        <is>
          <t>فوق الوسيط</t>
        </is>
      </c>
      <c r="J8" s="114" t="inlineStr">
        <is>
          <t>الحركة موجودة — سعِّر منها</t>
        </is>
      </c>
    </row>
    <row r="9">
      <c r="B9" s="20" t="inlineStr">
        <is>
          <t>جعرانة</t>
        </is>
      </c>
      <c r="C9" s="22" t="inlineStr">
        <is>
          <t>مشغّلة</t>
        </is>
      </c>
      <c r="D9" s="39" t="n">
        <v>11</v>
      </c>
      <c r="E9" s="39" t="n">
        <v>3</v>
      </c>
      <c r="F9" s="39" t="n">
        <v>1122.97641509434</v>
      </c>
      <c r="G9" s="140">
        <f>F9/E9</f>
        <v/>
      </c>
      <c r="H9" s="43" t="inlineStr"/>
      <c r="I9" s="137" t="inlineStr">
        <is>
          <t>فوق الوسيط</t>
        </is>
      </c>
      <c r="J9" s="114" t="inlineStr">
        <is>
          <t>الحركة موجودة — سعِّر منها</t>
        </is>
      </c>
    </row>
    <row r="10">
      <c r="B10" s="20" t="inlineStr">
        <is>
          <t>العمرة الجديد (النورية حي الفتح)</t>
        </is>
      </c>
      <c r="C10" s="22" t="inlineStr">
        <is>
          <t>مشغّلة</t>
        </is>
      </c>
      <c r="D10" s="39" t="n">
        <v>15</v>
      </c>
      <c r="E10" s="39" t="n">
        <v>4</v>
      </c>
      <c r="F10" s="39" t="n">
        <v>1411.108490566038</v>
      </c>
      <c r="G10" s="140">
        <f>F10/E10</f>
        <v/>
      </c>
      <c r="H10" s="43" t="inlineStr"/>
      <c r="I10" s="137" t="inlineStr">
        <is>
          <t>فوق الوسيط</t>
        </is>
      </c>
      <c r="J10" s="114" t="inlineStr">
        <is>
          <t>الحركة موجودة — سعِّر منها</t>
        </is>
      </c>
    </row>
    <row r="11">
      <c r="B11" s="20" t="inlineStr">
        <is>
          <t>الكوثر</t>
        </is>
      </c>
      <c r="C11" s="22" t="inlineStr">
        <is>
          <t>مشغّلة</t>
        </is>
      </c>
      <c r="D11" s="39" t="n">
        <v>10</v>
      </c>
      <c r="E11" s="39" t="n">
        <v>1</v>
      </c>
      <c r="F11" s="39" t="n">
        <v>333.8867924528302</v>
      </c>
      <c r="G11" s="140">
        <f>F11/E11</f>
        <v/>
      </c>
      <c r="H11" s="43" t="inlineStr"/>
      <c r="I11" s="137" t="inlineStr">
        <is>
          <t>فوق الوسيط</t>
        </is>
      </c>
      <c r="J11" s="114" t="inlineStr">
        <is>
          <t>الحركة موجودة — سعِّر منها</t>
        </is>
      </c>
    </row>
    <row r="12">
      <c r="B12" s="20" t="inlineStr">
        <is>
          <t>كورنيش الخبر</t>
        </is>
      </c>
      <c r="C12" s="22" t="inlineStr">
        <is>
          <t>مشغّلة</t>
        </is>
      </c>
      <c r="D12" s="39" t="n">
        <v>5</v>
      </c>
      <c r="E12" s="39" t="n">
        <v>2</v>
      </c>
      <c r="F12" s="39" t="n">
        <v>604.7216981132076</v>
      </c>
      <c r="G12" s="140">
        <f>F12/E12</f>
        <v/>
      </c>
      <c r="H12" s="43" t="inlineStr"/>
      <c r="I12" s="137" t="inlineStr">
        <is>
          <t>فوق الوسيط</t>
        </is>
      </c>
      <c r="J12" s="114" t="inlineStr">
        <is>
          <t>الحركة موجودة — سعِّر منها</t>
        </is>
      </c>
    </row>
    <row r="13">
      <c r="B13" s="20" t="inlineStr">
        <is>
          <t>البيعه</t>
        </is>
      </c>
      <c r="C13" s="22" t="inlineStr">
        <is>
          <t>مشغّلة</t>
        </is>
      </c>
      <c r="D13" s="39" t="n">
        <v>10</v>
      </c>
      <c r="E13" s="39" t="n">
        <v>2</v>
      </c>
      <c r="F13" s="39" t="n">
        <v>455.9575471698113</v>
      </c>
      <c r="G13" s="140">
        <f>F13/E13</f>
        <v/>
      </c>
      <c r="H13" s="43" t="inlineStr"/>
      <c r="I13" s="137" t="inlineStr">
        <is>
          <t>فوق الوسيط</t>
        </is>
      </c>
      <c r="J13" s="114" t="inlineStr">
        <is>
          <t>الحركة موجودة — سعِّر منها</t>
        </is>
      </c>
    </row>
    <row r="14">
      <c r="B14" s="20" t="inlineStr">
        <is>
          <t>كورنيش جيزان</t>
        </is>
      </c>
      <c r="C14" s="22" t="inlineStr">
        <is>
          <t>مشغّلة</t>
        </is>
      </c>
      <c r="D14" s="39" t="n">
        <v>17</v>
      </c>
      <c r="E14" s="39" t="n">
        <v>4</v>
      </c>
      <c r="F14" s="39" t="n">
        <v>909.7264150943396</v>
      </c>
      <c r="G14" s="140">
        <f>F14/E14</f>
        <v/>
      </c>
      <c r="H14" s="43" t="inlineStr"/>
      <c r="I14" s="137" t="inlineStr">
        <is>
          <t>فوق الوسيط</t>
        </is>
      </c>
      <c r="J14" s="114" t="inlineStr">
        <is>
          <t>الحركة موجودة — سعِّر منها</t>
        </is>
      </c>
    </row>
    <row r="15">
      <c r="B15" s="20" t="inlineStr">
        <is>
          <t>احد المسارحة -الصفا محمد بن ناصر</t>
        </is>
      </c>
      <c r="C15" s="22" t="inlineStr">
        <is>
          <t>امتياز</t>
        </is>
      </c>
      <c r="D15" s="39" t="n">
        <v>15</v>
      </c>
      <c r="E15" s="39" t="n">
        <v>9</v>
      </c>
      <c r="F15" s="39" t="n">
        <v>1856.577639751553</v>
      </c>
      <c r="G15" s="140">
        <f>F15/E15</f>
        <v/>
      </c>
      <c r="H15" s="43" t="inlineStr"/>
      <c r="I15" s="137" t="inlineStr">
        <is>
          <t>فوق الوسيط</t>
        </is>
      </c>
      <c r="J15" s="114" t="inlineStr">
        <is>
          <t>الحركة موجودة — سعِّر منها</t>
        </is>
      </c>
    </row>
    <row r="16">
      <c r="B16" s="20" t="inlineStr">
        <is>
          <t>طريق صبيا</t>
        </is>
      </c>
      <c r="C16" s="22" t="inlineStr">
        <is>
          <t>مشغّلة</t>
        </is>
      </c>
      <c r="D16" s="39" t="n">
        <v>7</v>
      </c>
      <c r="E16" s="39" t="n">
        <v>3</v>
      </c>
      <c r="F16" s="39" t="n">
        <v>538.3299492385787</v>
      </c>
      <c r="G16" s="140">
        <f>F16/E16</f>
        <v/>
      </c>
      <c r="H16" s="43" t="inlineStr"/>
      <c r="I16" s="137" t="inlineStr">
        <is>
          <t>فوق الوسيط</t>
        </is>
      </c>
      <c r="J16" s="114" t="inlineStr">
        <is>
          <t>الحركة موجودة — سعِّر منها</t>
        </is>
      </c>
    </row>
    <row r="17">
      <c r="B17" s="20" t="inlineStr">
        <is>
          <t>محطة مدخا محايل</t>
        </is>
      </c>
      <c r="C17" s="22" t="inlineStr">
        <is>
          <t>مشغّلة</t>
        </is>
      </c>
      <c r="D17" s="39" t="n">
        <v>25</v>
      </c>
      <c r="E17" s="39" t="n">
        <v>9</v>
      </c>
      <c r="F17" s="39" t="n">
        <v>998</v>
      </c>
      <c r="G17" s="140">
        <f>F17/E17</f>
        <v/>
      </c>
      <c r="H17" s="43" t="inlineStr"/>
      <c r="I17" s="137" t="inlineStr">
        <is>
          <t>فوق الوسيط</t>
        </is>
      </c>
      <c r="J17" s="114" t="inlineStr">
        <is>
          <t>الحركة موجودة — سعِّر منها</t>
        </is>
      </c>
    </row>
    <row r="18">
      <c r="B18" s="20" t="inlineStr">
        <is>
          <t>القسوم</t>
        </is>
      </c>
      <c r="C18" s="22" t="inlineStr">
        <is>
          <t>مشغّلة</t>
        </is>
      </c>
      <c r="D18" s="39" t="n">
        <v>14</v>
      </c>
      <c r="E18" s="39" t="n">
        <v>8</v>
      </c>
      <c r="F18" s="39" t="n">
        <v>856.3333333333334</v>
      </c>
      <c r="G18" s="119">
        <f>F18/E18</f>
        <v/>
      </c>
      <c r="H18" s="43" t="inlineStr"/>
      <c r="I18" s="141" t="inlineStr">
        <is>
          <t>دون الوسيط</t>
        </is>
      </c>
      <c r="J18" s="114" t="inlineStr">
        <is>
          <t>لا يُصلحها خفض إيجار — مشكلة تحجيم أو ملكية مهمّة</t>
        </is>
      </c>
    </row>
    <row r="19">
      <c r="B19" s="20" t="inlineStr">
        <is>
          <t>خليص</t>
        </is>
      </c>
      <c r="C19" s="22" t="inlineStr">
        <is>
          <t>مشغّلة</t>
        </is>
      </c>
      <c r="D19" s="39" t="n">
        <v>13</v>
      </c>
      <c r="E19" s="39" t="n">
        <v>4</v>
      </c>
      <c r="F19" s="39" t="n">
        <v>416.9858490566038</v>
      </c>
      <c r="G19" s="119">
        <f>F19/E19</f>
        <v/>
      </c>
      <c r="H19" s="43" t="inlineStr"/>
      <c r="I19" s="141" t="inlineStr">
        <is>
          <t>دون الوسيط</t>
        </is>
      </c>
      <c r="J19" s="114" t="inlineStr">
        <is>
          <t>لا يُصلحها خفض إيجار — مشكلة تحجيم أو ملكية مهمّة</t>
        </is>
      </c>
    </row>
    <row r="20">
      <c r="B20" s="20" t="inlineStr">
        <is>
          <t>الكر</t>
        </is>
      </c>
      <c r="C20" s="22" t="inlineStr">
        <is>
          <t>مشغّلة</t>
        </is>
      </c>
      <c r="D20" s="39" t="n">
        <v>12</v>
      </c>
      <c r="E20" s="39" t="n">
        <v>6</v>
      </c>
      <c r="F20" s="39" t="n">
        <v>573.1415094339623</v>
      </c>
      <c r="G20" s="119">
        <f>F20/E20</f>
        <v/>
      </c>
      <c r="H20" s="43" t="inlineStr"/>
      <c r="I20" s="141" t="inlineStr">
        <is>
          <t>دون الوسيط</t>
        </is>
      </c>
      <c r="J20" s="114" t="inlineStr">
        <is>
          <t>لا يُصلحها خفض إيجار — مشكلة تحجيم أو ملكية مهمّة</t>
        </is>
      </c>
    </row>
    <row r="21">
      <c r="B21" s="20" t="inlineStr">
        <is>
          <t>خبت نخلان صبيا(الملك عبد العزيز)</t>
        </is>
      </c>
      <c r="C21" s="22" t="inlineStr">
        <is>
          <t>مشغّلة</t>
        </is>
      </c>
      <c r="D21" s="39" t="n">
        <v>13</v>
      </c>
      <c r="E21" s="39" t="n">
        <v>7</v>
      </c>
      <c r="F21" s="39" t="n">
        <v>652.938679245283</v>
      </c>
      <c r="G21" s="119">
        <f>F21/E21</f>
        <v/>
      </c>
      <c r="H21" s="43" t="inlineStr"/>
      <c r="I21" s="141" t="inlineStr">
        <is>
          <t>دون الوسيط</t>
        </is>
      </c>
      <c r="J21" s="114" t="inlineStr">
        <is>
          <t>لا يُصلحها خفض إيجار — مشكلة تحجيم أو ملكية مهمّة</t>
        </is>
      </c>
    </row>
    <row r="22">
      <c r="B22" s="20" t="inlineStr">
        <is>
          <t>الملك خالد (الجال)</t>
        </is>
      </c>
      <c r="C22" s="22" t="inlineStr">
        <is>
          <t>مشغّلة</t>
        </is>
      </c>
      <c r="D22" s="39" t="n">
        <v>10</v>
      </c>
      <c r="E22" s="39" t="n">
        <v>8</v>
      </c>
      <c r="F22" s="39" t="n">
        <v>684.7845303867404</v>
      </c>
      <c r="G22" s="119">
        <f>F22/E22</f>
        <v/>
      </c>
      <c r="H22" s="43" t="inlineStr"/>
      <c r="I22" s="141" t="inlineStr">
        <is>
          <t>دون الوسيط</t>
        </is>
      </c>
      <c r="J22" s="114" t="inlineStr">
        <is>
          <t>لا يُصلحها خفض إيجار — مشكلة تحجيم أو ملكية مهمّة</t>
        </is>
      </c>
    </row>
    <row r="23">
      <c r="B23" s="20" t="inlineStr">
        <is>
          <t>الدائري الشرقي</t>
        </is>
      </c>
      <c r="C23" s="22" t="inlineStr">
        <is>
          <t>مشغّلة</t>
        </is>
      </c>
      <c r="D23" s="39" t="n">
        <v>10</v>
      </c>
      <c r="E23" s="39" t="n">
        <v>7</v>
      </c>
      <c r="F23" s="39" t="n">
        <v>439.8018867924528</v>
      </c>
      <c r="G23" s="119">
        <f>F23/E23</f>
        <v/>
      </c>
      <c r="H23" s="43" t="inlineStr"/>
      <c r="I23" s="141" t="inlineStr">
        <is>
          <t>دون الوسيط</t>
        </is>
      </c>
      <c r="J23" s="114" t="inlineStr">
        <is>
          <t>لا يُصلحها خفض إيجار — مشكلة تحجيم أو ملكية مهمّة</t>
        </is>
      </c>
    </row>
    <row r="24">
      <c r="B24" s="20" t="inlineStr">
        <is>
          <t>الخزامى (العرجاني)</t>
        </is>
      </c>
      <c r="C24" s="22" t="inlineStr">
        <is>
          <t>مشغّلة</t>
        </is>
      </c>
      <c r="D24" s="39" t="n">
        <v>13</v>
      </c>
      <c r="E24" s="39" t="n">
        <v>7</v>
      </c>
      <c r="F24" s="39" t="n">
        <v>412.4339622641509</v>
      </c>
      <c r="G24" s="119">
        <f>F24/E24</f>
        <v/>
      </c>
      <c r="H24" s="43" t="inlineStr"/>
      <c r="I24" s="141" t="inlineStr">
        <is>
          <t>دون الوسيط</t>
        </is>
      </c>
      <c r="J24" s="114" t="inlineStr">
        <is>
          <t>لا يُصلحها خفض إيجار — مشكلة تحجيم أو ملكية مهمّة</t>
        </is>
      </c>
    </row>
    <row r="25">
      <c r="B25" s="20" t="inlineStr">
        <is>
          <t>محطة طريق السيل</t>
        </is>
      </c>
      <c r="C25" s="22" t="inlineStr">
        <is>
          <t>مشغّلة</t>
        </is>
      </c>
      <c r="D25" s="39" t="n">
        <v>33</v>
      </c>
      <c r="E25" s="39" t="n">
        <v>14</v>
      </c>
      <c r="F25" s="39" t="n">
        <v>736.8450704225352</v>
      </c>
      <c r="G25" s="119">
        <f>F25/E25</f>
        <v/>
      </c>
      <c r="H25" s="43" t="inlineStr"/>
      <c r="I25" s="141" t="inlineStr">
        <is>
          <t>دون الوسيط</t>
        </is>
      </c>
      <c r="J25" s="114" t="inlineStr">
        <is>
          <t>لا يُصلحها خفض إيجار — مشكلة تحجيم أو ملكية مهمّة</t>
        </is>
      </c>
    </row>
    <row r="26">
      <c r="B26" s="20" t="inlineStr">
        <is>
          <t>المودة - الروابي</t>
        </is>
      </c>
      <c r="C26" s="22" t="inlineStr">
        <is>
          <t>مشغّلة</t>
        </is>
      </c>
      <c r="D26" s="39" t="n">
        <v>9</v>
      </c>
      <c r="E26" s="39" t="n">
        <v>8</v>
      </c>
      <c r="F26" s="39" t="n">
        <v>285.6650943396227</v>
      </c>
      <c r="G26" s="119">
        <f>F26/E26</f>
        <v/>
      </c>
      <c r="H26" s="43" t="inlineStr"/>
      <c r="I26" s="141" t="inlineStr">
        <is>
          <t>دون الوسيط</t>
        </is>
      </c>
      <c r="J26" s="114" t="inlineStr">
        <is>
          <t>لا يُصلحها خفض إيجار — مشكلة تحجيم أو ملكية مهمّة</t>
        </is>
      </c>
    </row>
    <row r="27">
      <c r="B27" s="20" t="inlineStr">
        <is>
          <t>المركب</t>
        </is>
      </c>
      <c r="C27" s="22" t="inlineStr">
        <is>
          <t>مشغّلة</t>
        </is>
      </c>
      <c r="D27" s="39" t="n">
        <v>11</v>
      </c>
      <c r="E27" s="39" t="n">
        <v>10</v>
      </c>
      <c r="F27" s="39" t="n">
        <v>274.5135135135135</v>
      </c>
      <c r="G27" s="119">
        <f>F27/E27</f>
        <v/>
      </c>
      <c r="H27" s="43" t="inlineStr"/>
      <c r="I27" s="141" t="inlineStr">
        <is>
          <t>دون الوسيط</t>
        </is>
      </c>
      <c r="J27" s="114" t="inlineStr">
        <is>
          <t>لا يُصلحها خفض إيجار — مشكلة تحجيم أو ملكية مهمّة</t>
        </is>
      </c>
    </row>
    <row r="28">
      <c r="B28" s="20" t="inlineStr">
        <is>
          <t>طريق السلام</t>
        </is>
      </c>
      <c r="C28" s="22" t="inlineStr">
        <is>
          <t>امتياز</t>
        </is>
      </c>
      <c r="D28" s="39" t="n">
        <v>11</v>
      </c>
      <c r="E28" s="39" t="n">
        <v>11</v>
      </c>
      <c r="F28" s="39" t="n">
        <v>232.8428571428572</v>
      </c>
      <c r="G28" s="119">
        <f>F28/E28</f>
        <v/>
      </c>
      <c r="H28" s="43" t="inlineStr"/>
      <c r="I28" s="141" t="inlineStr">
        <is>
          <t>دون الوسيط</t>
        </is>
      </c>
      <c r="J28" s="114" t="inlineStr">
        <is>
          <t>لا يُصلحها خفض إيجار — مشكلة تحجيم أو ملكية مهمّة</t>
        </is>
      </c>
    </row>
    <row r="29">
      <c r="B29" s="44" t="inlineStr">
        <is>
          <t>الوسيط</t>
        </is>
      </c>
      <c r="C29" s="46" t="inlineStr"/>
      <c r="D29" s="46" t="inlineStr"/>
      <c r="E29" s="46" t="inlineStr"/>
      <c r="F29" s="46" t="inlineStr"/>
      <c r="G29" s="45">
        <f>MEDIAN(G6:G28)</f>
        <v/>
      </c>
      <c r="H29" s="43" t="inlineStr"/>
      <c r="I29" s="46" t="inlineStr"/>
      <c r="J29" s="46" t="inlineStr"/>
    </row>
    <row r="30" ht="30" customHeight="1">
      <c r="A30" s="27" t="inlineStr">
        <is>
          <t>المدى 43 ضعفاً — من 918 زيارة/يوم لكل وحدة شاغرة في الحليس(طريق ال إلى 21 في طريق السلام. فوق الوسيط: الحركة موجودة فسعِّر منها. دونه: لا يُصلحها خفض إيجار.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</row>
    <row r="32" ht="22" customHeight="1">
      <c r="A32" s="18" t="inlineStr">
        <is>
          <t>② التغطية — كم وحدةً نملك مُدخَلها الأول أصلاً؟</t>
        </is>
      </c>
    </row>
    <row r="33" ht="30" customHeight="1">
      <c r="A33" s="19" t="inlineStr"/>
      <c r="B33" s="19" t="inlineStr">
        <is>
          <t>الفئة</t>
        </is>
      </c>
      <c r="C33" s="19" t="inlineStr">
        <is>
          <t>شاغرة</t>
        </is>
      </c>
      <c r="D33" s="19" t="inlineStr">
        <is>
          <t>مقيسة</t>
        </is>
      </c>
      <c r="E33" s="19" t="inlineStr">
        <is>
          <t>التغطية</t>
        </is>
      </c>
      <c r="F33" s="19" t="inlineStr"/>
      <c r="G33" s="19" t="inlineStr"/>
      <c r="H33" s="19" t="inlineStr"/>
      <c r="I33" s="19" t="inlineStr"/>
      <c r="J33" s="19" t="inlineStr">
        <is>
          <t>لماذا وما الفعل</t>
        </is>
      </c>
    </row>
    <row r="34">
      <c r="B34" s="20" t="inlineStr">
        <is>
          <t>مشغّلة</t>
        </is>
      </c>
      <c r="C34" s="39" t="n">
        <v>131</v>
      </c>
      <c r="D34" s="39" t="n">
        <v>119</v>
      </c>
      <c r="E34" s="142">
        <f>D34/C34</f>
        <v/>
      </c>
      <c r="F34" s="43" t="inlineStr"/>
      <c r="G34" s="43" t="inlineStr"/>
      <c r="H34" s="43" t="inlineStr"/>
      <c r="I34" s="43" t="inlineStr"/>
      <c r="J34" s="25" t="inlineStr">
        <is>
          <t>الحركة مقيسة — تُكتتب اليوم</t>
        </is>
      </c>
    </row>
    <row r="35">
      <c r="B35" s="20" t="inlineStr">
        <is>
          <t>تحت التنفيذ</t>
        </is>
      </c>
      <c r="C35" s="39" t="n">
        <v>689</v>
      </c>
      <c r="D35" s="39" t="n">
        <v>0</v>
      </c>
      <c r="E35" s="138">
        <f>D35/C35</f>
        <v/>
      </c>
      <c r="F35" s="43" t="inlineStr"/>
      <c r="G35" s="43" t="inlineStr"/>
      <c r="H35" s="43" t="inlineStr"/>
      <c r="I35" s="43" t="inlineStr"/>
      <c r="J35" s="25" t="inlineStr">
        <is>
          <t>المحطة لم تُفتح — تُكتتب بمحطة نظيرة</t>
        </is>
      </c>
    </row>
    <row r="36">
      <c r="B36" s="20" t="inlineStr">
        <is>
          <t>امتياز</t>
        </is>
      </c>
      <c r="C36" s="39" t="n">
        <v>269</v>
      </c>
      <c r="D36" s="39" t="n">
        <v>20</v>
      </c>
      <c r="E36" s="138">
        <f>D36/C36</f>
        <v/>
      </c>
      <c r="F36" s="43" t="inlineStr"/>
      <c r="G36" s="43" t="inlineStr"/>
      <c r="H36" s="43" t="inlineStr"/>
      <c r="I36" s="43" t="inlineStr"/>
      <c r="J36" s="25" t="inlineStr">
        <is>
          <t>المحطة تعمل ولا تصلنا معاملاتها — طلب بيانات</t>
        </is>
      </c>
    </row>
    <row r="37">
      <c r="B37" s="44" t="inlineStr">
        <is>
          <t>الإجمالي</t>
        </is>
      </c>
      <c r="C37" s="45">
        <f>SUM(C34:C36)</f>
        <v/>
      </c>
      <c r="D37" s="45">
        <f>SUM(D34:D36)</f>
        <v/>
      </c>
      <c r="E37" s="98">
        <f>D37/C37</f>
        <v/>
      </c>
      <c r="F37" s="43" t="inlineStr"/>
      <c r="G37" s="43" t="inlineStr"/>
      <c r="H37" s="43" t="inlineStr"/>
      <c r="I37" s="43" t="inlineStr"/>
      <c r="J37" s="46" t="inlineStr"/>
    </row>
    <row r="38" ht="36" customHeight="1">
      <c r="A38" s="38" t="inlineStr">
        <is>
          <t>التغطية 13٪ فقط: 139 من 1089 وحدة شاغرة نملك مُدخَلها الأول. وحين تجهل قيمة الحركة لا تراهن عليها — شارِك فيها: نموذج «نسبة من المبيعات» يُسعّر الموقع من دفتر المستأجر تلقائياً وينقل خطر التقدير الخاطئ عنّا.</t>
        </is>
      </c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</row>
    <row r="40" ht="22" customHeight="1">
      <c r="A40" s="18" t="inlineStr">
        <is>
          <t>③ ورقة الاكتتاب — أربعة مُدخَلات قبل النطق برقم</t>
        </is>
      </c>
    </row>
    <row r="41" ht="30" customHeight="1">
      <c r="A41" s="19" t="inlineStr"/>
      <c r="B41" s="19" t="inlineStr">
        <is>
          <t>المُدخَل</t>
        </is>
      </c>
      <c r="C41" s="19" t="inlineStr">
        <is>
          <t>عندنا؟</t>
        </is>
      </c>
      <c r="D41" s="19" t="inlineStr"/>
      <c r="E41" s="19" t="inlineStr"/>
      <c r="F41" s="19" t="inlineStr"/>
      <c r="G41" s="19" t="inlineStr"/>
      <c r="H41" s="19" t="inlineStr"/>
      <c r="I41" s="19" t="inlineStr"/>
      <c r="J41" s="19" t="inlineStr">
        <is>
          <t>المصدر أو المالك</t>
        </is>
      </c>
    </row>
    <row r="42">
      <c r="B42" s="20" t="inlineStr">
        <is>
          <t>الحركة المارّة بالوحدة</t>
        </is>
      </c>
      <c r="C42" s="143" t="inlineStr">
        <is>
          <t>✓ عندنا — زيارة/يوم لكل محطة</t>
        </is>
      </c>
      <c r="D42" s="144" t="n"/>
      <c r="E42" s="144" t="n"/>
      <c r="F42" s="144" t="n"/>
      <c r="G42" s="144" t="n"/>
      <c r="H42" s="144" t="n"/>
      <c r="I42" s="144" t="n"/>
      <c r="J42" s="25" t="inlineStr">
        <is>
          <t>كاش إن</t>
        </is>
      </c>
    </row>
    <row r="43">
      <c r="B43" s="20" t="inlineStr">
        <is>
          <t>ساعات الذروة</t>
        </is>
      </c>
      <c r="C43" s="143" t="inlineStr">
        <is>
          <t>✓ عندنا — منحنى ٢٤ ساعة لكل محطة</t>
        </is>
      </c>
      <c r="D43" s="144" t="n"/>
      <c r="E43" s="144" t="n"/>
      <c r="F43" s="144" t="n"/>
      <c r="G43" s="144" t="n"/>
      <c r="H43" s="144" t="n"/>
      <c r="I43" s="144" t="n"/>
      <c r="J43" s="25" t="inlineStr">
        <is>
          <t>كاش إن</t>
        </is>
      </c>
    </row>
    <row r="44">
      <c r="B44" s="20" t="inlineStr">
        <is>
          <t>تحويل الشكل من التيّار</t>
        </is>
      </c>
      <c r="C44" s="145" t="inlineStr">
        <is>
          <t>✕ ليس عندنا — لكل صيغة — مطعم · مقهى · مغسلة</t>
        </is>
      </c>
      <c r="D44" s="146" t="n"/>
      <c r="E44" s="146" t="n"/>
      <c r="F44" s="146" t="n"/>
      <c r="G44" s="146" t="n"/>
      <c r="H44" s="146" t="n"/>
      <c r="I44" s="146" t="n"/>
      <c r="J44" s="25" t="inlineStr">
        <is>
          <t>التأجير — مسح تحويل لكل صيغة</t>
        </is>
      </c>
    </row>
    <row r="45">
      <c r="B45" s="20" t="inlineStr">
        <is>
          <t>سلة المستأجر وهامشه</t>
        </is>
      </c>
      <c r="C45" s="145" t="inlineStr">
        <is>
          <t>✕ ليس عندنا — مبيعات المستأجرين شهرياً</t>
        </is>
      </c>
      <c r="D45" s="146" t="n"/>
      <c r="E45" s="146" t="n"/>
      <c r="F45" s="146" t="n"/>
      <c r="G45" s="146" t="n"/>
      <c r="H45" s="146" t="n"/>
      <c r="I45" s="146" t="n"/>
      <c r="J45" s="25" t="inlineStr">
        <is>
          <t>التأجير — إقرار مبيعات المستأجرين شهرياً</t>
        </is>
      </c>
    </row>
    <row r="46" ht="30" customHeight="1">
      <c r="A46" s="27" t="inlineStr">
        <is>
          <t>المُدخَلان الأولان عندنا، والأخيران لا. ولا يُملأ الفراغ بتقدير يبدو كقياس — بل يُكتب ما ينقص ومن يملك سدّه.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</row>
  </sheetData>
  <mergeCells count="12">
    <mergeCell ref="C45:I45"/>
    <mergeCell ref="A1:J1"/>
    <mergeCell ref="C44:I44"/>
    <mergeCell ref="A32:J32"/>
    <mergeCell ref="A46:J46"/>
    <mergeCell ref="A40:J40"/>
    <mergeCell ref="A30:J30"/>
    <mergeCell ref="C43:I43"/>
    <mergeCell ref="A4:J4"/>
    <mergeCell ref="A38:J38"/>
    <mergeCell ref="A2:J2"/>
    <mergeCell ref="C42:I42"/>
  </mergeCells>
  <conditionalFormatting sqref="G6:G28">
    <cfRule type="dataBar" priority="1">
      <dataBar showValue="1">
        <cfvo type="num" val="0"/>
        <cfvo type="max"/>
        <color rgb="00F5831F"/>
      </dataBar>
    </cfRule>
  </conditionalFormatting>
  <printOptions horizontalCentered="1"/>
  <pageMargins left="0.3" right="0.3" top="0.4" bottom="0.4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20" customWidth="1" min="3" max="3"/>
    <col width="20" customWidth="1" min="4" max="4"/>
    <col width="4" customWidth="1" min="5" max="5"/>
    <col width="26" customWidth="1" min="6" max="6"/>
    <col width="20" customWidth="1" min="7" max="7"/>
    <col width="26" customWidth="1" min="8" max="8"/>
  </cols>
  <sheetData>
    <row r="1" ht="26" customHeight="1">
      <c r="A1" s="1" t="inlineStr">
        <is>
          <t>من أين جاء كل رقم — وما الذي لا نعرفه</t>
        </is>
      </c>
    </row>
    <row r="2" ht="16" customHeight="1">
      <c r="A2" s="2" t="inlineStr">
        <is>
          <t>ولا يُدَّعى مسحٌ لم يُجرَ: حيث تنقص المعرفة يُكتب ما ينقص بالضبط ومن يملك سدّه</t>
        </is>
      </c>
    </row>
    <row r="3" ht="3.5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2" customHeight="1">
      <c r="A4" s="18" t="inlineStr">
        <is>
          <t>① المصادر</t>
        </is>
      </c>
    </row>
    <row r="5" ht="30" customHeight="1">
      <c r="A5" s="19" t="inlineStr"/>
      <c r="B5" s="19" t="inlineStr">
        <is>
          <t>المصدر</t>
        </is>
      </c>
      <c r="C5" s="19" t="inlineStr">
        <is>
          <t>النطاق</t>
        </is>
      </c>
      <c r="D5" s="19" t="inlineStr">
        <is>
          <t>ما يعطيه</t>
        </is>
      </c>
      <c r="E5" s="19" t="inlineStr"/>
      <c r="F5" s="19" t="inlineStr">
        <is>
          <t>التحفّظ</t>
        </is>
      </c>
      <c r="G5" s="19" t="inlineStr"/>
      <c r="H5" s="19" t="inlineStr"/>
    </row>
    <row r="6" ht="32" customHeight="1">
      <c r="B6" s="20" t="inlineStr">
        <is>
          <t>كاش إن — الشبكة</t>
        </is>
      </c>
      <c r="C6" s="25" t="inlineStr">
        <is>
          <t>55 محطة · 9,058 يوم-محطة</t>
        </is>
      </c>
      <c r="D6" s="23" t="inlineStr">
        <is>
          <t>زيارات ولترات ومزيج وقود وقنوات دفع وشكل ساعات</t>
        </is>
      </c>
      <c r="E6" s="24" t="n"/>
      <c r="F6" s="23" t="inlineStr">
        <is>
          <t>10,959,777 صفّاً · محطات فُتحت أو أُغلقت داخل المدى فلا تُقارَن مجاميعها</t>
        </is>
      </c>
      <c r="G6" s="24" t="n"/>
      <c r="H6" s="24" t="n"/>
    </row>
    <row r="7" ht="32" customHeight="1">
      <c r="B7" s="20" t="inlineStr">
        <is>
          <t>كاش إن — العمرة اليومي</t>
        </is>
      </c>
      <c r="C7" s="25" t="inlineStr">
        <is>
          <t>263 يوماً كاملاً</t>
        </is>
      </c>
      <c r="D7" s="23" t="inlineStr">
        <is>
          <t>الساعة وشريحة الفاتورة وزمن الخدمة — المحطة الوحيدة</t>
        </is>
      </c>
      <c r="E7" s="24" t="n"/>
      <c r="F7" s="23" t="inlineStr">
        <is>
          <t>يوم 2026-09-21 ناقص فاستُبعد · 7,217 مكرَّراً و70 صفّاً متجاوَزاً من 1,140,208</t>
        </is>
      </c>
      <c r="G7" s="24" t="n"/>
      <c r="H7" s="24" t="n"/>
    </row>
    <row r="8" ht="32" customHeight="1">
      <c r="B8" s="20" t="inlineStr">
        <is>
          <t>ملف ساعات الشبكة</t>
        </is>
      </c>
      <c r="C8" s="25" t="inlineStr">
        <is>
          <t>25 محطة حيوية</t>
        </is>
      </c>
      <c r="D8" s="23" t="inlineStr">
        <is>
          <t>شكل الساعات المرجعي الذي تُقاس عليه الفجوة</t>
        </is>
      </c>
      <c r="E8" s="24" t="n"/>
      <c r="F8" s="23" t="inlineStr">
        <is>
          <t>وسيطٌ لا مستهدف — ونصف المحطات فوقه بالتعريف</t>
        </is>
      </c>
      <c r="G8" s="24" t="n"/>
      <c r="H8" s="24" t="n"/>
    </row>
    <row r="9" ht="32" customHeight="1">
      <c r="B9" s="20" t="inlineStr">
        <is>
          <t>قائمة الدخل يناير–يوليو ٢٠٢٦</t>
        </is>
      </c>
      <c r="C9" s="25" t="inlineStr">
        <is>
          <t>141 محطة · 662 مليون لتر</t>
        </is>
      </c>
      <c r="D9" s="23" t="inlineStr">
        <is>
          <t>كلفة اللتر بأربع طبقات وبتفصيل نموذج العمل</t>
        </is>
      </c>
      <c r="E9" s="24" t="n"/>
      <c r="F9" s="23" t="inlineStr">
        <is>
          <t>شبكيّة لا محطّية — ولا نملك تفصيل كل محطة</t>
        </is>
      </c>
      <c r="G9" s="24" t="n"/>
      <c r="H9" s="24" t="n"/>
    </row>
    <row r="10" ht="32" customHeight="1">
      <c r="B10" s="20" t="inlineStr">
        <is>
          <t>تقرير ربحية الربع الثاني</t>
        </is>
      </c>
      <c r="C10" s="25" t="inlineStr">
        <is>
          <t>22 محطة مشغّلة</t>
        </is>
      </c>
      <c r="D10" s="23" t="inlineStr">
        <is>
          <t>وحده يفصّل داخل «مصاريف التشغيل»: أجور · مرافق</t>
        </is>
      </c>
      <c r="E10" s="24" t="n"/>
      <c r="F10" s="29" t="inlineStr">
        <is>
          <t>⛔ الأجر فيه ٣٬٥٠٠ ريالاً ثابتة لكل عامل — سعرٌ لا قياس</t>
        </is>
      </c>
      <c r="G10" s="30" t="n"/>
      <c r="H10" s="30" t="n"/>
    </row>
    <row r="11" ht="32" customHeight="1">
      <c r="B11" s="20" t="inlineStr">
        <is>
          <t>انحدار هامش ١٩ محطة</t>
        </is>
      </c>
      <c r="C11" s="25" t="inlineStr">
        <is>
          <t>من تقرير المالية</t>
        </is>
      </c>
      <c r="D11" s="23" t="inlineStr">
        <is>
          <t>هامش البنزين ١٢٫٦٦ هللة والديزل ٤٫٤٧</t>
        </is>
      </c>
      <c r="E11" s="24" t="n"/>
      <c r="F11" s="29" t="inlineStr">
        <is>
          <t>⛔ استقراء: أقصى حصة ديزل مرصودة ٤٣٪ — وليسا جدولاً معتمداً</t>
        </is>
      </c>
      <c r="G11" s="30" t="n"/>
      <c r="H11" s="30" t="n"/>
    </row>
    <row r="12" ht="32" customHeight="1">
      <c r="B12" s="20" t="inlineStr">
        <is>
          <t>ملفات الطاقم والعمليات</t>
        </is>
      </c>
      <c r="C12" s="25" t="inlineStr">
        <is>
          <t>372 عاملاً · 40 محطة</t>
        </is>
      </c>
      <c r="D12" s="23" t="inlineStr">
        <is>
          <t>توزيع العمّال على الورديتين وحِمل كلٍّ منهما</t>
        </is>
      </c>
      <c r="E12" s="24" t="n"/>
      <c r="F12" s="29" t="inlineStr">
        <is>
          <t>⛔ 15 محطة بلا بيان عامل · والعمرة ٢٠ و٢٦ و٣٢ في ثلاثة ملفات</t>
        </is>
      </c>
      <c r="G12" s="30" t="n"/>
      <c r="H12" s="30" t="n"/>
    </row>
    <row r="13" ht="32" customHeight="1">
      <c r="B13" s="20" t="inlineStr">
        <is>
          <t>مسح المنافسين الميداني</t>
        </is>
      </c>
      <c r="C13" s="25" t="inlineStr">
        <is>
          <t>40 موقعاً حول محطاتنا</t>
        </is>
      </c>
      <c r="D13" s="23" t="inlineStr">
        <is>
          <t>العلامة والمسافة والتقييم — لوقود الأفراد وحده</t>
        </is>
      </c>
      <c r="E13" s="24" t="n"/>
      <c r="F13" s="23" t="inlineStr">
        <is>
          <t>لا يوجد مسح مقابل للعقار ولا للإعلان ولا للإكسسوارات</t>
        </is>
      </c>
      <c r="G13" s="24" t="n"/>
      <c r="H13" s="24" t="n"/>
    </row>
    <row r="14" ht="32" customHeight="1">
      <c r="B14" s="20" t="inlineStr">
        <is>
          <t>سجلّ الوحدات التجارية</t>
        </is>
      </c>
      <c r="C14" s="25" t="inlineStr">
        <is>
          <t>186 محطة · 1733 وحدة</t>
        </is>
      </c>
      <c r="D14" s="23" t="inlineStr">
        <is>
          <t>الفئة والمؤجَّر والشاغر</t>
        </is>
      </c>
      <c r="E14" s="24" t="n"/>
      <c r="F14" s="23" t="inlineStr">
        <is>
          <t>لا جدول إيجارات ولا مبيعات مستأجرين</t>
        </is>
      </c>
      <c r="G14" s="24" t="n"/>
      <c r="H14" s="24" t="n"/>
    </row>
    <row r="15" ht="32" customHeight="1">
      <c r="B15" s="20" t="inlineStr">
        <is>
          <t>سجلّ الشكاوى</t>
        </is>
      </c>
      <c r="C15" s="25" t="inlineStr">
        <is>
          <t>103 شكوى</t>
        </is>
      </c>
      <c r="D15" s="23" t="inlineStr">
        <is>
          <t>58 منها للعمرة (56٪)</t>
        </is>
      </c>
      <c r="E15" s="24" t="n"/>
      <c r="F15" s="23" t="inlineStr">
        <is>
          <t>الشكاوى ترتفع بالحجم — والحصة هنا تفوق حصة الحجم</t>
        </is>
      </c>
      <c r="G15" s="24" t="n"/>
      <c r="H15" s="24" t="n"/>
    </row>
    <row r="17" ht="22" customHeight="1">
      <c r="A17" s="18" t="inlineStr">
        <is>
          <t>② التعاريف — حتى لا يُقاس رقمان بتعريفين</t>
        </is>
      </c>
    </row>
    <row r="18" ht="30" customHeight="1">
      <c r="A18" s="19" t="inlineStr"/>
      <c r="B18" s="19" t="inlineStr">
        <is>
          <t>المصطلح</t>
        </is>
      </c>
      <c r="C18" s="19" t="inlineStr">
        <is>
          <t>التعريف</t>
        </is>
      </c>
      <c r="D18" s="19" t="inlineStr"/>
      <c r="E18" s="19" t="inlineStr"/>
      <c r="F18" s="19" t="inlineStr">
        <is>
          <t>لماذا هكذا</t>
        </is>
      </c>
      <c r="G18" s="19" t="inlineStr"/>
      <c r="H18" s="19" t="inlineStr"/>
    </row>
    <row r="19" ht="26" customHeight="1">
      <c r="B19" s="20" t="inlineStr">
        <is>
          <t>الفجوة</t>
        </is>
      </c>
      <c r="C19" s="62" t="inlineStr">
        <is>
          <t>ما نحن دونه من شكل تصنيفنا في ساعات ذروتنا الثماني وحدها</t>
        </is>
      </c>
      <c r="D19" s="24" t="n"/>
      <c r="E19" s="24" t="n"/>
      <c r="F19" s="23" t="inlineStr">
        <is>
          <t>النقص في ساعات الهدوء اختلاف طلبٍ لا فاقد — فلا يُطالَب به</t>
        </is>
      </c>
      <c r="G19" s="24" t="n"/>
      <c r="H19" s="24" t="n"/>
    </row>
    <row r="20" ht="26" customHeight="1">
      <c r="B20" s="20" t="inlineStr">
        <is>
          <t>الوردية</t>
        </is>
      </c>
      <c r="C20" s="62" t="inlineStr">
        <is>
          <t>صباحية ٠٠:٠٠–١١:٥٩ · مسائية ١٢:٠٠–٢٣:٥٩</t>
        </is>
      </c>
      <c r="D20" s="24" t="n"/>
      <c r="E20" s="24" t="n"/>
      <c r="F20" s="23" t="inlineStr">
        <is>
          <t>حدود التقرير نفسه — لا حدودٌ من عندنا</t>
        </is>
      </c>
      <c r="G20" s="24" t="n"/>
      <c r="H20" s="24" t="n"/>
    </row>
    <row r="21" ht="26" customHeight="1">
      <c r="B21" s="20" t="inlineStr">
        <is>
          <t>هامش المساهمة</t>
        </is>
      </c>
      <c r="C21" s="62" t="inlineStr">
        <is>
          <t>الإيراد ناقص شراء الوقود — قبل أي مصروف تشغيل</t>
        </is>
      </c>
      <c r="D21" s="24" t="n"/>
      <c r="E21" s="24" t="n"/>
      <c r="F21" s="23" t="inlineStr">
        <is>
          <t>هو وحده ما يتحرّك باللتر الإضافي</t>
        </is>
      </c>
      <c r="G21" s="24" t="n"/>
      <c r="H21" s="24" t="n"/>
    </row>
    <row r="22" ht="26" customHeight="1">
      <c r="B22" s="20" t="inlineStr">
        <is>
          <t>خط الأساس</t>
        </is>
      </c>
      <c r="C22" s="62" t="inlineStr">
        <is>
          <t>الأسابيع الأربعة السابقة في المحطة نفسها</t>
        </is>
      </c>
      <c r="D22" s="24" t="n"/>
      <c r="E22" s="24" t="n"/>
      <c r="F22" s="23" t="inlineStr">
        <is>
          <t>القياس على ذروةٍ موسمية أو على عامٍ مضى يخلط الموسم بالأثر</t>
        </is>
      </c>
      <c r="G22" s="24" t="n"/>
      <c r="H22" s="24" t="n"/>
    </row>
    <row r="23" ht="26" customHeight="1">
      <c r="B23" s="20" t="inlineStr">
        <is>
          <t>البوابة</t>
        </is>
      </c>
      <c r="C23" s="62" t="inlineStr">
        <is>
          <t>حالةٌ تُبطل نسبة أي نتيجة إلى حملة</t>
        </is>
      </c>
      <c r="D23" s="24" t="n"/>
      <c r="E23" s="24" t="n"/>
      <c r="F23" s="23" t="inlineStr">
        <is>
          <t>محطةٌ عليها بوابة لا تدخل حملة قبل إقفالها</t>
        </is>
      </c>
      <c r="G23" s="24" t="n"/>
      <c r="H23" s="24" t="n"/>
    </row>
    <row r="24" ht="26" customHeight="1">
      <c r="B24" s="20" t="inlineStr">
        <is>
          <t>الربع الثالث للعمرة</t>
        </is>
      </c>
      <c r="C24" s="62" t="inlineStr">
        <is>
          <t>١ يوليو – ٢٠ سبتمبر · ٨٢ يوماً</t>
        </is>
      </c>
      <c r="D24" s="24" t="n"/>
      <c r="E24" s="24" t="n"/>
      <c r="F24" s="23" t="inlineStr">
        <is>
          <t>ناقصٌ فتُقارَن المعدّلات اليومية لا المجاميع</t>
        </is>
      </c>
      <c r="G24" s="24" t="n"/>
      <c r="H24" s="24" t="n"/>
    </row>
    <row r="26" ht="22" customHeight="1">
      <c r="A26" s="18" t="inlineStr">
        <is>
          <t>③ الثغرات — ما ينقص بالضبط ومن يملك سدّه</t>
        </is>
      </c>
    </row>
    <row r="27" ht="30" customHeight="1">
      <c r="A27" s="19" t="inlineStr"/>
      <c r="B27" s="19" t="inlineStr">
        <is>
          <t>الناقص</t>
        </is>
      </c>
      <c r="C27" s="19" t="inlineStr">
        <is>
          <t>المالك</t>
        </is>
      </c>
      <c r="D27" s="19" t="inlineStr">
        <is>
          <t>الحال اليوم</t>
        </is>
      </c>
      <c r="E27" s="19" t="inlineStr"/>
      <c r="F27" s="19" t="inlineStr">
        <is>
          <t>أثره على الرقم</t>
        </is>
      </c>
      <c r="G27" s="19" t="inlineStr"/>
      <c r="H27" s="19" t="inlineStr"/>
    </row>
    <row r="28" ht="26" customHeight="1">
      <c r="B28" s="20" t="inlineStr">
        <is>
          <t>جدول ورديات معتمد</t>
        </is>
      </c>
      <c r="C28" s="26" t="inlineStr">
        <is>
          <t>العمليات</t>
        </is>
      </c>
      <c r="D28" s="23" t="inlineStr">
        <is>
          <t>ثلاثة ملفات تعطي أعداداً مختلفة للمحطة الواحدة</t>
        </is>
      </c>
      <c r="E28" s="24" t="n"/>
      <c r="F28" s="23" t="inlineStr">
        <is>
          <t>ملزم قبل أي مستهدف وردية — والمستهدف يُحمَّل على وردية</t>
        </is>
      </c>
      <c r="G28" s="24" t="n"/>
      <c r="H28" s="24" t="n"/>
    </row>
    <row r="29" ht="26" customHeight="1">
      <c r="B29" s="20" t="inlineStr">
        <is>
          <t>جدول هامش المنتجات</t>
        </is>
      </c>
      <c r="C29" s="26" t="inlineStr">
        <is>
          <t>المالية</t>
        </is>
      </c>
      <c r="D29" s="23" t="inlineStr">
        <is>
          <t>١٢٫٦٦ و٤٫٤٧ هللة استُنتجا بانحدار لا بجدول</t>
        </is>
      </c>
      <c r="E29" s="24" t="n"/>
      <c r="F29" s="23" t="inlineStr">
        <is>
          <t>يغيّر قيمة كل فجوة في الملف — والديزل ٣٣٪ في محطاتٍ كبرى</t>
        </is>
      </c>
      <c r="G29" s="24" t="n"/>
      <c r="H29" s="24" t="n"/>
    </row>
    <row r="30" ht="26" customHeight="1">
      <c r="B30" s="20" t="inlineStr">
        <is>
          <t>رسوم البطاقات</t>
        </is>
      </c>
      <c r="C30" s="26" t="inlineStr">
        <is>
          <t>المالية</t>
        </is>
      </c>
      <c r="D30" s="23" t="inlineStr">
        <is>
          <t>لا نعرف الرسم ولا من يتحمّله</t>
        </is>
      </c>
      <c r="E30" s="24" t="n"/>
      <c r="F30" s="23" t="inlineStr">
        <is>
          <t>يُقتطع من هامش كل لتر إضافي ولا يظهر في أي حساب هنا</t>
        </is>
      </c>
      <c r="G30" s="24" t="n"/>
      <c r="H30" s="24" t="n"/>
    </row>
    <row r="31" ht="26" customHeight="1">
      <c r="B31" s="20" t="inlineStr">
        <is>
          <t>جرد الخزانات</t>
        </is>
      </c>
      <c r="C31" s="26" t="inlineStr">
        <is>
          <t>العمليات</t>
        </is>
      </c>
      <c r="D31" s="23" t="inlineStr">
        <is>
          <t>لا مطابقة بين المُورَّد والمُباع</t>
        </is>
      </c>
      <c r="E31" s="24" t="n"/>
      <c r="F31" s="23" t="inlineStr">
        <is>
          <t>يفصل فجوة المطابقة عن فجوة البيع</t>
        </is>
      </c>
      <c r="G31" s="24" t="n"/>
      <c r="H31" s="24" t="n"/>
    </row>
    <row r="32" ht="26" customHeight="1">
      <c r="B32" s="20" t="inlineStr">
        <is>
          <t>نموذج عمل كل محطة</t>
        </is>
      </c>
      <c r="C32" s="26" t="inlineStr">
        <is>
          <t>المالية + العمليات</t>
        </is>
      </c>
      <c r="D32" s="23" t="inlineStr">
        <is>
          <t>العمرة استثمارية وإيجارية وتشغيلية في ثلاثة ملفات</t>
        </is>
      </c>
      <c r="E32" s="24" t="n"/>
      <c r="F32" s="23" t="inlineStr">
        <is>
          <t>يغيّر أساس الكلفة كلّه</t>
        </is>
      </c>
      <c r="G32" s="24" t="n"/>
      <c r="H32" s="24" t="n"/>
    </row>
    <row r="33" ht="26" customHeight="1">
      <c r="B33" s="20" t="inlineStr">
        <is>
          <t>جدول إيجارات ومبيعات المستأجرين</t>
        </is>
      </c>
      <c r="C33" s="26" t="inlineStr">
        <is>
          <t>التأجير</t>
        </is>
      </c>
      <c r="D33" s="23" t="inlineStr">
        <is>
          <t>لا نملك دفتر المستأجر الذي نُسعّر منه</t>
        </is>
      </c>
      <c r="E33" s="24" t="n"/>
      <c r="F33" s="23" t="inlineStr">
        <is>
          <t>المُدخَلان الثالث والرابع في ورقة الاكتتاب</t>
        </is>
      </c>
      <c r="G33" s="24" t="n"/>
      <c r="H33" s="24" t="n"/>
    </row>
    <row r="34" ht="26" customHeight="1">
      <c r="B34" s="20" t="inlineStr">
        <is>
          <t>مسح منافسين للعقار والإعلان</t>
        </is>
      </c>
      <c r="C34" s="26" t="inlineStr">
        <is>
          <t>التجاري</t>
        </is>
      </c>
      <c r="D34" s="23" t="inlineStr">
        <is>
          <t>المسح الميداني لوقود الأفراد وحده</t>
        </is>
      </c>
      <c r="E34" s="24" t="n"/>
      <c r="F34" s="23" t="inlineStr">
        <is>
          <t>لا حصص سوق لهذين المنتجين — ولا تُدَّعى</t>
        </is>
      </c>
      <c r="G34" s="24" t="n"/>
      <c r="H34" s="24" t="n"/>
    </row>
    <row r="35" ht="26" customHeight="1">
      <c r="B35" s="20" t="inlineStr">
        <is>
          <t>أجرة النقل والتوريد</t>
        </is>
      </c>
      <c r="C35" s="26" t="inlineStr">
        <is>
          <t>سلسلة الإمداد</t>
        </is>
      </c>
      <c r="D35" s="23" t="inlineStr">
        <is>
          <t>غير محسوم من يتحمّلها</t>
        </is>
      </c>
      <c r="E35" s="24" t="n"/>
      <c r="F35" s="23" t="inlineStr">
        <is>
          <t>بندٌ كامل خارج كلفة اللتر عندنا</t>
        </is>
      </c>
      <c r="G35" s="24" t="n"/>
      <c r="H35" s="24" t="n"/>
    </row>
    <row r="36" ht="30" customHeight="1">
      <c r="A36" s="104" t="inlineStr">
        <is>
          <t>وأهمّها الأول: جدول ورديات معتمد. فالمستهدف يُحمَّل على وردية، ولا يُحمَّل على وردية عدد عمّالها ثلاثة أرقام في ثلاثة ملفات.</t>
        </is>
      </c>
      <c r="B36" s="30" t="n"/>
      <c r="C36" s="30" t="n"/>
      <c r="D36" s="30" t="n"/>
      <c r="E36" s="30" t="n"/>
      <c r="F36" s="30" t="n"/>
      <c r="G36" s="30" t="n"/>
      <c r="H36" s="30" t="n"/>
    </row>
  </sheetData>
  <mergeCells count="54">
    <mergeCell ref="F20:H20"/>
    <mergeCell ref="D10:E10"/>
    <mergeCell ref="C20:E20"/>
    <mergeCell ref="F21:H21"/>
    <mergeCell ref="F33:H33"/>
    <mergeCell ref="D34:E34"/>
    <mergeCell ref="C22:E22"/>
    <mergeCell ref="F32:H32"/>
    <mergeCell ref="F35:H35"/>
    <mergeCell ref="F8:H8"/>
    <mergeCell ref="A36:H36"/>
    <mergeCell ref="A1:H1"/>
    <mergeCell ref="C21:E21"/>
    <mergeCell ref="D31:E31"/>
    <mergeCell ref="F23:H23"/>
    <mergeCell ref="D6:E6"/>
    <mergeCell ref="F22:H22"/>
    <mergeCell ref="F28:H28"/>
    <mergeCell ref="F13:H13"/>
    <mergeCell ref="F31:H31"/>
    <mergeCell ref="D11:E11"/>
    <mergeCell ref="D13:E13"/>
    <mergeCell ref="C23:E23"/>
    <mergeCell ref="D35:E35"/>
    <mergeCell ref="F30:H30"/>
    <mergeCell ref="D32:E32"/>
    <mergeCell ref="F9:H9"/>
    <mergeCell ref="A26:H26"/>
    <mergeCell ref="D7:E7"/>
    <mergeCell ref="F14:H14"/>
    <mergeCell ref="C19:E19"/>
    <mergeCell ref="A2:H2"/>
    <mergeCell ref="D28:E28"/>
    <mergeCell ref="D9:E9"/>
    <mergeCell ref="F29:H29"/>
    <mergeCell ref="F11:H11"/>
    <mergeCell ref="D12:E12"/>
    <mergeCell ref="A17:H17"/>
    <mergeCell ref="D8:E8"/>
    <mergeCell ref="A4:H4"/>
    <mergeCell ref="F10:H10"/>
    <mergeCell ref="C24:E24"/>
    <mergeCell ref="F34:H34"/>
    <mergeCell ref="F6:H6"/>
    <mergeCell ref="F19:H19"/>
    <mergeCell ref="D30:E30"/>
    <mergeCell ref="D15:E15"/>
    <mergeCell ref="D33:E33"/>
    <mergeCell ref="D29:E29"/>
    <mergeCell ref="D14:E14"/>
    <mergeCell ref="F12:H12"/>
    <mergeCell ref="F7:H7"/>
    <mergeCell ref="F15:H15"/>
    <mergeCell ref="F24:H24"/>
  </mergeCells>
  <printOptions horizontalCentered="1"/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القسم التجاري — درب</dc:creator>
  <dc:title xmlns:dc="http://purl.org/dc/elements/1.1/">الحاسبة التجارية — درب</dc:title>
  <dcterms:created xmlns:dcterms="http://purl.org/dc/terms/" xmlns:xsi="http://www.w3.org/2001/XMLSchema-instance" xsi:type="dcterms:W3CDTF">2026-09-21T20:53:45Z</dcterms:created>
  <dcterms:modified xmlns:dcterms="http://purl.org/dc/terms/" xmlns:xsi="http://www.w3.org/2001/XMLSchema-instance" xsi:type="dcterms:W3CDTF">2026-09-21T20:53:45Z</dcterms:modified>
</cp:coreProperties>
</file>