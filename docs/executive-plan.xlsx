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الدليل" sheetId="1" state="visible" r:id="rId1"/>
    <sheet xmlns:r="http://schemas.openxmlformats.org/officeDocument/2006/relationships" name="منافذ البيع" sheetId="2" state="visible" r:id="rId2"/>
    <sheet xmlns:r="http://schemas.openxmlformats.org/officeDocument/2006/relationships" name="المنافسون" sheetId="3" state="visible" r:id="rId3"/>
    <sheet xmlns:r="http://schemas.openxmlformats.org/officeDocument/2006/relationships" name="حصص السوق" sheetId="4" state="visible" r:id="rId4"/>
    <sheet xmlns:r="http://schemas.openxmlformats.org/officeDocument/2006/relationships" name="التطبيقات والمنصات" sheetId="5" state="visible" r:id="rId5"/>
    <sheet xmlns:r="http://schemas.openxmlformats.org/officeDocument/2006/relationships" name="منفذ ٢ — العقار والتأجير" sheetId="6" state="visible" r:id="rId6"/>
    <sheet xmlns:r="http://schemas.openxmlformats.org/officeDocument/2006/relationships" name="تحليل موقفي — المنتجات" sheetId="7" state="visible" r:id="rId7"/>
    <sheet xmlns:r="http://schemas.openxmlformats.org/officeDocument/2006/relationships" name="جاهزية الإطلاق" sheetId="8" state="visible" r:id="rId8"/>
    <sheet xmlns:r="http://schemas.openxmlformats.org/officeDocument/2006/relationships" name="منفذ ١ — الوقود" sheetId="9" state="visible" r:id="rId9"/>
    <sheet xmlns:r="http://schemas.openxmlformats.org/officeDocument/2006/relationships" name="تكلفة اللتر" sheetId="10" state="visible" r:id="rId10"/>
    <sheet xmlns:r="http://schemas.openxmlformats.org/officeDocument/2006/relationships" name="مستهدفات البنزين" sheetId="11" state="visible" r:id="rId11"/>
    <sheet xmlns:r="http://schemas.openxmlformats.org/officeDocument/2006/relationships" name="العمالة والمضخات" sheetId="12" state="visible" r:id="rId12"/>
    <sheet xmlns:r="http://schemas.openxmlformats.org/officeDocument/2006/relationships" name="شكاوى العملاء" sheetId="13" state="visible" r:id="rId13"/>
    <sheet xmlns:r="http://schemas.openxmlformats.org/officeDocument/2006/relationships" name="اقتصاديات اللتر" sheetId="14" state="visible" r:id="rId14"/>
    <sheet xmlns:r="http://schemas.openxmlformats.org/officeDocument/2006/relationships" name="تجريبي — الوقود" sheetId="15" state="visible" r:id="rId15"/>
    <sheet xmlns:r="http://schemas.openxmlformats.org/officeDocument/2006/relationships" name="تجريبي — المستأجرون" sheetId="16" state="visible" r:id="rId16"/>
    <sheet xmlns:r="http://schemas.openxmlformats.org/officeDocument/2006/relationships" name="الخطة التنفيذية" sheetId="17" state="visible" r:id="rId17"/>
    <sheet xmlns:r="http://schemas.openxmlformats.org/officeDocument/2006/relationships" name="المبادرات" sheetId="18" state="visible" r:id="rId18"/>
    <sheet xmlns:r="http://schemas.openxmlformats.org/officeDocument/2006/relationships" name="المحطات" sheetId="19" state="visible" r:id="rId19"/>
  </sheets>
  <definedNames/>
  <calcPr calcId="124519" fullCalcOnLoad="1" refMode="A1" iterate="0" iterateCount="100" iterateDelta="0.0001"/>
</workbook>
</file>

<file path=xl/styles.xml><?xml version="1.0" encoding="utf-8"?>
<styleSheet xmlns="http://schemas.openxmlformats.org/spreadsheetml/2006/main">
  <numFmts count="14">
    <numFmt numFmtId="164" formatCode="\+#,##0;\-#,##0;\-"/>
    <numFmt numFmtId="165" formatCode="0.0%"/>
    <numFmt numFmtId="166" formatCode="#,##0.0"/>
    <numFmt numFmtId="167" formatCode="0.0"/>
    <numFmt numFmtId="168" formatCode="0.000"/>
    <numFmt numFmtId="169" formatCode="0.0000"/>
    <numFmt numFmtId="170" formatCode="\+0.0000;\-0.0000"/>
    <numFmt numFmtId="171" formatCode="\+0.0%;\-0.0%"/>
    <numFmt numFmtId="172" formatCode="\+#,##0;\-#,##0"/>
    <numFmt numFmtId="173" formatCode="\+0;\-0;0"/>
    <numFmt numFmtId="174" formatCode="\+0.00;\-0.00"/>
    <numFmt numFmtId="175" formatCode="#,##0.##"/>
    <numFmt numFmtId="176" formatCode="\+#,##0.##;\-#,##0.##"/>
    <numFmt numFmtId="177" formatCode="yyyy\-mm\-dd"/>
  </numFmts>
  <fonts count="4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color rgb="FF44546A"/>
      <sz val="10"/>
    </font>
    <font>
      <name val="Arial"/>
      <charset val="1"/>
      <family val="0"/>
      <b val="1"/>
      <sz val="10"/>
    </font>
    <font>
      <name val="Arial"/>
      <charset val="1"/>
      <family val="0"/>
      <sz val="10"/>
    </font>
    <font>
      <name val="Arial"/>
      <charset val="1"/>
      <family val="0"/>
      <color rgb="FF0000FF"/>
      <sz val="10"/>
    </font>
    <font>
      <name val="Arial"/>
      <charset val="1"/>
      <family val="0"/>
      <color rgb="FF008000"/>
      <sz val="10"/>
    </font>
    <font>
      <name val="Arial"/>
      <charset val="1"/>
      <family val="0"/>
      <i val="1"/>
      <color rgb="FF808080"/>
      <sz val="9"/>
    </font>
    <font>
      <name val="Arial"/>
      <charset val="1"/>
      <family val="0"/>
      <b val="1"/>
      <color rgb="FFFFFFFF"/>
      <sz val="10"/>
    </font>
    <font>
      <name val="Arial"/>
      <charset val="1"/>
      <family val="0"/>
      <b val="1"/>
      <color rgb="FF1F3864"/>
      <sz val="10"/>
    </font>
    <font>
      <name val="Arial"/>
      <charset val="1"/>
      <family val="0"/>
      <b val="1"/>
      <color rgb="FF1F3864"/>
      <sz val="12"/>
    </font>
    <font>
      <name val="Arial"/>
      <charset val="1"/>
      <family val="0"/>
      <b val="1"/>
      <color rgb="FFC00000"/>
      <sz val="10"/>
    </font>
    <font>
      <name val="Arial"/>
      <charset val="1"/>
      <family val="0"/>
      <color rgb="FFC00000"/>
      <sz val="9"/>
    </font>
    <font>
      <name val="Arial"/>
      <charset val="1"/>
      <family val="0"/>
      <b val="1"/>
      <color rgb="FF1F3864"/>
      <sz val="11"/>
    </font>
    <font>
      <name val="Arial"/>
      <charset val="1"/>
      <family val="0"/>
      <color rgb="FF44546A"/>
      <sz val="9"/>
    </font>
    <font>
      <name val="Arial"/>
      <charset val="1"/>
      <family val="0"/>
      <b val="1"/>
      <color rgb="FFC00000"/>
      <sz val="12"/>
    </font>
    <font>
      <name val="Arial"/>
      <charset val="1"/>
      <family val="0"/>
      <sz val="9"/>
    </font>
    <font>
      <name val="Arial"/>
      <charset val="1"/>
      <family val="0"/>
      <b val="1"/>
      <color rgb="FFC00000"/>
      <sz val="9"/>
    </font>
    <font>
      <name val="DIN Next Arabic"/>
      <b val="1"/>
      <color rgb="0055565A"/>
      <sz val="16"/>
    </font>
    <font>
      <name val="DIN Next Arabic"/>
      <color theme="1"/>
      <sz val="11"/>
    </font>
    <font>
      <name val="DIN Next Arabic"/>
      <color rgb="006E6A64"/>
      <sz val="10"/>
    </font>
    <font>
      <name val="DIN Next Arabic"/>
      <b val="1"/>
      <sz val="10"/>
    </font>
    <font>
      <name val="DIN Next Arabic"/>
      <sz val="10"/>
    </font>
    <font>
      <name val="DIN Next Arabic"/>
      <color rgb="003E6E8E"/>
      <sz val="10"/>
    </font>
    <font>
      <name val="DIN Next Arabic"/>
      <color rgb="002E8B6F"/>
      <sz val="10"/>
    </font>
    <font>
      <name val="DIN Next Arabic"/>
      <i val="1"/>
      <color rgb="FF808080"/>
      <sz val="9"/>
    </font>
    <font>
      <name val="DIN Next Arabic"/>
      <b val="1"/>
      <color rgb="FFFFFFFF"/>
      <sz val="10"/>
    </font>
    <font>
      <name val="DIN Next Arabic"/>
      <b val="1"/>
      <color rgb="0055565A"/>
      <sz val="10"/>
    </font>
    <font>
      <name val="DIN Next Arabic"/>
      <b val="1"/>
      <color rgb="0055565A"/>
      <sz val="12"/>
    </font>
    <font>
      <name val="DIN Next Arabic"/>
      <b val="1"/>
      <color rgb="009A3E2C"/>
      <sz val="10"/>
    </font>
    <font>
      <name val="DIN Next Arabic"/>
      <color rgb="009A3E2C"/>
      <sz val="9"/>
    </font>
    <font>
      <name val="DIN Next Arabic"/>
      <b val="1"/>
      <color rgb="00F5831F"/>
      <sz val="11"/>
    </font>
    <font>
      <name val="DIN Next Arabic"/>
      <color rgb="006E6A64"/>
      <sz val="9"/>
    </font>
    <font>
      <name val="DIN Next Arabic"/>
      <b val="1"/>
      <color rgb="0055565A"/>
      <sz val="11"/>
    </font>
    <font>
      <name val="DIN Next Arabic"/>
      <b val="1"/>
      <color rgb="009A3E2C"/>
      <sz val="12"/>
    </font>
    <font>
      <name val="DIN Next Arabic"/>
      <sz val="9"/>
    </font>
    <font>
      <name val="DIN Next Arabic"/>
      <b val="1"/>
      <color rgb="009A3E2C"/>
      <sz val="9"/>
    </font>
  </fonts>
  <fills count="20">
    <fill>
      <patternFill/>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D9D9D9"/>
      </patternFill>
    </fill>
    <fill>
      <patternFill patternType="solid">
        <fgColor rgb="FFFFE699"/>
        <bgColor rgb="FFF8CBAD"/>
      </patternFill>
    </fill>
    <fill>
      <patternFill patternType="solid">
        <fgColor rgb="FFF8CBAD"/>
        <bgColor rgb="FFFFE699"/>
      </patternFill>
    </fill>
    <fill>
      <patternFill patternType="solid">
        <fgColor rgb="FFBDD7EE"/>
        <bgColor rgb="FFD9D9D9"/>
      </patternFill>
    </fill>
    <fill>
      <patternFill patternType="solid">
        <fgColor rgb="FFE7E6E6"/>
        <bgColor rgb="FFDDEBF7"/>
      </patternFill>
    </fill>
    <fill>
      <patternFill patternType="solid">
        <fgColor rgb="FF1F3864"/>
        <bgColor rgb="FF333333"/>
      </patternFill>
    </fill>
    <fill>
      <patternFill patternType="solid">
        <fgColor rgb="FFD9E2F3"/>
        <bgColor rgb="FFDDEBF7"/>
      </patternFill>
    </fill>
    <fill>
      <patternFill patternType="solid">
        <fgColor rgb="FFDDEBF7"/>
        <bgColor rgb="FFD9E2F3"/>
      </patternFill>
    </fill>
    <fill>
      <patternFill patternType="solid">
        <fgColor rgb="FFD9D9D9"/>
        <bgColor rgb="FFD9E2F3"/>
      </patternFill>
    </fill>
    <fill>
      <patternFill patternType="solid">
        <fgColor rgb="00FCE7C8"/>
      </patternFill>
    </fill>
    <fill>
      <patternFill patternType="solid">
        <fgColor rgb="00F5F2ED"/>
      </patternFill>
    </fill>
    <fill>
      <patternFill patternType="solid">
        <fgColor rgb="00D6E9E1"/>
      </patternFill>
    </fill>
    <fill>
      <patternFill patternType="solid">
        <fgColor rgb="00F2DAD4"/>
      </patternFill>
    </fill>
    <fill>
      <patternFill patternType="solid">
        <fgColor rgb="0055565A"/>
      </patternFill>
    </fill>
    <fill>
      <patternFill patternType="solid">
        <fgColor rgb="00EDE7DE"/>
      </patternFill>
    </fill>
    <fill>
      <patternFill patternType="solid">
        <fgColor rgb="00FBEEE0"/>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left style="thin">
        <color rgb="00E3DCD1"/>
      </left>
      <right style="thin">
        <color rgb="00E3DCD1"/>
      </right>
      <top style="thin">
        <color rgb="00E3DCD1"/>
      </top>
      <bottom style="thin">
        <color rgb="00E3DCD1"/>
      </bottom>
    </border>
    <border>
      <left style="thin">
        <color rgb="00E3DCD1"/>
      </left>
      <right/>
      <top style="thin">
        <color rgb="00E3DCD1"/>
      </top>
      <bottom style="thin">
        <color rgb="00E3DCD1"/>
      </bottom>
    </border>
    <border>
      <left/>
      <right/>
      <top style="thin">
        <color rgb="00E3DCD1"/>
      </top>
      <bottom style="thin">
        <color rgb="00E3DCD1"/>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4">
    <xf numFmtId="0" fontId="0" fillId="0" borderId="0" applyAlignment="1" pivotButton="0" quotePrefix="0" xfId="0">
      <alignment horizontal="general" vertical="bottom"/>
    </xf>
    <xf numFmtId="0" fontId="4" fillId="0" borderId="0" applyAlignment="1" pivotButton="0" quotePrefix="0" xfId="0">
      <alignment horizontal="right" vertical="center" readingOrder="2"/>
    </xf>
    <xf numFmtId="0" fontId="5" fillId="0" borderId="0" applyAlignment="1" pivotButton="0" quotePrefix="0" xfId="0">
      <alignment horizontal="right" vertical="center" readingOrder="2"/>
    </xf>
    <xf numFmtId="0" fontId="6" fillId="0" borderId="0" applyAlignment="1" pivotButton="0" quotePrefix="0" xfId="0">
      <alignment horizontal="general" vertical="bottom"/>
    </xf>
    <xf numFmtId="0" fontId="7" fillId="0" borderId="0" applyAlignment="1" pivotButton="0" quotePrefix="0" xfId="0">
      <alignment horizontal="right" vertical="top" wrapText="1" readingOrder="2"/>
    </xf>
    <xf numFmtId="0" fontId="8" fillId="2" borderId="1" applyAlignment="1" pivotButton="0" quotePrefix="0" xfId="0">
      <alignment horizontal="general" vertical="bottom"/>
    </xf>
    <xf numFmtId="0" fontId="7" fillId="0" borderId="1" applyAlignment="1" pivotButton="0" quotePrefix="0" xfId="0">
      <alignment horizontal="general" vertical="bottom"/>
    </xf>
    <xf numFmtId="0" fontId="9" fillId="0" borderId="1" applyAlignment="1" pivotButton="0" quotePrefix="0" xfId="0">
      <alignment horizontal="general" vertical="bottom"/>
    </xf>
    <xf numFmtId="0" fontId="10" fillId="3" borderId="1" applyAlignment="1" pivotButton="0" quotePrefix="0" xfId="0">
      <alignment horizontal="general" vertical="bottom"/>
    </xf>
    <xf numFmtId="0" fontId="6" fillId="4" borderId="1" applyAlignment="1" pivotButton="0" quotePrefix="0" xfId="0">
      <alignment horizontal="center" vertical="center" wrapText="1" readingOrder="2"/>
    </xf>
    <xf numFmtId="0" fontId="6" fillId="5" borderId="1" applyAlignment="1" pivotButton="0" quotePrefix="0" xfId="0">
      <alignment horizontal="center" vertical="center" wrapText="1" readingOrder="2"/>
    </xf>
    <xf numFmtId="0" fontId="6" fillId="6" borderId="1" applyAlignment="1" pivotButton="0" quotePrefix="0" xfId="0">
      <alignment horizontal="center" vertical="center" wrapText="1" readingOrder="2"/>
    </xf>
    <xf numFmtId="0" fontId="6" fillId="7" borderId="1" applyAlignment="1" pivotButton="0" quotePrefix="0" xfId="0">
      <alignment horizontal="center" vertical="center" wrapText="1" readingOrder="2"/>
    </xf>
    <xf numFmtId="0" fontId="6" fillId="8" borderId="1" applyAlignment="1" pivotButton="0" quotePrefix="0" xfId="0">
      <alignment horizontal="center" vertical="center" wrapText="1" readingOrder="2"/>
    </xf>
    <xf numFmtId="0" fontId="7" fillId="0" borderId="0" applyAlignment="1" pivotButton="0" quotePrefix="0" xfId="0">
      <alignment horizontal="general" vertical="bottom"/>
    </xf>
    <xf numFmtId="0" fontId="11" fillId="9" borderId="1" applyAlignment="1" pivotButton="0" quotePrefix="0" xfId="0">
      <alignment horizontal="center" vertical="center" wrapText="1" readingOrder="2"/>
    </xf>
    <xf numFmtId="0" fontId="7" fillId="0" borderId="1" applyAlignment="1" pivotButton="0" quotePrefix="0" xfId="0">
      <alignment horizontal="right" vertical="top" wrapText="1" readingOrder="2"/>
    </xf>
    <xf numFmtId="0" fontId="6" fillId="0" borderId="1" applyAlignment="1" pivotButton="0" quotePrefix="0" xfId="0">
      <alignment horizontal="right" vertical="top" wrapText="1" readingOrder="2"/>
    </xf>
    <xf numFmtId="0" fontId="7" fillId="4" borderId="1" applyAlignment="1" pivotButton="0" quotePrefix="0" xfId="0">
      <alignment horizontal="center" vertical="center" wrapText="1" readingOrder="2"/>
    </xf>
    <xf numFmtId="0" fontId="7" fillId="5" borderId="1" applyAlignment="1" pivotButton="0" quotePrefix="0" xfId="0">
      <alignment horizontal="center" vertical="center" wrapText="1" readingOrder="2"/>
    </xf>
    <xf numFmtId="0" fontId="7" fillId="6" borderId="1" applyAlignment="1" pivotButton="0" quotePrefix="0" xfId="0">
      <alignment horizontal="center" vertical="center" wrapText="1" readingOrder="2"/>
    </xf>
    <xf numFmtId="0" fontId="7" fillId="0" borderId="1" applyAlignment="1" pivotButton="0" quotePrefix="0" xfId="0">
      <alignment horizontal="center" vertical="center" wrapText="1" readingOrder="2"/>
    </xf>
    <xf numFmtId="0" fontId="7" fillId="8" borderId="1" applyAlignment="1" pivotButton="0" quotePrefix="0" xfId="0">
      <alignment horizontal="center" vertical="center" wrapText="1" readingOrder="2"/>
    </xf>
    <xf numFmtId="0" fontId="7" fillId="7" borderId="1" applyAlignment="1" pivotButton="0" quotePrefix="0" xfId="0">
      <alignment horizontal="center" vertical="center" wrapText="1" readingOrder="2"/>
    </xf>
    <xf numFmtId="0" fontId="6" fillId="0" borderId="1" applyAlignment="1" pivotButton="0" quotePrefix="0" xfId="0">
      <alignment horizontal="general" vertical="bottom"/>
    </xf>
    <xf numFmtId="0" fontId="12" fillId="0" borderId="0" applyAlignment="1" pivotButton="0" quotePrefix="0" xfId="0">
      <alignment horizontal="right" vertical="center" readingOrder="2"/>
    </xf>
    <xf numFmtId="0" fontId="7" fillId="0" borderId="0" applyAlignment="1" pivotButton="0" quotePrefix="0" xfId="0">
      <alignment horizontal="right" vertical="center" wrapText="1" readingOrder="2"/>
    </xf>
    <xf numFmtId="3" fontId="8" fillId="2" borderId="1" applyAlignment="1" pivotButton="0" quotePrefix="0" xfId="0">
      <alignment horizontal="center" vertical="center" wrapText="1" readingOrder="2"/>
    </xf>
    <xf numFmtId="0" fontId="5" fillId="0" borderId="0" applyAlignment="1" pivotButton="0" quotePrefix="0" xfId="0">
      <alignment horizontal="general" vertical="bottom"/>
    </xf>
    <xf numFmtId="3" fontId="7" fillId="0" borderId="1" applyAlignment="1" pivotButton="0" quotePrefix="0" xfId="0">
      <alignment horizontal="center" vertical="center" wrapText="1" readingOrder="2"/>
    </xf>
    <xf numFmtId="10" fontId="7" fillId="0" borderId="1" applyAlignment="1" pivotButton="0" quotePrefix="0" xfId="0">
      <alignment horizontal="center" vertical="center" wrapText="1" readingOrder="2"/>
    </xf>
    <xf numFmtId="164" fontId="7" fillId="0" borderId="1" applyAlignment="1" pivotButton="0" quotePrefix="0" xfId="0">
      <alignment horizontal="center" vertical="center" wrapText="1" readingOrder="2"/>
    </xf>
    <xf numFmtId="0" fontId="6" fillId="10" borderId="1" applyAlignment="1" pivotButton="0" quotePrefix="0" xfId="0">
      <alignment horizontal="center" vertical="center" wrapText="1" readingOrder="2"/>
    </xf>
    <xf numFmtId="0" fontId="6" fillId="10" borderId="1" applyAlignment="1" pivotButton="0" quotePrefix="0" xfId="0">
      <alignment horizontal="general" vertical="bottom"/>
    </xf>
    <xf numFmtId="3" fontId="6" fillId="10" borderId="1" applyAlignment="1" pivotButton="0" quotePrefix="0" xfId="0">
      <alignment horizontal="center" vertical="center" wrapText="1" readingOrder="2"/>
    </xf>
    <xf numFmtId="10" fontId="6" fillId="10" borderId="1" applyAlignment="1" pivotButton="0" quotePrefix="0" xfId="0">
      <alignment horizontal="center" vertical="center" wrapText="1" readingOrder="2"/>
    </xf>
    <xf numFmtId="0" fontId="13" fillId="0" borderId="0" applyAlignment="1" pivotButton="0" quotePrefix="0" xfId="0">
      <alignment horizontal="general" vertical="bottom"/>
    </xf>
    <xf numFmtId="0" fontId="6" fillId="5" borderId="1" applyAlignment="1" pivotButton="0" quotePrefix="0" xfId="0">
      <alignment horizontal="general" vertical="bottom"/>
    </xf>
    <xf numFmtId="3" fontId="7" fillId="5" borderId="1" applyAlignment="1" pivotButton="0" quotePrefix="0" xfId="0">
      <alignment horizontal="center" vertical="center" wrapText="1" readingOrder="2"/>
    </xf>
    <xf numFmtId="10" fontId="7" fillId="5" borderId="1" applyAlignment="1" pivotButton="0" quotePrefix="0" xfId="0">
      <alignment horizontal="center" vertical="center" wrapText="1" readingOrder="2"/>
    </xf>
    <xf numFmtId="0" fontId="7" fillId="5" borderId="1" applyAlignment="1" pivotButton="0" quotePrefix="0" xfId="0">
      <alignment horizontal="right" vertical="top" wrapText="1" readingOrder="2"/>
    </xf>
    <xf numFmtId="0" fontId="14" fillId="0" borderId="0" applyAlignment="1" pivotButton="0" quotePrefix="0" xfId="0">
      <alignment horizontal="right" vertical="center" readingOrder="2"/>
    </xf>
    <xf numFmtId="0" fontId="6" fillId="7" borderId="1" applyAlignment="1" pivotButton="0" quotePrefix="0" xfId="0">
      <alignment horizontal="right" vertical="top" wrapText="1" readingOrder="2"/>
    </xf>
    <xf numFmtId="165" fontId="7" fillId="0" borderId="1" applyAlignment="1" pivotButton="0" quotePrefix="0" xfId="0">
      <alignment horizontal="center" vertical="center" wrapText="1" readingOrder="2"/>
    </xf>
    <xf numFmtId="0" fontId="7" fillId="10" borderId="1" applyAlignment="1" pivotButton="0" quotePrefix="0" xfId="0">
      <alignment horizontal="center" vertical="center" wrapText="1" readingOrder="2"/>
    </xf>
    <xf numFmtId="0" fontId="6" fillId="10" borderId="1" applyAlignment="1" pivotButton="0" quotePrefix="0" xfId="0">
      <alignment horizontal="right" vertical="top" wrapText="1" readingOrder="2"/>
    </xf>
    <xf numFmtId="0" fontId="7" fillId="10" borderId="1" applyAlignment="1" pivotButton="0" quotePrefix="0" xfId="0">
      <alignment horizontal="right" vertical="top" wrapText="1" readingOrder="2"/>
    </xf>
    <xf numFmtId="3" fontId="7" fillId="10" borderId="1" applyAlignment="1" pivotButton="0" quotePrefix="0" xfId="0">
      <alignment horizontal="center" vertical="center" wrapText="1" readingOrder="2"/>
    </xf>
    <xf numFmtId="165" fontId="7" fillId="10" borderId="1" applyAlignment="1" pivotButton="0" quotePrefix="0" xfId="0">
      <alignment horizontal="center" vertical="center" wrapText="1" readingOrder="2"/>
    </xf>
    <xf numFmtId="0" fontId="6" fillId="6" borderId="1" applyAlignment="1" pivotButton="0" quotePrefix="0" xfId="0">
      <alignment horizontal="right" vertical="top" wrapText="1" readingOrder="2"/>
    </xf>
    <xf numFmtId="0" fontId="6" fillId="5" borderId="1" applyAlignment="1" pivotButton="0" quotePrefix="0" xfId="0">
      <alignment horizontal="right" vertical="top" wrapText="1" readingOrder="2"/>
    </xf>
    <xf numFmtId="0" fontId="14" fillId="0" borderId="0" applyAlignment="1" pivotButton="0" quotePrefix="0" xfId="0">
      <alignment horizontal="general" vertical="bottom"/>
    </xf>
    <xf numFmtId="0" fontId="15" fillId="0" borderId="0" applyAlignment="1" pivotButton="0" quotePrefix="0" xfId="0">
      <alignment horizontal="right" vertical="top" wrapText="1" readingOrder="2"/>
    </xf>
    <xf numFmtId="0" fontId="7" fillId="6" borderId="1" applyAlignment="1" pivotButton="0" quotePrefix="0" xfId="0">
      <alignment horizontal="right" vertical="top" wrapText="1" readingOrder="2"/>
    </xf>
    <xf numFmtId="165" fontId="7" fillId="6" borderId="1" applyAlignment="1" pivotButton="0" quotePrefix="0" xfId="0">
      <alignment horizontal="center" vertical="center" wrapText="1" readingOrder="2"/>
    </xf>
    <xf numFmtId="165" fontId="6" fillId="10" borderId="1" applyAlignment="1" pivotButton="0" quotePrefix="0" xfId="0">
      <alignment horizontal="center" vertical="center" wrapText="1" readingOrder="2"/>
    </xf>
    <xf numFmtId="9" fontId="7" fillId="0" borderId="1" applyAlignment="1" pivotButton="0" quotePrefix="0" xfId="0">
      <alignment horizontal="center" vertical="center" wrapText="1" readingOrder="2"/>
    </xf>
    <xf numFmtId="9" fontId="7" fillId="4" borderId="1" applyAlignment="1" pivotButton="0" quotePrefix="0" xfId="0">
      <alignment horizontal="center" vertical="center" wrapText="1" readingOrder="2"/>
    </xf>
    <xf numFmtId="0" fontId="12" fillId="0" borderId="0" applyAlignment="1" pivotButton="0" quotePrefix="0" xfId="0">
      <alignment horizontal="general" vertical="bottom"/>
    </xf>
    <xf numFmtId="0" fontId="7" fillId="0" borderId="0" applyAlignment="1" pivotButton="0" quotePrefix="0" xfId="0">
      <alignment horizontal="right" vertical="top" wrapText="1" readingOrder="2"/>
    </xf>
    <xf numFmtId="0" fontId="16" fillId="11" borderId="2" applyAlignment="1" pivotButton="0" quotePrefix="0" xfId="0">
      <alignment horizontal="right" vertical="center" readingOrder="2"/>
    </xf>
    <xf numFmtId="0" fontId="17" fillId="0" borderId="1" applyAlignment="1" pivotButton="0" quotePrefix="0" xfId="0">
      <alignment horizontal="center" vertical="center" wrapText="1" readingOrder="2"/>
    </xf>
    <xf numFmtId="0" fontId="16" fillId="4" borderId="2" applyAlignment="1" pivotButton="0" quotePrefix="0" xfId="0">
      <alignment horizontal="right" vertical="center" readingOrder="2"/>
    </xf>
    <xf numFmtId="0" fontId="16" fillId="5" borderId="2" applyAlignment="1" pivotButton="0" quotePrefix="0" xfId="0">
      <alignment horizontal="right" vertical="center" readingOrder="2"/>
    </xf>
    <xf numFmtId="0" fontId="16" fillId="6" borderId="2" applyAlignment="1" pivotButton="0" quotePrefix="0" xfId="0">
      <alignment horizontal="right" vertical="center" readingOrder="2"/>
    </xf>
    <xf numFmtId="0" fontId="16" fillId="12" borderId="2" applyAlignment="1" pivotButton="0" quotePrefix="0" xfId="0">
      <alignment horizontal="right" vertical="center" readingOrder="2"/>
    </xf>
    <xf numFmtId="0" fontId="6" fillId="0" borderId="1" applyAlignment="1" pivotButton="0" quotePrefix="0" xfId="0">
      <alignment horizontal="center" vertical="center" wrapText="1" readingOrder="2"/>
    </xf>
    <xf numFmtId="166" fontId="7" fillId="0" borderId="1" applyAlignment="1" pivotButton="0" quotePrefix="0" xfId="0">
      <alignment horizontal="center" vertical="center" wrapText="1" readingOrder="2"/>
    </xf>
    <xf numFmtId="2" fontId="8" fillId="2" borderId="1" applyAlignment="1" pivotButton="0" quotePrefix="0" xfId="0">
      <alignment horizontal="center" vertical="center" wrapText="1" readingOrder="2"/>
    </xf>
    <xf numFmtId="0" fontId="18" fillId="0" borderId="0" applyAlignment="1" pivotButton="0" quotePrefix="0" xfId="0">
      <alignment horizontal="general" vertical="bottom"/>
    </xf>
    <xf numFmtId="167" fontId="7" fillId="0" borderId="1" applyAlignment="1" pivotButton="0" quotePrefix="0" xfId="0">
      <alignment horizontal="center" vertical="center" wrapText="1" readingOrder="2"/>
    </xf>
    <xf numFmtId="0" fontId="16" fillId="0" borderId="0" applyAlignment="1" pivotButton="0" quotePrefix="0" xfId="0">
      <alignment horizontal="general" vertical="bottom"/>
    </xf>
    <xf numFmtId="0" fontId="6" fillId="0" borderId="0" applyAlignment="1" pivotButton="0" quotePrefix="0" xfId="0">
      <alignment horizontal="right" vertical="top" wrapText="1" readingOrder="2"/>
    </xf>
    <xf numFmtId="0" fontId="5" fillId="0" borderId="0" applyAlignment="1" pivotButton="0" quotePrefix="0" xfId="0">
      <alignment horizontal="right" vertical="top" wrapText="1" readingOrder="2"/>
    </xf>
    <xf numFmtId="168" fontId="8" fillId="2" borderId="1" applyAlignment="1" pivotButton="0" quotePrefix="0" xfId="0">
      <alignment horizontal="center" vertical="center" wrapText="1" readingOrder="2"/>
    </xf>
    <xf numFmtId="0" fontId="19" fillId="0" borderId="1" applyAlignment="1" pivotButton="0" quotePrefix="0" xfId="0">
      <alignment horizontal="general" vertical="bottom"/>
    </xf>
    <xf numFmtId="165" fontId="8" fillId="2" borderId="1" applyAlignment="1" pivotButton="0" quotePrefix="0" xfId="0">
      <alignment horizontal="center" vertical="center" wrapText="1" readingOrder="2"/>
    </xf>
    <xf numFmtId="169" fontId="7" fillId="0" borderId="1" applyAlignment="1" pivotButton="0" quotePrefix="0" xfId="0">
      <alignment horizontal="center" vertical="center" wrapText="1" readingOrder="2"/>
    </xf>
    <xf numFmtId="3" fontId="7" fillId="8" borderId="1" applyAlignment="1" pivotButton="0" quotePrefix="0" xfId="0">
      <alignment horizontal="center" vertical="center" wrapText="1" readingOrder="2"/>
    </xf>
    <xf numFmtId="169" fontId="7" fillId="10" borderId="1" applyAlignment="1" pivotButton="0" quotePrefix="0" xfId="0">
      <alignment horizontal="center" vertical="center" wrapText="1" readingOrder="2"/>
    </xf>
    <xf numFmtId="170" fontId="7" fillId="0" borderId="1" applyAlignment="1" pivotButton="0" quotePrefix="0" xfId="0">
      <alignment horizontal="center" vertical="center" wrapText="1" readingOrder="2"/>
    </xf>
    <xf numFmtId="169" fontId="6" fillId="10" borderId="1" applyAlignment="1" pivotButton="0" quotePrefix="0" xfId="0">
      <alignment horizontal="center" vertical="center" wrapText="1" readingOrder="2"/>
    </xf>
    <xf numFmtId="0" fontId="17" fillId="0" borderId="0" applyAlignment="1" pivotButton="0" quotePrefix="0" xfId="0">
      <alignment horizontal="general" vertical="bottom"/>
    </xf>
    <xf numFmtId="0" fontId="19" fillId="0" borderId="1" applyAlignment="1" pivotButton="0" quotePrefix="0" xfId="0">
      <alignment horizontal="right" vertical="top" wrapText="1" readingOrder="2"/>
    </xf>
    <xf numFmtId="171" fontId="8" fillId="2" borderId="1" applyAlignment="1" pivotButton="0" quotePrefix="0" xfId="0">
      <alignment horizontal="center" vertical="center" wrapText="1" readingOrder="2"/>
    </xf>
    <xf numFmtId="171" fontId="7" fillId="0" borderId="1" applyAlignment="1" pivotButton="0" quotePrefix="0" xfId="0">
      <alignment horizontal="center" vertical="center" wrapText="1" readingOrder="2"/>
    </xf>
    <xf numFmtId="172" fontId="7" fillId="0" borderId="1" applyAlignment="1" pivotButton="0" quotePrefix="0" xfId="0">
      <alignment horizontal="center" vertical="center" wrapText="1" readingOrder="2"/>
    </xf>
    <xf numFmtId="172" fontId="7" fillId="10" borderId="1" applyAlignment="1" pivotButton="0" quotePrefix="0" xfId="0">
      <alignment horizontal="center" vertical="center" wrapText="1" readingOrder="2"/>
    </xf>
    <xf numFmtId="167" fontId="7" fillId="6" borderId="1" applyAlignment="1" pivotButton="0" quotePrefix="0" xfId="0">
      <alignment horizontal="center" vertical="center" wrapText="1" readingOrder="2"/>
    </xf>
    <xf numFmtId="172" fontId="6" fillId="10" borderId="1" applyAlignment="1" pivotButton="0" quotePrefix="0" xfId="0">
      <alignment horizontal="center" vertical="center" wrapText="1" readingOrder="2"/>
    </xf>
    <xf numFmtId="171" fontId="6" fillId="10" borderId="1" applyAlignment="1" pivotButton="0" quotePrefix="0" xfId="0">
      <alignment horizontal="center" vertical="center" wrapText="1" readingOrder="2"/>
    </xf>
    <xf numFmtId="173" fontId="7" fillId="0" borderId="1" applyAlignment="1" pivotButton="0" quotePrefix="0" xfId="0">
      <alignment horizontal="center" vertical="center" wrapText="1" readingOrder="2"/>
    </xf>
    <xf numFmtId="2" fontId="7" fillId="0" borderId="1" applyAlignment="1" pivotButton="0" quotePrefix="0" xfId="0">
      <alignment horizontal="center" vertical="center" wrapText="1" readingOrder="2"/>
    </xf>
    <xf numFmtId="171" fontId="7" fillId="6" borderId="1" applyAlignment="1" pivotButton="0" quotePrefix="0" xfId="0">
      <alignment horizontal="center" vertical="center" wrapText="1" readingOrder="2"/>
    </xf>
    <xf numFmtId="171" fontId="7" fillId="4" borderId="1" applyAlignment="1" pivotButton="0" quotePrefix="0" xfId="0">
      <alignment horizontal="center" vertical="center" wrapText="1" readingOrder="2"/>
    </xf>
    <xf numFmtId="174" fontId="7" fillId="0" borderId="1" applyAlignment="1" pivotButton="0" quotePrefix="0" xfId="0">
      <alignment horizontal="center" vertical="center" wrapText="1" readingOrder="2"/>
    </xf>
    <xf numFmtId="0" fontId="12" fillId="10" borderId="1" applyAlignment="1" pivotButton="0" quotePrefix="0" xfId="0">
      <alignment horizontal="general" vertical="bottom"/>
    </xf>
    <xf numFmtId="2" fontId="7" fillId="10" borderId="1" applyAlignment="1" pivotButton="0" quotePrefix="0" xfId="0">
      <alignment horizontal="center" vertical="center" wrapText="1" readingOrder="2"/>
    </xf>
    <xf numFmtId="174" fontId="7" fillId="10" borderId="1" applyAlignment="1" pivotButton="0" quotePrefix="0" xfId="0">
      <alignment horizontal="center" vertical="center" wrapText="1" readingOrder="2"/>
    </xf>
    <xf numFmtId="2" fontId="7" fillId="6" borderId="1" applyAlignment="1" pivotButton="0" quotePrefix="0" xfId="0">
      <alignment horizontal="center" vertical="center" wrapText="1" readingOrder="2"/>
    </xf>
    <xf numFmtId="0" fontId="0" fillId="10" borderId="1" applyAlignment="1" pivotButton="0" quotePrefix="0" xfId="0">
      <alignment horizontal="general" vertical="bottom"/>
    </xf>
    <xf numFmtId="175" fontId="7" fillId="0" borderId="1" applyAlignment="1" pivotButton="0" quotePrefix="0" xfId="0">
      <alignment horizontal="center" vertical="center" wrapText="1" readingOrder="2"/>
    </xf>
    <xf numFmtId="176" fontId="7" fillId="0" borderId="1" applyAlignment="1" pivotButton="0" quotePrefix="0" xfId="0">
      <alignment horizontal="center" vertical="center" wrapText="1" readingOrder="2"/>
    </xf>
    <xf numFmtId="10" fontId="8" fillId="2" borderId="1" applyAlignment="1" pivotButton="0" quotePrefix="0" xfId="0">
      <alignment horizontal="center" vertical="center" wrapText="1" readingOrder="2"/>
    </xf>
    <xf numFmtId="0" fontId="8" fillId="2" borderId="1" applyAlignment="1" pivotButton="0" quotePrefix="0" xfId="0">
      <alignment horizontal="center" vertical="center" wrapText="1" readingOrder="2"/>
    </xf>
    <xf numFmtId="0" fontId="10" fillId="3" borderId="1" applyAlignment="1" pivotButton="0" quotePrefix="0" xfId="0">
      <alignment horizontal="center" vertical="center" wrapText="1" readingOrder="2"/>
    </xf>
    <xf numFmtId="0" fontId="10" fillId="3" borderId="1" applyAlignment="1" pivotButton="0" quotePrefix="0" xfId="0">
      <alignment horizontal="right" vertical="top" wrapText="1" readingOrder="2"/>
    </xf>
    <xf numFmtId="165" fontId="10" fillId="3" borderId="1" applyAlignment="1" pivotButton="0" quotePrefix="0" xfId="0">
      <alignment horizontal="center" vertical="center" wrapText="1" readingOrder="2"/>
    </xf>
    <xf numFmtId="4" fontId="7" fillId="0" borderId="1" applyAlignment="1" pivotButton="0" quotePrefix="0" xfId="0">
      <alignment horizontal="center" vertical="center" wrapText="1" readingOrder="2"/>
    </xf>
    <xf numFmtId="4" fontId="8" fillId="2" borderId="1" applyAlignment="1" pivotButton="0" quotePrefix="0" xfId="0">
      <alignment horizontal="center" vertical="center" wrapText="1" readingOrder="2"/>
    </xf>
    <xf numFmtId="0" fontId="8" fillId="2" borderId="1" applyAlignment="1" pivotButton="0" quotePrefix="0" xfId="0">
      <alignment horizontal="right" vertical="top" wrapText="1" readingOrder="2"/>
    </xf>
    <xf numFmtId="0" fontId="17" fillId="0" borderId="0" applyAlignment="1" pivotButton="0" quotePrefix="0" xfId="0">
      <alignment horizontal="right" vertical="top" wrapText="1" readingOrder="2"/>
    </xf>
    <xf numFmtId="177" fontId="10" fillId="3" borderId="1" applyAlignment="1" pivotButton="0" quotePrefix="0" xfId="0">
      <alignment horizontal="center" vertical="center" wrapText="1" readingOrder="2"/>
    </xf>
    <xf numFmtId="9" fontId="10" fillId="3" borderId="1" applyAlignment="1" pivotButton="0" quotePrefix="0" xfId="0">
      <alignment horizontal="center" vertical="center" wrapText="1" readingOrder="2"/>
    </xf>
    <xf numFmtId="0" fontId="0" fillId="0" borderId="1" applyAlignment="1" pivotButton="0" quotePrefix="0" xfId="0">
      <alignment horizontal="center" vertical="center" wrapText="1" readingOrder="2"/>
    </xf>
    <xf numFmtId="177" fontId="8" fillId="2" borderId="1" applyAlignment="1" pivotButton="0" quotePrefix="0" xfId="0">
      <alignment horizontal="center" vertical="center" wrapText="1" readingOrder="2"/>
    </xf>
    <xf numFmtId="9" fontId="8" fillId="2" borderId="1" applyAlignment="1" pivotButton="0" quotePrefix="0" xfId="0">
      <alignment horizontal="center" vertical="center" wrapText="1" readingOrder="2"/>
    </xf>
    <xf numFmtId="165" fontId="7" fillId="8" borderId="1" applyAlignment="1" pivotButton="0" quotePrefix="0" xfId="0">
      <alignment horizontal="center" vertical="center" wrapText="1" readingOrder="2"/>
    </xf>
    <xf numFmtId="165" fontId="7" fillId="4" borderId="1" applyAlignment="1" pivotButton="0" quotePrefix="0" xfId="0">
      <alignment horizontal="center" vertical="center" wrapText="1" readingOrder="2"/>
    </xf>
    <xf numFmtId="3" fontId="6" fillId="0" borderId="1" applyAlignment="1" pivotButton="0" quotePrefix="0" xfId="0">
      <alignment horizontal="center" vertical="center" wrapText="1" readingOrder="2"/>
    </xf>
    <xf numFmtId="0" fontId="20" fillId="0" borderId="0" applyAlignment="1" pivotButton="0" quotePrefix="0" xfId="0">
      <alignment horizontal="right" vertical="bottom" wrapText="1" readingOrder="2"/>
    </xf>
    <xf numFmtId="0" fontId="0" fillId="0" borderId="0" applyAlignment="1" pivotButton="0" quotePrefix="0" xfId="0">
      <alignment horizontal="general" vertical="bottom"/>
    </xf>
    <xf numFmtId="0" fontId="0" fillId="0" borderId="0" pivotButton="0" quotePrefix="0" xfId="0"/>
    <xf numFmtId="0" fontId="21" fillId="0" borderId="0" applyAlignment="1" pivotButton="0" quotePrefix="0" xfId="0">
      <alignment horizontal="right" vertical="center" readingOrder="2"/>
    </xf>
    <xf numFmtId="0" fontId="22" fillId="0" borderId="0" pivotButton="0" quotePrefix="0" xfId="0"/>
    <xf numFmtId="0" fontId="23" fillId="0" borderId="0" applyAlignment="1" pivotButton="0" quotePrefix="0" xfId="0">
      <alignment horizontal="right" vertical="center" readingOrder="2"/>
    </xf>
    <xf numFmtId="0" fontId="24" fillId="0" borderId="0" applyAlignment="1" pivotButton="0" quotePrefix="0" xfId="0">
      <alignment horizontal="general" vertical="bottom"/>
    </xf>
    <xf numFmtId="0" fontId="25" fillId="0" borderId="0" applyAlignment="1" pivotButton="0" quotePrefix="0" xfId="0">
      <alignment horizontal="right" vertical="top" wrapText="1" readingOrder="2"/>
    </xf>
    <xf numFmtId="0" fontId="26" fillId="13" borderId="5" applyAlignment="1" pivotButton="0" quotePrefix="0" xfId="0">
      <alignment horizontal="general" vertical="bottom"/>
    </xf>
    <xf numFmtId="0" fontId="25" fillId="0" borderId="5" applyAlignment="1" pivotButton="0" quotePrefix="0" xfId="0">
      <alignment horizontal="general" vertical="bottom"/>
    </xf>
    <xf numFmtId="0" fontId="27" fillId="0" borderId="5" applyAlignment="1" pivotButton="0" quotePrefix="0" xfId="0">
      <alignment horizontal="general" vertical="bottom"/>
    </xf>
    <xf numFmtId="0" fontId="28" fillId="14" borderId="5" applyAlignment="1" pivotButton="0" quotePrefix="0" xfId="0">
      <alignment horizontal="general" vertical="bottom"/>
    </xf>
    <xf numFmtId="0" fontId="24" fillId="15" borderId="5" applyAlignment="1" pivotButton="0" quotePrefix="0" xfId="0">
      <alignment horizontal="center" vertical="center" wrapText="1" readingOrder="2"/>
    </xf>
    <xf numFmtId="0" fontId="24" fillId="13" borderId="5" applyAlignment="1" pivotButton="0" quotePrefix="0" xfId="0">
      <alignment horizontal="center" vertical="center" wrapText="1" readingOrder="2"/>
    </xf>
    <xf numFmtId="0" fontId="24" fillId="16" borderId="5" applyAlignment="1" pivotButton="0" quotePrefix="0" xfId="0">
      <alignment horizontal="center" vertical="center" wrapText="1" readingOrder="2"/>
    </xf>
    <xf numFmtId="0" fontId="24" fillId="7" borderId="5" applyAlignment="1" pivotButton="0" quotePrefix="0" xfId="0">
      <alignment horizontal="center" vertical="center" wrapText="1" readingOrder="2"/>
    </xf>
    <xf numFmtId="0" fontId="24" fillId="8" borderId="5" applyAlignment="1" pivotButton="0" quotePrefix="0" xfId="0">
      <alignment horizontal="center" vertical="center" wrapText="1" readingOrder="2"/>
    </xf>
    <xf numFmtId="0" fontId="25" fillId="0" borderId="0" applyAlignment="1" pivotButton="0" quotePrefix="0" xfId="0">
      <alignment horizontal="general" vertical="bottom"/>
    </xf>
    <xf numFmtId="0" fontId="29" fillId="17" borderId="5" applyAlignment="1" pivotButton="0" quotePrefix="0" xfId="0">
      <alignment horizontal="center" vertical="center" wrapText="1" readingOrder="2"/>
    </xf>
    <xf numFmtId="0" fontId="25" fillId="0" borderId="5" applyAlignment="1" pivotButton="0" quotePrefix="0" xfId="0">
      <alignment horizontal="right" vertical="top" wrapText="1" readingOrder="2"/>
    </xf>
    <xf numFmtId="0" fontId="24" fillId="0" borderId="5" applyAlignment="1" pivotButton="0" quotePrefix="0" xfId="0">
      <alignment horizontal="right" vertical="top" wrapText="1" readingOrder="2"/>
    </xf>
    <xf numFmtId="0" fontId="25" fillId="15" borderId="5" applyAlignment="1" pivotButton="0" quotePrefix="0" xfId="0">
      <alignment horizontal="center" vertical="center" wrapText="1" readingOrder="2"/>
    </xf>
    <xf numFmtId="0" fontId="25" fillId="13" borderId="5" applyAlignment="1" pivotButton="0" quotePrefix="0" xfId="0">
      <alignment horizontal="center" vertical="center" wrapText="1" readingOrder="2"/>
    </xf>
    <xf numFmtId="0" fontId="25" fillId="16" borderId="5" applyAlignment="1" pivotButton="0" quotePrefix="0" xfId="0">
      <alignment horizontal="center" vertical="center" wrapText="1" readingOrder="2"/>
    </xf>
    <xf numFmtId="0" fontId="25" fillId="0" borderId="5" applyAlignment="1" pivotButton="0" quotePrefix="0" xfId="0">
      <alignment horizontal="center" vertical="center" wrapText="1" readingOrder="2"/>
    </xf>
    <xf numFmtId="0" fontId="25" fillId="8" borderId="5" applyAlignment="1" pivotButton="0" quotePrefix="0" xfId="0">
      <alignment horizontal="center" vertical="center" wrapText="1" readingOrder="2"/>
    </xf>
    <xf numFmtId="0" fontId="25" fillId="7" borderId="5" applyAlignment="1" pivotButton="0" quotePrefix="0" xfId="0">
      <alignment horizontal="center" vertical="center" wrapText="1" readingOrder="2"/>
    </xf>
    <xf numFmtId="0" fontId="24" fillId="0" borderId="5" applyAlignment="1" pivotButton="0" quotePrefix="0" xfId="0">
      <alignment horizontal="general" vertical="bottom"/>
    </xf>
    <xf numFmtId="0" fontId="30" fillId="0" borderId="0" applyAlignment="1" pivotButton="0" quotePrefix="0" xfId="0">
      <alignment horizontal="right" vertical="center" readingOrder="2"/>
    </xf>
    <xf numFmtId="0" fontId="25" fillId="0" borderId="0" applyAlignment="1" pivotButton="0" quotePrefix="0" xfId="0">
      <alignment horizontal="right" vertical="center" wrapText="1" readingOrder="2"/>
    </xf>
    <xf numFmtId="3" fontId="26" fillId="13" borderId="5" applyAlignment="1" pivotButton="0" quotePrefix="0" xfId="0">
      <alignment horizontal="center" vertical="center" wrapText="1" readingOrder="2"/>
    </xf>
    <xf numFmtId="0" fontId="23" fillId="0" borderId="0" applyAlignment="1" pivotButton="0" quotePrefix="0" xfId="0">
      <alignment horizontal="general" vertical="bottom"/>
    </xf>
    <xf numFmtId="3" fontId="25" fillId="0" borderId="5" applyAlignment="1" pivotButton="0" quotePrefix="0" xfId="0">
      <alignment horizontal="center" vertical="center" wrapText="1" readingOrder="2"/>
    </xf>
    <xf numFmtId="10" fontId="25" fillId="0" borderId="5" applyAlignment="1" pivotButton="0" quotePrefix="0" xfId="0">
      <alignment horizontal="center" vertical="center" wrapText="1" readingOrder="2"/>
    </xf>
    <xf numFmtId="164" fontId="25" fillId="0" borderId="5" applyAlignment="1" pivotButton="0" quotePrefix="0" xfId="0">
      <alignment horizontal="center" vertical="center" wrapText="1" readingOrder="2"/>
    </xf>
    <xf numFmtId="0" fontId="24" fillId="18" borderId="5" applyAlignment="1" pivotButton="0" quotePrefix="0" xfId="0">
      <alignment horizontal="center" vertical="center" wrapText="1" readingOrder="2"/>
    </xf>
    <xf numFmtId="0" fontId="24" fillId="18" borderId="5" applyAlignment="1" pivotButton="0" quotePrefix="0" xfId="0">
      <alignment horizontal="general" vertical="bottom"/>
    </xf>
    <xf numFmtId="3" fontId="24" fillId="18" borderId="5" applyAlignment="1" pivotButton="0" quotePrefix="0" xfId="0">
      <alignment horizontal="center" vertical="center" wrapText="1" readingOrder="2"/>
    </xf>
    <xf numFmtId="10" fontId="24" fillId="18" borderId="5" applyAlignment="1" pivotButton="0" quotePrefix="0" xfId="0">
      <alignment horizontal="center" vertical="center" wrapText="1" readingOrder="2"/>
    </xf>
    <xf numFmtId="0" fontId="31" fillId="0" borderId="0" applyAlignment="1" pivotButton="0" quotePrefix="0" xfId="0">
      <alignment horizontal="general" vertical="bottom"/>
    </xf>
    <xf numFmtId="0" fontId="24" fillId="13" borderId="5" applyAlignment="1" pivotButton="0" quotePrefix="0" xfId="0">
      <alignment horizontal="general" vertical="bottom"/>
    </xf>
    <xf numFmtId="3" fontId="25" fillId="13" borderId="5" applyAlignment="1" pivotButton="0" quotePrefix="0" xfId="0">
      <alignment horizontal="center" vertical="center" wrapText="1" readingOrder="2"/>
    </xf>
    <xf numFmtId="10" fontId="25" fillId="13" borderId="5" applyAlignment="1" pivotButton="0" quotePrefix="0" xfId="0">
      <alignment horizontal="center" vertical="center" wrapText="1" readingOrder="2"/>
    </xf>
    <xf numFmtId="0" fontId="25" fillId="13" borderId="5" applyAlignment="1" pivotButton="0" quotePrefix="0" xfId="0">
      <alignment horizontal="right" vertical="top" wrapText="1" readingOrder="2"/>
    </xf>
    <xf numFmtId="0" fontId="32" fillId="0" borderId="0" applyAlignment="1" pivotButton="0" quotePrefix="0" xfId="0">
      <alignment horizontal="right" vertical="center" readingOrder="2"/>
    </xf>
    <xf numFmtId="0" fontId="24" fillId="7" borderId="5" applyAlignment="1" pivotButton="0" quotePrefix="0" xfId="0">
      <alignment horizontal="right" vertical="top" wrapText="1" readingOrder="2"/>
    </xf>
    <xf numFmtId="165" fontId="25" fillId="0" borderId="5" applyAlignment="1" pivotButton="0" quotePrefix="0" xfId="0">
      <alignment horizontal="center" vertical="center" wrapText="1" readingOrder="2"/>
    </xf>
    <xf numFmtId="0" fontId="25" fillId="18" borderId="5" applyAlignment="1" pivotButton="0" quotePrefix="0" xfId="0">
      <alignment horizontal="center" vertical="center" wrapText="1" readingOrder="2"/>
    </xf>
    <xf numFmtId="0" fontId="24" fillId="18" borderId="5" applyAlignment="1" pivotButton="0" quotePrefix="0" xfId="0">
      <alignment horizontal="right" vertical="top" wrapText="1" readingOrder="2"/>
    </xf>
    <xf numFmtId="0" fontId="25" fillId="18" borderId="5" applyAlignment="1" pivotButton="0" quotePrefix="0" xfId="0">
      <alignment horizontal="right" vertical="top" wrapText="1" readingOrder="2"/>
    </xf>
    <xf numFmtId="3" fontId="25" fillId="18" borderId="5" applyAlignment="1" pivotButton="0" quotePrefix="0" xfId="0">
      <alignment horizontal="center" vertical="center" wrapText="1" readingOrder="2"/>
    </xf>
    <xf numFmtId="165" fontId="25" fillId="18" borderId="5" applyAlignment="1" pivotButton="0" quotePrefix="0" xfId="0">
      <alignment horizontal="center" vertical="center" wrapText="1" readingOrder="2"/>
    </xf>
    <xf numFmtId="0" fontId="24" fillId="16" borderId="5" applyAlignment="1" pivotButton="0" quotePrefix="0" xfId="0">
      <alignment horizontal="right" vertical="top" wrapText="1" readingOrder="2"/>
    </xf>
    <xf numFmtId="0" fontId="24" fillId="13" borderId="5" applyAlignment="1" pivotButton="0" quotePrefix="0" xfId="0">
      <alignment horizontal="right" vertical="top" wrapText="1" readingOrder="2"/>
    </xf>
    <xf numFmtId="0" fontId="32" fillId="0" borderId="0" applyAlignment="1" pivotButton="0" quotePrefix="0" xfId="0">
      <alignment horizontal="general" vertical="bottom"/>
    </xf>
    <xf numFmtId="0" fontId="33" fillId="0" borderId="0" applyAlignment="1" pivotButton="0" quotePrefix="0" xfId="0">
      <alignment horizontal="right" vertical="top" wrapText="1" readingOrder="2"/>
    </xf>
    <xf numFmtId="0" fontId="25" fillId="16" borderId="5" applyAlignment="1" pivotButton="0" quotePrefix="0" xfId="0">
      <alignment horizontal="right" vertical="top" wrapText="1" readingOrder="2"/>
    </xf>
    <xf numFmtId="165" fontId="25" fillId="16" borderId="5" applyAlignment="1" pivotButton="0" quotePrefix="0" xfId="0">
      <alignment horizontal="center" vertical="center" wrapText="1" readingOrder="2"/>
    </xf>
    <xf numFmtId="165" fontId="24" fillId="18" borderId="5" applyAlignment="1" pivotButton="0" quotePrefix="0" xfId="0">
      <alignment horizontal="center" vertical="center" wrapText="1" readingOrder="2"/>
    </xf>
    <xf numFmtId="9" fontId="25" fillId="0" borderId="5" applyAlignment="1" pivotButton="0" quotePrefix="0" xfId="0">
      <alignment horizontal="center" vertical="center" wrapText="1" readingOrder="2"/>
    </xf>
    <xf numFmtId="9" fontId="25" fillId="15" borderId="5" applyAlignment="1" pivotButton="0" quotePrefix="0" xfId="0">
      <alignment horizontal="center" vertical="center" wrapText="1" readingOrder="2"/>
    </xf>
    <xf numFmtId="0" fontId="30" fillId="0" borderId="0" applyAlignment="1" pivotButton="0" quotePrefix="0" xfId="0">
      <alignment horizontal="general" vertical="bottom"/>
    </xf>
    <xf numFmtId="0" fontId="34" fillId="19" borderId="6" applyAlignment="1" pivotButton="0" quotePrefix="0" xfId="0">
      <alignment horizontal="right" vertical="center" readingOrder="2"/>
    </xf>
    <xf numFmtId="0" fontId="22" fillId="0" borderId="7" pivotButton="0" quotePrefix="0" xfId="0"/>
    <xf numFmtId="0" fontId="35" fillId="0" borderId="5" applyAlignment="1" pivotButton="0" quotePrefix="0" xfId="0">
      <alignment horizontal="center" vertical="center" wrapText="1" readingOrder="2"/>
    </xf>
    <xf numFmtId="0" fontId="36" fillId="15" borderId="6" applyAlignment="1" pivotButton="0" quotePrefix="0" xfId="0">
      <alignment horizontal="right" vertical="center" readingOrder="2"/>
    </xf>
    <xf numFmtId="0" fontId="36" fillId="13" borderId="6" applyAlignment="1" pivotButton="0" quotePrefix="0" xfId="0">
      <alignment horizontal="right" vertical="center" readingOrder="2"/>
    </xf>
    <xf numFmtId="0" fontId="36" fillId="16" borderId="6" applyAlignment="1" pivotButton="0" quotePrefix="0" xfId="0">
      <alignment horizontal="right" vertical="center" readingOrder="2"/>
    </xf>
    <xf numFmtId="0" fontId="36" fillId="12" borderId="6" applyAlignment="1" pivotButton="0" quotePrefix="0" xfId="0">
      <alignment horizontal="right" vertical="center" readingOrder="2"/>
    </xf>
    <xf numFmtId="0" fontId="24" fillId="0" borderId="5" applyAlignment="1" pivotButton="0" quotePrefix="0" xfId="0">
      <alignment horizontal="center" vertical="center" wrapText="1" readingOrder="2"/>
    </xf>
    <xf numFmtId="166" fontId="25" fillId="0" borderId="5" applyAlignment="1" pivotButton="0" quotePrefix="0" xfId="0">
      <alignment horizontal="center" vertical="center" wrapText="1" readingOrder="2"/>
    </xf>
    <xf numFmtId="2" fontId="26" fillId="13" borderId="5" applyAlignment="1" pivotButton="0" quotePrefix="0" xfId="0">
      <alignment horizontal="center" vertical="center" wrapText="1" readingOrder="2"/>
    </xf>
    <xf numFmtId="0" fontId="37" fillId="0" borderId="0" applyAlignment="1" pivotButton="0" quotePrefix="0" xfId="0">
      <alignment horizontal="general" vertical="bottom"/>
    </xf>
    <xf numFmtId="167" fontId="25" fillId="0" borderId="5" applyAlignment="1" pivotButton="0" quotePrefix="0" xfId="0">
      <alignment horizontal="center" vertical="center" wrapText="1" readingOrder="2"/>
    </xf>
    <xf numFmtId="0" fontId="36" fillId="0" borderId="0" applyAlignment="1" pivotButton="0" quotePrefix="0" xfId="0">
      <alignment horizontal="general" vertical="bottom"/>
    </xf>
    <xf numFmtId="0" fontId="24" fillId="0" borderId="0" applyAlignment="1" pivotButton="0" quotePrefix="0" xfId="0">
      <alignment horizontal="right" vertical="top" wrapText="1" readingOrder="2"/>
    </xf>
    <xf numFmtId="0" fontId="23" fillId="0" borderId="0" applyAlignment="1" pivotButton="0" quotePrefix="0" xfId="0">
      <alignment horizontal="right" vertical="top" wrapText="1" readingOrder="2"/>
    </xf>
    <xf numFmtId="168" fontId="26" fillId="13" borderId="5" applyAlignment="1" pivotButton="0" quotePrefix="0" xfId="0">
      <alignment horizontal="center" vertical="center" wrapText="1" readingOrder="2"/>
    </xf>
    <xf numFmtId="0" fontId="38" fillId="0" borderId="5" applyAlignment="1" pivotButton="0" quotePrefix="0" xfId="0">
      <alignment horizontal="general" vertical="bottom"/>
    </xf>
    <xf numFmtId="165" fontId="26" fillId="13" borderId="5" applyAlignment="1" pivotButton="0" quotePrefix="0" xfId="0">
      <alignment horizontal="center" vertical="center" wrapText="1" readingOrder="2"/>
    </xf>
    <xf numFmtId="169" fontId="25" fillId="0" borderId="5" applyAlignment="1" pivotButton="0" quotePrefix="0" xfId="0">
      <alignment horizontal="center" vertical="center" wrapText="1" readingOrder="2"/>
    </xf>
    <xf numFmtId="3" fontId="25" fillId="8" borderId="5" applyAlignment="1" pivotButton="0" quotePrefix="0" xfId="0">
      <alignment horizontal="center" vertical="center" wrapText="1" readingOrder="2"/>
    </xf>
    <xf numFmtId="169" fontId="25" fillId="18" borderId="5" applyAlignment="1" pivotButton="0" quotePrefix="0" xfId="0">
      <alignment horizontal="center" vertical="center" wrapText="1" readingOrder="2"/>
    </xf>
    <xf numFmtId="170" fontId="25" fillId="0" borderId="5" applyAlignment="1" pivotButton="0" quotePrefix="0" xfId="0">
      <alignment horizontal="center" vertical="center" wrapText="1" readingOrder="2"/>
    </xf>
    <xf numFmtId="169" fontId="24" fillId="18" borderId="5" applyAlignment="1" pivotButton="0" quotePrefix="0" xfId="0">
      <alignment horizontal="center" vertical="center" wrapText="1" readingOrder="2"/>
    </xf>
    <xf numFmtId="0" fontId="35" fillId="0" borderId="0" applyAlignment="1" pivotButton="0" quotePrefix="0" xfId="0">
      <alignment horizontal="general" vertical="bottom"/>
    </xf>
    <xf numFmtId="0" fontId="38" fillId="0" borderId="5" applyAlignment="1" pivotButton="0" quotePrefix="0" xfId="0">
      <alignment horizontal="right" vertical="top" wrapText="1" readingOrder="2"/>
    </xf>
    <xf numFmtId="171" fontId="26" fillId="13" borderId="5" applyAlignment="1" pivotButton="0" quotePrefix="0" xfId="0">
      <alignment horizontal="center" vertical="center" wrapText="1" readingOrder="2"/>
    </xf>
    <xf numFmtId="171" fontId="25" fillId="0" borderId="5" applyAlignment="1" pivotButton="0" quotePrefix="0" xfId="0">
      <alignment horizontal="center" vertical="center" wrapText="1" readingOrder="2"/>
    </xf>
    <xf numFmtId="172" fontId="25" fillId="0" borderId="5" applyAlignment="1" pivotButton="0" quotePrefix="0" xfId="0">
      <alignment horizontal="center" vertical="center" wrapText="1" readingOrder="2"/>
    </xf>
    <xf numFmtId="172" fontId="25" fillId="18" borderId="5" applyAlignment="1" pivotButton="0" quotePrefix="0" xfId="0">
      <alignment horizontal="center" vertical="center" wrapText="1" readingOrder="2"/>
    </xf>
    <xf numFmtId="167" fontId="25" fillId="16" borderId="5" applyAlignment="1" pivotButton="0" quotePrefix="0" xfId="0">
      <alignment horizontal="center" vertical="center" wrapText="1" readingOrder="2"/>
    </xf>
    <xf numFmtId="172" fontId="24" fillId="18" borderId="5" applyAlignment="1" pivotButton="0" quotePrefix="0" xfId="0">
      <alignment horizontal="center" vertical="center" wrapText="1" readingOrder="2"/>
    </xf>
    <xf numFmtId="171" fontId="24" fillId="18" borderId="5" applyAlignment="1" pivotButton="0" quotePrefix="0" xfId="0">
      <alignment horizontal="center" vertical="center" wrapText="1" readingOrder="2"/>
    </xf>
    <xf numFmtId="173" fontId="25" fillId="0" borderId="5" applyAlignment="1" pivotButton="0" quotePrefix="0" xfId="0">
      <alignment horizontal="center" vertical="center" wrapText="1" readingOrder="2"/>
    </xf>
    <xf numFmtId="2" fontId="25" fillId="0" borderId="5" applyAlignment="1" pivotButton="0" quotePrefix="0" xfId="0">
      <alignment horizontal="center" vertical="center" wrapText="1" readingOrder="2"/>
    </xf>
    <xf numFmtId="171" fontId="25" fillId="16" borderId="5" applyAlignment="1" pivotButton="0" quotePrefix="0" xfId="0">
      <alignment horizontal="center" vertical="center" wrapText="1" readingOrder="2"/>
    </xf>
    <xf numFmtId="171" fontId="25" fillId="15" borderId="5" applyAlignment="1" pivotButton="0" quotePrefix="0" xfId="0">
      <alignment horizontal="center" vertical="center" wrapText="1" readingOrder="2"/>
    </xf>
    <xf numFmtId="174" fontId="25" fillId="0" borderId="5" applyAlignment="1" pivotButton="0" quotePrefix="0" xfId="0">
      <alignment horizontal="center" vertical="center" wrapText="1" readingOrder="2"/>
    </xf>
    <xf numFmtId="0" fontId="30" fillId="18" borderId="5" applyAlignment="1" pivotButton="0" quotePrefix="0" xfId="0">
      <alignment horizontal="general" vertical="bottom"/>
    </xf>
    <xf numFmtId="2" fontId="25" fillId="18" borderId="5" applyAlignment="1" pivotButton="0" quotePrefix="0" xfId="0">
      <alignment horizontal="center" vertical="center" wrapText="1" readingOrder="2"/>
    </xf>
    <xf numFmtId="174" fontId="25" fillId="18" borderId="5" applyAlignment="1" pivotButton="0" quotePrefix="0" xfId="0">
      <alignment horizontal="center" vertical="center" wrapText="1" readingOrder="2"/>
    </xf>
    <xf numFmtId="2" fontId="25" fillId="16" borderId="5" applyAlignment="1" pivotButton="0" quotePrefix="0" xfId="0">
      <alignment horizontal="center" vertical="center" wrapText="1" readingOrder="2"/>
    </xf>
    <xf numFmtId="0" fontId="22" fillId="18" borderId="5" applyAlignment="1" pivotButton="0" quotePrefix="0" xfId="0">
      <alignment horizontal="general" vertical="bottom"/>
    </xf>
    <xf numFmtId="175" fontId="25" fillId="0" borderId="5" applyAlignment="1" pivotButton="0" quotePrefix="0" xfId="0">
      <alignment horizontal="center" vertical="center" wrapText="1" readingOrder="2"/>
    </xf>
    <xf numFmtId="176" fontId="25" fillId="0" borderId="5" applyAlignment="1" pivotButton="0" quotePrefix="0" xfId="0">
      <alignment horizontal="center" vertical="center" wrapText="1" readingOrder="2"/>
    </xf>
    <xf numFmtId="10" fontId="26" fillId="13" borderId="5" applyAlignment="1" pivotButton="0" quotePrefix="0" xfId="0">
      <alignment horizontal="center" vertical="center" wrapText="1" readingOrder="2"/>
    </xf>
    <xf numFmtId="0" fontId="26" fillId="13" borderId="5" applyAlignment="1" pivotButton="0" quotePrefix="0" xfId="0">
      <alignment horizontal="center" vertical="center" wrapText="1" readingOrder="2"/>
    </xf>
    <xf numFmtId="0" fontId="28" fillId="14" borderId="5" applyAlignment="1" pivotButton="0" quotePrefix="0" xfId="0">
      <alignment horizontal="center" vertical="center" wrapText="1" readingOrder="2"/>
    </xf>
    <xf numFmtId="0" fontId="28" fillId="14" borderId="5" applyAlignment="1" pivotButton="0" quotePrefix="0" xfId="0">
      <alignment horizontal="right" vertical="top" wrapText="1" readingOrder="2"/>
    </xf>
    <xf numFmtId="165" fontId="28" fillId="14" borderId="5" applyAlignment="1" pivotButton="0" quotePrefix="0" xfId="0">
      <alignment horizontal="center" vertical="center" wrapText="1" readingOrder="2"/>
    </xf>
    <xf numFmtId="4" fontId="25" fillId="0" borderId="5" applyAlignment="1" pivotButton="0" quotePrefix="0" xfId="0">
      <alignment horizontal="center" vertical="center" wrapText="1" readingOrder="2"/>
    </xf>
    <xf numFmtId="4" fontId="26" fillId="13" borderId="5" applyAlignment="1" pivotButton="0" quotePrefix="0" xfId="0">
      <alignment horizontal="center" vertical="center" wrapText="1" readingOrder="2"/>
    </xf>
    <xf numFmtId="0" fontId="26" fillId="13" borderId="5" applyAlignment="1" pivotButton="0" quotePrefix="0" xfId="0">
      <alignment horizontal="right" vertical="top" wrapText="1" readingOrder="2"/>
    </xf>
    <xf numFmtId="0" fontId="35" fillId="0" borderId="0" applyAlignment="1" pivotButton="0" quotePrefix="0" xfId="0">
      <alignment horizontal="right" vertical="top" wrapText="1" readingOrder="2"/>
    </xf>
    <xf numFmtId="177" fontId="28" fillId="14" borderId="5" applyAlignment="1" pivotButton="0" quotePrefix="0" xfId="0">
      <alignment horizontal="center" vertical="center" wrapText="1" readingOrder="2"/>
    </xf>
    <xf numFmtId="9" fontId="28" fillId="14" borderId="5" applyAlignment="1" pivotButton="0" quotePrefix="0" xfId="0">
      <alignment horizontal="center" vertical="center" wrapText="1" readingOrder="2"/>
    </xf>
    <xf numFmtId="0" fontId="22" fillId="0" borderId="5" applyAlignment="1" pivotButton="0" quotePrefix="0" xfId="0">
      <alignment horizontal="center" vertical="center" wrapText="1" readingOrder="2"/>
    </xf>
    <xf numFmtId="177" fontId="26" fillId="13" borderId="5" applyAlignment="1" pivotButton="0" quotePrefix="0" xfId="0">
      <alignment horizontal="center" vertical="center" wrapText="1" readingOrder="2"/>
    </xf>
    <xf numFmtId="9" fontId="26" fillId="13" borderId="5" applyAlignment="1" pivotButton="0" quotePrefix="0" xfId="0">
      <alignment horizontal="center" vertical="center" wrapText="1" readingOrder="2"/>
    </xf>
    <xf numFmtId="165" fontId="25" fillId="8" borderId="5" applyAlignment="1" pivotButton="0" quotePrefix="0" xfId="0">
      <alignment horizontal="center" vertical="center" wrapText="1" readingOrder="2"/>
    </xf>
    <xf numFmtId="165" fontId="25" fillId="15" borderId="5" applyAlignment="1" pivotButton="0" quotePrefix="0" xfId="0">
      <alignment horizontal="center" vertical="center" wrapText="1" readingOrder="2"/>
    </xf>
    <xf numFmtId="3" fontId="24" fillId="0" borderId="5" applyAlignment="1" pivotButton="0" quotePrefix="0" xfId="0">
      <alignment horizontal="center" vertical="center" wrapText="1" readingOrder="2"/>
    </xf>
    <xf numFmtId="0" fontId="39" fillId="0" borderId="0" applyAlignment="1" pivotButton="0" quotePrefix="0" xfId="0">
      <alignment horizontal="right" vertical="bottom" wrapText="1" readingOrder="2"/>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2F3"/>
      <rgbColor rgb="FFC6E0B4"/>
      <rgbColor rgb="FFFFE699"/>
      <rgbColor rgb="FFD9D9D9"/>
      <rgbColor rgb="FFE7E6E6"/>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8"/>
  <sheetViews>
    <sheetView showFormulas="0" showGridLines="0" showRowColHeaders="1" showZeros="1" rightToLeft="1"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121" min="1" max="1"/>
    <col width="30" customWidth="1" style="121" min="2" max="2"/>
    <col width="62" customWidth="1" style="121" min="3" max="3"/>
    <col width="30" customWidth="1" style="121" min="4" max="4"/>
  </cols>
  <sheetData>
    <row r="1" ht="25.5" customHeight="1" s="122">
      <c r="A1" s="123" t="inlineStr">
        <is>
          <t>نموذج الخطة التنفيذية — الإدارة التجارية</t>
        </is>
      </c>
      <c r="B1" s="124" t="n"/>
      <c r="C1" s="124" t="n"/>
      <c r="D1" s="124" t="n"/>
    </row>
    <row r="2" ht="18" customHeight="1" s="122">
      <c r="A2" s="125" t="inlineStr">
        <is>
          <t>منافذ البيع في الشركة · تحليل كل منفذ · المنافس المسيطر عليه</t>
        </is>
      </c>
      <c r="B2" s="124" t="n"/>
      <c r="C2" s="124" t="n"/>
      <c r="D2" s="124" t="n"/>
    </row>
    <row r="3">
      <c r="A3" s="124" t="n"/>
      <c r="B3" s="124" t="n"/>
      <c r="C3" s="124" t="n"/>
      <c r="D3" s="124" t="n"/>
    </row>
    <row r="4" ht="48" customHeight="1" s="122">
      <c r="A4" s="124" t="n"/>
      <c r="B4" s="126" t="inlineStr">
        <is>
          <t>الغرض</t>
        </is>
      </c>
      <c r="C4" s="127" t="inlineStr">
        <is>
          <t>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is>
      </c>
      <c r="D4" s="124" t="n"/>
    </row>
    <row r="5">
      <c r="A5" s="124" t="n"/>
      <c r="B5" s="124" t="n"/>
      <c r="C5" s="124" t="n"/>
      <c r="D5" s="124" t="n"/>
    </row>
    <row r="6" ht="15" customHeight="1" s="122">
      <c r="A6" s="124" t="n"/>
      <c r="B6" s="126" t="inlineStr">
        <is>
          <t>الأوراق</t>
        </is>
      </c>
      <c r="C6" s="124" t="n"/>
      <c r="D6" s="124" t="n"/>
    </row>
    <row r="7" ht="15" customHeight="1" s="122">
      <c r="A7" s="124" t="n"/>
      <c r="B7" s="126" t="inlineStr">
        <is>
          <t>منافذ البيع</t>
        </is>
      </c>
      <c r="C7" s="127" t="inlineStr">
        <is>
          <t>المصفوفة الأم — 12 منفذاً × 3 قنوات × المنافس المسيطر. مرجع لا يُعبّأ.</t>
        </is>
      </c>
      <c r="D7" s="124" t="n"/>
    </row>
    <row r="8" ht="15" customHeight="1" s="122">
      <c r="A8" s="124" t="n"/>
      <c r="B8" s="126" t="inlineStr">
        <is>
          <t>المنافسون</t>
        </is>
      </c>
      <c r="C8" s="127" t="inlineStr">
        <is>
          <t>بطاقة كل منافس: حجمه · ما يسيطر عليه · مصدر قوته · ردّنا.</t>
        </is>
      </c>
      <c r="D8" s="124" t="n"/>
    </row>
    <row r="9" ht="15" customHeight="1" s="122">
      <c r="A9" s="124" t="n"/>
      <c r="B9" s="126" t="inlineStr">
        <is>
          <t>الخطة التنفيذية</t>
        </is>
      </c>
      <c r="C9" s="127" t="inlineStr">
        <is>
          <t>الورقة الأساسية — خط الأساس والمستهدف والفجوة والمالك لكل منفذ.</t>
        </is>
      </c>
      <c r="D9" s="124" t="n"/>
    </row>
    <row r="10" ht="15" customHeight="1" s="122">
      <c r="A10" s="124" t="n"/>
      <c r="B10" s="126" t="inlineStr">
        <is>
          <t>المبادرات</t>
        </is>
      </c>
      <c r="C10" s="127" t="inlineStr">
        <is>
          <t>خارطة التنفيذ — مبادرة · مسؤول · تاريخ · حالة.</t>
        </is>
      </c>
      <c r="D10" s="124" t="n"/>
    </row>
    <row r="11" ht="15" customHeight="1" s="122">
      <c r="A11" s="124" t="n"/>
      <c r="B11" s="126" t="inlineStr">
        <is>
          <t>تحليل موقفي — المنتجات</t>
        </is>
      </c>
      <c r="C11" s="127" t="inlineStr">
        <is>
          <t>كل منتج داخل رحلة العميل: موقعه ومكوثه ومالكه وفجوته.</t>
        </is>
      </c>
      <c r="D11" s="124" t="n"/>
    </row>
    <row r="12" ht="15" customHeight="1" s="122">
      <c r="A12" s="124" t="n"/>
      <c r="B12" s="126" t="inlineStr">
        <is>
          <t>منفذ ١ — الوقود</t>
        </is>
      </c>
      <c r="C12" s="127" t="inlineStr">
        <is>
          <t>المنفذ الأول: المزيج والرافعات وتشخيص التراجع.</t>
        </is>
      </c>
      <c r="D12" s="124" t="n"/>
    </row>
    <row r="13" ht="15" customHeight="1" s="122">
      <c r="A13" s="124" t="n"/>
      <c r="B13" s="126" t="inlineStr">
        <is>
          <t>اقتصاديات اللتر</t>
        </is>
      </c>
      <c r="C13" s="127" t="inlineStr">
        <is>
          <t>أرقام محققة من قائمة الدخل — هللة لكل لتر.</t>
        </is>
      </c>
      <c r="D13" s="124" t="n"/>
    </row>
    <row r="14" ht="15" customHeight="1" s="122">
      <c r="A14" s="124" t="n"/>
      <c r="B14" s="126" t="inlineStr">
        <is>
          <t>دليل الألوان</t>
        </is>
      </c>
      <c r="C14" s="127" t="inlineStr">
        <is>
          <t>نموذج تكلفة اللتر لكل محطة — محرّكات محسوبة ومُدخلات مطلوبة.</t>
        </is>
      </c>
      <c r="D14" s="124" t="n"/>
    </row>
    <row r="15" ht="15" customHeight="1" s="122">
      <c r="A15" s="124" t="n"/>
      <c r="B15" s="128" t="inlineStr">
        <is>
          <t>أصفر + خط أزرق</t>
        </is>
      </c>
      <c r="C15" s="127" t="inlineStr">
        <is>
          <t>خانة تُعبّأ يدوياً — هذه وحدها التي تُكتب فيها</t>
        </is>
      </c>
      <c r="D15" s="124" t="n"/>
    </row>
    <row r="16" ht="15" customHeight="1" s="122">
      <c r="A16" s="124" t="n"/>
      <c r="B16" s="129" t="inlineStr">
        <is>
          <t>خط أسود</t>
        </is>
      </c>
      <c r="C16" s="127" t="inlineStr">
        <is>
          <t>صيغة محسوبة تلقائياً — لا تُكتب فوقها</t>
        </is>
      </c>
      <c r="D16" s="124" t="n"/>
    </row>
    <row r="17" ht="15" customHeight="1" s="122">
      <c r="A17" s="124" t="n"/>
      <c r="B17" s="130" t="inlineStr">
        <is>
          <t>خط أخضر</t>
        </is>
      </c>
      <c r="C17" s="127" t="inlineStr">
        <is>
          <t>مرتبط بورقة أخرى في نفس الملف</t>
        </is>
      </c>
      <c r="D17" s="124" t="n"/>
    </row>
    <row r="18" ht="15" customHeight="1" s="122">
      <c r="A18" s="124" t="n"/>
      <c r="B18" s="131" t="inlineStr">
        <is>
          <t>رمادي مائل</t>
        </is>
      </c>
      <c r="C18" s="127" t="inlineStr">
        <is>
          <t>صف مثال توضيحي — يُحذف قبل الاعتماد</t>
        </is>
      </c>
      <c r="D18" s="124" t="n"/>
    </row>
    <row r="19" ht="15" customHeight="1" s="122">
      <c r="A19" s="124" t="n"/>
      <c r="B19" s="126" t="inlineStr">
        <is>
          <t>منفذ ٢ — العقار</t>
        </is>
      </c>
      <c r="C19" s="127" t="inlineStr">
        <is>
          <t>تفصيل الشواغر والعلامات — الأولوية الأولى.</t>
        </is>
      </c>
      <c r="D19" s="124" t="n"/>
    </row>
    <row r="20" ht="15" customHeight="1" s="122">
      <c r="A20" s="124" t="n"/>
      <c r="B20" s="126" t="inlineStr">
        <is>
          <t>حالة المنفذ</t>
        </is>
      </c>
      <c r="C20" s="127" t="inlineStr">
        <is>
          <t>حصص محطات المملكة وأين نقف.</t>
        </is>
      </c>
      <c r="D20" s="124" t="n"/>
    </row>
    <row r="21" ht="15" customHeight="1" s="122">
      <c r="A21" s="124" t="n"/>
      <c r="B21" s="132" t="inlineStr">
        <is>
          <t>قائم</t>
        </is>
      </c>
      <c r="C21" s="127" t="inlineStr">
        <is>
          <t>نبيع فيه فعلاً اليوم</t>
        </is>
      </c>
      <c r="D21" s="124" t="n"/>
    </row>
    <row r="22" ht="15" customHeight="1" s="122">
      <c r="A22" s="124" t="n"/>
      <c r="B22" s="133" t="inlineStr">
        <is>
          <t>ضعيف</t>
        </is>
      </c>
      <c r="C22" s="127" t="inlineStr">
        <is>
          <t>موجود بأداء دون المستوى أو بلا عقد</t>
        </is>
      </c>
      <c r="D22" s="124" t="n"/>
    </row>
    <row r="23" ht="15" customHeight="1" s="122">
      <c r="A23" s="124" t="n"/>
      <c r="B23" s="134" t="inlineStr">
        <is>
          <t>غائب</t>
        </is>
      </c>
      <c r="C23" s="127" t="inlineStr">
        <is>
          <t>لا نبيع فيه إطلاقاً — أو المنافس يحتكره</t>
        </is>
      </c>
      <c r="D23" s="124" t="n"/>
    </row>
    <row r="24" ht="15" customHeight="1" s="122">
      <c r="A24" s="124" t="n"/>
      <c r="B24" s="135" t="inlineStr">
        <is>
          <t>حاسمة</t>
        </is>
      </c>
      <c r="C24" s="127" t="inlineStr">
        <is>
          <t>القناة التي يُحسم فيها المنفذ</t>
        </is>
      </c>
      <c r="D24" s="124" t="n"/>
    </row>
    <row r="25" ht="15" customHeight="1" s="122">
      <c r="A25" s="124" t="n"/>
      <c r="B25" s="136" t="inlineStr">
        <is>
          <t>لا ينطبق</t>
        </is>
      </c>
      <c r="C25" s="137" t="inlineStr">
        <is>
          <t>المنفذ لا يُباع عبر هذه القناة أصلاً</t>
        </is>
      </c>
      <c r="D25" s="124" t="n"/>
    </row>
    <row r="26">
      <c r="A26" s="124" t="n"/>
      <c r="B26" s="124" t="n"/>
      <c r="C26" s="124" t="n"/>
      <c r="D26" s="124" t="n"/>
    </row>
    <row r="27" ht="45.75" customHeight="1" s="122">
      <c r="A27" s="124" t="n"/>
      <c r="B27" s="126" t="inlineStr">
        <is>
          <t>فترة البيانات</t>
        </is>
      </c>
      <c r="C27" s="127" t="inlineStr">
        <is>
          <t>1 يناير – 30 يونيو 2026 · 12 رجب 1447 – 15 محرّم 1448 · 181 يوماً (شاملة رمضان والحج 1447). الأرقام السنوية إسقاط لا واقع مُحقَّق — وهي حدّ أعلى لأن النصف الأول يحتوي موسمَي الذروة.</t>
        </is>
      </c>
      <c r="D27" s="124" t="n"/>
    </row>
    <row r="28" ht="31.5" customHeight="1" s="122">
      <c r="A28" s="124" t="n"/>
      <c r="B28" s="126" t="inlineStr">
        <is>
          <t>المصدر</t>
        </is>
      </c>
      <c r="C28" s="127" t="inlineStr">
        <is>
          <t>ملفات الشركة: analytics.csv · stations.csv · leasing-own.csv · leasing-franchise.csv. أرقام المنافسين من مصادر معلنة موثّقة في ورقة «المنافسون».</t>
        </is>
      </c>
      <c r="D28" s="124" t="n"/>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17"/>
  <sheetViews>
    <sheetView showFormulas="0" showGridLines="0" showRowColHeaders="1" showZeros="1" rightToLeft="1"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5" customWidth="1" style="121" min="1" max="1"/>
    <col width="26" customWidth="1" style="121" min="2" max="2"/>
    <col width="11" customWidth="1" style="121" min="3" max="5"/>
    <col width="15" customWidth="1" style="121" min="6" max="6"/>
    <col width="24" customWidth="1" style="121" min="7" max="7"/>
    <col width="30" customWidth="1" style="121" min="8" max="8"/>
    <col width="32" customWidth="1" style="121" min="9" max="9"/>
    <col width="26" customWidth="1" style="121" min="10" max="10"/>
    <col width="16" customWidth="1" style="121" min="11" max="11"/>
    <col width="8" customWidth="1" style="121" min="12" max="12"/>
  </cols>
  <sheetData>
    <row r="1" ht="25.5" customHeight="1" s="122">
      <c r="A1" s="123" t="inlineStr">
        <is>
          <t>منافذ البيع في الشركة</t>
        </is>
      </c>
      <c r="B1" s="124" t="n"/>
      <c r="C1" s="124" t="n"/>
      <c r="D1" s="124" t="n"/>
      <c r="E1" s="124" t="n"/>
      <c r="F1" s="124" t="n"/>
      <c r="G1" s="124" t="n"/>
      <c r="H1" s="124" t="n"/>
      <c r="I1" s="124" t="n"/>
      <c r="J1" s="124" t="n"/>
      <c r="K1" s="124" t="n"/>
      <c r="L1" s="124" t="n"/>
    </row>
    <row r="2" ht="18" customHeight="1" s="122">
      <c r="A2" s="125" t="inlineStr">
        <is>
          <t>كل منفذ × ثلاث قنوات × المنافس المسيطر — مصفوفة مرجعية</t>
        </is>
      </c>
      <c r="B2" s="124" t="n"/>
      <c r="C2" s="124" t="n"/>
      <c r="D2" s="124" t="n"/>
      <c r="E2" s="124" t="n"/>
      <c r="F2" s="124" t="n"/>
      <c r="G2" s="124" t="n"/>
      <c r="H2" s="124" t="n"/>
      <c r="I2" s="124" t="n"/>
      <c r="J2" s="124" t="n"/>
      <c r="K2" s="124" t="n"/>
      <c r="L2" s="124" t="n"/>
    </row>
    <row r="3" ht="31.5" customHeight="1" s="122">
      <c r="A3" s="138" t="inlineStr">
        <is>
          <t>#</t>
        </is>
      </c>
      <c r="B3" s="138" t="inlineStr">
        <is>
          <t>منفذ البيع</t>
        </is>
      </c>
      <c r="C3" s="138" t="inlineStr">
        <is>
          <t>تجزئة</t>
        </is>
      </c>
      <c r="D3" s="138" t="inlineStr">
        <is>
          <t>شركات</t>
        </is>
      </c>
      <c r="E3" s="138" t="inlineStr">
        <is>
          <t>وسطاء</t>
        </is>
      </c>
      <c r="F3" s="138" t="inlineStr">
        <is>
          <t>القناة الحاسمة</t>
        </is>
      </c>
      <c r="G3" s="138" t="inlineStr">
        <is>
          <t>المنافس المسيطر</t>
        </is>
      </c>
      <c r="H3" s="138" t="inlineStr">
        <is>
          <t>حجم المنافس</t>
        </is>
      </c>
      <c r="I3" s="138" t="inlineStr">
        <is>
          <t>وضعنا اليوم</t>
        </is>
      </c>
      <c r="J3" s="138" t="inlineStr">
        <is>
          <t>الفجوة</t>
        </is>
      </c>
      <c r="K3" s="138" t="inlineStr">
        <is>
          <t>الإدارة المالكة</t>
        </is>
      </c>
      <c r="L3" s="138" t="inlineStr">
        <is>
          <t>الأولوية</t>
        </is>
      </c>
    </row>
    <row r="4" ht="33.75" customHeight="1" s="122">
      <c r="A4" s="139" t="n">
        <v>1</v>
      </c>
      <c r="B4" s="140" t="inlineStr">
        <is>
          <t>الوقود</t>
        </is>
      </c>
      <c r="C4" s="141" t="inlineStr">
        <is>
          <t>قائم</t>
        </is>
      </c>
      <c r="D4" s="142" t="inlineStr">
        <is>
          <t>ضعيف</t>
        </is>
      </c>
      <c r="E4" s="143" t="inlineStr">
        <is>
          <t>غائب</t>
        </is>
      </c>
      <c r="F4" s="144" t="inlineStr">
        <is>
          <t>تجزئة</t>
        </is>
      </c>
      <c r="G4" s="139" t="inlineStr">
        <is>
          <t>الدريس</t>
        </is>
      </c>
      <c r="H4" s="139" t="inlineStr">
        <is>
          <t>1,383 محطة · 18.95% حصة (الربع الثاني 2026)</t>
        </is>
      </c>
      <c r="I4" s="139" t="inlineStr">
        <is>
          <t>~126 محطة تحت الهوية · فاتورة 56.9 ر</t>
        </is>
      </c>
      <c r="J4" s="139" t="inlineStr">
        <is>
          <t>حجم أساطيل قائم بلا عقد</t>
        </is>
      </c>
      <c r="K4" s="139" t="inlineStr">
        <is>
          <t>مبيعات الوقود</t>
        </is>
      </c>
      <c r="L4" s="144" t="n"/>
    </row>
    <row r="5" ht="33.75" customHeight="1" s="122">
      <c r="A5" s="139" t="n">
        <v>2</v>
      </c>
      <c r="B5" s="140" t="inlineStr">
        <is>
          <t>العقار والتأجير</t>
        </is>
      </c>
      <c r="C5" s="145" t="inlineStr">
        <is>
          <t>لا ينطبق</t>
        </is>
      </c>
      <c r="D5" s="141" t="inlineStr">
        <is>
          <t>قائم</t>
        </is>
      </c>
      <c r="E5" s="146" t="inlineStr">
        <is>
          <t>حاسمة</t>
        </is>
      </c>
      <c r="F5" s="144" t="inlineStr">
        <is>
          <t>وسطاء</t>
        </is>
      </c>
      <c r="G5" s="139" t="inlineStr">
        <is>
          <t>لا مسيطر</t>
        </is>
      </c>
      <c r="H5" s="139" t="inlineStr">
        <is>
          <t>سوق مجزّأ — لا سلسلة مهيمنة · 190 علامة في محفظتنا</t>
        </is>
      </c>
      <c r="I5" s="139" t="inlineStr">
        <is>
          <t>إشغال 25% · 96 وحدة شاغرة · 20 محطة مفتوحة بلا نشاط</t>
        </is>
      </c>
      <c r="J5" s="139" t="inlineStr">
        <is>
          <t>96 وحدة شاغرة + 52 محطة تحت الإنشاء</t>
        </is>
      </c>
      <c r="K5" s="139" t="inlineStr">
        <is>
          <t>التأجير</t>
        </is>
      </c>
      <c r="L5" s="144" t="n">
        <v>1</v>
      </c>
    </row>
    <row r="6" ht="33.75" customHeight="1" s="122">
      <c r="A6" s="139" t="n">
        <v>3</v>
      </c>
      <c r="B6" s="140" t="inlineStr">
        <is>
          <t>خدمات السيارات</t>
        </is>
      </c>
      <c r="C6" s="141" t="inlineStr">
        <is>
          <t>قائم</t>
        </is>
      </c>
      <c r="D6" s="143" t="inlineStr">
        <is>
          <t>غائب</t>
        </is>
      </c>
      <c r="E6" s="143" t="inlineStr">
        <is>
          <t>غائب</t>
        </is>
      </c>
      <c r="F6" s="144" t="inlineStr">
        <is>
          <t>شركات</t>
        </is>
      </c>
      <c r="G6" s="139" t="inlineStr">
        <is>
          <t>بترومين إكسبرس</t>
        </is>
      </c>
      <c r="H6" s="139" t="inlineStr">
        <is>
          <t>650–700 فرع</t>
        </is>
      </c>
      <c r="I6" s="139" t="inlineStr">
        <is>
          <t>39 محطة — بعلامة الشريك لا بعلامتنا</t>
        </is>
      </c>
      <c r="J6" s="139" t="inlineStr">
        <is>
          <t>85 محطة مملوكة بلا خدمة</t>
        </is>
      </c>
      <c r="K6" s="139" t="inlineStr">
        <is>
          <t>الشراكات</t>
        </is>
      </c>
      <c r="L6" s="144" t="n">
        <v>4</v>
      </c>
    </row>
    <row r="7" ht="33.75" customHeight="1" s="122">
      <c r="A7" s="139" t="n">
        <v>4</v>
      </c>
      <c r="B7" s="140" t="inlineStr">
        <is>
          <t>الإكسسوارات والزينة</t>
        </is>
      </c>
      <c r="C7" s="143" t="inlineStr">
        <is>
          <t>غائب</t>
        </is>
      </c>
      <c r="D7" s="143" t="inlineStr">
        <is>
          <t>غائب</t>
        </is>
      </c>
      <c r="E7" s="145" t="inlineStr">
        <is>
          <t>لا ينطبق</t>
        </is>
      </c>
      <c r="F7" s="144" t="inlineStr">
        <is>
          <t>تجزئة</t>
        </is>
      </c>
      <c r="G7" s="139" t="inlineStr">
        <is>
          <t>لا مسيطر</t>
        </is>
      </c>
      <c r="H7" s="139" t="inlineStr">
        <is>
          <t>مجزّأ — متاجر إلكترونية وأسواق تقليدية</t>
        </is>
      </c>
      <c r="I7" s="139" t="inlineStr">
        <is>
          <t>صفر</t>
        </is>
      </c>
      <c r="J7" s="139" t="inlineStr">
        <is>
          <t>المنفذ كامل غير مُفعّل</t>
        </is>
      </c>
      <c r="K7" s="139" t="inlineStr">
        <is>
          <t>التأجير</t>
        </is>
      </c>
      <c r="L7" s="144" t="n"/>
    </row>
    <row r="8" ht="33.75" customHeight="1" s="122">
      <c r="A8" s="139" t="n">
        <v>5</v>
      </c>
      <c r="B8" s="140" t="inlineStr">
        <is>
          <t>التطبيق والولاء — أفراد</t>
        </is>
      </c>
      <c r="C8" s="142" t="inlineStr">
        <is>
          <t>ضعيف</t>
        </is>
      </c>
      <c r="D8" s="145" t="inlineStr">
        <is>
          <t>لا ينطبق</t>
        </is>
      </c>
      <c r="E8" s="146" t="inlineStr">
        <is>
          <t>حاسمة</t>
        </is>
      </c>
      <c r="F8" s="144" t="inlineStr">
        <is>
          <t>وسطاء</t>
        </is>
      </c>
      <c r="G8" s="139" t="inlineStr">
        <is>
          <t>النقد (البديل) · ساسكو وقوستيشن (تطبيقات أفراد)</t>
        </is>
      </c>
      <c r="H8" s="139" t="inlineStr">
        <is>
          <t>62.6% نقداً · ساسكو ~683 محطة · قوستيشن 12 محطة</t>
        </is>
      </c>
      <c r="I8" s="139" t="inlineStr">
        <is>
          <t>0.28% حصة التطبيق · 43 محطة بصفر</t>
        </is>
      </c>
      <c r="J8" s="139" t="inlineStr">
        <is>
          <t>لا نعرف من اشترى</t>
        </is>
      </c>
      <c r="K8" s="139" t="inlineStr">
        <is>
          <t>التسويق</t>
        </is>
      </c>
      <c r="L8" s="144" t="n">
        <v>6</v>
      </c>
    </row>
    <row r="9" ht="33.75" customHeight="1" s="122">
      <c r="A9" s="139" t="n">
        <v>6</v>
      </c>
      <c r="B9" s="140" t="inlineStr">
        <is>
          <t>منصات إنفاق الأساطيل — شركات</t>
        </is>
      </c>
      <c r="C9" s="145" t="inlineStr">
        <is>
          <t>لا ينطبق</t>
        </is>
      </c>
      <c r="D9" s="143" t="inlineStr">
        <is>
          <t>غائب</t>
        </is>
      </c>
      <c r="E9" s="143" t="inlineStr">
        <is>
          <t>غائب</t>
        </is>
      </c>
      <c r="F9" s="144" t="inlineStr">
        <is>
          <t>وسطاء</t>
        </is>
      </c>
      <c r="G9" s="139" t="inlineStr">
        <is>
          <t>بترو آب · سيارة آب · Fleet Plus · واعي وكنترول (بطاقات)</t>
        </is>
      </c>
      <c r="H9" s="139" t="inlineStr">
        <is>
          <t>بترو آب: 500 ألف مركبة · 10 آلاف منشأة · 5,000 محطة قبول</t>
        </is>
      </c>
      <c r="I9" s="139" t="inlineStr">
        <is>
          <t>خارج الشبكة</t>
        </is>
      </c>
      <c r="J9" s="139" t="inlineStr">
        <is>
          <t>وسيط يفصلنا عن العميل</t>
        </is>
      </c>
      <c r="K9" s="139" t="inlineStr">
        <is>
          <t>الشراكات</t>
        </is>
      </c>
      <c r="L9" s="144" t="n">
        <v>3</v>
      </c>
    </row>
    <row r="10" ht="33.75" customHeight="1" s="122">
      <c r="A10" s="139" t="n">
        <v>7</v>
      </c>
      <c r="B10" s="140" t="inlineStr">
        <is>
          <t>المساحات الإعلانية</t>
        </is>
      </c>
      <c r="C10" s="145" t="inlineStr">
        <is>
          <t>لا ينطبق</t>
        </is>
      </c>
      <c r="D10" s="143" t="inlineStr">
        <is>
          <t>غائب</t>
        </is>
      </c>
      <c r="E10" s="143" t="inlineStr">
        <is>
          <t>غائب</t>
        </is>
      </c>
      <c r="F10" s="144" t="inlineStr">
        <is>
          <t>شركات + وسطاء</t>
        </is>
      </c>
      <c r="G10" s="139" t="inlineStr">
        <is>
          <t>العربية للإعلان الخارجي</t>
        </is>
      </c>
      <c r="H10" s="139" t="inlineStr">
        <is>
          <t>62–66% حصة · 4,942 لوحة</t>
        </is>
      </c>
      <c r="I10" s="139" t="inlineStr">
        <is>
          <t>صفر إيراد موثّق</t>
        </is>
      </c>
      <c r="J10" s="139" t="inlineStr">
        <is>
          <t>355 موقعاً بلا إيراد إعلاني</t>
        </is>
      </c>
      <c r="K10" s="139" t="inlineStr">
        <is>
          <t>التسويق</t>
        </is>
      </c>
      <c r="L10" s="144" t="n">
        <v>2</v>
      </c>
    </row>
    <row r="11" ht="33.75" customHeight="1" s="122">
      <c r="A11" s="139" t="n">
        <v>8</v>
      </c>
      <c r="B11" s="140" t="inlineStr">
        <is>
          <t>الامتياز والتوريد</t>
        </is>
      </c>
      <c r="C11" s="145" t="inlineStr">
        <is>
          <t>لا ينطبق</t>
        </is>
      </c>
      <c r="D11" s="142" t="inlineStr">
        <is>
          <t>ضعيف</t>
        </is>
      </c>
      <c r="E11" s="145" t="inlineStr">
        <is>
          <t>لا ينطبق</t>
        </is>
      </c>
      <c r="F11" s="144" t="inlineStr">
        <is>
          <t>شركات</t>
        </is>
      </c>
      <c r="G11" s="139" t="inlineStr">
        <is>
          <t>الدريس</t>
        </is>
      </c>
      <c r="H11" s="139" t="inlineStr">
        <is>
          <t>الأسرع في ضمّ المحطات المستقلة</t>
        </is>
      </c>
      <c r="I11" s="139" t="inlineStr">
        <is>
          <t>231 محطة في المنظومة · 31 مكتملة الهوية</t>
        </is>
      </c>
      <c r="J11" s="139" t="inlineStr">
        <is>
          <t>200 محطة علامتها غير مُسلَّمة</t>
        </is>
      </c>
      <c r="K11" s="139" t="inlineStr">
        <is>
          <t>الشراكات</t>
        </is>
      </c>
      <c r="L11" s="144" t="n">
        <v>5</v>
      </c>
    </row>
    <row r="12" ht="15" customHeight="1" s="122">
      <c r="A12" s="124" t="n"/>
      <c r="B12" s="147" t="inlineStr">
        <is>
          <t>الإجمالي</t>
        </is>
      </c>
      <c r="C12" s="144">
        <f>COUNTIF(C4:C11,"قائم")&amp;" قائم / "&amp;COUNTIF(C4:C11,"غائب")&amp;" غائب"</f>
        <v/>
      </c>
      <c r="D12" s="144">
        <f>COUNTIF(D4:D11,"قائم")&amp;" قائم / "&amp;COUNTIF(D4:D11,"غائب")&amp;" غائب"</f>
        <v/>
      </c>
      <c r="E12" s="144">
        <f>COUNTIF(E4:E11,"قائم")&amp;" قائم / "&amp;COUNTIF(E4:E11,"غائب")&amp;" غائب"</f>
        <v/>
      </c>
      <c r="F12" s="124" t="n"/>
      <c r="G12" s="124" t="n"/>
      <c r="H12" s="124" t="n"/>
      <c r="I12" s="124" t="n"/>
      <c r="J12" s="124" t="n"/>
      <c r="K12" s="124" t="n"/>
      <c r="L12" s="124" t="n"/>
    </row>
    <row r="13">
      <c r="A13" s="124" t="n"/>
      <c r="B13" s="124" t="n"/>
      <c r="C13" s="124" t="n"/>
      <c r="D13" s="124" t="n"/>
      <c r="E13" s="124" t="n"/>
      <c r="F13" s="124" t="n"/>
      <c r="G13" s="124" t="n"/>
      <c r="H13" s="124" t="n"/>
      <c r="I13" s="124" t="n"/>
      <c r="J13" s="124" t="n"/>
      <c r="K13" s="124" t="n"/>
      <c r="L13" s="124" t="n"/>
    </row>
    <row r="14" ht="15" customHeight="1" s="122">
      <c r="A14" s="124" t="n"/>
      <c r="B14" s="148" t="inlineStr">
        <is>
          <t>القراءة</t>
        </is>
      </c>
      <c r="C14" s="124" t="n"/>
      <c r="D14" s="124" t="n"/>
      <c r="E14" s="124" t="n"/>
      <c r="F14" s="124" t="n"/>
      <c r="G14" s="124" t="n"/>
      <c r="H14" s="124" t="n"/>
      <c r="I14" s="124" t="n"/>
      <c r="J14" s="124" t="n"/>
      <c r="K14" s="124" t="n"/>
      <c r="L14" s="124" t="n"/>
    </row>
    <row r="15" ht="15.75" customHeight="1" s="122">
      <c r="A15" s="124" t="n"/>
      <c r="B15" s="124" t="n"/>
      <c r="C15" s="149" t="inlineStr">
        <is>
          <t>•  عمود «شركات» شبه فارغ — وهو موضع الفجوة الأكبر</t>
        </is>
      </c>
      <c r="D15" s="124" t="n"/>
      <c r="E15" s="124" t="n"/>
      <c r="F15" s="124" t="n"/>
      <c r="G15" s="124" t="n"/>
      <c r="H15" s="124" t="n"/>
      <c r="I15" s="124" t="n"/>
      <c r="J15" s="124" t="n"/>
      <c r="K15" s="124" t="n"/>
      <c r="L15" s="124" t="n"/>
    </row>
    <row r="16" ht="15.75" customHeight="1" s="122">
      <c r="A16" s="124" t="n"/>
      <c r="B16" s="124" t="n"/>
      <c r="C16" s="149" t="inlineStr">
        <is>
          <t>•  ثلاث قنوات وسطاء حاسمة ونحن غائبون عنها</t>
        </is>
      </c>
      <c r="D16" s="124" t="n"/>
      <c r="E16" s="124" t="n"/>
      <c r="F16" s="124" t="n"/>
      <c r="G16" s="124" t="n"/>
      <c r="H16" s="124" t="n"/>
      <c r="I16" s="124" t="n"/>
      <c r="J16" s="124" t="n"/>
      <c r="K16" s="124" t="n"/>
      <c r="L16" s="124" t="n"/>
    </row>
    <row r="17" ht="15.75" customHeight="1" s="122">
      <c r="A17" s="124" t="n"/>
      <c r="B17" s="124" t="n"/>
      <c r="C17" s="149" t="inlineStr">
        <is>
          <t>•  أضعف منافذنا أقلّها منافسة: التأجير والإعلان والإكسسوارات</t>
        </is>
      </c>
      <c r="D17" s="124" t="n"/>
      <c r="E17" s="124" t="n"/>
      <c r="F17" s="124" t="n"/>
      <c r="G17" s="124" t="n"/>
      <c r="H17" s="124" t="n"/>
      <c r="I17" s="124" t="n"/>
      <c r="J17" s="124" t="n"/>
      <c r="K17" s="124" t="n"/>
      <c r="L17" s="124" t="n"/>
    </row>
  </sheetData>
  <mergeCells count="5">
    <mergeCell ref="A2:L2"/>
    <mergeCell ref="C17:J17"/>
    <mergeCell ref="C15:J15"/>
    <mergeCell ref="A1:L1"/>
    <mergeCell ref="C16:J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9"/>
  <sheetViews>
    <sheetView showFormulas="0" showGridLines="0" showRowColHeaders="1" showZeros="1" rightToLeft="1"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5" customWidth="1" style="121" min="1" max="1"/>
    <col width="20" customWidth="1" style="121" min="2" max="2"/>
    <col width="14" customWidth="1" style="121" min="3" max="3"/>
    <col width="30" customWidth="1" style="121" min="4" max="4"/>
    <col width="26" customWidth="1" style="121" min="5" max="5"/>
    <col width="30" customWidth="1" style="121" min="6" max="6"/>
    <col width="18" customWidth="1" style="121" min="7" max="7"/>
  </cols>
  <sheetData>
    <row r="1" ht="25.5" customHeight="1" s="122">
      <c r="A1" s="123" t="inlineStr">
        <is>
          <t>المنافسون</t>
        </is>
      </c>
      <c r="B1" s="124" t="n"/>
      <c r="C1" s="124" t="n"/>
      <c r="D1" s="124" t="n"/>
      <c r="E1" s="124" t="n"/>
      <c r="F1" s="124" t="n"/>
      <c r="G1" s="124" t="n"/>
      <c r="H1" s="124" t="n"/>
    </row>
    <row r="2" ht="18" customHeight="1" s="122">
      <c r="A2" s="125" t="inlineStr">
        <is>
          <t>من يسيطر على كل منفذ · وردّنا</t>
        </is>
      </c>
      <c r="B2" s="124" t="n"/>
      <c r="C2" s="124" t="n"/>
      <c r="D2" s="124" t="n"/>
      <c r="E2" s="124" t="n"/>
      <c r="F2" s="124" t="n"/>
      <c r="G2" s="124" t="n"/>
      <c r="H2" s="124" t="n"/>
    </row>
    <row r="3" ht="31.5" customHeight="1" s="122">
      <c r="A3" s="138" t="inlineStr">
        <is>
          <t>#</t>
        </is>
      </c>
      <c r="B3" s="138" t="inlineStr">
        <is>
          <t>المنافس</t>
        </is>
      </c>
      <c r="C3" s="138" t="inlineStr">
        <is>
          <t>النوع</t>
        </is>
      </c>
      <c r="D3" s="138" t="inlineStr">
        <is>
          <t>الحجم</t>
        </is>
      </c>
      <c r="E3" s="138" t="inlineStr">
        <is>
          <t>يسيطر على</t>
        </is>
      </c>
      <c r="F3" s="138" t="inlineStr">
        <is>
          <t>الردّ المقترح</t>
        </is>
      </c>
      <c r="G3" s="138" t="inlineStr">
        <is>
          <t>المصدر</t>
        </is>
      </c>
      <c r="H3" s="124" t="n"/>
    </row>
    <row r="4" ht="51.75" customHeight="1" s="122">
      <c r="A4" s="144" t="n">
        <v>1</v>
      </c>
      <c r="B4" s="140" t="inlineStr">
        <is>
          <t>الدريس</t>
        </is>
      </c>
      <c r="C4" s="144" t="inlineStr">
        <is>
          <t>مشغّل محطات</t>
        </is>
      </c>
      <c r="D4" s="139" t="inlineStr">
        <is>
          <t>1,383 محطة · 18.95% (Q2 2026) · +83 محطة في النصف الأول · ربح صافٍ 421.8 مليون ريال 2025</t>
        </is>
      </c>
      <c r="E4" s="139" t="inlineStr">
        <is>
          <t>الوقود · الامتياز · الديزل بالجملة · بطاقة واعي</t>
        </is>
      </c>
      <c r="F4" s="139" t="inlineStr">
        <is>
          <t>المنافسة على الربح لكل زيارة لا على اللتر · والاستحواذ على المنافذ غير الوقودية</t>
        </is>
      </c>
      <c r="G4" s="139" t="inlineStr">
        <is>
          <t>أرقام — حصص Q2 2026</t>
        </is>
      </c>
      <c r="H4" s="124" t="n"/>
    </row>
    <row r="5" ht="51.75" customHeight="1" s="122">
      <c r="A5" s="144" t="n">
        <v>2</v>
      </c>
      <c r="B5" s="140" t="inlineStr">
        <is>
          <t>بترو آب</t>
        </is>
      </c>
      <c r="C5" s="144" t="inlineStr">
        <is>
          <t>منصة وساطة</t>
        </is>
      </c>
      <c r="D5" s="139" t="inlineStr">
        <is>
          <t>500,000+ مركبة · 10,000 عميل شركة · 5,000 محطة قبول · تمويل 50 مليون دولار</t>
        </is>
      </c>
      <c r="E5" s="139" t="inlineStr">
        <is>
          <t>منصات إنفاق الأساطيل · خدمات السيارات · الإطارات والبطاريات</t>
        </is>
      </c>
      <c r="F5" s="139" t="inlineStr">
        <is>
          <t>المساران معاً: تعاقد مباشر لمن نصله بمندوب · والتقاط الباقي بعمولة</t>
        </is>
      </c>
      <c r="G5" s="139" t="inlineStr">
        <is>
          <t>fintechfutures · petroapp.com</t>
        </is>
      </c>
      <c r="H5" s="124" t="n"/>
    </row>
    <row r="6" ht="51.75" customHeight="1" s="122">
      <c r="A6" s="144" t="n">
        <v>3</v>
      </c>
      <c r="B6" s="140" t="inlineStr">
        <is>
          <t>ساسكو</t>
        </is>
      </c>
      <c r="C6" s="144" t="inlineStr">
        <is>
          <t>مشغّل محطات</t>
        </is>
      </c>
      <c r="D6" s="139" t="inlineStr">
        <is>
          <t>~683 محطة (Q1 2026) · الشبكة = ساسكو + نفط منذ 2022 (80% بـ1.1 مليار ريال · 233 موقعاً)</t>
        </is>
      </c>
      <c r="E6" s="139" t="inlineStr">
        <is>
          <t>الوقود · بطاقة كنترول · تطبيق الأفراد · الامتياز</t>
        </is>
      </c>
      <c r="F6" s="139" t="inlineStr">
        <is>
          <t>ربط التطبيق بالمستأجرين · وصفقة نفط تسعّر ضمّ الشبكة بنحو 4.7 مليون ريال للموقع</t>
        </is>
      </c>
      <c r="G6" s="139" t="inlineStr">
        <is>
          <t>sasco.com.sa · أرقام</t>
        </is>
      </c>
      <c r="H6" s="124" t="n"/>
    </row>
    <row r="7" ht="51.75" customHeight="1" s="122">
      <c r="A7" s="144" t="n">
        <v>4</v>
      </c>
      <c r="B7" s="140" t="inlineStr">
        <is>
          <t>العربية للإعلان الخارجي</t>
        </is>
      </c>
      <c r="C7" s="144" t="inlineStr">
        <is>
          <t>وكالة إعلان</t>
        </is>
      </c>
      <c r="D7" s="139" t="inlineStr">
        <is>
          <t>62–66% حصة السوق · 4,942 لوحة</t>
        </is>
      </c>
      <c r="E7" s="139" t="inlineStr">
        <is>
          <t>المساحات الإعلانية</t>
        </is>
      </c>
      <c r="F7" s="139" t="inlineStr">
        <is>
          <t>علاقات المعلنين الوطنيين وحصرية المواقع</t>
        </is>
      </c>
      <c r="G7" s="139" t="inlineStr">
        <is>
          <t>تأجير الشبكة للوطني عبر وكالة بحد أدنى مضمون · وبيع مباشر للمعلن المحلي</t>
        </is>
      </c>
      <c r="H7" s="139" t="inlineStr">
        <is>
          <t>تحليل داخلي</t>
        </is>
      </c>
    </row>
    <row r="8" ht="51.75" customHeight="1" s="122">
      <c r="A8" s="144" t="n">
        <v>5</v>
      </c>
      <c r="B8" s="140" t="inlineStr">
        <is>
          <t>سيارة آب</t>
        </is>
      </c>
      <c r="C8" s="144" t="inlineStr">
        <is>
          <t>منصة وساطة + شبكة</t>
        </is>
      </c>
      <c r="D8" s="139" t="inlineStr">
        <is>
          <t>2,500+ محطة قبول · استُحوذ عليها في يوليو 2026 من مجموعة تشغّل 1,790+ محطة</t>
        </is>
      </c>
      <c r="E8" s="139" t="inlineStr">
        <is>
          <t>منصات إنفاق الأساطيل · الوقود</t>
        </is>
      </c>
      <c r="F8" s="139" t="inlineStr">
        <is>
          <t>متابعة عاجلة — قد تغيّر ترتيب السوق · والجهة المستحوذة غير معلنة</t>
        </is>
      </c>
      <c r="G8" s="139" t="inlineStr">
        <is>
          <t>dealroom.co — يوليو 2026</t>
        </is>
      </c>
      <c r="H8" s="124" t="n"/>
    </row>
    <row r="9" ht="51.75" customHeight="1" s="122">
      <c r="A9" s="144" t="n">
        <v>6</v>
      </c>
      <c r="B9" s="140" t="inlineStr">
        <is>
          <t>Fleet Plus</t>
        </is>
      </c>
      <c r="C9" s="144" t="inlineStr">
        <is>
          <t>منصة وساطة</t>
        </is>
      </c>
      <c r="D9" s="139" t="inlineStr">
        <is>
          <t>5,000+ مزوّد خدمة</t>
        </is>
      </c>
      <c r="E9" s="139" t="inlineStr">
        <is>
          <t>منصات إنفاق الأساطيل · خدمات السيارات</t>
        </is>
      </c>
      <c r="F9" s="139" t="inlineStr">
        <is>
          <t>حزمة موحّدة بفوترة واحدة ومسارات اعتماد للمنشأة</t>
        </is>
      </c>
      <c r="G9" s="139" t="inlineStr">
        <is>
          <t>معيار القرار نفسه: عمولة المنصة مقابل تكلفة البيع المباشر لكل لتر</t>
        </is>
      </c>
      <c r="H9" s="139" t="inlineStr">
        <is>
          <t>تحليل داخلي</t>
        </is>
      </c>
    </row>
  </sheetData>
  <mergeCells count="2">
    <mergeCell ref="A2:G2"/>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25"/>
  <sheetViews>
    <sheetView showFormulas="0" showGridLines="0" showRowColHeaders="1" showZeros="1" rightToLeft="1"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5" customWidth="1" style="121" min="1" max="1"/>
    <col width="22" customWidth="1" style="121" min="2" max="2"/>
    <col width="14" customWidth="1" style="121" min="3" max="6"/>
    <col width="13" customWidth="1" style="121" min="7" max="7"/>
    <col width="14" customWidth="1" style="121" min="8" max="8"/>
    <col width="30" customWidth="1" style="121" min="9" max="9"/>
  </cols>
  <sheetData>
    <row r="1" ht="25.5" customHeight="1" s="122">
      <c r="A1" s="123" t="inlineStr">
        <is>
          <t>حصص سوق محطات الوقود</t>
        </is>
      </c>
      <c r="B1" s="124" t="n"/>
      <c r="C1" s="124" t="n"/>
      <c r="D1" s="124" t="n"/>
      <c r="E1" s="124" t="n"/>
      <c r="F1" s="124" t="n"/>
      <c r="G1" s="124" t="n"/>
      <c r="H1" s="124" t="n"/>
      <c r="I1" s="124" t="n"/>
    </row>
    <row r="2" ht="18" customHeight="1" s="122">
      <c r="A2" s="125" t="inlineStr">
        <is>
          <t>الربع الثاني 2026 · إجمالي السوق 7,300 محطة · المصدر: أرقام</t>
        </is>
      </c>
      <c r="B2" s="124" t="n"/>
      <c r="C2" s="124" t="n"/>
      <c r="D2" s="124" t="n"/>
      <c r="E2" s="124" t="n"/>
      <c r="F2" s="124" t="n"/>
      <c r="G2" s="124" t="n"/>
      <c r="H2" s="124" t="n"/>
      <c r="I2" s="124" t="n"/>
    </row>
    <row r="3" ht="15" customHeight="1" s="122">
      <c r="A3" s="124" t="n"/>
      <c r="B3" s="126" t="inlineStr">
        <is>
          <t>إجمالي محطات المملكة</t>
        </is>
      </c>
      <c r="C3" s="150" t="n">
        <v>7300</v>
      </c>
      <c r="D3" s="151" t="inlineStr">
        <is>
          <t>Q2 2026</t>
        </is>
      </c>
      <c r="E3" s="152" t="n">
        <v>7600</v>
      </c>
      <c r="F3" s="151" t="inlineStr">
        <is>
          <t>Q4 2025</t>
        </is>
      </c>
      <c r="G3" s="124" t="n"/>
      <c r="H3" s="124" t="n"/>
      <c r="I3" s="124" t="n"/>
    </row>
    <row r="4" ht="31.5" customHeight="1" s="122">
      <c r="A4" s="138" t="inlineStr">
        <is>
          <t>#</t>
        </is>
      </c>
      <c r="B4" s="138" t="inlineStr">
        <is>
          <t>الشركة</t>
        </is>
      </c>
      <c r="C4" s="138" t="inlineStr">
        <is>
          <t>محطات Q4 2025</t>
        </is>
      </c>
      <c r="D4" s="138" t="inlineStr">
        <is>
          <t>حصة Q4 2025</t>
        </is>
      </c>
      <c r="E4" s="138" t="inlineStr">
        <is>
          <t>محطات Q2 2026</t>
        </is>
      </c>
      <c r="F4" s="138" t="inlineStr">
        <is>
          <t>حصة Q2 2026</t>
        </is>
      </c>
      <c r="G4" s="138" t="inlineStr">
        <is>
          <t>التغيّر</t>
        </is>
      </c>
      <c r="H4" s="138" t="inlineStr">
        <is>
          <t>حالة الرقم</t>
        </is>
      </c>
      <c r="I4" s="138" t="inlineStr">
        <is>
          <t>ملاحظة</t>
        </is>
      </c>
    </row>
    <row r="5" ht="24" customHeight="1" s="122">
      <c r="A5" s="144" t="n">
        <v>1</v>
      </c>
      <c r="B5" s="147" t="inlineStr">
        <is>
          <t>الدريس</t>
        </is>
      </c>
      <c r="C5" s="152" t="n">
        <v>1300</v>
      </c>
      <c r="D5" s="153">
        <f>IFERROR(C5/$E$3,"")</f>
        <v/>
      </c>
      <c r="E5" s="152" t="n">
        <v>1383</v>
      </c>
      <c r="F5" s="153">
        <f>IFERROR(E5/$C$3,"")</f>
        <v/>
      </c>
      <c r="G5" s="154">
        <f>IF(E5="","",E5-C5)</f>
        <v/>
      </c>
      <c r="H5" s="141" t="inlineStr">
        <is>
          <t>معلن</t>
        </is>
      </c>
      <c r="I5" s="139" t="inlineStr">
        <is>
          <t>أضافت 83 محطة في النصف الأول 2026</t>
        </is>
      </c>
    </row>
    <row r="6" ht="24" customHeight="1" s="122">
      <c r="A6" s="144" t="n">
        <v>2</v>
      </c>
      <c r="B6" s="147" t="inlineStr">
        <is>
          <t>ساسكو</t>
        </is>
      </c>
      <c r="C6" s="152" t="n">
        <v>653</v>
      </c>
      <c r="D6" s="153">
        <f>IFERROR(C6/$E$3,"")</f>
        <v/>
      </c>
      <c r="E6" s="152" t="n">
        <v>683</v>
      </c>
      <c r="F6" s="153">
        <f>IFERROR(E6/$C$3,"")</f>
        <v/>
      </c>
      <c r="G6" s="154">
        <f>IF(E6="","",E6-C6)</f>
        <v/>
      </c>
      <c r="H6" s="142" t="inlineStr">
        <is>
          <t>مُقدَّر</t>
        </is>
      </c>
      <c r="I6" s="139" t="inlineStr">
        <is>
          <t>+30 محطة في Q1 2026 · الشبكة تشمل نفط</t>
        </is>
      </c>
    </row>
    <row r="7" ht="24" customHeight="1" s="122">
      <c r="A7" s="144" t="n">
        <v>3</v>
      </c>
      <c r="B7" s="147" t="inlineStr">
        <is>
          <t>جي أويل</t>
        </is>
      </c>
      <c r="C7" s="152" t="n">
        <v>176</v>
      </c>
      <c r="D7" s="153">
        <f>IFERROR(C7/$E$3,"")</f>
        <v/>
      </c>
      <c r="E7" s="144" t="n"/>
      <c r="F7" s="153">
        <f>IFERROR(E7/$C$3,"")</f>
        <v/>
      </c>
      <c r="G7" s="154">
        <f>IF(E7="","",E7-C7)</f>
        <v/>
      </c>
      <c r="H7" s="145" t="inlineStr">
        <is>
          <t>غير معلن</t>
        </is>
      </c>
      <c r="I7" s="139" t="inlineStr">
        <is>
          <t>آخر رقم منشور Q4 2025</t>
        </is>
      </c>
    </row>
    <row r="8" ht="24" customHeight="1" s="122">
      <c r="A8" s="144" t="n">
        <v>4</v>
      </c>
      <c r="B8" s="147" t="inlineStr">
        <is>
          <t>مزايا</t>
        </is>
      </c>
      <c r="C8" s="152" t="n">
        <v>173</v>
      </c>
      <c r="D8" s="153">
        <f>IFERROR(C8/$E$3,"")</f>
        <v/>
      </c>
      <c r="E8" s="144" t="n"/>
      <c r="F8" s="153">
        <f>IFERROR(E8/$C$3,"")</f>
        <v/>
      </c>
      <c r="G8" s="154">
        <f>IF(E8="","",E8-C8)</f>
        <v/>
      </c>
      <c r="H8" s="145" t="inlineStr">
        <is>
          <t>غير معلن</t>
        </is>
      </c>
      <c r="I8" s="139" t="inlineStr">
        <is>
          <t>آخر رقم منشور Q4 2025</t>
        </is>
      </c>
    </row>
    <row r="9" ht="24" customHeight="1" s="122">
      <c r="A9" s="144" t="n">
        <v>5</v>
      </c>
      <c r="B9" s="147" t="inlineStr">
        <is>
          <t>أرامكو</t>
        </is>
      </c>
      <c r="C9" s="152" t="n">
        <v>154</v>
      </c>
      <c r="D9" s="153">
        <f>IFERROR(C9/$E$3,"")</f>
        <v/>
      </c>
      <c r="E9" s="144" t="n"/>
      <c r="F9" s="153">
        <f>IFERROR(E9/$C$3,"")</f>
        <v/>
      </c>
      <c r="G9" s="154">
        <f>IF(E9="","",E9-C9)</f>
        <v/>
      </c>
      <c r="H9" s="145" t="inlineStr">
        <is>
          <t>غير معلن</t>
        </is>
      </c>
      <c r="I9" s="139" t="inlineStr">
        <is>
          <t>عبر التسهيلات للتسويق</t>
        </is>
      </c>
    </row>
    <row r="10" ht="15" customHeight="1" s="122">
      <c r="A10" s="155" t="n"/>
      <c r="B10" s="156" t="inlineStr">
        <is>
          <t>مجموع الشركات الرئيسية</t>
        </is>
      </c>
      <c r="C10" s="157">
        <f>SUM(C5:C9)</f>
        <v/>
      </c>
      <c r="D10" s="158">
        <f>IFERROR(C10/$E$3,"")</f>
        <v/>
      </c>
      <c r="E10" s="155" t="n"/>
      <c r="F10" s="155" t="n"/>
      <c r="G10" s="155" t="n"/>
      <c r="H10" s="155" t="n"/>
      <c r="I10" s="156" t="n"/>
    </row>
    <row r="11" ht="15" customHeight="1" s="122">
      <c r="A11" s="144" t="n"/>
      <c r="B11" s="147" t="inlineStr">
        <is>
          <t>المستقلون والأفراد</t>
        </is>
      </c>
      <c r="C11" s="152">
        <f>$E$3-C10</f>
        <v/>
      </c>
      <c r="D11" s="153">
        <f>IFERROR(C11/$E$3,"")</f>
        <v/>
      </c>
      <c r="E11" s="144" t="n"/>
      <c r="F11" s="144" t="n"/>
      <c r="G11" s="144" t="n"/>
      <c r="H11" s="144" t="n"/>
      <c r="I11" s="139" t="inlineStr">
        <is>
          <t>سوق الامتياز القابل للضمّ</t>
        </is>
      </c>
    </row>
    <row r="12">
      <c r="A12" s="124" t="n"/>
      <c r="B12" s="124" t="n"/>
      <c r="C12" s="124" t="n"/>
      <c r="D12" s="124" t="n"/>
      <c r="E12" s="124" t="n"/>
      <c r="F12" s="124" t="n"/>
      <c r="G12" s="124" t="n"/>
      <c r="H12" s="124" t="n"/>
      <c r="I12" s="124" t="n"/>
    </row>
    <row r="13" ht="15" customHeight="1" s="122">
      <c r="A13" s="124" t="n"/>
      <c r="B13" s="159" t="inlineStr">
        <is>
          <t>أين نقف</t>
        </is>
      </c>
      <c r="C13" s="124" t="n"/>
      <c r="D13" s="124" t="n"/>
      <c r="E13" s="124" t="n"/>
      <c r="F13" s="124" t="n"/>
      <c r="G13" s="124" t="n"/>
      <c r="H13" s="124" t="n"/>
      <c r="I13" s="124" t="n"/>
    </row>
    <row r="14" ht="31.5" customHeight="1" s="122">
      <c r="A14" s="138" t="inlineStr">
        <is>
          <t>#</t>
        </is>
      </c>
      <c r="B14" s="138" t="inlineStr">
        <is>
          <t>القياس</t>
        </is>
      </c>
      <c r="C14" s="138" t="inlineStr">
        <is>
          <t>عدد المحطات</t>
        </is>
      </c>
      <c r="D14" s="138" t="inlineStr">
        <is>
          <t>الحصة</t>
        </is>
      </c>
      <c r="E14" s="138" t="inlineStr">
        <is>
          <t>—</t>
        </is>
      </c>
      <c r="F14" s="138" t="inlineStr">
        <is>
          <t>—</t>
        </is>
      </c>
      <c r="G14" s="138" t="inlineStr">
        <is>
          <t>—</t>
        </is>
      </c>
      <c r="H14" s="138" t="inlineStr">
        <is>
          <t>الترتيب</t>
        </is>
      </c>
      <c r="I14" s="138" t="inlineStr">
        <is>
          <t>ملاحظة</t>
        </is>
      </c>
    </row>
    <row r="15" ht="15" customHeight="1" s="122">
      <c r="A15" s="144" t="n">
        <v>1</v>
      </c>
      <c r="B15" s="147" t="inlineStr">
        <is>
          <t>اسمياً — كل المنظومة</t>
        </is>
      </c>
      <c r="C15" s="152" t="n">
        <v>355</v>
      </c>
      <c r="D15" s="153">
        <f>C15/$C$3</f>
        <v/>
      </c>
      <c r="E15" s="144" t="n"/>
      <c r="F15" s="144" t="n"/>
      <c r="G15" s="144" t="n"/>
      <c r="H15" s="144" t="inlineStr">
        <is>
          <t>الثالث</t>
        </is>
      </c>
      <c r="I15" s="139" t="inlineStr">
        <is>
          <t>رقم سجل لا رقم تشغيل</t>
        </is>
      </c>
    </row>
    <row r="16" ht="15" customHeight="1" s="122">
      <c r="A16" s="144" t="n">
        <v>2</v>
      </c>
      <c r="B16" s="147" t="inlineStr">
        <is>
          <t>تحت الهوية</t>
        </is>
      </c>
      <c r="C16" s="152" t="n">
        <v>126</v>
      </c>
      <c r="D16" s="153">
        <f>C16/$C$3</f>
        <v/>
      </c>
      <c r="E16" s="144" t="n"/>
      <c r="F16" s="144" t="n"/>
      <c r="G16" s="144" t="n"/>
      <c r="H16" s="144" t="inlineStr">
        <is>
          <t>الخامس</t>
        </is>
      </c>
      <c r="I16" s="139" t="inlineStr">
        <is>
          <t>المحطات الحاملة لعلامتنا فعلاً</t>
        </is>
      </c>
    </row>
    <row r="17" ht="15" customHeight="1" s="122">
      <c r="A17" s="142" t="n">
        <v>3</v>
      </c>
      <c r="B17" s="160" t="inlineStr">
        <is>
          <t>مشغّلة بالكامل</t>
        </is>
      </c>
      <c r="C17" s="161" t="n">
        <v>80</v>
      </c>
      <c r="D17" s="162">
        <f>C17/$C$3</f>
        <v/>
      </c>
      <c r="E17" s="142" t="n"/>
      <c r="F17" s="142" t="n"/>
      <c r="G17" s="142" t="n"/>
      <c r="H17" s="142" t="inlineStr">
        <is>
          <t>السادس</t>
        </is>
      </c>
      <c r="I17" s="163" t="inlineStr">
        <is>
          <t>49 استثماري + 31 امتياز مكتمل — الرقم الحقيقي</t>
        </is>
      </c>
    </row>
    <row r="18">
      <c r="A18" s="124" t="n"/>
      <c r="B18" s="124" t="n"/>
      <c r="C18" s="124" t="n"/>
      <c r="D18" s="124" t="n"/>
      <c r="E18" s="124" t="n"/>
      <c r="F18" s="124" t="n"/>
      <c r="G18" s="124" t="n"/>
      <c r="H18" s="124" t="n"/>
      <c r="I18" s="124" t="n"/>
    </row>
    <row r="19" ht="15" customHeight="1" s="122">
      <c r="A19" s="124" t="n"/>
      <c r="B19" s="164" t="inlineStr">
        <is>
          <t>النصف الأول 2026</t>
        </is>
      </c>
      <c r="C19" s="124" t="n"/>
      <c r="D19" s="124" t="n"/>
      <c r="E19" s="124" t="n"/>
      <c r="F19" s="124" t="n"/>
      <c r="G19" s="124" t="n"/>
      <c r="H19" s="124" t="n"/>
      <c r="I19" s="124" t="n"/>
    </row>
    <row r="20" ht="15.75" customHeight="1" s="122">
      <c r="A20" s="124" t="n"/>
      <c r="B20" s="124" t="n"/>
      <c r="C20" s="149" t="inlineStr">
        <is>
          <t>•  الدريس أضافت 83 محطة ورفعت حصتها من 17.11% إلى 18.95%</t>
        </is>
      </c>
      <c r="D20" s="124" t="n"/>
      <c r="E20" s="124" t="n"/>
      <c r="F20" s="124" t="n"/>
      <c r="G20" s="124" t="n"/>
      <c r="H20" s="124" t="n"/>
      <c r="I20" s="124" t="n"/>
    </row>
    <row r="21" ht="15.75" customHeight="1" s="122">
      <c r="A21" s="124" t="n"/>
      <c r="B21" s="124" t="n"/>
      <c r="C21" s="149" t="inlineStr">
        <is>
          <t>•  ونحن في الفترة نفسها بميزان صافٍ −43.8 مليون ريال</t>
        </is>
      </c>
      <c r="D21" s="124" t="n"/>
      <c r="E21" s="124" t="n"/>
      <c r="F21" s="124" t="n"/>
      <c r="G21" s="124" t="n"/>
      <c r="H21" s="124" t="n"/>
      <c r="I21" s="124" t="n"/>
    </row>
    <row r="22">
      <c r="A22" s="124" t="n"/>
      <c r="B22" s="124" t="n"/>
      <c r="C22" s="124" t="n"/>
      <c r="D22" s="124" t="n"/>
      <c r="E22" s="124" t="n"/>
      <c r="F22" s="124" t="n"/>
      <c r="G22" s="124" t="n"/>
      <c r="H22" s="124" t="n"/>
      <c r="I22" s="124" t="n"/>
    </row>
    <row r="23" ht="15" customHeight="1" s="122">
      <c r="A23" s="124" t="n"/>
      <c r="B23" s="148" t="inlineStr">
        <is>
          <t>بنية السوق</t>
        </is>
      </c>
      <c r="C23" s="124" t="n"/>
      <c r="D23" s="124" t="n"/>
      <c r="E23" s="124" t="n"/>
      <c r="F23" s="124" t="n"/>
      <c r="G23" s="124" t="n"/>
      <c r="H23" s="124" t="n"/>
      <c r="I23" s="124" t="n"/>
    </row>
    <row r="24" ht="15.75" customHeight="1" s="122">
      <c r="A24" s="124" t="n"/>
      <c r="B24" s="124" t="n"/>
      <c r="C24" s="149" t="inlineStr">
        <is>
          <t>•  السوق انكمش من 7,600 إلى 7,300 محطة بينما كبر الكبار</t>
        </is>
      </c>
      <c r="D24" s="124" t="n"/>
      <c r="E24" s="124" t="n"/>
      <c r="F24" s="124" t="n"/>
      <c r="G24" s="124" t="n"/>
      <c r="H24" s="124" t="n"/>
      <c r="I24" s="124" t="n"/>
    </row>
    <row r="25" ht="15.75" customHeight="1" s="122">
      <c r="A25" s="124" t="n"/>
      <c r="B25" s="124" t="n"/>
      <c r="C25" s="149" t="inlineStr">
        <is>
          <t>•  الفارق بين «355» و«80» هو الفارق بين المركز الثالث والسادس</t>
        </is>
      </c>
      <c r="D25" s="124" t="n"/>
      <c r="E25" s="124" t="n"/>
      <c r="F25" s="124" t="n"/>
      <c r="G25" s="124" t="n"/>
      <c r="H25" s="124" t="n"/>
      <c r="I25" s="124" t="n"/>
    </row>
  </sheetData>
  <mergeCells count="6">
    <mergeCell ref="A2:I2"/>
    <mergeCell ref="C21:I21"/>
    <mergeCell ref="A1:I1"/>
    <mergeCell ref="C20:I20"/>
    <mergeCell ref="C24:I24"/>
    <mergeCell ref="C25:I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M33"/>
  <sheetViews>
    <sheetView showFormulas="0" showGridLines="0"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5" customWidth="1" style="121" min="1" max="1"/>
    <col width="18" customWidth="1" style="121" min="2" max="2"/>
    <col width="20" customWidth="1" style="121" min="3" max="3"/>
    <col width="13" customWidth="1" style="121" min="4" max="4"/>
    <col width="20" customWidth="1" style="121" min="5" max="5"/>
    <col width="13" customWidth="1" style="121" min="6" max="6"/>
    <col width="14" customWidth="1" style="121" min="7" max="7"/>
    <col width="13" customWidth="1" style="121" min="8" max="8"/>
    <col width="20" customWidth="1" style="121" min="9" max="10"/>
    <col width="26" customWidth="1" style="121" min="11" max="12"/>
    <col width="30" customWidth="1" style="121" min="13" max="13"/>
  </cols>
  <sheetData>
    <row r="1" ht="25.5" customHeight="1" s="122">
      <c r="A1" s="123" t="inlineStr">
        <is>
          <t>التطبيقات والمنصات والبطاقات — التصنيف الصحيح</t>
        </is>
      </c>
      <c r="B1" s="124" t="n"/>
      <c r="C1" s="124" t="n"/>
      <c r="D1" s="124" t="n"/>
      <c r="E1" s="124" t="n"/>
      <c r="F1" s="124" t="n"/>
      <c r="G1" s="124" t="n"/>
      <c r="H1" s="124" t="n"/>
      <c r="I1" s="124" t="n"/>
      <c r="J1" s="124" t="n"/>
      <c r="K1" s="124" t="n"/>
      <c r="L1" s="124" t="n"/>
      <c r="M1" s="124" t="n"/>
    </row>
    <row r="2" ht="18" customHeight="1" s="122">
      <c r="A2" s="125" t="inlineStr">
        <is>
          <t>ثلاثة أنواع تُخلط عادةً وهي مختلفة جوهرياً: تطبيق أفراد · منصة شركات · بطاقة/شريحة</t>
        </is>
      </c>
      <c r="B2" s="124" t="n"/>
      <c r="C2" s="124" t="n"/>
      <c r="D2" s="124" t="n"/>
      <c r="E2" s="124" t="n"/>
      <c r="F2" s="124" t="n"/>
      <c r="G2" s="124" t="n"/>
      <c r="H2" s="124" t="n"/>
      <c r="I2" s="124" t="n"/>
      <c r="J2" s="124" t="n"/>
      <c r="K2" s="124" t="n"/>
      <c r="L2" s="124" t="n"/>
      <c r="M2" s="124" t="n"/>
    </row>
    <row r="3">
      <c r="A3" s="124" t="n"/>
      <c r="B3" s="124" t="n"/>
      <c r="C3" s="124" t="n"/>
      <c r="D3" s="124" t="n"/>
      <c r="E3" s="124" t="n"/>
      <c r="F3" s="124" t="n"/>
      <c r="G3" s="124" t="n"/>
      <c r="H3" s="124" t="n"/>
      <c r="I3" s="124" t="n"/>
      <c r="J3" s="124" t="n"/>
      <c r="K3" s="124" t="n"/>
      <c r="L3" s="124" t="n"/>
      <c r="M3" s="124" t="n"/>
    </row>
    <row r="4" ht="31.5" customHeight="1" s="122">
      <c r="A4" s="138" t="inlineStr">
        <is>
          <t>#</t>
        </is>
      </c>
      <c r="B4" s="138" t="inlineStr">
        <is>
          <t>الاسم</t>
        </is>
      </c>
      <c r="C4" s="138" t="inlineStr">
        <is>
          <t>المالك/المشغّل</t>
        </is>
      </c>
      <c r="D4" s="138" t="inlineStr">
        <is>
          <t>الفئة</t>
        </is>
      </c>
      <c r="E4" s="138" t="inlineStr">
        <is>
          <t>التقنية</t>
        </is>
      </c>
      <c r="F4" s="138" t="inlineStr">
        <is>
          <t>محطات المالك</t>
        </is>
      </c>
      <c r="G4" s="138" t="inlineStr">
        <is>
          <t>شبكة القبول</t>
        </is>
      </c>
      <c r="H4" s="138" t="inlineStr">
        <is>
          <t>% من المملكة</t>
        </is>
      </c>
      <c r="I4" s="138" t="inlineStr">
        <is>
          <t>التغطية الجغرافية</t>
        </is>
      </c>
      <c r="J4" s="138" t="inlineStr">
        <is>
          <t>الحجم المعلن</t>
        </is>
      </c>
      <c r="K4" s="138" t="inlineStr">
        <is>
          <t>مصدر القوة</t>
        </is>
      </c>
      <c r="L4" s="138" t="inlineStr">
        <is>
          <t>نقطة الضعف</t>
        </is>
      </c>
      <c r="M4" s="138" t="inlineStr">
        <is>
          <t>الخطر علينا</t>
        </is>
      </c>
    </row>
    <row r="5" ht="55.5" customHeight="1" s="122">
      <c r="A5" s="144" t="n">
        <v>1</v>
      </c>
      <c r="B5" s="165" t="inlineStr">
        <is>
          <t>ساسكو</t>
        </is>
      </c>
      <c r="C5" s="139" t="inlineStr">
        <is>
          <t>ساسكو (مشغّل)</t>
        </is>
      </c>
      <c r="D5" s="144" t="inlineStr">
        <is>
          <t>أفراد</t>
        </is>
      </c>
      <c r="E5" s="139" t="inlineStr">
        <is>
          <t>QR + محفظة رقمية + نقاط</t>
        </is>
      </c>
      <c r="F5" s="152" t="n">
        <v>683</v>
      </c>
      <c r="G5" s="152" t="n">
        <v>683</v>
      </c>
      <c r="H5" s="166">
        <f>IFERROR(G5/'حصص السوق'!$C$3,"")</f>
        <v/>
      </c>
      <c r="I5" s="139" t="inlineStr">
        <is>
          <t>محطات ساسكو ونخلة ومغاسل أوتوسبا — وطني</t>
        </is>
      </c>
      <c r="J5" s="139" t="inlineStr">
        <is>
          <t>غير معلن</t>
        </is>
      </c>
      <c r="K5" s="139" t="inlineStr">
        <is>
          <t>شبكة مملوكة + نقاط تُستبدل في مطاعم ومقاهي المحطة</t>
        </is>
      </c>
      <c r="L5" s="139" t="inlineStr">
        <is>
          <t>محصور في شبكته — لا يعمل خارجها</t>
        </is>
      </c>
      <c r="M5" s="139" t="inlineStr">
        <is>
          <t>يضع معيار تجربة أعلى من تطبيقنا لعميل الأفراد نفسه</t>
        </is>
      </c>
    </row>
    <row r="6" ht="55.5" customHeight="1" s="122">
      <c r="A6" s="144" t="n">
        <v>3</v>
      </c>
      <c r="B6" s="165" t="inlineStr">
        <is>
          <t>أرامكو</t>
        </is>
      </c>
      <c r="C6" s="139" t="inlineStr">
        <is>
          <t>التسهيلات للتسويق</t>
        </is>
      </c>
      <c r="D6" s="144" t="inlineStr">
        <is>
          <t>أفراد</t>
        </is>
      </c>
      <c r="E6" s="139" t="inlineStr">
        <is>
          <t>تطبيق محطات</t>
        </is>
      </c>
      <c r="F6" s="152" t="n">
        <v>154</v>
      </c>
      <c r="G6" s="152" t="n">
        <v>154</v>
      </c>
      <c r="H6" s="166">
        <f>IFERROR(G6/'حصص السوق'!$C$3,"")</f>
        <v/>
      </c>
      <c r="I6" s="139" t="inlineStr">
        <is>
          <t>وطني</t>
        </is>
      </c>
      <c r="J6" s="139" t="inlineStr">
        <is>
          <t>غير معلن</t>
        </is>
      </c>
      <c r="K6" s="139" t="inlineStr">
        <is>
          <t>العلامة والدعم المؤسسي · استحوذت على سهل لخدمات الوقود</t>
        </is>
      </c>
      <c r="L6" s="139" t="inlineStr">
        <is>
          <t>حديث الدخول في التجزئة</t>
        </is>
      </c>
      <c r="M6" s="139" t="inlineStr">
        <is>
          <t>منافس صاعد بعلامة لا تُقاوَم</t>
        </is>
      </c>
    </row>
    <row r="7" ht="55.5" customHeight="1" s="122">
      <c r="A7" s="167" t="n">
        <v>4</v>
      </c>
      <c r="B7" s="168" t="inlineStr">
        <is>
          <t>درب (نحن)</t>
        </is>
      </c>
      <c r="C7" s="169" t="inlineStr">
        <is>
          <t>درب</t>
        </is>
      </c>
      <c r="D7" s="167" t="inlineStr">
        <is>
          <t>أفراد</t>
        </is>
      </c>
      <c r="E7" s="169" t="inlineStr">
        <is>
          <t>تطبيق + تانكي</t>
        </is>
      </c>
      <c r="F7" s="170" t="n">
        <v>355</v>
      </c>
      <c r="G7" s="170" t="n">
        <v>355</v>
      </c>
      <c r="H7" s="171">
        <f>IFERROR(G7/'حصص السوق'!$C$3,"")</f>
        <v/>
      </c>
      <c r="I7" s="169" t="inlineStr">
        <is>
          <t>مكة · جدة · الطائف · جازان · الشرقية · الخرج · القصيم</t>
        </is>
      </c>
      <c r="J7" s="169" t="inlineStr">
        <is>
          <t>0.28% من الإيراد · 43 محطة بصفر</t>
        </is>
      </c>
      <c r="K7" s="169" t="inlineStr">
        <is>
          <t>22.5 مليون زيارة سنوياً · قاعدة تعريف قابلة للبناء</t>
        </is>
      </c>
      <c r="L7" s="169" t="inlineStr">
        <is>
          <t>واجهة الشركات قيد التطوير</t>
        </is>
      </c>
      <c r="M7" s="169" t="inlineStr">
        <is>
          <t>—</t>
        </is>
      </c>
    </row>
    <row r="8" ht="55.5" customHeight="1" s="122">
      <c r="A8" s="144" t="n">
        <v>5</v>
      </c>
      <c r="B8" s="172" t="inlineStr">
        <is>
          <t>بترو آب</t>
        </is>
      </c>
      <c r="C8" s="139" t="inlineStr">
        <is>
          <t>مستقلة — بقيادة جدوى للاستثمار</t>
        </is>
      </c>
      <c r="D8" s="144" t="inlineStr">
        <is>
          <t>شركات</t>
        </is>
      </c>
      <c r="E8" s="139" t="inlineStr">
        <is>
          <t>NFC</t>
        </is>
      </c>
      <c r="F8" s="152" t="n">
        <v>0</v>
      </c>
      <c r="G8" s="152" t="n">
        <v>5000</v>
      </c>
      <c r="H8" s="166">
        <f>IFERROR(G8/'حصص السوق'!$C$3,"")</f>
        <v/>
      </c>
      <c r="I8" s="139" t="inlineStr">
        <is>
          <t>كل مناطق المملكة + مصر وتايلاند ونيجيريا</t>
        </is>
      </c>
      <c r="J8" s="139" t="inlineStr">
        <is>
          <t>500,000+ مركبة · 10,000 عميل شركة</t>
        </is>
      </c>
      <c r="K8" s="139" t="inlineStr">
        <is>
          <t>يملك العلاقة والبيانات وقرار توجيه الحجم — بلا محطة واحدة · تمويل 50 مليون دولار · طرح مستهدف 2028</t>
        </is>
      </c>
      <c r="L8" s="139" t="inlineStr">
        <is>
          <t>لا يملك أصلاً مادياً — يعتمد كلياً على شبكة قبول المحطات</t>
        </is>
      </c>
      <c r="M8" s="139" t="inlineStr">
        <is>
          <t>الأخطر: مقبول في نحو ثلثي محطات المملكة ويحوّلنا إلى نقطة تنفيذ</t>
        </is>
      </c>
    </row>
    <row r="9" ht="55.5" customHeight="1" s="122">
      <c r="A9" s="144" t="n">
        <v>6</v>
      </c>
      <c r="B9" s="172" t="inlineStr">
        <is>
          <t>سيارة آب</t>
        </is>
      </c>
      <c r="C9" s="139" t="inlineStr">
        <is>
          <t>استُحوذ عليها — مجموعة 1,790+ محطة</t>
        </is>
      </c>
      <c r="D9" s="144" t="inlineStr">
        <is>
          <t>شركات</t>
        </is>
      </c>
      <c r="E9" s="139" t="inlineStr">
        <is>
          <t>NFC</t>
        </is>
      </c>
      <c r="F9" s="152" t="n">
        <v>1790</v>
      </c>
      <c r="G9" s="152" t="n">
        <v>2500</v>
      </c>
      <c r="H9" s="166">
        <f>IFERROR(G9/'حصص السوق'!$C$3,"")</f>
        <v/>
      </c>
      <c r="I9" s="139" t="inlineStr">
        <is>
          <t>وطني</t>
        </is>
      </c>
      <c r="J9" s="139" t="inlineStr">
        <is>
          <t>غير معلن</t>
        </is>
      </c>
      <c r="K9" s="139" t="inlineStr">
        <is>
          <t>صار له أصول بعد الصفقة (يوليو 2026): منصة + شبكة محطات معاً</t>
        </is>
      </c>
      <c r="L9" s="139" t="inlineStr">
        <is>
          <t>الجهة المستحوذة غير معلنة وقيمة الصفقة غير معلنة</t>
        </is>
      </c>
      <c r="M9" s="139" t="inlineStr">
        <is>
          <t>الخطر الجديد: نموذج المنصة+الشبكة يفوق الدريس عدداً لو صحّ الرقم</t>
        </is>
      </c>
    </row>
    <row r="10" ht="55.5" customHeight="1" s="122">
      <c r="A10" s="144" t="n">
        <v>7</v>
      </c>
      <c r="B10" s="172" t="inlineStr">
        <is>
          <t>Fleet Plus</t>
        </is>
      </c>
      <c r="C10" s="139" t="inlineStr">
        <is>
          <t>مستقلة</t>
        </is>
      </c>
      <c r="D10" s="144" t="inlineStr">
        <is>
          <t>شركات</t>
        </is>
      </c>
      <c r="E10" s="139" t="inlineStr">
        <is>
          <t>فوترة موحدة + مسارات اعتماد</t>
        </is>
      </c>
      <c r="F10" s="152" t="n">
        <v>0</v>
      </c>
      <c r="G10" s="152" t="n">
        <v>5000</v>
      </c>
      <c r="H10" s="166">
        <f>IFERROR(G10/'حصص السوق'!$C$3,"")</f>
        <v/>
      </c>
      <c r="I10" s="139" t="inlineStr">
        <is>
          <t>وطني</t>
        </is>
      </c>
      <c r="J10" s="139" t="inlineStr">
        <is>
          <t>5,000+ مزوّد خدمة</t>
        </is>
      </c>
      <c r="K10" s="139" t="inlineStr">
        <is>
          <t>حزمة موحّدة: وقود وإطارات وزيوت وبطاريات وغسيل</t>
        </is>
      </c>
      <c r="L10" s="139" t="inlineStr">
        <is>
          <t>لا يملك أصولاً — نفس ضعف بترو آب</t>
        </is>
      </c>
      <c r="M10" s="139" t="inlineStr">
        <is>
          <t>يقطع محفظتَي الوقود وخدمات السيارات معاً</t>
        </is>
      </c>
    </row>
    <row r="11" ht="55.5" customHeight="1" s="122">
      <c r="A11" s="144" t="n">
        <v>8</v>
      </c>
      <c r="B11" s="173" t="inlineStr">
        <is>
          <t>واعي</t>
        </is>
      </c>
      <c r="C11" s="139" t="inlineStr">
        <is>
          <t>الدريس</t>
        </is>
      </c>
      <c r="D11" s="144" t="inlineStr">
        <is>
          <t>شركات</t>
        </is>
      </c>
      <c r="E11" s="139" t="inlineStr">
        <is>
          <t>RFID داخل فوهة المضخة — ليس تطبيقاً</t>
        </is>
      </c>
      <c r="F11" s="152" t="n">
        <v>1383</v>
      </c>
      <c r="G11" s="152" t="n">
        <v>1383</v>
      </c>
      <c r="H11" s="166">
        <f>IFERROR(G11/'حصص السوق'!$C$3,"")</f>
        <v/>
      </c>
      <c r="I11" s="139" t="inlineStr">
        <is>
          <t>وطني</t>
        </is>
      </c>
      <c r="J11" s="139" t="inlineStr">
        <is>
          <t>غير معلن</t>
        </is>
      </c>
      <c r="K11" s="139" t="inlineStr">
        <is>
          <t>تعبئة آلية بلا تدخل بشري + تعريف المركبة في الفوهة + منع الغش</t>
        </is>
      </c>
      <c r="L11" s="139" t="inlineStr">
        <is>
          <t>محصور في شبكة الدريس فقط</t>
        </is>
      </c>
      <c r="M11" s="139" t="inlineStr">
        <is>
          <t>يثبّت أسطول العميل داخل شبكة الدريس بحاجز تقني</t>
        </is>
      </c>
    </row>
    <row r="12" ht="55.5" customHeight="1" s="122">
      <c r="A12" s="144" t="n">
        <v>9</v>
      </c>
      <c r="B12" s="173" t="inlineStr">
        <is>
          <t>كنترول</t>
        </is>
      </c>
      <c r="C12" s="139" t="inlineStr">
        <is>
          <t>ساسكو</t>
        </is>
      </c>
      <c r="D12" s="144" t="inlineStr">
        <is>
          <t>شركات</t>
        </is>
      </c>
      <c r="E12" s="139" t="inlineStr">
        <is>
          <t>شرائح RFID + بطاقات</t>
        </is>
      </c>
      <c r="F12" s="152" t="n">
        <v>683</v>
      </c>
      <c r="G12" s="152" t="n">
        <v>683</v>
      </c>
      <c r="H12" s="166">
        <f>IFERROR(G12/'حصص السوق'!$C$3,"")</f>
        <v/>
      </c>
      <c r="I12" s="139" t="inlineStr">
        <is>
          <t>وطني</t>
        </is>
      </c>
      <c r="J12" s="139" t="inlineStr">
        <is>
          <t>غير معلن</t>
        </is>
      </c>
      <c r="K12" s="139" t="inlineStr">
        <is>
          <t>ضبط إنفاق ناضج مربوط بشبكة ساسكو</t>
        </is>
      </c>
      <c r="L12" s="139" t="inlineStr">
        <is>
          <t>محصور في شبكة ساسكو فقط</t>
        </is>
      </c>
      <c r="M12" s="139" t="inlineStr">
        <is>
          <t>يثبّت الأسطول المتوسط داخل شبكة ساسكو</t>
        </is>
      </c>
    </row>
    <row r="13">
      <c r="A13" s="124" t="n"/>
      <c r="B13" s="124" t="n"/>
      <c r="C13" s="124" t="n"/>
      <c r="D13" s="124" t="n"/>
      <c r="E13" s="124" t="n"/>
      <c r="F13" s="124" t="n"/>
      <c r="G13" s="124" t="n"/>
      <c r="H13" s="124" t="n"/>
      <c r="I13" s="124" t="n"/>
      <c r="J13" s="124" t="n"/>
      <c r="K13" s="124" t="n"/>
      <c r="L13" s="124" t="n"/>
      <c r="M13" s="124" t="n"/>
    </row>
    <row r="14" ht="15" customHeight="1" s="122">
      <c r="A14" s="124" t="n"/>
      <c r="B14" s="148" t="inlineStr">
        <is>
          <t>التصنيف</t>
        </is>
      </c>
      <c r="C14" s="124" t="n"/>
      <c r="D14" s="124" t="n"/>
      <c r="E14" s="124" t="n"/>
      <c r="F14" s="124" t="n"/>
      <c r="G14" s="124" t="n"/>
      <c r="H14" s="124" t="n"/>
      <c r="I14" s="124" t="n"/>
      <c r="J14" s="124" t="n"/>
      <c r="K14" s="124" t="n"/>
      <c r="L14" s="124" t="n"/>
      <c r="M14" s="124" t="n"/>
    </row>
    <row r="15" ht="15.75" customHeight="1" s="122">
      <c r="A15" s="124" t="n"/>
      <c r="B15" s="124" t="n"/>
      <c r="C15" s="149" t="inlineStr">
        <is>
          <t>•  تطبيق أفراد: مشغّل يبيع لعملائه — محصور في شبكته</t>
        </is>
      </c>
      <c r="D15" s="124" t="n"/>
      <c r="E15" s="124" t="n"/>
      <c r="F15" s="124" t="n"/>
      <c r="G15" s="124" t="n"/>
      <c r="H15" s="124" t="n"/>
      <c r="I15" s="124" t="n"/>
      <c r="J15" s="124" t="n"/>
      <c r="K15" s="124" t="n"/>
      <c r="L15" s="124" t="n"/>
      <c r="M15" s="124" t="n"/>
    </row>
    <row r="16" ht="15.75" customHeight="1" s="122">
      <c r="A16" s="124" t="n"/>
      <c r="B16" s="124" t="n"/>
      <c r="C16" s="149" t="inlineStr">
        <is>
          <t>•  منصة شركات: وسيط يملك العلاقة مع المنشأة بلا أصول</t>
        </is>
      </c>
      <c r="D16" s="124" t="n"/>
      <c r="E16" s="124" t="n"/>
      <c r="F16" s="124" t="n"/>
      <c r="G16" s="124" t="n"/>
      <c r="H16" s="124" t="n"/>
      <c r="I16" s="124" t="n"/>
      <c r="J16" s="124" t="n"/>
      <c r="K16" s="124" t="n"/>
      <c r="L16" s="124" t="n"/>
      <c r="M16" s="124" t="n"/>
    </row>
    <row r="17" ht="15.75" customHeight="1" s="122">
      <c r="A17" s="124" t="n"/>
      <c r="B17" s="124" t="n"/>
      <c r="C17" s="149" t="inlineStr">
        <is>
          <t>•  بطاقة أو شريحة: «واعي» و«كنترول» أجهزة تعريف لا تطبيقات</t>
        </is>
      </c>
      <c r="D17" s="124" t="n"/>
      <c r="E17" s="124" t="n"/>
      <c r="F17" s="124" t="n"/>
      <c r="G17" s="124" t="n"/>
      <c r="H17" s="124" t="n"/>
      <c r="I17" s="124" t="n"/>
      <c r="J17" s="124" t="n"/>
      <c r="K17" s="124" t="n"/>
      <c r="L17" s="124" t="n"/>
      <c r="M17" s="124" t="n"/>
    </row>
    <row r="18">
      <c r="A18" s="124" t="n"/>
      <c r="B18" s="124" t="n"/>
      <c r="C18" s="124" t="n"/>
      <c r="D18" s="124" t="n"/>
      <c r="E18" s="124" t="n"/>
      <c r="F18" s="124" t="n"/>
      <c r="G18" s="124" t="n"/>
      <c r="H18" s="124" t="n"/>
      <c r="I18" s="124" t="n"/>
      <c r="J18" s="124" t="n"/>
      <c r="K18" s="124" t="n"/>
      <c r="L18" s="124" t="n"/>
      <c r="M18" s="124" t="n"/>
    </row>
    <row r="19" ht="15" customHeight="1" s="122">
      <c r="A19" s="124" t="n"/>
      <c r="B19" s="148" t="inlineStr">
        <is>
          <t>النمط</t>
        </is>
      </c>
      <c r="C19" s="124" t="n"/>
      <c r="D19" s="124" t="n"/>
      <c r="E19" s="124" t="n"/>
      <c r="F19" s="124" t="n"/>
      <c r="G19" s="124" t="n"/>
      <c r="H19" s="124" t="n"/>
      <c r="I19" s="124" t="n"/>
      <c r="J19" s="124" t="n"/>
      <c r="K19" s="124" t="n"/>
      <c r="L19" s="124" t="n"/>
      <c r="M19" s="124" t="n"/>
    </row>
    <row r="20" ht="15.75" customHeight="1" s="122">
      <c r="A20" s="124" t="n"/>
      <c r="B20" s="124" t="n"/>
      <c r="C20" s="149" t="inlineStr">
        <is>
          <t>•  أدوات المشغّلين محصورة في شبكاتهم — تحمي حصة قائمة</t>
        </is>
      </c>
      <c r="D20" s="124" t="n"/>
      <c r="E20" s="124" t="n"/>
      <c r="F20" s="124" t="n"/>
      <c r="G20" s="124" t="n"/>
      <c r="H20" s="124" t="n"/>
      <c r="I20" s="124" t="n"/>
      <c r="J20" s="124" t="n"/>
      <c r="K20" s="124" t="n"/>
      <c r="L20" s="124" t="n"/>
      <c r="M20" s="124" t="n"/>
    </row>
    <row r="21" ht="15.75" customHeight="1" s="122">
      <c r="A21" s="124" t="n"/>
      <c r="B21" s="124" t="n"/>
      <c r="C21" s="149" t="inlineStr">
        <is>
          <t>•  المنصات المستقلة تتجاوز كل المشغّلين — تأخذ حصة الجميع</t>
        </is>
      </c>
      <c r="D21" s="124" t="n"/>
      <c r="E21" s="124" t="n"/>
      <c r="F21" s="124" t="n"/>
      <c r="G21" s="124" t="n"/>
      <c r="H21" s="124" t="n"/>
      <c r="I21" s="124" t="n"/>
      <c r="J21" s="124" t="n"/>
      <c r="K21" s="124" t="n"/>
      <c r="L21" s="124" t="n"/>
      <c r="M21" s="124" t="n"/>
    </row>
    <row r="22" ht="15.75" customHeight="1" s="122">
      <c r="A22" s="124" t="n"/>
      <c r="B22" s="124" t="n"/>
      <c r="C22" s="149" t="inlineStr">
        <is>
          <t>•  بترو آب مقبولة في نحو ثلثي محطات المملكة بلا محطة واحدة</t>
        </is>
      </c>
      <c r="D22" s="124" t="n"/>
      <c r="E22" s="124" t="n"/>
      <c r="F22" s="124" t="n"/>
      <c r="G22" s="124" t="n"/>
      <c r="H22" s="124" t="n"/>
      <c r="I22" s="124" t="n"/>
      <c r="J22" s="124" t="n"/>
      <c r="K22" s="124" t="n"/>
      <c r="L22" s="124" t="n"/>
      <c r="M22" s="124" t="n"/>
    </row>
    <row r="23">
      <c r="A23" s="124" t="n"/>
      <c r="B23" s="124" t="n"/>
      <c r="C23" s="124" t="n"/>
      <c r="D23" s="124" t="n"/>
      <c r="E23" s="124" t="n"/>
      <c r="F23" s="124" t="n"/>
      <c r="G23" s="124" t="n"/>
      <c r="H23" s="124" t="n"/>
      <c r="I23" s="124" t="n"/>
      <c r="J23" s="124" t="n"/>
      <c r="K23" s="124" t="n"/>
      <c r="L23" s="124" t="n"/>
      <c r="M23" s="124" t="n"/>
    </row>
    <row r="24" ht="15" customHeight="1" s="122">
      <c r="A24" s="124" t="n"/>
      <c r="B24" s="164" t="inlineStr">
        <is>
          <t>تطوّر يوليو 2026</t>
        </is>
      </c>
      <c r="C24" s="124" t="n"/>
      <c r="D24" s="124" t="n"/>
      <c r="E24" s="124" t="n"/>
      <c r="F24" s="124" t="n"/>
      <c r="G24" s="124" t="n"/>
      <c r="H24" s="124" t="n"/>
      <c r="I24" s="124" t="n"/>
      <c r="J24" s="124" t="n"/>
      <c r="K24" s="124" t="n"/>
      <c r="L24" s="124" t="n"/>
      <c r="M24" s="124" t="n"/>
    </row>
    <row r="25" ht="15.75" customHeight="1" s="122">
      <c r="A25" s="124" t="n"/>
      <c r="B25" s="124" t="n"/>
      <c r="C25" s="149" t="inlineStr">
        <is>
          <t>•  سيارة آب استُحوذ عليها من مجموعة تشغّل 1,790+ محطة</t>
        </is>
      </c>
      <c r="D25" s="124" t="n"/>
      <c r="E25" s="124" t="n"/>
      <c r="F25" s="124" t="n"/>
      <c r="G25" s="124" t="n"/>
      <c r="H25" s="124" t="n"/>
      <c r="I25" s="124" t="n"/>
      <c r="J25" s="124" t="n"/>
      <c r="K25" s="124" t="n"/>
      <c r="L25" s="124" t="n"/>
      <c r="M25" s="124" t="n"/>
    </row>
    <row r="26" ht="15.75" customHeight="1" s="122">
      <c r="A26" s="124" t="n"/>
      <c r="B26" s="124" t="n"/>
      <c r="C26" s="149" t="inlineStr">
        <is>
          <t>•  تحوّلت من منصة بلا أصول إلى منصة وشبكة معاً</t>
        </is>
      </c>
      <c r="D26" s="124" t="n"/>
      <c r="E26" s="124" t="n"/>
      <c r="F26" s="124" t="n"/>
      <c r="G26" s="124" t="n"/>
      <c r="H26" s="124" t="n"/>
      <c r="I26" s="124" t="n"/>
      <c r="J26" s="124" t="n"/>
      <c r="K26" s="124" t="n"/>
      <c r="L26" s="124" t="n"/>
      <c r="M26" s="124" t="n"/>
    </row>
    <row r="27" ht="15.75" customHeight="1" s="122">
      <c r="A27" s="124" t="n"/>
      <c r="B27" s="124" t="n"/>
      <c r="C27" s="149" t="inlineStr">
        <is>
          <t>•  الجهة المستحوذة وقيمة الصفقة غير معلنتين</t>
        </is>
      </c>
      <c r="D27" s="124" t="n"/>
      <c r="E27" s="124" t="n"/>
      <c r="F27" s="124" t="n"/>
      <c r="G27" s="124" t="n"/>
      <c r="H27" s="124" t="n"/>
      <c r="I27" s="124" t="n"/>
      <c r="J27" s="124" t="n"/>
      <c r="K27" s="124" t="n"/>
      <c r="L27" s="124" t="n"/>
      <c r="M27" s="124" t="n"/>
    </row>
    <row r="28">
      <c r="A28" s="124" t="n"/>
      <c r="B28" s="124" t="n"/>
      <c r="C28" s="124" t="n"/>
      <c r="D28" s="124" t="n"/>
      <c r="E28" s="124" t="n"/>
      <c r="F28" s="124" t="n"/>
      <c r="G28" s="124" t="n"/>
      <c r="H28" s="124" t="n"/>
      <c r="I28" s="124" t="n"/>
      <c r="J28" s="124" t="n"/>
      <c r="K28" s="124" t="n"/>
      <c r="L28" s="124" t="n"/>
      <c r="M28" s="124" t="n"/>
    </row>
    <row r="29" ht="15" customHeight="1" s="122">
      <c r="A29" s="124" t="n"/>
      <c r="B29" s="148" t="inlineStr">
        <is>
          <t>موقع تطبيق درب</t>
        </is>
      </c>
      <c r="C29" s="124" t="n"/>
      <c r="D29" s="124" t="n"/>
      <c r="E29" s="124" t="n"/>
      <c r="F29" s="124" t="n"/>
      <c r="G29" s="124" t="n"/>
      <c r="H29" s="124" t="n"/>
      <c r="I29" s="124" t="n"/>
      <c r="J29" s="124" t="n"/>
      <c r="K29" s="124" t="n"/>
      <c r="L29" s="124" t="n"/>
      <c r="M29" s="124" t="n"/>
    </row>
    <row r="30" ht="15.75" customHeight="1" s="122">
      <c r="A30" s="124" t="n"/>
      <c r="B30" s="124" t="n"/>
      <c r="C30" s="149" t="inlineStr">
        <is>
          <t>•  التطبيق منتج أفراد يخدم شريحة محددة — وهذا دوره المقصود</t>
        </is>
      </c>
      <c r="D30" s="124" t="n"/>
      <c r="E30" s="124" t="n"/>
      <c r="F30" s="124" t="n"/>
      <c r="G30" s="124" t="n"/>
      <c r="H30" s="124" t="n"/>
      <c r="I30" s="124" t="n"/>
      <c r="J30" s="124" t="n"/>
      <c r="K30" s="124" t="n"/>
      <c r="L30" s="124" t="n"/>
      <c r="M30" s="124" t="n"/>
    </row>
    <row r="31" ht="15.75" customHeight="1" s="122">
      <c r="A31" s="124" t="n"/>
      <c r="B31" s="124" t="n"/>
      <c r="C31" s="149" t="inlineStr">
        <is>
          <t>•  واجهة الشركات ضمن خطة التطوير وتحتاج وقتاً للإطلاق</t>
        </is>
      </c>
      <c r="D31" s="124" t="n"/>
      <c r="E31" s="124" t="n"/>
      <c r="F31" s="124" t="n"/>
      <c r="G31" s="124" t="n"/>
      <c r="H31" s="124" t="n"/>
      <c r="I31" s="124" t="n"/>
      <c r="J31" s="124" t="n"/>
      <c r="K31" s="124" t="n"/>
      <c r="L31" s="124" t="n"/>
      <c r="M31" s="124" t="n"/>
    </row>
    <row r="32" ht="15.75" customHeight="1" s="122">
      <c r="A32" s="124" t="n"/>
      <c r="B32" s="124" t="n"/>
      <c r="C32" s="149" t="inlineStr">
        <is>
          <t>•  عقود الأساطيل منفذ مستقل لا يُقاس بأداء تطبيق الأفراد</t>
        </is>
      </c>
      <c r="D32" s="124" t="n"/>
      <c r="E32" s="124" t="n"/>
      <c r="F32" s="124" t="n"/>
      <c r="G32" s="124" t="n"/>
      <c r="H32" s="124" t="n"/>
      <c r="I32" s="124" t="n"/>
      <c r="J32" s="124" t="n"/>
      <c r="K32" s="124" t="n"/>
      <c r="L32" s="124" t="n"/>
      <c r="M32" s="124" t="n"/>
    </row>
    <row r="33" ht="15.75" customHeight="1" s="122">
      <c r="A33" s="124" t="n"/>
      <c r="B33" s="124" t="n"/>
      <c r="C33" s="149" t="inlineStr">
        <is>
          <t>•  المؤشر الصحيح للتطبيق: نسبة الزيارات المعرَّفة</t>
        </is>
      </c>
      <c r="D33" s="124" t="n"/>
      <c r="E33" s="124" t="n"/>
      <c r="F33" s="124" t="n"/>
      <c r="G33" s="124" t="n"/>
      <c r="H33" s="124" t="n"/>
      <c r="I33" s="124" t="n"/>
      <c r="J33" s="124" t="n"/>
      <c r="K33" s="124" t="n"/>
      <c r="L33" s="124" t="n"/>
      <c r="M33" s="124" t="n"/>
    </row>
  </sheetData>
  <mergeCells count="15">
    <mergeCell ref="C20:M20"/>
    <mergeCell ref="C26:M26"/>
    <mergeCell ref="A1:M1"/>
    <mergeCell ref="C21:M21"/>
    <mergeCell ref="C30:M30"/>
    <mergeCell ref="C15:M15"/>
    <mergeCell ref="C33:M33"/>
    <mergeCell ref="C25:M25"/>
    <mergeCell ref="C32:M32"/>
    <mergeCell ref="C27:M27"/>
    <mergeCell ref="C16:M16"/>
    <mergeCell ref="C22:M22"/>
    <mergeCell ref="A2:M2"/>
    <mergeCell ref="C31:M31"/>
    <mergeCell ref="C17:M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1"/>
  <sheetViews>
    <sheetView showFormulas="0" showGridLines="0" showRowColHeaders="1" showZeros="1" rightToLeft="1"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5" customWidth="1" style="121" min="1" max="1"/>
    <col width="26" customWidth="1" style="121" min="2" max="2"/>
    <col width="12" customWidth="1" style="121" min="3" max="3"/>
    <col width="9" customWidth="1" style="121" min="4" max="6"/>
    <col width="10" customWidth="1" style="121" min="7" max="7"/>
    <col width="34" customWidth="1" style="121" min="8" max="8"/>
  </cols>
  <sheetData>
    <row r="1" ht="25.5" customHeight="1" s="122">
      <c r="A1" s="123" t="inlineStr">
        <is>
          <t>منفذ ٢ — العقار والتأجير</t>
        </is>
      </c>
      <c r="B1" s="124" t="n"/>
      <c r="C1" s="124" t="n"/>
      <c r="D1" s="124" t="n"/>
      <c r="E1" s="124" t="n"/>
      <c r="F1" s="124" t="n"/>
      <c r="G1" s="124" t="n"/>
      <c r="H1" s="124" t="n"/>
    </row>
    <row r="2" ht="18" customHeight="1" s="122">
      <c r="A2" s="125" t="inlineStr">
        <is>
          <t>أكبر فجوة × لا مسيطر · الأولوية الأولى · بيانات الربع الأول 2026</t>
        </is>
      </c>
      <c r="B2" s="124" t="n"/>
      <c r="C2" s="124" t="n"/>
      <c r="D2" s="124" t="n"/>
      <c r="E2" s="124" t="n"/>
      <c r="F2" s="124" t="n"/>
      <c r="G2" s="124" t="n"/>
      <c r="H2" s="124" t="n"/>
    </row>
    <row r="3" ht="33.75" customHeight="1" s="122">
      <c r="A3" s="124" t="n"/>
      <c r="B3" s="174" t="inlineStr">
        <is>
          <t>⚠ تصحيح</t>
        </is>
      </c>
      <c r="C3" s="175" t="inlineStr">
        <is>
          <t>صف «اجمالي محطات الربع الاول» مدمج مع صفوف المحطات — جمعه معها ضاعف الأرقام. الصحيح 128 وحدة و96 شاغرة لا 256 و192.</t>
        </is>
      </c>
      <c r="D3" s="124" t="n"/>
      <c r="E3" s="124" t="n"/>
      <c r="F3" s="124" t="n"/>
      <c r="G3" s="124" t="n"/>
      <c r="H3" s="124" t="n"/>
    </row>
    <row r="4" ht="31.5" customHeight="1" s="122">
      <c r="A4" s="138" t="inlineStr">
        <is>
          <t>#</t>
        </is>
      </c>
      <c r="B4" s="138" t="inlineStr">
        <is>
          <t>محطة الامتياز</t>
        </is>
      </c>
      <c r="C4" s="138" t="inlineStr">
        <is>
          <t>المدينة</t>
        </is>
      </c>
      <c r="D4" s="138" t="inlineStr">
        <is>
          <t>وحدات</t>
        </is>
      </c>
      <c r="E4" s="138" t="inlineStr">
        <is>
          <t>مؤجّر</t>
        </is>
      </c>
      <c r="F4" s="138" t="inlineStr">
        <is>
          <t>شاغر</t>
        </is>
      </c>
      <c r="G4" s="138" t="inlineStr">
        <is>
          <t>الإشغال</t>
        </is>
      </c>
      <c r="H4" s="138" t="inlineStr">
        <is>
          <t>أنواع الوحدات الشاغرة</t>
        </is>
      </c>
    </row>
    <row r="5" ht="21.75" customHeight="1" s="122">
      <c r="A5" s="144" t="n">
        <v>1</v>
      </c>
      <c r="B5" s="147" t="inlineStr">
        <is>
          <t>الظبيه</t>
        </is>
      </c>
      <c r="C5" s="144" t="inlineStr">
        <is>
          <t>الظبية</t>
        </is>
      </c>
      <c r="D5" s="144" t="n">
        <v>31</v>
      </c>
      <c r="E5" s="144" t="n">
        <v>1</v>
      </c>
      <c r="F5" s="144">
        <f>D5-E5</f>
        <v/>
      </c>
      <c r="G5" s="166">
        <f>IFERROR(E5/D5,"")</f>
        <v/>
      </c>
      <c r="H5" s="176" t="inlineStr">
        <is>
          <t>◄ غير مصنّفة</t>
        </is>
      </c>
    </row>
    <row r="6" ht="21.75" customHeight="1" s="122">
      <c r="A6" s="144" t="n">
        <v>2</v>
      </c>
      <c r="B6" s="147" t="inlineStr">
        <is>
          <t>خيبر بيشة</t>
        </is>
      </c>
      <c r="C6" s="144" t="inlineStr">
        <is>
          <t>خيبر</t>
        </is>
      </c>
      <c r="D6" s="144" t="n">
        <v>12</v>
      </c>
      <c r="E6" s="144" t="n">
        <v>0</v>
      </c>
      <c r="F6" s="144">
        <f>D6-E6</f>
        <v/>
      </c>
      <c r="G6" s="177">
        <f>IFERROR(E6/D6,"")</f>
        <v/>
      </c>
      <c r="H6" s="176" t="inlineStr">
        <is>
          <t>◄ غير مصنّفة</t>
        </is>
      </c>
    </row>
    <row r="7" ht="21.75" customHeight="1" s="122">
      <c r="A7" s="144" t="n">
        <v>3</v>
      </c>
      <c r="B7" s="147" t="inlineStr">
        <is>
          <t>طريق السلام</t>
        </is>
      </c>
      <c r="C7" s="144" t="inlineStr">
        <is>
          <t>المدينة المنورة</t>
        </is>
      </c>
      <c r="D7" s="144" t="n">
        <v>11</v>
      </c>
      <c r="E7" s="144" t="n">
        <v>0</v>
      </c>
      <c r="F7" s="144">
        <f>D7-E7</f>
        <v/>
      </c>
      <c r="G7" s="177">
        <f>IFERROR(E7/D7,"")</f>
        <v/>
      </c>
      <c r="H7" s="176" t="inlineStr">
        <is>
          <t>◄ غير مصنّفة</t>
        </is>
      </c>
    </row>
    <row r="8" ht="21.75" customHeight="1" s="122">
      <c r="A8" s="144" t="n">
        <v>4</v>
      </c>
      <c r="B8" s="147" t="inlineStr">
        <is>
          <t>الحزام الجنوبي</t>
        </is>
      </c>
      <c r="C8" s="144" t="inlineStr">
        <is>
          <t>جازان</t>
        </is>
      </c>
      <c r="D8" s="144" t="n">
        <v>7</v>
      </c>
      <c r="E8" s="144" t="n">
        <v>0</v>
      </c>
      <c r="F8" s="144">
        <f>D8-E8</f>
        <v/>
      </c>
      <c r="G8" s="177">
        <f>IFERROR(E8/D8,"")</f>
        <v/>
      </c>
      <c r="H8" s="139" t="inlineStr">
        <is>
          <t>كشك2 \ محلات5</t>
        </is>
      </c>
    </row>
    <row r="9" ht="21.75" customHeight="1" s="122">
      <c r="A9" s="144" t="n">
        <v>5</v>
      </c>
      <c r="B9" s="147" t="inlineStr">
        <is>
          <t>الحزم</t>
        </is>
      </c>
      <c r="C9" s="144" t="inlineStr">
        <is>
          <t>جدة</t>
        </is>
      </c>
      <c r="D9" s="144" t="n">
        <v>7</v>
      </c>
      <c r="E9" s="144" t="n">
        <v>0</v>
      </c>
      <c r="F9" s="144">
        <f>D9-E9</f>
        <v/>
      </c>
      <c r="G9" s="177">
        <f>IFERROR(E9/D9,"")</f>
        <v/>
      </c>
      <c r="H9" s="176" t="inlineStr">
        <is>
          <t>◄ غير مصنّفة</t>
        </is>
      </c>
    </row>
    <row r="10" ht="21.75" customHeight="1" s="122">
      <c r="A10" s="144" t="n">
        <v>6</v>
      </c>
      <c r="B10" s="147" t="inlineStr">
        <is>
          <t>الأمير سعود</t>
        </is>
      </c>
      <c r="C10" s="144" t="inlineStr">
        <is>
          <t>حائل</t>
        </is>
      </c>
      <c r="D10" s="144" t="n">
        <v>10</v>
      </c>
      <c r="E10" s="144" t="n">
        <v>5</v>
      </c>
      <c r="F10" s="144">
        <f>D10-E10</f>
        <v/>
      </c>
      <c r="G10" s="166">
        <f>IFERROR(E10/D10,"")</f>
        <v/>
      </c>
      <c r="H10" s="139" t="inlineStr">
        <is>
          <t>كشك \ محل \ درايف ثرو3</t>
        </is>
      </c>
    </row>
    <row r="11" ht="21.75" customHeight="1" s="122">
      <c r="A11" s="144" t="n">
        <v>7</v>
      </c>
      <c r="B11" s="147" t="inlineStr">
        <is>
          <t>نجم الدين الايوبي</t>
        </is>
      </c>
      <c r="C11" s="144" t="inlineStr">
        <is>
          <t>الرياض</t>
        </is>
      </c>
      <c r="D11" s="144" t="n">
        <v>7</v>
      </c>
      <c r="E11" s="144" t="n">
        <v>3</v>
      </c>
      <c r="F11" s="144">
        <f>D11-E11</f>
        <v/>
      </c>
      <c r="G11" s="166">
        <f>IFERROR(E11/D11,"")</f>
        <v/>
      </c>
      <c r="H11" s="139" t="inlineStr">
        <is>
          <t>كشك2 \ محل2</t>
        </is>
      </c>
    </row>
    <row r="12" ht="21.75" customHeight="1" s="122">
      <c r="A12" s="144" t="n">
        <v>8</v>
      </c>
      <c r="B12" s="147" t="inlineStr">
        <is>
          <t>العزيزية خميس مشيط</t>
        </is>
      </c>
      <c r="C12" s="144" t="inlineStr">
        <is>
          <t>خميس مشيط</t>
        </is>
      </c>
      <c r="D12" s="144" t="n">
        <v>6</v>
      </c>
      <c r="E12" s="144" t="n">
        <v>3</v>
      </c>
      <c r="F12" s="144">
        <f>D12-E12</f>
        <v/>
      </c>
      <c r="G12" s="166">
        <f>IFERROR(E12/D12,"")</f>
        <v/>
      </c>
      <c r="H12" s="139" t="inlineStr">
        <is>
          <t>كشك \ محل \ زيوت</t>
        </is>
      </c>
    </row>
    <row r="13" ht="21.75" customHeight="1" s="122">
      <c r="A13" s="144" t="n">
        <v>9</v>
      </c>
      <c r="B13" s="147" t="inlineStr">
        <is>
          <t>السفير 4 ( الهدا )</t>
        </is>
      </c>
      <c r="C13" s="144" t="inlineStr">
        <is>
          <t>الخرج</t>
        </is>
      </c>
      <c r="D13" s="144" t="n">
        <v>11</v>
      </c>
      <c r="E13" s="144" t="n">
        <v>8</v>
      </c>
      <c r="F13" s="144">
        <f>D13-E13</f>
        <v/>
      </c>
      <c r="G13" s="166">
        <f>IFERROR(E13/D13,"")</f>
        <v/>
      </c>
      <c r="H13" s="139" t="inlineStr">
        <is>
          <t>مطعم \ محل \ صراف</t>
        </is>
      </c>
    </row>
    <row r="14" ht="21.75" customHeight="1" s="122">
      <c r="A14" s="144" t="n">
        <v>10</v>
      </c>
      <c r="B14" s="147" t="inlineStr">
        <is>
          <t>بترولايز - الياقوت</t>
        </is>
      </c>
      <c r="C14" s="144" t="inlineStr">
        <is>
          <t>جدة</t>
        </is>
      </c>
      <c r="D14" s="144" t="n">
        <v>3</v>
      </c>
      <c r="E14" s="144" t="n">
        <v>0</v>
      </c>
      <c r="F14" s="144">
        <f>D14-E14</f>
        <v/>
      </c>
      <c r="G14" s="177">
        <f>IFERROR(E14/D14,"")</f>
        <v/>
      </c>
      <c r="H14" s="139" t="inlineStr">
        <is>
          <t>ورشة \ محل \ صراف</t>
        </is>
      </c>
    </row>
    <row r="15" ht="21.75" customHeight="1" s="122">
      <c r="A15" s="144" t="n">
        <v>11</v>
      </c>
      <c r="B15" s="147" t="inlineStr">
        <is>
          <t>طريق احد</t>
        </is>
      </c>
      <c r="C15" s="144" t="inlineStr">
        <is>
          <t>القطيف</t>
        </is>
      </c>
      <c r="D15" s="144" t="n">
        <v>2</v>
      </c>
      <c r="E15" s="144" t="n">
        <v>0</v>
      </c>
      <c r="F15" s="144">
        <f>D15-E15</f>
        <v/>
      </c>
      <c r="G15" s="177">
        <f>IFERROR(E15/D15,"")</f>
        <v/>
      </c>
      <c r="H15" s="139" t="inlineStr">
        <is>
          <t>كشك \ محل</t>
        </is>
      </c>
    </row>
    <row r="16" ht="21.75" customHeight="1" s="122">
      <c r="A16" s="144" t="n">
        <v>12</v>
      </c>
      <c r="B16" s="147" t="inlineStr">
        <is>
          <t>اكويلا فيول</t>
        </is>
      </c>
      <c r="C16" s="144" t="inlineStr">
        <is>
          <t>جده</t>
        </is>
      </c>
      <c r="D16" s="144" t="n">
        <v>2</v>
      </c>
      <c r="E16" s="144" t="n">
        <v>0</v>
      </c>
      <c r="F16" s="144">
        <f>D16-E16</f>
        <v/>
      </c>
      <c r="G16" s="177">
        <f>IFERROR(E16/D16,"")</f>
        <v/>
      </c>
      <c r="H16" s="139" t="inlineStr">
        <is>
          <t>كشك2</t>
        </is>
      </c>
    </row>
    <row r="17" ht="21.75" customHeight="1" s="122">
      <c r="A17" s="144" t="n">
        <v>13</v>
      </c>
      <c r="B17" s="147" t="inlineStr">
        <is>
          <t>الأمير سعد</t>
        </is>
      </c>
      <c r="C17" s="144" t="inlineStr">
        <is>
          <t>الرياض</t>
        </is>
      </c>
      <c r="D17" s="144" t="n">
        <v>3</v>
      </c>
      <c r="E17" s="144" t="n">
        <v>1</v>
      </c>
      <c r="F17" s="144">
        <f>D17-E17</f>
        <v/>
      </c>
      <c r="G17" s="166">
        <f>IFERROR(E17/D17,"")</f>
        <v/>
      </c>
      <c r="H17" s="139" t="inlineStr">
        <is>
          <t>خدمات سيارات \ سوبرماركت</t>
        </is>
      </c>
    </row>
    <row r="18" ht="21.75" customHeight="1" s="122">
      <c r="A18" s="144" t="n">
        <v>14</v>
      </c>
      <c r="B18" s="147" t="inlineStr">
        <is>
          <t>الذيبة</t>
        </is>
      </c>
      <c r="C18" s="144" t="inlineStr">
        <is>
          <t>حفر الباطن</t>
        </is>
      </c>
      <c r="D18" s="144" t="n">
        <v>5</v>
      </c>
      <c r="E18" s="144" t="n">
        <v>4</v>
      </c>
      <c r="F18" s="144">
        <f>D18-E18</f>
        <v/>
      </c>
      <c r="G18" s="166">
        <f>IFERROR(E18/D18,"")</f>
        <v/>
      </c>
      <c r="H18" s="139" t="inlineStr">
        <is>
          <t>محل</t>
        </is>
      </c>
    </row>
    <row r="19" ht="21.75" customHeight="1" s="122">
      <c r="A19" s="144" t="n">
        <v>15</v>
      </c>
      <c r="B19" s="147" t="inlineStr">
        <is>
          <t>الواحة</t>
        </is>
      </c>
      <c r="C19" s="144" t="inlineStr">
        <is>
          <t>حفر الباطن</t>
        </is>
      </c>
      <c r="D19" s="144" t="n">
        <v>8</v>
      </c>
      <c r="E19" s="144" t="n">
        <v>7</v>
      </c>
      <c r="F19" s="144">
        <f>D19-E19</f>
        <v/>
      </c>
      <c r="G19" s="166">
        <f>IFERROR(E19/D19,"")</f>
        <v/>
      </c>
      <c r="H19" s="139" t="inlineStr">
        <is>
          <t>درايف ثرو</t>
        </is>
      </c>
    </row>
    <row r="20" ht="21.75" customHeight="1" s="122">
      <c r="A20" s="144" t="n">
        <v>16</v>
      </c>
      <c r="B20" s="147" t="inlineStr">
        <is>
          <t>بترولايز الواحة</t>
        </is>
      </c>
      <c r="C20" s="144" t="inlineStr">
        <is>
          <t>جدة</t>
        </is>
      </c>
      <c r="D20" s="144" t="n">
        <v>1</v>
      </c>
      <c r="E20" s="144" t="n">
        <v>0</v>
      </c>
      <c r="F20" s="144">
        <f>D20-E20</f>
        <v/>
      </c>
      <c r="G20" s="177">
        <f>IFERROR(E20/D20,"")</f>
        <v/>
      </c>
      <c r="H20" s="139" t="inlineStr">
        <is>
          <t>درايف ثرو</t>
        </is>
      </c>
    </row>
    <row r="21" ht="21.75" customHeight="1" s="122">
      <c r="A21" s="144" t="n">
        <v>17</v>
      </c>
      <c r="B21" s="147" t="inlineStr">
        <is>
          <t>بترولابز الفلاح</t>
        </is>
      </c>
      <c r="C21" s="144" t="inlineStr">
        <is>
          <t>جدة</t>
        </is>
      </c>
      <c r="D21" s="144" t="n">
        <v>1</v>
      </c>
      <c r="E21" s="144" t="n">
        <v>0</v>
      </c>
      <c r="F21" s="144">
        <f>D21-E21</f>
        <v/>
      </c>
      <c r="G21" s="177">
        <f>IFERROR(E21/D21,"")</f>
        <v/>
      </c>
      <c r="H21" s="139" t="inlineStr">
        <is>
          <t>محل</t>
        </is>
      </c>
    </row>
    <row r="22" ht="21.75" customHeight="1" s="122">
      <c r="A22" s="144" t="n">
        <v>18</v>
      </c>
      <c r="B22" s="147" t="inlineStr">
        <is>
          <t>بترولايز- طيبة</t>
        </is>
      </c>
      <c r="C22" s="144" t="inlineStr">
        <is>
          <t>جدة</t>
        </is>
      </c>
      <c r="D22" s="144" t="n">
        <v>1</v>
      </c>
      <c r="E22" s="144" t="n">
        <v>0</v>
      </c>
      <c r="F22" s="144">
        <f>D22-E22</f>
        <v/>
      </c>
      <c r="G22" s="177">
        <f>IFERROR(E22/D22,"")</f>
        <v/>
      </c>
      <c r="H22" s="139" t="inlineStr">
        <is>
          <t>سوبرماركت</t>
        </is>
      </c>
    </row>
    <row r="23" ht="15" customHeight="1" s="122">
      <c r="A23" s="155" t="n"/>
      <c r="B23" s="156" t="inlineStr">
        <is>
          <t>الإجمالي</t>
        </is>
      </c>
      <c r="C23" s="155" t="n"/>
      <c r="D23" s="155">
        <f>SUM(D5:D22)</f>
        <v/>
      </c>
      <c r="E23" s="155">
        <f>SUM(E5:E22)</f>
        <v/>
      </c>
      <c r="F23" s="155">
        <f>SUM(F5:F22)</f>
        <v/>
      </c>
      <c r="G23" s="178">
        <f>IFERROR(E23/D23,"")</f>
        <v/>
      </c>
      <c r="H23" s="156" t="n"/>
    </row>
    <row r="24">
      <c r="A24" s="124" t="n"/>
      <c r="B24" s="124" t="n"/>
      <c r="C24" s="124" t="n"/>
      <c r="D24" s="124" t="n"/>
      <c r="E24" s="124" t="n"/>
      <c r="F24" s="124" t="n"/>
      <c r="G24" s="124" t="n"/>
      <c r="H24" s="124" t="n"/>
    </row>
    <row r="25" ht="15" customHeight="1" s="122">
      <c r="A25" s="124" t="n"/>
      <c r="B25" s="159" t="inlineStr">
        <is>
          <t>المحطات المملوكة — 123 محطة</t>
        </is>
      </c>
      <c r="C25" s="124" t="n"/>
      <c r="D25" s="124" t="n"/>
      <c r="E25" s="124" t="n"/>
      <c r="F25" s="124" t="n"/>
      <c r="G25" s="124" t="n"/>
      <c r="H25" s="124" t="n"/>
    </row>
    <row r="26" ht="31.5" customHeight="1" s="122">
      <c r="A26" s="138" t="inlineStr">
        <is>
          <t>#</t>
        </is>
      </c>
      <c r="B26" s="138" t="inlineStr">
        <is>
          <t>الحالة</t>
        </is>
      </c>
      <c r="C26" s="138" t="inlineStr">
        <is>
          <t>العدد</t>
        </is>
      </c>
      <c r="D26" s="138" t="inlineStr">
        <is>
          <t>بنشاط</t>
        </is>
      </c>
      <c r="E26" s="138" t="inlineStr">
        <is>
          <t>بلا نشاط</t>
        </is>
      </c>
      <c r="F26" s="138" t="n"/>
      <c r="G26" s="138" t="n"/>
      <c r="H26" s="138" t="inlineStr">
        <is>
          <t>القراءة</t>
        </is>
      </c>
    </row>
    <row r="27" ht="24" customHeight="1" s="122">
      <c r="A27" s="144" t="n">
        <v>1</v>
      </c>
      <c r="B27" s="147" t="inlineStr">
        <is>
          <t>مفتوحة (Open)</t>
        </is>
      </c>
      <c r="C27" s="144" t="n">
        <v>71</v>
      </c>
      <c r="D27" s="144" t="n">
        <v>51</v>
      </c>
      <c r="E27" s="143" t="n">
        <v>20</v>
      </c>
      <c r="F27" s="144" t="n"/>
      <c r="G27" s="144" t="n"/>
      <c r="H27" s="139" t="inlineStr">
        <is>
          <t>الفجوة الفعلية القابلة للعلاج الآن</t>
        </is>
      </c>
    </row>
    <row r="28" ht="24" customHeight="1" s="122">
      <c r="A28" s="144" t="n">
        <v>2</v>
      </c>
      <c r="B28" s="147" t="inlineStr">
        <is>
          <t>تحت الإنشاء (In progress)</t>
        </is>
      </c>
      <c r="C28" s="144" t="n">
        <v>52</v>
      </c>
      <c r="D28" s="144" t="n">
        <v>0</v>
      </c>
      <c r="E28" s="142" t="n">
        <v>52</v>
      </c>
      <c r="F28" s="144" t="n"/>
      <c r="G28" s="144" t="n"/>
      <c r="H28" s="139" t="inlineStr">
        <is>
          <t>ليست فجوة بل خط أنابيب — يُتعاقَد لها قبل الافتتاح</t>
        </is>
      </c>
    </row>
    <row r="29">
      <c r="A29" s="124" t="n"/>
      <c r="B29" s="124" t="n"/>
      <c r="C29" s="124" t="n"/>
      <c r="D29" s="124" t="n"/>
      <c r="E29" s="124" t="n"/>
      <c r="F29" s="124" t="n"/>
      <c r="G29" s="124" t="n"/>
      <c r="H29" s="124" t="n"/>
    </row>
    <row r="30" ht="15" customHeight="1" s="122">
      <c r="A30" s="124" t="n"/>
      <c r="B30" s="159" t="inlineStr">
        <is>
          <t>محفظة العلامات — التفتّت</t>
        </is>
      </c>
      <c r="C30" s="124" t="n"/>
      <c r="D30" s="124" t="n"/>
      <c r="E30" s="124" t="n"/>
      <c r="F30" s="124" t="n"/>
      <c r="G30" s="124" t="n"/>
      <c r="H30" s="124" t="n"/>
    </row>
    <row r="31" ht="31.5" customHeight="1" s="122">
      <c r="A31" s="138" t="inlineStr">
        <is>
          <t>#</t>
        </is>
      </c>
      <c r="B31" s="138" t="inlineStr">
        <is>
          <t>الفئة</t>
        </is>
      </c>
      <c r="C31" s="138" t="inlineStr">
        <is>
          <t>محطات</t>
        </is>
      </c>
      <c r="D31" s="138" t="inlineStr">
        <is>
          <t>علامات</t>
        </is>
      </c>
      <c r="E31" s="138" t="inlineStr">
        <is>
          <t>الأكثر تكراراً</t>
        </is>
      </c>
      <c r="F31" s="138" t="inlineStr">
        <is>
          <t>مرات</t>
        </is>
      </c>
      <c r="G31" s="138" t="inlineStr">
        <is>
          <t>تركّز</t>
        </is>
      </c>
      <c r="H31" s="138" t="inlineStr">
        <is>
          <t>القراءة</t>
        </is>
      </c>
    </row>
    <row r="32" ht="24" customHeight="1" s="122">
      <c r="A32" s="144" t="n">
        <v>1</v>
      </c>
      <c r="B32" s="147" t="inlineStr">
        <is>
          <t>مطاعم</t>
        </is>
      </c>
      <c r="C32" s="144" t="n">
        <v>26</v>
      </c>
      <c r="D32" s="144" t="n">
        <v>48</v>
      </c>
      <c r="E32" s="129" t="inlineStr">
        <is>
          <t>ماكدونالدز</t>
        </is>
      </c>
      <c r="F32" s="144" t="n">
        <v>7</v>
      </c>
      <c r="G32" s="179">
        <f>IFERROR(F32/C32,"")</f>
        <v/>
      </c>
      <c r="H32" s="139" t="inlineStr">
        <is>
          <t>مفتّت — بلا قوة تفاوضية</t>
        </is>
      </c>
    </row>
    <row r="33" ht="24" customHeight="1" s="122">
      <c r="A33" s="144" t="n">
        <v>2</v>
      </c>
      <c r="B33" s="147" t="inlineStr">
        <is>
          <t>كافيهات</t>
        </is>
      </c>
      <c r="C33" s="144" t="n">
        <v>42</v>
      </c>
      <c r="D33" s="144" t="n">
        <v>67</v>
      </c>
      <c r="E33" s="129" t="inlineStr">
        <is>
          <t>بون</t>
        </is>
      </c>
      <c r="F33" s="144" t="n">
        <v>12</v>
      </c>
      <c r="G33" s="179">
        <f>IFERROR(F33/C33,"")</f>
        <v/>
      </c>
      <c r="H33" s="139" t="inlineStr">
        <is>
          <t>مفتّت — بلا قوة تفاوضية</t>
        </is>
      </c>
    </row>
    <row r="34" ht="24" customHeight="1" s="122">
      <c r="A34" s="144" t="n">
        <v>3</v>
      </c>
      <c r="B34" s="147" t="inlineStr">
        <is>
          <t>ماركت</t>
        </is>
      </c>
      <c r="C34" s="144" t="n">
        <v>40</v>
      </c>
      <c r="D34" s="144" t="n">
        <v>23</v>
      </c>
      <c r="E34" s="129" t="inlineStr">
        <is>
          <t>فريش واي</t>
        </is>
      </c>
      <c r="F34" s="144" t="n">
        <v>17</v>
      </c>
      <c r="G34" s="180">
        <f>IFERROR(F34/C34,"")</f>
        <v/>
      </c>
      <c r="H34" s="139" t="inlineStr">
        <is>
          <t>علامة واحدة في 40% من المحطات — النموذج الوحيد القابل للتكرار</t>
        </is>
      </c>
    </row>
    <row r="35" ht="24" customHeight="1" s="122">
      <c r="A35" s="144" t="n">
        <v>4</v>
      </c>
      <c r="B35" s="147" t="inlineStr">
        <is>
          <t>أخرى</t>
        </is>
      </c>
      <c r="C35" s="144" t="n">
        <v>6</v>
      </c>
      <c r="D35" s="144" t="n">
        <v>6</v>
      </c>
      <c r="E35" s="129" t="inlineStr">
        <is>
          <t>Redbox</t>
        </is>
      </c>
      <c r="F35" s="144" t="n">
        <v>1</v>
      </c>
      <c r="G35" s="179">
        <f>IFERROR(F35/C35,"")</f>
        <v/>
      </c>
      <c r="H35" s="139" t="inlineStr">
        <is>
          <t>خمس علامات فقط — ولا واحدة متكررة</t>
        </is>
      </c>
    </row>
    <row r="36" ht="24" customHeight="1" s="122">
      <c r="A36" s="144" t="n">
        <v>5</v>
      </c>
      <c r="B36" s="147" t="inlineStr">
        <is>
          <t>خدمات سيارات</t>
        </is>
      </c>
      <c r="C36" s="144" t="n">
        <v>39</v>
      </c>
      <c r="D36" s="144" t="n">
        <v>46</v>
      </c>
      <c r="E36" s="129" t="inlineStr">
        <is>
          <t>بترومين</t>
        </is>
      </c>
      <c r="F36" s="144" t="n">
        <v>11</v>
      </c>
      <c r="G36" s="179">
        <f>IFERROR(F36/C36,"")</f>
        <v/>
      </c>
      <c r="H36" s="139" t="inlineStr">
        <is>
          <t>مفتّت — بلا قوة تفاوضية</t>
        </is>
      </c>
    </row>
    <row r="37">
      <c r="A37" s="124" t="n"/>
      <c r="B37" s="124" t="n"/>
      <c r="C37" s="124" t="n"/>
      <c r="D37" s="124" t="n"/>
      <c r="E37" s="124" t="n"/>
      <c r="F37" s="124" t="n"/>
      <c r="G37" s="124" t="n"/>
      <c r="H37" s="124" t="n"/>
    </row>
    <row r="38" ht="15" customHeight="1" s="122">
      <c r="A38" s="124" t="n"/>
      <c r="B38" s="164" t="inlineStr">
        <is>
          <t>الفجوة الفعلية</t>
        </is>
      </c>
      <c r="C38" s="124" t="n"/>
      <c r="D38" s="124" t="n"/>
      <c r="E38" s="124" t="n"/>
      <c r="F38" s="124" t="n"/>
      <c r="G38" s="124" t="n"/>
      <c r="H38" s="124" t="n"/>
    </row>
    <row r="39" ht="15.75" customHeight="1" s="122">
      <c r="A39" s="124" t="n"/>
      <c r="B39" s="124" t="n"/>
      <c r="C39" s="149" t="inlineStr">
        <is>
          <t>•  20 محطة مفتوحة بلا نشاط تجاري من أصل 71 مفتوحة</t>
        </is>
      </c>
      <c r="D39" s="124" t="n"/>
      <c r="E39" s="124" t="n"/>
      <c r="F39" s="124" t="n"/>
      <c r="G39" s="124" t="n"/>
      <c r="H39" s="124" t="n"/>
    </row>
    <row r="40" ht="15.75" customHeight="1" s="122">
      <c r="A40" s="124" t="n"/>
      <c r="B40" s="124" t="n"/>
      <c r="C40" s="149" t="inlineStr">
        <is>
          <t>•  96 وحدة شاغرة في الامتياز — إشغال 25%</t>
        </is>
      </c>
      <c r="D40" s="124" t="n"/>
      <c r="E40" s="124" t="n"/>
      <c r="F40" s="124" t="n"/>
      <c r="G40" s="124" t="n"/>
      <c r="H40" s="124" t="n"/>
    </row>
    <row r="41" ht="15.75" customHeight="1" s="122">
      <c r="A41" s="124" t="n"/>
      <c r="B41" s="124" t="n"/>
      <c r="C41" s="149" t="inlineStr">
        <is>
          <t>•  52 محطة تحت الإنشاء ليست فجوة بل خط أنابيب</t>
        </is>
      </c>
      <c r="D41" s="124" t="n"/>
      <c r="E41" s="124" t="n"/>
      <c r="F41" s="124" t="n"/>
      <c r="G41" s="124" t="n"/>
      <c r="H41" s="124" t="n"/>
    </row>
    <row r="42">
      <c r="A42" s="124" t="n"/>
      <c r="B42" s="124" t="n"/>
      <c r="C42" s="124" t="n"/>
      <c r="D42" s="124" t="n"/>
      <c r="E42" s="124" t="n"/>
      <c r="F42" s="124" t="n"/>
      <c r="G42" s="124" t="n"/>
      <c r="H42" s="124" t="n"/>
    </row>
    <row r="43" ht="15" customHeight="1" s="122">
      <c r="A43" s="124" t="n"/>
      <c r="B43" s="164" t="inlineStr">
        <is>
          <t>عوائق التنفيذ</t>
        </is>
      </c>
      <c r="C43" s="124" t="n"/>
      <c r="D43" s="124" t="n"/>
      <c r="E43" s="124" t="n"/>
      <c r="F43" s="124" t="n"/>
      <c r="G43" s="124" t="n"/>
      <c r="H43" s="124" t="n"/>
    </row>
    <row r="44" ht="15.75" customHeight="1" s="122">
      <c r="A44" s="124" t="n"/>
      <c r="B44" s="124" t="n"/>
      <c r="C44" s="149" t="inlineStr">
        <is>
          <t>•  60 وحدة شاغرة (62%) بلا نوع مسجَّل — ما لم يُحصر لا يُسوَّق</t>
        </is>
      </c>
      <c r="D44" s="124" t="n"/>
      <c r="E44" s="124" t="n"/>
      <c r="F44" s="124" t="n"/>
      <c r="G44" s="124" t="n"/>
      <c r="H44" s="124" t="n"/>
    </row>
    <row r="45" ht="15.75" customHeight="1" s="122">
      <c r="A45" s="124" t="n"/>
      <c r="B45" s="124" t="n"/>
      <c r="C45" s="149" t="inlineStr">
        <is>
          <t>•  الظبية وحدها 31 وحدة بإشغال 3.2%</t>
        </is>
      </c>
      <c r="D45" s="124" t="n"/>
      <c r="E45" s="124" t="n"/>
      <c r="F45" s="124" t="n"/>
      <c r="G45" s="124" t="n"/>
      <c r="H45" s="124" t="n"/>
    </row>
    <row r="46" ht="15.75" customHeight="1" s="122">
      <c r="A46" s="124" t="n"/>
      <c r="B46" s="124" t="n"/>
      <c r="C46" s="149" t="inlineStr">
        <is>
          <t>•  190 علامة عبر خمس فئات بلا اتفاقيات إطارية</t>
        </is>
      </c>
      <c r="D46" s="124" t="n"/>
      <c r="E46" s="124" t="n"/>
      <c r="F46" s="124" t="n"/>
      <c r="G46" s="124" t="n"/>
      <c r="H46" s="124" t="n"/>
    </row>
    <row r="47">
      <c r="A47" s="124" t="n"/>
      <c r="B47" s="124" t="n"/>
      <c r="C47" s="124" t="n"/>
      <c r="D47" s="124" t="n"/>
      <c r="E47" s="124" t="n"/>
      <c r="F47" s="124" t="n"/>
      <c r="G47" s="124" t="n"/>
      <c r="H47" s="124" t="n"/>
    </row>
    <row r="48" ht="15" customHeight="1" s="122">
      <c r="A48" s="124" t="n"/>
      <c r="B48" s="148" t="inlineStr">
        <is>
          <t>الفرصة</t>
        </is>
      </c>
      <c r="C48" s="124" t="n"/>
      <c r="D48" s="124" t="n"/>
      <c r="E48" s="124" t="n"/>
      <c r="F48" s="124" t="n"/>
      <c r="G48" s="124" t="n"/>
      <c r="H48" s="124" t="n"/>
    </row>
    <row r="49" ht="15.75" customHeight="1" s="122">
      <c r="A49" s="124" t="n"/>
      <c r="B49" s="124" t="n"/>
      <c r="C49" s="149" t="inlineStr">
        <is>
          <t>•  التعاقد للـ52 محطة قبل الافتتاح أرخص من ملء محطة عاملة</t>
        </is>
      </c>
      <c r="D49" s="124" t="n"/>
      <c r="E49" s="124" t="n"/>
      <c r="F49" s="124" t="n"/>
      <c r="G49" s="124" t="n"/>
      <c r="H49" s="124" t="n"/>
    </row>
    <row r="50" ht="15.75" customHeight="1" s="122">
      <c r="A50" s="124" t="n"/>
      <c r="B50" s="124" t="n"/>
      <c r="C50" s="149" t="inlineStr">
        <is>
          <t>•  فريش واي في 17 محطة — النموذج الوحيد القابل للتكرار</t>
        </is>
      </c>
      <c r="D50" s="124" t="n"/>
      <c r="E50" s="124" t="n"/>
      <c r="F50" s="124" t="n"/>
      <c r="G50" s="124" t="n"/>
      <c r="H50" s="124" t="n"/>
    </row>
    <row r="51" ht="15.75" customHeight="1" s="122">
      <c r="A51" s="124" t="n"/>
      <c r="B51" s="124" t="n"/>
      <c r="C51" s="149" t="inlineStr">
        <is>
          <t>•  التمويل وإهلاك حق الاستخدام ثابتان — فالإيجار الإضافي ربح شبه صافٍ</t>
        </is>
      </c>
      <c r="D51" s="124" t="n"/>
      <c r="E51" s="124" t="n"/>
      <c r="F51" s="124" t="n"/>
      <c r="G51" s="124" t="n"/>
      <c r="H51" s="124" t="n"/>
    </row>
  </sheetData>
  <mergeCells count="12">
    <mergeCell ref="C51:H51"/>
    <mergeCell ref="C46:H46"/>
    <mergeCell ref="C41:H41"/>
    <mergeCell ref="C50:H50"/>
    <mergeCell ref="C44:H44"/>
    <mergeCell ref="A2:H2"/>
    <mergeCell ref="C40:H40"/>
    <mergeCell ref="C3:H3"/>
    <mergeCell ref="C45:H45"/>
    <mergeCell ref="C39:H39"/>
    <mergeCell ref="C49:H49"/>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65"/>
  <sheetViews>
    <sheetView showFormulas="0" showGridLines="0"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4" customWidth="1" style="121" min="1" max="1"/>
    <col width="22" customWidth="1" style="121" min="2" max="2"/>
    <col width="15" customWidth="1" style="121" min="3" max="4"/>
    <col width="9" customWidth="1" style="121" min="5" max="5"/>
    <col width="10" customWidth="1" style="121" min="6" max="6"/>
    <col width="14" customWidth="1" style="121" min="7" max="7"/>
    <col width="15" customWidth="1" style="121" min="8" max="8"/>
    <col width="8" customWidth="1" style="121" min="9" max="10"/>
    <col width="9" customWidth="1" style="121" min="11" max="11"/>
    <col width="12" customWidth="1" style="121" min="12" max="12"/>
    <col width="40" customWidth="1" style="121" min="13" max="13"/>
  </cols>
  <sheetData>
    <row r="1" ht="25.5" customHeight="1" s="122">
      <c r="A1" s="123" t="inlineStr">
        <is>
          <t>التحليل الموقفي — كل منتج داخل المحطة</t>
        </is>
      </c>
      <c r="B1" s="124" t="n"/>
      <c r="C1" s="124" t="n"/>
      <c r="D1" s="124" t="n"/>
      <c r="E1" s="124" t="n"/>
      <c r="F1" s="124" t="n"/>
      <c r="G1" s="124" t="n"/>
      <c r="H1" s="124" t="n"/>
      <c r="I1" s="124" t="n"/>
      <c r="J1" s="124" t="n"/>
      <c r="K1" s="124" t="n"/>
      <c r="L1" s="124" t="n"/>
      <c r="M1" s="124" t="n"/>
    </row>
    <row r="2" ht="18" customHeight="1" s="122">
      <c r="A2" s="125" t="inlineStr">
        <is>
          <t>موقع كل منتج في رحلة العميل · هل هو مطبَّق عندنا · وكيف نطبّقه إن لم يكن</t>
        </is>
      </c>
      <c r="B2" s="124" t="n"/>
      <c r="C2" s="124" t="n"/>
      <c r="D2" s="124" t="n"/>
      <c r="E2" s="124" t="n"/>
      <c r="F2" s="124" t="n"/>
      <c r="G2" s="124" t="n"/>
      <c r="H2" s="124" t="n"/>
      <c r="I2" s="124" t="n"/>
      <c r="J2" s="124" t="n"/>
      <c r="K2" s="124" t="n"/>
      <c r="L2" s="124" t="n"/>
      <c r="M2" s="124" t="n"/>
    </row>
    <row r="3" ht="45.75" customHeight="1" s="122">
      <c r="A3" s="124" t="n"/>
      <c r="B3" s="181" t="inlineStr">
        <is>
          <t>المبدأ</t>
        </is>
      </c>
      <c r="C3" s="127" t="inlineStr">
        <is>
          <t>زمن المكوث يحدد ما يمكن بيعه: التعبئة 4 دقائق · الغسيل 20 · تغيير الزيت 45 · مبيت الشاحنة ليلة. فالمنتجات التي تُطيل المكوث تُموّل ما يحتاج مكوثاً.</t>
        </is>
      </c>
      <c r="D3" s="124" t="n"/>
      <c r="E3" s="124" t="n"/>
      <c r="F3" s="124" t="n"/>
      <c r="G3" s="124" t="n"/>
      <c r="H3" s="124" t="n"/>
      <c r="I3" s="124" t="n"/>
      <c r="J3" s="124" t="n"/>
      <c r="K3" s="124" t="n"/>
      <c r="L3" s="124" t="n"/>
      <c r="M3" s="124" t="n"/>
    </row>
    <row r="4" ht="31.5" customHeight="1" s="122">
      <c r="A4" s="138" t="inlineStr">
        <is>
          <t>#</t>
        </is>
      </c>
      <c r="B4" s="138" t="inlineStr">
        <is>
          <t>المنتج</t>
        </is>
      </c>
      <c r="C4" s="138" t="inlineStr">
        <is>
          <t>موقعه في المحطة</t>
        </is>
      </c>
      <c r="D4" s="138" t="inlineStr">
        <is>
          <t>لحظة القرار</t>
        </is>
      </c>
      <c r="E4" s="138" t="inlineStr">
        <is>
          <t>المكوث</t>
        </is>
      </c>
      <c r="F4" s="138" t="inlineStr">
        <is>
          <t>وجهة/سلة</t>
        </is>
      </c>
      <c r="G4" s="138" t="inlineStr">
        <is>
          <t>من يملك العلاقة</t>
        </is>
      </c>
      <c r="H4" s="138" t="inlineStr">
        <is>
          <t>نموذج إيرادنا</t>
        </is>
      </c>
      <c r="I4" s="138" t="inlineStr">
        <is>
          <t>الحضور</t>
        </is>
      </c>
      <c r="J4" s="138" t="inlineStr">
        <is>
          <t>الأساس</t>
        </is>
      </c>
      <c r="K4" s="138" t="inlineStr">
        <is>
          <t>الفجوة من 71</t>
        </is>
      </c>
      <c r="L4" s="138" t="inlineStr">
        <is>
          <t>مطبَّق؟</t>
        </is>
      </c>
      <c r="M4" s="138" t="inlineStr">
        <is>
          <t>كيف نطبّقه</t>
        </is>
      </c>
    </row>
    <row r="5" ht="21.75" customHeight="1" s="122">
      <c r="A5" s="182" t="inlineStr">
        <is>
          <t>أ · عند المضخة — 3 إلى 5 دقائق</t>
        </is>
      </c>
      <c r="B5" s="183" t="n"/>
      <c r="C5" s="183" t="n"/>
      <c r="D5" s="183" t="n"/>
      <c r="E5" s="183" t="n"/>
      <c r="F5" s="183" t="n"/>
      <c r="G5" s="183" t="n"/>
      <c r="H5" s="183" t="n"/>
      <c r="I5" s="183" t="n"/>
      <c r="J5" s="183" t="n"/>
      <c r="K5" s="183" t="n"/>
      <c r="L5" s="183" t="n"/>
      <c r="M5" s="124" t="n"/>
    </row>
    <row r="6" ht="33.75" customHeight="1" s="122">
      <c r="A6" s="144" t="n">
        <v>1</v>
      </c>
      <c r="B6" s="140" t="inlineStr">
        <is>
          <t>بنزين 91</t>
        </is>
      </c>
      <c r="C6" s="139" t="inlineStr">
        <is>
          <t>المضخة</t>
        </is>
      </c>
      <c r="D6" s="139" t="inlineStr">
        <is>
          <t>قبل الوصول</t>
        </is>
      </c>
      <c r="E6" s="144" t="inlineStr">
        <is>
          <t>4 د</t>
        </is>
      </c>
      <c r="F6" s="146" t="inlineStr">
        <is>
          <t>وجهة</t>
        </is>
      </c>
      <c r="G6" s="139" t="inlineStr">
        <is>
          <t>نحن — بلا هوية</t>
        </is>
      </c>
      <c r="H6" s="139" t="inlineStr">
        <is>
          <t>هامش اللتر</t>
        </is>
      </c>
      <c r="I6" s="141" t="n">
        <v>71</v>
      </c>
      <c r="J6" s="144" t="inlineStr">
        <is>
          <t>43.6% من الإيراد</t>
        </is>
      </c>
      <c r="K6" s="144">
        <f>IF(I6="","",71-I6)</f>
        <v/>
      </c>
      <c r="L6" s="141" t="inlineStr">
        <is>
          <t>مطبَّق</t>
        </is>
      </c>
      <c r="M6" s="139" t="inlineStr">
        <is>
          <t>قائم في كل المحطات — التحسين في الحجم والمزيج</t>
        </is>
      </c>
    </row>
    <row r="7" ht="33.75" customHeight="1" s="122">
      <c r="A7" s="144" t="n">
        <v>2</v>
      </c>
      <c r="B7" s="140" t="inlineStr">
        <is>
          <t>بنزين 95</t>
        </is>
      </c>
      <c r="C7" s="139" t="inlineStr">
        <is>
          <t>المضخة</t>
        </is>
      </c>
      <c r="D7" s="139" t="inlineStr">
        <is>
          <t>قبل الوصول</t>
        </is>
      </c>
      <c r="E7" s="144" t="inlineStr">
        <is>
          <t>4 د</t>
        </is>
      </c>
      <c r="F7" s="146" t="inlineStr">
        <is>
          <t>وجهة</t>
        </is>
      </c>
      <c r="G7" s="139" t="inlineStr">
        <is>
          <t>نحن — بلا هوية</t>
        </is>
      </c>
      <c r="H7" s="139" t="inlineStr">
        <is>
          <t>هامش اللتر</t>
        </is>
      </c>
      <c r="I7" s="141" t="n">
        <v>71</v>
      </c>
      <c r="J7" s="144" t="inlineStr">
        <is>
          <t>37.1% من الإيراد</t>
        </is>
      </c>
      <c r="K7" s="144">
        <f>IF(I7="","",71-I7)</f>
        <v/>
      </c>
      <c r="L7" s="141" t="inlineStr">
        <is>
          <t>مطبَّق</t>
        </is>
      </c>
      <c r="M7" s="139" t="inlineStr">
        <is>
          <t>قائم — ورفع حصته يرفع الإيراد لكل لتر</t>
        </is>
      </c>
    </row>
    <row r="8" ht="33.75" customHeight="1" s="122">
      <c r="A8" s="144" t="n">
        <v>3</v>
      </c>
      <c r="B8" s="140" t="inlineStr">
        <is>
          <t>ديزل</t>
        </is>
      </c>
      <c r="C8" s="139" t="inlineStr">
        <is>
          <t>المضخة</t>
        </is>
      </c>
      <c r="D8" s="139" t="inlineStr">
        <is>
          <t>قبل الوصول</t>
        </is>
      </c>
      <c r="E8" s="144" t="inlineStr">
        <is>
          <t>6 د</t>
        </is>
      </c>
      <c r="F8" s="146" t="inlineStr">
        <is>
          <t>وجهة</t>
        </is>
      </c>
      <c r="G8" s="139" t="inlineStr">
        <is>
          <t>الأسطول — غالباً بلا عقد</t>
        </is>
      </c>
      <c r="H8" s="139" t="inlineStr">
        <is>
          <t>هامش اللتر</t>
        </is>
      </c>
      <c r="I8" s="141" t="n">
        <v>71</v>
      </c>
      <c r="J8" s="144" t="inlineStr">
        <is>
          <t>19.3% من الإيراد</t>
        </is>
      </c>
      <c r="K8" s="144">
        <f>IF(I8="","",71-I8)</f>
        <v/>
      </c>
      <c r="L8" s="142" t="inlineStr">
        <is>
          <t>مطبَّق جزئياً</t>
        </is>
      </c>
      <c r="M8" s="139" t="inlineStr">
        <is>
          <t>قائم بلا عقود أساطيل — التطبيق الكامل بتعاقد مباشر مع المنشآت</t>
        </is>
      </c>
    </row>
    <row r="9" ht="21.75" customHeight="1" s="122">
      <c r="A9" s="182" t="inlineStr">
        <is>
          <t>ب · عند الكاشير — ثوانٍ</t>
        </is>
      </c>
      <c r="B9" s="183" t="n"/>
      <c r="C9" s="183" t="n"/>
      <c r="D9" s="183" t="n"/>
      <c r="E9" s="183" t="n"/>
      <c r="F9" s="183" t="n"/>
      <c r="G9" s="183" t="n"/>
      <c r="H9" s="183" t="n"/>
      <c r="I9" s="183" t="n"/>
      <c r="J9" s="183" t="n"/>
      <c r="K9" s="183" t="n"/>
      <c r="L9" s="183" t="n"/>
      <c r="M9" s="124" t="n"/>
    </row>
    <row r="10" ht="33.75" customHeight="1" s="122">
      <c r="A10" s="144" t="n">
        <v>4</v>
      </c>
      <c r="B10" s="140" t="inlineStr">
        <is>
          <t>إكسسوارات سريعة الدوران</t>
        </is>
      </c>
      <c r="C10" s="139" t="inlineStr">
        <is>
          <t>رفّ الكاشير</t>
        </is>
      </c>
      <c r="D10" s="139" t="inlineStr">
        <is>
          <t>اندفاعي بعد الدفع</t>
        </is>
      </c>
      <c r="E10" s="144" t="inlineStr">
        <is>
          <t>ثوانٍ</t>
        </is>
      </c>
      <c r="F10" s="145" t="inlineStr">
        <is>
          <t>سلة</t>
        </is>
      </c>
      <c r="G10" s="139" t="inlineStr">
        <is>
          <t>لا أحد — غير مُفعّل</t>
        </is>
      </c>
      <c r="H10" s="139" t="inlineStr">
        <is>
          <t>بيع مباشر</t>
        </is>
      </c>
      <c r="I10" s="143" t="n">
        <v>0</v>
      </c>
      <c r="J10" s="144" t="inlineStr">
        <is>
          <t>صفر</t>
        </is>
      </c>
      <c r="K10" s="144">
        <f>IF(I10="","",71-I10)</f>
        <v/>
      </c>
      <c r="L10" s="143" t="inlineStr">
        <is>
          <t>غير مطبَّق</t>
        </is>
      </c>
      <c r="M10" s="139" t="inlineStr">
        <is>
          <t>رفّ عند الكاشير · اختيار مورّد · تجربة في محطة واحدة خلال ستة أسابيع</t>
        </is>
      </c>
    </row>
    <row r="11" ht="33.75" customHeight="1" s="122">
      <c r="A11" s="144" t="n">
        <v>5</v>
      </c>
      <c r="B11" s="140" t="inlineStr">
        <is>
          <t>ماركت / بقالة</t>
        </is>
      </c>
      <c r="C11" s="139" t="inlineStr">
        <is>
          <t>وحدة تجارية</t>
        </is>
      </c>
      <c r="D11" s="139" t="inlineStr">
        <is>
          <t>بعد الدفع</t>
        </is>
      </c>
      <c r="E11" s="144" t="inlineStr">
        <is>
          <t>5 د</t>
        </is>
      </c>
      <c r="F11" s="145" t="inlineStr">
        <is>
          <t>سلة</t>
        </is>
      </c>
      <c r="G11" s="139" t="inlineStr">
        <is>
          <t>مستأجر</t>
        </is>
      </c>
      <c r="H11" s="139" t="inlineStr">
        <is>
          <t>إيجار ثابت</t>
        </is>
      </c>
      <c r="I11" s="141" t="n">
        <v>36</v>
      </c>
      <c r="J11" s="144" t="inlineStr">
        <is>
          <t>51%</t>
        </is>
      </c>
      <c r="K11" s="144">
        <f>IF(I11="","",71-I11)</f>
        <v/>
      </c>
      <c r="L11" s="141" t="inlineStr">
        <is>
          <t>مطبَّق</t>
        </is>
      </c>
      <c r="M11" s="139" t="inlineStr">
        <is>
          <t>51% من المحطات · التوسّع باتفاقية إطارية مع فريش واي</t>
        </is>
      </c>
    </row>
    <row r="12" ht="33.75" customHeight="1" s="122">
      <c r="A12" s="144" t="n">
        <v>6</v>
      </c>
      <c r="B12" s="140" t="inlineStr">
        <is>
          <t>حلويات وآيسكريم</t>
        </is>
      </c>
      <c r="C12" s="139" t="inlineStr">
        <is>
          <t>كشك</t>
        </is>
      </c>
      <c r="D12" s="139" t="inlineStr">
        <is>
          <t>اندفاعي</t>
        </is>
      </c>
      <c r="E12" s="144" t="inlineStr">
        <is>
          <t>3 د</t>
        </is>
      </c>
      <c r="F12" s="145" t="inlineStr">
        <is>
          <t>سلة</t>
        </is>
      </c>
      <c r="G12" s="139" t="inlineStr">
        <is>
          <t>مستأجر</t>
        </is>
      </c>
      <c r="H12" s="139" t="inlineStr">
        <is>
          <t>إيجار ثابت</t>
        </is>
      </c>
      <c r="I12" s="142" t="n">
        <v>9</v>
      </c>
      <c r="J12" s="144" t="inlineStr">
        <is>
          <t>13%</t>
        </is>
      </c>
      <c r="K12" s="144">
        <f>IF(I12="","",71-I12)</f>
        <v/>
      </c>
      <c r="L12" s="142" t="inlineStr">
        <is>
          <t>مطبَّق جزئياً</t>
        </is>
      </c>
      <c r="M12" s="139" t="inlineStr">
        <is>
          <t>13% فقط · يُضاف ككشك في محطات القهوة القائمة</t>
        </is>
      </c>
    </row>
    <row r="13" ht="21.75" customHeight="1" s="122">
      <c r="A13" s="182" t="inlineStr">
        <is>
          <t>ج · مكوث قصير — 5 إلى 15 دقيقة</t>
        </is>
      </c>
      <c r="B13" s="183" t="n"/>
      <c r="C13" s="183" t="n"/>
      <c r="D13" s="183" t="n"/>
      <c r="E13" s="183" t="n"/>
      <c r="F13" s="183" t="n"/>
      <c r="G13" s="183" t="n"/>
      <c r="H13" s="183" t="n"/>
      <c r="I13" s="183" t="n"/>
      <c r="J13" s="183" t="n"/>
      <c r="K13" s="183" t="n"/>
      <c r="L13" s="183" t="n"/>
      <c r="M13" s="124" t="n"/>
    </row>
    <row r="14" ht="33.75" customHeight="1" s="122">
      <c r="A14" s="144" t="n">
        <v>7</v>
      </c>
      <c r="B14" s="140" t="inlineStr">
        <is>
          <t>قهوة / كافيه</t>
        </is>
      </c>
      <c r="C14" s="139" t="inlineStr">
        <is>
          <t>وحدة تجارية</t>
        </is>
      </c>
      <c r="D14" s="139" t="inlineStr">
        <is>
          <t>بعد الدفع أو قصداً</t>
        </is>
      </c>
      <c r="E14" s="144" t="inlineStr">
        <is>
          <t>10 د</t>
        </is>
      </c>
      <c r="F14" s="144" t="inlineStr">
        <is>
          <t>سلة ← وجهة</t>
        </is>
      </c>
      <c r="G14" s="139" t="inlineStr">
        <is>
          <t>مستأجر — 67 علامة</t>
        </is>
      </c>
      <c r="H14" s="139" t="inlineStr">
        <is>
          <t>إيجار ثابت</t>
        </is>
      </c>
      <c r="I14" s="141" t="n">
        <v>35</v>
      </c>
      <c r="J14" s="144" t="inlineStr">
        <is>
          <t>49%</t>
        </is>
      </c>
      <c r="K14" s="144">
        <f>IF(I14="","",71-I14)</f>
        <v/>
      </c>
      <c r="L14" s="141" t="inlineStr">
        <is>
          <t>مطبَّق</t>
        </is>
      </c>
      <c r="M14" s="139" t="inlineStr">
        <is>
          <t>49% · التحسين بتقليص العلامات وتوحيد الاتفاقيات</t>
        </is>
      </c>
    </row>
    <row r="15" ht="33.75" customHeight="1" s="122">
      <c r="A15" s="144" t="n">
        <v>8</v>
      </c>
      <c r="B15" s="140" t="inlineStr">
        <is>
          <t>درايف ثرو</t>
        </is>
      </c>
      <c r="C15" s="139" t="inlineStr">
        <is>
          <t>مسار مستقل</t>
        </is>
      </c>
      <c r="D15" s="139" t="inlineStr">
        <is>
          <t>قبل الوصول</t>
        </is>
      </c>
      <c r="E15" s="144" t="inlineStr">
        <is>
          <t>5 د</t>
        </is>
      </c>
      <c r="F15" s="146" t="inlineStr">
        <is>
          <t>وجهة</t>
        </is>
      </c>
      <c r="G15" s="139" t="inlineStr">
        <is>
          <t>مستأجر — علامة قوية</t>
        </is>
      </c>
      <c r="H15" s="139" t="inlineStr">
        <is>
          <t>إيجار + نسبة</t>
        </is>
      </c>
      <c r="I15" s="143" t="n">
        <v>0</v>
      </c>
      <c r="J15" s="144" t="inlineStr">
        <is>
          <t>3 وحدات شاغرة</t>
        </is>
      </c>
      <c r="K15" s="144">
        <f>IF(I15="","",71-I15)</f>
        <v/>
      </c>
      <c r="L15" s="143" t="inlineStr">
        <is>
          <t>غير مطبَّق</t>
        </is>
      </c>
      <c r="M15" s="139" t="inlineStr">
        <is>
          <t>3 وحدات شاغرة مصنّفة · يحتاج مسار سيارات مستقل وعلامة قوية</t>
        </is>
      </c>
    </row>
    <row r="16" ht="21.75" customHeight="1" s="122">
      <c r="A16" s="182" t="inlineStr">
        <is>
          <t>د · مكوث متوسط — 15 إلى 45 دقيقة</t>
        </is>
      </c>
      <c r="B16" s="183" t="n"/>
      <c r="C16" s="183" t="n"/>
      <c r="D16" s="183" t="n"/>
      <c r="E16" s="183" t="n"/>
      <c r="F16" s="183" t="n"/>
      <c r="G16" s="183" t="n"/>
      <c r="H16" s="183" t="n"/>
      <c r="I16" s="183" t="n"/>
      <c r="J16" s="183" t="n"/>
      <c r="K16" s="183" t="n"/>
      <c r="L16" s="183" t="n"/>
      <c r="M16" s="124" t="n"/>
    </row>
    <row r="17" ht="33.75" customHeight="1" s="122">
      <c r="A17" s="144" t="n">
        <v>9</v>
      </c>
      <c r="B17" s="140" t="inlineStr">
        <is>
          <t>مطعم / وجبات</t>
        </is>
      </c>
      <c r="C17" s="139" t="inlineStr">
        <is>
          <t>وحدة تجارية</t>
        </is>
      </c>
      <c r="D17" s="139" t="inlineStr">
        <is>
          <t>قصداً</t>
        </is>
      </c>
      <c r="E17" s="144" t="inlineStr">
        <is>
          <t>25 د</t>
        </is>
      </c>
      <c r="F17" s="146" t="inlineStr">
        <is>
          <t>وجهة</t>
        </is>
      </c>
      <c r="G17" s="139" t="inlineStr">
        <is>
          <t>مستأجر — 48 علامة</t>
        </is>
      </c>
      <c r="H17" s="139" t="inlineStr">
        <is>
          <t>إيجار ثابت</t>
        </is>
      </c>
      <c r="I17" s="142" t="n">
        <v>25</v>
      </c>
      <c r="J17" s="144" t="inlineStr">
        <is>
          <t>35%</t>
        </is>
      </c>
      <c r="K17" s="144">
        <f>IF(I17="","",71-I17)</f>
        <v/>
      </c>
      <c r="L17" s="142" t="inlineStr">
        <is>
          <t>مطبَّق جزئياً</t>
        </is>
      </c>
      <c r="M17" s="139" t="inlineStr">
        <is>
          <t>35% · التوسّع عبر وكيل الامتياز للعلامات القوية</t>
        </is>
      </c>
    </row>
    <row r="18" ht="33.75" customHeight="1" s="122">
      <c r="A18" s="144" t="n">
        <v>10</v>
      </c>
      <c r="B18" s="140" t="inlineStr">
        <is>
          <t>غسيل</t>
        </is>
      </c>
      <c r="C18" s="139" t="inlineStr">
        <is>
          <t>الساحة</t>
        </is>
      </c>
      <c r="D18" s="139" t="inlineStr">
        <is>
          <t>أثناء التعبئة</t>
        </is>
      </c>
      <c r="E18" s="144" t="inlineStr">
        <is>
          <t>20 د</t>
        </is>
      </c>
      <c r="F18" s="145" t="inlineStr">
        <is>
          <t>سلة</t>
        </is>
      </c>
      <c r="G18" s="139" t="inlineStr">
        <is>
          <t>مستأجر أو شريك</t>
        </is>
      </c>
      <c r="H18" s="139" t="inlineStr">
        <is>
          <t>إيجار أو نسبة</t>
        </is>
      </c>
      <c r="I18" s="142" t="n">
        <v>21</v>
      </c>
      <c r="J18" s="144" t="inlineStr">
        <is>
          <t>30%</t>
        </is>
      </c>
      <c r="K18" s="144">
        <f>IF(I18="","",71-I18)</f>
        <v/>
      </c>
      <c r="L18" s="142" t="inlineStr">
        <is>
          <t>مطبَّق جزئياً</t>
        </is>
      </c>
      <c r="M18" s="139" t="inlineStr">
        <is>
          <t>30% · يُضاف في محطات الحركة العالية لفتح نافذة مكوث</t>
        </is>
      </c>
    </row>
    <row r="19" ht="33.75" customHeight="1" s="122">
      <c r="A19" s="144" t="n">
        <v>11</v>
      </c>
      <c r="B19" s="140" t="inlineStr">
        <is>
          <t>زيوت وصيانة</t>
        </is>
      </c>
      <c r="C19" s="139" t="inlineStr">
        <is>
          <t>ورشة</t>
        </is>
      </c>
      <c r="D19" s="139" t="inlineStr">
        <is>
          <t>قصداً أو مؤجَّل</t>
        </is>
      </c>
      <c r="E19" s="144" t="inlineStr">
        <is>
          <t>45 د</t>
        </is>
      </c>
      <c r="F19" s="146" t="inlineStr">
        <is>
          <t>وجهة</t>
        </is>
      </c>
      <c r="G19" s="139" t="inlineStr">
        <is>
          <t>بترومين وشركاء — 11 محطة</t>
        </is>
      </c>
      <c r="H19" s="139" t="inlineStr">
        <is>
          <t>إيجار — لا هامش خدمة</t>
        </is>
      </c>
      <c r="I19" s="142" t="n">
        <v>28</v>
      </c>
      <c r="J19" s="144" t="inlineStr">
        <is>
          <t>39%</t>
        </is>
      </c>
      <c r="K19" s="144">
        <f>IF(I19="","",71-I19)</f>
        <v/>
      </c>
      <c r="L19" s="141" t="inlineStr">
        <is>
          <t>مطبَّق</t>
        </is>
      </c>
      <c r="M19" s="139" t="inlineStr">
        <is>
          <t>39% بإيجار فقط · التحويل إلى نسبة من الخدمة عند تجديد العقود</t>
        </is>
      </c>
    </row>
    <row r="20" ht="33.75" customHeight="1" s="122">
      <c r="A20" s="144" t="n">
        <v>12</v>
      </c>
      <c r="B20" s="140" t="inlineStr">
        <is>
          <t>بنشر وإطارات</t>
        </is>
      </c>
      <c r="C20" s="139" t="inlineStr">
        <is>
          <t>ورشة</t>
        </is>
      </c>
      <c r="D20" s="139" t="inlineStr">
        <is>
          <t>طارئ أو سنوي</t>
        </is>
      </c>
      <c r="E20" s="144" t="inlineStr">
        <is>
          <t>40 د</t>
        </is>
      </c>
      <c r="F20" s="146" t="inlineStr">
        <is>
          <t>وجهة</t>
        </is>
      </c>
      <c r="G20" s="139" t="inlineStr">
        <is>
          <t>مستأجر</t>
        </is>
      </c>
      <c r="H20" s="139" t="inlineStr">
        <is>
          <t>إيجار ثابت</t>
        </is>
      </c>
      <c r="I20" s="142" t="n">
        <v>10</v>
      </c>
      <c r="J20" s="144" t="inlineStr">
        <is>
          <t>14%</t>
        </is>
      </c>
      <c r="K20" s="144">
        <f>IF(I20="","",71-I20)</f>
        <v/>
      </c>
      <c r="L20" s="143" t="inlineStr">
        <is>
          <t>غير مطبَّق غالباً</t>
        </is>
      </c>
      <c r="M20" s="139" t="inlineStr">
        <is>
          <t>14% فقط · يحتاج ورشة ومعدات وشريك تشغيل</t>
        </is>
      </c>
    </row>
    <row r="21" ht="33.75" customHeight="1" s="122">
      <c r="A21" s="144" t="n">
        <v>13</v>
      </c>
      <c r="B21" s="140" t="inlineStr">
        <is>
          <t>زينة وتجهيز</t>
        </is>
      </c>
      <c r="C21" s="139" t="inlineStr">
        <is>
          <t>وحدة تجارية</t>
        </is>
      </c>
      <c r="D21" s="139" t="inlineStr">
        <is>
          <t>مخطَّط ومقارَن</t>
        </is>
      </c>
      <c r="E21" s="144" t="inlineStr">
        <is>
          <t>60 د</t>
        </is>
      </c>
      <c r="F21" s="146" t="inlineStr">
        <is>
          <t>وجهة</t>
        </is>
      </c>
      <c r="G21" s="139" t="inlineStr">
        <is>
          <t>لا أحد — غير مُفعّل</t>
        </is>
      </c>
      <c r="H21" s="139" t="inlineStr">
        <is>
          <t>تأجير + نسبة</t>
        </is>
      </c>
      <c r="I21" s="143" t="n">
        <v>0</v>
      </c>
      <c r="J21" s="144" t="inlineStr">
        <is>
          <t>صفر</t>
        </is>
      </c>
      <c r="K21" s="144">
        <f>IF(I21="","",71-I21)</f>
        <v/>
      </c>
      <c r="L21" s="143" t="inlineStr">
        <is>
          <t>غير مطبَّق</t>
        </is>
      </c>
      <c r="M21" s="139" t="inlineStr">
        <is>
          <t>تأجير وحدة لمتخصص بنسبة · لا تشغيل ذاتي</t>
        </is>
      </c>
    </row>
    <row r="22" ht="21.75" customHeight="1" s="122">
      <c r="A22" s="182" t="inlineStr">
        <is>
          <t>هـ · الساحة والمرافق</t>
        </is>
      </c>
      <c r="B22" s="183" t="n"/>
      <c r="C22" s="183" t="n"/>
      <c r="D22" s="183" t="n"/>
      <c r="E22" s="183" t="n"/>
      <c r="F22" s="183" t="n"/>
      <c r="G22" s="183" t="n"/>
      <c r="H22" s="183" t="n"/>
      <c r="I22" s="183" t="n"/>
      <c r="J22" s="183" t="n"/>
      <c r="K22" s="183" t="n"/>
      <c r="L22" s="183" t="n"/>
      <c r="M22" s="124" t="n"/>
    </row>
    <row r="23" ht="33.75" customHeight="1" s="122">
      <c r="A23" s="144" t="n">
        <v>14</v>
      </c>
      <c r="B23" s="140" t="inlineStr">
        <is>
          <t>صراف آلي</t>
        </is>
      </c>
      <c r="C23" s="139" t="inlineStr">
        <is>
          <t>الواجهة</t>
        </is>
      </c>
      <c r="D23" s="139" t="inlineStr">
        <is>
          <t>عابر</t>
        </is>
      </c>
      <c r="E23" s="144" t="inlineStr">
        <is>
          <t>3 د</t>
        </is>
      </c>
      <c r="F23" s="144" t="inlineStr">
        <is>
          <t>وجهة صغيرة</t>
        </is>
      </c>
      <c r="G23" s="139" t="inlineStr">
        <is>
          <t>بنك</t>
        </is>
      </c>
      <c r="H23" s="139" t="inlineStr">
        <is>
          <t>إيجار موقع ثابت</t>
        </is>
      </c>
      <c r="I23" s="142" t="n">
        <v>5</v>
      </c>
      <c r="J23" s="144" t="inlineStr">
        <is>
          <t>7%</t>
        </is>
      </c>
      <c r="K23" s="144">
        <f>IF(I23="","",71-I23)</f>
        <v/>
      </c>
      <c r="L23" s="143" t="inlineStr">
        <is>
          <t>غير مطبَّق غالباً</t>
        </is>
      </c>
      <c r="M23" s="139" t="inlineStr">
        <is>
          <t>7% فقط · حصر المواقع ومفاوضة البنوك — التركيب على حسابهم</t>
        </is>
      </c>
    </row>
    <row r="24" ht="33.75" customHeight="1" s="122">
      <c r="A24" s="144" t="n">
        <v>15</v>
      </c>
      <c r="B24" s="140" t="inlineStr">
        <is>
          <t>خزائن ذكية</t>
        </is>
      </c>
      <c r="C24" s="139" t="inlineStr">
        <is>
          <t>الواجهة</t>
        </is>
      </c>
      <c r="D24" s="139" t="inlineStr">
        <is>
          <t>عابر مجدول</t>
        </is>
      </c>
      <c r="E24" s="144" t="inlineStr">
        <is>
          <t>2 د</t>
        </is>
      </c>
      <c r="F24" s="144" t="inlineStr">
        <is>
          <t>وجهة صغيرة</t>
        </is>
      </c>
      <c r="G24" s="139" t="inlineStr">
        <is>
          <t>مشغّل الخزائن</t>
        </is>
      </c>
      <c r="H24" s="139" t="inlineStr">
        <is>
          <t>إيجار ثابت</t>
        </is>
      </c>
      <c r="I24" s="142" t="n">
        <v>1</v>
      </c>
      <c r="J24" s="144" t="inlineStr">
        <is>
          <t>1%</t>
        </is>
      </c>
      <c r="K24" s="144">
        <f>IF(I24="","",71-I24)</f>
        <v/>
      </c>
      <c r="L24" s="143" t="inlineStr">
        <is>
          <t>غير مطبَّق</t>
        </is>
      </c>
      <c r="M24" s="139" t="inlineStr">
        <is>
          <t>محطة واحدة · التعاقد مع مشغّل خزائن على مواقع الحركة العالية</t>
        </is>
      </c>
    </row>
    <row r="25" ht="33.75" customHeight="1" s="122">
      <c r="A25" s="144" t="n">
        <v>16</v>
      </c>
      <c r="B25" s="140" t="inlineStr">
        <is>
          <t>شحن كهربائي</t>
        </is>
      </c>
      <c r="C25" s="139" t="inlineStr">
        <is>
          <t>الساحة</t>
        </is>
      </c>
      <c r="D25" s="139" t="inlineStr">
        <is>
          <t>قبل الوصول</t>
        </is>
      </c>
      <c r="E25" s="144" t="inlineStr">
        <is>
          <t>30 د</t>
        </is>
      </c>
      <c r="F25" s="146" t="inlineStr">
        <is>
          <t>وجهة</t>
        </is>
      </c>
      <c r="G25" s="139" t="inlineStr">
        <is>
          <t>EVIQ — لم يبدأ</t>
        </is>
      </c>
      <c r="H25" s="139" t="inlineStr">
        <is>
          <t>عقد استضافة موقع</t>
        </is>
      </c>
      <c r="I25" s="143" t="n">
        <v>0</v>
      </c>
      <c r="J25" s="144" t="inlineStr">
        <is>
          <t>صفر</t>
        </is>
      </c>
      <c r="K25" s="144">
        <f>IF(I25="","",71-I25)</f>
        <v/>
      </c>
      <c r="L25" s="145" t="inlineStr">
        <is>
          <t>خارج النطاق</t>
        </is>
      </c>
      <c r="M25" s="139" t="inlineStr">
        <is>
          <t>استضافة بنية تحتية لا بيع — يُعامل كتأجير موقع</t>
        </is>
      </c>
    </row>
    <row r="26" ht="33.75" customHeight="1" s="122">
      <c r="A26" s="144" t="n">
        <v>17</v>
      </c>
      <c r="B26" s="140" t="inlineStr">
        <is>
          <t>مواقف شاحنات</t>
        </is>
      </c>
      <c r="C26" s="139" t="inlineStr">
        <is>
          <t>أرض غير مبنية</t>
        </is>
      </c>
      <c r="D26" s="139" t="inlineStr">
        <is>
          <t>قبل الوصول</t>
        </is>
      </c>
      <c r="E26" s="144" t="inlineStr">
        <is>
          <t>ليلة</t>
        </is>
      </c>
      <c r="F26" s="146" t="inlineStr">
        <is>
          <t>وجهة</t>
        </is>
      </c>
      <c r="G26" s="139" t="inlineStr">
        <is>
          <t>غير مُستثمر</t>
        </is>
      </c>
      <c r="H26" s="139" t="inlineStr">
        <is>
          <t>رسم موقف + ديزل</t>
        </is>
      </c>
      <c r="I26" s="143" t="n">
        <v>0</v>
      </c>
      <c r="J26" s="144" t="inlineStr">
        <is>
          <t>صفر · 5,420 م² متاحة</t>
        </is>
      </c>
      <c r="K26" s="144">
        <f>IF(I26="","",71-I26)</f>
        <v/>
      </c>
      <c r="L26" s="143" t="inlineStr">
        <is>
          <t>غير مطبَّق</t>
        </is>
      </c>
      <c r="M26" s="139" t="inlineStr">
        <is>
          <t>5,420 م² متاحة · تحتاج تجهيزاً ورخصة</t>
        </is>
      </c>
    </row>
    <row r="27" ht="33.75" customHeight="1" s="122">
      <c r="A27" s="144" t="n">
        <v>18</v>
      </c>
      <c r="B27" s="140" t="inlineStr">
        <is>
          <t>لوحات إعلانية</t>
        </is>
      </c>
      <c r="C27" s="139" t="inlineStr">
        <is>
          <t>الواجهة والسور</t>
        </is>
      </c>
      <c r="D27" s="139" t="inlineStr">
        <is>
          <t>لا يشتريه العميل</t>
        </is>
      </c>
      <c r="E27" s="144" t="inlineStr">
        <is>
          <t>—</t>
        </is>
      </c>
      <c r="F27" s="144" t="inlineStr">
        <is>
          <t>لا ينطبق</t>
        </is>
      </c>
      <c r="G27" s="139" t="inlineStr">
        <is>
          <t>لا أحد — الأصل معطّل</t>
        </is>
      </c>
      <c r="H27" s="139" t="inlineStr">
        <is>
          <t>إيجار مساحة</t>
        </is>
      </c>
      <c r="I27" s="143" t="n">
        <v>0</v>
      </c>
      <c r="J27" s="144" t="inlineStr">
        <is>
          <t>صفر من 355 موقعاً</t>
        </is>
      </c>
      <c r="K27" s="184" t="inlineStr">
        <is>
          <t>◄ مقام مختلف</t>
        </is>
      </c>
      <c r="L27" s="143" t="inlineStr">
        <is>
          <t>غير مطبَّق</t>
        </is>
      </c>
      <c r="M27" s="139" t="inlineStr">
        <is>
          <t>355 موقعاً · تأجير الشبكة لوكالة أو بيع مباشر للمعلن المحلي</t>
        </is>
      </c>
    </row>
    <row r="28" ht="21.75" customHeight="1" s="122">
      <c r="A28" s="182" t="inlineStr">
        <is>
          <t>و · طبقة تعبر كل المنتجات</t>
        </is>
      </c>
      <c r="B28" s="183" t="n"/>
      <c r="C28" s="183" t="n"/>
      <c r="D28" s="183" t="n"/>
      <c r="E28" s="183" t="n"/>
      <c r="F28" s="183" t="n"/>
      <c r="G28" s="183" t="n"/>
      <c r="H28" s="183" t="n"/>
      <c r="I28" s="183" t="n"/>
      <c r="J28" s="183" t="n"/>
      <c r="K28" s="183" t="n"/>
      <c r="L28" s="183" t="n"/>
      <c r="M28" s="124" t="n"/>
    </row>
    <row r="29" ht="33.75" customHeight="1" s="122">
      <c r="A29" s="144" t="n">
        <v>19</v>
      </c>
      <c r="B29" s="140" t="inlineStr">
        <is>
          <t>التطبيق وتانكي</t>
        </is>
      </c>
      <c r="C29" s="139" t="inlineStr">
        <is>
          <t>عابر</t>
        </is>
      </c>
      <c r="D29" s="139" t="inlineStr">
        <is>
          <t>قبل وأثناء وبعد</t>
        </is>
      </c>
      <c r="E29" s="144" t="inlineStr">
        <is>
          <t>—</t>
        </is>
      </c>
      <c r="F29" s="144" t="inlineStr">
        <is>
          <t>طبقة</t>
        </is>
      </c>
      <c r="G29" s="139" t="inlineStr">
        <is>
          <t>نحن — نظرياً</t>
        </is>
      </c>
      <c r="H29" s="139" t="inlineStr">
        <is>
          <t>بيانات + حملات مموّلة</t>
        </is>
      </c>
      <c r="I29" s="143" t="n">
        <v>0</v>
      </c>
      <c r="J29" s="144" t="inlineStr">
        <is>
          <t>0.28% · 43 محطة بصفر</t>
        </is>
      </c>
      <c r="K29" s="184" t="inlineStr">
        <is>
          <t>◄ مقام مختلف</t>
        </is>
      </c>
      <c r="L29" s="142" t="inlineStr">
        <is>
          <t>مطبَّق جزئياً</t>
        </is>
      </c>
      <c r="M29" s="139" t="inlineStr">
        <is>
          <t>قائم للأفراد · واجهة الشركات ضمن خطة التطوير</t>
        </is>
      </c>
    </row>
    <row r="30" ht="33.75" customHeight="1" s="122">
      <c r="A30" s="144" t="n">
        <v>20</v>
      </c>
      <c r="B30" s="140" t="inlineStr">
        <is>
          <t>بطاقة/عقد الأسطول</t>
        </is>
      </c>
      <c r="C30" s="139" t="inlineStr">
        <is>
          <t>عابر</t>
        </is>
      </c>
      <c r="D30" s="139" t="inlineStr">
        <is>
          <t>قرار المنشأة</t>
        </is>
      </c>
      <c r="E30" s="144" t="inlineStr">
        <is>
          <t>—</t>
        </is>
      </c>
      <c r="F30" s="144" t="inlineStr">
        <is>
          <t>طبقة</t>
        </is>
      </c>
      <c r="G30" s="139" t="inlineStr">
        <is>
          <t>بترو آب — لا نحن</t>
        </is>
      </c>
      <c r="H30" s="139" t="inlineStr">
        <is>
          <t>عقد شبكة</t>
        </is>
      </c>
      <c r="I30" s="143" t="n">
        <v>0</v>
      </c>
      <c r="J30" s="144" t="inlineStr">
        <is>
          <t>صفر عقود موثّقة</t>
        </is>
      </c>
      <c r="K30" s="184" t="inlineStr">
        <is>
          <t>◄ مقام مختلف</t>
        </is>
      </c>
      <c r="L30" s="143" t="inlineStr">
        <is>
          <t>غير مطبَّق</t>
        </is>
      </c>
      <c r="M30" s="139" t="inlineStr">
        <is>
          <t>منفذ مستقل · يبدأ بعقود مباشرة ثم أداة ضبط إنفاق</t>
        </is>
      </c>
    </row>
    <row r="31">
      <c r="A31" s="124" t="n"/>
      <c r="B31" s="124" t="n"/>
      <c r="C31" s="124" t="n"/>
      <c r="D31" s="124" t="n"/>
      <c r="E31" s="124" t="n"/>
      <c r="F31" s="124" t="n"/>
      <c r="G31" s="124" t="n"/>
      <c r="H31" s="124" t="n"/>
      <c r="I31" s="124" t="n"/>
      <c r="J31" s="124" t="n"/>
      <c r="K31" s="124" t="n"/>
      <c r="L31" s="124" t="n"/>
      <c r="M31" s="124" t="n"/>
    </row>
    <row r="32">
      <c r="A32" s="124" t="n"/>
      <c r="B32" s="124" t="n"/>
      <c r="C32" s="124" t="n"/>
      <c r="D32" s="124" t="n"/>
      <c r="E32" s="124" t="n"/>
      <c r="F32" s="124" t="n"/>
      <c r="G32" s="124" t="n"/>
      <c r="H32" s="124" t="n"/>
      <c r="I32" s="124" t="n"/>
      <c r="J32" s="124" t="n"/>
      <c r="K32" s="124" t="n"/>
      <c r="L32" s="124" t="n"/>
      <c r="M32" s="124" t="n"/>
    </row>
    <row r="33">
      <c r="A33" s="124" t="n"/>
      <c r="B33" s="124" t="n"/>
      <c r="C33" s="124" t="n"/>
      <c r="D33" s="124" t="n"/>
      <c r="E33" s="124" t="n"/>
      <c r="F33" s="124" t="n"/>
      <c r="G33" s="124" t="n"/>
      <c r="H33" s="124" t="n"/>
      <c r="I33" s="124" t="n"/>
      <c r="J33" s="124" t="n"/>
      <c r="K33" s="124" t="n"/>
      <c r="L33" s="124" t="n"/>
      <c r="M33" s="124" t="n"/>
    </row>
    <row r="34">
      <c r="A34" s="124" t="n"/>
      <c r="B34" s="124" t="n"/>
      <c r="C34" s="124" t="n"/>
      <c r="D34" s="124" t="n"/>
      <c r="E34" s="124" t="n"/>
      <c r="F34" s="124" t="n"/>
      <c r="G34" s="124" t="n"/>
      <c r="H34" s="124" t="n"/>
      <c r="I34" s="124" t="n"/>
      <c r="J34" s="124" t="n"/>
      <c r="K34" s="124" t="n"/>
      <c r="L34" s="124" t="n"/>
      <c r="M34" s="124" t="n"/>
    </row>
    <row r="35">
      <c r="A35" s="124" t="n"/>
      <c r="B35" s="124" t="n"/>
      <c r="C35" s="124" t="n"/>
      <c r="D35" s="124" t="n"/>
      <c r="E35" s="124" t="n"/>
      <c r="F35" s="124" t="n"/>
      <c r="G35" s="124" t="n"/>
      <c r="H35" s="124" t="n"/>
      <c r="I35" s="124" t="n"/>
      <c r="J35" s="124" t="n"/>
      <c r="K35" s="124" t="n"/>
      <c r="L35" s="124" t="n"/>
      <c r="M35" s="124" t="n"/>
    </row>
    <row r="36">
      <c r="A36" s="124" t="n"/>
      <c r="B36" s="124" t="n"/>
      <c r="C36" s="124" t="n"/>
      <c r="D36" s="124" t="n"/>
      <c r="E36" s="124" t="n"/>
      <c r="F36" s="124" t="n"/>
      <c r="G36" s="124" t="n"/>
      <c r="H36" s="124" t="n"/>
      <c r="I36" s="124" t="n"/>
      <c r="J36" s="124" t="n"/>
      <c r="K36" s="124" t="n"/>
      <c r="L36" s="124" t="n"/>
      <c r="M36" s="124" t="n"/>
    </row>
    <row r="37">
      <c r="A37" s="124" t="n"/>
      <c r="B37" s="124" t="n"/>
      <c r="C37" s="124" t="n"/>
      <c r="D37" s="124" t="n"/>
      <c r="E37" s="124" t="n"/>
      <c r="F37" s="124" t="n"/>
      <c r="G37" s="124" t="n"/>
      <c r="H37" s="124" t="n"/>
      <c r="I37" s="124" t="n"/>
      <c r="J37" s="124" t="n"/>
      <c r="K37" s="124" t="n"/>
      <c r="L37" s="124" t="n"/>
      <c r="M37" s="124" t="n"/>
    </row>
    <row r="38">
      <c r="A38" s="124" t="n"/>
      <c r="B38" s="124" t="n"/>
      <c r="C38" s="124" t="n"/>
      <c r="D38" s="124" t="n"/>
      <c r="E38" s="124" t="n"/>
      <c r="F38" s="124" t="n"/>
      <c r="G38" s="124" t="n"/>
      <c r="H38" s="124" t="n"/>
      <c r="I38" s="124" t="n"/>
      <c r="J38" s="124" t="n"/>
      <c r="K38" s="124" t="n"/>
      <c r="L38" s="124" t="n"/>
      <c r="M38" s="124" t="n"/>
    </row>
    <row r="39">
      <c r="A39" s="124" t="n"/>
      <c r="B39" s="124" t="n"/>
      <c r="C39" s="124" t="n"/>
      <c r="D39" s="124" t="n"/>
      <c r="E39" s="124" t="n"/>
      <c r="F39" s="124" t="n"/>
      <c r="G39" s="124" t="n"/>
      <c r="H39" s="124" t="n"/>
      <c r="I39" s="124" t="n"/>
      <c r="J39" s="124" t="n"/>
      <c r="K39" s="124" t="n"/>
      <c r="L39" s="124" t="n"/>
      <c r="M39" s="124" t="n"/>
    </row>
    <row r="40">
      <c r="A40" s="124" t="n"/>
      <c r="B40" s="124" t="n"/>
      <c r="C40" s="124" t="n"/>
      <c r="D40" s="124" t="n"/>
      <c r="E40" s="124" t="n"/>
      <c r="F40" s="124" t="n"/>
      <c r="G40" s="124" t="n"/>
      <c r="H40" s="124" t="n"/>
      <c r="I40" s="124" t="n"/>
      <c r="J40" s="124" t="n"/>
      <c r="K40" s="124" t="n"/>
      <c r="L40" s="124" t="n"/>
      <c r="M40" s="124" t="n"/>
    </row>
    <row r="41">
      <c r="A41" s="124" t="n"/>
      <c r="B41" s="124" t="n"/>
      <c r="C41" s="124" t="n"/>
      <c r="D41" s="124" t="n"/>
      <c r="E41" s="124" t="n"/>
      <c r="F41" s="124" t="n"/>
      <c r="G41" s="124" t="n"/>
      <c r="H41" s="124" t="n"/>
      <c r="I41" s="124" t="n"/>
      <c r="J41" s="124" t="n"/>
      <c r="K41" s="124" t="n"/>
      <c r="L41" s="124" t="n"/>
      <c r="M41" s="124" t="n"/>
    </row>
    <row r="42">
      <c r="A42" s="124" t="n"/>
      <c r="B42" s="124" t="n"/>
      <c r="C42" s="124" t="n"/>
      <c r="D42" s="124" t="n"/>
      <c r="E42" s="124" t="n"/>
      <c r="F42" s="124" t="n"/>
      <c r="G42" s="124" t="n"/>
      <c r="H42" s="124" t="n"/>
      <c r="I42" s="124" t="n"/>
      <c r="J42" s="124" t="n"/>
      <c r="K42" s="124" t="n"/>
      <c r="L42" s="124" t="n"/>
      <c r="M42" s="124" t="n"/>
    </row>
    <row r="43">
      <c r="A43" s="124" t="n"/>
      <c r="B43" s="124" t="n"/>
      <c r="C43" s="124" t="n"/>
      <c r="D43" s="124" t="n"/>
      <c r="E43" s="124" t="n"/>
      <c r="F43" s="124" t="n"/>
      <c r="G43" s="124" t="n"/>
      <c r="H43" s="124" t="n"/>
      <c r="I43" s="124" t="n"/>
      <c r="J43" s="124" t="n"/>
      <c r="K43" s="124" t="n"/>
      <c r="L43" s="124" t="n"/>
      <c r="M43" s="124" t="n"/>
    </row>
    <row r="44">
      <c r="A44" s="124" t="n"/>
      <c r="B44" s="124" t="n"/>
      <c r="C44" s="124" t="n"/>
      <c r="D44" s="124" t="n"/>
      <c r="E44" s="124" t="n"/>
      <c r="F44" s="124" t="n"/>
      <c r="G44" s="124" t="n"/>
      <c r="H44" s="124" t="n"/>
      <c r="I44" s="124" t="n"/>
      <c r="J44" s="124" t="n"/>
      <c r="K44" s="124" t="n"/>
      <c r="L44" s="124" t="n"/>
      <c r="M44" s="124" t="n"/>
    </row>
    <row r="45">
      <c r="A45" s="124" t="n"/>
      <c r="B45" s="124" t="n"/>
      <c r="C45" s="124" t="n"/>
      <c r="D45" s="124" t="n"/>
      <c r="E45" s="124" t="n"/>
      <c r="F45" s="124" t="n"/>
      <c r="G45" s="124" t="n"/>
      <c r="H45" s="124" t="n"/>
      <c r="I45" s="124" t="n"/>
      <c r="J45" s="124" t="n"/>
      <c r="K45" s="124" t="n"/>
      <c r="L45" s="124" t="n"/>
      <c r="M45" s="124" t="n"/>
    </row>
    <row r="46">
      <c r="A46" s="124" t="n"/>
      <c r="B46" s="124" t="n"/>
      <c r="C46" s="124" t="n"/>
      <c r="D46" s="124" t="n"/>
      <c r="E46" s="124" t="n"/>
      <c r="F46" s="124" t="n"/>
      <c r="G46" s="124" t="n"/>
      <c r="H46" s="124" t="n"/>
      <c r="I46" s="124" t="n"/>
      <c r="J46" s="124" t="n"/>
      <c r="K46" s="124" t="n"/>
      <c r="L46" s="124" t="n"/>
      <c r="M46" s="124" t="n"/>
    </row>
    <row r="47">
      <c r="A47" s="124" t="n"/>
      <c r="B47" s="124" t="n"/>
      <c r="C47" s="124" t="n"/>
      <c r="D47" s="124" t="n"/>
      <c r="E47" s="124" t="n"/>
      <c r="F47" s="124" t="n"/>
      <c r="G47" s="124" t="n"/>
      <c r="H47" s="124" t="n"/>
      <c r="I47" s="124" t="n"/>
      <c r="J47" s="124" t="n"/>
      <c r="K47" s="124" t="n"/>
      <c r="L47" s="124" t="n"/>
      <c r="M47" s="124" t="n"/>
    </row>
    <row r="48">
      <c r="A48" s="124" t="n"/>
      <c r="B48" s="124" t="n"/>
      <c r="C48" s="124" t="n"/>
      <c r="D48" s="124" t="n"/>
      <c r="E48" s="124" t="n"/>
      <c r="F48" s="124" t="n"/>
      <c r="G48" s="124" t="n"/>
      <c r="H48" s="124" t="n"/>
      <c r="I48" s="124" t="n"/>
      <c r="J48" s="124" t="n"/>
      <c r="K48" s="124" t="n"/>
      <c r="L48" s="124" t="n"/>
      <c r="M48" s="124" t="n"/>
    </row>
    <row r="49">
      <c r="A49" s="124" t="n"/>
      <c r="B49" s="124" t="n"/>
      <c r="C49" s="124" t="n"/>
      <c r="D49" s="124" t="n"/>
      <c r="E49" s="124" t="n"/>
      <c r="F49" s="124" t="n"/>
      <c r="G49" s="124" t="n"/>
      <c r="H49" s="124" t="n"/>
      <c r="I49" s="124" t="n"/>
      <c r="J49" s="124" t="n"/>
      <c r="K49" s="124" t="n"/>
      <c r="L49" s="124" t="n"/>
      <c r="M49" s="124" t="n"/>
    </row>
    <row r="50">
      <c r="A50" s="124" t="n"/>
      <c r="B50" s="124" t="n"/>
      <c r="C50" s="124" t="n"/>
      <c r="D50" s="124" t="n"/>
      <c r="E50" s="124" t="n"/>
      <c r="F50" s="124" t="n"/>
      <c r="G50" s="124" t="n"/>
      <c r="H50" s="124" t="n"/>
      <c r="I50" s="124" t="n"/>
      <c r="J50" s="124" t="n"/>
      <c r="K50" s="124" t="n"/>
      <c r="L50" s="124" t="n"/>
      <c r="M50" s="124" t="n"/>
    </row>
    <row r="51">
      <c r="A51" s="124" t="n"/>
      <c r="B51" s="124" t="n"/>
      <c r="C51" s="124" t="n"/>
      <c r="D51" s="124" t="n"/>
      <c r="E51" s="124" t="n"/>
      <c r="F51" s="124" t="n"/>
      <c r="G51" s="124" t="n"/>
      <c r="H51" s="124" t="n"/>
      <c r="I51" s="124" t="n"/>
      <c r="J51" s="124" t="n"/>
      <c r="K51" s="124" t="n"/>
      <c r="L51" s="124" t="n"/>
      <c r="M51" s="124" t="n"/>
    </row>
    <row r="52">
      <c r="A52" s="124" t="n"/>
      <c r="B52" s="124" t="n"/>
      <c r="C52" s="124" t="n"/>
      <c r="D52" s="124" t="n"/>
      <c r="E52" s="124" t="n"/>
      <c r="F52" s="124" t="n"/>
      <c r="G52" s="124" t="n"/>
      <c r="H52" s="124" t="n"/>
      <c r="I52" s="124" t="n"/>
      <c r="J52" s="124" t="n"/>
      <c r="K52" s="124" t="n"/>
      <c r="L52" s="124" t="n"/>
      <c r="M52" s="124" t="n"/>
    </row>
    <row r="53" ht="15" customHeight="1" s="122">
      <c r="A53" s="124" t="n"/>
      <c r="B53" s="148" t="inlineStr">
        <is>
          <t>القراءة</t>
        </is>
      </c>
      <c r="C53" s="124" t="n"/>
      <c r="D53" s="124" t="n"/>
      <c r="E53" s="124" t="n"/>
      <c r="F53" s="124" t="n"/>
      <c r="G53" s="124" t="n"/>
      <c r="H53" s="124" t="n"/>
      <c r="I53" s="124" t="n"/>
      <c r="J53" s="124" t="n"/>
      <c r="K53" s="124" t="n"/>
      <c r="L53" s="124" t="n"/>
      <c r="M53" s="124" t="n"/>
    </row>
    <row r="54" ht="15.75" customHeight="1" s="122">
      <c r="A54" s="124" t="n"/>
      <c r="B54" s="124" t="n"/>
      <c r="C54" s="149" t="inlineStr">
        <is>
          <t>•  منتجاتنا القائمة كلها «سلة» تركب على زيارة الوقود</t>
        </is>
      </c>
      <c r="D54" s="124" t="n"/>
      <c r="E54" s="124" t="n"/>
      <c r="F54" s="124" t="n"/>
      <c r="G54" s="124" t="n"/>
      <c r="H54" s="124" t="n"/>
      <c r="I54" s="124" t="n"/>
      <c r="J54" s="124" t="n"/>
      <c r="K54" s="124" t="n"/>
      <c r="L54" s="124" t="n"/>
      <c r="M54" s="124" t="n"/>
    </row>
    <row r="55" ht="15.75" customHeight="1" s="122">
      <c r="A55" s="124" t="n"/>
      <c r="B55" s="124" t="n"/>
      <c r="C55" s="149" t="inlineStr">
        <is>
          <t>•  منتجات «الوجهة» التي تجلب زيارة مستقلة هي الأضعف</t>
        </is>
      </c>
      <c r="D55" s="124" t="n"/>
      <c r="E55" s="124" t="n"/>
      <c r="F55" s="124" t="n"/>
      <c r="G55" s="124" t="n"/>
      <c r="H55" s="124" t="n"/>
      <c r="I55" s="124" t="n"/>
      <c r="J55" s="124" t="n"/>
      <c r="K55" s="124" t="n"/>
      <c r="L55" s="124" t="n"/>
      <c r="M55" s="124" t="n"/>
    </row>
    <row r="56" ht="15.75" customHeight="1" s="122">
      <c r="A56" s="124" t="n"/>
      <c r="B56" s="124" t="n"/>
      <c r="C56" s="149" t="inlineStr">
        <is>
          <t>•  أطول نوافذ المكوث أضعف مواقفنا: الزيت 45 دقيقة بإيجار فقط</t>
        </is>
      </c>
      <c r="D56" s="124" t="n"/>
      <c r="E56" s="124" t="n"/>
      <c r="F56" s="124" t="n"/>
      <c r="G56" s="124" t="n"/>
      <c r="H56" s="124" t="n"/>
      <c r="I56" s="124" t="n"/>
      <c r="J56" s="124" t="n"/>
      <c r="K56" s="124" t="n"/>
      <c r="L56" s="124" t="n"/>
      <c r="M56" s="124" t="n"/>
    </row>
    <row r="57">
      <c r="A57" s="124" t="n"/>
      <c r="B57" s="124" t="n"/>
      <c r="C57" s="124" t="n"/>
      <c r="D57" s="124" t="n"/>
      <c r="E57" s="124" t="n"/>
      <c r="F57" s="124" t="n"/>
      <c r="G57" s="124" t="n"/>
      <c r="H57" s="124" t="n"/>
      <c r="I57" s="124" t="n"/>
      <c r="J57" s="124" t="n"/>
      <c r="K57" s="124" t="n"/>
      <c r="L57" s="124" t="n"/>
      <c r="M57" s="124" t="n"/>
    </row>
    <row r="58" ht="15" customHeight="1" s="122">
      <c r="A58" s="124" t="n"/>
      <c r="B58" s="164" t="inlineStr">
        <is>
          <t>الفجوات</t>
        </is>
      </c>
      <c r="C58" s="124" t="n"/>
      <c r="D58" s="124" t="n"/>
      <c r="E58" s="124" t="n"/>
      <c r="F58" s="124" t="n"/>
      <c r="G58" s="124" t="n"/>
      <c r="H58" s="124" t="n"/>
      <c r="I58" s="124" t="n"/>
      <c r="J58" s="124" t="n"/>
      <c r="K58" s="124" t="n"/>
      <c r="L58" s="124" t="n"/>
      <c r="M58" s="124" t="n"/>
    </row>
    <row r="59" ht="15.75" customHeight="1" s="122">
      <c r="A59" s="124" t="n"/>
      <c r="B59" s="124" t="n"/>
      <c r="C59" s="149" t="inlineStr">
        <is>
          <t>•  61 محطة بلا إطارات · 66 بلا صراف · 70 بلا خزائن</t>
        </is>
      </c>
      <c r="D59" s="124" t="n"/>
      <c r="E59" s="124" t="n"/>
      <c r="F59" s="124" t="n"/>
      <c r="G59" s="124" t="n"/>
      <c r="H59" s="124" t="n"/>
      <c r="I59" s="124" t="n"/>
      <c r="J59" s="124" t="n"/>
      <c r="K59" s="124" t="n"/>
      <c r="L59" s="124" t="n"/>
      <c r="M59" s="124" t="n"/>
    </row>
    <row r="60" ht="15.75" customHeight="1" s="122">
      <c r="A60" s="124" t="n"/>
      <c r="B60" s="124" t="n"/>
      <c r="C60" s="149" t="inlineStr">
        <is>
          <t>•  71 محطة بلا إكسسوارات كاشير — وهي أرخص مبادرة متاحة</t>
        </is>
      </c>
      <c r="D60" s="124" t="n"/>
      <c r="E60" s="124" t="n"/>
      <c r="F60" s="124" t="n"/>
      <c r="G60" s="124" t="n"/>
      <c r="H60" s="124" t="n"/>
      <c r="I60" s="124" t="n"/>
      <c r="J60" s="124" t="n"/>
      <c r="K60" s="124" t="n"/>
      <c r="L60" s="124" t="n"/>
      <c r="M60" s="124" t="n"/>
    </row>
    <row r="61" ht="15.75" customHeight="1" s="122">
      <c r="A61" s="124" t="n"/>
      <c r="B61" s="124" t="n"/>
      <c r="C61" s="149" t="inlineStr">
        <is>
          <t>•  355 موقعاً بلا إيراد إعلاني</t>
        </is>
      </c>
      <c r="D61" s="124" t="n"/>
      <c r="E61" s="124" t="n"/>
      <c r="F61" s="124" t="n"/>
      <c r="G61" s="124" t="n"/>
      <c r="H61" s="124" t="n"/>
      <c r="I61" s="124" t="n"/>
      <c r="J61" s="124" t="n"/>
      <c r="K61" s="124" t="n"/>
      <c r="L61" s="124" t="n"/>
      <c r="M61" s="124" t="n"/>
    </row>
    <row r="62">
      <c r="A62" s="124" t="n"/>
      <c r="B62" s="124" t="n"/>
      <c r="C62" s="124" t="n"/>
      <c r="D62" s="124" t="n"/>
      <c r="E62" s="124" t="n"/>
      <c r="F62" s="124" t="n"/>
      <c r="G62" s="124" t="n"/>
      <c r="H62" s="124" t="n"/>
      <c r="I62" s="124" t="n"/>
      <c r="J62" s="124" t="n"/>
      <c r="K62" s="124" t="n"/>
      <c r="L62" s="124" t="n"/>
      <c r="M62" s="124" t="n"/>
    </row>
    <row r="63" ht="15" customHeight="1" s="122">
      <c r="A63" s="124" t="n"/>
      <c r="B63" s="148" t="inlineStr">
        <is>
          <t>الطبقة الجامعة</t>
        </is>
      </c>
      <c r="C63" s="124" t="n"/>
      <c r="D63" s="124" t="n"/>
      <c r="E63" s="124" t="n"/>
      <c r="F63" s="124" t="n"/>
      <c r="G63" s="124" t="n"/>
      <c r="H63" s="124" t="n"/>
      <c r="I63" s="124" t="n"/>
      <c r="J63" s="124" t="n"/>
      <c r="K63" s="124" t="n"/>
      <c r="L63" s="124" t="n"/>
      <c r="M63" s="124" t="n"/>
    </row>
    <row r="64" ht="15.75" customHeight="1" s="122">
      <c r="A64" s="124" t="n"/>
      <c r="B64" s="124" t="n"/>
      <c r="C64" s="149" t="inlineStr">
        <is>
          <t>•  التطبيق ليس منتجاً بموقع بل طبقة تعريف للزيارة</t>
        </is>
      </c>
      <c r="D64" s="124" t="n"/>
      <c r="E64" s="124" t="n"/>
      <c r="F64" s="124" t="n"/>
      <c r="G64" s="124" t="n"/>
      <c r="H64" s="124" t="n"/>
      <c r="I64" s="124" t="n"/>
      <c r="J64" s="124" t="n"/>
      <c r="K64" s="124" t="n"/>
      <c r="L64" s="124" t="n"/>
      <c r="M64" s="124" t="n"/>
    </row>
    <row r="65" ht="15.75" customHeight="1" s="122">
      <c r="A65" s="124" t="n"/>
      <c r="B65" s="124" t="n"/>
      <c r="C65" s="149" t="inlineStr">
        <is>
          <t>•  بدونه يُباع كل منتج مرة واحدة لعميل مجهول</t>
        </is>
      </c>
      <c r="D65" s="124" t="n"/>
      <c r="E65" s="124" t="n"/>
      <c r="F65" s="124" t="n"/>
      <c r="G65" s="124" t="n"/>
      <c r="H65" s="124" t="n"/>
      <c r="I65" s="124" t="n"/>
      <c r="J65" s="124" t="n"/>
      <c r="K65" s="124" t="n"/>
      <c r="L65" s="124" t="n"/>
      <c r="M65" s="124" t="n"/>
    </row>
  </sheetData>
  <mergeCells count="17">
    <mergeCell ref="C56:M56"/>
    <mergeCell ref="A16:L16"/>
    <mergeCell ref="A1:M1"/>
    <mergeCell ref="C3:M3"/>
    <mergeCell ref="C61:M61"/>
    <mergeCell ref="C59:M59"/>
    <mergeCell ref="C54:M54"/>
    <mergeCell ref="A5:L5"/>
    <mergeCell ref="A28:L28"/>
    <mergeCell ref="A13:L13"/>
    <mergeCell ref="C65:M65"/>
    <mergeCell ref="A22:L22"/>
    <mergeCell ref="C55:M55"/>
    <mergeCell ref="A9:L9"/>
    <mergeCell ref="C60:M60"/>
    <mergeCell ref="A2:M2"/>
    <mergeCell ref="C64:M6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36"/>
  <sheetViews>
    <sheetView showFormulas="0" showGridLines="0"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4" customWidth="1" style="121" min="1" max="1"/>
    <col width="24" customWidth="1" style="121" min="2" max="2"/>
    <col width="26" customWidth="1" style="121" min="3" max="3"/>
    <col width="30" customWidth="1" style="121" min="4" max="4"/>
    <col width="16" customWidth="1" style="121" min="5" max="5"/>
    <col width="13" customWidth="1" style="121" min="6" max="6"/>
    <col width="12" customWidth="1" style="121" min="7" max="7"/>
    <col width="11" customWidth="1" style="121" min="8" max="8"/>
  </cols>
  <sheetData>
    <row r="1" ht="25.5" customHeight="1" s="122">
      <c r="A1" s="123" t="inlineStr">
        <is>
          <t>جاهزية الإطلاق</t>
        </is>
      </c>
      <c r="B1" s="124" t="n"/>
      <c r="C1" s="124" t="n"/>
      <c r="D1" s="124" t="n"/>
      <c r="E1" s="124" t="n"/>
      <c r="F1" s="124" t="n"/>
      <c r="G1" s="124" t="n"/>
      <c r="H1" s="124" t="n"/>
    </row>
    <row r="2" ht="18" customHeight="1" s="122">
      <c r="A2" s="125" t="inlineStr">
        <is>
          <t>أربع موجات مرتّبة حسب المُعطِّل لا حسب حجم الفرصة</t>
        </is>
      </c>
      <c r="B2" s="124" t="n"/>
      <c r="C2" s="124" t="n"/>
      <c r="D2" s="124" t="n"/>
      <c r="E2" s="124" t="n"/>
      <c r="F2" s="124" t="n"/>
      <c r="G2" s="124" t="n"/>
      <c r="H2" s="124" t="n"/>
    </row>
    <row r="3">
      <c r="A3" s="124" t="n"/>
      <c r="B3" s="124" t="n"/>
      <c r="C3" s="124" t="n"/>
      <c r="D3" s="124" t="n"/>
      <c r="E3" s="124" t="n"/>
      <c r="F3" s="124" t="n"/>
      <c r="G3" s="124" t="n"/>
      <c r="H3" s="124" t="n"/>
    </row>
    <row r="4" ht="31.5" customHeight="1" s="122">
      <c r="A4" s="138" t="inlineStr">
        <is>
          <t>#</t>
        </is>
      </c>
      <c r="B4" s="138" t="inlineStr">
        <is>
          <t>المبادرة</t>
        </is>
      </c>
      <c r="C4" s="138" t="inlineStr">
        <is>
          <t>ما نملكه اليوم</t>
        </is>
      </c>
      <c r="D4" s="138" t="inlineStr">
        <is>
          <t>المُعطِّل</t>
        </is>
      </c>
      <c r="E4" s="138" t="inlineStr">
        <is>
          <t>من يملك القرار</t>
        </is>
      </c>
      <c r="F4" s="138" t="inlineStr">
        <is>
          <t>رأس المال</t>
        </is>
      </c>
      <c r="G4" s="138" t="inlineStr">
        <is>
          <t>الزمن</t>
        </is>
      </c>
      <c r="H4" s="138" t="inlineStr">
        <is>
          <t>الـ52؟</t>
        </is>
      </c>
    </row>
    <row r="5" ht="19.5" customHeight="1" s="122">
      <c r="A5" s="185" t="inlineStr">
        <is>
          <t>الموجة ١ — تبدأ الآن · 0–3 أشهر</t>
        </is>
      </c>
      <c r="B5" s="183" t="n"/>
      <c r="C5" s="183" t="n"/>
      <c r="D5" s="183" t="n"/>
      <c r="E5" s="183" t="n"/>
      <c r="F5" s="183" t="n"/>
      <c r="G5" s="183" t="n"/>
      <c r="H5" s="183" t="n"/>
    </row>
    <row r="6" ht="27.75" customHeight="1" s="122">
      <c r="A6" s="144" t="n">
        <v>1</v>
      </c>
      <c r="B6" s="140" t="inlineStr">
        <is>
          <t>حصر وتصنيف الشواغر</t>
        </is>
      </c>
      <c r="C6" s="139" t="inlineStr">
        <is>
          <t>96 وحدة شاغرة — 60 بلا نوع</t>
        </is>
      </c>
      <c r="D6" s="139" t="inlineStr">
        <is>
          <t>لا مُعطِّل — عمل ميداني</t>
        </is>
      </c>
      <c r="E6" s="144" t="inlineStr">
        <is>
          <t>نحن وحدنا</t>
        </is>
      </c>
      <c r="F6" s="144" t="inlineStr">
        <is>
          <t>لا يُذكر</t>
        </is>
      </c>
      <c r="G6" s="144" t="inlineStr">
        <is>
          <t>4–6 أسابيع</t>
        </is>
      </c>
      <c r="H6" s="144" t="inlineStr">
        <is>
          <t>—</t>
        </is>
      </c>
    </row>
    <row r="7" ht="27.75" customHeight="1" s="122">
      <c r="A7" s="144" t="n">
        <v>2</v>
      </c>
      <c r="B7" s="140" t="inlineStr">
        <is>
          <t>رفّ إكسسوارات الكاشير</t>
        </is>
      </c>
      <c r="C7" s="139" t="inlineStr">
        <is>
          <t>71 محطة مفتوحة</t>
        </is>
      </c>
      <c r="D7" s="139" t="inlineStr">
        <is>
          <t>اختيار مورّد وتسعير</t>
        </is>
      </c>
      <c r="E7" s="144" t="inlineStr">
        <is>
          <t>نحن وحدنا</t>
        </is>
      </c>
      <c r="F7" s="144" t="inlineStr">
        <is>
          <t>منخفض جداً</t>
        </is>
      </c>
      <c r="G7" s="144" t="inlineStr">
        <is>
          <t>6–8 أسابيع</t>
        </is>
      </c>
      <c r="H7" s="144" t="inlineStr">
        <is>
          <t>نعم</t>
        </is>
      </c>
    </row>
    <row r="8" ht="27.75" customHeight="1" s="122">
      <c r="A8" s="144" t="n">
        <v>3</v>
      </c>
      <c r="B8" s="140" t="inlineStr">
        <is>
          <t>تسعير الوحدات المصنّفة</t>
        </is>
      </c>
      <c r="C8" s="139" t="inlineStr">
        <is>
          <t>36 وحدة معروفة النوع</t>
        </is>
      </c>
      <c r="D8" s="139" t="inlineStr">
        <is>
          <t>غياب جدول أسعار وفريق تأجير</t>
        </is>
      </c>
      <c r="E8" s="144" t="inlineStr">
        <is>
          <t>نحن وحدنا</t>
        </is>
      </c>
      <c r="F8" s="144" t="inlineStr">
        <is>
          <t>منخفض</t>
        </is>
      </c>
      <c r="G8" s="144" t="inlineStr">
        <is>
          <t>8–12 أسبوعاً</t>
        </is>
      </c>
      <c r="H8" s="144" t="inlineStr">
        <is>
          <t>—</t>
        </is>
      </c>
    </row>
    <row r="9" ht="27.75" customHeight="1" s="122">
      <c r="A9" s="144" t="n">
        <v>4</v>
      </c>
      <c r="B9" s="140" t="inlineStr">
        <is>
          <t>ملف الظبية المستقل</t>
        </is>
      </c>
      <c r="C9" s="139" t="inlineStr">
        <is>
          <t>31 وحدة بإشغال 3.2%</t>
        </is>
      </c>
      <c r="D9" s="139" t="inlineStr">
        <is>
          <t>لا مالك للملف</t>
        </is>
      </c>
      <c r="E9" s="144" t="inlineStr">
        <is>
          <t>نحن وحدنا</t>
        </is>
      </c>
      <c r="F9" s="144" t="inlineStr">
        <is>
          <t>منخفض</t>
        </is>
      </c>
      <c r="G9" s="144" t="inlineStr">
        <is>
          <t>8–12 أسبوعاً</t>
        </is>
      </c>
      <c r="H9" s="144" t="inlineStr">
        <is>
          <t>—</t>
        </is>
      </c>
    </row>
    <row r="10" ht="27.75" customHeight="1" s="122">
      <c r="A10" s="144" t="n">
        <v>5</v>
      </c>
      <c r="B10" s="140" t="inlineStr">
        <is>
          <t>إدخال المنتجات في تصميم الـ52</t>
        </is>
      </c>
      <c r="C10" s="139" t="inlineStr">
        <is>
          <t>52 محطة لم تُسلَّم</t>
        </is>
      </c>
      <c r="D10" s="139" t="inlineStr">
        <is>
          <t>النافذة تُغلق مع كل تسليم</t>
        </is>
      </c>
      <c r="E10" s="144" t="inlineStr">
        <is>
          <t>نحن + المشاريع</t>
        </is>
      </c>
      <c r="F10" s="144" t="inlineStr">
        <is>
          <t>لا يُذكر</t>
        </is>
      </c>
      <c r="G10" s="144" t="inlineStr">
        <is>
          <t>فوري</t>
        </is>
      </c>
      <c r="H10" s="146" t="inlineStr">
        <is>
          <t>★</t>
        </is>
      </c>
    </row>
    <row r="11" ht="19.5" customHeight="1" s="122">
      <c r="A11" s="186" t="inlineStr">
        <is>
          <t>الموجة ٢ — فريق أو تعاقد · 3–9 أشهر</t>
        </is>
      </c>
      <c r="B11" s="183" t="n"/>
      <c r="C11" s="183" t="n"/>
      <c r="D11" s="183" t="n"/>
      <c r="E11" s="183" t="n"/>
      <c r="F11" s="183" t="n"/>
      <c r="G11" s="183" t="n"/>
      <c r="H11" s="183" t="n"/>
    </row>
    <row r="12" ht="27.75" customHeight="1" s="122">
      <c r="A12" s="144" t="n">
        <v>6</v>
      </c>
      <c r="B12" s="140" t="inlineStr">
        <is>
          <t>الصرافات والخزائن</t>
        </is>
      </c>
      <c r="C12" s="139" t="inlineStr">
        <is>
          <t>66 محطة بلا صراف · وصول 24 ساعة</t>
        </is>
      </c>
      <c r="D12" s="139" t="inlineStr">
        <is>
          <t>لا قائمة مواقع ولا مندوب</t>
        </is>
      </c>
      <c r="E12" s="144" t="inlineStr">
        <is>
          <t>نحن + البنك</t>
        </is>
      </c>
      <c r="F12" s="144" t="inlineStr">
        <is>
          <t>صفر</t>
        </is>
      </c>
      <c r="G12" s="144" t="inlineStr">
        <is>
          <t>3–5 أشهر</t>
        </is>
      </c>
      <c r="H12" s="144" t="inlineStr">
        <is>
          <t>نعم</t>
        </is>
      </c>
    </row>
    <row r="13" ht="27.75" customHeight="1" s="122">
      <c r="A13" s="144" t="n">
        <v>7</v>
      </c>
      <c r="B13" s="140" t="inlineStr">
        <is>
          <t>عقود الأساطيل المباشرة</t>
        </is>
      </c>
      <c r="C13" s="139" t="inlineStr">
        <is>
          <t>ديزل 19.3% · بصمة أسطول واضحة</t>
        </is>
      </c>
      <c r="D13" s="139" t="inlineStr">
        <is>
          <t>لا مندوب B2B ولا آلية ائتمان</t>
        </is>
      </c>
      <c r="E13" s="144" t="inlineStr">
        <is>
          <t>نحن + المنشأة</t>
        </is>
      </c>
      <c r="F13" s="144" t="inlineStr">
        <is>
          <t>منخفض</t>
        </is>
      </c>
      <c r="G13" s="144" t="inlineStr">
        <is>
          <t>4–6 أشهر</t>
        </is>
      </c>
      <c r="H13" s="144" t="inlineStr">
        <is>
          <t>—</t>
        </is>
      </c>
    </row>
    <row r="14" ht="27.75" customHeight="1" s="122">
      <c r="A14" s="144" t="n">
        <v>8</v>
      </c>
      <c r="B14" s="140" t="inlineStr">
        <is>
          <t>اللوحات الإعلانية</t>
        </is>
      </c>
      <c r="C14" s="139" t="inlineStr">
        <is>
          <t>355 موقعاً على شرايين حركة</t>
        </is>
      </c>
      <c r="D14" s="139" t="inlineStr">
        <is>
          <t>تراخيص الإعلان الخارجي</t>
        </is>
      </c>
      <c r="E14" s="144" t="inlineStr">
        <is>
          <t>نحن + الوكالة + البلدية</t>
        </is>
      </c>
      <c r="F14" s="144" t="inlineStr">
        <is>
          <t>صفر</t>
        </is>
      </c>
      <c r="G14" s="144" t="inlineStr">
        <is>
          <t>4–8 أشهر</t>
        </is>
      </c>
      <c r="H14" s="144" t="inlineStr">
        <is>
          <t>نعم</t>
        </is>
      </c>
    </row>
    <row r="15" ht="27.75" customHeight="1" s="122">
      <c r="A15" s="144" t="n">
        <v>9</v>
      </c>
      <c r="B15" s="140" t="inlineStr">
        <is>
          <t>اتفاقية إطارية للماركت</t>
        </is>
      </c>
      <c r="C15" s="139" t="inlineStr">
        <is>
          <t>فريش واي في 17 محطة</t>
        </is>
      </c>
      <c r="D15" s="139" t="inlineStr">
        <is>
          <t>لا اتفاقية شبكية</t>
        </is>
      </c>
      <c r="E15" s="144" t="inlineStr">
        <is>
          <t>نحن + السلسلة</t>
        </is>
      </c>
      <c r="F15" s="144" t="inlineStr">
        <is>
          <t>لا يُذكر</t>
        </is>
      </c>
      <c r="G15" s="144" t="inlineStr">
        <is>
          <t>4–6 أشهر</t>
        </is>
      </c>
      <c r="H15" s="144" t="inlineStr">
        <is>
          <t>نعم</t>
        </is>
      </c>
    </row>
    <row r="16" ht="19.5" customHeight="1" s="122">
      <c r="A16" s="187" t="inlineStr">
        <is>
          <t>الموجة ٣ — تعديل إنشائي · 9–18 شهراً</t>
        </is>
      </c>
      <c r="B16" s="183" t="n"/>
      <c r="C16" s="183" t="n"/>
      <c r="D16" s="183" t="n"/>
      <c r="E16" s="183" t="n"/>
      <c r="F16" s="183" t="n"/>
      <c r="G16" s="183" t="n"/>
      <c r="H16" s="183" t="n"/>
    </row>
    <row r="17" ht="27.75" customHeight="1" s="122">
      <c r="A17" s="144" t="n">
        <v>10</v>
      </c>
      <c r="B17" s="140" t="inlineStr">
        <is>
          <t>بنشر وإطارات</t>
        </is>
      </c>
      <c r="C17" s="139" t="inlineStr">
        <is>
          <t>61 محطة بلا خدمة</t>
        </is>
      </c>
      <c r="D17" s="139" t="inlineStr">
        <is>
          <t>لا ورش مجهزة</t>
        </is>
      </c>
      <c r="E17" s="144" t="inlineStr">
        <is>
          <t>نحن + الشريك</t>
        </is>
      </c>
      <c r="F17" s="144" t="inlineStr">
        <is>
          <t>متوسط–مرتفع</t>
        </is>
      </c>
      <c r="G17" s="144" t="inlineStr">
        <is>
          <t>9–15 شهراً</t>
        </is>
      </c>
      <c r="H17" s="146" t="inlineStr">
        <is>
          <t>★ نعم</t>
        </is>
      </c>
    </row>
    <row r="18" ht="27.75" customHeight="1" s="122">
      <c r="A18" s="144" t="n">
        <v>11</v>
      </c>
      <c r="B18" s="140" t="inlineStr">
        <is>
          <t>زينة وتجهيز</t>
        </is>
      </c>
      <c r="C18" s="139" t="inlineStr">
        <is>
          <t>وحدات شاغرة تحتمل النشاط</t>
        </is>
      </c>
      <c r="D18" s="139" t="inlineStr">
        <is>
          <t>لا مستأجر متخصص</t>
        </is>
      </c>
      <c r="E18" s="144" t="inlineStr">
        <is>
          <t>نحن + المتخصص</t>
        </is>
      </c>
      <c r="F18" s="144" t="inlineStr">
        <is>
          <t>منخفض</t>
        </is>
      </c>
      <c r="G18" s="144" t="inlineStr">
        <is>
          <t>9–12 شهراً</t>
        </is>
      </c>
      <c r="H18" s="144" t="inlineStr">
        <is>
          <t>نعم</t>
        </is>
      </c>
    </row>
    <row r="19" ht="27.75" customHeight="1" s="122">
      <c r="A19" s="144" t="n">
        <v>12</v>
      </c>
      <c r="B19" s="140" t="inlineStr">
        <is>
          <t>مواقف الشاحنات</t>
        </is>
      </c>
      <c r="C19" s="139" t="inlineStr">
        <is>
          <t>5,420 م² أرض</t>
        </is>
      </c>
      <c r="D19" s="139" t="inlineStr">
        <is>
          <t>تجهيز ورخصة</t>
        </is>
      </c>
      <c r="E19" s="144" t="inlineStr">
        <is>
          <t>نحن + الجهة التنظيمية</t>
        </is>
      </c>
      <c r="F19" s="144" t="inlineStr">
        <is>
          <t>متوسط</t>
        </is>
      </c>
      <c r="G19" s="144" t="inlineStr">
        <is>
          <t>9–18 شهراً</t>
        </is>
      </c>
      <c r="H19" s="146" t="inlineStr">
        <is>
          <t>★ نعم</t>
        </is>
      </c>
    </row>
    <row r="20" ht="27.75" customHeight="1" s="122">
      <c r="A20" s="144" t="n">
        <v>13</v>
      </c>
      <c r="B20" s="140" t="inlineStr">
        <is>
          <t>درايف ثرو</t>
        </is>
      </c>
      <c r="C20" s="139" t="inlineStr">
        <is>
          <t>3 وحدات شاغرة مصنّفة</t>
        </is>
      </c>
      <c r="D20" s="139" t="inlineStr">
        <is>
          <t>يحتاج مسار سيارات مستقل</t>
        </is>
      </c>
      <c r="E20" s="144" t="inlineStr">
        <is>
          <t>نحن + وكيل الامتياز</t>
        </is>
      </c>
      <c r="F20" s="144" t="inlineStr">
        <is>
          <t>مرتفع</t>
        </is>
      </c>
      <c r="G20" s="144" t="inlineStr">
        <is>
          <t>12–18 شهراً</t>
        </is>
      </c>
      <c r="H20" s="146" t="inlineStr">
        <is>
          <t>★★ نعم</t>
        </is>
      </c>
    </row>
    <row r="21" ht="19.5" customHeight="1" s="122">
      <c r="A21" s="188" t="inlineStr">
        <is>
          <t>الموجة ٤ — بنية أو عقود قائمة · 18 شهراً+</t>
        </is>
      </c>
      <c r="B21" s="183" t="n"/>
      <c r="C21" s="183" t="n"/>
      <c r="D21" s="183" t="n"/>
      <c r="E21" s="183" t="n"/>
      <c r="F21" s="183" t="n"/>
      <c r="G21" s="183" t="n"/>
      <c r="H21" s="183" t="n"/>
    </row>
    <row r="22" ht="27.75" customHeight="1" s="122">
      <c r="A22" s="144" t="n">
        <v>14</v>
      </c>
      <c r="B22" s="140" t="inlineStr">
        <is>
          <t>تحويل الزيوت إلى نسبة</t>
        </is>
      </c>
      <c r="C22" s="139" t="inlineStr">
        <is>
          <t>28 محطة بخدمة زيوت</t>
        </is>
      </c>
      <c r="D22" s="139" t="inlineStr">
        <is>
          <t>عقود لا تُعدَّل إلا عند التجديد</t>
        </is>
      </c>
      <c r="E22" s="144" t="inlineStr">
        <is>
          <t>نحن + الشريك</t>
        </is>
      </c>
      <c r="F22" s="144" t="inlineStr">
        <is>
          <t>لا يُذكر</t>
        </is>
      </c>
      <c r="G22" s="144" t="inlineStr">
        <is>
          <t>12–24 شهراً</t>
        </is>
      </c>
      <c r="H22" s="144" t="inlineStr">
        <is>
          <t>—</t>
        </is>
      </c>
    </row>
    <row r="23" ht="27.75" customHeight="1" s="122">
      <c r="A23" s="144" t="n">
        <v>15</v>
      </c>
      <c r="B23" s="140" t="inlineStr">
        <is>
          <t>واجهة الشركات في التطبيق</t>
        </is>
      </c>
      <c r="C23" s="139" t="inlineStr">
        <is>
          <t>تطبيق أفراد قائم</t>
        </is>
      </c>
      <c r="D23" s="139" t="inlineStr">
        <is>
          <t>تطوير تقني وربط ائتمان</t>
        </is>
      </c>
      <c r="E23" s="144" t="inlineStr">
        <is>
          <t>نحن + التقنية</t>
        </is>
      </c>
      <c r="F23" s="144" t="inlineStr">
        <is>
          <t>مرتفع</t>
        </is>
      </c>
      <c r="G23" s="144" t="inlineStr">
        <is>
          <t>12–24 شهراً</t>
        </is>
      </c>
      <c r="H23" s="144" t="inlineStr">
        <is>
          <t>نعم</t>
        </is>
      </c>
    </row>
    <row r="24">
      <c r="A24" s="124" t="n"/>
      <c r="B24" s="124" t="n"/>
      <c r="C24" s="124" t="n"/>
      <c r="D24" s="124" t="n"/>
      <c r="E24" s="124" t="n"/>
      <c r="F24" s="124" t="n"/>
      <c r="G24" s="124" t="n"/>
      <c r="H24" s="124" t="n"/>
    </row>
    <row r="25" ht="15" customHeight="1" s="122">
      <c r="A25" s="124" t="n"/>
      <c r="B25" s="148" t="inlineStr">
        <is>
          <t>جاهز الآن</t>
        </is>
      </c>
      <c r="C25" s="124" t="n"/>
      <c r="D25" s="124" t="n"/>
      <c r="E25" s="124" t="n"/>
      <c r="F25" s="124" t="n"/>
      <c r="G25" s="124" t="n"/>
      <c r="H25" s="124" t="n"/>
    </row>
    <row r="26" ht="15.75" customHeight="1" s="122">
      <c r="A26" s="124" t="n"/>
      <c r="B26" s="124" t="n"/>
      <c r="C26" s="149" t="inlineStr">
        <is>
          <t>•  خمس مبادرات تبدأ خلال ثلاثة أشهر بلا رأس مال ولا طرف ثالث</t>
        </is>
      </c>
      <c r="D26" s="124" t="n"/>
      <c r="E26" s="124" t="n"/>
      <c r="F26" s="124" t="n"/>
      <c r="G26" s="124" t="n"/>
      <c r="H26" s="124" t="n"/>
    </row>
    <row r="27" ht="15.75" customHeight="1" s="122">
      <c r="A27" s="124" t="n"/>
      <c r="B27" s="124" t="n"/>
      <c r="C27" s="149" t="inlineStr">
        <is>
          <t>•  أربع أخرى تحتاج فريقاً أو تعاقداً فقط لا بناءً</t>
        </is>
      </c>
      <c r="D27" s="124" t="n"/>
      <c r="E27" s="124" t="n"/>
      <c r="F27" s="124" t="n"/>
      <c r="G27" s="124" t="n"/>
      <c r="H27" s="124" t="n"/>
    </row>
    <row r="28">
      <c r="A28" s="124" t="n"/>
      <c r="B28" s="124" t="n"/>
      <c r="C28" s="124" t="n"/>
      <c r="D28" s="124" t="n"/>
      <c r="E28" s="124" t="n"/>
      <c r="F28" s="124" t="n"/>
      <c r="G28" s="124" t="n"/>
      <c r="H28" s="124" t="n"/>
    </row>
    <row r="29" ht="15" customHeight="1" s="122">
      <c r="A29" s="124" t="n"/>
      <c r="B29" s="164" t="inlineStr">
        <is>
          <t>★ النافذة التي تُغلق</t>
        </is>
      </c>
      <c r="C29" s="124" t="n"/>
      <c r="D29" s="124" t="n"/>
      <c r="E29" s="124" t="n"/>
      <c r="F29" s="124" t="n"/>
      <c r="G29" s="124" t="n"/>
      <c r="H29" s="124" t="n"/>
    </row>
    <row r="30" ht="15.75" customHeight="1" s="122">
      <c r="A30" s="124" t="n"/>
      <c r="B30" s="124" t="n"/>
      <c r="C30" s="149" t="inlineStr">
        <is>
          <t>•  أربعة منتجات مؤجَّلة لأنها تحتاج تعديلاً إنشائياً في محطات قائمة</t>
        </is>
      </c>
      <c r="D30" s="124" t="n"/>
      <c r="E30" s="124" t="n"/>
      <c r="F30" s="124" t="n"/>
      <c r="G30" s="124" t="n"/>
      <c r="H30" s="124" t="n"/>
    </row>
    <row r="31" ht="15.75" customHeight="1" s="122">
      <c r="A31" s="124" t="n"/>
      <c r="B31" s="124" t="n"/>
      <c r="C31" s="149" t="inlineStr">
        <is>
          <t>•  إدراجها في تصميم الـ52 محطة يحوّلها إلى منتجات جاهزة يوم الافتتاح</t>
        </is>
      </c>
      <c r="D31" s="124" t="n"/>
      <c r="E31" s="124" t="n"/>
      <c r="F31" s="124" t="n"/>
      <c r="G31" s="124" t="n"/>
      <c r="H31" s="124" t="n"/>
    </row>
    <row r="32" ht="15.75" customHeight="1" s="122">
      <c r="A32" s="124" t="n"/>
      <c r="B32" s="124" t="n"/>
      <c r="C32" s="149" t="inlineStr">
        <is>
          <t>•  القيمة تُفقد نهائياً مع كل محطة تُسلَّم</t>
        </is>
      </c>
      <c r="D32" s="124" t="n"/>
      <c r="E32" s="124" t="n"/>
      <c r="F32" s="124" t="n"/>
      <c r="G32" s="124" t="n"/>
      <c r="H32" s="124" t="n"/>
    </row>
    <row r="33">
      <c r="A33" s="124" t="n"/>
      <c r="B33" s="124" t="n"/>
      <c r="C33" s="124" t="n"/>
      <c r="D33" s="124" t="n"/>
      <c r="E33" s="124" t="n"/>
      <c r="F33" s="124" t="n"/>
      <c r="G33" s="124" t="n"/>
      <c r="H33" s="124" t="n"/>
    </row>
    <row r="34" ht="15" customHeight="1" s="122">
      <c r="A34" s="124" t="n"/>
      <c r="B34" s="164" t="inlineStr">
        <is>
          <t>افتراضات</t>
        </is>
      </c>
      <c r="C34" s="124" t="n"/>
      <c r="D34" s="124" t="n"/>
      <c r="E34" s="124" t="n"/>
      <c r="F34" s="124" t="n"/>
      <c r="G34" s="124" t="n"/>
      <c r="H34" s="124" t="n"/>
    </row>
    <row r="35" ht="15.75" customHeight="1" s="122">
      <c r="A35" s="124" t="n"/>
      <c r="B35" s="124" t="n"/>
      <c r="C35" s="149" t="inlineStr">
        <is>
          <t>•  الأزمنة تقديرية مبنية على طبيعة العائق لا على خطة موارد معتمدة</t>
        </is>
      </c>
      <c r="D35" s="124" t="n"/>
      <c r="E35" s="124" t="n"/>
      <c r="F35" s="124" t="n"/>
      <c r="G35" s="124" t="n"/>
      <c r="H35" s="124" t="n"/>
    </row>
    <row r="36" ht="15.75" customHeight="1" s="122">
      <c r="A36" s="124" t="n"/>
      <c r="B36" s="124" t="n"/>
      <c r="C36" s="149" t="inlineStr">
        <is>
          <t>•  ثلاثة مجاهيل تغيّر الترتيب: آجال عقود الزيوت · التراخيص · حجم الفريق</t>
        </is>
      </c>
      <c r="D36" s="124" t="n"/>
      <c r="E36" s="124" t="n"/>
      <c r="F36" s="124" t="n"/>
      <c r="G36" s="124" t="n"/>
      <c r="H36" s="124" t="n"/>
    </row>
  </sheetData>
  <mergeCells count="13">
    <mergeCell ref="A1:H1"/>
    <mergeCell ref="C32:H32"/>
    <mergeCell ref="A21:H21"/>
    <mergeCell ref="A5:H5"/>
    <mergeCell ref="C36:H36"/>
    <mergeCell ref="C27:H27"/>
    <mergeCell ref="A16:H16"/>
    <mergeCell ref="A2:H2"/>
    <mergeCell ref="C31:H31"/>
    <mergeCell ref="A11:H11"/>
    <mergeCell ref="C35:H35"/>
    <mergeCell ref="C26:H26"/>
    <mergeCell ref="C30:H3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39"/>
  <sheetViews>
    <sheetView showFormulas="0" showGridLines="0" showRowColHeaders="1" showZeros="1" rightToLeft="1"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 customWidth="1" style="121" min="1" max="1"/>
    <col width="26" customWidth="1" style="121" min="2" max="2"/>
    <col width="16" customWidth="1" style="121" min="3" max="6"/>
    <col width="30" customWidth="1" style="121" min="7" max="7"/>
  </cols>
  <sheetData>
    <row r="1" ht="25.5" customHeight="1" s="122">
      <c r="A1" s="123" t="inlineStr">
        <is>
          <t>منفذ ١ — الوقود</t>
        </is>
      </c>
      <c r="B1" s="124" t="n"/>
      <c r="C1" s="124" t="n"/>
      <c r="D1" s="124" t="n"/>
      <c r="E1" s="124" t="n"/>
      <c r="F1" s="124" t="n"/>
      <c r="G1" s="124" t="n"/>
    </row>
    <row r="2" ht="18" customHeight="1" s="122">
      <c r="A2" s="125" t="inlineStr">
        <is>
          <t>السعر مقنَّن · فالرافعة في الحجم والمزيج والعقود</t>
        </is>
      </c>
      <c r="B2" s="124" t="n"/>
      <c r="C2" s="124" t="n"/>
      <c r="D2" s="124" t="n"/>
      <c r="E2" s="124" t="n"/>
      <c r="F2" s="124" t="n"/>
      <c r="G2" s="124" t="n"/>
    </row>
    <row r="3">
      <c r="A3" s="124" t="n"/>
      <c r="B3" s="124" t="n"/>
      <c r="C3" s="124" t="n"/>
      <c r="D3" s="124" t="n"/>
      <c r="E3" s="124" t="n"/>
      <c r="F3" s="124" t="n"/>
      <c r="G3" s="124" t="n"/>
    </row>
    <row r="4" ht="31.5" customHeight="1" s="122">
      <c r="A4" s="138" t="inlineStr">
        <is>
          <t>#</t>
        </is>
      </c>
      <c r="B4" s="138" t="inlineStr">
        <is>
          <t>المؤشر</t>
        </is>
      </c>
      <c r="C4" s="138" t="inlineStr">
        <is>
          <t>قبل التصحيح</t>
        </is>
      </c>
      <c r="D4" s="138" t="inlineStr">
        <is>
          <t>بعد التصحيح</t>
        </is>
      </c>
      <c r="E4" s="138" t="n"/>
      <c r="F4" s="138" t="n"/>
      <c r="G4" s="138" t="inlineStr">
        <is>
          <t>الدلالة</t>
        </is>
      </c>
    </row>
    <row r="5" ht="21.75" customHeight="1" s="122">
      <c r="A5" s="144" t="n">
        <v>1</v>
      </c>
      <c r="B5" s="147" t="inlineStr">
        <is>
          <t>الإيراد السنوي المُطبَّع</t>
        </is>
      </c>
      <c r="C5" s="144" t="inlineStr">
        <is>
          <t>1.271 مليار</t>
        </is>
      </c>
      <c r="D5" s="189" t="inlineStr">
        <is>
          <t>1.271 مليار</t>
        </is>
      </c>
      <c r="E5" s="144" t="n"/>
      <c r="F5" s="144" t="n"/>
      <c r="G5" s="139" t="inlineStr">
        <is>
          <t>لم يتأثر</t>
        </is>
      </c>
    </row>
    <row r="6" ht="21.75" customHeight="1" s="122">
      <c r="A6" s="144" t="n">
        <v>2</v>
      </c>
      <c r="B6" s="147" t="inlineStr">
        <is>
          <t>اللترات السنوية</t>
        </is>
      </c>
      <c r="C6" s="144" t="inlineStr">
        <is>
          <t>560.2 مليون</t>
        </is>
      </c>
      <c r="D6" s="133" t="inlineStr">
        <is>
          <t>588.4 مليون</t>
        </is>
      </c>
      <c r="E6" s="144" t="n"/>
      <c r="F6" s="144" t="n"/>
      <c r="G6" s="139" t="inlineStr">
        <is>
          <t>زيادة 28 مليون لتر</t>
        </is>
      </c>
    </row>
    <row r="7" ht="21.75" customHeight="1" s="122">
      <c r="A7" s="144" t="n">
        <v>3</v>
      </c>
      <c r="B7" s="147" t="inlineStr">
        <is>
          <t>ريال لكل لتر</t>
        </is>
      </c>
      <c r="C7" s="144" t="inlineStr">
        <is>
          <t>2.27</t>
        </is>
      </c>
      <c r="D7" s="133" t="inlineStr">
        <is>
          <t>2.16</t>
        </is>
      </c>
      <c r="E7" s="144" t="n"/>
      <c r="F7" s="144" t="n"/>
      <c r="G7" s="139" t="inlineStr">
        <is>
          <t>عاد داخل نطاق الأسعار المقننة</t>
        </is>
      </c>
    </row>
    <row r="8" ht="21.75" customHeight="1" s="122">
      <c r="A8" s="144" t="n">
        <v>4</v>
      </c>
      <c r="B8" s="147" t="inlineStr">
        <is>
          <t>لتر لكل زيارة</t>
        </is>
      </c>
      <c r="C8" s="144" t="inlineStr">
        <is>
          <t>24.9</t>
        </is>
      </c>
      <c r="D8" s="133" t="inlineStr">
        <is>
          <t>26.2</t>
        </is>
      </c>
      <c r="E8" s="144" t="n"/>
      <c r="F8" s="144" t="n"/>
      <c r="G8" s="139" t="inlineStr">
        <is>
          <t>سلة الوقود الفعلية أكبر</t>
        </is>
      </c>
    </row>
    <row r="9" ht="21.75" customHeight="1" s="122">
      <c r="A9" s="144" t="n">
        <v>5</v>
      </c>
      <c r="B9" s="147" t="inlineStr">
        <is>
          <t>ريال لكل زيارة</t>
        </is>
      </c>
      <c r="C9" s="144" t="inlineStr">
        <is>
          <t>56.9</t>
        </is>
      </c>
      <c r="D9" s="189" t="inlineStr">
        <is>
          <t>56.6</t>
        </is>
      </c>
      <c r="E9" s="144" t="n"/>
      <c r="F9" s="144" t="n"/>
      <c r="G9" s="139" t="inlineStr">
        <is>
          <t>لم يتأثر</t>
        </is>
      </c>
    </row>
    <row r="10">
      <c r="A10" s="124" t="n"/>
      <c r="B10" s="124" t="n"/>
      <c r="C10" s="124" t="n"/>
      <c r="D10" s="124" t="n"/>
      <c r="E10" s="124" t="n"/>
      <c r="F10" s="124" t="n"/>
      <c r="G10" s="124" t="n"/>
    </row>
    <row r="11" ht="15" customHeight="1" s="122">
      <c r="A11" s="124" t="n"/>
      <c r="B11" s="159" t="inlineStr">
        <is>
          <t>المزيج</t>
        </is>
      </c>
      <c r="C11" s="124" t="n"/>
      <c r="D11" s="124" t="n"/>
      <c r="E11" s="124" t="n"/>
      <c r="F11" s="124" t="n"/>
      <c r="G11" s="124" t="n"/>
    </row>
    <row r="12" ht="31.5" customHeight="1" s="122">
      <c r="A12" s="138" t="inlineStr">
        <is>
          <t>#</t>
        </is>
      </c>
      <c r="B12" s="138" t="inlineStr">
        <is>
          <t>المنتج</t>
        </is>
      </c>
      <c r="C12" s="138" t="inlineStr">
        <is>
          <t>اللترات (م)</t>
        </is>
      </c>
      <c r="D12" s="138" t="inlineStr">
        <is>
          <t>حصة اللترات</t>
        </is>
      </c>
      <c r="E12" s="138" t="inlineStr">
        <is>
          <t>السعر المقنَّن</t>
        </is>
      </c>
      <c r="F12" s="138" t="inlineStr">
        <is>
          <t>حصة الإيراد</t>
        </is>
      </c>
      <c r="G12" s="138" t="inlineStr">
        <is>
          <t>الدلالة</t>
        </is>
      </c>
    </row>
    <row r="13" ht="21.75" customHeight="1" s="122">
      <c r="A13" s="144" t="n">
        <v>1</v>
      </c>
      <c r="B13" s="147" t="inlineStr">
        <is>
          <t>بنزين 91</t>
        </is>
      </c>
      <c r="C13" s="190" t="n">
        <v>258.8</v>
      </c>
      <c r="D13" s="166">
        <f>C13/SUM($C$13:$C$15)</f>
        <v/>
      </c>
      <c r="E13" s="191" t="n">
        <v>2.18</v>
      </c>
      <c r="F13" s="166">
        <f>C13*E13/SUMPRODUCT($C$13:$C$15,$E$13:$E$15)</f>
        <v/>
      </c>
      <c r="G13" s="139" t="inlineStr">
        <is>
          <t>الأكبر حجماً</t>
        </is>
      </c>
    </row>
    <row r="14" ht="21.75" customHeight="1" s="122">
      <c r="A14" s="144" t="n">
        <v>2</v>
      </c>
      <c r="B14" s="147" t="inlineStr">
        <is>
          <t>بنزين 95</t>
        </is>
      </c>
      <c r="C14" s="190" t="n">
        <v>220.1</v>
      </c>
      <c r="D14" s="166">
        <f>C14/SUM($C$13:$C$15)</f>
        <v/>
      </c>
      <c r="E14" s="191" t="n">
        <v>2.33</v>
      </c>
      <c r="F14" s="166">
        <f>C14*E14/SUMPRODUCT($C$13:$C$15,$E$13:$E$15)</f>
        <v/>
      </c>
      <c r="G14" s="139" t="inlineStr">
        <is>
          <t>أعلى قيمة لكل لتر</t>
        </is>
      </c>
    </row>
    <row r="15" ht="21.75" customHeight="1" s="122">
      <c r="A15" s="144" t="n">
        <v>3</v>
      </c>
      <c r="B15" s="147" t="inlineStr">
        <is>
          <t>ديزل</t>
        </is>
      </c>
      <c r="C15" s="190" t="n">
        <v>109.4</v>
      </c>
      <c r="D15" s="166">
        <f>C15/SUM($C$13:$C$15)</f>
        <v/>
      </c>
      <c r="E15" s="191" t="n">
        <v>1.15</v>
      </c>
      <c r="F15" s="166">
        <f>C15*E15/SUMPRODUCT($C$13:$C$15,$E$13:$E$15)</f>
        <v/>
      </c>
      <c r="G15" s="139" t="inlineStr">
        <is>
          <t>قصة حجم لا قصة إيراد · وهو بصمة الأسطول</t>
        </is>
      </c>
    </row>
    <row r="16">
      <c r="A16" s="124" t="n"/>
      <c r="B16" s="124" t="n"/>
      <c r="C16" s="124" t="n"/>
      <c r="D16" s="124" t="n"/>
      <c r="E16" s="124" t="n"/>
      <c r="F16" s="124" t="n"/>
      <c r="G16" s="124" t="n"/>
    </row>
    <row r="17" ht="15" customHeight="1" s="122">
      <c r="A17" s="124" t="n"/>
      <c r="B17" s="192" t="inlineStr">
        <is>
          <t>الصاعدة مقابل الهابطة</t>
        </is>
      </c>
      <c r="C17" s="124" t="n"/>
      <c r="D17" s="124" t="n"/>
      <c r="E17" s="124" t="n"/>
      <c r="F17" s="124" t="n"/>
      <c r="G17" s="124" t="n"/>
    </row>
    <row r="18" ht="31.5" customHeight="1" s="122">
      <c r="A18" s="138" t="inlineStr">
        <is>
          <t>#</t>
        </is>
      </c>
      <c r="B18" s="138" t="inlineStr">
        <is>
          <t>المجموعة</t>
        </is>
      </c>
      <c r="C18" s="138" t="inlineStr">
        <is>
          <t>محطات</t>
        </is>
      </c>
      <c r="D18" s="138" t="inlineStr">
        <is>
          <t>الإيراد (م)</t>
        </is>
      </c>
      <c r="E18" s="138" t="inlineStr">
        <is>
          <t>لتر/زيارة</t>
        </is>
      </c>
      <c r="F18" s="138" t="inlineStr">
        <is>
          <t>حصة الديزل</t>
        </is>
      </c>
      <c r="G18" s="138" t="inlineStr">
        <is>
          <t>حصة 95</t>
        </is>
      </c>
    </row>
    <row r="19" ht="21.75" customHeight="1" s="122">
      <c r="A19" s="144" t="n">
        <v>1</v>
      </c>
      <c r="B19" s="132" t="inlineStr">
        <is>
          <t>صاعدة</t>
        </is>
      </c>
      <c r="C19" s="144" t="n">
        <v>17</v>
      </c>
      <c r="D19" s="152" t="n">
        <v>317</v>
      </c>
      <c r="E19" s="193" t="n">
        <v>26.3</v>
      </c>
      <c r="F19" s="166" t="n">
        <v>0.219943516303586</v>
      </c>
      <c r="G19" s="166" t="n">
        <v>0.360581758313579</v>
      </c>
    </row>
    <row r="20" ht="21.75" customHeight="1" s="122">
      <c r="A20" s="144" t="n">
        <v>2</v>
      </c>
      <c r="B20" s="134" t="inlineStr">
        <is>
          <t>هابطة</t>
        </is>
      </c>
      <c r="C20" s="144" t="n">
        <v>13</v>
      </c>
      <c r="D20" s="152" t="n">
        <v>366</v>
      </c>
      <c r="E20" s="193" t="n">
        <v>27</v>
      </c>
      <c r="F20" s="166" t="n">
        <v>0.215566726270631</v>
      </c>
      <c r="G20" s="166" t="n">
        <v>0.352912921413901</v>
      </c>
    </row>
    <row r="21">
      <c r="A21" s="124" t="n"/>
      <c r="B21" s="124" t="n"/>
      <c r="C21" s="124" t="n"/>
      <c r="D21" s="124" t="n"/>
      <c r="E21" s="124" t="n"/>
      <c r="F21" s="124" t="n"/>
      <c r="G21" s="124" t="n"/>
    </row>
    <row r="22" ht="15" customHeight="1" s="122">
      <c r="A22" s="124" t="n"/>
      <c r="B22" s="164" t="inlineStr">
        <is>
          <t>الاستنتاج الحاسم</t>
        </is>
      </c>
      <c r="C22" s="124" t="n"/>
      <c r="D22" s="124" t="n"/>
      <c r="E22" s="124" t="n"/>
      <c r="F22" s="124" t="n"/>
      <c r="G22" s="124" t="n"/>
    </row>
    <row r="23" ht="15.75" customHeight="1" s="122">
      <c r="A23" s="124" t="n"/>
      <c r="B23" s="124" t="n"/>
      <c r="C23" s="149" t="inlineStr">
        <is>
          <t>•  الصاعدة والهابطة متطابقتان في لتر/زيارة وحصة الديزل وحصة 95</t>
        </is>
      </c>
      <c r="D23" s="124" t="n"/>
      <c r="E23" s="124" t="n"/>
      <c r="F23" s="124" t="n"/>
      <c r="G23" s="124" t="n"/>
    </row>
    <row r="24" ht="15.75" customHeight="1" s="122">
      <c r="A24" s="124" t="n"/>
      <c r="B24" s="124" t="n"/>
      <c r="C24" s="149" t="inlineStr">
        <is>
          <t>•  الفارق بينهما ليس في المنتج — بل في المسار والمنافس والحركة</t>
        </is>
      </c>
      <c r="D24" s="124" t="n"/>
      <c r="E24" s="124" t="n"/>
      <c r="F24" s="124" t="n"/>
      <c r="G24" s="124" t="n"/>
    </row>
    <row r="25" ht="15.75" customHeight="1" s="122">
      <c r="A25" s="124" t="n"/>
      <c r="B25" s="124" t="n"/>
      <c r="C25" s="149" t="inlineStr">
        <is>
          <t>•  أي مبادرة منتج أو عرض لن توقف التراجع</t>
        </is>
      </c>
      <c r="D25" s="124" t="n"/>
      <c r="E25" s="124" t="n"/>
      <c r="F25" s="124" t="n"/>
      <c r="G25" s="124" t="n"/>
    </row>
    <row r="26">
      <c r="A26" s="124" t="n"/>
      <c r="B26" s="124" t="n"/>
      <c r="C26" s="124" t="n"/>
      <c r="D26" s="124" t="n"/>
      <c r="E26" s="124" t="n"/>
      <c r="F26" s="124" t="n"/>
      <c r="G26" s="124" t="n"/>
    </row>
    <row r="27" ht="15" customHeight="1" s="122">
      <c r="A27" s="124" t="n"/>
      <c r="B27" s="148" t="inlineStr">
        <is>
          <t>الرافعات الأربع</t>
        </is>
      </c>
      <c r="C27" s="124" t="n"/>
      <c r="D27" s="124" t="n"/>
      <c r="E27" s="124" t="n"/>
      <c r="F27" s="124" t="n"/>
      <c r="G27" s="124" t="n"/>
    </row>
    <row r="28" ht="15.75" customHeight="1" s="122">
      <c r="A28" s="124" t="n"/>
      <c r="B28" s="124" t="n"/>
      <c r="C28" s="149" t="inlineStr">
        <is>
          <t>•  عدد الزيارات — حركة ومسار</t>
        </is>
      </c>
      <c r="D28" s="124" t="n"/>
      <c r="E28" s="124" t="n"/>
      <c r="F28" s="124" t="n"/>
      <c r="G28" s="124" t="n"/>
    </row>
    <row r="29" ht="15.75" customHeight="1" s="122">
      <c r="A29" s="124" t="n"/>
      <c r="B29" s="124" t="n"/>
      <c r="C29" s="149" t="inlineStr">
        <is>
          <t>•  لتر لكل زيارة — سلة</t>
        </is>
      </c>
      <c r="D29" s="124" t="n"/>
      <c r="E29" s="124" t="n"/>
      <c r="F29" s="124" t="n"/>
      <c r="G29" s="124" t="n"/>
    </row>
    <row r="30" ht="15.75" customHeight="1" s="122">
      <c r="A30" s="124" t="n"/>
      <c r="B30" s="124" t="n"/>
      <c r="C30" s="149" t="inlineStr">
        <is>
          <t>•  المزيج نحو 95 — إيراد أعلى لكل لتر</t>
        </is>
      </c>
      <c r="D30" s="124" t="n"/>
      <c r="E30" s="124" t="n"/>
      <c r="F30" s="124" t="n"/>
      <c r="G30" s="124" t="n"/>
    </row>
    <row r="31" ht="15.75" customHeight="1" s="122">
      <c r="A31" s="124" t="n"/>
      <c r="B31" s="124" t="n"/>
      <c r="C31" s="149" t="inlineStr">
        <is>
          <t>•  عقود الأساطيل — تثبيت حجم قائم</t>
        </is>
      </c>
      <c r="D31" s="124" t="n"/>
      <c r="E31" s="124" t="n"/>
      <c r="F31" s="124" t="n"/>
      <c r="G31" s="124" t="n"/>
    </row>
    <row r="32">
      <c r="A32" s="124" t="n"/>
      <c r="B32" s="124" t="n"/>
      <c r="C32" s="124" t="n"/>
      <c r="D32" s="124" t="n"/>
      <c r="E32" s="124" t="n"/>
      <c r="F32" s="124" t="n"/>
      <c r="G32" s="124" t="n"/>
    </row>
    <row r="33" ht="15" customHeight="1" s="122">
      <c r="A33" s="124" t="n"/>
      <c r="B33" s="148" t="inlineStr">
        <is>
          <t>تصحيحان في البيانات</t>
        </is>
      </c>
      <c r="C33" s="124" t="n"/>
      <c r="D33" s="124" t="n"/>
      <c r="E33" s="124" t="n"/>
      <c r="F33" s="124" t="n"/>
      <c r="G33" s="124" t="n"/>
    </row>
    <row r="34" ht="15.75" customHeight="1" s="122">
      <c r="A34" s="124" t="n"/>
      <c r="B34" s="124" t="n"/>
      <c r="C34" s="149" t="inlineStr">
        <is>
          <t>•  نسب 91/95/الديزل حصص لترات لا حصص إيراد</t>
        </is>
      </c>
      <c r="D34" s="124" t="n"/>
      <c r="E34" s="124" t="n"/>
      <c r="F34" s="124" t="n"/>
      <c r="G34" s="124" t="n"/>
    </row>
    <row r="35" ht="15.75" customHeight="1" s="122">
      <c r="A35" s="124" t="n"/>
      <c r="B35" s="124" t="n"/>
      <c r="C35" s="149" t="inlineStr">
        <is>
          <t>•  عمود volume خاطئ في ثلاث محطات — صُحّح بـ avg_liters × visits</t>
        </is>
      </c>
      <c r="D35" s="124" t="n"/>
      <c r="E35" s="124" t="n"/>
      <c r="F35" s="124" t="n"/>
      <c r="G35" s="124" t="n"/>
    </row>
    <row r="36">
      <c r="A36" s="124" t="n"/>
      <c r="B36" s="124" t="n"/>
      <c r="C36" s="124" t="n"/>
      <c r="D36" s="124" t="n"/>
      <c r="E36" s="124" t="n"/>
      <c r="F36" s="124" t="n"/>
      <c r="G36" s="124" t="n"/>
    </row>
    <row r="37" ht="15" customHeight="1" s="122">
      <c r="A37" s="124" t="n"/>
      <c r="B37" s="164" t="inlineStr">
        <is>
          <t>رقم ناقص</t>
        </is>
      </c>
      <c r="C37" s="124" t="n"/>
      <c r="D37" s="124" t="n"/>
      <c r="E37" s="124" t="n"/>
      <c r="F37" s="124" t="n"/>
      <c r="G37" s="124" t="n"/>
    </row>
    <row r="38" ht="15.75" customHeight="1" s="122">
      <c r="A38" s="124" t="n"/>
      <c r="B38" s="124" t="n"/>
      <c r="C38" s="149" t="inlineStr">
        <is>
          <t>•  النمو محسوب على الإيراد فقط — بلا زيارات الفترة السابقة</t>
        </is>
      </c>
      <c r="D38" s="124" t="n"/>
      <c r="E38" s="124" t="n"/>
      <c r="F38" s="124" t="n"/>
      <c r="G38" s="124" t="n"/>
    </row>
    <row r="39" ht="15.75" customHeight="1" s="122">
      <c r="A39" s="124" t="n"/>
      <c r="B39" s="124" t="n"/>
      <c r="C39" s="149" t="inlineStr">
        <is>
          <t>•  فلا نعرف هل التراجع في عدد الزيارات أم في لتر لكل زيارة</t>
        </is>
      </c>
      <c r="D39" s="124" t="n"/>
      <c r="E39" s="124" t="n"/>
      <c r="F39" s="124" t="n"/>
      <c r="G39" s="124" t="n"/>
    </row>
  </sheetData>
  <mergeCells count="13">
    <mergeCell ref="C29:G29"/>
    <mergeCell ref="C30:G30"/>
    <mergeCell ref="C35:G35"/>
    <mergeCell ref="A1:G1"/>
    <mergeCell ref="C34:G34"/>
    <mergeCell ref="C24:G24"/>
    <mergeCell ref="C38:G38"/>
    <mergeCell ref="C25:G25"/>
    <mergeCell ref="C28:G28"/>
    <mergeCell ref="A2:G2"/>
    <mergeCell ref="C31:G31"/>
    <mergeCell ref="C23:G23"/>
    <mergeCell ref="C39:G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W85"/>
  <sheetViews>
    <sheetView showFormulas="0" showGridLines="0" showRowColHeaders="1" showZeros="1" rightToLeft="1" tabSelected="0" showOutlineSymbols="1" defaultGridColor="1"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baseColWidth="8" defaultColWidth="8.5390625" defaultRowHeight="15" zeroHeight="0" outlineLevelRow="0"/>
  <cols>
    <col width="4" customWidth="1" style="121" min="1" max="1"/>
    <col width="22" customWidth="1" style="121" min="2" max="2"/>
    <col width="13" customWidth="1" style="121" min="3" max="3"/>
    <col width="12" customWidth="1" style="121" min="4" max="4"/>
    <col width="8" customWidth="1" style="121" min="5" max="5"/>
    <col width="9" customWidth="1" style="121" min="6" max="6"/>
    <col width="11" customWidth="1" style="121" min="7" max="7"/>
    <col width="8" customWidth="1" style="121" min="8" max="8"/>
    <col width="9" customWidth="1" style="121" min="9" max="9"/>
    <col width="10" customWidth="1" style="121" min="10" max="12"/>
    <col width="11" customWidth="1" style="121" min="13" max="17"/>
    <col width="12" customWidth="1" style="121" min="18" max="19"/>
    <col width="11" customWidth="1" style="121" min="20" max="22"/>
  </cols>
  <sheetData>
    <row r="1" ht="25.5" customHeight="1" s="122">
      <c r="A1" s="123" t="inlineStr">
        <is>
          <t>نموذج تكلفة اللتر لكل محطة</t>
        </is>
      </c>
      <c r="B1" s="124" t="n"/>
      <c r="C1" s="124" t="n"/>
      <c r="D1" s="124" t="n"/>
      <c r="E1" s="124" t="n"/>
      <c r="F1" s="124" t="n"/>
      <c r="G1" s="124" t="n"/>
      <c r="H1" s="124" t="n"/>
      <c r="I1" s="124" t="n"/>
      <c r="J1" s="124" t="n"/>
      <c r="K1" s="124" t="n"/>
      <c r="L1" s="124" t="n"/>
      <c r="M1" s="124" t="n"/>
      <c r="N1" s="124" t="n"/>
      <c r="O1" s="124" t="n"/>
      <c r="P1" s="124" t="n"/>
      <c r="Q1" s="124" t="n"/>
      <c r="R1" s="124" t="n"/>
      <c r="S1" s="124" t="n"/>
      <c r="T1" s="124" t="n"/>
      <c r="U1" s="124" t="n"/>
      <c r="V1" s="124" t="n"/>
      <c r="W1" s="124" t="n"/>
    </row>
    <row r="2" ht="18" customHeight="1" s="122">
      <c r="A2" s="125" t="inlineStr">
        <is>
          <t>المحرّكات محسوبة من بيانات التوريد · الخانات الصفراء تُعبّأ فتُحسب التكلفة تلقائياً</t>
        </is>
      </c>
      <c r="B2" s="124" t="n"/>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row>
    <row r="3" ht="30" customHeight="1" s="122">
      <c r="A3" s="124" t="n"/>
      <c r="B3" s="194" t="inlineStr">
        <is>
          <t>المعادلة</t>
        </is>
      </c>
      <c r="C3" s="195" t="inlineStr">
        <is>
          <t>تكلفة اللتر = سعر الشراء + النقل + التشغيل + كلفة رأس المال + الفاقد</t>
        </is>
      </c>
      <c r="D3" s="124" t="n"/>
      <c r="E3" s="124" t="n"/>
      <c r="F3" s="124" t="n"/>
      <c r="G3" s="124" t="n"/>
      <c r="H3" s="124" t="n"/>
      <c r="I3" s="124" t="n"/>
      <c r="J3" s="124" t="n"/>
      <c r="K3" s="124" t="n"/>
      <c r="L3" s="124" t="n"/>
      <c r="M3" s="124" t="n"/>
      <c r="N3" s="124" t="n"/>
      <c r="O3" s="124" t="n"/>
      <c r="P3" s="124" t="n"/>
      <c r="Q3" s="124" t="n"/>
      <c r="R3" s="124" t="n"/>
      <c r="S3" s="124" t="n"/>
      <c r="T3" s="124" t="n"/>
      <c r="U3" s="124" t="n"/>
      <c r="V3" s="124" t="n"/>
      <c r="W3" s="124" t="n"/>
    </row>
    <row r="4" ht="33.75" customHeight="1" s="122">
      <c r="A4" s="124" t="n"/>
      <c r="B4" s="126" t="inlineStr">
        <is>
          <t>ما تقوله البيانات</t>
        </is>
      </c>
      <c r="C4" s="196" t="inlineStr">
        <is>
          <t>كل رحلة حمولة كاملة — فالتفاوت من المسافة ودوران الخزان فقط. و85.3% من التوريد من «شمال جدة».</t>
        </is>
      </c>
      <c r="D4" s="124" t="n"/>
      <c r="E4" s="124" t="n"/>
      <c r="F4" s="124" t="n"/>
      <c r="G4" s="124" t="n"/>
      <c r="H4" s="124" t="n"/>
      <c r="I4" s="124" t="n"/>
      <c r="J4" s="124" t="n"/>
      <c r="K4" s="124" t="n"/>
      <c r="L4" s="124" t="n"/>
      <c r="M4" s="124" t="n"/>
      <c r="N4" s="124" t="n"/>
      <c r="O4" s="124" t="n"/>
      <c r="P4" s="124" t="n"/>
      <c r="Q4" s="124" t="n"/>
      <c r="R4" s="124" t="n"/>
      <c r="S4" s="124" t="n"/>
      <c r="T4" s="124" t="n"/>
      <c r="U4" s="124" t="n"/>
      <c r="V4" s="124" t="n"/>
      <c r="W4" s="124" t="n"/>
    </row>
    <row r="5">
      <c r="A5" s="124" t="n"/>
      <c r="B5" s="124" t="n"/>
      <c r="C5" s="124" t="n"/>
      <c r="D5" s="124" t="n"/>
      <c r="E5" s="124" t="n"/>
      <c r="F5" s="124" t="n"/>
      <c r="G5" s="124" t="n"/>
      <c r="H5" s="124" t="n"/>
      <c r="I5" s="124" t="n"/>
      <c r="J5" s="124" t="n"/>
      <c r="K5" s="124" t="n"/>
      <c r="L5" s="124" t="n"/>
      <c r="M5" s="124" t="n"/>
      <c r="N5" s="124" t="n"/>
      <c r="O5" s="124" t="n"/>
      <c r="P5" s="124" t="n"/>
      <c r="Q5" s="124" t="n"/>
      <c r="R5" s="124" t="n"/>
      <c r="S5" s="124" t="n"/>
      <c r="T5" s="124" t="n"/>
      <c r="U5" s="124" t="n"/>
      <c r="V5" s="124" t="n"/>
      <c r="W5" s="124" t="n"/>
    </row>
    <row r="6" ht="15" customHeight="1" s="122">
      <c r="A6" s="124" t="n"/>
      <c r="B6" s="194" t="inlineStr">
        <is>
          <t>مُدخلات عامة</t>
        </is>
      </c>
      <c r="C6" s="124" t="n"/>
      <c r="D6" s="124" t="n"/>
      <c r="E6" s="194" t="inlineStr">
        <is>
          <t>أجرة الرحلة حسب مصدر التوريد (ريال/رحلة)</t>
        </is>
      </c>
      <c r="F6" s="124" t="n"/>
      <c r="G6" s="124" t="n"/>
      <c r="H6" s="124" t="n"/>
      <c r="I6" s="124" t="n"/>
      <c r="J6" s="124" t="n"/>
      <c r="K6" s="124" t="n"/>
      <c r="L6" s="124" t="n"/>
      <c r="M6" s="124" t="n"/>
      <c r="N6" s="124" t="n"/>
      <c r="O6" s="124" t="n"/>
      <c r="P6" s="124" t="n"/>
      <c r="Q6" s="124" t="n"/>
      <c r="R6" s="124" t="n"/>
      <c r="S6" s="124" t="n"/>
      <c r="T6" s="124" t="n"/>
      <c r="U6" s="124" t="n"/>
      <c r="V6" s="124" t="n"/>
      <c r="W6" s="124" t="n"/>
    </row>
    <row r="7" ht="15" customHeight="1" s="122">
      <c r="A7" s="124" t="n"/>
      <c r="B7" s="137" t="inlineStr">
        <is>
          <t>سعر شراء 91 (ر/لتر)</t>
        </is>
      </c>
      <c r="C7" s="197" t="n"/>
      <c r="D7" s="124" t="n"/>
      <c r="E7" s="138" t="inlineStr">
        <is>
          <t>المصدر</t>
        </is>
      </c>
      <c r="F7" s="138" t="inlineStr">
        <is>
          <t>الأجرة</t>
        </is>
      </c>
      <c r="G7" s="124" t="n"/>
      <c r="H7" s="124" t="n"/>
      <c r="I7" s="124" t="n"/>
      <c r="J7" s="124" t="n"/>
      <c r="K7" s="124" t="n"/>
      <c r="L7" s="124" t="n"/>
      <c r="M7" s="124" t="n"/>
      <c r="N7" s="124" t="n"/>
      <c r="O7" s="124" t="n"/>
      <c r="P7" s="124" t="n"/>
      <c r="Q7" s="124" t="n"/>
      <c r="R7" s="124" t="n"/>
      <c r="S7" s="124" t="n"/>
      <c r="T7" s="124" t="n"/>
      <c r="U7" s="124" t="n"/>
      <c r="V7" s="124" t="n"/>
      <c r="W7" s="124" t="n"/>
    </row>
    <row r="8" ht="15" customHeight="1" s="122">
      <c r="A8" s="124" t="n"/>
      <c r="B8" s="137" t="inlineStr">
        <is>
          <t>سعر شراء 95 (ر/لتر)</t>
        </is>
      </c>
      <c r="C8" s="197" t="n"/>
      <c r="D8" s="124" t="n"/>
      <c r="E8" s="198" t="inlineStr">
        <is>
          <t>جنوب الرياض</t>
        </is>
      </c>
      <c r="F8" s="150" t="n"/>
      <c r="G8" s="124" t="n"/>
      <c r="H8" s="124" t="n"/>
      <c r="I8" s="124" t="n"/>
      <c r="J8" s="124" t="n"/>
      <c r="K8" s="124" t="n"/>
      <c r="L8" s="124" t="n"/>
      <c r="M8" s="124" t="n"/>
      <c r="N8" s="124" t="n"/>
      <c r="O8" s="124" t="n"/>
      <c r="P8" s="124" t="n"/>
      <c r="Q8" s="124" t="n"/>
      <c r="R8" s="124" t="n"/>
      <c r="S8" s="124" t="n"/>
      <c r="T8" s="124" t="n"/>
      <c r="U8" s="124" t="n"/>
      <c r="V8" s="124" t="n"/>
      <c r="W8" s="124" t="n"/>
    </row>
    <row r="9" ht="15" customHeight="1" s="122">
      <c r="A9" s="124" t="n"/>
      <c r="B9" s="137" t="inlineStr">
        <is>
          <t>سعر شراء الديزل (ر/لتر)</t>
        </is>
      </c>
      <c r="C9" s="197" t="n"/>
      <c r="D9" s="124" t="n"/>
      <c r="E9" s="198" t="inlineStr">
        <is>
          <t>شمال الرياض</t>
        </is>
      </c>
      <c r="F9" s="150" t="n"/>
      <c r="G9" s="124" t="n"/>
      <c r="H9" s="124" t="n"/>
      <c r="I9" s="124" t="n"/>
      <c r="J9" s="124" t="n"/>
      <c r="K9" s="124" t="n"/>
      <c r="L9" s="124" t="n"/>
      <c r="M9" s="124" t="n"/>
      <c r="N9" s="124" t="n"/>
      <c r="O9" s="124" t="n"/>
      <c r="P9" s="124" t="n"/>
      <c r="Q9" s="124" t="n"/>
      <c r="R9" s="124" t="n"/>
      <c r="S9" s="124" t="n"/>
      <c r="T9" s="124" t="n"/>
      <c r="U9" s="124" t="n"/>
      <c r="V9" s="124" t="n"/>
      <c r="W9" s="124" t="n"/>
    </row>
    <row r="10" ht="15" customHeight="1" s="122">
      <c r="A10" s="124" t="n"/>
      <c r="B10" s="137" t="inlineStr">
        <is>
          <t>كلفة رأس المال سنوياً %</t>
        </is>
      </c>
      <c r="C10" s="199" t="n"/>
      <c r="D10" s="124" t="n"/>
      <c r="E10" s="198" t="inlineStr">
        <is>
          <t>شمال جدة</t>
        </is>
      </c>
      <c r="F10" s="150" t="n"/>
      <c r="G10" s="124" t="n"/>
      <c r="H10" s="124" t="n"/>
      <c r="I10" s="124" t="n"/>
      <c r="J10" s="124" t="n"/>
      <c r="K10" s="124" t="n"/>
      <c r="L10" s="124" t="n"/>
      <c r="M10" s="124" t="n"/>
      <c r="N10" s="124" t="n"/>
      <c r="O10" s="124" t="n"/>
      <c r="P10" s="124" t="n"/>
      <c r="Q10" s="124" t="n"/>
      <c r="R10" s="124" t="n"/>
      <c r="S10" s="124" t="n"/>
      <c r="T10" s="124" t="n"/>
      <c r="U10" s="124" t="n"/>
      <c r="V10" s="124" t="n"/>
      <c r="W10" s="124" t="n"/>
    </row>
    <row r="11" ht="15" customHeight="1" s="122">
      <c r="A11" s="124" t="n"/>
      <c r="B11" s="137" t="inlineStr">
        <is>
          <t>نسبة الفاقد %</t>
        </is>
      </c>
      <c r="C11" s="199" t="n"/>
      <c r="D11" s="124" t="n"/>
      <c r="E11" s="198" t="inlineStr">
        <is>
          <t>شمال جيزان</t>
        </is>
      </c>
      <c r="F11" s="150" t="n"/>
      <c r="G11" s="124" t="n"/>
      <c r="H11" s="124" t="n"/>
      <c r="I11" s="124" t="n"/>
      <c r="J11" s="124" t="n"/>
      <c r="K11" s="124" t="n"/>
      <c r="L11" s="124" t="n"/>
      <c r="M11" s="124" t="n"/>
      <c r="N11" s="124" t="n"/>
      <c r="O11" s="124" t="n"/>
      <c r="P11" s="124" t="n"/>
      <c r="Q11" s="124" t="n"/>
      <c r="R11" s="124" t="n"/>
      <c r="S11" s="124" t="n"/>
      <c r="T11" s="124" t="n"/>
      <c r="U11" s="124" t="n"/>
      <c r="V11" s="124" t="n"/>
      <c r="W11" s="124" t="n"/>
    </row>
    <row r="12" ht="15" customHeight="1" s="122">
      <c r="A12" s="124" t="n"/>
      <c r="B12" s="137" t="inlineStr">
        <is>
          <t>التكلفة الشهرية للعامل (ريال)</t>
        </is>
      </c>
      <c r="C12" s="199" t="n"/>
      <c r="D12" s="124" t="n"/>
      <c r="E12" s="198" t="inlineStr">
        <is>
          <t>محطة ابها</t>
        </is>
      </c>
      <c r="F12" s="150" t="n"/>
      <c r="G12" s="124" t="n"/>
      <c r="H12" s="124" t="n"/>
      <c r="I12" s="124" t="n"/>
      <c r="J12" s="124" t="n"/>
      <c r="K12" s="124" t="n"/>
      <c r="L12" s="124" t="n"/>
      <c r="M12" s="124" t="n"/>
      <c r="N12" s="124" t="n"/>
      <c r="O12" s="124" t="n"/>
      <c r="P12" s="124" t="n"/>
      <c r="Q12" s="124" t="n"/>
      <c r="R12" s="124" t="n"/>
      <c r="S12" s="124" t="n"/>
      <c r="T12" s="124" t="n"/>
      <c r="U12" s="124" t="n"/>
      <c r="V12" s="124" t="n"/>
      <c r="W12" s="124" t="n"/>
    </row>
    <row r="13" ht="15" customHeight="1" s="122">
      <c r="A13" s="124" t="n"/>
      <c r="B13" s="137" t="inlineStr">
        <is>
          <t>زيارات يخدمها العامل في اليوم</t>
        </is>
      </c>
      <c r="C13" s="199" t="n"/>
      <c r="D13" s="124" t="n"/>
      <c r="E13" s="198" t="inlineStr">
        <is>
          <t>محطة الجبيل</t>
        </is>
      </c>
      <c r="F13" s="150" t="n"/>
      <c r="G13" s="124" t="n"/>
      <c r="H13" s="124" t="n"/>
      <c r="I13" s="124" t="n"/>
      <c r="J13" s="124" t="n"/>
      <c r="K13" s="124" t="n"/>
      <c r="L13" s="124" t="n"/>
      <c r="M13" s="124" t="n"/>
      <c r="N13" s="124" t="n"/>
      <c r="O13" s="124" t="n"/>
      <c r="P13" s="124" t="n"/>
      <c r="Q13" s="124" t="n"/>
      <c r="R13" s="124" t="n"/>
      <c r="S13" s="124" t="n"/>
      <c r="T13" s="124" t="n"/>
      <c r="U13" s="124" t="n"/>
      <c r="V13" s="124" t="n"/>
      <c r="W13" s="124" t="n"/>
    </row>
    <row r="14" ht="15" customHeight="1" s="122">
      <c r="A14" s="124" t="n"/>
      <c r="B14" s="137" t="inlineStr">
        <is>
          <t>🎯 هدف الربح (ريال/لتر)</t>
        </is>
      </c>
      <c r="C14" s="199" t="n"/>
      <c r="D14" s="124" t="n"/>
      <c r="E14" s="198" t="inlineStr">
        <is>
          <t>محطة القصيم</t>
        </is>
      </c>
      <c r="F14" s="150" t="n"/>
      <c r="G14" s="124" t="n"/>
      <c r="H14" s="124" t="n"/>
      <c r="I14" s="124" t="n"/>
      <c r="J14" s="124" t="n"/>
      <c r="K14" s="124" t="n"/>
      <c r="L14" s="124" t="n"/>
      <c r="M14" s="124" t="n"/>
      <c r="N14" s="124" t="n"/>
      <c r="O14" s="124" t="n"/>
      <c r="P14" s="124" t="n"/>
      <c r="Q14" s="124" t="n"/>
      <c r="R14" s="124" t="n"/>
      <c r="S14" s="124" t="n"/>
      <c r="T14" s="124" t="n"/>
      <c r="U14" s="124" t="n"/>
      <c r="V14" s="124" t="n"/>
      <c r="W14" s="124" t="n"/>
    </row>
    <row r="15" ht="15" customHeight="1" s="122">
      <c r="A15" s="124" t="n"/>
      <c r="B15" s="124" t="n"/>
      <c r="C15" s="124" t="n"/>
      <c r="D15" s="124" t="n"/>
      <c r="E15" s="198" t="inlineStr">
        <is>
          <t>محطة جازان</t>
        </is>
      </c>
      <c r="F15" s="150" t="n"/>
      <c r="G15" s="124" t="n"/>
      <c r="H15" s="124" t="n"/>
      <c r="I15" s="124" t="n"/>
      <c r="J15" s="124" t="n"/>
      <c r="K15" s="124" t="n"/>
      <c r="L15" s="124" t="n"/>
      <c r="M15" s="124" t="n"/>
      <c r="N15" s="124" t="n"/>
      <c r="O15" s="124" t="n"/>
      <c r="P15" s="124" t="n"/>
      <c r="Q15" s="124" t="n"/>
      <c r="R15" s="124" t="n"/>
      <c r="S15" s="124" t="n"/>
      <c r="T15" s="124" t="n"/>
      <c r="U15" s="124" t="n"/>
      <c r="V15" s="124" t="n"/>
      <c r="W15" s="124" t="n"/>
    </row>
    <row r="16">
      <c r="A16" s="124" t="n"/>
      <c r="B16" s="124" t="n"/>
      <c r="C16" s="124" t="n"/>
      <c r="D16" s="124" t="n"/>
      <c r="E16" s="124" t="n"/>
      <c r="F16" s="124" t="n"/>
      <c r="G16" s="124" t="n"/>
      <c r="H16" s="124" t="n"/>
      <c r="I16" s="124" t="n"/>
      <c r="J16" s="124" t="n"/>
      <c r="K16" s="124" t="n"/>
      <c r="L16" s="124" t="n"/>
      <c r="M16" s="124" t="n"/>
      <c r="N16" s="124" t="n"/>
      <c r="O16" s="124" t="n"/>
      <c r="P16" s="124" t="n"/>
      <c r="Q16" s="124" t="n"/>
      <c r="R16" s="124" t="n"/>
      <c r="S16" s="124" t="n"/>
      <c r="T16" s="124" t="n"/>
      <c r="U16" s="124" t="n"/>
      <c r="V16" s="124" t="n"/>
      <c r="W16" s="124" t="n"/>
    </row>
    <row r="17" ht="31.5" customHeight="1" s="122">
      <c r="A17" s="138" t="inlineStr">
        <is>
          <t>#</t>
        </is>
      </c>
      <c r="B17" s="138" t="inlineStr">
        <is>
          <t>المحطة</t>
        </is>
      </c>
      <c r="C17" s="138" t="inlineStr">
        <is>
          <t>مصدر التوريد</t>
        </is>
      </c>
      <c r="D17" s="138" t="inlineStr">
        <is>
          <t>لترات الفترة</t>
        </is>
      </c>
      <c r="E17" s="138" t="inlineStr">
        <is>
          <t>رحلات</t>
        </is>
      </c>
      <c r="F17" s="138" t="inlineStr">
        <is>
          <t>لتر/رحلة</t>
        </is>
      </c>
      <c r="G17" s="138" t="inlineStr">
        <is>
          <t>سعة الخزانات</t>
        </is>
      </c>
      <c r="H17" s="138" t="inlineStr">
        <is>
          <t>الدوران</t>
        </is>
      </c>
      <c r="I17" s="138" t="inlineStr">
        <is>
          <t>أيام مخزون</t>
        </is>
      </c>
      <c r="J17" s="138" t="inlineStr">
        <is>
          <t>أجرة الرحلة</t>
        </is>
      </c>
      <c r="K17" s="138" t="inlineStr">
        <is>
          <t>نقل/لتر</t>
        </is>
      </c>
      <c r="L17" s="138" t="inlineStr">
        <is>
          <t>زيارة/يوم</t>
        </is>
      </c>
      <c r="M17" s="138" t="inlineStr">
        <is>
          <t>عمال فعلي</t>
        </is>
      </c>
      <c r="N17" s="138" t="inlineStr">
        <is>
          <t>عمال مطلوب</t>
        </is>
      </c>
      <c r="O17" s="138" t="inlineStr">
        <is>
          <t>عمالة/لتر</t>
        </is>
      </c>
      <c r="P17" s="138" t="inlineStr">
        <is>
          <t>تشغيل آخر شهري</t>
        </is>
      </c>
      <c r="Q17" s="138" t="inlineStr">
        <is>
          <t>تشغيل آخر/لتر</t>
        </is>
      </c>
      <c r="R17" s="138" t="inlineStr">
        <is>
          <t>رأس مال/لتر</t>
        </is>
      </c>
      <c r="S17" s="138" t="inlineStr">
        <is>
          <t>التكلفة/لتر</t>
        </is>
      </c>
      <c r="T17" s="138" t="inlineStr">
        <is>
          <t>سعر البيع/لتر</t>
        </is>
      </c>
      <c r="U17" s="138" t="inlineStr">
        <is>
          <t>الربح/لتر</t>
        </is>
      </c>
      <c r="V17" s="138" t="inlineStr">
        <is>
          <t>الفجوة عن الهدف</t>
        </is>
      </c>
      <c r="W17" s="138" t="inlineStr">
        <is>
          <t>الحكم</t>
        </is>
      </c>
    </row>
    <row r="18" ht="19.5" customHeight="1" s="122">
      <c r="A18" s="144" t="n">
        <v>1</v>
      </c>
      <c r="B18" s="147" t="inlineStr">
        <is>
          <t>النورية</t>
        </is>
      </c>
      <c r="C18" s="198" t="inlineStr">
        <is>
          <t>شمال جدة</t>
        </is>
      </c>
      <c r="D18" s="152" t="n">
        <v>23625487</v>
      </c>
      <c r="E18" s="144" t="n">
        <v>718</v>
      </c>
      <c r="F18" s="152">
        <f>IFERROR(D18/E18,"")</f>
        <v/>
      </c>
      <c r="G18" s="152" t="n">
        <v>320000</v>
      </c>
      <c r="H18" s="193">
        <f>IFERROR(D18/G18,"")</f>
        <v/>
      </c>
      <c r="I18" s="193">
        <f>IFERROR(G18/(D18/181),"")</f>
        <v/>
      </c>
      <c r="J18" s="152">
        <f>IFERROR(INDEX($F$8:$F$15,MATCH(C18,$E$8:$E$15,0)),"")</f>
        <v/>
      </c>
      <c r="K18" s="200">
        <f>IFERROR(J18/F18,"")</f>
        <v/>
      </c>
      <c r="L18" s="152" t="n">
        <v>4236</v>
      </c>
      <c r="M18" s="152" t="n">
        <v>32</v>
      </c>
      <c r="N18" s="201">
        <f>IFERROR(ROUNDUP(L18/$C$13,0),"")</f>
        <v/>
      </c>
      <c r="O18" s="200">
        <f>IFERROR(IF(M18="",N18,M18)*$C$12*181/30/D18,"")</f>
        <v/>
      </c>
      <c r="P18" s="150" t="n"/>
      <c r="Q18" s="200">
        <f>IFERROR(P18*181/30/D18,"")</f>
        <v/>
      </c>
      <c r="R18" s="200">
        <f>IFERROR((G18/2)*(0.357*$C$7+0.362*$C$8+0.281*$C$9)*$C$10/(D18*365/181),"")</f>
        <v/>
      </c>
      <c r="S18" s="202">
        <f>IFERROR((0.357*$C$7+0.362*$C$8+0.281*$C$9)/(1-$C$11)+K18+O18+Q18+R18,"")</f>
        <v/>
      </c>
      <c r="T18" s="200" t="n">
        <v>1.9449</v>
      </c>
      <c r="U18" s="202">
        <f>IFERROR(T18-S18,"")</f>
        <v/>
      </c>
      <c r="V18" s="203">
        <f>IFERROR(U18-$C$14,"")</f>
        <v/>
      </c>
      <c r="W18" s="144">
        <f>IF(U18="","",IF(U18&gt;=$C$14,"يحقق الهدف","دون الهدف"))</f>
        <v/>
      </c>
    </row>
    <row r="19" ht="19.5" customHeight="1" s="122">
      <c r="A19" s="144" t="n">
        <v>2</v>
      </c>
      <c r="B19" s="147" t="inlineStr">
        <is>
          <t>العوالي</t>
        </is>
      </c>
      <c r="C19" s="198" t="inlineStr">
        <is>
          <t>شمال جدة</t>
        </is>
      </c>
      <c r="D19" s="152" t="n">
        <v>17584768</v>
      </c>
      <c r="E19" s="144" t="n">
        <v>533</v>
      </c>
      <c r="F19" s="152">
        <f>IFERROR(D19/E19,"")</f>
        <v/>
      </c>
      <c r="G19" s="152" t="n">
        <v>480000</v>
      </c>
      <c r="H19" s="193">
        <f>IFERROR(D19/G19,"")</f>
        <v/>
      </c>
      <c r="I19" s="193">
        <f>IFERROR(G19/(D19/181),"")</f>
        <v/>
      </c>
      <c r="J19" s="152">
        <f>IFERROR(INDEX($F$8:$F$15,MATCH(C19,$E$8:$E$15,0)),"")</f>
        <v/>
      </c>
      <c r="K19" s="200">
        <f>IFERROR(J19/F19,"")</f>
        <v/>
      </c>
      <c r="L19" s="152" t="n">
        <v>3561</v>
      </c>
      <c r="M19" s="152" t="n">
        <v>42</v>
      </c>
      <c r="N19" s="201">
        <f>IFERROR(ROUNDUP(L19/$C$13,0),"")</f>
        <v/>
      </c>
      <c r="O19" s="200">
        <f>IFERROR(IF(M19="",N19,M19)*$C$12*181/30/D19,"")</f>
        <v/>
      </c>
      <c r="P19" s="150" t="n"/>
      <c r="Q19" s="200">
        <f>IFERROR(P19*181/30/D19,"")</f>
        <v/>
      </c>
      <c r="R19" s="200">
        <f>IFERROR((G19/2)*(0.502*$C$7+0.498*$C$8+0*$C$9)*$C$10/(D19*365/181),"")</f>
        <v/>
      </c>
      <c r="S19" s="202">
        <f>IFERROR((0.502*$C$7+0.498*$C$8+0*$C$9)/(1-$C$11)+K19+O19+Q19+R19,"")</f>
        <v/>
      </c>
      <c r="T19" s="200" t="n">
        <v>2.2547</v>
      </c>
      <c r="U19" s="202">
        <f>IFERROR(T19-S19,"")</f>
        <v/>
      </c>
      <c r="V19" s="203">
        <f>IFERROR(U19-$C$14,"")</f>
        <v/>
      </c>
      <c r="W19" s="144">
        <f>IF(U19="","",IF(U19&gt;=$C$14,"يحقق الهدف","دون الهدف"))</f>
        <v/>
      </c>
    </row>
    <row r="20" ht="19.5" customHeight="1" s="122">
      <c r="A20" s="144" t="n">
        <v>3</v>
      </c>
      <c r="B20" s="147" t="inlineStr">
        <is>
          <t>عاصفة الصحراء</t>
        </is>
      </c>
      <c r="C20" s="198" t="inlineStr">
        <is>
          <t>شمال جدة</t>
        </is>
      </c>
      <c r="D20" s="152" t="n">
        <v>15251585</v>
      </c>
      <c r="E20" s="144" t="n">
        <v>469</v>
      </c>
      <c r="F20" s="152">
        <f>IFERROR(D20/E20,"")</f>
        <v/>
      </c>
      <c r="G20" s="152" t="n">
        <v>900000</v>
      </c>
      <c r="H20" s="193">
        <f>IFERROR(D20/G20,"")</f>
        <v/>
      </c>
      <c r="I20" s="193">
        <f>IFERROR(G20/(D20/181),"")</f>
        <v/>
      </c>
      <c r="J20" s="152">
        <f>IFERROR(INDEX($F$8:$F$15,MATCH(C20,$E$8:$E$15,0)),"")</f>
        <v/>
      </c>
      <c r="K20" s="200">
        <f>IFERROR(J20/F20,"")</f>
        <v/>
      </c>
      <c r="L20" s="152" t="n">
        <v>2137</v>
      </c>
      <c r="M20" s="152" t="n">
        <v>19</v>
      </c>
      <c r="N20" s="201">
        <f>IFERROR(ROUNDUP(L20/$C$13,0),"")</f>
        <v/>
      </c>
      <c r="O20" s="200">
        <f>IFERROR(IF(M20="",N20,M20)*$C$12*181/30/D20,"")</f>
        <v/>
      </c>
      <c r="P20" s="150" t="n"/>
      <c r="Q20" s="200">
        <f>IFERROR(P20*181/30/D20,"")</f>
        <v/>
      </c>
      <c r="R20" s="200">
        <f>IFERROR((G20/2)*(0.344*$C$7+0.312*$C$8+0.344*$C$9)*$C$10/(D20*365/181),"")</f>
        <v/>
      </c>
      <c r="S20" s="202">
        <f>IFERROR((0.344*$C$7+0.312*$C$8+0.344*$C$9)/(1-$C$11)+K20+O20+Q20+R20,"")</f>
        <v/>
      </c>
      <c r="T20" s="200" t="n">
        <v>1.8725</v>
      </c>
      <c r="U20" s="202">
        <f>IFERROR(T20-S20,"")</f>
        <v/>
      </c>
      <c r="V20" s="203">
        <f>IFERROR(U20-$C$14,"")</f>
        <v/>
      </c>
      <c r="W20" s="144">
        <f>IF(U20="","",IF(U20&gt;=$C$14,"يحقق الهدف","دون الهدف"))</f>
        <v/>
      </c>
    </row>
    <row r="21" ht="19.5" customHeight="1" s="122">
      <c r="A21" s="144" t="n">
        <v>4</v>
      </c>
      <c r="B21" s="147" t="inlineStr">
        <is>
          <t>جنوب الحسينية</t>
        </is>
      </c>
      <c r="C21" s="198" t="inlineStr">
        <is>
          <t>شمال جدة</t>
        </is>
      </c>
      <c r="D21" s="152" t="n">
        <v>11575025</v>
      </c>
      <c r="E21" s="144" t="n">
        <v>352</v>
      </c>
      <c r="F21" s="152">
        <f>IFERROR(D21/E21,"")</f>
        <v/>
      </c>
      <c r="G21" s="152" t="n">
        <v>224000</v>
      </c>
      <c r="H21" s="193">
        <f>IFERROR(D21/G21,"")</f>
        <v/>
      </c>
      <c r="I21" s="193">
        <f>IFERROR(G21/(D21/181),"")</f>
        <v/>
      </c>
      <c r="J21" s="152">
        <f>IFERROR(INDEX($F$8:$F$15,MATCH(C21,$E$8:$E$15,0)),"")</f>
        <v/>
      </c>
      <c r="K21" s="200">
        <f>IFERROR(J21/F21,"")</f>
        <v/>
      </c>
      <c r="L21" s="152" t="n">
        <v>1643</v>
      </c>
      <c r="M21" s="152" t="n">
        <v>9</v>
      </c>
      <c r="N21" s="201">
        <f>IFERROR(ROUNDUP(L21/$C$13,0),"")</f>
        <v/>
      </c>
      <c r="O21" s="200">
        <f>IFERROR(IF(M21="",N21,M21)*$C$12*181/30/D21,"")</f>
        <v/>
      </c>
      <c r="P21" s="150" t="n"/>
      <c r="Q21" s="200">
        <f>IFERROR(P21*181/30/D21,"")</f>
        <v/>
      </c>
      <c r="R21" s="200">
        <f>IFERROR((G21/2)*(0.587*$C$7+0.413*$C$8+0*$C$9)*$C$10/(D21*365/181),"")</f>
        <v/>
      </c>
      <c r="S21" s="202">
        <f>IFERROR((0.587*$C$7+0.413*$C$8+0*$C$9)/(1-$C$11)+K21+O21+Q21+R21,"")</f>
        <v/>
      </c>
      <c r="T21" s="200" t="n">
        <v>2.242</v>
      </c>
      <c r="U21" s="202">
        <f>IFERROR(T21-S21,"")</f>
        <v/>
      </c>
      <c r="V21" s="203">
        <f>IFERROR(U21-$C$14,"")</f>
        <v/>
      </c>
      <c r="W21" s="144">
        <f>IF(U21="","",IF(U21&gt;=$C$14,"يحقق الهدف","دون الهدف"))</f>
        <v/>
      </c>
    </row>
    <row r="22" ht="19.5" customHeight="1" s="122">
      <c r="A22" s="144" t="n">
        <v>5</v>
      </c>
      <c r="B22" s="147" t="inlineStr">
        <is>
          <t>العزيزية بن دهيش</t>
        </is>
      </c>
      <c r="C22" s="198" t="inlineStr">
        <is>
          <t>شمال جدة</t>
        </is>
      </c>
      <c r="D22" s="152" t="n">
        <v>9562169</v>
      </c>
      <c r="E22" s="144" t="n">
        <v>292</v>
      </c>
      <c r="F22" s="152">
        <f>IFERROR(D22/E22,"")</f>
        <v/>
      </c>
      <c r="G22" s="152" t="n">
        <v>180000</v>
      </c>
      <c r="H22" s="193">
        <f>IFERROR(D22/G22,"")</f>
        <v/>
      </c>
      <c r="I22" s="193">
        <f>IFERROR(G22/(D22/181),"")</f>
        <v/>
      </c>
      <c r="J22" s="152">
        <f>IFERROR(INDEX($F$8:$F$15,MATCH(C22,$E$8:$E$15,0)),"")</f>
        <v/>
      </c>
      <c r="K22" s="200">
        <f>IFERROR(J22/F22,"")</f>
        <v/>
      </c>
      <c r="L22" s="152" t="n">
        <v>2359</v>
      </c>
      <c r="M22" s="152" t="n">
        <v>14</v>
      </c>
      <c r="N22" s="201">
        <f>IFERROR(ROUNDUP(L22/$C$13,0),"")</f>
        <v/>
      </c>
      <c r="O22" s="200">
        <f>IFERROR(IF(M22="",N22,M22)*$C$12*181/30/D22,"")</f>
        <v/>
      </c>
      <c r="P22" s="150" t="n"/>
      <c r="Q22" s="200">
        <f>IFERROR(P22*181/30/D22,"")</f>
        <v/>
      </c>
      <c r="R22" s="200">
        <f>IFERROR((G22/2)*(0.635*$C$7+0.231*$C$8+0.134*$C$9)*$C$10/(D22*365/181),"")</f>
        <v/>
      </c>
      <c r="S22" s="202">
        <f>IFERROR((0.635*$C$7+0.231*$C$8+0.134*$C$9)/(1-$C$11)+K22+O22+Q22+R22,"")</f>
        <v/>
      </c>
      <c r="T22" s="200" t="n">
        <v>2.0766</v>
      </c>
      <c r="U22" s="202">
        <f>IFERROR(T22-S22,"")</f>
        <v/>
      </c>
      <c r="V22" s="203">
        <f>IFERROR(U22-$C$14,"")</f>
        <v/>
      </c>
      <c r="W22" s="144">
        <f>IF(U22="","",IF(U22&gt;=$C$14,"يحقق الهدف","دون الهدف"))</f>
        <v/>
      </c>
    </row>
    <row r="23" ht="19.5" customHeight="1" s="122">
      <c r="A23" s="144" t="n">
        <v>6</v>
      </c>
      <c r="B23" s="147" t="inlineStr">
        <is>
          <t>ليه</t>
        </is>
      </c>
      <c r="C23" s="198" t="inlineStr">
        <is>
          <t>شمال جدة</t>
        </is>
      </c>
      <c r="D23" s="152" t="n">
        <v>9306605</v>
      </c>
      <c r="E23" s="144" t="n">
        <v>289</v>
      </c>
      <c r="F23" s="152">
        <f>IFERROR(D23/E23,"")</f>
        <v/>
      </c>
      <c r="G23" s="152" t="n">
        <v>200000</v>
      </c>
      <c r="H23" s="193">
        <f>IFERROR(D23/G23,"")</f>
        <v/>
      </c>
      <c r="I23" s="193">
        <f>IFERROR(G23/(D23/181),"")</f>
        <v/>
      </c>
      <c r="J23" s="152">
        <f>IFERROR(INDEX($F$8:$F$15,MATCH(C23,$E$8:$E$15,0)),"")</f>
        <v/>
      </c>
      <c r="K23" s="200">
        <f>IFERROR(J23/F23,"")</f>
        <v/>
      </c>
      <c r="L23" s="152" t="n">
        <v>1694</v>
      </c>
      <c r="M23" s="152" t="n">
        <v>12</v>
      </c>
      <c r="N23" s="201">
        <f>IFERROR(ROUNDUP(L23/$C$13,0),"")</f>
        <v/>
      </c>
      <c r="O23" s="200">
        <f>IFERROR(IF(M23="",N23,M23)*$C$12*181/30/D23,"")</f>
        <v/>
      </c>
      <c r="P23" s="150" t="n"/>
      <c r="Q23" s="200">
        <f>IFERROR(P23*181/30/D23,"")</f>
        <v/>
      </c>
      <c r="R23" s="200">
        <f>IFERROR((G23/2)*(0.381*$C$7+0.309*$C$8+0.309*$C$9)*$C$10/(D23*365/181),"")</f>
        <v/>
      </c>
      <c r="S23" s="202">
        <f>IFERROR((0.381*$C$7+0.309*$C$8+0.309*$C$9)/(1-$C$11)+K23+O23+Q23+R23,"")</f>
        <v/>
      </c>
      <c r="T23" s="200" t="n">
        <v>1.9059</v>
      </c>
      <c r="U23" s="202">
        <f>IFERROR(T23-S23,"")</f>
        <v/>
      </c>
      <c r="V23" s="203">
        <f>IFERROR(U23-$C$14,"")</f>
        <v/>
      </c>
      <c r="W23" s="144">
        <f>IF(U23="","",IF(U23&gt;=$C$14,"يحقق الهدف","دون الهدف"))</f>
        <v/>
      </c>
    </row>
    <row r="24" ht="19.5" customHeight="1" s="122">
      <c r="A24" s="144" t="n">
        <v>7</v>
      </c>
      <c r="B24" s="147" t="inlineStr">
        <is>
          <t>القادسية</t>
        </is>
      </c>
      <c r="C24" s="198" t="inlineStr">
        <is>
          <t>شمال جدة</t>
        </is>
      </c>
      <c r="D24" s="152" t="n">
        <v>8793398</v>
      </c>
      <c r="E24" s="144" t="n">
        <v>272</v>
      </c>
      <c r="F24" s="152">
        <f>IFERROR(D24/E24,"")</f>
        <v/>
      </c>
      <c r="G24" s="152" t="n">
        <v>220000</v>
      </c>
      <c r="H24" s="193">
        <f>IFERROR(D24/G24,"")</f>
        <v/>
      </c>
      <c r="I24" s="193">
        <f>IFERROR(G24/(D24/181),"")</f>
        <v/>
      </c>
      <c r="J24" s="152">
        <f>IFERROR(INDEX($F$8:$F$15,MATCH(C24,$E$8:$E$15,0)),"")</f>
        <v/>
      </c>
      <c r="K24" s="200">
        <f>IFERROR(J24/F24,"")</f>
        <v/>
      </c>
      <c r="L24" s="152" t="n">
        <v>1702</v>
      </c>
      <c r="M24" s="152" t="n">
        <v>10</v>
      </c>
      <c r="N24" s="201">
        <f>IFERROR(ROUNDUP(L24/$C$13,0),"")</f>
        <v/>
      </c>
      <c r="O24" s="200">
        <f>IFERROR(IF(M24="",N24,M24)*$C$12*181/30/D24,"")</f>
        <v/>
      </c>
      <c r="P24" s="150" t="n"/>
      <c r="Q24" s="200">
        <f>IFERROR(P24*181/30/D24,"")</f>
        <v/>
      </c>
      <c r="R24" s="200">
        <f>IFERROR((G24/2)*(0.354*$C$7+0.369*$C$8+0.277*$C$9)*$C$10/(D24*365/181),"")</f>
        <v/>
      </c>
      <c r="S24" s="202">
        <f>IFERROR((0.354*$C$7+0.369*$C$8+0.277*$C$9)/(1-$C$11)+K24+O24+Q24+R24,"")</f>
        <v/>
      </c>
      <c r="T24" s="200" t="n">
        <v>1.95</v>
      </c>
      <c r="U24" s="202">
        <f>IFERROR(T24-S24,"")</f>
        <v/>
      </c>
      <c r="V24" s="203">
        <f>IFERROR(U24-$C$14,"")</f>
        <v/>
      </c>
      <c r="W24" s="144">
        <f>IF(U24="","",IF(U24&gt;=$C$14,"يحقق الهدف","دون الهدف"))</f>
        <v/>
      </c>
    </row>
    <row r="25" ht="19.5" customHeight="1" s="122">
      <c r="A25" s="144" t="n">
        <v>8</v>
      </c>
      <c r="B25" s="147" t="inlineStr">
        <is>
          <t>النسيم جدة</t>
        </is>
      </c>
      <c r="C25" s="198" t="inlineStr">
        <is>
          <t>شمال جدة</t>
        </is>
      </c>
      <c r="D25" s="152" t="n">
        <v>8606984</v>
      </c>
      <c r="E25" s="144" t="n">
        <v>263</v>
      </c>
      <c r="F25" s="152">
        <f>IFERROR(D25/E25,"")</f>
        <v/>
      </c>
      <c r="G25" s="152" t="n">
        <v>345000</v>
      </c>
      <c r="H25" s="193">
        <f>IFERROR(D25/G25,"")</f>
        <v/>
      </c>
      <c r="I25" s="193">
        <f>IFERROR(G25/(D25/181),"")</f>
        <v/>
      </c>
      <c r="J25" s="152">
        <f>IFERROR(INDEX($F$8:$F$15,MATCH(C25,$E$8:$E$15,0)),"")</f>
        <v/>
      </c>
      <c r="K25" s="200">
        <f>IFERROR(J25/F25,"")</f>
        <v/>
      </c>
      <c r="L25" s="152" t="n">
        <v>2041</v>
      </c>
      <c r="M25" s="152" t="n">
        <v>20</v>
      </c>
      <c r="N25" s="201">
        <f>IFERROR(ROUNDUP(L25/$C$13,0),"")</f>
        <v/>
      </c>
      <c r="O25" s="200">
        <f>IFERROR(IF(M25="",N25,M25)*$C$12*181/30/D25,"")</f>
        <v/>
      </c>
      <c r="P25" s="150" t="n"/>
      <c r="Q25" s="200">
        <f>IFERROR(P25*181/30/D25,"")</f>
        <v/>
      </c>
      <c r="R25" s="200">
        <f>IFERROR((G25/2)*(0.56*$C$7+0.429*$C$8+0*$C$9)*$C$10/(D25*365/181),"")</f>
        <v/>
      </c>
      <c r="S25" s="202">
        <f>IFERROR((0.56*$C$7+0.429*$C$8+0*$C$9)/(1-$C$11)+K25+O25+Q25+R25,"")</f>
        <v/>
      </c>
      <c r="T25" s="200" t="n">
        <v>2.2204</v>
      </c>
      <c r="U25" s="202">
        <f>IFERROR(T25-S25,"")</f>
        <v/>
      </c>
      <c r="V25" s="203">
        <f>IFERROR(U25-$C$14,"")</f>
        <v/>
      </c>
      <c r="W25" s="144">
        <f>IF(U25="","",IF(U25&gt;=$C$14,"يحقق الهدف","دون الهدف"))</f>
        <v/>
      </c>
    </row>
    <row r="26" ht="19.5" customHeight="1" s="122">
      <c r="A26" s="144" t="n">
        <v>9</v>
      </c>
      <c r="B26" s="147" t="inlineStr">
        <is>
          <t>الحلقة الشرقية</t>
        </is>
      </c>
      <c r="C26" s="198" t="inlineStr">
        <is>
          <t>شمال جدة</t>
        </is>
      </c>
      <c r="D26" s="152" t="n">
        <v>8250690</v>
      </c>
      <c r="E26" s="144" t="n">
        <v>255</v>
      </c>
      <c r="F26" s="152">
        <f>IFERROR(D26/E26,"")</f>
        <v/>
      </c>
      <c r="G26" s="152" t="n">
        <v>345000</v>
      </c>
      <c r="H26" s="193">
        <f>IFERROR(D26/G26,"")</f>
        <v/>
      </c>
      <c r="I26" s="193">
        <f>IFERROR(G26/(D26/181),"")</f>
        <v/>
      </c>
      <c r="J26" s="152">
        <f>IFERROR(INDEX($F$8:$F$15,MATCH(C26,$E$8:$E$15,0)),"")</f>
        <v/>
      </c>
      <c r="K26" s="200">
        <f>IFERROR(J26/F26,"")</f>
        <v/>
      </c>
      <c r="L26" s="152" t="n">
        <v>1726</v>
      </c>
      <c r="M26" s="152" t="n">
        <v>18</v>
      </c>
      <c r="N26" s="201">
        <f>IFERROR(ROUNDUP(L26/$C$13,0),"")</f>
        <v/>
      </c>
      <c r="O26" s="200">
        <f>IFERROR(IF(M26="",N26,M26)*$C$12*181/30/D26,"")</f>
        <v/>
      </c>
      <c r="P26" s="150" t="n"/>
      <c r="Q26" s="200">
        <f>IFERROR(P26*181/30/D26,"")</f>
        <v/>
      </c>
      <c r="R26" s="200">
        <f>IFERROR((G26/2)*(0.526*$C$7+0.468*$C$8+0.006*$C$9)*$C$10/(D26*365/181),"")</f>
        <v/>
      </c>
      <c r="S26" s="202">
        <f>IFERROR((0.526*$C$7+0.468*$C$8+0.006*$C$9)/(1-$C$11)+K26+O26+Q26+R26,"")</f>
        <v/>
      </c>
      <c r="T26" s="200" t="n">
        <v>2.244</v>
      </c>
      <c r="U26" s="202">
        <f>IFERROR(T26-S26,"")</f>
        <v/>
      </c>
      <c r="V26" s="203">
        <f>IFERROR(U26-$C$14,"")</f>
        <v/>
      </c>
      <c r="W26" s="144">
        <f>IF(U26="","",IF(U26&gt;=$C$14,"يحقق الهدف","دون الهدف"))</f>
        <v/>
      </c>
    </row>
    <row r="27" ht="19.5" customHeight="1" s="122">
      <c r="A27" s="144" t="n">
        <v>10</v>
      </c>
      <c r="B27" s="147" t="inlineStr">
        <is>
          <t>الخالدية مكة</t>
        </is>
      </c>
      <c r="C27" s="198" t="inlineStr">
        <is>
          <t>شمال جدة</t>
        </is>
      </c>
      <c r="D27" s="152" t="n">
        <v>7959089</v>
      </c>
      <c r="E27" s="144" t="n">
        <v>243</v>
      </c>
      <c r="F27" s="152">
        <f>IFERROR(D27/E27,"")</f>
        <v/>
      </c>
      <c r="G27" s="152" t="n">
        <v>240000</v>
      </c>
      <c r="H27" s="193">
        <f>IFERROR(D27/G27,"")</f>
        <v/>
      </c>
      <c r="I27" s="193">
        <f>IFERROR(G27/(D27/181),"")</f>
        <v/>
      </c>
      <c r="J27" s="152">
        <f>IFERROR(INDEX($F$8:$F$15,MATCH(C27,$E$8:$E$15,0)),"")</f>
        <v/>
      </c>
      <c r="K27" s="200">
        <f>IFERROR(J27/F27,"")</f>
        <v/>
      </c>
      <c r="L27" s="152" t="n">
        <v>1566</v>
      </c>
      <c r="M27" s="152" t="n">
        <v>12</v>
      </c>
      <c r="N27" s="201">
        <f>IFERROR(ROUNDUP(L27/$C$13,0),"")</f>
        <v/>
      </c>
      <c r="O27" s="200">
        <f>IFERROR(IF(M27="",N27,M27)*$C$12*181/30/D27,"")</f>
        <v/>
      </c>
      <c r="P27" s="150" t="n"/>
      <c r="Q27" s="200">
        <f>IFERROR(P27*181/30/D27,"")</f>
        <v/>
      </c>
      <c r="R27" s="200">
        <f>IFERROR((G27/2)*(0.406*$C$7+0.364*$C$8+0.231*$C$9)*$C$10/(D27*365/181),"")</f>
        <v/>
      </c>
      <c r="S27" s="202">
        <f>IFERROR((0.406*$C$7+0.364*$C$8+0.231*$C$9)/(1-$C$11)+K27+O27+Q27+R27,"")</f>
        <v/>
      </c>
      <c r="T27" s="200" t="n">
        <v>1.9989</v>
      </c>
      <c r="U27" s="202">
        <f>IFERROR(T27-S27,"")</f>
        <v/>
      </c>
      <c r="V27" s="203">
        <f>IFERROR(U27-$C$14,"")</f>
        <v/>
      </c>
      <c r="W27" s="144">
        <f>IF(U27="","",IF(U27&gt;=$C$14,"يحقق الهدف","دون الهدف"))</f>
        <v/>
      </c>
    </row>
    <row r="28" ht="19.5" customHeight="1" s="122">
      <c r="A28" s="144" t="n">
        <v>11</v>
      </c>
      <c r="B28" s="147" t="inlineStr">
        <is>
          <t>احلى مساء</t>
        </is>
      </c>
      <c r="C28" s="198" t="inlineStr">
        <is>
          <t>شمال جدة</t>
        </is>
      </c>
      <c r="D28" s="152" t="n">
        <v>7830411</v>
      </c>
      <c r="E28" s="144" t="n">
        <v>242</v>
      </c>
      <c r="F28" s="152">
        <f>IFERROR(D28/E28,"")</f>
        <v/>
      </c>
      <c r="G28" s="152" t="n">
        <v>220000</v>
      </c>
      <c r="H28" s="193">
        <f>IFERROR(D28/G28,"")</f>
        <v/>
      </c>
      <c r="I28" s="193">
        <f>IFERROR(G28/(D28/181),"")</f>
        <v/>
      </c>
      <c r="J28" s="152">
        <f>IFERROR(INDEX($F$8:$F$15,MATCH(C28,$E$8:$E$15,0)),"")</f>
        <v/>
      </c>
      <c r="K28" s="200">
        <f>IFERROR(J28/F28,"")</f>
        <v/>
      </c>
      <c r="L28" s="152" t="n">
        <v>1414</v>
      </c>
      <c r="M28" s="152" t="n">
        <v>13</v>
      </c>
      <c r="N28" s="201">
        <f>IFERROR(ROUNDUP(L28/$C$13,0),"")</f>
        <v/>
      </c>
      <c r="O28" s="200">
        <f>IFERROR(IF(M28="",N28,M28)*$C$12*181/30/D28,"")</f>
        <v/>
      </c>
      <c r="P28" s="150" t="n"/>
      <c r="Q28" s="200">
        <f>IFERROR(P28*181/30/D28,"")</f>
        <v/>
      </c>
      <c r="R28" s="200">
        <f>IFERROR((G28/2)*(0.465*$C$7+0.453*$C$8+0.082*$C$9)*$C$10/(D28*365/181),"")</f>
        <v/>
      </c>
      <c r="S28" s="202">
        <f>IFERROR((0.465*$C$7+0.453*$C$8+0.082*$C$9)/(1-$C$11)+K28+O28+Q28+R28,"")</f>
        <v/>
      </c>
      <c r="T28" s="200" t="n">
        <v>2.1635</v>
      </c>
      <c r="U28" s="202">
        <f>IFERROR(T28-S28,"")</f>
        <v/>
      </c>
      <c r="V28" s="203">
        <f>IFERROR(U28-$C$14,"")</f>
        <v/>
      </c>
      <c r="W28" s="144">
        <f>IF(U28="","",IF(U28&gt;=$C$14,"يحقق الهدف","دون الهدف"))</f>
        <v/>
      </c>
    </row>
    <row r="29" ht="19.5" customHeight="1" s="122">
      <c r="A29" s="144" t="n">
        <v>12</v>
      </c>
      <c r="B29" s="147" t="inlineStr">
        <is>
          <t>النوريه حي الفتح</t>
        </is>
      </c>
      <c r="C29" s="198" t="inlineStr">
        <is>
          <t>شمال جدة</t>
        </is>
      </c>
      <c r="D29" s="152" t="n">
        <v>7765511</v>
      </c>
      <c r="E29" s="144" t="n">
        <v>240</v>
      </c>
      <c r="F29" s="152">
        <f>IFERROR(D29/E29,"")</f>
        <v/>
      </c>
      <c r="G29" s="152" t="n">
        <v>400000</v>
      </c>
      <c r="H29" s="193">
        <f>IFERROR(D29/G29,"")</f>
        <v/>
      </c>
      <c r="I29" s="193">
        <f>IFERROR(G29/(D29/181),"")</f>
        <v/>
      </c>
      <c r="J29" s="152">
        <f>IFERROR(INDEX($F$8:$F$15,MATCH(C29,$E$8:$E$15,0)),"")</f>
        <v/>
      </c>
      <c r="K29" s="200">
        <f>IFERROR(J29/F29,"")</f>
        <v/>
      </c>
      <c r="L29" s="152" t="n">
        <v>1380</v>
      </c>
      <c r="M29" s="152" t="n">
        <v>13</v>
      </c>
      <c r="N29" s="201">
        <f>IFERROR(ROUNDUP(L29/$C$13,0),"")</f>
        <v/>
      </c>
      <c r="O29" s="200">
        <f>IFERROR(IF(M29="",N29,M29)*$C$12*181/30/D29,"")</f>
        <v/>
      </c>
      <c r="P29" s="150" t="n"/>
      <c r="Q29" s="200">
        <f>IFERROR(P29*181/30/D29,"")</f>
        <v/>
      </c>
      <c r="R29" s="200">
        <f>IFERROR((G29/2)*(0.337*$C$7+0.206*$C$8+0.458*$C$9)*$C$10/(D29*365/181),"")</f>
        <v/>
      </c>
      <c r="S29" s="202">
        <f>IFERROR((0.337*$C$7+0.206*$C$8+0.458*$C$9)/(1-$C$11)+K29+O29+Q29+R29,"")</f>
        <v/>
      </c>
      <c r="T29" s="200" t="n">
        <v>1.7413</v>
      </c>
      <c r="U29" s="202">
        <f>IFERROR(T29-S29,"")</f>
        <v/>
      </c>
      <c r="V29" s="203">
        <f>IFERROR(U29-$C$14,"")</f>
        <v/>
      </c>
      <c r="W29" s="144">
        <f>IF(U29="","",IF(U29&gt;=$C$14,"يحقق الهدف","دون الهدف"))</f>
        <v/>
      </c>
    </row>
    <row r="30" ht="19.5" customHeight="1" s="122">
      <c r="A30" s="144" t="n">
        <v>13</v>
      </c>
      <c r="B30" s="147" t="inlineStr">
        <is>
          <t>حي الفلاح</t>
        </is>
      </c>
      <c r="C30" s="198" t="inlineStr">
        <is>
          <t>شمال الرياض</t>
        </is>
      </c>
      <c r="D30" s="152" t="n">
        <v>7125121</v>
      </c>
      <c r="E30" s="144" t="n">
        <v>223</v>
      </c>
      <c r="F30" s="152">
        <f>IFERROR(D30/E30,"")</f>
        <v/>
      </c>
      <c r="G30" s="152" t="n">
        <v>240000</v>
      </c>
      <c r="H30" s="193">
        <f>IFERROR(D30/G30,"")</f>
        <v/>
      </c>
      <c r="I30" s="193">
        <f>IFERROR(G30/(D30/181),"")</f>
        <v/>
      </c>
      <c r="J30" s="152">
        <f>IFERROR(INDEX($F$8:$F$15,MATCH(C30,$E$8:$E$15,0)),"")</f>
        <v/>
      </c>
      <c r="K30" s="200">
        <f>IFERROR(J30/F30,"")</f>
        <v/>
      </c>
      <c r="L30" s="152" t="n">
        <v>1169</v>
      </c>
      <c r="M30" s="152" t="n">
        <v>10</v>
      </c>
      <c r="N30" s="201">
        <f>IFERROR(ROUNDUP(L30/$C$13,0),"")</f>
        <v/>
      </c>
      <c r="O30" s="200">
        <f>IFERROR(IF(M30="",N30,M30)*$C$12*181/30/D30,"")</f>
        <v/>
      </c>
      <c r="P30" s="150" t="n"/>
      <c r="Q30" s="200">
        <f>IFERROR(P30*181/30/D30,"")</f>
        <v/>
      </c>
      <c r="R30" s="200">
        <f>IFERROR((G30/2)*(0.474*$C$7+0.451*$C$8+0.076*$C$9)*$C$10/(D30*365/181),"")</f>
        <v/>
      </c>
      <c r="S30" s="202">
        <f>IFERROR((0.474*$C$7+0.451*$C$8+0.076*$C$9)/(1-$C$11)+K30+O30+Q30+R30,"")</f>
        <v/>
      </c>
      <c r="T30" s="200" t="n">
        <v>2.1716</v>
      </c>
      <c r="U30" s="202">
        <f>IFERROR(T30-S30,"")</f>
        <v/>
      </c>
      <c r="V30" s="203">
        <f>IFERROR(U30-$C$14,"")</f>
        <v/>
      </c>
      <c r="W30" s="144">
        <f>IF(U30="","",IF(U30&gt;=$C$14,"يحقق الهدف","دون الهدف"))</f>
        <v/>
      </c>
    </row>
    <row r="31" ht="19.5" customHeight="1" s="122">
      <c r="A31" s="144" t="n">
        <v>14</v>
      </c>
      <c r="B31" s="147" t="inlineStr">
        <is>
          <t>جبل النور</t>
        </is>
      </c>
      <c r="C31" s="198" t="inlineStr">
        <is>
          <t>شمال جدة</t>
        </is>
      </c>
      <c r="D31" s="152" t="n">
        <v>6676691</v>
      </c>
      <c r="E31" s="144" t="n">
        <v>207</v>
      </c>
      <c r="F31" s="152">
        <f>IFERROR(D31/E31,"")</f>
        <v/>
      </c>
      <c r="G31" s="152" t="n">
        <v>240000</v>
      </c>
      <c r="H31" s="193">
        <f>IFERROR(D31/G31,"")</f>
        <v/>
      </c>
      <c r="I31" s="193">
        <f>IFERROR(G31/(D31/181),"")</f>
        <v/>
      </c>
      <c r="J31" s="152">
        <f>IFERROR(INDEX($F$8:$F$15,MATCH(C31,$E$8:$E$15,0)),"")</f>
        <v/>
      </c>
      <c r="K31" s="200">
        <f>IFERROR(J31/F31,"")</f>
        <v/>
      </c>
      <c r="L31" s="152" t="n">
        <v>1872</v>
      </c>
      <c r="M31" s="152" t="n">
        <v>10</v>
      </c>
      <c r="N31" s="201">
        <f>IFERROR(ROUNDUP(L31/$C$13,0),"")</f>
        <v/>
      </c>
      <c r="O31" s="200">
        <f>IFERROR(IF(M31="",N31,M31)*$C$12*181/30/D31,"")</f>
        <v/>
      </c>
      <c r="P31" s="150" t="n"/>
      <c r="Q31" s="200">
        <f>IFERROR(P31*181/30/D31,"")</f>
        <v/>
      </c>
      <c r="R31" s="200">
        <f>IFERROR((G31/2)*(0.554*$C$7+0.446*$C$8+0*$C$9)*$C$10/(D31*365/181),"")</f>
        <v/>
      </c>
      <c r="S31" s="202">
        <f>IFERROR((0.554*$C$7+0.446*$C$8+0*$C$9)/(1-$C$11)+K31+O31+Q31+R31,"")</f>
        <v/>
      </c>
      <c r="T31" s="200" t="n">
        <v>2.2469</v>
      </c>
      <c r="U31" s="202">
        <f>IFERROR(T31-S31,"")</f>
        <v/>
      </c>
      <c r="V31" s="203">
        <f>IFERROR(U31-$C$14,"")</f>
        <v/>
      </c>
      <c r="W31" s="144">
        <f>IF(U31="","",IF(U31&gt;=$C$14,"يحقق الهدف","دون الهدف"))</f>
        <v/>
      </c>
    </row>
    <row r="32" ht="19.5" customHeight="1" s="122">
      <c r="A32" s="144" t="n">
        <v>15</v>
      </c>
      <c r="B32" s="147" t="inlineStr">
        <is>
          <t>العنود</t>
        </is>
      </c>
      <c r="C32" s="198" t="inlineStr">
        <is>
          <t>شمال جدة</t>
        </is>
      </c>
      <c r="D32" s="152" t="n">
        <v>6566560</v>
      </c>
      <c r="E32" s="144" t="n">
        <v>203</v>
      </c>
      <c r="F32" s="152">
        <f>IFERROR(D32/E32,"")</f>
        <v/>
      </c>
      <c r="G32" s="152" t="n">
        <v>240000</v>
      </c>
      <c r="H32" s="193">
        <f>IFERROR(D32/G32,"")</f>
        <v/>
      </c>
      <c r="I32" s="193">
        <f>IFERROR(G32/(D32/181),"")</f>
        <v/>
      </c>
      <c r="J32" s="152">
        <f>IFERROR(INDEX($F$8:$F$15,MATCH(C32,$E$8:$E$15,0)),"")</f>
        <v/>
      </c>
      <c r="K32" s="200">
        <f>IFERROR(J32/F32,"")</f>
        <v/>
      </c>
      <c r="L32" s="152" t="n">
        <v>1483</v>
      </c>
      <c r="M32" s="152" t="n">
        <v>13</v>
      </c>
      <c r="N32" s="201">
        <f>IFERROR(ROUNDUP(L32/$C$13,0),"")</f>
        <v/>
      </c>
      <c r="O32" s="200">
        <f>IFERROR(IF(M32="",N32,M32)*$C$12*181/30/D32,"")</f>
        <v/>
      </c>
      <c r="P32" s="150" t="n"/>
      <c r="Q32" s="200">
        <f>IFERROR(P32*181/30/D32,"")</f>
        <v/>
      </c>
      <c r="R32" s="200">
        <f>IFERROR((G32/2)*(0.544*$C$7+0.456*$C$8+0*$C$9)*$C$10/(D32*365/181),"")</f>
        <v/>
      </c>
      <c r="S32" s="202">
        <f>IFERROR((0.544*$C$7+0.456*$C$8+0*$C$9)/(1-$C$11)+K32+O32+Q32+R32,"")</f>
        <v/>
      </c>
      <c r="T32" s="200" t="n">
        <v>2.2484</v>
      </c>
      <c r="U32" s="202">
        <f>IFERROR(T32-S32,"")</f>
        <v/>
      </c>
      <c r="V32" s="203">
        <f>IFERROR(U32-$C$14,"")</f>
        <v/>
      </c>
      <c r="W32" s="144">
        <f>IF(U32="","",IF(U32&gt;=$C$14,"يحقق الهدف","دون الهدف"))</f>
        <v/>
      </c>
    </row>
    <row r="33" ht="19.5" customHeight="1" s="122">
      <c r="A33" s="144" t="n">
        <v>16</v>
      </c>
      <c r="B33" s="147" t="inlineStr">
        <is>
          <t>الرصيفة</t>
        </is>
      </c>
      <c r="C33" s="198" t="inlineStr">
        <is>
          <t>شمال جدة</t>
        </is>
      </c>
      <c r="D33" s="152" t="n">
        <v>5608529</v>
      </c>
      <c r="E33" s="144" t="n">
        <v>170</v>
      </c>
      <c r="F33" s="152">
        <f>IFERROR(D33/E33,"")</f>
        <v/>
      </c>
      <c r="G33" s="152" t="n">
        <v>345000</v>
      </c>
      <c r="H33" s="193">
        <f>IFERROR(D33/G33,"")</f>
        <v/>
      </c>
      <c r="I33" s="193">
        <f>IFERROR(G33/(D33/181),"")</f>
        <v/>
      </c>
      <c r="J33" s="152">
        <f>IFERROR(INDEX($F$8:$F$15,MATCH(C33,$E$8:$E$15,0)),"")</f>
        <v/>
      </c>
      <c r="K33" s="200">
        <f>IFERROR(J33/F33,"")</f>
        <v/>
      </c>
      <c r="L33" s="152" t="n">
        <v>1573</v>
      </c>
      <c r="M33" s="152" t="n">
        <v>11</v>
      </c>
      <c r="N33" s="201">
        <f>IFERROR(ROUNDUP(L33/$C$13,0),"")</f>
        <v/>
      </c>
      <c r="O33" s="200">
        <f>IFERROR(IF(M33="",N33,M33)*$C$12*181/30/D33,"")</f>
        <v/>
      </c>
      <c r="P33" s="150" t="n"/>
      <c r="Q33" s="200">
        <f>IFERROR(P33*181/30/D33,"")</f>
        <v/>
      </c>
      <c r="R33" s="200">
        <f>IFERROR((G33/2)*(0.575*$C$7+0.425*$C$8+0*$C$9)*$C$10/(D33*365/181),"")</f>
        <v/>
      </c>
      <c r="S33" s="202">
        <f>IFERROR((0.575*$C$7+0.425*$C$8+0*$C$9)/(1-$C$11)+K33+O33+Q33+R33,"")</f>
        <v/>
      </c>
      <c r="T33" s="200" t="n">
        <v>2.2437</v>
      </c>
      <c r="U33" s="202">
        <f>IFERROR(T33-S33,"")</f>
        <v/>
      </c>
      <c r="V33" s="203">
        <f>IFERROR(U33-$C$14,"")</f>
        <v/>
      </c>
      <c r="W33" s="144">
        <f>IF(U33="","",IF(U33&gt;=$C$14,"يحقق الهدف","دون الهدف"))</f>
        <v/>
      </c>
    </row>
    <row r="34" ht="19.5" customHeight="1" s="122">
      <c r="A34" s="144" t="n">
        <v>17</v>
      </c>
      <c r="B34" s="147" t="inlineStr">
        <is>
          <t>جعرانه</t>
        </is>
      </c>
      <c r="C34" s="198" t="inlineStr">
        <is>
          <t>شمال جدة</t>
        </is>
      </c>
      <c r="D34" s="152" t="n">
        <v>4948845</v>
      </c>
      <c r="E34" s="144" t="n">
        <v>153</v>
      </c>
      <c r="F34" s="152">
        <f>IFERROR(D34/E34,"")</f>
        <v/>
      </c>
      <c r="G34" s="152" t="n">
        <v>200000</v>
      </c>
      <c r="H34" s="193">
        <f>IFERROR(D34/G34,"")</f>
        <v/>
      </c>
      <c r="I34" s="193">
        <f>IFERROR(G34/(D34/181),"")</f>
        <v/>
      </c>
      <c r="J34" s="152">
        <f>IFERROR(INDEX($F$8:$F$15,MATCH(C34,$E$8:$E$15,0)),"")</f>
        <v/>
      </c>
      <c r="K34" s="200">
        <f>IFERROR(J34/F34,"")</f>
        <v/>
      </c>
      <c r="L34" s="152" t="n">
        <v>1112</v>
      </c>
      <c r="M34" s="152" t="n">
        <v>9</v>
      </c>
      <c r="N34" s="201">
        <f>IFERROR(ROUNDUP(L34/$C$13,0),"")</f>
        <v/>
      </c>
      <c r="O34" s="200">
        <f>IFERROR(IF(M34="",N34,M34)*$C$12*181/30/D34,"")</f>
        <v/>
      </c>
      <c r="P34" s="150" t="n"/>
      <c r="Q34" s="200">
        <f>IFERROR(P34*181/30/D34,"")</f>
        <v/>
      </c>
      <c r="R34" s="200">
        <f>IFERROR((G34/2)*(0.372*$C$7+0.351*$C$8+0.276*$C$9)*$C$10/(D34*365/181),"")</f>
        <v/>
      </c>
      <c r="S34" s="202">
        <f>IFERROR((0.372*$C$7+0.351*$C$8+0.276*$C$9)/(1-$C$11)+K34+O34+Q34+R34,"")</f>
        <v/>
      </c>
      <c r="T34" s="200" t="n">
        <v>1.9462</v>
      </c>
      <c r="U34" s="202">
        <f>IFERROR(T34-S34,"")</f>
        <v/>
      </c>
      <c r="V34" s="203">
        <f>IFERROR(U34-$C$14,"")</f>
        <v/>
      </c>
      <c r="W34" s="144">
        <f>IF(U34="","",IF(U34&gt;=$C$14,"يحقق الهدف","دون الهدف"))</f>
        <v/>
      </c>
    </row>
    <row r="35" ht="19.5" customHeight="1" s="122">
      <c r="A35" s="144" t="n">
        <v>18</v>
      </c>
      <c r="B35" s="147" t="inlineStr">
        <is>
          <t>الردف</t>
        </is>
      </c>
      <c r="C35" s="198" t="inlineStr">
        <is>
          <t>شمال جدة</t>
        </is>
      </c>
      <c r="D35" s="152" t="n">
        <v>4875502</v>
      </c>
      <c r="E35" s="144" t="n">
        <v>151</v>
      </c>
      <c r="F35" s="152">
        <f>IFERROR(D35/E35,"")</f>
        <v/>
      </c>
      <c r="G35" s="152" t="n">
        <v>180000</v>
      </c>
      <c r="H35" s="193">
        <f>IFERROR(D35/G35,"")</f>
        <v/>
      </c>
      <c r="I35" s="193">
        <f>IFERROR(G35/(D35/181),"")</f>
        <v/>
      </c>
      <c r="J35" s="152">
        <f>IFERROR(INDEX($F$8:$F$15,MATCH(C35,$E$8:$E$15,0)),"")</f>
        <v/>
      </c>
      <c r="K35" s="200">
        <f>IFERROR(J35/F35,"")</f>
        <v/>
      </c>
      <c r="L35" s="152" t="n">
        <v>1144</v>
      </c>
      <c r="M35" s="152" t="n">
        <v>9</v>
      </c>
      <c r="N35" s="201">
        <f>IFERROR(ROUNDUP(L35/$C$13,0),"")</f>
        <v/>
      </c>
      <c r="O35" s="200">
        <f>IFERROR(IF(M35="",N35,M35)*$C$12*181/30/D35,"")</f>
        <v/>
      </c>
      <c r="P35" s="150" t="n"/>
      <c r="Q35" s="200">
        <f>IFERROR(P35*181/30/D35,"")</f>
        <v/>
      </c>
      <c r="R35" s="200">
        <f>IFERROR((G35/2)*(0.461*$C$7+0.481*$C$8+0.058*$C$9)*$C$10/(D35*365/181),"")</f>
        <v/>
      </c>
      <c r="S35" s="202">
        <f>IFERROR((0.461*$C$7+0.481*$C$8+0.058*$C$9)/(1-$C$11)+K35+O35+Q35+R35,"")</f>
        <v/>
      </c>
      <c r="T35" s="200" t="n">
        <v>2.1924</v>
      </c>
      <c r="U35" s="202">
        <f>IFERROR(T35-S35,"")</f>
        <v/>
      </c>
      <c r="V35" s="203">
        <f>IFERROR(U35-$C$14,"")</f>
        <v/>
      </c>
      <c r="W35" s="144">
        <f>IF(U35="","",IF(U35&gt;=$C$14,"يحقق الهدف","دون الهدف"))</f>
        <v/>
      </c>
    </row>
    <row r="36" ht="19.5" customHeight="1" s="122">
      <c r="A36" s="144" t="n">
        <v>19</v>
      </c>
      <c r="B36" s="147" t="inlineStr">
        <is>
          <t>ممشى الشوقية</t>
        </is>
      </c>
      <c r="C36" s="198" t="inlineStr">
        <is>
          <t>شمال جدة</t>
        </is>
      </c>
      <c r="D36" s="152" t="n">
        <v>4782806</v>
      </c>
      <c r="E36" s="144" t="n">
        <v>145</v>
      </c>
      <c r="F36" s="152">
        <f>IFERROR(D36/E36,"")</f>
        <v/>
      </c>
      <c r="G36" s="152" t="n">
        <v>160000</v>
      </c>
      <c r="H36" s="193">
        <f>IFERROR(D36/G36,"")</f>
        <v/>
      </c>
      <c r="I36" s="193">
        <f>IFERROR(G36/(D36/181),"")</f>
        <v/>
      </c>
      <c r="J36" s="152">
        <f>IFERROR(INDEX($F$8:$F$15,MATCH(C36,$E$8:$E$15,0)),"")</f>
        <v/>
      </c>
      <c r="K36" s="200">
        <f>IFERROR(J36/F36,"")</f>
        <v/>
      </c>
      <c r="L36" s="152" t="n">
        <v>1363</v>
      </c>
      <c r="M36" s="152" t="n">
        <v>9</v>
      </c>
      <c r="N36" s="201">
        <f>IFERROR(ROUNDUP(L36/$C$13,0),"")</f>
        <v/>
      </c>
      <c r="O36" s="200">
        <f>IFERROR(IF(M36="",N36,M36)*$C$12*181/30/D36,"")</f>
        <v/>
      </c>
      <c r="P36" s="150" t="n"/>
      <c r="Q36" s="200">
        <f>IFERROR(P36*181/30/D36,"")</f>
        <v/>
      </c>
      <c r="R36" s="200">
        <f>IFERROR((G36/2)*(0.522*$C$7+0.478*$C$8+0*$C$9)*$C$10/(D36*365/181),"")</f>
        <v/>
      </c>
      <c r="S36" s="202">
        <f>IFERROR((0.522*$C$7+0.478*$C$8+0*$C$9)/(1-$C$11)+K36+O36+Q36+R36,"")</f>
        <v/>
      </c>
      <c r="T36" s="200" t="n">
        <v>2.2517</v>
      </c>
      <c r="U36" s="202">
        <f>IFERROR(T36-S36,"")</f>
        <v/>
      </c>
      <c r="V36" s="203">
        <f>IFERROR(U36-$C$14,"")</f>
        <v/>
      </c>
      <c r="W36" s="144">
        <f>IF(U36="","",IF(U36&gt;=$C$14,"يحقق الهدف","دون الهدف"))</f>
        <v/>
      </c>
    </row>
    <row r="37" ht="19.5" customHeight="1" s="122">
      <c r="A37" s="144" t="n">
        <v>20</v>
      </c>
      <c r="B37" s="147" t="inlineStr">
        <is>
          <t>عرفات الشوقية</t>
        </is>
      </c>
      <c r="C37" s="198" t="inlineStr">
        <is>
          <t>شمال جدة</t>
        </is>
      </c>
      <c r="D37" s="152" t="n">
        <v>4766773</v>
      </c>
      <c r="E37" s="144" t="n">
        <v>147</v>
      </c>
      <c r="F37" s="152">
        <f>IFERROR(D37/E37,"")</f>
        <v/>
      </c>
      <c r="G37" s="152" t="n">
        <v>240000</v>
      </c>
      <c r="H37" s="193">
        <f>IFERROR(D37/G37,"")</f>
        <v/>
      </c>
      <c r="I37" s="193">
        <f>IFERROR(G37/(D37/181),"")</f>
        <v/>
      </c>
      <c r="J37" s="152">
        <f>IFERROR(INDEX($F$8:$F$15,MATCH(C37,$E$8:$E$15,0)),"")</f>
        <v/>
      </c>
      <c r="K37" s="200">
        <f>IFERROR(J37/F37,"")</f>
        <v/>
      </c>
      <c r="L37" s="152" t="n">
        <v>1290</v>
      </c>
      <c r="M37" s="152" t="n">
        <v>9</v>
      </c>
      <c r="N37" s="201">
        <f>IFERROR(ROUNDUP(L37/$C$13,0),"")</f>
        <v/>
      </c>
      <c r="O37" s="200">
        <f>IFERROR(IF(M37="",N37,M37)*$C$12*181/30/D37,"")</f>
        <v/>
      </c>
      <c r="P37" s="150" t="n"/>
      <c r="Q37" s="200">
        <f>IFERROR(P37*181/30/D37,"")</f>
        <v/>
      </c>
      <c r="R37" s="200">
        <f>IFERROR((G37/2)*(0.517*$C$7+0.483*$C$8+0*$C$9)*$C$10/(D37*365/181),"")</f>
        <v/>
      </c>
      <c r="S37" s="202">
        <f>IFERROR((0.517*$C$7+0.483*$C$8+0*$C$9)/(1-$C$11)+K37+O37+Q37+R37,"")</f>
        <v/>
      </c>
      <c r="T37" s="200" t="n">
        <v>2.2525</v>
      </c>
      <c r="U37" s="202">
        <f>IFERROR(T37-S37,"")</f>
        <v/>
      </c>
      <c r="V37" s="203">
        <f>IFERROR(U37-$C$14,"")</f>
        <v/>
      </c>
      <c r="W37" s="144">
        <f>IF(U37="","",IF(U37&gt;=$C$14,"يحقق الهدف","دون الهدف"))</f>
        <v/>
      </c>
    </row>
    <row r="38" ht="19.5" customHeight="1" s="122">
      <c r="A38" s="144" t="n">
        <v>21</v>
      </c>
      <c r="B38" s="147" t="inlineStr">
        <is>
          <t>دائري الطائف</t>
        </is>
      </c>
      <c r="C38" s="198" t="inlineStr">
        <is>
          <t>شمال جدة</t>
        </is>
      </c>
      <c r="D38" s="152" t="n">
        <v>4647620</v>
      </c>
      <c r="E38" s="144" t="n">
        <v>144</v>
      </c>
      <c r="F38" s="152">
        <f>IFERROR(D38/E38,"")</f>
        <v/>
      </c>
      <c r="G38" s="152" t="n">
        <v>180000</v>
      </c>
      <c r="H38" s="193">
        <f>IFERROR(D38/G38,"")</f>
        <v/>
      </c>
      <c r="I38" s="193">
        <f>IFERROR(G38/(D38/181),"")</f>
        <v/>
      </c>
      <c r="J38" s="152">
        <f>IFERROR(INDEX($F$8:$F$15,MATCH(C38,$E$8:$E$15,0)),"")</f>
        <v/>
      </c>
      <c r="K38" s="200">
        <f>IFERROR(J38/F38,"")</f>
        <v/>
      </c>
      <c r="L38" s="152" t="n">
        <v>823</v>
      </c>
      <c r="M38" s="152" t="n">
        <v>6</v>
      </c>
      <c r="N38" s="201">
        <f>IFERROR(ROUNDUP(L38/$C$13,0),"")</f>
        <v/>
      </c>
      <c r="O38" s="200">
        <f>IFERROR(IF(M38="",N38,M38)*$C$12*181/30/D38,"")</f>
        <v/>
      </c>
      <c r="P38" s="150" t="n"/>
      <c r="Q38" s="200">
        <f>IFERROR(P38*181/30/D38,"")</f>
        <v/>
      </c>
      <c r="R38" s="200">
        <f>IFERROR((G38/2)*(0.374*$C$7+0.356*$C$8+0.27*$C$9)*$C$10/(D38*365/181),"")</f>
        <v/>
      </c>
      <c r="S38" s="202">
        <f>IFERROR((0.374*$C$7+0.356*$C$8+0.27*$C$9)/(1-$C$11)+K38+O38+Q38+R38,"")</f>
        <v/>
      </c>
      <c r="T38" s="200" t="n">
        <v>1.9553</v>
      </c>
      <c r="U38" s="202">
        <f>IFERROR(T38-S38,"")</f>
        <v/>
      </c>
      <c r="V38" s="203">
        <f>IFERROR(U38-$C$14,"")</f>
        <v/>
      </c>
      <c r="W38" s="144">
        <f>IF(U38="","",IF(U38&gt;=$C$14,"يحقق الهدف","دون الهدف"))</f>
        <v/>
      </c>
    </row>
    <row r="39" ht="19.5" customHeight="1" s="122">
      <c r="A39" s="144" t="n">
        <v>22</v>
      </c>
      <c r="B39" s="147" t="inlineStr">
        <is>
          <t>بطحاء قريش الدائري الرابع</t>
        </is>
      </c>
      <c r="C39" s="198" t="inlineStr">
        <is>
          <t>شمال جدة</t>
        </is>
      </c>
      <c r="D39" s="152" t="n">
        <v>4584808</v>
      </c>
      <c r="E39" s="144" t="n">
        <v>142</v>
      </c>
      <c r="F39" s="152">
        <f>IFERROR(D39/E39,"")</f>
        <v/>
      </c>
      <c r="G39" s="152" t="n">
        <v>240000</v>
      </c>
      <c r="H39" s="193">
        <f>IFERROR(D39/G39,"")</f>
        <v/>
      </c>
      <c r="I39" s="193">
        <f>IFERROR(G39/(D39/181),"")</f>
        <v/>
      </c>
      <c r="J39" s="152">
        <f>IFERROR(INDEX($F$8:$F$15,MATCH(C39,$E$8:$E$15,0)),"")</f>
        <v/>
      </c>
      <c r="K39" s="200">
        <f>IFERROR(J39/F39,"")</f>
        <v/>
      </c>
      <c r="L39" s="152" t="n">
        <v>816</v>
      </c>
      <c r="M39" s="152" t="n">
        <v>8</v>
      </c>
      <c r="N39" s="201">
        <f>IFERROR(ROUNDUP(L39/$C$13,0),"")</f>
        <v/>
      </c>
      <c r="O39" s="200">
        <f>IFERROR(IF(M39="",N39,M39)*$C$12*181/30/D39,"")</f>
        <v/>
      </c>
      <c r="P39" s="150" t="n"/>
      <c r="Q39" s="200">
        <f>IFERROR(P39*181/30/D39,"")</f>
        <v/>
      </c>
      <c r="R39" s="200">
        <f>IFERROR((G39/2)*(0.364*$C$7+0.315*$C$8+0.321*$C$9)*$C$10/(D39*365/181),"")</f>
        <v/>
      </c>
      <c r="S39" s="202">
        <f>IFERROR((0.364*$C$7+0.315*$C$8+0.321*$C$9)/(1-$C$11)+K39+O39+Q39+R39,"")</f>
        <v/>
      </c>
      <c r="T39" s="200" t="n">
        <v>1.8966</v>
      </c>
      <c r="U39" s="202">
        <f>IFERROR(T39-S39,"")</f>
        <v/>
      </c>
      <c r="V39" s="203">
        <f>IFERROR(U39-$C$14,"")</f>
        <v/>
      </c>
      <c r="W39" s="144">
        <f>IF(U39="","",IF(U39&gt;=$C$14,"يحقق الهدف","دون الهدف"))</f>
        <v/>
      </c>
    </row>
    <row r="40" ht="19.5" customHeight="1" s="122">
      <c r="A40" s="144" t="n">
        <v>23</v>
      </c>
      <c r="B40" s="147" t="inlineStr">
        <is>
          <t>المسار</t>
        </is>
      </c>
      <c r="C40" s="198" t="inlineStr">
        <is>
          <t>شمال جدة</t>
        </is>
      </c>
      <c r="D40" s="152" t="n">
        <v>4562218</v>
      </c>
      <c r="E40" s="144" t="n">
        <v>139</v>
      </c>
      <c r="F40" s="152">
        <f>IFERROR(D40/E40,"")</f>
        <v/>
      </c>
      <c r="G40" s="152" t="n">
        <v>200000</v>
      </c>
      <c r="H40" s="193">
        <f>IFERROR(D40/G40,"")</f>
        <v/>
      </c>
      <c r="I40" s="193">
        <f>IFERROR(G40/(D40/181),"")</f>
        <v/>
      </c>
      <c r="J40" s="152">
        <f>IFERROR(INDEX($F$8:$F$15,MATCH(C40,$E$8:$E$15,0)),"")</f>
        <v/>
      </c>
      <c r="K40" s="200">
        <f>IFERROR(J40/F40,"")</f>
        <v/>
      </c>
      <c r="L40" s="152" t="n">
        <v>1025</v>
      </c>
      <c r="M40" s="152" t="n">
        <v>6</v>
      </c>
      <c r="N40" s="201">
        <f>IFERROR(ROUNDUP(L40/$C$13,0),"")</f>
        <v/>
      </c>
      <c r="O40" s="200">
        <f>IFERROR(IF(M40="",N40,M40)*$C$12*181/30/D40,"")</f>
        <v/>
      </c>
      <c r="P40" s="150" t="n"/>
      <c r="Q40" s="200">
        <f>IFERROR(P40*181/30/D40,"")</f>
        <v/>
      </c>
      <c r="R40" s="200">
        <f>IFERROR((G40/2)*(0.514*$C$7+0.31*$C$8+0.176*$C$9)*$C$10/(D40*365/181),"")</f>
        <v/>
      </c>
      <c r="S40" s="202">
        <f>IFERROR((0.514*$C$7+0.31*$C$8+0.176*$C$9)/(1-$C$11)+K40+O40+Q40+R40,"")</f>
        <v/>
      </c>
      <c r="T40" s="200" t="n">
        <v>2.0452</v>
      </c>
      <c r="U40" s="202">
        <f>IFERROR(T40-S40,"")</f>
        <v/>
      </c>
      <c r="V40" s="203">
        <f>IFERROR(U40-$C$14,"")</f>
        <v/>
      </c>
      <c r="W40" s="144">
        <f>IF(U40="","",IF(U40&gt;=$C$14,"يحقق الهدف","دون الهدف"))</f>
        <v/>
      </c>
    </row>
    <row r="41" ht="19.5" customHeight="1" s="122">
      <c r="A41" s="144" t="n">
        <v>24</v>
      </c>
      <c r="B41" s="147" t="inlineStr">
        <is>
          <t>خليص</t>
        </is>
      </c>
      <c r="C41" s="198" t="inlineStr">
        <is>
          <t>شمال جدة</t>
        </is>
      </c>
      <c r="D41" s="152" t="n">
        <v>4330584</v>
      </c>
      <c r="E41" s="144" t="n">
        <v>135</v>
      </c>
      <c r="F41" s="152">
        <f>IFERROR(D41/E41,"")</f>
        <v/>
      </c>
      <c r="G41" s="152" t="n">
        <v>150000</v>
      </c>
      <c r="H41" s="193">
        <f>IFERROR(D41/G41,"")</f>
        <v/>
      </c>
      <c r="I41" s="193">
        <f>IFERROR(G41/(D41/181),"")</f>
        <v/>
      </c>
      <c r="J41" s="152">
        <f>IFERROR(INDEX($F$8:$F$15,MATCH(C41,$E$8:$E$15,0)),"")</f>
        <v/>
      </c>
      <c r="K41" s="200">
        <f>IFERROR(J41/F41,"")</f>
        <v/>
      </c>
      <c r="L41" s="152" t="n">
        <v>423</v>
      </c>
      <c r="M41" s="152" t="n">
        <v>9</v>
      </c>
      <c r="N41" s="201">
        <f>IFERROR(ROUNDUP(L41/$C$13,0),"")</f>
        <v/>
      </c>
      <c r="O41" s="200">
        <f>IFERROR(IF(M41="",N41,M41)*$C$12*181/30/D41,"")</f>
        <v/>
      </c>
      <c r="P41" s="150" t="n"/>
      <c r="Q41" s="200">
        <f>IFERROR(P41*181/30/D41,"")</f>
        <v/>
      </c>
      <c r="R41" s="200">
        <f>IFERROR((G41/2)*(0.243*$C$7+0.198*$C$8+0.559*$C$9)*$C$10/(D41*365/181),"")</f>
        <v/>
      </c>
      <c r="S41" s="202">
        <f>IFERROR((0.243*$C$7+0.198*$C$8+0.559*$C$9)/(1-$C$11)+K41+O41+Q41+R41,"")</f>
        <v/>
      </c>
      <c r="T41" s="200" t="n">
        <v>1.6339</v>
      </c>
      <c r="U41" s="202">
        <f>IFERROR(T41-S41,"")</f>
        <v/>
      </c>
      <c r="V41" s="203">
        <f>IFERROR(U41-$C$14,"")</f>
        <v/>
      </c>
      <c r="W41" s="144">
        <f>IF(U41="","",IF(U41&gt;=$C$14,"يحقق الهدف","دون الهدف"))</f>
        <v/>
      </c>
    </row>
    <row r="42" ht="19.5" customHeight="1" s="122">
      <c r="A42" s="144" t="n">
        <v>25</v>
      </c>
      <c r="B42" s="147" t="inlineStr">
        <is>
          <t>الحمراء</t>
        </is>
      </c>
      <c r="C42" s="198" t="inlineStr">
        <is>
          <t>جنوب الرياض</t>
        </is>
      </c>
      <c r="D42" s="152" t="n">
        <v>3883057</v>
      </c>
      <c r="E42" s="144" t="n">
        <v>121</v>
      </c>
      <c r="F42" s="152">
        <f>IFERROR(D42/E42,"")</f>
        <v/>
      </c>
      <c r="G42" s="152" t="n">
        <v>229000</v>
      </c>
      <c r="H42" s="193">
        <f>IFERROR(D42/G42,"")</f>
        <v/>
      </c>
      <c r="I42" s="193">
        <f>IFERROR(G42/(D42/181),"")</f>
        <v/>
      </c>
      <c r="J42" s="152">
        <f>IFERROR(INDEX($F$8:$F$15,MATCH(C42,$E$8:$E$15,0)),"")</f>
        <v/>
      </c>
      <c r="K42" s="200">
        <f>IFERROR(J42/F42,"")</f>
        <v/>
      </c>
      <c r="L42" s="152" t="n">
        <v>864</v>
      </c>
      <c r="M42" s="152" t="n">
        <v>7</v>
      </c>
      <c r="N42" s="201">
        <f>IFERROR(ROUNDUP(L42/$C$13,0),"")</f>
        <v/>
      </c>
      <c r="O42" s="200">
        <f>IFERROR(IF(M42="",N42,M42)*$C$12*181/30/D42,"")</f>
        <v/>
      </c>
      <c r="P42" s="150" t="n"/>
      <c r="Q42" s="200">
        <f>IFERROR(P42*181/30/D42,"")</f>
        <v/>
      </c>
      <c r="R42" s="200">
        <f>IFERROR((G42/2)*(0.468*$C$7+0.45*$C$8+0.082*$C$9)*$C$10/(D42*365/181),"")</f>
        <v/>
      </c>
      <c r="S42" s="202">
        <f>IFERROR((0.468*$C$7+0.45*$C$8+0.082*$C$9)/(1-$C$11)+K42+O42+Q42+R42,"")</f>
        <v/>
      </c>
      <c r="T42" s="200" t="n">
        <v>2.163</v>
      </c>
      <c r="U42" s="202">
        <f>IFERROR(T42-S42,"")</f>
        <v/>
      </c>
      <c r="V42" s="203">
        <f>IFERROR(U42-$C$14,"")</f>
        <v/>
      </c>
      <c r="W42" s="144">
        <f>IF(U42="","",IF(U42&gt;=$C$14,"يحقق الهدف","دون الهدف"))</f>
        <v/>
      </c>
    </row>
    <row r="43" ht="19.5" customHeight="1" s="122">
      <c r="A43" s="144" t="n">
        <v>26</v>
      </c>
      <c r="B43" s="147" t="inlineStr">
        <is>
          <t>كورنيش جيزان</t>
        </is>
      </c>
      <c r="C43" s="198" t="inlineStr">
        <is>
          <t>شمال جيزان</t>
        </is>
      </c>
      <c r="D43" s="152" t="n">
        <v>3776097</v>
      </c>
      <c r="E43" s="144" t="n">
        <v>118</v>
      </c>
      <c r="F43" s="152">
        <f>IFERROR(D43/E43,"")</f>
        <v/>
      </c>
      <c r="G43" s="152" t="n">
        <v>180000</v>
      </c>
      <c r="H43" s="193">
        <f>IFERROR(D43/G43,"")</f>
        <v/>
      </c>
      <c r="I43" s="193">
        <f>IFERROR(G43/(D43/181),"")</f>
        <v/>
      </c>
      <c r="J43" s="152">
        <f>IFERROR(INDEX($F$8:$F$15,MATCH(C43,$E$8:$E$15,0)),"")</f>
        <v/>
      </c>
      <c r="K43" s="200">
        <f>IFERROR(J43/F43,"")</f>
        <v/>
      </c>
      <c r="L43" s="152" t="n">
        <v>922</v>
      </c>
      <c r="M43" s="152" t="n">
        <v>8</v>
      </c>
      <c r="N43" s="201">
        <f>IFERROR(ROUNDUP(L43/$C$13,0),"")</f>
        <v/>
      </c>
      <c r="O43" s="200">
        <f>IFERROR(IF(M43="",N43,M43)*$C$12*181/30/D43,"")</f>
        <v/>
      </c>
      <c r="P43" s="150" t="n"/>
      <c r="Q43" s="200">
        <f>IFERROR(P43*181/30/D43,"")</f>
        <v/>
      </c>
      <c r="R43" s="200">
        <f>IFERROR((G43/2)*(0.434*$C$7+0.544*$C$8+0.023*$C$9)*$C$10/(D43*365/181),"")</f>
        <v/>
      </c>
      <c r="S43" s="202">
        <f>IFERROR((0.434*$C$7+0.544*$C$8+0.023*$C$9)/(1-$C$11)+K43+O43+Q43+R43,"")</f>
        <v/>
      </c>
      <c r="T43" s="200" t="n">
        <v>2.2401</v>
      </c>
      <c r="U43" s="202">
        <f>IFERROR(T43-S43,"")</f>
        <v/>
      </c>
      <c r="V43" s="203">
        <f>IFERROR(U43-$C$14,"")</f>
        <v/>
      </c>
      <c r="W43" s="144">
        <f>IF(U43="","",IF(U43&gt;=$C$14,"يحقق الهدف","دون الهدف"))</f>
        <v/>
      </c>
    </row>
    <row r="44" ht="19.5" customHeight="1" s="122">
      <c r="A44" s="144" t="n">
        <v>27</v>
      </c>
      <c r="B44" s="147" t="inlineStr">
        <is>
          <t>الجموم الكنيدري</t>
        </is>
      </c>
      <c r="C44" s="198" t="inlineStr">
        <is>
          <t>شمال جدة</t>
        </is>
      </c>
      <c r="D44" s="152" t="n">
        <v>3564182</v>
      </c>
      <c r="E44" s="144" t="n">
        <v>111</v>
      </c>
      <c r="F44" s="152">
        <f>IFERROR(D44/E44,"")</f>
        <v/>
      </c>
      <c r="G44" s="152" t="n">
        <v>180000</v>
      </c>
      <c r="H44" s="193">
        <f>IFERROR(D44/G44,"")</f>
        <v/>
      </c>
      <c r="I44" s="193">
        <f>IFERROR(G44/(D44/181),"")</f>
        <v/>
      </c>
      <c r="J44" s="152">
        <f>IFERROR(INDEX($F$8:$F$15,MATCH(C44,$E$8:$E$15,0)),"")</f>
        <v/>
      </c>
      <c r="K44" s="200">
        <f>IFERROR(J44/F44,"")</f>
        <v/>
      </c>
      <c r="L44" s="152" t="n">
        <v>931</v>
      </c>
      <c r="M44" s="152" t="n">
        <v>7</v>
      </c>
      <c r="N44" s="201">
        <f>IFERROR(ROUNDUP(L44/$C$13,0),"")</f>
        <v/>
      </c>
      <c r="O44" s="200">
        <f>IFERROR(IF(M44="",N44,M44)*$C$12*181/30/D44,"")</f>
        <v/>
      </c>
      <c r="P44" s="150" t="n"/>
      <c r="Q44" s="200">
        <f>IFERROR(P44*181/30/D44,"")</f>
        <v/>
      </c>
      <c r="R44" s="200">
        <f>IFERROR((G44/2)*(0.416*$C$7+0.469*$C$8+0.115*$C$9)*$C$10/(D44*365/181),"")</f>
        <v/>
      </c>
      <c r="S44" s="202">
        <f>IFERROR((0.416*$C$7+0.469*$C$8+0.115*$C$9)/(1-$C$11)+K44+O44+Q44+R44,"")</f>
        <v/>
      </c>
      <c r="T44" s="200" t="n">
        <v>2.1319</v>
      </c>
      <c r="U44" s="202">
        <f>IFERROR(T44-S44,"")</f>
        <v/>
      </c>
      <c r="V44" s="203">
        <f>IFERROR(U44-$C$14,"")</f>
        <v/>
      </c>
      <c r="W44" s="144">
        <f>IF(U44="","",IF(U44&gt;=$C$14,"يحقق الهدف","دون الهدف"))</f>
        <v/>
      </c>
    </row>
    <row r="45" ht="19.5" customHeight="1" s="122">
      <c r="A45" s="144" t="n">
        <v>28</v>
      </c>
      <c r="B45" s="147" t="inlineStr">
        <is>
          <t>المعيصم</t>
        </is>
      </c>
      <c r="C45" s="198" t="inlineStr">
        <is>
          <t>شمال جدة</t>
        </is>
      </c>
      <c r="D45" s="152" t="n">
        <v>3495941</v>
      </c>
      <c r="E45" s="144" t="n">
        <v>106</v>
      </c>
      <c r="F45" s="152">
        <f>IFERROR(D45/E45,"")</f>
        <v/>
      </c>
      <c r="G45" s="152" t="n">
        <v>240000</v>
      </c>
      <c r="H45" s="193">
        <f>IFERROR(D45/G45,"")</f>
        <v/>
      </c>
      <c r="I45" s="193">
        <f>IFERROR(G45/(D45/181),"")</f>
        <v/>
      </c>
      <c r="J45" s="152">
        <f>IFERROR(INDEX($F$8:$F$15,MATCH(C45,$E$8:$E$15,0)),"")</f>
        <v/>
      </c>
      <c r="K45" s="200">
        <f>IFERROR(J45/F45,"")</f>
        <v/>
      </c>
      <c r="L45" s="152" t="n">
        <v>913</v>
      </c>
      <c r="M45" s="152" t="n">
        <v>7</v>
      </c>
      <c r="N45" s="201">
        <f>IFERROR(ROUNDUP(L45/$C$13,0),"")</f>
        <v/>
      </c>
      <c r="O45" s="200">
        <f>IFERROR(IF(M45="",N45,M45)*$C$12*181/30/D45,"")</f>
        <v/>
      </c>
      <c r="P45" s="150" t="n"/>
      <c r="Q45" s="200">
        <f>IFERROR(P45*181/30/D45,"")</f>
        <v/>
      </c>
      <c r="R45" s="200">
        <f>IFERROR((G45/2)*(0.561*$C$7+0.439*$C$8+0*$C$9)*$C$10/(D45*365/181),"")</f>
        <v/>
      </c>
      <c r="S45" s="202">
        <f>IFERROR((0.561*$C$7+0.439*$C$8+0*$C$9)/(1-$C$11)+K45+O45+Q45+R45,"")</f>
        <v/>
      </c>
      <c r="T45" s="200" t="n">
        <v>2.2458</v>
      </c>
      <c r="U45" s="202">
        <f>IFERROR(T45-S45,"")</f>
        <v/>
      </c>
      <c r="V45" s="203">
        <f>IFERROR(U45-$C$14,"")</f>
        <v/>
      </c>
      <c r="W45" s="144">
        <f>IF(U45="","",IF(U45&gt;=$C$14,"يحقق الهدف","دون الهدف"))</f>
        <v/>
      </c>
    </row>
    <row r="46" ht="19.5" customHeight="1" s="122">
      <c r="A46" s="144" t="n">
        <v>29</v>
      </c>
      <c r="B46" s="147" t="inlineStr">
        <is>
          <t>الاجاويد</t>
        </is>
      </c>
      <c r="C46" s="198" t="inlineStr">
        <is>
          <t>شمال جدة</t>
        </is>
      </c>
      <c r="D46" s="152" t="n">
        <v>3361678</v>
      </c>
      <c r="E46" s="144" t="n">
        <v>103</v>
      </c>
      <c r="F46" s="152">
        <f>IFERROR(D46/E46,"")</f>
        <v/>
      </c>
      <c r="G46" s="152" t="n">
        <v>160000</v>
      </c>
      <c r="H46" s="193">
        <f>IFERROR(D46/G46,"")</f>
        <v/>
      </c>
      <c r="I46" s="193">
        <f>IFERROR(G46/(D46/181),"")</f>
        <v/>
      </c>
      <c r="J46" s="152">
        <f>IFERROR(INDEX($F$8:$F$15,MATCH(C46,$E$8:$E$15,0)),"")</f>
        <v/>
      </c>
      <c r="K46" s="200">
        <f>IFERROR(J46/F46,"")</f>
        <v/>
      </c>
      <c r="L46" s="152" t="n">
        <v>938</v>
      </c>
      <c r="M46" s="152" t="n">
        <v>7</v>
      </c>
      <c r="N46" s="201">
        <f>IFERROR(ROUNDUP(L46/$C$13,0),"")</f>
        <v/>
      </c>
      <c r="O46" s="200">
        <f>IFERROR(IF(M46="",N46,M46)*$C$12*181/30/D46,"")</f>
        <v/>
      </c>
      <c r="P46" s="150" t="n"/>
      <c r="Q46" s="200">
        <f>IFERROR(P46*181/30/D46,"")</f>
        <v/>
      </c>
      <c r="R46" s="200">
        <f>IFERROR((G46/2)*(0.523*$C$7+0.31*$C$8+0.167*$C$9)*$C$10/(D46*365/181),"")</f>
        <v/>
      </c>
      <c r="S46" s="202">
        <f>IFERROR((0.523*$C$7+0.31*$C$8+0.167*$C$9)/(1-$C$11)+K46+O46+Q46+R46,"")</f>
        <v/>
      </c>
      <c r="T46" s="200" t="n">
        <v>2.0545</v>
      </c>
      <c r="U46" s="202">
        <f>IFERROR(T46-S46,"")</f>
        <v/>
      </c>
      <c r="V46" s="203">
        <f>IFERROR(U46-$C$14,"")</f>
        <v/>
      </c>
      <c r="W46" s="144">
        <f>IF(U46="","",IF(U46&gt;=$C$14,"يحقق الهدف","دون الهدف"))</f>
        <v/>
      </c>
    </row>
    <row r="47" ht="19.5" customHeight="1" s="122">
      <c r="A47" s="144" t="n">
        <v>30</v>
      </c>
      <c r="B47" s="147" t="inlineStr">
        <is>
          <t>مسارات صبيا</t>
        </is>
      </c>
      <c r="C47" s="198" t="inlineStr">
        <is>
          <t>شمال جيزان</t>
        </is>
      </c>
      <c r="D47" s="152" t="n">
        <v>3360765</v>
      </c>
      <c r="E47" s="144" t="n">
        <v>105</v>
      </c>
      <c r="F47" s="152">
        <f>IFERROR(D47/E47,"")</f>
        <v/>
      </c>
      <c r="G47" s="152" t="n">
        <v>180000</v>
      </c>
      <c r="H47" s="193">
        <f>IFERROR(D47/G47,"")</f>
        <v/>
      </c>
      <c r="I47" s="193">
        <f>IFERROR(G47/(D47/181),"")</f>
        <v/>
      </c>
      <c r="J47" s="152">
        <f>IFERROR(INDEX($F$8:$F$15,MATCH(C47,$E$8:$E$15,0)),"")</f>
        <v/>
      </c>
      <c r="K47" s="200">
        <f>IFERROR(J47/F47,"")</f>
        <v/>
      </c>
      <c r="L47" s="152" t="n">
        <v>538</v>
      </c>
      <c r="M47" s="152" t="n">
        <v>6</v>
      </c>
      <c r="N47" s="201">
        <f>IFERROR(ROUNDUP(L47/$C$13,0),"")</f>
        <v/>
      </c>
      <c r="O47" s="200">
        <f>IFERROR(IF(M47="",N47,M47)*$C$12*181/30/D47,"")</f>
        <v/>
      </c>
      <c r="P47" s="150" t="n"/>
      <c r="Q47" s="200">
        <f>IFERROR(P47*181/30/D47,"")</f>
        <v/>
      </c>
      <c r="R47" s="200">
        <f>IFERROR((G47/2)*(0.315*$C$7+0.312*$C$8+0.373*$C$9)*$C$10/(D47*365/181),"")</f>
        <v/>
      </c>
      <c r="S47" s="202">
        <f>IFERROR((0.315*$C$7+0.312*$C$8+0.373*$C$9)/(1-$C$11)+K47+O47+Q47+R47,"")</f>
        <v/>
      </c>
      <c r="T47" s="200" t="n">
        <v>1.8426</v>
      </c>
      <c r="U47" s="202">
        <f>IFERROR(T47-S47,"")</f>
        <v/>
      </c>
      <c r="V47" s="203">
        <f>IFERROR(U47-$C$14,"")</f>
        <v/>
      </c>
      <c r="W47" s="144">
        <f>IF(U47="","",IF(U47&gt;=$C$14,"يحقق الهدف","دون الهدف"))</f>
        <v/>
      </c>
    </row>
    <row r="48" ht="19.5" customHeight="1" s="122">
      <c r="A48" s="144" t="n">
        <v>31</v>
      </c>
      <c r="B48" s="147" t="inlineStr">
        <is>
          <t>الكر</t>
        </is>
      </c>
      <c r="C48" s="198" t="inlineStr">
        <is>
          <t>شمال جدة</t>
        </is>
      </c>
      <c r="D48" s="152" t="n">
        <v>3100653</v>
      </c>
      <c r="E48" s="144" t="n">
        <v>94</v>
      </c>
      <c r="F48" s="152">
        <f>IFERROR(D48/E48,"")</f>
        <v/>
      </c>
      <c r="G48" s="152" t="n">
        <v>240000</v>
      </c>
      <c r="H48" s="193">
        <f>IFERROR(D48/G48,"")</f>
        <v/>
      </c>
      <c r="I48" s="193">
        <f>IFERROR(G48/(D48/181),"")</f>
        <v/>
      </c>
      <c r="J48" s="152">
        <f>IFERROR(INDEX($F$8:$F$15,MATCH(C48,$E$8:$E$15,0)),"")</f>
        <v/>
      </c>
      <c r="K48" s="200">
        <f>IFERROR(J48/F48,"")</f>
        <v/>
      </c>
      <c r="L48" s="152" t="n">
        <v>537</v>
      </c>
      <c r="M48" s="152" t="n">
        <v>8</v>
      </c>
      <c r="N48" s="201">
        <f>IFERROR(ROUNDUP(L48/$C$13,0),"")</f>
        <v/>
      </c>
      <c r="O48" s="200">
        <f>IFERROR(IF(M48="",N48,M48)*$C$12*181/30/D48,"")</f>
        <v/>
      </c>
      <c r="P48" s="150" t="n"/>
      <c r="Q48" s="200">
        <f>IFERROR(P48*181/30/D48,"")</f>
        <v/>
      </c>
      <c r="R48" s="200">
        <f>IFERROR((G48/2)*(0.462*$C$7+0.432*$C$8+0.106*$C$9)*$C$10/(D48*365/181),"")</f>
        <v/>
      </c>
      <c r="S48" s="202">
        <f>IFERROR((0.462*$C$7+0.432*$C$8+0.106*$C$9)/(1-$C$11)+K48+O48+Q48+R48,"")</f>
        <v/>
      </c>
      <c r="T48" s="200" t="n">
        <v>2.1356</v>
      </c>
      <c r="U48" s="202">
        <f>IFERROR(T48-S48,"")</f>
        <v/>
      </c>
      <c r="V48" s="203">
        <f>IFERROR(U48-$C$14,"")</f>
        <v/>
      </c>
      <c r="W48" s="144">
        <f>IF(U48="","",IF(U48&gt;=$C$14,"يحقق الهدف","دون الهدف"))</f>
        <v/>
      </c>
    </row>
    <row r="49" ht="19.5" customHeight="1" s="122">
      <c r="A49" s="144" t="n">
        <v>32</v>
      </c>
      <c r="B49" s="147" t="inlineStr">
        <is>
          <t>محطة طريق السيل</t>
        </is>
      </c>
      <c r="C49" s="198" t="inlineStr">
        <is>
          <t>شمال جدة</t>
        </is>
      </c>
      <c r="D49" s="152" t="n">
        <v>2986719</v>
      </c>
      <c r="E49" s="144" t="n">
        <v>93</v>
      </c>
      <c r="F49" s="152">
        <f>IFERROR(D49/E49,"")</f>
        <v/>
      </c>
      <c r="G49" s="152" t="n">
        <v>465000</v>
      </c>
      <c r="H49" s="193">
        <f>IFERROR(D49/G49,"")</f>
        <v/>
      </c>
      <c r="I49" s="193">
        <f>IFERROR(G49/(D49/181),"")</f>
        <v/>
      </c>
      <c r="J49" s="152">
        <f>IFERROR(INDEX($F$8:$F$15,MATCH(C49,$E$8:$E$15,0)),"")</f>
        <v/>
      </c>
      <c r="K49" s="200">
        <f>IFERROR(J49/F49,"")</f>
        <v/>
      </c>
      <c r="L49" s="152" t="n">
        <v>680</v>
      </c>
      <c r="M49" s="152" t="n">
        <v>11</v>
      </c>
      <c r="N49" s="201">
        <f>IFERROR(ROUNDUP(L49/$C$13,0),"")</f>
        <v/>
      </c>
      <c r="O49" s="200">
        <f>IFERROR(IF(M49="",N49,M49)*$C$12*181/30/D49,"")</f>
        <v/>
      </c>
      <c r="P49" s="150" t="n"/>
      <c r="Q49" s="200">
        <f>IFERROR(P49*181/30/D49,"")</f>
        <v/>
      </c>
      <c r="R49" s="200">
        <f>IFERROR((G49/2)*(0.35*$C$7+0.301*$C$8+0.349*$C$9)*$C$10/(D49*365/181),"")</f>
        <v/>
      </c>
      <c r="S49" s="202">
        <f>IFERROR((0.35*$C$7+0.301*$C$8+0.349*$C$9)/(1-$C$11)+K49+O49+Q49+R49,"")</f>
        <v/>
      </c>
      <c r="T49" s="200" t="n">
        <v>1.8657</v>
      </c>
      <c r="U49" s="202">
        <f>IFERROR(T49-S49,"")</f>
        <v/>
      </c>
      <c r="V49" s="203">
        <f>IFERROR(U49-$C$14,"")</f>
        <v/>
      </c>
      <c r="W49" s="144">
        <f>IF(U49="","",IF(U49&gt;=$C$14,"يحقق الهدف","دون الهدف"))</f>
        <v/>
      </c>
    </row>
    <row r="50" ht="19.5" customHeight="1" s="122">
      <c r="A50" s="144" t="n">
        <v>33</v>
      </c>
      <c r="B50" s="147" t="inlineStr">
        <is>
          <t>الخرج غرناطة</t>
        </is>
      </c>
      <c r="C50" s="198" t="inlineStr">
        <is>
          <t>جنوب الرياض</t>
        </is>
      </c>
      <c r="D50" s="152" t="n">
        <v>2945367</v>
      </c>
      <c r="E50" s="144" t="n">
        <v>92</v>
      </c>
      <c r="F50" s="152">
        <f>IFERROR(D50/E50,"")</f>
        <v/>
      </c>
      <c r="G50" s="152" t="n">
        <v>231000</v>
      </c>
      <c r="H50" s="193">
        <f>IFERROR(D50/G50,"")</f>
        <v/>
      </c>
      <c r="I50" s="193">
        <f>IFERROR(G50/(D50/181),"")</f>
        <v/>
      </c>
      <c r="J50" s="152">
        <f>IFERROR(INDEX($F$8:$F$15,MATCH(C50,$E$8:$E$15,0)),"")</f>
        <v/>
      </c>
      <c r="K50" s="200">
        <f>IFERROR(J50/F50,"")</f>
        <v/>
      </c>
      <c r="L50" s="152" t="n">
        <v>469</v>
      </c>
      <c r="M50" s="152" t="n">
        <v>7</v>
      </c>
      <c r="N50" s="201">
        <f>IFERROR(ROUNDUP(L50/$C$13,0),"")</f>
        <v/>
      </c>
      <c r="O50" s="200">
        <f>IFERROR(IF(M50="",N50,M50)*$C$12*181/30/D50,"")</f>
        <v/>
      </c>
      <c r="P50" s="150" t="n"/>
      <c r="Q50" s="200">
        <f>IFERROR(P50*181/30/D50,"")</f>
        <v/>
      </c>
      <c r="R50" s="200">
        <f>IFERROR((G50/2)*(0.51*$C$7+0.49*$C$8+0*$C$9)*$C$10/(D50*365/181),"")</f>
        <v/>
      </c>
      <c r="S50" s="202">
        <f>IFERROR((0.51*$C$7+0.49*$C$8+0*$C$9)/(1-$C$11)+K50+O50+Q50+R50,"")</f>
        <v/>
      </c>
      <c r="T50" s="200" t="n">
        <v>2.2535</v>
      </c>
      <c r="U50" s="202">
        <f>IFERROR(T50-S50,"")</f>
        <v/>
      </c>
      <c r="V50" s="203">
        <f>IFERROR(U50-$C$14,"")</f>
        <v/>
      </c>
      <c r="W50" s="144">
        <f>IF(U50="","",IF(U50&gt;=$C$14,"يحقق الهدف","دون الهدف"))</f>
        <v/>
      </c>
    </row>
    <row r="51" ht="19.5" customHeight="1" s="122">
      <c r="A51" s="144" t="n">
        <v>34</v>
      </c>
      <c r="B51" s="147" t="inlineStr">
        <is>
          <t>الفردوس</t>
        </is>
      </c>
      <c r="C51" s="198" t="inlineStr">
        <is>
          <t>شمال جدة</t>
        </is>
      </c>
      <c r="D51" s="152" t="n">
        <v>2932886</v>
      </c>
      <c r="E51" s="144" t="n">
        <v>89</v>
      </c>
      <c r="F51" s="152">
        <f>IFERROR(D51/E51,"")</f>
        <v/>
      </c>
      <c r="G51" s="152" t="n">
        <v>240000</v>
      </c>
      <c r="H51" s="193">
        <f>IFERROR(D51/G51,"")</f>
        <v/>
      </c>
      <c r="I51" s="193">
        <f>IFERROR(G51/(D51/181),"")</f>
        <v/>
      </c>
      <c r="J51" s="152">
        <f>IFERROR(INDEX($F$8:$F$15,MATCH(C51,$E$8:$E$15,0)),"")</f>
        <v/>
      </c>
      <c r="K51" s="200">
        <f>IFERROR(J51/F51,"")</f>
        <v/>
      </c>
      <c r="L51" s="152" t="n">
        <v>807</v>
      </c>
      <c r="M51" s="152" t="n">
        <v>7</v>
      </c>
      <c r="N51" s="201">
        <f>IFERROR(ROUNDUP(L51/$C$13,0),"")</f>
        <v/>
      </c>
      <c r="O51" s="200">
        <f>IFERROR(IF(M51="",N51,M51)*$C$12*181/30/D51,"")</f>
        <v/>
      </c>
      <c r="P51" s="150" t="n"/>
      <c r="Q51" s="200">
        <f>IFERROR(P51*181/30/D51,"")</f>
        <v/>
      </c>
      <c r="R51" s="200">
        <f>IFERROR((G51/2)*(0.54*$C$7+0.46*$C$8+0*$C$9)*$C$10/(D51*365/181),"")</f>
        <v/>
      </c>
      <c r="S51" s="202">
        <f>IFERROR((0.54*$C$7+0.46*$C$8+0*$C$9)/(1-$C$11)+K51+O51+Q51+R51,"")</f>
        <v/>
      </c>
      <c r="T51" s="200" t="n">
        <v>2.249</v>
      </c>
      <c r="U51" s="202">
        <f>IFERROR(T51-S51,"")</f>
        <v/>
      </c>
      <c r="V51" s="203">
        <f>IFERROR(U51-$C$14,"")</f>
        <v/>
      </c>
      <c r="W51" s="144">
        <f>IF(U51="","",IF(U51&gt;=$C$14,"يحقق الهدف","دون الهدف"))</f>
        <v/>
      </c>
    </row>
    <row r="52" ht="19.5" customHeight="1" s="122">
      <c r="A52" s="144" t="n">
        <v>35</v>
      </c>
      <c r="B52" s="147" t="inlineStr">
        <is>
          <t>الدائري الشرقي</t>
        </is>
      </c>
      <c r="C52" s="198" t="inlineStr">
        <is>
          <t>محطة القصيم</t>
        </is>
      </c>
      <c r="D52" s="152" t="n">
        <v>2879227</v>
      </c>
      <c r="E52" s="144" t="n">
        <v>90</v>
      </c>
      <c r="F52" s="152">
        <f>IFERROR(D52/E52,"")</f>
        <v/>
      </c>
      <c r="G52" s="152" t="n">
        <v>180000</v>
      </c>
      <c r="H52" s="193">
        <f>IFERROR(D52/G52,"")</f>
        <v/>
      </c>
      <c r="I52" s="193">
        <f>IFERROR(G52/(D52/181),"")</f>
        <v/>
      </c>
      <c r="J52" s="152">
        <f>IFERROR(INDEX($F$8:$F$15,MATCH(C52,$E$8:$E$15,0)),"")</f>
        <v/>
      </c>
      <c r="K52" s="200">
        <f>IFERROR(J52/F52,"")</f>
        <v/>
      </c>
      <c r="L52" s="152" t="n">
        <v>441</v>
      </c>
      <c r="M52" s="152" t="n">
        <v>6</v>
      </c>
      <c r="N52" s="201">
        <f>IFERROR(ROUNDUP(L52/$C$13,0),"")</f>
        <v/>
      </c>
      <c r="O52" s="200">
        <f>IFERROR(IF(M52="",N52,M52)*$C$12*181/30/D52,"")</f>
        <v/>
      </c>
      <c r="P52" s="150" t="n"/>
      <c r="Q52" s="200">
        <f>IFERROR(P52*181/30/D52,"")</f>
        <v/>
      </c>
      <c r="R52" s="200">
        <f>IFERROR((G52/2)*(0.347*$C$7+0.26*$C$8+0.392*$C$9)*$C$10/(D52*365/181),"")</f>
        <v/>
      </c>
      <c r="S52" s="202">
        <f>IFERROR((0.347*$C$7+0.26*$C$8+0.392*$C$9)/(1-$C$11)+K52+O52+Q52+R52,"")</f>
        <v/>
      </c>
      <c r="T52" s="200" t="n">
        <v>1.8131</v>
      </c>
      <c r="U52" s="202">
        <f>IFERROR(T52-S52,"")</f>
        <v/>
      </c>
      <c r="V52" s="203">
        <f>IFERROR(U52-$C$14,"")</f>
        <v/>
      </c>
      <c r="W52" s="144">
        <f>IF(U52="","",IF(U52&gt;=$C$14,"يحقق الهدف","دون الهدف"))</f>
        <v/>
      </c>
    </row>
    <row r="53" ht="19.5" customHeight="1" s="122">
      <c r="A53" s="144" t="n">
        <v>36</v>
      </c>
      <c r="B53" s="147" t="inlineStr">
        <is>
          <t>الجال</t>
        </is>
      </c>
      <c r="C53" s="198" t="inlineStr">
        <is>
          <t>شمال جدة</t>
        </is>
      </c>
      <c r="D53" s="152" t="n">
        <v>2863860</v>
      </c>
      <c r="E53" s="144" t="n">
        <v>89</v>
      </c>
      <c r="F53" s="152">
        <f>IFERROR(D53/E53,"")</f>
        <v/>
      </c>
      <c r="G53" s="152" t="n">
        <v>158000</v>
      </c>
      <c r="H53" s="193">
        <f>IFERROR(D53/G53,"")</f>
        <v/>
      </c>
      <c r="I53" s="193">
        <f>IFERROR(G53/(D53/181),"")</f>
        <v/>
      </c>
      <c r="J53" s="152">
        <f>IFERROR(INDEX($F$8:$F$15,MATCH(C53,$E$8:$E$15,0)),"")</f>
        <v/>
      </c>
      <c r="K53" s="200">
        <f>IFERROR(J53/F53,"")</f>
        <v/>
      </c>
      <c r="L53" s="152" t="n">
        <v>685</v>
      </c>
      <c r="M53" s="152" t="n">
        <v>5</v>
      </c>
      <c r="N53" s="201">
        <f>IFERROR(ROUNDUP(L53/$C$13,0),"")</f>
        <v/>
      </c>
      <c r="O53" s="200">
        <f>IFERROR(IF(M53="",N53,M53)*$C$12*181/30/D53,"")</f>
        <v/>
      </c>
      <c r="P53" s="150" t="n"/>
      <c r="Q53" s="200">
        <f>IFERROR(P53*181/30/D53,"")</f>
        <v/>
      </c>
      <c r="R53" s="200">
        <f>IFERROR((G53/2)*(0.537*$C$7+0.386*$C$8+0.077*$C$9)*$C$10/(D53*365/181),"")</f>
        <v/>
      </c>
      <c r="S53" s="202">
        <f>IFERROR((0.537*$C$7+0.386*$C$8+0.077*$C$9)/(1-$C$11)+K53+O53+Q53+R53,"")</f>
        <v/>
      </c>
      <c r="T53" s="200" t="n">
        <v>2.1586</v>
      </c>
      <c r="U53" s="202">
        <f>IFERROR(T53-S53,"")</f>
        <v/>
      </c>
      <c r="V53" s="203">
        <f>IFERROR(U53-$C$14,"")</f>
        <v/>
      </c>
      <c r="W53" s="144">
        <f>IF(U53="","",IF(U53&gt;=$C$14,"يحقق الهدف","دون الهدف"))</f>
        <v/>
      </c>
    </row>
    <row r="54" ht="19.5" customHeight="1" s="122">
      <c r="A54" s="144" t="n">
        <v>37</v>
      </c>
      <c r="B54" s="147" t="inlineStr">
        <is>
          <t>طريق القاضي</t>
        </is>
      </c>
      <c r="C54" s="198" t="inlineStr">
        <is>
          <t>شمال جدة</t>
        </is>
      </c>
      <c r="D54" s="152" t="n">
        <v>2752646</v>
      </c>
      <c r="E54" s="144" t="n">
        <v>84</v>
      </c>
      <c r="F54" s="152">
        <f>IFERROR(D54/E54,"")</f>
        <v/>
      </c>
      <c r="G54" s="152" t="n">
        <v>200000</v>
      </c>
      <c r="H54" s="193">
        <f>IFERROR(D54/G54,"")</f>
        <v/>
      </c>
      <c r="I54" s="193">
        <f>IFERROR(G54/(D54/181),"")</f>
        <v/>
      </c>
      <c r="J54" s="152">
        <f>IFERROR(INDEX($F$8:$F$15,MATCH(C54,$E$8:$E$15,0)),"")</f>
        <v/>
      </c>
      <c r="K54" s="200">
        <f>IFERROR(J54/F54,"")</f>
        <v/>
      </c>
      <c r="L54" s="152" t="n">
        <v>586</v>
      </c>
      <c r="M54" s="152" t="n">
        <v>5</v>
      </c>
      <c r="N54" s="201">
        <f>IFERROR(ROUNDUP(L54/$C$13,0),"")</f>
        <v/>
      </c>
      <c r="O54" s="200">
        <f>IFERROR(IF(M54="",N54,M54)*$C$12*181/30/D54,"")</f>
        <v/>
      </c>
      <c r="P54" s="150" t="n"/>
      <c r="Q54" s="200">
        <f>IFERROR(P54*181/30/D54,"")</f>
        <v/>
      </c>
      <c r="R54" s="200">
        <f>IFERROR((G54/2)*(0.455*$C$7+0.31*$C$8+0.236*$C$9)*$C$10/(D54*365/181),"")</f>
        <v/>
      </c>
      <c r="S54" s="202">
        <f>IFERROR((0.455*$C$7+0.31*$C$8+0.236*$C$9)/(1-$C$11)+K54+O54+Q54+R54,"")</f>
        <v/>
      </c>
      <c r="T54" s="200" t="n">
        <v>1.9856</v>
      </c>
      <c r="U54" s="202">
        <f>IFERROR(T54-S54,"")</f>
        <v/>
      </c>
      <c r="V54" s="203">
        <f>IFERROR(U54-$C$14,"")</f>
        <v/>
      </c>
      <c r="W54" s="144">
        <f>IF(U54="","",IF(U54&gt;=$C$14,"يحقق الهدف","دون الهدف"))</f>
        <v/>
      </c>
    </row>
    <row r="55" ht="19.5" customHeight="1" s="122">
      <c r="A55" s="144" t="n">
        <v>38</v>
      </c>
      <c r="B55" s="147" t="inlineStr">
        <is>
          <t>كورنيش الخبر</t>
        </is>
      </c>
      <c r="C55" s="198" t="inlineStr">
        <is>
          <t>محطة الجبيل</t>
        </is>
      </c>
      <c r="D55" s="152" t="n">
        <v>2723713</v>
      </c>
      <c r="E55" s="144" t="n">
        <v>86</v>
      </c>
      <c r="F55" s="152">
        <f>IFERROR(D55/E55,"")</f>
        <v/>
      </c>
      <c r="G55" s="152" t="n">
        <v>180000</v>
      </c>
      <c r="H55" s="193">
        <f>IFERROR(D55/G55,"")</f>
        <v/>
      </c>
      <c r="I55" s="193">
        <f>IFERROR(G55/(D55/181),"")</f>
        <v/>
      </c>
      <c r="J55" s="152">
        <f>IFERROR(INDEX($F$8:$F$15,MATCH(C55,$E$8:$E$15,0)),"")</f>
        <v/>
      </c>
      <c r="K55" s="200">
        <f>IFERROR(J55/F55,"")</f>
        <v/>
      </c>
      <c r="L55" s="152" t="n">
        <v>591</v>
      </c>
      <c r="M55" s="152" t="n">
        <v>6</v>
      </c>
      <c r="N55" s="201">
        <f>IFERROR(ROUNDUP(L55/$C$13,0),"")</f>
        <v/>
      </c>
      <c r="O55" s="200">
        <f>IFERROR(IF(M55="",N55,M55)*$C$12*181/30/D55,"")</f>
        <v/>
      </c>
      <c r="P55" s="150" t="n"/>
      <c r="Q55" s="200">
        <f>IFERROR(P55*181/30/D55,"")</f>
        <v/>
      </c>
      <c r="R55" s="200">
        <f>IFERROR((G55/2)*(0.538*$C$7+0.396*$C$8+0.066*$C$9)*$C$10/(D55*365/181),"")</f>
        <v/>
      </c>
      <c r="S55" s="202">
        <f>IFERROR((0.538*$C$7+0.396*$C$8+0.066*$C$9)/(1-$C$11)+K55+O55+Q55+R55,"")</f>
        <v/>
      </c>
      <c r="T55" s="200" t="n">
        <v>2.1714</v>
      </c>
      <c r="U55" s="202">
        <f>IFERROR(T55-S55,"")</f>
        <v/>
      </c>
      <c r="V55" s="203">
        <f>IFERROR(U55-$C$14,"")</f>
        <v/>
      </c>
      <c r="W55" s="144">
        <f>IF(U55="","",IF(U55&gt;=$C$14,"يحقق الهدف","دون الهدف"))</f>
        <v/>
      </c>
    </row>
    <row r="56" ht="19.5" customHeight="1" s="122">
      <c r="A56" s="144" t="n">
        <v>39</v>
      </c>
      <c r="B56" s="147" t="inlineStr">
        <is>
          <t>خبت نخلان</t>
        </is>
      </c>
      <c r="C56" s="198" t="inlineStr">
        <is>
          <t>محطة جازان</t>
        </is>
      </c>
      <c r="D56" s="152" t="n">
        <v>2625098</v>
      </c>
      <c r="E56" s="144" t="n">
        <v>82</v>
      </c>
      <c r="F56" s="152">
        <f>IFERROR(D56/E56,"")</f>
        <v/>
      </c>
      <c r="G56" s="152" t="n">
        <v>244000</v>
      </c>
      <c r="H56" s="193">
        <f>IFERROR(D56/G56,"")</f>
        <v/>
      </c>
      <c r="I56" s="193">
        <f>IFERROR(G56/(D56/181),"")</f>
        <v/>
      </c>
      <c r="J56" s="152">
        <f>IFERROR(INDEX($F$8:$F$15,MATCH(C56,$E$8:$E$15,0)),"")</f>
        <v/>
      </c>
      <c r="K56" s="200">
        <f>IFERROR(J56/F56,"")</f>
        <v/>
      </c>
      <c r="L56" s="152" t="n">
        <v>650</v>
      </c>
      <c r="M56" s="152" t="n">
        <v>8</v>
      </c>
      <c r="N56" s="201">
        <f>IFERROR(ROUNDUP(L56/$C$13,0),"")</f>
        <v/>
      </c>
      <c r="O56" s="200">
        <f>IFERROR(IF(M56="",N56,M56)*$C$12*181/30/D56,"")</f>
        <v/>
      </c>
      <c r="P56" s="150" t="n"/>
      <c r="Q56" s="200">
        <f>IFERROR(P56*181/30/D56,"")</f>
        <v/>
      </c>
      <c r="R56" s="200">
        <f>IFERROR((G56/2)*(0.37*$C$7+0.446*$C$8+0.184*$C$9)*$C$10/(D56*365/181),"")</f>
        <v/>
      </c>
      <c r="S56" s="202">
        <f>IFERROR((0.37*$C$7+0.446*$C$8+0.184*$C$9)/(1-$C$11)+K56+O56+Q56+R56,"")</f>
        <v/>
      </c>
      <c r="T56" s="200" t="n">
        <v>2.0574</v>
      </c>
      <c r="U56" s="202">
        <f>IFERROR(T56-S56,"")</f>
        <v/>
      </c>
      <c r="V56" s="203">
        <f>IFERROR(U56-$C$14,"")</f>
        <v/>
      </c>
      <c r="W56" s="144">
        <f>IF(U56="","",IF(U56&gt;=$C$14,"يحقق الهدف","دون الهدف"))</f>
        <v/>
      </c>
    </row>
    <row r="57" ht="19.5" customHeight="1" s="122">
      <c r="A57" s="144" t="n">
        <v>40</v>
      </c>
      <c r="B57" s="147" t="inlineStr">
        <is>
          <t>الخزامى الخرج</t>
        </is>
      </c>
      <c r="C57" s="198" t="inlineStr">
        <is>
          <t>شمال الرياض</t>
        </is>
      </c>
      <c r="D57" s="152" t="n">
        <v>2176744</v>
      </c>
      <c r="E57" s="144" t="n">
        <v>68</v>
      </c>
      <c r="F57" s="152">
        <f>IFERROR(D57/E57,"")</f>
        <v/>
      </c>
      <c r="G57" s="152" t="n">
        <v>225000</v>
      </c>
      <c r="H57" s="193">
        <f>IFERROR(D57/G57,"")</f>
        <v/>
      </c>
      <c r="I57" s="193">
        <f>IFERROR(G57/(D57/181),"")</f>
        <v/>
      </c>
      <c r="J57" s="152">
        <f>IFERROR(INDEX($F$8:$F$15,MATCH(C57,$E$8:$E$15,0)),"")</f>
        <v/>
      </c>
      <c r="K57" s="200">
        <f>IFERROR(J57/F57,"")</f>
        <v/>
      </c>
      <c r="L57" s="152" t="n">
        <v>402</v>
      </c>
      <c r="M57" s="152" t="n">
        <v>5</v>
      </c>
      <c r="N57" s="201">
        <f>IFERROR(ROUNDUP(L57/$C$13,0),"")</f>
        <v/>
      </c>
      <c r="O57" s="200">
        <f>IFERROR(IF(M57="",N57,M57)*$C$12*181/30/D57,"")</f>
        <v/>
      </c>
      <c r="P57" s="150" t="n"/>
      <c r="Q57" s="200">
        <f>IFERROR(P57*181/30/D57,"")</f>
        <v/>
      </c>
      <c r="R57" s="200">
        <f>IFERROR((G57/2)*(0.394*$C$7+0.404*$C$8+0.201*$C$9)*$C$10/(D57*365/181),"")</f>
        <v/>
      </c>
      <c r="S57" s="202">
        <f>IFERROR((0.394*$C$7+0.404*$C$8+0.201*$C$9)/(1-$C$11)+K57+O57+Q57+R57,"")</f>
        <v/>
      </c>
      <c r="T57" s="200" t="n">
        <v>2.0314</v>
      </c>
      <c r="U57" s="202">
        <f>IFERROR(T57-S57,"")</f>
        <v/>
      </c>
      <c r="V57" s="203">
        <f>IFERROR(U57-$C$14,"")</f>
        <v/>
      </c>
      <c r="W57" s="144">
        <f>IF(U57="","",IF(U57&gt;=$C$14,"يحقق الهدف","دون الهدف"))</f>
        <v/>
      </c>
    </row>
    <row r="58" ht="19.5" customHeight="1" s="122">
      <c r="A58" s="144" t="n">
        <v>41</v>
      </c>
      <c r="B58" s="147" t="inlineStr">
        <is>
          <t>عرفات الشرائع</t>
        </is>
      </c>
      <c r="C58" s="198" t="inlineStr">
        <is>
          <t>شمال جدة</t>
        </is>
      </c>
      <c r="D58" s="152" t="n">
        <v>1912923</v>
      </c>
      <c r="E58" s="144" t="n">
        <v>58</v>
      </c>
      <c r="F58" s="152">
        <f>IFERROR(D58/E58,"")</f>
        <v/>
      </c>
      <c r="G58" s="152" t="n">
        <v>345000</v>
      </c>
      <c r="H58" s="193">
        <f>IFERROR(D58/G58,"")</f>
        <v/>
      </c>
      <c r="I58" s="193">
        <f>IFERROR(G58/(D58/181),"")</f>
        <v/>
      </c>
      <c r="J58" s="152">
        <f>IFERROR(INDEX($F$8:$F$15,MATCH(C58,$E$8:$E$15,0)),"")</f>
        <v/>
      </c>
      <c r="K58" s="200">
        <f>IFERROR(J58/F58,"")</f>
        <v/>
      </c>
      <c r="L58" s="152" t="n">
        <v>456</v>
      </c>
      <c r="M58" s="152" t="n">
        <v>5</v>
      </c>
      <c r="N58" s="201">
        <f>IFERROR(ROUNDUP(L58/$C$13,0),"")</f>
        <v/>
      </c>
      <c r="O58" s="200">
        <f>IFERROR(IF(M58="",N58,M58)*$C$12*181/30/D58,"")</f>
        <v/>
      </c>
      <c r="P58" s="150" t="n"/>
      <c r="Q58" s="200">
        <f>IFERROR(P58*181/30/D58,"")</f>
        <v/>
      </c>
      <c r="R58" s="200">
        <f>IFERROR((G58/2)*(0.488*$C$7+0.512*$C$8+0*$C$9)*$C$10/(D58*365/181),"")</f>
        <v/>
      </c>
      <c r="S58" s="202">
        <f>IFERROR((0.488*$C$7+0.512*$C$8+0*$C$9)/(1-$C$11)+K58+O58+Q58+R58,"")</f>
        <v/>
      </c>
      <c r="T58" s="200" t="n">
        <v>2.2568</v>
      </c>
      <c r="U58" s="202">
        <f>IFERROR(T58-S58,"")</f>
        <v/>
      </c>
      <c r="V58" s="203">
        <f>IFERROR(U58-$C$14,"")</f>
        <v/>
      </c>
      <c r="W58" s="144">
        <f>IF(U58="","",IF(U58&gt;=$C$14,"يحقق الهدف","دون الهدف"))</f>
        <v/>
      </c>
    </row>
    <row r="59" ht="19.5" customHeight="1" s="122">
      <c r="A59" s="144" t="n">
        <v>42</v>
      </c>
      <c r="B59" s="147" t="inlineStr">
        <is>
          <t>البيعه</t>
        </is>
      </c>
      <c r="C59" s="198" t="inlineStr">
        <is>
          <t>شمال جدة</t>
        </is>
      </c>
      <c r="D59" s="152" t="n">
        <v>1676876</v>
      </c>
      <c r="E59" s="144" t="n">
        <v>52</v>
      </c>
      <c r="F59" s="152">
        <f>IFERROR(D59/E59,"")</f>
        <v/>
      </c>
      <c r="G59" s="152" t="n">
        <v>180000</v>
      </c>
      <c r="H59" s="193">
        <f>IFERROR(D59/G59,"")</f>
        <v/>
      </c>
      <c r="I59" s="193">
        <f>IFERROR(G59/(D59/181),"")</f>
        <v/>
      </c>
      <c r="J59" s="152">
        <f>IFERROR(INDEX($F$8:$F$15,MATCH(C59,$E$8:$E$15,0)),"")</f>
        <v/>
      </c>
      <c r="K59" s="200">
        <f>IFERROR(J59/F59,"")</f>
        <v/>
      </c>
      <c r="L59" s="152" t="n">
        <v>455</v>
      </c>
      <c r="M59" s="152" t="n">
        <v>5</v>
      </c>
      <c r="N59" s="201">
        <f>IFERROR(ROUNDUP(L59/$C$13,0),"")</f>
        <v/>
      </c>
      <c r="O59" s="200">
        <f>IFERROR(IF(M59="",N59,M59)*$C$12*181/30/D59,"")</f>
        <v/>
      </c>
      <c r="P59" s="150" t="n"/>
      <c r="Q59" s="200">
        <f>IFERROR(P59*181/30/D59,"")</f>
        <v/>
      </c>
      <c r="R59" s="200">
        <f>IFERROR((G59/2)*(0.511*$C$7+0.472*$C$8+0.017*$C$9)*$C$10/(D59*365/181),"")</f>
        <v/>
      </c>
      <c r="S59" s="202">
        <f>IFERROR((0.511*$C$7+0.472*$C$8+0.017*$C$9)/(1-$C$11)+K59+O59+Q59+R59,"")</f>
        <v/>
      </c>
      <c r="T59" s="200" t="n">
        <v>2.2333</v>
      </c>
      <c r="U59" s="202">
        <f>IFERROR(T59-S59,"")</f>
        <v/>
      </c>
      <c r="V59" s="203">
        <f>IFERROR(U59-$C$14,"")</f>
        <v/>
      </c>
      <c r="W59" s="144">
        <f>IF(U59="","",IF(U59&gt;=$C$14,"يحقق الهدف","دون الهدف"))</f>
        <v/>
      </c>
    </row>
    <row r="60" ht="19.5" customHeight="1" s="122">
      <c r="A60" s="144" t="n">
        <v>43</v>
      </c>
      <c r="B60" s="147" t="inlineStr">
        <is>
          <t>الكوثر</t>
        </is>
      </c>
      <c r="C60" s="198" t="inlineStr">
        <is>
          <t>شمال جدة</t>
        </is>
      </c>
      <c r="D60" s="152" t="n">
        <v>1637983</v>
      </c>
      <c r="E60" s="144" t="n">
        <v>51</v>
      </c>
      <c r="F60" s="152">
        <f>IFERROR(D60/E60,"")</f>
        <v/>
      </c>
      <c r="G60" s="152" t="n">
        <v>180000</v>
      </c>
      <c r="H60" s="193">
        <f>IFERROR(D60/G60,"")</f>
        <v/>
      </c>
      <c r="I60" s="193">
        <f>IFERROR(G60/(D60/181),"")</f>
        <v/>
      </c>
      <c r="J60" s="152">
        <f>IFERROR(INDEX($F$8:$F$15,MATCH(C60,$E$8:$E$15,0)),"")</f>
        <v/>
      </c>
      <c r="K60" s="200">
        <f>IFERROR(J60/F60,"")</f>
        <v/>
      </c>
      <c r="L60" s="152" t="n">
        <v>333</v>
      </c>
      <c r="M60" s="152" t="n">
        <v>6</v>
      </c>
      <c r="N60" s="201">
        <f>IFERROR(ROUNDUP(L60/$C$13,0),"")</f>
        <v/>
      </c>
      <c r="O60" s="200">
        <f>IFERROR(IF(M60="",N60,M60)*$C$12*181/30/D60,"")</f>
        <v/>
      </c>
      <c r="P60" s="150" t="n"/>
      <c r="Q60" s="200">
        <f>IFERROR(P60*181/30/D60,"")</f>
        <v/>
      </c>
      <c r="R60" s="200">
        <f>IFERROR((G60/2)*(0.449*$C$7+0.259*$C$8+0.292*$C$9)*$C$10/(D60*365/181),"")</f>
        <v/>
      </c>
      <c r="S60" s="202">
        <f>IFERROR((0.449*$C$7+0.259*$C$8+0.292*$C$9)/(1-$C$11)+K60+O60+Q60+R60,"")</f>
        <v/>
      </c>
      <c r="T60" s="200" t="n">
        <v>1.9181</v>
      </c>
      <c r="U60" s="202">
        <f>IFERROR(T60-S60,"")</f>
        <v/>
      </c>
      <c r="V60" s="203">
        <f>IFERROR(U60-$C$14,"")</f>
        <v/>
      </c>
      <c r="W60" s="144">
        <f>IF(U60="","",IF(U60&gt;=$C$14,"يحقق الهدف","دون الهدف"))</f>
        <v/>
      </c>
    </row>
    <row r="61" ht="19.5" customHeight="1" s="122">
      <c r="A61" s="144" t="n">
        <v>44</v>
      </c>
      <c r="B61" s="147" t="inlineStr">
        <is>
          <t>مدخل محايل</t>
        </is>
      </c>
      <c r="C61" s="198" t="inlineStr">
        <is>
          <t>شمال جيزان</t>
        </is>
      </c>
      <c r="D61" s="152" t="n">
        <v>1600415</v>
      </c>
      <c r="E61" s="144" t="n">
        <v>50</v>
      </c>
      <c r="F61" s="152">
        <f>IFERROR(D61/E61,"")</f>
        <v/>
      </c>
      <c r="G61" s="152" t="n">
        <v>195000</v>
      </c>
      <c r="H61" s="193">
        <f>IFERROR(D61/G61,"")</f>
        <v/>
      </c>
      <c r="I61" s="193">
        <f>IFERROR(G61/(D61/181),"")</f>
        <v/>
      </c>
      <c r="J61" s="152">
        <f>IFERROR(INDEX($F$8:$F$15,MATCH(C61,$E$8:$E$15,0)),"")</f>
        <v/>
      </c>
      <c r="K61" s="200">
        <f>IFERROR(J61/F61,"")</f>
        <v/>
      </c>
      <c r="L61" s="152" t="n">
        <v>952</v>
      </c>
      <c r="M61" s="152" t="n">
        <v>7</v>
      </c>
      <c r="N61" s="201">
        <f>IFERROR(ROUNDUP(L61/$C$13,0),"")</f>
        <v/>
      </c>
      <c r="O61" s="200">
        <f>IFERROR(IF(M61="",N61,M61)*$C$12*181/30/D61,"")</f>
        <v/>
      </c>
      <c r="P61" s="150" t="n"/>
      <c r="Q61" s="200">
        <f>IFERROR(P61*181/30/D61,"")</f>
        <v/>
      </c>
      <c r="R61" s="200">
        <f>IFERROR((G61/2)*(0.503*$C$7+0.394*$C$8+0.103*$C$9)*$C$10/(D61*365/181),"")</f>
        <v/>
      </c>
      <c r="S61" s="202">
        <f>IFERROR((0.503*$C$7+0.394*$C$8+0.103*$C$9)/(1-$C$11)+K61+O61+Q61+R61,"")</f>
        <v/>
      </c>
      <c r="T61" s="200" t="n">
        <v>2.133</v>
      </c>
      <c r="U61" s="202">
        <f>IFERROR(T61-S61,"")</f>
        <v/>
      </c>
      <c r="V61" s="203">
        <f>IFERROR(U61-$C$14,"")</f>
        <v/>
      </c>
      <c r="W61" s="144">
        <f>IF(U61="","",IF(U61&gt;=$C$14,"يحقق الهدف","دون الهدف"))</f>
        <v/>
      </c>
    </row>
    <row r="62" ht="19.5" customHeight="1" s="122">
      <c r="A62" s="144" t="n">
        <v>45</v>
      </c>
      <c r="B62" s="147" t="inlineStr">
        <is>
          <t>العريفي</t>
        </is>
      </c>
      <c r="C62" s="198" t="inlineStr">
        <is>
          <t>محطة القصيم</t>
        </is>
      </c>
      <c r="D62" s="152" t="n">
        <v>1428185</v>
      </c>
      <c r="E62" s="144" t="n">
        <v>45</v>
      </c>
      <c r="F62" s="152">
        <f>IFERROR(D62/E62,"")</f>
        <v/>
      </c>
      <c r="G62" s="152" t="n">
        <v>240000</v>
      </c>
      <c r="H62" s="193">
        <f>IFERROR(D62/G62,"")</f>
        <v/>
      </c>
      <c r="I62" s="193">
        <f>IFERROR(G62/(D62/181),"")</f>
        <v/>
      </c>
      <c r="J62" s="152">
        <f>IFERROR(INDEX($F$8:$F$15,MATCH(C62,$E$8:$E$15,0)),"")</f>
        <v/>
      </c>
      <c r="K62" s="200">
        <f>IFERROR(J62/F62,"")</f>
        <v/>
      </c>
      <c r="L62" s="152" t="n">
        <v>327</v>
      </c>
      <c r="M62" s="152" t="n">
        <v>6</v>
      </c>
      <c r="N62" s="201">
        <f>IFERROR(ROUNDUP(L62/$C$13,0),"")</f>
        <v/>
      </c>
      <c r="O62" s="200">
        <f>IFERROR(IF(M62="",N62,M62)*$C$12*181/30/D62,"")</f>
        <v/>
      </c>
      <c r="P62" s="150" t="n"/>
      <c r="Q62" s="200">
        <f>IFERROR(P62*181/30/D62,"")</f>
        <v/>
      </c>
      <c r="R62" s="200">
        <f>IFERROR((G62/2)*(0.576*$C$7+0.347*$C$8+0.077*$C$9)*$C$10/(D62*365/181),"")</f>
        <v/>
      </c>
      <c r="S62" s="202">
        <f>IFERROR((0.576*$C$7+0.347*$C$8+0.077*$C$9)/(1-$C$11)+K62+O62+Q62+R62,"")</f>
        <v/>
      </c>
      <c r="T62" s="200" t="n">
        <v>2.1527</v>
      </c>
      <c r="U62" s="202">
        <f>IFERROR(T62-S62,"")</f>
        <v/>
      </c>
      <c r="V62" s="203">
        <f>IFERROR(U62-$C$14,"")</f>
        <v/>
      </c>
      <c r="W62" s="144">
        <f>IF(U62="","",IF(U62&gt;=$C$14,"يحقق الهدف","دون الهدف"))</f>
        <v/>
      </c>
    </row>
    <row r="63" ht="19.5" customHeight="1" s="122">
      <c r="A63" s="144" t="n">
        <v>46</v>
      </c>
      <c r="B63" s="147" t="inlineStr">
        <is>
          <t>المودة</t>
        </is>
      </c>
      <c r="C63" s="198" t="inlineStr">
        <is>
          <t>محطة جازان</t>
        </is>
      </c>
      <c r="D63" s="152" t="n">
        <v>1280084</v>
      </c>
      <c r="E63" s="144" t="n">
        <v>40</v>
      </c>
      <c r="F63" s="152">
        <f>IFERROR(D63/E63,"")</f>
        <v/>
      </c>
      <c r="G63" s="152" t="n">
        <v>240000</v>
      </c>
      <c r="H63" s="193">
        <f>IFERROR(D63/G63,"")</f>
        <v/>
      </c>
      <c r="I63" s="193">
        <f>IFERROR(G63/(D63/181),"")</f>
        <v/>
      </c>
      <c r="J63" s="152">
        <f>IFERROR(INDEX($F$8:$F$15,MATCH(C63,$E$8:$E$15,0)),"")</f>
        <v/>
      </c>
      <c r="K63" s="200">
        <f>IFERROR(J63/F63,"")</f>
        <v/>
      </c>
      <c r="L63" s="152" t="n">
        <v>281</v>
      </c>
      <c r="M63" s="152" t="n">
        <v>4</v>
      </c>
      <c r="N63" s="201">
        <f>IFERROR(ROUNDUP(L63/$C$13,0),"")</f>
        <v/>
      </c>
      <c r="O63" s="200">
        <f>IFERROR(IF(M63="",N63,M63)*$C$12*181/30/D63,"")</f>
        <v/>
      </c>
      <c r="P63" s="150" t="n"/>
      <c r="Q63" s="200">
        <f>IFERROR(P63*181/30/D63,"")</f>
        <v/>
      </c>
      <c r="R63" s="200">
        <f>IFERROR((G63/2)*(0.427*$C$7+0.393*$C$8+0.18*$C$9)*$C$10/(D63*365/181),"")</f>
        <v/>
      </c>
      <c r="S63" s="202">
        <f>IFERROR((0.427*$C$7+0.393*$C$8+0.18*$C$9)/(1-$C$11)+K63+O63+Q63+R63,"")</f>
        <v/>
      </c>
      <c r="T63" s="200" t="n">
        <v>2.0535</v>
      </c>
      <c r="U63" s="202">
        <f>IFERROR(T63-S63,"")</f>
        <v/>
      </c>
      <c r="V63" s="203">
        <f>IFERROR(U63-$C$14,"")</f>
        <v/>
      </c>
      <c r="W63" s="144">
        <f>IF(U63="","",IF(U63&gt;=$C$14,"يحقق الهدف","دون الهدف"))</f>
        <v/>
      </c>
    </row>
    <row r="64" ht="19.5" customHeight="1" s="122">
      <c r="A64" s="144" t="n">
        <v>47</v>
      </c>
      <c r="B64" s="147" t="inlineStr">
        <is>
          <t>القسوم</t>
        </is>
      </c>
      <c r="C64" s="198" t="inlineStr">
        <is>
          <t>شمال جيزان</t>
        </is>
      </c>
      <c r="D64" s="152" t="n">
        <v>1248285</v>
      </c>
      <c r="E64" s="144" t="n">
        <v>39</v>
      </c>
      <c r="F64" s="152">
        <f>IFERROR(D64/E64,"")</f>
        <v/>
      </c>
      <c r="G64" s="152" t="n">
        <v>300000</v>
      </c>
      <c r="H64" s="193">
        <f>IFERROR(D64/G64,"")</f>
        <v/>
      </c>
      <c r="I64" s="193">
        <f>IFERROR(G64/(D64/181),"")</f>
        <v/>
      </c>
      <c r="J64" s="152">
        <f>IFERROR(INDEX($F$8:$F$15,MATCH(C64,$E$8:$E$15,0)),"")</f>
        <v/>
      </c>
      <c r="K64" s="200">
        <f>IFERROR(J64/F64,"")</f>
        <v/>
      </c>
      <c r="L64" s="152" t="n">
        <v>800</v>
      </c>
      <c r="M64" s="152" t="n">
        <v>7</v>
      </c>
      <c r="N64" s="201">
        <f>IFERROR(ROUNDUP(L64/$C$13,0),"")</f>
        <v/>
      </c>
      <c r="O64" s="200">
        <f>IFERROR(IF(M64="",N64,M64)*$C$12*181/30/D64,"")</f>
        <v/>
      </c>
      <c r="P64" s="150" t="n"/>
      <c r="Q64" s="200">
        <f>IFERROR(P64*181/30/D64,"")</f>
        <v/>
      </c>
      <c r="R64" s="200">
        <f>IFERROR((G64/2)*(0.447*$C$7+0.497*$C$8+0.056*$C$9)*$C$10/(D64*365/181),"")</f>
        <v/>
      </c>
      <c r="S64" s="202">
        <f>IFERROR((0.447*$C$7+0.497*$C$8+0.056*$C$9)/(1-$C$11)+K64+O64+Q64+R64,"")</f>
        <v/>
      </c>
      <c r="T64" s="200" t="n">
        <v>2.1969</v>
      </c>
      <c r="U64" s="202">
        <f>IFERROR(T64-S64,"")</f>
        <v/>
      </c>
      <c r="V64" s="203">
        <f>IFERROR(U64-$C$14,"")</f>
        <v/>
      </c>
      <c r="W64" s="144">
        <f>IF(U64="","",IF(U64&gt;=$C$14,"يحقق الهدف","دون الهدف"))</f>
        <v/>
      </c>
    </row>
    <row r="65" ht="19.5" customHeight="1" s="122">
      <c r="A65" s="144" t="n">
        <v>48</v>
      </c>
      <c r="B65" s="147" t="inlineStr">
        <is>
          <t>مسارات صامطة</t>
        </is>
      </c>
      <c r="C65" s="198" t="inlineStr">
        <is>
          <t>محطة جازان</t>
        </is>
      </c>
      <c r="D65" s="152" t="n">
        <v>1248165</v>
      </c>
      <c r="E65" s="144" t="n">
        <v>39</v>
      </c>
      <c r="F65" s="152">
        <f>IFERROR(D65/E65,"")</f>
        <v/>
      </c>
      <c r="G65" s="152" t="n">
        <v>180000</v>
      </c>
      <c r="H65" s="193">
        <f>IFERROR(D65/G65,"")</f>
        <v/>
      </c>
      <c r="I65" s="193">
        <f>IFERROR(G65/(D65/181),"")</f>
        <v/>
      </c>
      <c r="J65" s="152">
        <f>IFERROR(INDEX($F$8:$F$15,MATCH(C65,$E$8:$E$15,0)),"")</f>
        <v/>
      </c>
      <c r="K65" s="200">
        <f>IFERROR(J65/F65,"")</f>
        <v/>
      </c>
      <c r="L65" s="152" t="n">
        <v>408</v>
      </c>
      <c r="M65" s="152" t="n">
        <v>4</v>
      </c>
      <c r="N65" s="201">
        <f>IFERROR(ROUNDUP(L65/$C$13,0),"")</f>
        <v/>
      </c>
      <c r="O65" s="200">
        <f>IFERROR(IF(M65="",N65,M65)*$C$12*181/30/D65,"")</f>
        <v/>
      </c>
      <c r="P65" s="150" t="n"/>
      <c r="Q65" s="200">
        <f>IFERROR(P65*181/30/D65,"")</f>
        <v/>
      </c>
      <c r="R65" s="200">
        <f>IFERROR((G65/2)*(0.459*$C$7+0.348*$C$8+0.194*$C$9)*$C$10/(D65*365/181),"")</f>
        <v/>
      </c>
      <c r="S65" s="202">
        <f>IFERROR((0.459*$C$7+0.348*$C$8+0.194*$C$9)/(1-$C$11)+K65+O65+Q65+R65,"")</f>
        <v/>
      </c>
      <c r="T65" s="200" t="n">
        <v>2.0346</v>
      </c>
      <c r="U65" s="202">
        <f>IFERROR(T65-S65,"")</f>
        <v/>
      </c>
      <c r="V65" s="203">
        <f>IFERROR(U65-$C$14,"")</f>
        <v/>
      </c>
      <c r="W65" s="144">
        <f>IF(U65="","",IF(U65&gt;=$C$14,"يحقق الهدف","دون الهدف"))</f>
        <v/>
      </c>
    </row>
    <row r="66" ht="19.5" customHeight="1" s="122">
      <c r="A66" s="144" t="n">
        <v>49</v>
      </c>
      <c r="B66" s="147" t="inlineStr">
        <is>
          <t>الاطاولة القرى</t>
        </is>
      </c>
      <c r="C66" s="198" t="inlineStr">
        <is>
          <t>شمال جدة</t>
        </is>
      </c>
      <c r="D66" s="152" t="n">
        <v>768768</v>
      </c>
      <c r="E66" s="144" t="n">
        <v>24</v>
      </c>
      <c r="F66" s="152">
        <f>IFERROR(D66/E66,"")</f>
        <v/>
      </c>
      <c r="G66" s="152" t="n">
        <v>126000</v>
      </c>
      <c r="H66" s="193">
        <f>IFERROR(D66/G66,"")</f>
        <v/>
      </c>
      <c r="I66" s="193">
        <f>IFERROR(G66/(D66/181),"")</f>
        <v/>
      </c>
      <c r="J66" s="152">
        <f>IFERROR(INDEX($F$8:$F$15,MATCH(C66,$E$8:$E$15,0)),"")</f>
        <v/>
      </c>
      <c r="K66" s="200">
        <f>IFERROR(J66/F66,"")</f>
        <v/>
      </c>
      <c r="L66" s="144" t="n"/>
      <c r="M66" s="152" t="n">
        <v>4</v>
      </c>
      <c r="N66" s="152">
        <f>IFERROR(ROUNDUP(L66/$C$13,0),"")</f>
        <v/>
      </c>
      <c r="O66" s="200">
        <f>IFERROR(IF(M66="",N66,M66)*$C$12*181/30/D66,"")</f>
        <v/>
      </c>
      <c r="P66" s="150" t="n"/>
      <c r="Q66" s="200">
        <f>IFERROR(P66*181/30/D66,"")</f>
        <v/>
      </c>
      <c r="R66" s="200">
        <f>IFERROR((G66/2)*$C$7*$C$10/(D66*365/181),"")</f>
        <v/>
      </c>
      <c r="S66" s="202">
        <f>IFERROR($C$7/(1-$C$11)+K66+O66+Q66+R66,"")</f>
        <v/>
      </c>
      <c r="T66" s="144" t="n"/>
      <c r="U66" s="202">
        <f>IFERROR(T66-S66,"")</f>
        <v/>
      </c>
      <c r="V66" s="203">
        <f>IFERROR(U66-$C$14,"")</f>
        <v/>
      </c>
      <c r="W66" s="144">
        <f>IF(U66="","",IF(U66&gt;=$C$14,"يحقق الهدف","دون الهدف"))</f>
        <v/>
      </c>
    </row>
    <row r="67" ht="19.5" customHeight="1" s="122">
      <c r="A67" s="144" t="n">
        <v>50</v>
      </c>
      <c r="B67" s="147" t="inlineStr">
        <is>
          <t>المركب</t>
        </is>
      </c>
      <c r="C67" s="198" t="inlineStr">
        <is>
          <t>محطة ابها</t>
        </is>
      </c>
      <c r="D67" s="152" t="n">
        <v>96032</v>
      </c>
      <c r="E67" s="144" t="n">
        <v>3</v>
      </c>
      <c r="F67" s="152">
        <f>IFERROR(D67/E67,"")</f>
        <v/>
      </c>
      <c r="G67" s="152" t="n">
        <v>195000</v>
      </c>
      <c r="H67" s="193">
        <f>IFERROR(D67/G67,"")</f>
        <v/>
      </c>
      <c r="I67" s="193">
        <f>IFERROR(G67/(D67/181),"")</f>
        <v/>
      </c>
      <c r="J67" s="152">
        <f>IFERROR(INDEX($F$8:$F$15,MATCH(C67,$E$8:$E$15,0)),"")</f>
        <v/>
      </c>
      <c r="K67" s="200">
        <f>IFERROR(J67/F67,"")</f>
        <v/>
      </c>
      <c r="L67" s="152" t="n">
        <v>154</v>
      </c>
      <c r="M67" s="152" t="n">
        <v>5</v>
      </c>
      <c r="N67" s="201">
        <f>IFERROR(ROUNDUP(L67/$C$13,0),"")</f>
        <v/>
      </c>
      <c r="O67" s="200">
        <f>IFERROR(IF(M67="",N67,M67)*$C$12*181/30/D67,"")</f>
        <v/>
      </c>
      <c r="P67" s="150" t="n"/>
      <c r="Q67" s="200">
        <f>IFERROR(P67*181/30/D67,"")</f>
        <v/>
      </c>
      <c r="R67" s="200">
        <f>IFERROR((G67/2)*(0.503*$C$7+0.33*$C$8+0.167*$C$9)*$C$10/(D67*365/181),"")</f>
        <v/>
      </c>
      <c r="S67" s="202">
        <f>IFERROR((0.503*$C$7+0.33*$C$8+0.167*$C$9)/(1-$C$11)+K67+O67+Q67+R67,"")</f>
        <v/>
      </c>
      <c r="T67" s="200" t="n">
        <v>2.0575</v>
      </c>
      <c r="U67" s="202">
        <f>IFERROR(T67-S67,"")</f>
        <v/>
      </c>
      <c r="V67" s="203">
        <f>IFERROR(U67-$C$14,"")</f>
        <v/>
      </c>
      <c r="W67" s="144">
        <f>IF(U67="","",IF(U67&gt;=$C$14,"يحقق الهدف","دون الهدف"))</f>
        <v/>
      </c>
    </row>
    <row r="68" ht="15" customHeight="1" s="122">
      <c r="A68" s="155" t="n"/>
      <c r="B68" s="156" t="inlineStr">
        <is>
          <t>الإجمالي / المتوسط</t>
        </is>
      </c>
      <c r="C68" s="155" t="n"/>
      <c r="D68" s="157">
        <f>SUM(D18:D67)</f>
        <v/>
      </c>
      <c r="E68" s="157">
        <f>SUM(E18:E67)</f>
        <v/>
      </c>
      <c r="F68" s="157">
        <f>IFERROR(D68/E68,"")</f>
        <v/>
      </c>
      <c r="G68" s="157">
        <f>SUM(G18:G67)</f>
        <v/>
      </c>
      <c r="H68" s="155" t="n"/>
      <c r="I68" s="155" t="n"/>
      <c r="J68" s="155" t="n"/>
      <c r="K68" s="155" t="n"/>
      <c r="L68" s="157">
        <f>SUM(L18:L67)</f>
        <v/>
      </c>
      <c r="M68" s="157">
        <f>SUM(M18:M67)</f>
        <v/>
      </c>
      <c r="N68" s="157">
        <f>SUM(N18:N67)</f>
        <v/>
      </c>
      <c r="O68" s="155" t="n"/>
      <c r="P68" s="155" t="n"/>
      <c r="Q68" s="155" t="n"/>
      <c r="R68" s="155" t="n"/>
      <c r="S68" s="204">
        <f>IFERROR(SUMPRODUCT(D18:D67,S18:S67)/D68,"")</f>
        <v/>
      </c>
      <c r="T68" s="124" t="n"/>
      <c r="U68" s="124" t="n"/>
      <c r="V68" s="124" t="n"/>
      <c r="W68" s="124" t="n"/>
    </row>
    <row r="69">
      <c r="A69" s="124" t="n"/>
      <c r="B69" s="124" t="n"/>
      <c r="C69" s="124" t="n"/>
      <c r="D69" s="124" t="n"/>
      <c r="E69" s="124" t="n"/>
      <c r="F69" s="124" t="n"/>
      <c r="G69" s="124" t="n"/>
      <c r="H69" s="124" t="n"/>
      <c r="I69" s="124" t="n"/>
      <c r="J69" s="124" t="n"/>
      <c r="K69" s="124" t="n"/>
      <c r="L69" s="124" t="n"/>
      <c r="M69" s="124" t="n"/>
      <c r="N69" s="124" t="n"/>
      <c r="O69" s="124" t="n"/>
      <c r="P69" s="124" t="n"/>
      <c r="Q69" s="124" t="n"/>
      <c r="R69" s="124" t="n"/>
      <c r="S69" s="124" t="n"/>
      <c r="T69" s="124" t="n"/>
      <c r="U69" s="124" t="n"/>
      <c r="V69" s="124" t="n"/>
      <c r="W69" s="124" t="n"/>
    </row>
    <row r="70" ht="15" customHeight="1" s="122">
      <c r="A70" s="124" t="n"/>
      <c r="B70" s="148" t="inlineStr">
        <is>
          <t>محسوب من البيانات</t>
        </is>
      </c>
      <c r="C70" s="124" t="n"/>
      <c r="D70" s="124" t="n"/>
      <c r="E70" s="124" t="n"/>
      <c r="F70" s="124" t="n"/>
      <c r="G70" s="124" t="n"/>
      <c r="H70" s="124" t="n"/>
      <c r="I70" s="124" t="n"/>
      <c r="J70" s="124" t="n"/>
      <c r="K70" s="124" t="n"/>
      <c r="L70" s="124" t="n"/>
      <c r="M70" s="124" t="n"/>
      <c r="N70" s="124" t="n"/>
      <c r="O70" s="124" t="n"/>
      <c r="P70" s="124" t="n"/>
      <c r="Q70" s="124" t="n"/>
      <c r="R70" s="124" t="n"/>
      <c r="S70" s="124" t="n"/>
      <c r="T70" s="124" t="n"/>
      <c r="U70" s="124" t="n"/>
      <c r="V70" s="124" t="n"/>
      <c r="W70" s="124" t="n"/>
    </row>
    <row r="71" ht="15.75" customHeight="1" s="122">
      <c r="A71" s="124" t="n"/>
      <c r="B71" s="124" t="n"/>
      <c r="C71" s="149" t="inlineStr">
        <is>
          <t>•  اللترات · الرحلات · لتر لكل رحلة · سعة الخزانات</t>
        </is>
      </c>
      <c r="D71" s="124" t="n"/>
      <c r="E71" s="124" t="n"/>
      <c r="F71" s="124" t="n"/>
      <c r="G71" s="124" t="n"/>
      <c r="H71" s="124" t="n"/>
      <c r="I71" s="124" t="n"/>
      <c r="J71" s="124" t="n"/>
      <c r="K71" s="124" t="n"/>
      <c r="L71" s="124" t="n"/>
      <c r="M71" s="124" t="n"/>
      <c r="N71" s="124" t="n"/>
      <c r="O71" s="124" t="n"/>
      <c r="P71" s="124" t="n"/>
      <c r="Q71" s="124" t="n"/>
      <c r="R71" s="124" t="n"/>
      <c r="S71" s="124" t="n"/>
      <c r="T71" s="124" t="n"/>
      <c r="U71" s="124" t="n"/>
      <c r="V71" s="124" t="n"/>
      <c r="W71" s="124" t="n"/>
    </row>
    <row r="72" ht="15.75" customHeight="1" s="122">
      <c r="A72" s="124" t="n"/>
      <c r="B72" s="124" t="n"/>
      <c r="C72" s="149" t="inlineStr">
        <is>
          <t>•  الدوران · أيام المخزون · مصدر التوريد · العمالة الفعلية</t>
        </is>
      </c>
      <c r="D72" s="124" t="n"/>
      <c r="E72" s="124" t="n"/>
      <c r="F72" s="124" t="n"/>
      <c r="G72" s="124" t="n"/>
      <c r="H72" s="124" t="n"/>
      <c r="I72" s="124" t="n"/>
      <c r="J72" s="124" t="n"/>
      <c r="K72" s="124" t="n"/>
      <c r="L72" s="124" t="n"/>
      <c r="M72" s="124" t="n"/>
      <c r="N72" s="124" t="n"/>
      <c r="O72" s="124" t="n"/>
      <c r="P72" s="124" t="n"/>
      <c r="Q72" s="124" t="n"/>
      <c r="R72" s="124" t="n"/>
      <c r="S72" s="124" t="n"/>
      <c r="T72" s="124" t="n"/>
      <c r="U72" s="124" t="n"/>
      <c r="V72" s="124" t="n"/>
      <c r="W72" s="124" t="n"/>
    </row>
    <row r="73">
      <c r="A73" s="124" t="n"/>
      <c r="B73" s="124" t="n"/>
      <c r="C73" s="124" t="n"/>
      <c r="D73" s="124" t="n"/>
      <c r="E73" s="124" t="n"/>
      <c r="F73" s="124" t="n"/>
      <c r="G73" s="124" t="n"/>
      <c r="H73" s="124" t="n"/>
      <c r="I73" s="124" t="n"/>
      <c r="J73" s="124" t="n"/>
      <c r="K73" s="124" t="n"/>
      <c r="L73" s="124" t="n"/>
      <c r="M73" s="124" t="n"/>
      <c r="N73" s="124" t="n"/>
      <c r="O73" s="124" t="n"/>
      <c r="P73" s="124" t="n"/>
      <c r="Q73" s="124" t="n"/>
      <c r="R73" s="124" t="n"/>
      <c r="S73" s="124" t="n"/>
      <c r="T73" s="124" t="n"/>
      <c r="U73" s="124" t="n"/>
      <c r="V73" s="124" t="n"/>
      <c r="W73" s="124" t="n"/>
    </row>
    <row r="74" ht="15" customHeight="1" s="122">
      <c r="A74" s="124" t="n"/>
      <c r="B74" s="164" t="inlineStr">
        <is>
          <t>مطلوب لإكمال الحساب</t>
        </is>
      </c>
      <c r="C74" s="124" t="n"/>
      <c r="D74" s="124" t="n"/>
      <c r="E74" s="124" t="n"/>
      <c r="F74" s="124" t="n"/>
      <c r="G74" s="124" t="n"/>
      <c r="H74" s="124" t="n"/>
      <c r="I74" s="124" t="n"/>
      <c r="J74" s="124" t="n"/>
      <c r="K74" s="124" t="n"/>
      <c r="L74" s="124" t="n"/>
      <c r="M74" s="124" t="n"/>
      <c r="N74" s="124" t="n"/>
      <c r="O74" s="124" t="n"/>
      <c r="P74" s="124" t="n"/>
      <c r="Q74" s="124" t="n"/>
      <c r="R74" s="124" t="n"/>
      <c r="S74" s="124" t="n"/>
      <c r="T74" s="124" t="n"/>
      <c r="U74" s="124" t="n"/>
      <c r="V74" s="124" t="n"/>
      <c r="W74" s="124" t="n"/>
    </row>
    <row r="75" ht="15.75" customHeight="1" s="122">
      <c r="A75" s="124" t="n"/>
      <c r="B75" s="124" t="n"/>
      <c r="C75" s="149" t="inlineStr">
        <is>
          <t>•  سعر الشراء لكل منتج · هل يشمل النقل والضريبة؟</t>
        </is>
      </c>
      <c r="D75" s="124" t="n"/>
      <c r="E75" s="124" t="n"/>
      <c r="F75" s="124" t="n"/>
      <c r="G75" s="124" t="n"/>
      <c r="H75" s="124" t="n"/>
      <c r="I75" s="124" t="n"/>
      <c r="J75" s="124" t="n"/>
      <c r="K75" s="124" t="n"/>
      <c r="L75" s="124" t="n"/>
      <c r="M75" s="124" t="n"/>
      <c r="N75" s="124" t="n"/>
      <c r="O75" s="124" t="n"/>
      <c r="P75" s="124" t="n"/>
      <c r="Q75" s="124" t="n"/>
      <c r="R75" s="124" t="n"/>
      <c r="S75" s="124" t="n"/>
      <c r="T75" s="124" t="n"/>
      <c r="U75" s="124" t="n"/>
      <c r="V75" s="124" t="n"/>
      <c r="W75" s="124" t="n"/>
    </row>
    <row r="76" ht="15.75" customHeight="1" s="122">
      <c r="A76" s="124" t="n"/>
      <c r="B76" s="124" t="n"/>
      <c r="C76" s="149" t="inlineStr">
        <is>
          <t>•  أجرة الرحلة لكل مسار — الفعلي المعروف 623 ريال</t>
        </is>
      </c>
      <c r="D76" s="124" t="n"/>
      <c r="E76" s="124" t="n"/>
      <c r="F76" s="124" t="n"/>
      <c r="G76" s="124" t="n"/>
      <c r="H76" s="124" t="n"/>
      <c r="I76" s="124" t="n"/>
      <c r="J76" s="124" t="n"/>
      <c r="K76" s="124" t="n"/>
      <c r="L76" s="124" t="n"/>
      <c r="M76" s="124" t="n"/>
      <c r="N76" s="124" t="n"/>
      <c r="O76" s="124" t="n"/>
      <c r="P76" s="124" t="n"/>
      <c r="Q76" s="124" t="n"/>
      <c r="R76" s="124" t="n"/>
      <c r="S76" s="124" t="n"/>
      <c r="T76" s="124" t="n"/>
      <c r="U76" s="124" t="n"/>
      <c r="V76" s="124" t="n"/>
      <c r="W76" s="124" t="n"/>
    </row>
    <row r="77" ht="15.75" customHeight="1" s="122">
      <c r="A77" s="124" t="n"/>
      <c r="B77" s="124" t="n"/>
      <c r="C77" s="149" t="inlineStr">
        <is>
          <t>•  تكاليف التشغيل وقاعدة توزيعها · معدل كلفة رأس المال</t>
        </is>
      </c>
      <c r="D77" s="124" t="n"/>
      <c r="E77" s="124" t="n"/>
      <c r="F77" s="124" t="n"/>
      <c r="G77" s="124" t="n"/>
      <c r="H77" s="124" t="n"/>
      <c r="I77" s="124" t="n"/>
      <c r="J77" s="124" t="n"/>
      <c r="K77" s="124" t="n"/>
      <c r="L77" s="124" t="n"/>
      <c r="M77" s="124" t="n"/>
      <c r="N77" s="124" t="n"/>
      <c r="O77" s="124" t="n"/>
      <c r="P77" s="124" t="n"/>
      <c r="Q77" s="124" t="n"/>
      <c r="R77" s="124" t="n"/>
      <c r="S77" s="124" t="n"/>
      <c r="T77" s="124" t="n"/>
      <c r="U77" s="124" t="n"/>
      <c r="V77" s="124" t="n"/>
      <c r="W77" s="124" t="n"/>
    </row>
    <row r="78">
      <c r="A78" s="124" t="n"/>
      <c r="B78" s="124" t="n"/>
      <c r="C78" s="124" t="n"/>
      <c r="D78" s="124" t="n"/>
      <c r="E78" s="124" t="n"/>
      <c r="F78" s="124" t="n"/>
      <c r="G78" s="124" t="n"/>
      <c r="H78" s="124" t="n"/>
      <c r="I78" s="124" t="n"/>
      <c r="J78" s="124" t="n"/>
      <c r="K78" s="124" t="n"/>
      <c r="L78" s="124" t="n"/>
      <c r="M78" s="124" t="n"/>
      <c r="N78" s="124" t="n"/>
      <c r="O78" s="124" t="n"/>
      <c r="P78" s="124" t="n"/>
      <c r="Q78" s="124" t="n"/>
      <c r="R78" s="124" t="n"/>
      <c r="S78" s="124" t="n"/>
      <c r="T78" s="124" t="n"/>
      <c r="U78" s="124" t="n"/>
      <c r="V78" s="124" t="n"/>
      <c r="W78" s="124" t="n"/>
    </row>
    <row r="79" ht="15" customHeight="1" s="122">
      <c r="A79" s="124" t="n"/>
      <c r="B79" s="148" t="inlineStr">
        <is>
          <t>نتائج ثابتة</t>
        </is>
      </c>
      <c r="C79" s="124" t="n"/>
      <c r="D79" s="124" t="n"/>
      <c r="E79" s="124" t="n"/>
      <c r="F79" s="124" t="n"/>
      <c r="G79" s="124" t="n"/>
      <c r="H79" s="124" t="n"/>
      <c r="I79" s="124" t="n"/>
      <c r="J79" s="124" t="n"/>
      <c r="K79" s="124" t="n"/>
      <c r="L79" s="124" t="n"/>
      <c r="M79" s="124" t="n"/>
      <c r="N79" s="124" t="n"/>
      <c r="O79" s="124" t="n"/>
      <c r="P79" s="124" t="n"/>
      <c r="Q79" s="124" t="n"/>
      <c r="R79" s="124" t="n"/>
      <c r="S79" s="124" t="n"/>
      <c r="T79" s="124" t="n"/>
      <c r="U79" s="124" t="n"/>
      <c r="V79" s="124" t="n"/>
      <c r="W79" s="124" t="n"/>
    </row>
    <row r="80" ht="15.75" customHeight="1" s="122">
      <c r="A80" s="124" t="n"/>
      <c r="B80" s="124" t="n"/>
      <c r="C80" s="149" t="inlineStr">
        <is>
          <t>•  كل رحلة حمولة كاملة — لا وفر ممكن في التحميل</t>
        </is>
      </c>
      <c r="D80" s="124" t="n"/>
      <c r="E80" s="124" t="n"/>
      <c r="F80" s="124" t="n"/>
      <c r="G80" s="124" t="n"/>
      <c r="H80" s="124" t="n"/>
      <c r="I80" s="124" t="n"/>
      <c r="J80" s="124" t="n"/>
      <c r="K80" s="124" t="n"/>
      <c r="L80" s="124" t="n"/>
      <c r="M80" s="124" t="n"/>
      <c r="N80" s="124" t="n"/>
      <c r="O80" s="124" t="n"/>
      <c r="P80" s="124" t="n"/>
      <c r="Q80" s="124" t="n"/>
      <c r="R80" s="124" t="n"/>
      <c r="S80" s="124" t="n"/>
      <c r="T80" s="124" t="n"/>
      <c r="U80" s="124" t="n"/>
      <c r="V80" s="124" t="n"/>
      <c r="W80" s="124" t="n"/>
    </row>
    <row r="81" ht="15.75" customHeight="1" s="122">
      <c r="A81" s="124" t="n"/>
      <c r="B81" s="124" t="n"/>
      <c r="C81" s="149" t="inlineStr">
        <is>
          <t>•  التفاوت الحقيقي في المسافة وأيام المخزون</t>
        </is>
      </c>
      <c r="D81" s="124" t="n"/>
      <c r="E81" s="124" t="n"/>
      <c r="F81" s="124" t="n"/>
      <c r="G81" s="124" t="n"/>
      <c r="H81" s="124" t="n"/>
      <c r="I81" s="124" t="n"/>
      <c r="J81" s="124" t="n"/>
      <c r="K81" s="124" t="n"/>
      <c r="L81" s="124" t="n"/>
      <c r="M81" s="124" t="n"/>
      <c r="N81" s="124" t="n"/>
      <c r="O81" s="124" t="n"/>
      <c r="P81" s="124" t="n"/>
      <c r="Q81" s="124" t="n"/>
      <c r="R81" s="124" t="n"/>
      <c r="S81" s="124" t="n"/>
      <c r="T81" s="124" t="n"/>
      <c r="U81" s="124" t="n"/>
      <c r="V81" s="124" t="n"/>
      <c r="W81" s="124" t="n"/>
    </row>
    <row r="82" ht="15.75" customHeight="1" s="122">
      <c r="A82" s="124" t="n"/>
      <c r="B82" s="124" t="n"/>
      <c r="C82" s="149" t="inlineStr">
        <is>
          <t>•  85.3% من التوريد من «شمال جدة» — تركّز يبسّط التفاوض ويرفع المخاطرة</t>
        </is>
      </c>
      <c r="D82" s="124" t="n"/>
      <c r="E82" s="124" t="n"/>
      <c r="F82" s="124" t="n"/>
      <c r="G82" s="124" t="n"/>
      <c r="H82" s="124" t="n"/>
      <c r="I82" s="124" t="n"/>
      <c r="J82" s="124" t="n"/>
      <c r="K82" s="124" t="n"/>
      <c r="L82" s="124" t="n"/>
      <c r="M82" s="124" t="n"/>
      <c r="N82" s="124" t="n"/>
      <c r="O82" s="124" t="n"/>
      <c r="P82" s="124" t="n"/>
      <c r="Q82" s="124" t="n"/>
      <c r="R82" s="124" t="n"/>
      <c r="S82" s="124" t="n"/>
      <c r="T82" s="124" t="n"/>
      <c r="U82" s="124" t="n"/>
      <c r="V82" s="124" t="n"/>
      <c r="W82" s="124" t="n"/>
    </row>
    <row r="83">
      <c r="A83" s="124" t="n"/>
      <c r="B83" s="124" t="n"/>
      <c r="C83" s="124" t="n"/>
      <c r="D83" s="124" t="n"/>
      <c r="E83" s="124" t="n"/>
      <c r="F83" s="124" t="n"/>
      <c r="G83" s="124" t="n"/>
      <c r="H83" s="124" t="n"/>
      <c r="I83" s="124" t="n"/>
      <c r="J83" s="124" t="n"/>
      <c r="K83" s="124" t="n"/>
      <c r="L83" s="124" t="n"/>
      <c r="M83" s="124" t="n"/>
      <c r="N83" s="124" t="n"/>
      <c r="O83" s="124" t="n"/>
      <c r="P83" s="124" t="n"/>
      <c r="Q83" s="124" t="n"/>
      <c r="R83" s="124" t="n"/>
      <c r="S83" s="124" t="n"/>
      <c r="T83" s="124" t="n"/>
      <c r="U83" s="124" t="n"/>
      <c r="V83" s="124" t="n"/>
      <c r="W83" s="124" t="n"/>
    </row>
    <row r="84" ht="15" customHeight="1" s="122">
      <c r="A84" s="124" t="n"/>
      <c r="B84" s="164" t="inlineStr">
        <is>
          <t>النطاق</t>
        </is>
      </c>
      <c r="C84" s="124" t="n"/>
      <c r="D84" s="124" t="n"/>
      <c r="E84" s="124" t="n"/>
      <c r="F84" s="124" t="n"/>
      <c r="G84" s="124" t="n"/>
      <c r="H84" s="124" t="n"/>
      <c r="I84" s="124" t="n"/>
      <c r="J84" s="124" t="n"/>
      <c r="K84" s="124" t="n"/>
      <c r="L84" s="124" t="n"/>
      <c r="M84" s="124" t="n"/>
      <c r="N84" s="124" t="n"/>
      <c r="O84" s="124" t="n"/>
      <c r="P84" s="124" t="n"/>
      <c r="Q84" s="124" t="n"/>
      <c r="R84" s="124" t="n"/>
      <c r="S84" s="124" t="n"/>
      <c r="T84" s="124" t="n"/>
      <c r="U84" s="124" t="n"/>
      <c r="V84" s="124" t="n"/>
      <c r="W84" s="124" t="n"/>
    </row>
    <row r="85" ht="15.75" customHeight="1" s="122">
      <c r="A85" s="124" t="n"/>
      <c r="B85" s="124" t="n"/>
      <c r="C85" s="149" t="inlineStr">
        <is>
          <t>•  التوريد 50 محطة · المبيعات 55 · الشبكة 355</t>
        </is>
      </c>
      <c r="D85" s="124" t="n"/>
      <c r="E85" s="124" t="n"/>
      <c r="F85" s="124" t="n"/>
      <c r="G85" s="124" t="n"/>
      <c r="H85" s="124" t="n"/>
      <c r="I85" s="124" t="n"/>
      <c r="J85" s="124" t="n"/>
      <c r="K85" s="124" t="n"/>
      <c r="L85" s="124" t="n"/>
      <c r="M85" s="124" t="n"/>
      <c r="N85" s="124" t="n"/>
      <c r="O85" s="124" t="n"/>
      <c r="P85" s="124" t="n"/>
      <c r="Q85" s="124" t="n"/>
      <c r="R85" s="124" t="n"/>
      <c r="S85" s="124" t="n"/>
      <c r="T85" s="124" t="n"/>
      <c r="U85" s="124" t="n"/>
      <c r="V85" s="124" t="n"/>
      <c r="W85" s="124" t="n"/>
    </row>
  </sheetData>
  <mergeCells count="13">
    <mergeCell ref="C80:V80"/>
    <mergeCell ref="C75:V75"/>
    <mergeCell ref="A2:O2"/>
    <mergeCell ref="C4:V4"/>
    <mergeCell ref="C3:V3"/>
    <mergeCell ref="C82:V82"/>
    <mergeCell ref="A1:O1"/>
    <mergeCell ref="C72:V72"/>
    <mergeCell ref="C77:V77"/>
    <mergeCell ref="C81:V81"/>
    <mergeCell ref="C85:V85"/>
    <mergeCell ref="C71:V71"/>
    <mergeCell ref="C76:V7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P86"/>
  <sheetViews>
    <sheetView showFormulas="0" showGridLines="0" showRowColHeaders="1" showZeros="1" rightToLeft="1" tabSelected="0" showOutlineSymbols="1" defaultGridColor="1" view="normal" topLeftCell="A1" colorId="64" zoomScale="100" zoomScaleNormal="100" zoomScalePageLayoutView="100" workbookViewId="0">
      <pane xSplit="3" ySplit="11" topLeftCell="D12" activePane="bottomRight" state="frozen"/>
      <selection pane="topLeft" activeCell="A1" activeCellId="0" sqref="A1"/>
      <selection pane="topRight" activeCell="D1" activeCellId="0" sqref="D1"/>
      <selection pane="bottomLeft" activeCell="A12" activeCellId="0" sqref="A12"/>
      <selection pane="bottomRight" activeCell="A1" activeCellId="0" sqref="A1"/>
    </sheetView>
  </sheetViews>
  <sheetFormatPr baseColWidth="8" defaultColWidth="8.5390625" defaultRowHeight="15" zeroHeight="0" outlineLevelRow="0"/>
  <cols>
    <col width="4" customWidth="1" style="121" min="1" max="1"/>
    <col width="8" customWidth="1" style="121" min="2" max="2"/>
    <col width="22" customWidth="1" style="121" min="3" max="3"/>
    <col width="11" customWidth="1" style="121" min="4" max="4"/>
    <col width="12" customWidth="1" style="121" min="5" max="5"/>
    <col width="13" customWidth="1" style="121" min="6" max="6"/>
    <col width="10" customWidth="1" style="121" min="7" max="7"/>
    <col width="12" customWidth="1" style="121" min="8" max="8"/>
    <col width="11" customWidth="1" style="121" min="9" max="9"/>
    <col width="13" customWidth="1" style="121" min="10" max="10"/>
    <col width="12" customWidth="1" style="121" min="11" max="11"/>
    <col width="9" customWidth="1" style="121" min="12" max="12"/>
    <col width="11" customWidth="1" style="121" min="13" max="13"/>
    <col width="12" customWidth="1" style="121" min="14" max="14"/>
    <col width="13" customWidth="1" style="121" min="15" max="15"/>
    <col width="10" customWidth="1" style="121" min="16" max="16"/>
  </cols>
  <sheetData>
    <row r="1" ht="25.5" customHeight="1" s="122">
      <c r="A1" s="123" t="inlineStr">
        <is>
          <t>مستهدفات البنزين لكل محطة</t>
        </is>
      </c>
      <c r="B1" s="124" t="n"/>
      <c r="C1" s="124" t="n"/>
      <c r="D1" s="124" t="n"/>
      <c r="E1" s="124" t="n"/>
      <c r="F1" s="124" t="n"/>
      <c r="G1" s="124" t="n"/>
      <c r="H1" s="124" t="n"/>
      <c r="I1" s="124" t="n"/>
      <c r="J1" s="124" t="n"/>
      <c r="K1" s="124" t="n"/>
      <c r="L1" s="124" t="n"/>
      <c r="M1" s="124" t="n"/>
      <c r="N1" s="124" t="n"/>
      <c r="O1" s="124" t="n"/>
      <c r="P1" s="124" t="n"/>
    </row>
    <row r="2" ht="18" customHeight="1" s="122">
      <c r="A2" s="125" t="inlineStr">
        <is>
          <t>الهدف مفرّق حسب اتجاه كل محطة لا موحّد · وكل لتر إضافي = ربح مُدخل في الخانة الصفراء</t>
        </is>
      </c>
      <c r="B2" s="124" t="n"/>
      <c r="C2" s="124" t="n"/>
      <c r="D2" s="124" t="n"/>
      <c r="E2" s="124" t="n"/>
      <c r="F2" s="124" t="n"/>
      <c r="G2" s="124" t="n"/>
      <c r="H2" s="124" t="n"/>
      <c r="I2" s="124" t="n"/>
      <c r="J2" s="124" t="n"/>
      <c r="K2" s="124" t="n"/>
      <c r="L2" s="124" t="n"/>
      <c r="M2" s="124" t="n"/>
      <c r="N2" s="124" t="n"/>
      <c r="O2" s="124" t="n"/>
      <c r="P2" s="124" t="n"/>
    </row>
    <row r="3" ht="37.5" customHeight="1" s="122">
      <c r="A3" s="124" t="n"/>
      <c r="B3" s="181" t="inlineStr">
        <is>
          <t>المبدأ</t>
        </is>
      </c>
      <c r="C3" s="127" t="inlineStr">
        <is>
          <t>هدف موحّد يفشل: 10% من محطة تفقد 22% خيال، ومن محطة تنمو 27% تقصير. والهابطة هدفها تقليل النزيف — فاللتر المحفوظ يساوي المكتسب.</t>
        </is>
      </c>
      <c r="D3" s="124" t="n"/>
      <c r="E3" s="124" t="n"/>
      <c r="F3" s="124" t="n"/>
      <c r="G3" s="124" t="n"/>
      <c r="H3" s="124" t="n"/>
      <c r="I3" s="124" t="n"/>
      <c r="J3" s="124" t="n"/>
      <c r="K3" s="124" t="n"/>
      <c r="L3" s="124" t="n"/>
      <c r="M3" s="124" t="n"/>
      <c r="N3" s="124" t="n"/>
      <c r="O3" s="124" t="n"/>
      <c r="P3" s="124" t="n"/>
    </row>
    <row r="4">
      <c r="A4" s="124" t="n"/>
      <c r="B4" s="124" t="n"/>
      <c r="C4" s="124" t="n"/>
      <c r="D4" s="124" t="n"/>
      <c r="E4" s="124" t="n"/>
      <c r="F4" s="124" t="n"/>
      <c r="G4" s="124" t="n"/>
      <c r="H4" s="124" t="n"/>
      <c r="I4" s="124" t="n"/>
      <c r="J4" s="124" t="n"/>
      <c r="K4" s="124" t="n"/>
      <c r="L4" s="124" t="n"/>
      <c r="M4" s="124" t="n"/>
      <c r="N4" s="124" t="n"/>
      <c r="O4" s="124" t="n"/>
      <c r="P4" s="124" t="n"/>
    </row>
    <row r="5" ht="15" customHeight="1" s="122">
      <c r="A5" s="124" t="n"/>
      <c r="B5" s="194" t="inlineStr">
        <is>
          <t>المُدخلات</t>
        </is>
      </c>
      <c r="C5" s="124" t="n"/>
      <c r="D5" s="124" t="n"/>
      <c r="E5" s="124" t="n"/>
      <c r="F5" s="124" t="n"/>
      <c r="G5" s="194" t="inlineStr">
        <is>
          <t>معدل الهدف حسب الفئة</t>
        </is>
      </c>
      <c r="H5" s="124" t="n"/>
      <c r="I5" s="124" t="n"/>
      <c r="J5" s="124" t="n"/>
      <c r="K5" s="124" t="n"/>
      <c r="L5" s="124" t="n"/>
      <c r="M5" s="124" t="n"/>
      <c r="N5" s="124" t="n"/>
      <c r="O5" s="124" t="n"/>
      <c r="P5" s="124" t="n"/>
    </row>
    <row r="6" ht="15" customHeight="1" s="122">
      <c r="A6" s="124" t="n"/>
      <c r="B6" s="137" t="inlineStr">
        <is>
          <t>الربح لكل لتر (ريال)</t>
        </is>
      </c>
      <c r="C6" s="124" t="n"/>
      <c r="D6" s="191" t="n"/>
      <c r="E6" s="205" t="inlineStr">
        <is>
          <t>◄ 0.15 = 15 هللة</t>
        </is>
      </c>
      <c r="F6" s="124" t="n"/>
      <c r="G6" s="138" t="inlineStr">
        <is>
          <t>الفئة</t>
        </is>
      </c>
      <c r="H6" s="138" t="inlineStr">
        <is>
          <t>المعدل</t>
        </is>
      </c>
      <c r="I6" s="138" t="inlineStr">
        <is>
          <t>المنطق</t>
        </is>
      </c>
      <c r="J6" s="124" t="n"/>
      <c r="K6" s="124" t="n"/>
      <c r="L6" s="124" t="n"/>
      <c r="M6" s="124" t="n"/>
      <c r="N6" s="124" t="n"/>
      <c r="O6" s="124" t="n"/>
      <c r="P6" s="124" t="n"/>
    </row>
    <row r="7" ht="53.7" customHeight="1" s="122">
      <c r="A7" s="124" t="n"/>
      <c r="B7" s="137" t="inlineStr">
        <is>
          <t>سعة الصهريج (لتر)</t>
        </is>
      </c>
      <c r="C7" s="124" t="n"/>
      <c r="D7" s="150" t="n">
        <v>32500</v>
      </c>
      <c r="E7" s="205" t="inlineStr">
        <is>
          <t>◄ من بيانات التوريد</t>
        </is>
      </c>
      <c r="F7" s="124" t="n"/>
      <c r="G7" s="129" t="inlineStr">
        <is>
          <t>هابطة</t>
        </is>
      </c>
      <c r="H7" s="191" t="n"/>
      <c r="I7" s="206" t="inlineStr">
        <is>
          <t>عامل يُضرب في نزيف كل محطة — 0.5 يعني تقليله للنصف · لتر محفوظ = لتر مكتسب</t>
        </is>
      </c>
      <c r="J7" s="124" t="n"/>
      <c r="K7" s="124" t="n"/>
      <c r="L7" s="124" t="n"/>
      <c r="M7" s="124" t="n"/>
      <c r="N7" s="124" t="n"/>
      <c r="O7" s="124" t="n"/>
      <c r="P7" s="124" t="n"/>
    </row>
    <row r="8" ht="22.35" customHeight="1" s="122">
      <c r="A8" s="124" t="n"/>
      <c r="B8" s="124" t="n"/>
      <c r="C8" s="124" t="n"/>
      <c r="D8" s="124" t="n"/>
      <c r="E8" s="124" t="n"/>
      <c r="F8" s="124" t="n"/>
      <c r="G8" s="129" t="inlineStr">
        <is>
          <t>راكدة</t>
        </is>
      </c>
      <c r="H8" s="207" t="n"/>
      <c r="I8" s="206" t="inlineStr">
        <is>
          <t>نمو معتدل — الطاقة متاحة والاتجاه محايد</t>
        </is>
      </c>
      <c r="J8" s="124" t="n"/>
      <c r="K8" s="124" t="n"/>
      <c r="L8" s="124" t="n"/>
      <c r="M8" s="124" t="n"/>
      <c r="N8" s="124" t="n"/>
      <c r="O8" s="124" t="n"/>
      <c r="P8" s="124" t="n"/>
    </row>
    <row r="9" ht="22.35" customHeight="1" s="122">
      <c r="A9" s="124" t="n"/>
      <c r="B9" s="124" t="n"/>
      <c r="C9" s="124" t="n"/>
      <c r="D9" s="124" t="n"/>
      <c r="E9" s="124" t="n"/>
      <c r="F9" s="124" t="n"/>
      <c r="G9" s="129" t="inlineStr">
        <is>
          <t>صاعدة</t>
        </is>
      </c>
      <c r="H9" s="207" t="n"/>
      <c r="I9" s="206" t="inlineStr">
        <is>
          <t>حافظ على الزخم مع دفعة إضافية</t>
        </is>
      </c>
      <c r="J9" s="124" t="n"/>
      <c r="K9" s="124" t="n"/>
      <c r="L9" s="124" t="n"/>
      <c r="M9" s="124" t="n"/>
      <c r="N9" s="124" t="n"/>
      <c r="O9" s="124" t="n"/>
      <c r="P9" s="124" t="n"/>
    </row>
    <row r="10" ht="22.35" customHeight="1" s="122">
      <c r="A10" s="124" t="n"/>
      <c r="B10" s="124" t="n"/>
      <c r="C10" s="124" t="n"/>
      <c r="D10" s="124" t="n"/>
      <c r="E10" s="124" t="n"/>
      <c r="F10" s="124" t="n"/>
      <c r="G10" s="129" t="inlineStr">
        <is>
          <t>بلا بيانات</t>
        </is>
      </c>
      <c r="H10" s="207" t="n"/>
      <c r="I10" s="206" t="inlineStr">
        <is>
          <t>مؤقّت — يُراجع فور اكتمال بيانات النمو</t>
        </is>
      </c>
      <c r="J10" s="124" t="n"/>
      <c r="K10" s="124" t="n"/>
      <c r="L10" s="124" t="n"/>
      <c r="M10" s="124" t="n"/>
      <c r="N10" s="124" t="n"/>
      <c r="O10" s="124" t="n"/>
      <c r="P10" s="124" t="n"/>
    </row>
    <row r="11" ht="31.5" customHeight="1" s="122">
      <c r="A11" s="138" t="inlineStr">
        <is>
          <t>#</t>
        </is>
      </c>
      <c r="B11" s="138" t="inlineStr">
        <is>
          <t>الكود</t>
        </is>
      </c>
      <c r="C11" s="138" t="inlineStr">
        <is>
          <t>المحطة</t>
        </is>
      </c>
      <c r="D11" s="138" t="inlineStr">
        <is>
          <t>المنطقة</t>
        </is>
      </c>
      <c r="E11" s="138" t="inlineStr">
        <is>
          <t>النمط</t>
        </is>
      </c>
      <c r="F11" s="138" t="inlineStr">
        <is>
          <t>بنزين سنوي (أساس)</t>
        </is>
      </c>
      <c r="G11" s="138" t="inlineStr">
        <is>
          <t>النمو الحالي</t>
        </is>
      </c>
      <c r="H11" s="138" t="inlineStr">
        <is>
          <t>الفئة</t>
        </is>
      </c>
      <c r="I11" s="138" t="inlineStr">
        <is>
          <t>معدل الهدف</t>
        </is>
      </c>
      <c r="J11" s="138" t="inlineStr">
        <is>
          <t>المستهدف</t>
        </is>
      </c>
      <c r="K11" s="138" t="inlineStr">
        <is>
          <t>الزيادة</t>
        </is>
      </c>
      <c r="L11" s="138" t="inlineStr">
        <is>
          <t>نمو %</t>
        </is>
      </c>
      <c r="M11" s="138" t="inlineStr">
        <is>
          <t>رحلات إضافية</t>
        </is>
      </c>
      <c r="N11" s="138" t="inlineStr">
        <is>
          <t>أيام مخزون الآن</t>
        </is>
      </c>
      <c r="O11" s="138" t="inlineStr">
        <is>
          <t>أثر الربح (ريال)</t>
        </is>
      </c>
      <c r="P11" s="138" t="inlineStr">
        <is>
          <t>الأولوية</t>
        </is>
      </c>
    </row>
    <row r="12" ht="18.75" customHeight="1" s="122">
      <c r="A12" s="144" t="n">
        <v>1</v>
      </c>
      <c r="B12" s="144" t="inlineStr">
        <is>
          <t>MK003</t>
        </is>
      </c>
      <c r="C12" s="147" t="inlineStr">
        <is>
          <t>العوالي</t>
        </is>
      </c>
      <c r="D12" s="144" t="inlineStr">
        <is>
          <t>مكة</t>
        </is>
      </c>
      <c r="E12" s="144" t="inlineStr">
        <is>
          <t>خط سفر</t>
        </is>
      </c>
      <c r="F12" s="152" t="n">
        <v>35464924</v>
      </c>
      <c r="G12" s="144" t="inlineStr">
        <is>
          <t>—</t>
        </is>
      </c>
      <c r="H12" s="145" t="inlineStr">
        <is>
          <t>بلا بيانات</t>
        </is>
      </c>
      <c r="I12" s="208">
        <f>IFERROR(IF(H12="هابطة",G12*$H$7,INDEX($H$7:$H$10,MATCH(H12,$G$7:$G$10,0))),"")</f>
        <v/>
      </c>
      <c r="J12" s="152">
        <f>IFERROR(F12*(1+I12),"")</f>
        <v/>
      </c>
      <c r="K12" s="209">
        <f>IFERROR(J12-F12,"")</f>
        <v/>
      </c>
      <c r="L12" s="208">
        <f>IFERROR(K12/F12,"")</f>
        <v/>
      </c>
      <c r="M12" s="209">
        <f>IFERROR(ROUNDUP(K12/$D$7,0),"")</f>
        <v/>
      </c>
      <c r="N12" s="193" t="n">
        <v>4.9</v>
      </c>
      <c r="O12" s="210">
        <f>IFERROR(K12*$D$6,"")</f>
        <v/>
      </c>
      <c r="P12" s="144">
        <f>IFERROR(RANK(K12,$K$12:$K$66),"")</f>
        <v/>
      </c>
    </row>
    <row r="13" ht="18.75" customHeight="1" s="122">
      <c r="A13" s="144" t="n">
        <v>2</v>
      </c>
      <c r="B13" s="144" t="inlineStr">
        <is>
          <t>MK007</t>
        </is>
      </c>
      <c r="C13" s="147" t="inlineStr">
        <is>
          <t>العمرة الجديدة</t>
        </is>
      </c>
      <c r="D13" s="144" t="inlineStr">
        <is>
          <t>مكة</t>
        </is>
      </c>
      <c r="E13" s="144" t="inlineStr">
        <is>
          <t>حيوية</t>
        </is>
      </c>
      <c r="F13" s="152" t="n">
        <v>34063312</v>
      </c>
      <c r="G13" s="208" t="n">
        <v>-0.223</v>
      </c>
      <c r="H13" s="143" t="inlineStr">
        <is>
          <t>هابطة</t>
        </is>
      </c>
      <c r="I13" s="208">
        <f>IFERROR(IF(H13="هابطة",G13*$H$7,INDEX($H$7:$H$10,MATCH(H13,$G$7:$G$10,0))),"")</f>
        <v/>
      </c>
      <c r="J13" s="152">
        <f>IFERROR(F13*(1+I13),"")</f>
        <v/>
      </c>
      <c r="K13" s="209">
        <f>IFERROR(J13-F13,"")</f>
        <v/>
      </c>
      <c r="L13" s="208">
        <f>IFERROR(K13/F13,"")</f>
        <v/>
      </c>
      <c r="M13" s="209">
        <f>IFERROR(ROUNDUP(K13/$D$7,0),"")</f>
        <v/>
      </c>
      <c r="N13" s="211" t="n">
        <v>2.6</v>
      </c>
      <c r="O13" s="210">
        <f>IFERROR(K13*$D$6,"")</f>
        <v/>
      </c>
      <c r="P13" s="144">
        <f>IFERROR(RANK(K13,$K$12:$K$66),"")</f>
        <v/>
      </c>
    </row>
    <row r="14" ht="18.75" customHeight="1" s="122">
      <c r="A14" s="144" t="n">
        <v>3</v>
      </c>
      <c r="B14" s="144" t="inlineStr">
        <is>
          <t>MK004</t>
        </is>
      </c>
      <c r="C14" s="147" t="inlineStr">
        <is>
          <t>عاصفة الصحراء</t>
        </is>
      </c>
      <c r="D14" s="144" t="inlineStr">
        <is>
          <t>الطائف</t>
        </is>
      </c>
      <c r="E14" s="144" t="inlineStr">
        <is>
          <t>حيوية</t>
        </is>
      </c>
      <c r="F14" s="152" t="n">
        <v>19648510</v>
      </c>
      <c r="G14" s="144" t="inlineStr">
        <is>
          <t>—</t>
        </is>
      </c>
      <c r="H14" s="145" t="inlineStr">
        <is>
          <t>بلا بيانات</t>
        </is>
      </c>
      <c r="I14" s="208">
        <f>IFERROR(IF(H14="هابطة",G14*$H$7,INDEX($H$7:$H$10,MATCH(H14,$G$7:$G$10,0))),"")</f>
        <v/>
      </c>
      <c r="J14" s="152">
        <f>IFERROR(F14*(1+I14),"")</f>
        <v/>
      </c>
      <c r="K14" s="209">
        <f>IFERROR(J14-F14,"")</f>
        <v/>
      </c>
      <c r="L14" s="208">
        <f>IFERROR(K14/F14,"")</f>
        <v/>
      </c>
      <c r="M14" s="209">
        <f>IFERROR(ROUNDUP(K14/$D$7,0),"")</f>
        <v/>
      </c>
      <c r="N14" s="193" t="n">
        <v>6.4</v>
      </c>
      <c r="O14" s="210">
        <f>IFERROR(K14*$D$6,"")</f>
        <v/>
      </c>
      <c r="P14" s="144">
        <f>IFERROR(RANK(K14,$K$12:$K$66),"")</f>
        <v/>
      </c>
    </row>
    <row r="15" ht="18.75" customHeight="1" s="122">
      <c r="A15" s="144" t="n">
        <v>4</v>
      </c>
      <c r="B15" s="144" t="inlineStr">
        <is>
          <t>MK072</t>
        </is>
      </c>
      <c r="C15" s="147" t="inlineStr">
        <is>
          <t>العزيزية</t>
        </is>
      </c>
      <c r="D15" s="144" t="inlineStr">
        <is>
          <t>مكة</t>
        </is>
      </c>
      <c r="E15" s="144" t="inlineStr">
        <is>
          <t>حيوية</t>
        </is>
      </c>
      <c r="F15" s="152" t="n">
        <v>16732843</v>
      </c>
      <c r="G15" s="208" t="n">
        <v>-0.211</v>
      </c>
      <c r="H15" s="143" t="inlineStr">
        <is>
          <t>هابطة</t>
        </is>
      </c>
      <c r="I15" s="208">
        <f>IFERROR(IF(H15="هابطة",G15*$H$7,INDEX($H$7:$H$10,MATCH(H15,$G$7:$G$10,0))),"")</f>
        <v/>
      </c>
      <c r="J15" s="152">
        <f>IFERROR(F15*(1+I15),"")</f>
        <v/>
      </c>
      <c r="K15" s="209">
        <f>IFERROR(J15-F15,"")</f>
        <v/>
      </c>
      <c r="L15" s="208">
        <f>IFERROR(K15/F15,"")</f>
        <v/>
      </c>
      <c r="M15" s="209">
        <f>IFERROR(ROUNDUP(K15/$D$7,0),"")</f>
        <v/>
      </c>
      <c r="N15" s="211" t="n">
        <v>2.6</v>
      </c>
      <c r="O15" s="210">
        <f>IFERROR(K15*$D$6,"")</f>
        <v/>
      </c>
      <c r="P15" s="144">
        <f>IFERROR(RANK(K15,$K$12:$K$66),"")</f>
        <v/>
      </c>
    </row>
    <row r="16" ht="18.75" customHeight="1" s="122">
      <c r="A16" s="144" t="n">
        <v>5</v>
      </c>
      <c r="B16" s="144" t="inlineStr">
        <is>
          <t>MK005</t>
        </is>
      </c>
      <c r="C16" s="147" t="inlineStr">
        <is>
          <t>الشيباني</t>
        </is>
      </c>
      <c r="D16" s="144" t="inlineStr">
        <is>
          <t>الطائف</t>
        </is>
      </c>
      <c r="E16" s="144" t="inlineStr">
        <is>
          <t>حيوية</t>
        </is>
      </c>
      <c r="F16" s="152" t="n">
        <v>16309064</v>
      </c>
      <c r="G16" s="144" t="inlineStr">
        <is>
          <t>—</t>
        </is>
      </c>
      <c r="H16" s="145" t="inlineStr">
        <is>
          <t>بلا بيانات</t>
        </is>
      </c>
      <c r="I16" s="208">
        <f>IFERROR(IF(H16="هابطة",G16*$H$7,INDEX($H$7:$H$10,MATCH(H16,$G$7:$G$10,0))),"")</f>
        <v/>
      </c>
      <c r="J16" s="152">
        <f>IFERROR(F16*(1+I16),"")</f>
        <v/>
      </c>
      <c r="K16" s="209">
        <f>IFERROR(J16-F16,"")</f>
        <v/>
      </c>
      <c r="L16" s="208">
        <f>IFERROR(K16/F16,"")</f>
        <v/>
      </c>
      <c r="M16" s="209">
        <f>IFERROR(ROUNDUP(K16/$D$7,0),"")</f>
        <v/>
      </c>
      <c r="N16" s="193" t="n">
        <v>7.7</v>
      </c>
      <c r="O16" s="210">
        <f>IFERROR(K16*$D$6,"")</f>
        <v/>
      </c>
      <c r="P16" s="144">
        <f>IFERROR(RANK(K16,$K$12:$K$66),"")</f>
        <v/>
      </c>
    </row>
    <row r="17" ht="18.75" customHeight="1" s="122">
      <c r="A17" s="144" t="n">
        <v>6</v>
      </c>
      <c r="B17" s="144" t="inlineStr">
        <is>
          <t>MK015</t>
        </is>
      </c>
      <c r="C17" s="147" t="inlineStr">
        <is>
          <t>النسيم</t>
        </is>
      </c>
      <c r="D17" s="144" t="inlineStr">
        <is>
          <t>جدة</t>
        </is>
      </c>
      <c r="E17" s="144" t="inlineStr">
        <is>
          <t>حيوية</t>
        </is>
      </c>
      <c r="F17" s="152" t="n">
        <v>16280701</v>
      </c>
      <c r="G17" s="144" t="inlineStr">
        <is>
          <t>—</t>
        </is>
      </c>
      <c r="H17" s="145" t="inlineStr">
        <is>
          <t>بلا بيانات</t>
        </is>
      </c>
      <c r="I17" s="208">
        <f>IFERROR(IF(H17="هابطة",G17*$H$7,INDEX($H$7:$H$10,MATCH(H17,$G$7:$G$10,0))),"")</f>
        <v/>
      </c>
      <c r="J17" s="152">
        <f>IFERROR(F17*(1+I17),"")</f>
        <v/>
      </c>
      <c r="K17" s="209">
        <f>IFERROR(J17-F17,"")</f>
        <v/>
      </c>
      <c r="L17" s="208">
        <f>IFERROR(K17/F17,"")</f>
        <v/>
      </c>
      <c r="M17" s="209">
        <f>IFERROR(ROUNDUP(K17/$D$7,0),"")</f>
        <v/>
      </c>
      <c r="N17" s="193" t="n">
        <v>7.7</v>
      </c>
      <c r="O17" s="210">
        <f>IFERROR(K17*$D$6,"")</f>
        <v/>
      </c>
      <c r="P17" s="144">
        <f>IFERROR(RANK(K17,$K$12:$K$66),"")</f>
        <v/>
      </c>
    </row>
    <row r="18" ht="18.75" customHeight="1" s="122">
      <c r="A18" s="144" t="n">
        <v>7</v>
      </c>
      <c r="B18" s="144" t="inlineStr">
        <is>
          <t>MK028</t>
        </is>
      </c>
      <c r="C18" s="147" t="inlineStr">
        <is>
          <t>أحلى مساء</t>
        </is>
      </c>
      <c r="D18" s="144" t="inlineStr">
        <is>
          <t>الطائف</t>
        </is>
      </c>
      <c r="E18" s="144" t="inlineStr">
        <is>
          <t>مختلط</t>
        </is>
      </c>
      <c r="F18" s="152" t="n">
        <v>14309768</v>
      </c>
      <c r="G18" s="208" t="n">
        <v>-0.119</v>
      </c>
      <c r="H18" s="143" t="inlineStr">
        <is>
          <t>هابطة</t>
        </is>
      </c>
      <c r="I18" s="208">
        <f>IFERROR(IF(H18="هابطة",G18*$H$7,INDEX($H$7:$H$10,MATCH(H18,$G$7:$G$10,0))),"")</f>
        <v/>
      </c>
      <c r="J18" s="152">
        <f>IFERROR(F18*(1+I18),"")</f>
        <v/>
      </c>
      <c r="K18" s="209">
        <f>IFERROR(J18-F18,"")</f>
        <v/>
      </c>
      <c r="L18" s="208">
        <f>IFERROR(K18/F18,"")</f>
        <v/>
      </c>
      <c r="M18" s="209">
        <f>IFERROR(ROUNDUP(K18/$D$7,0),"")</f>
        <v/>
      </c>
      <c r="N18" s="193" t="n">
        <v>4.1</v>
      </c>
      <c r="O18" s="210">
        <f>IFERROR(K18*$D$6,"")</f>
        <v/>
      </c>
      <c r="P18" s="144">
        <f>IFERROR(RANK(K18,$K$12:$K$66),"")</f>
        <v/>
      </c>
    </row>
    <row r="19" ht="18.75" customHeight="1" s="122">
      <c r="A19" s="144" t="n">
        <v>8</v>
      </c>
      <c r="B19" s="144" t="inlineStr">
        <is>
          <t>MK046</t>
        </is>
      </c>
      <c r="C19" s="147" t="inlineStr">
        <is>
          <t>الحليس - طريق الجنوب</t>
        </is>
      </c>
      <c r="D19" s="144" t="inlineStr">
        <is>
          <t>الطائف</t>
        </is>
      </c>
      <c r="E19" s="144" t="inlineStr">
        <is>
          <t>مختلط</t>
        </is>
      </c>
      <c r="F19" s="152" t="n">
        <v>13354076</v>
      </c>
      <c r="G19" s="144" t="inlineStr">
        <is>
          <t>—</t>
        </is>
      </c>
      <c r="H19" s="145" t="inlineStr">
        <is>
          <t>بلا بيانات</t>
        </is>
      </c>
      <c r="I19" s="208">
        <f>IFERROR(IF(H19="هابطة",G19*$H$7,INDEX($H$7:$H$10,MATCH(H19,$G$7:$G$10,0))),"")</f>
        <v/>
      </c>
      <c r="J19" s="152">
        <f>IFERROR(F19*(1+I19),"")</f>
        <v/>
      </c>
      <c r="K19" s="209">
        <f>IFERROR(J19-F19,"")</f>
        <v/>
      </c>
      <c r="L19" s="208">
        <f>IFERROR(K19/F19,"")</f>
        <v/>
      </c>
      <c r="M19" s="209">
        <f>IFERROR(ROUNDUP(K19/$D$7,0),"")</f>
        <v/>
      </c>
      <c r="N19" s="193" t="n">
        <v>3.8</v>
      </c>
      <c r="O19" s="210">
        <f>IFERROR(K19*$D$6,"")</f>
        <v/>
      </c>
      <c r="P19" s="144">
        <f>IFERROR(RANK(K19,$K$12:$K$66),"")</f>
        <v/>
      </c>
    </row>
    <row r="20" ht="18.75" customHeight="1" s="122">
      <c r="A20" s="144" t="n">
        <v>9</v>
      </c>
      <c r="B20" s="144" t="inlineStr">
        <is>
          <t>MK006</t>
        </is>
      </c>
      <c r="C20" s="147" t="inlineStr">
        <is>
          <t>جنوب الطائف</t>
        </is>
      </c>
      <c r="D20" s="144" t="inlineStr">
        <is>
          <t>الطائف</t>
        </is>
      </c>
      <c r="E20" s="144" t="inlineStr">
        <is>
          <t>حيوية</t>
        </is>
      </c>
      <c r="F20" s="152" t="n">
        <v>13311973</v>
      </c>
      <c r="G20" s="144" t="inlineStr">
        <is>
          <t>—</t>
        </is>
      </c>
      <c r="H20" s="145" t="inlineStr">
        <is>
          <t>بلا بيانات</t>
        </is>
      </c>
      <c r="I20" s="208">
        <f>IFERROR(IF(H20="هابطة",G20*$H$7,INDEX($H$7:$H$10,MATCH(H20,$G$7:$G$10,0))),"")</f>
        <v/>
      </c>
      <c r="J20" s="152">
        <f>IFERROR(F20*(1+I20),"")</f>
        <v/>
      </c>
      <c r="K20" s="209">
        <f>IFERROR(J20-F20,"")</f>
        <v/>
      </c>
      <c r="L20" s="208">
        <f>IFERROR(K20/F20,"")</f>
        <v/>
      </c>
      <c r="M20" s="209">
        <f>IFERROR(ROUNDUP(K20/$D$7,0),"")</f>
        <v/>
      </c>
      <c r="N20" s="193" t="n">
        <v>6.6</v>
      </c>
      <c r="O20" s="210">
        <f>IFERROR(K20*$D$6,"")</f>
        <v/>
      </c>
      <c r="P20" s="144">
        <f>IFERROR(RANK(K20,$K$12:$K$66),"")</f>
        <v/>
      </c>
    </row>
    <row r="21" ht="18.75" customHeight="1" s="122">
      <c r="A21" s="144" t="n">
        <v>10</v>
      </c>
      <c r="B21" s="144" t="inlineStr">
        <is>
          <t>MK001</t>
        </is>
      </c>
      <c r="C21" s="147" t="inlineStr">
        <is>
          <t>جبل النور</t>
        </is>
      </c>
      <c r="D21" s="144" t="inlineStr">
        <is>
          <t>مكة</t>
        </is>
      </c>
      <c r="E21" s="144" t="inlineStr">
        <is>
          <t>حيوية</t>
        </is>
      </c>
      <c r="F21" s="152" t="n">
        <v>13248903</v>
      </c>
      <c r="G21" s="208" t="n">
        <v>-0.03</v>
      </c>
      <c r="H21" s="142" t="inlineStr">
        <is>
          <t>راكدة</t>
        </is>
      </c>
      <c r="I21" s="208">
        <f>IFERROR(IF(H21="هابطة",G21*$H$7,INDEX($H$7:$H$10,MATCH(H21,$G$7:$G$10,0))),"")</f>
        <v/>
      </c>
      <c r="J21" s="152">
        <f>IFERROR(F21*(1+I21),"")</f>
        <v/>
      </c>
      <c r="K21" s="209">
        <f>IFERROR(J21-F21,"")</f>
        <v/>
      </c>
      <c r="L21" s="208">
        <f>IFERROR(K21/F21,"")</f>
        <v/>
      </c>
      <c r="M21" s="209">
        <f>IFERROR(ROUNDUP(K21/$D$7,0),"")</f>
        <v/>
      </c>
      <c r="N21" s="193" t="n">
        <v>6.6</v>
      </c>
      <c r="O21" s="210">
        <f>IFERROR(K21*$D$6,"")</f>
        <v/>
      </c>
      <c r="P21" s="144">
        <f>IFERROR(RANK(K21,$K$12:$K$66),"")</f>
        <v/>
      </c>
    </row>
    <row r="22" ht="18.75" customHeight="1" s="122">
      <c r="A22" s="144" t="n">
        <v>11</v>
      </c>
      <c r="B22" s="144" t="inlineStr">
        <is>
          <t>RY075</t>
        </is>
      </c>
      <c r="C22" s="147" t="inlineStr">
        <is>
          <t>الدائري الشمالي</t>
        </is>
      </c>
      <c r="D22" s="144" t="inlineStr">
        <is>
          <t>الرياض</t>
        </is>
      </c>
      <c r="E22" s="144" t="inlineStr">
        <is>
          <t>حيوية</t>
        </is>
      </c>
      <c r="F22" s="152" t="n">
        <v>13247588</v>
      </c>
      <c r="G22" s="208" t="n">
        <v>0.151</v>
      </c>
      <c r="H22" s="141" t="inlineStr">
        <is>
          <t>صاعدة</t>
        </is>
      </c>
      <c r="I22" s="208">
        <f>IFERROR(IF(H22="هابطة",G22*$H$7,INDEX($H$7:$H$10,MATCH(H22,$G$7:$G$10,0))),"")</f>
        <v/>
      </c>
      <c r="J22" s="152">
        <f>IFERROR(F22*(1+I22),"")</f>
        <v/>
      </c>
      <c r="K22" s="209">
        <f>IFERROR(J22-F22,"")</f>
        <v/>
      </c>
      <c r="L22" s="208">
        <f>IFERROR(K22/F22,"")</f>
        <v/>
      </c>
      <c r="M22" s="209">
        <f>IFERROR(ROUNDUP(K22/$D$7,0),"")</f>
        <v/>
      </c>
      <c r="N22" s="193" t="n">
        <v>4.4</v>
      </c>
      <c r="O22" s="210">
        <f>IFERROR(K22*$D$6,"")</f>
        <v/>
      </c>
      <c r="P22" s="144">
        <f>IFERROR(RANK(K22,$K$12:$K$66),"")</f>
        <v/>
      </c>
    </row>
    <row r="23" ht="18.75" customHeight="1" s="122">
      <c r="A23" s="144" t="n">
        <v>12</v>
      </c>
      <c r="B23" s="144" t="inlineStr">
        <is>
          <t>MK047</t>
        </is>
      </c>
      <c r="C23" s="147" t="inlineStr">
        <is>
          <t>القادسية</t>
        </is>
      </c>
      <c r="D23" s="144" t="inlineStr">
        <is>
          <t>مكة</t>
        </is>
      </c>
      <c r="E23" s="144" t="inlineStr">
        <is>
          <t>حيوية</t>
        </is>
      </c>
      <c r="F23" s="152" t="n">
        <v>12654914</v>
      </c>
      <c r="G23" s="208" t="n">
        <v>-0.09</v>
      </c>
      <c r="H23" s="143" t="inlineStr">
        <is>
          <t>هابطة</t>
        </is>
      </c>
      <c r="I23" s="208">
        <f>IFERROR(IF(H23="هابطة",G23*$H$7,INDEX($H$7:$H$10,MATCH(H23,$G$7:$G$10,0))),"")</f>
        <v/>
      </c>
      <c r="J23" s="152">
        <f>IFERROR(F23*(1+I23),"")</f>
        <v/>
      </c>
      <c r="K23" s="209">
        <f>IFERROR(J23-F23,"")</f>
        <v/>
      </c>
      <c r="L23" s="208">
        <f>IFERROR(K23/F23,"")</f>
        <v/>
      </c>
      <c r="M23" s="209">
        <f>IFERROR(ROUNDUP(K23/$D$7,0),"")</f>
        <v/>
      </c>
      <c r="N23" s="193" t="n">
        <v>4</v>
      </c>
      <c r="O23" s="210">
        <f>IFERROR(K23*$D$6,"")</f>
        <v/>
      </c>
      <c r="P23" s="144">
        <f>IFERROR(RANK(K23,$K$12:$K$66),"")</f>
        <v/>
      </c>
    </row>
    <row r="24" ht="18.75" customHeight="1" s="122">
      <c r="A24" s="144" t="n">
        <v>13</v>
      </c>
      <c r="B24" s="144" t="inlineStr">
        <is>
          <t>MK029</t>
        </is>
      </c>
      <c r="C24" s="147" t="inlineStr">
        <is>
          <t>الدائري الثالث - الذكرى</t>
        </is>
      </c>
      <c r="D24" s="144" t="inlineStr">
        <is>
          <t>مكة</t>
        </is>
      </c>
      <c r="E24" s="144" t="inlineStr">
        <is>
          <t>حيوية</t>
        </is>
      </c>
      <c r="F24" s="152" t="n">
        <v>11988986</v>
      </c>
      <c r="G24" s="208" t="n">
        <v>-0.034</v>
      </c>
      <c r="H24" s="142" t="inlineStr">
        <is>
          <t>راكدة</t>
        </is>
      </c>
      <c r="I24" s="208">
        <f>IFERROR(IF(H24="هابطة",G24*$H$7,INDEX($H$7:$H$10,MATCH(H24,$G$7:$G$10,0))),"")</f>
        <v/>
      </c>
      <c r="J24" s="152">
        <f>IFERROR(F24*(1+I24),"")</f>
        <v/>
      </c>
      <c r="K24" s="209">
        <f>IFERROR(J24-F24,"")</f>
        <v/>
      </c>
      <c r="L24" s="208">
        <f>IFERROR(K24/F24,"")</f>
        <v/>
      </c>
      <c r="M24" s="209">
        <f>IFERROR(ROUNDUP(K24/$D$7,0),"")</f>
        <v/>
      </c>
      <c r="N24" s="193" t="n">
        <v>4.9</v>
      </c>
      <c r="O24" s="210">
        <f>IFERROR(K24*$D$6,"")</f>
        <v/>
      </c>
      <c r="P24" s="144">
        <f>IFERROR(RANK(K24,$K$12:$K$66),"")</f>
        <v/>
      </c>
    </row>
    <row r="25" ht="18.75" customHeight="1" s="122">
      <c r="A25" s="144" t="n">
        <v>14</v>
      </c>
      <c r="B25" s="144" t="inlineStr">
        <is>
          <t>JA092</t>
        </is>
      </c>
      <c r="C25" s="147" t="inlineStr">
        <is>
          <t>الصفا - أحد المسارحة</t>
        </is>
      </c>
      <c r="D25" s="144" t="inlineStr">
        <is>
          <t>جازان</t>
        </is>
      </c>
      <c r="E25" s="144" t="inlineStr">
        <is>
          <t>غير مصنفة</t>
        </is>
      </c>
      <c r="F25" s="152" t="n">
        <v>11882308</v>
      </c>
      <c r="G25" s="144" t="inlineStr">
        <is>
          <t>—</t>
        </is>
      </c>
      <c r="H25" s="145" t="inlineStr">
        <is>
          <t>بلا بيانات</t>
        </is>
      </c>
      <c r="I25" s="208">
        <f>IFERROR(IF(H25="هابطة",G25*$H$7,INDEX($H$7:$H$10,MATCH(H25,$G$7:$G$10,0))),"")</f>
        <v/>
      </c>
      <c r="J25" s="152">
        <f>IFERROR(F25*(1+I25),"")</f>
        <v/>
      </c>
      <c r="K25" s="209">
        <f>IFERROR(J25-F25,"")</f>
        <v/>
      </c>
      <c r="L25" s="208">
        <f>IFERROR(K25/F25,"")</f>
        <v/>
      </c>
      <c r="M25" s="209">
        <f>IFERROR(ROUNDUP(K25/$D$7,0),"")</f>
        <v/>
      </c>
      <c r="N25" s="144" t="n"/>
      <c r="O25" s="210">
        <f>IFERROR(K25*$D$6,"")</f>
        <v/>
      </c>
      <c r="P25" s="144">
        <f>IFERROR(RANK(K25,$K$12:$K$66),"")</f>
        <v/>
      </c>
    </row>
    <row r="26" ht="18.75" customHeight="1" s="122">
      <c r="A26" s="144" t="n">
        <v>15</v>
      </c>
      <c r="B26" s="144" t="inlineStr">
        <is>
          <t>MK008</t>
        </is>
      </c>
      <c r="C26" s="147" t="inlineStr">
        <is>
          <t>الحسينية</t>
        </is>
      </c>
      <c r="D26" s="144" t="inlineStr">
        <is>
          <t>مكة</t>
        </is>
      </c>
      <c r="E26" s="144" t="inlineStr">
        <is>
          <t>حي</t>
        </is>
      </c>
      <c r="F26" s="152" t="n">
        <v>11625662</v>
      </c>
      <c r="G26" s="144" t="inlineStr">
        <is>
          <t>—</t>
        </is>
      </c>
      <c r="H26" s="145" t="inlineStr">
        <is>
          <t>بلا بيانات</t>
        </is>
      </c>
      <c r="I26" s="208">
        <f>IFERROR(IF(H26="هابطة",G26*$H$7,INDEX($H$7:$H$10,MATCH(H26,$G$7:$G$10,0))),"")</f>
        <v/>
      </c>
      <c r="J26" s="152">
        <f>IFERROR(F26*(1+I26),"")</f>
        <v/>
      </c>
      <c r="K26" s="209">
        <f>IFERROR(J26-F26,"")</f>
        <v/>
      </c>
      <c r="L26" s="208">
        <f>IFERROR(K26/F26,"")</f>
        <v/>
      </c>
      <c r="M26" s="209">
        <f>IFERROR(ROUNDUP(K26/$D$7,0),"")</f>
        <v/>
      </c>
      <c r="N26" s="193" t="n">
        <v>3.1</v>
      </c>
      <c r="O26" s="210">
        <f>IFERROR(K26*$D$6,"")</f>
        <v/>
      </c>
      <c r="P26" s="144">
        <f>IFERROR(RANK(K26,$K$12:$K$66),"")</f>
        <v/>
      </c>
    </row>
    <row r="27" ht="18.75" customHeight="1" s="122">
      <c r="A27" s="144" t="n">
        <v>16</v>
      </c>
      <c r="B27" s="144" t="inlineStr">
        <is>
          <t>MK016</t>
        </is>
      </c>
      <c r="C27" s="147" t="inlineStr">
        <is>
          <t>الرصيفة</t>
        </is>
      </c>
      <c r="D27" s="144" t="inlineStr">
        <is>
          <t>مكة</t>
        </is>
      </c>
      <c r="E27" s="144" t="inlineStr">
        <is>
          <t>حيوية</t>
        </is>
      </c>
      <c r="F27" s="152" t="n">
        <v>11101203</v>
      </c>
      <c r="G27" s="208" t="n">
        <v>-0.112</v>
      </c>
      <c r="H27" s="143" t="inlineStr">
        <is>
          <t>هابطة</t>
        </is>
      </c>
      <c r="I27" s="208">
        <f>IFERROR(IF(H27="هابطة",G27*$H$7,INDEX($H$7:$H$10,MATCH(H27,$G$7:$G$10,0))),"")</f>
        <v/>
      </c>
      <c r="J27" s="152">
        <f>IFERROR(F27*(1+I27),"")</f>
        <v/>
      </c>
      <c r="K27" s="209">
        <f>IFERROR(J27-F27,"")</f>
        <v/>
      </c>
      <c r="L27" s="208">
        <f>IFERROR(K27/F27,"")</f>
        <v/>
      </c>
      <c r="M27" s="209">
        <f>IFERROR(ROUNDUP(K27/$D$7,0),"")</f>
        <v/>
      </c>
      <c r="N27" s="193" t="n">
        <v>11.3</v>
      </c>
      <c r="O27" s="210">
        <f>IFERROR(K27*$D$6,"")</f>
        <v/>
      </c>
      <c r="P27" s="144">
        <f>IFERROR(RANK(K27,$K$12:$K$66),"")</f>
        <v/>
      </c>
    </row>
    <row r="28" ht="18.75" customHeight="1" s="122">
      <c r="A28" s="144" t="n">
        <v>17</v>
      </c>
      <c r="B28" s="144" t="inlineStr">
        <is>
          <t>MK289</t>
        </is>
      </c>
      <c r="C28" s="147" t="inlineStr">
        <is>
          <t>طريق الليث - الفضيلة</t>
        </is>
      </c>
      <c r="D28" s="144" t="inlineStr">
        <is>
          <t>جدة</t>
        </is>
      </c>
      <c r="E28" s="144" t="inlineStr">
        <is>
          <t>خط سفر</t>
        </is>
      </c>
      <c r="F28" s="152" t="n">
        <v>10864480</v>
      </c>
      <c r="G28" s="208" t="n">
        <v>0.273</v>
      </c>
      <c r="H28" s="141" t="inlineStr">
        <is>
          <t>صاعدة</t>
        </is>
      </c>
      <c r="I28" s="208">
        <f>IFERROR(IF(H28="هابطة",G28*$H$7,INDEX($H$7:$H$10,MATCH(H28,$G$7:$G$10,0))),"")</f>
        <v/>
      </c>
      <c r="J28" s="152">
        <f>IFERROR(F28*(1+I28),"")</f>
        <v/>
      </c>
      <c r="K28" s="209">
        <f>IFERROR(J28-F28,"")</f>
        <v/>
      </c>
      <c r="L28" s="208">
        <f>IFERROR(K28/F28,"")</f>
        <v/>
      </c>
      <c r="M28" s="209">
        <f>IFERROR(ROUNDUP(K28/$D$7,0),"")</f>
        <v/>
      </c>
      <c r="N28" s="144" t="n"/>
      <c r="O28" s="210">
        <f>IFERROR(K28*$D$6,"")</f>
        <v/>
      </c>
      <c r="P28" s="144">
        <f>IFERROR(RANK(K28,$K$12:$K$66),"")</f>
        <v/>
      </c>
    </row>
    <row r="29" ht="18.75" customHeight="1" s="122">
      <c r="A29" s="144" t="n">
        <v>18</v>
      </c>
      <c r="B29" s="144" t="inlineStr">
        <is>
          <t>MK017</t>
        </is>
      </c>
      <c r="C29" s="147" t="inlineStr">
        <is>
          <t>عرفات الشوقية</t>
        </is>
      </c>
      <c r="D29" s="144" t="inlineStr">
        <is>
          <t>مكة</t>
        </is>
      </c>
      <c r="E29" s="144" t="inlineStr">
        <is>
          <t>حيوية</t>
        </is>
      </c>
      <c r="F29" s="152" t="n">
        <v>9931491</v>
      </c>
      <c r="G29" s="208" t="n">
        <v>0.06900000000000001</v>
      </c>
      <c r="H29" s="141" t="inlineStr">
        <is>
          <t>صاعدة</t>
        </is>
      </c>
      <c r="I29" s="208">
        <f>IFERROR(IF(H29="هابطة",G29*$H$7,INDEX($H$7:$H$10,MATCH(H29,$G$7:$G$10,0))),"")</f>
        <v/>
      </c>
      <c r="J29" s="152">
        <f>IFERROR(F29*(1+I29),"")</f>
        <v/>
      </c>
      <c r="K29" s="209">
        <f>IFERROR(J29-F29,"")</f>
        <v/>
      </c>
      <c r="L29" s="208">
        <f>IFERROR(K29/F29,"")</f>
        <v/>
      </c>
      <c r="M29" s="209">
        <f>IFERROR(ROUNDUP(K29/$D$7,0),"")</f>
        <v/>
      </c>
      <c r="N29" s="193" t="n">
        <v>8.800000000000001</v>
      </c>
      <c r="O29" s="210">
        <f>IFERROR(K29*$D$6,"")</f>
        <v/>
      </c>
      <c r="P29" s="144">
        <f>IFERROR(RANK(K29,$K$12:$K$66),"")</f>
        <v/>
      </c>
    </row>
    <row r="30" ht="18.75" customHeight="1" s="122">
      <c r="A30" s="144" t="n">
        <v>19</v>
      </c>
      <c r="B30" s="144" t="inlineStr">
        <is>
          <t>MK020</t>
        </is>
      </c>
      <c r="C30" s="147" t="inlineStr">
        <is>
          <t>ممشى الشوقية</t>
        </is>
      </c>
      <c r="D30" s="144" t="inlineStr">
        <is>
          <t>مكة</t>
        </is>
      </c>
      <c r="E30" s="144" t="inlineStr">
        <is>
          <t>حيوية</t>
        </is>
      </c>
      <c r="F30" s="152" t="n">
        <v>9558604</v>
      </c>
      <c r="G30" s="208" t="n">
        <v>0.042</v>
      </c>
      <c r="H30" s="142" t="inlineStr">
        <is>
          <t>راكدة</t>
        </is>
      </c>
      <c r="I30" s="208">
        <f>IFERROR(IF(H30="هابطة",G30*$H$7,INDEX($H$7:$H$10,MATCH(H30,$G$7:$G$10,0))),"")</f>
        <v/>
      </c>
      <c r="J30" s="152">
        <f>IFERROR(F30*(1+I30),"")</f>
        <v/>
      </c>
      <c r="K30" s="209">
        <f>IFERROR(J30-F30,"")</f>
        <v/>
      </c>
      <c r="L30" s="208">
        <f>IFERROR(K30/F30,"")</f>
        <v/>
      </c>
      <c r="M30" s="209">
        <f>IFERROR(ROUNDUP(K30/$D$7,0),"")</f>
        <v/>
      </c>
      <c r="N30" s="193" t="n">
        <v>6.1</v>
      </c>
      <c r="O30" s="210">
        <f>IFERROR(K30*$D$6,"")</f>
        <v/>
      </c>
      <c r="P30" s="144">
        <f>IFERROR(RANK(K30,$K$12:$K$66),"")</f>
        <v/>
      </c>
    </row>
    <row r="31" ht="18.75" customHeight="1" s="122">
      <c r="A31" s="144" t="n">
        <v>20</v>
      </c>
      <c r="B31" s="144" t="inlineStr">
        <is>
          <t>MK063</t>
        </is>
      </c>
      <c r="C31" s="147" t="inlineStr">
        <is>
          <t>السواط - شهار</t>
        </is>
      </c>
      <c r="D31" s="144" t="inlineStr">
        <is>
          <t>الطائف</t>
        </is>
      </c>
      <c r="E31" s="144" t="inlineStr">
        <is>
          <t>مختلط</t>
        </is>
      </c>
      <c r="F31" s="152" t="n">
        <v>9064151</v>
      </c>
      <c r="G31" s="208" t="n">
        <v>0.177</v>
      </c>
      <c r="H31" s="141" t="inlineStr">
        <is>
          <t>صاعدة</t>
        </is>
      </c>
      <c r="I31" s="208">
        <f>IFERROR(IF(H31="هابطة",G31*$H$7,INDEX($H$7:$H$10,MATCH(H31,$G$7:$G$10,0))),"")</f>
        <v/>
      </c>
      <c r="J31" s="152">
        <f>IFERROR(F31*(1+I31),"")</f>
        <v/>
      </c>
      <c r="K31" s="209">
        <f>IFERROR(J31-F31,"")</f>
        <v/>
      </c>
      <c r="L31" s="208">
        <f>IFERROR(K31/F31,"")</f>
        <v/>
      </c>
      <c r="M31" s="209">
        <f>IFERROR(ROUNDUP(K31/$D$7,0),"")</f>
        <v/>
      </c>
      <c r="N31" s="193" t="n">
        <v>4.8</v>
      </c>
      <c r="O31" s="210">
        <f>IFERROR(K31*$D$6,"")</f>
        <v/>
      </c>
      <c r="P31" s="144">
        <f>IFERROR(RANK(K31,$K$12:$K$66),"")</f>
        <v/>
      </c>
    </row>
    <row r="32" ht="18.75" customHeight="1" s="122">
      <c r="A32" s="144" t="n">
        <v>21</v>
      </c>
      <c r="B32" s="144" t="inlineStr">
        <is>
          <t>MK033</t>
        </is>
      </c>
      <c r="C32" s="147" t="inlineStr">
        <is>
          <t>أبو وافي العمرة</t>
        </is>
      </c>
      <c r="D32" s="144" t="inlineStr">
        <is>
          <t>مكة</t>
        </is>
      </c>
      <c r="E32" s="144" t="inlineStr">
        <is>
          <t>خط سفر</t>
        </is>
      </c>
      <c r="F32" s="152" t="n">
        <v>8548346</v>
      </c>
      <c r="G32" s="208" t="n">
        <v>-0.217</v>
      </c>
      <c r="H32" s="143" t="inlineStr">
        <is>
          <t>هابطة</t>
        </is>
      </c>
      <c r="I32" s="208">
        <f>IFERROR(IF(H32="هابطة",G32*$H$7,INDEX($H$7:$H$10,MATCH(H32,$G$7:$G$10,0))),"")</f>
        <v/>
      </c>
      <c r="J32" s="152">
        <f>IFERROR(F32*(1+I32),"")</f>
        <v/>
      </c>
      <c r="K32" s="209">
        <f>IFERROR(J32-F32,"")</f>
        <v/>
      </c>
      <c r="L32" s="208">
        <f>IFERROR(K32/F32,"")</f>
        <v/>
      </c>
      <c r="M32" s="209">
        <f>IFERROR(ROUNDUP(K32/$D$7,0),"")</f>
        <v/>
      </c>
      <c r="N32" s="193" t="n">
        <v>6.8</v>
      </c>
      <c r="O32" s="210">
        <f>IFERROR(K32*$D$6,"")</f>
        <v/>
      </c>
      <c r="P32" s="144">
        <f>IFERROR(RANK(K32,$K$12:$K$66),"")</f>
        <v/>
      </c>
    </row>
    <row r="33" ht="18.75" customHeight="1" s="122">
      <c r="A33" s="144" t="n">
        <v>22</v>
      </c>
      <c r="B33" s="144" t="inlineStr">
        <is>
          <t>MK210</t>
        </is>
      </c>
      <c r="C33" s="147" t="inlineStr">
        <is>
          <t>الفلاح - فلسطين</t>
        </is>
      </c>
      <c r="D33" s="144" t="inlineStr">
        <is>
          <t>جدة</t>
        </is>
      </c>
      <c r="E33" s="144" t="inlineStr">
        <is>
          <t>حيوية</t>
        </is>
      </c>
      <c r="F33" s="152" t="n">
        <v>7867941</v>
      </c>
      <c r="G33" s="144" t="inlineStr">
        <is>
          <t>—</t>
        </is>
      </c>
      <c r="H33" s="145" t="inlineStr">
        <is>
          <t>بلا بيانات</t>
        </is>
      </c>
      <c r="I33" s="208">
        <f>IFERROR(IF(H33="هابطة",G33*$H$7,INDEX($H$7:$H$10,MATCH(H33,$G$7:$G$10,0))),"")</f>
        <v/>
      </c>
      <c r="J33" s="152">
        <f>IFERROR(F33*(1+I33),"")</f>
        <v/>
      </c>
      <c r="K33" s="209">
        <f>IFERROR(J33-F33,"")</f>
        <v/>
      </c>
      <c r="L33" s="208">
        <f>IFERROR(K33/F33,"")</f>
        <v/>
      </c>
      <c r="M33" s="209">
        <f>IFERROR(ROUNDUP(K33/$D$7,0),"")</f>
        <v/>
      </c>
      <c r="N33" s="144" t="n"/>
      <c r="O33" s="210">
        <f>IFERROR(K33*$D$6,"")</f>
        <v/>
      </c>
      <c r="P33" s="144">
        <f>IFERROR(RANK(K33,$K$12:$K$66),"")</f>
        <v/>
      </c>
    </row>
    <row r="34" ht="18.75" customHeight="1" s="122">
      <c r="A34" s="144" t="n">
        <v>23</v>
      </c>
      <c r="B34" s="144" t="inlineStr">
        <is>
          <t>JA069</t>
        </is>
      </c>
      <c r="C34" s="147" t="inlineStr">
        <is>
          <t>كورنيش جيزان</t>
        </is>
      </c>
      <c r="D34" s="144" t="inlineStr">
        <is>
          <t>جازان</t>
        </is>
      </c>
      <c r="E34" s="144" t="inlineStr">
        <is>
          <t>حيوية</t>
        </is>
      </c>
      <c r="F34" s="152" t="n">
        <v>7444371</v>
      </c>
      <c r="G34" s="208" t="n">
        <v>0.18</v>
      </c>
      <c r="H34" s="141" t="inlineStr">
        <is>
          <t>صاعدة</t>
        </is>
      </c>
      <c r="I34" s="208">
        <f>IFERROR(IF(H34="هابطة",G34*$H$7,INDEX($H$7:$H$10,MATCH(H34,$G$7:$G$10,0))),"")</f>
        <v/>
      </c>
      <c r="J34" s="152">
        <f>IFERROR(F34*(1+I34),"")</f>
        <v/>
      </c>
      <c r="K34" s="209">
        <f>IFERROR(J34-F34,"")</f>
        <v/>
      </c>
      <c r="L34" s="208">
        <f>IFERROR(K34/F34,"")</f>
        <v/>
      </c>
      <c r="M34" s="209">
        <f>IFERROR(ROUNDUP(K34/$D$7,0),"")</f>
        <v/>
      </c>
      <c r="N34" s="193" t="n">
        <v>5.9</v>
      </c>
      <c r="O34" s="210">
        <f>IFERROR(K34*$D$6,"")</f>
        <v/>
      </c>
      <c r="P34" s="144">
        <f>IFERROR(RANK(K34,$K$12:$K$66),"")</f>
        <v/>
      </c>
    </row>
    <row r="35" ht="18.75" customHeight="1" s="122">
      <c r="A35" s="144" t="n">
        <v>24</v>
      </c>
      <c r="B35" s="144" t="inlineStr">
        <is>
          <t>MK064</t>
        </is>
      </c>
      <c r="C35" s="147" t="inlineStr">
        <is>
          <t>الجعرانة</t>
        </is>
      </c>
      <c r="D35" s="144" t="inlineStr">
        <is>
          <t>مكة</t>
        </is>
      </c>
      <c r="E35" s="144" t="inlineStr">
        <is>
          <t>حي</t>
        </is>
      </c>
      <c r="F35" s="152" t="n">
        <v>7193020</v>
      </c>
      <c r="G35" s="208" t="n">
        <v>-0.033</v>
      </c>
      <c r="H35" s="142" t="inlineStr">
        <is>
          <t>راكدة</t>
        </is>
      </c>
      <c r="I35" s="208">
        <f>IFERROR(IF(H35="هابطة",G35*$H$7,INDEX($H$7:$H$10,MATCH(H35,$G$7:$G$10,0))),"")</f>
        <v/>
      </c>
      <c r="J35" s="152">
        <f>IFERROR(F35*(1+I35),"")</f>
        <v/>
      </c>
      <c r="K35" s="209">
        <f>IFERROR(J35-F35,"")</f>
        <v/>
      </c>
      <c r="L35" s="208">
        <f>IFERROR(K35/F35,"")</f>
        <v/>
      </c>
      <c r="M35" s="209">
        <f>IFERROR(ROUNDUP(K35/$D$7,0),"")</f>
        <v/>
      </c>
      <c r="N35" s="193" t="n">
        <v>7.1</v>
      </c>
      <c r="O35" s="210">
        <f>IFERROR(K35*$D$6,"")</f>
        <v/>
      </c>
      <c r="P35" s="144">
        <f>IFERROR(RANK(K35,$K$12:$K$66),"")</f>
        <v/>
      </c>
    </row>
    <row r="36" ht="18.75" customHeight="1" s="122">
      <c r="A36" s="144" t="n">
        <v>25</v>
      </c>
      <c r="B36" s="144" t="inlineStr">
        <is>
          <t>RY025</t>
        </is>
      </c>
      <c r="C36" s="147" t="inlineStr">
        <is>
          <t>الحمرا - طريق الملك عبدالله</t>
        </is>
      </c>
      <c r="D36" s="144" t="inlineStr">
        <is>
          <t>الخرج</t>
        </is>
      </c>
      <c r="E36" s="144" t="inlineStr">
        <is>
          <t>غير مصنفة</t>
        </is>
      </c>
      <c r="F36" s="152" t="n">
        <v>7191456</v>
      </c>
      <c r="G36" s="208" t="n">
        <v>0.186</v>
      </c>
      <c r="H36" s="141" t="inlineStr">
        <is>
          <t>صاعدة</t>
        </is>
      </c>
      <c r="I36" s="208">
        <f>IFERROR(IF(H36="هابطة",G36*$H$7,INDEX($H$7:$H$10,MATCH(H36,$G$7:$G$10,0))),"")</f>
        <v/>
      </c>
      <c r="J36" s="152">
        <f>IFERROR(F36*(1+I36),"")</f>
        <v/>
      </c>
      <c r="K36" s="209">
        <f>IFERROR(J36-F36,"")</f>
        <v/>
      </c>
      <c r="L36" s="208">
        <f>IFERROR(K36/F36,"")</f>
        <v/>
      </c>
      <c r="M36" s="209">
        <f>IFERROR(ROUNDUP(K36/$D$7,0),"")</f>
        <v/>
      </c>
      <c r="N36" s="193" t="n">
        <v>7.8</v>
      </c>
      <c r="O36" s="210">
        <f>IFERROR(K36*$D$6,"")</f>
        <v/>
      </c>
      <c r="P36" s="144">
        <f>IFERROR(RANK(K36,$K$12:$K$66),"")</f>
        <v/>
      </c>
    </row>
    <row r="37" ht="18.75" customHeight="1" s="122">
      <c r="A37" s="144" t="n">
        <v>26</v>
      </c>
      <c r="B37" s="144" t="inlineStr">
        <is>
          <t>MK002</t>
        </is>
      </c>
      <c r="C37" s="147" t="inlineStr">
        <is>
          <t>المعيصم</t>
        </is>
      </c>
      <c r="D37" s="144" t="inlineStr">
        <is>
          <t>مكة</t>
        </is>
      </c>
      <c r="E37" s="144" t="inlineStr">
        <is>
          <t>حيوية</t>
        </is>
      </c>
      <c r="F37" s="152" t="n">
        <v>6999984</v>
      </c>
      <c r="G37" s="208" t="n">
        <v>-0.533</v>
      </c>
      <c r="H37" s="143" t="inlineStr">
        <is>
          <t>هابطة</t>
        </is>
      </c>
      <c r="I37" s="208">
        <f>IFERROR(IF(H37="هابطة",G37*$H$7,INDEX($H$7:$H$10,MATCH(H37,$G$7:$G$10,0))),"")</f>
        <v/>
      </c>
      <c r="J37" s="152">
        <f>IFERROR(F37*(1+I37),"")</f>
        <v/>
      </c>
      <c r="K37" s="209">
        <f>IFERROR(J37-F37,"")</f>
        <v/>
      </c>
      <c r="L37" s="208">
        <f>IFERROR(K37/F37,"")</f>
        <v/>
      </c>
      <c r="M37" s="209">
        <f>IFERROR(ROUNDUP(K37/$D$7,0),"")</f>
        <v/>
      </c>
      <c r="N37" s="193" t="n">
        <v>12.5</v>
      </c>
      <c r="O37" s="210">
        <f>IFERROR(K37*$D$6,"")</f>
        <v/>
      </c>
      <c r="P37" s="144">
        <f>IFERROR(RANK(K37,$K$12:$K$66),"")</f>
        <v/>
      </c>
    </row>
    <row r="38" ht="18.75" customHeight="1" s="122">
      <c r="A38" s="144" t="n">
        <v>27</v>
      </c>
      <c r="B38" s="144" t="inlineStr">
        <is>
          <t>AS153</t>
        </is>
      </c>
      <c r="C38" s="147" t="inlineStr">
        <is>
          <t>مدخل محايل</t>
        </is>
      </c>
      <c r="D38" s="144" t="inlineStr">
        <is>
          <t>عسير</t>
        </is>
      </c>
      <c r="E38" s="144" t="inlineStr">
        <is>
          <t>غير مصنفة</t>
        </is>
      </c>
      <c r="F38" s="152" t="n">
        <v>6980426</v>
      </c>
      <c r="G38" s="144" t="inlineStr">
        <is>
          <t>—</t>
        </is>
      </c>
      <c r="H38" s="145" t="inlineStr">
        <is>
          <t>بلا بيانات</t>
        </is>
      </c>
      <c r="I38" s="208">
        <f>IFERROR(IF(H38="هابطة",G38*$H$7,INDEX($H$7:$H$10,MATCH(H38,$G$7:$G$10,0))),"")</f>
        <v/>
      </c>
      <c r="J38" s="152">
        <f>IFERROR(F38*(1+I38),"")</f>
        <v/>
      </c>
      <c r="K38" s="209">
        <f>IFERROR(J38-F38,"")</f>
        <v/>
      </c>
      <c r="L38" s="208">
        <f>IFERROR(K38/F38,"")</f>
        <v/>
      </c>
      <c r="M38" s="209">
        <f>IFERROR(ROUNDUP(K38/$D$7,0),"")</f>
        <v/>
      </c>
      <c r="N38" s="193" t="n">
        <v>6.8</v>
      </c>
      <c r="O38" s="210">
        <f>IFERROR(K38*$D$6,"")</f>
        <v/>
      </c>
      <c r="P38" s="144">
        <f>IFERROR(RANK(K38,$K$12:$K$66),"")</f>
        <v/>
      </c>
    </row>
    <row r="39" ht="18.75" customHeight="1" s="122">
      <c r="A39" s="144" t="n">
        <v>28</v>
      </c>
      <c r="B39" s="144" t="inlineStr">
        <is>
          <t>MK018</t>
        </is>
      </c>
      <c r="C39" s="147" t="inlineStr">
        <is>
          <t>الرصيفة المسار</t>
        </is>
      </c>
      <c r="D39" s="144" t="inlineStr">
        <is>
          <t>مكة</t>
        </is>
      </c>
      <c r="E39" s="144" t="inlineStr">
        <is>
          <t>حيوية</t>
        </is>
      </c>
      <c r="F39" s="152" t="n">
        <v>6955614</v>
      </c>
      <c r="G39" s="144" t="inlineStr">
        <is>
          <t>—</t>
        </is>
      </c>
      <c r="H39" s="145" t="inlineStr">
        <is>
          <t>بلا بيانات</t>
        </is>
      </c>
      <c r="I39" s="208">
        <f>IFERROR(IF(H39="هابطة",G39*$H$7,INDEX($H$7:$H$10,MATCH(H39,$G$7:$G$10,0))),"")</f>
        <v/>
      </c>
      <c r="J39" s="152">
        <f>IFERROR(F39*(1+I39),"")</f>
        <v/>
      </c>
      <c r="K39" s="209">
        <f>IFERROR(J39-F39,"")</f>
        <v/>
      </c>
      <c r="L39" s="208">
        <f>IFERROR(K39/F39,"")</f>
        <v/>
      </c>
      <c r="M39" s="209">
        <f>IFERROR(ROUNDUP(K39/$D$7,0),"")</f>
        <v/>
      </c>
      <c r="N39" s="193" t="n">
        <v>7.3</v>
      </c>
      <c r="O39" s="210">
        <f>IFERROR(K39*$D$6,"")</f>
        <v/>
      </c>
      <c r="P39" s="144">
        <f>IFERROR(RANK(K39,$K$12:$K$66),"")</f>
        <v/>
      </c>
    </row>
    <row r="40" ht="18.75" customHeight="1" s="122">
      <c r="A40" s="144" t="n">
        <v>29</v>
      </c>
      <c r="B40" s="144" t="inlineStr">
        <is>
          <t>MK035</t>
        </is>
      </c>
      <c r="C40" s="147" t="inlineStr">
        <is>
          <t>الجمعية الوسام</t>
        </is>
      </c>
      <c r="D40" s="144" t="inlineStr">
        <is>
          <t>الطائف</t>
        </is>
      </c>
      <c r="E40" s="144" t="inlineStr">
        <is>
          <t>مختلط</t>
        </is>
      </c>
      <c r="F40" s="152" t="n">
        <v>6835043</v>
      </c>
      <c r="G40" s="208" t="n">
        <v>0.083</v>
      </c>
      <c r="H40" s="141" t="inlineStr">
        <is>
          <t>صاعدة</t>
        </is>
      </c>
      <c r="I40" s="208">
        <f>IFERROR(IF(H40="هابطة",G40*$H$7,INDEX($H$7:$H$10,MATCH(H40,$G$7:$G$10,0))),"")</f>
        <v/>
      </c>
      <c r="J40" s="152">
        <f>IFERROR(F40*(1+I40),"")</f>
        <v/>
      </c>
      <c r="K40" s="209">
        <f>IFERROR(J40-F40,"")</f>
        <v/>
      </c>
      <c r="L40" s="208">
        <f>IFERROR(K40/F40,"")</f>
        <v/>
      </c>
      <c r="M40" s="209">
        <f>IFERROR(ROUNDUP(K40/$D$7,0),"")</f>
        <v/>
      </c>
      <c r="N40" s="193" t="n">
        <v>6.4</v>
      </c>
      <c r="O40" s="210">
        <f>IFERROR(K40*$D$6,"")</f>
        <v/>
      </c>
      <c r="P40" s="144">
        <f>IFERROR(RANK(K40,$K$12:$K$66),"")</f>
        <v/>
      </c>
    </row>
    <row r="41" ht="18.75" customHeight="1" s="122">
      <c r="A41" s="144" t="n">
        <v>30</v>
      </c>
      <c r="B41" s="144" t="inlineStr">
        <is>
          <t>MK068</t>
        </is>
      </c>
      <c r="C41" s="147" t="inlineStr">
        <is>
          <t>الجموم - الكنيدري</t>
        </is>
      </c>
      <c r="D41" s="144" t="inlineStr">
        <is>
          <t>مكة</t>
        </is>
      </c>
      <c r="E41" s="144" t="inlineStr">
        <is>
          <t>مختلط</t>
        </is>
      </c>
      <c r="F41" s="152" t="n">
        <v>6267957</v>
      </c>
      <c r="G41" s="208" t="n">
        <v>-0.068</v>
      </c>
      <c r="H41" s="143" t="inlineStr">
        <is>
          <t>هابطة</t>
        </is>
      </c>
      <c r="I41" s="208">
        <f>IFERROR(IF(H41="هابطة",G41*$H$7,INDEX($H$7:$H$10,MATCH(H41,$G$7:$G$10,0))),"")</f>
        <v/>
      </c>
      <c r="J41" s="152">
        <f>IFERROR(F41*(1+I41),"")</f>
        <v/>
      </c>
      <c r="K41" s="209">
        <f>IFERROR(J41-F41,"")</f>
        <v/>
      </c>
      <c r="L41" s="208">
        <f>IFERROR(K41/F41,"")</f>
        <v/>
      </c>
      <c r="M41" s="209">
        <f>IFERROR(ROUNDUP(K41/$D$7,0),"")</f>
        <v/>
      </c>
      <c r="N41" s="193" t="n">
        <v>7</v>
      </c>
      <c r="O41" s="210">
        <f>IFERROR(K41*$D$6,"")</f>
        <v/>
      </c>
      <c r="P41" s="144">
        <f>IFERROR(RANK(K41,$K$12:$K$66),"")</f>
        <v/>
      </c>
    </row>
    <row r="42" ht="18.75" customHeight="1" s="122">
      <c r="A42" s="144" t="n">
        <v>31</v>
      </c>
      <c r="B42" s="144" t="inlineStr">
        <is>
          <t>MK022</t>
        </is>
      </c>
      <c r="C42" s="147" t="inlineStr">
        <is>
          <t>بطحاء قريش 1</t>
        </is>
      </c>
      <c r="D42" s="144" t="inlineStr">
        <is>
          <t>مكة</t>
        </is>
      </c>
      <c r="E42" s="144" t="inlineStr">
        <is>
          <t>حي</t>
        </is>
      </c>
      <c r="F42" s="152" t="n">
        <v>6241831</v>
      </c>
      <c r="G42" s="208" t="n">
        <v>-0.045</v>
      </c>
      <c r="H42" s="142" t="inlineStr">
        <is>
          <t>راكدة</t>
        </is>
      </c>
      <c r="I42" s="208">
        <f>IFERROR(IF(H42="هابطة",G42*$H$7,INDEX($H$7:$H$10,MATCH(H42,$G$7:$G$10,0))),"")</f>
        <v/>
      </c>
      <c r="J42" s="152">
        <f>IFERROR(F42*(1+I42),"")</f>
        <v/>
      </c>
      <c r="K42" s="209">
        <f>IFERROR(J42-F42,"")</f>
        <v/>
      </c>
      <c r="L42" s="208">
        <f>IFERROR(K42/F42,"")</f>
        <v/>
      </c>
      <c r="M42" s="209">
        <f>IFERROR(ROUNDUP(K42/$D$7,0),"")</f>
        <v/>
      </c>
      <c r="N42" s="193" t="n">
        <v>9.4</v>
      </c>
      <c r="O42" s="210">
        <f>IFERROR(K42*$D$6,"")</f>
        <v/>
      </c>
      <c r="P42" s="144">
        <f>IFERROR(RANK(K42,$K$12:$K$66),"")</f>
        <v/>
      </c>
    </row>
    <row r="43" ht="18.75" customHeight="1" s="122">
      <c r="A43" s="144" t="n">
        <v>32</v>
      </c>
      <c r="B43" s="144" t="inlineStr">
        <is>
          <t>MK054</t>
        </is>
      </c>
      <c r="C43" s="147" t="inlineStr">
        <is>
          <t>طريق السيل</t>
        </is>
      </c>
      <c r="D43" s="144" t="inlineStr">
        <is>
          <t>مكة</t>
        </is>
      </c>
      <c r="E43" s="144" t="inlineStr">
        <is>
          <t>خط سفر</t>
        </is>
      </c>
      <c r="F43" s="152" t="n">
        <v>6066855</v>
      </c>
      <c r="G43" s="144" t="inlineStr">
        <is>
          <t>—</t>
        </is>
      </c>
      <c r="H43" s="145" t="inlineStr">
        <is>
          <t>بلا بيانات</t>
        </is>
      </c>
      <c r="I43" s="208">
        <f>IFERROR(IF(H43="هابطة",G43*$H$7,INDEX($H$7:$H$10,MATCH(H43,$G$7:$G$10,0))),"")</f>
        <v/>
      </c>
      <c r="J43" s="152">
        <f>IFERROR(F43*(1+I43),"")</f>
        <v/>
      </c>
      <c r="K43" s="209">
        <f>IFERROR(J43-F43,"")</f>
        <v/>
      </c>
      <c r="L43" s="208">
        <f>IFERROR(K43/F43,"")</f>
        <v/>
      </c>
      <c r="M43" s="209">
        <f>IFERROR(ROUNDUP(K43/$D$7,0),"")</f>
        <v/>
      </c>
      <c r="N43" s="193" t="n">
        <v>8.699999999999999</v>
      </c>
      <c r="O43" s="210">
        <f>IFERROR(K43*$D$6,"")</f>
        <v/>
      </c>
      <c r="P43" s="144">
        <f>IFERROR(RANK(K43,$K$12:$K$66),"")</f>
        <v/>
      </c>
    </row>
    <row r="44" ht="18.75" customHeight="1" s="122">
      <c r="A44" s="144" t="n">
        <v>33</v>
      </c>
      <c r="B44" s="144" t="inlineStr">
        <is>
          <t>JA348</t>
        </is>
      </c>
      <c r="C44" s="147" t="inlineStr">
        <is>
          <t>جنوب صبيا</t>
        </is>
      </c>
      <c r="D44" s="144" t="inlineStr">
        <is>
          <t>جازان</t>
        </is>
      </c>
      <c r="E44" s="144" t="inlineStr">
        <is>
          <t>غير مصنفة</t>
        </is>
      </c>
      <c r="F44" s="152" t="n">
        <v>6046920</v>
      </c>
      <c r="G44" s="144" t="inlineStr">
        <is>
          <t>—</t>
        </is>
      </c>
      <c r="H44" s="145" t="inlineStr">
        <is>
          <t>بلا بيانات</t>
        </is>
      </c>
      <c r="I44" s="208">
        <f>IFERROR(IF(H44="هابطة",G44*$H$7,INDEX($H$7:$H$10,MATCH(H44,$G$7:$G$10,0))),"")</f>
        <v/>
      </c>
      <c r="J44" s="152">
        <f>IFERROR(F44*(1+I44),"")</f>
        <v/>
      </c>
      <c r="K44" s="209">
        <f>IFERROR(J44-F44,"")</f>
        <v/>
      </c>
      <c r="L44" s="208">
        <f>IFERROR(K44/F44,"")</f>
        <v/>
      </c>
      <c r="M44" s="209">
        <f>IFERROR(ROUNDUP(K44/$D$7,0),"")</f>
        <v/>
      </c>
      <c r="N44" s="144" t="n"/>
      <c r="O44" s="210">
        <f>IFERROR(K44*$D$6,"")</f>
        <v/>
      </c>
      <c r="P44" s="144">
        <f>IFERROR(RANK(K44,$K$12:$K$66),"")</f>
        <v/>
      </c>
    </row>
    <row r="45" ht="18.75" customHeight="1" s="122">
      <c r="A45" s="144" t="n">
        <v>34</v>
      </c>
      <c r="B45" s="144" t="inlineStr">
        <is>
          <t>MK023</t>
        </is>
      </c>
      <c r="C45" s="147" t="inlineStr">
        <is>
          <t>بن درويش</t>
        </is>
      </c>
      <c r="D45" s="144" t="inlineStr">
        <is>
          <t>مكة</t>
        </is>
      </c>
      <c r="E45" s="144" t="inlineStr">
        <is>
          <t>حيوية</t>
        </is>
      </c>
      <c r="F45" s="152" t="n">
        <v>5899223</v>
      </c>
      <c r="G45" s="208" t="n">
        <v>-0.121</v>
      </c>
      <c r="H45" s="143" t="inlineStr">
        <is>
          <t>هابطة</t>
        </is>
      </c>
      <c r="I45" s="208">
        <f>IFERROR(IF(H45="هابطة",G45*$H$7,INDEX($H$7:$H$10,MATCH(H45,$G$7:$G$10,0))),"")</f>
        <v/>
      </c>
      <c r="J45" s="152">
        <f>IFERROR(F45*(1+I45),"")</f>
        <v/>
      </c>
      <c r="K45" s="209">
        <f>IFERROR(J45-F45,"")</f>
        <v/>
      </c>
      <c r="L45" s="208">
        <f>IFERROR(K45/F45,"")</f>
        <v/>
      </c>
      <c r="M45" s="209">
        <f>IFERROR(ROUNDUP(K45/$D$7,0),"")</f>
        <v/>
      </c>
      <c r="N45" s="193" t="n">
        <v>14.8</v>
      </c>
      <c r="O45" s="210">
        <f>IFERROR(K45*$D$6,"")</f>
        <v/>
      </c>
      <c r="P45" s="144">
        <f>IFERROR(RANK(K45,$K$12:$K$66),"")</f>
        <v/>
      </c>
    </row>
    <row r="46" ht="18.75" customHeight="1" s="122">
      <c r="A46" s="144" t="n">
        <v>35</v>
      </c>
      <c r="B46" s="144" t="inlineStr">
        <is>
          <t>MK071</t>
        </is>
      </c>
      <c r="C46" s="147" t="inlineStr">
        <is>
          <t>الأجاويد</t>
        </is>
      </c>
      <c r="D46" s="144" t="inlineStr">
        <is>
          <t>جدة</t>
        </is>
      </c>
      <c r="E46" s="144" t="inlineStr">
        <is>
          <t>حيوية</t>
        </is>
      </c>
      <c r="F46" s="152" t="n">
        <v>5722940</v>
      </c>
      <c r="G46" s="208" t="n">
        <v>0.083</v>
      </c>
      <c r="H46" s="141" t="inlineStr">
        <is>
          <t>صاعدة</t>
        </is>
      </c>
      <c r="I46" s="208">
        <f>IFERROR(IF(H46="هابطة",G46*$H$7,INDEX($H$7:$H$10,MATCH(H46,$G$7:$G$10,0))),"")</f>
        <v/>
      </c>
      <c r="J46" s="152">
        <f>IFERROR(F46*(1+I46),"")</f>
        <v/>
      </c>
      <c r="K46" s="209">
        <f>IFERROR(J46-F46,"")</f>
        <v/>
      </c>
      <c r="L46" s="208">
        <f>IFERROR(K46/F46,"")</f>
        <v/>
      </c>
      <c r="M46" s="209">
        <f>IFERROR(ROUNDUP(K46/$D$7,0),"")</f>
        <v/>
      </c>
      <c r="N46" s="193" t="n">
        <v>7.7</v>
      </c>
      <c r="O46" s="210">
        <f>IFERROR(K46*$D$6,"")</f>
        <v/>
      </c>
      <c r="P46" s="144">
        <f>IFERROR(RANK(K46,$K$12:$K$66),"")</f>
        <v/>
      </c>
    </row>
    <row r="47" ht="18.75" customHeight="1" s="122">
      <c r="A47" s="144" t="n">
        <v>36</v>
      </c>
      <c r="B47" s="144" t="inlineStr">
        <is>
          <t>JA041</t>
        </is>
      </c>
      <c r="C47" s="147" t="inlineStr">
        <is>
          <t>القسوم - أحد المسارحة</t>
        </is>
      </c>
      <c r="D47" s="144" t="inlineStr">
        <is>
          <t>جازان</t>
        </is>
      </c>
      <c r="E47" s="144" t="inlineStr">
        <is>
          <t>غير مصنفة</t>
        </is>
      </c>
      <c r="F47" s="152" t="n">
        <v>5647921</v>
      </c>
      <c r="G47" s="144" t="inlineStr">
        <is>
          <t>—</t>
        </is>
      </c>
      <c r="H47" s="145" t="inlineStr">
        <is>
          <t>بلا بيانات</t>
        </is>
      </c>
      <c r="I47" s="208">
        <f>IFERROR(IF(H47="هابطة",G47*$H$7,INDEX($H$7:$H$10,MATCH(H47,$G$7:$G$10,0))),"")</f>
        <v/>
      </c>
      <c r="J47" s="152">
        <f>IFERROR(F47*(1+I47),"")</f>
        <v/>
      </c>
      <c r="K47" s="209">
        <f>IFERROR(J47-F47,"")</f>
        <v/>
      </c>
      <c r="L47" s="208">
        <f>IFERROR(K47/F47,"")</f>
        <v/>
      </c>
      <c r="M47" s="209">
        <f>IFERROR(ROUNDUP(K47/$D$7,0),"")</f>
        <v/>
      </c>
      <c r="N47" s="193" t="n">
        <v>10.3</v>
      </c>
      <c r="O47" s="210">
        <f>IFERROR(K47*$D$6,"")</f>
        <v/>
      </c>
      <c r="P47" s="144">
        <f>IFERROR(RANK(K47,$K$12:$K$66),"")</f>
        <v/>
      </c>
    </row>
    <row r="48" ht="18.75" customHeight="1" s="122">
      <c r="A48" s="144" t="n">
        <v>37</v>
      </c>
      <c r="B48" s="144" t="inlineStr">
        <is>
          <t>MK084</t>
        </is>
      </c>
      <c r="C48" s="147" t="inlineStr">
        <is>
          <t>الكر النازل</t>
        </is>
      </c>
      <c r="D48" s="144" t="inlineStr">
        <is>
          <t>مكة</t>
        </is>
      </c>
      <c r="E48" s="144" t="inlineStr">
        <is>
          <t>خط سفر</t>
        </is>
      </c>
      <c r="F48" s="152" t="n">
        <v>5545862</v>
      </c>
      <c r="G48" s="208" t="n">
        <v>-0.126</v>
      </c>
      <c r="H48" s="143" t="inlineStr">
        <is>
          <t>هابطة</t>
        </is>
      </c>
      <c r="I48" s="208">
        <f>IFERROR(IF(H48="هابطة",G48*$H$7,INDEX($H$7:$H$10,MATCH(H48,$G$7:$G$10,0))),"")</f>
        <v/>
      </c>
      <c r="J48" s="152">
        <f>IFERROR(F48*(1+I48),"")</f>
        <v/>
      </c>
      <c r="K48" s="209">
        <f>IFERROR(J48-F48,"")</f>
        <v/>
      </c>
      <c r="L48" s="208">
        <f>IFERROR(K48/F48,"")</f>
        <v/>
      </c>
      <c r="M48" s="209">
        <f>IFERROR(ROUNDUP(K48/$D$7,0),"")</f>
        <v/>
      </c>
      <c r="N48" s="193" t="n">
        <v>10.5</v>
      </c>
      <c r="O48" s="210">
        <f>IFERROR(K48*$D$6,"")</f>
        <v/>
      </c>
      <c r="P48" s="144">
        <f>IFERROR(RANK(K48,$K$12:$K$66),"")</f>
        <v/>
      </c>
    </row>
    <row r="49" ht="18.75" customHeight="1" s="122">
      <c r="A49" s="144" t="n">
        <v>38</v>
      </c>
      <c r="B49" s="144" t="inlineStr">
        <is>
          <t>MK093</t>
        </is>
      </c>
      <c r="C49" s="147" t="inlineStr">
        <is>
          <t>الملك خالد</t>
        </is>
      </c>
      <c r="D49" s="144" t="inlineStr">
        <is>
          <t>الطائف</t>
        </is>
      </c>
      <c r="E49" s="144" t="inlineStr">
        <is>
          <t>حي</t>
        </is>
      </c>
      <c r="F49" s="152" t="n">
        <v>5284855</v>
      </c>
      <c r="G49" s="208" t="n">
        <v>0.082</v>
      </c>
      <c r="H49" s="141" t="inlineStr">
        <is>
          <t>صاعدة</t>
        </is>
      </c>
      <c r="I49" s="208">
        <f>IFERROR(IF(H49="هابطة",G49*$H$7,INDEX($H$7:$H$10,MATCH(H49,$G$7:$G$10,0))),"")</f>
        <v/>
      </c>
      <c r="J49" s="152">
        <f>IFERROR(F49*(1+I49),"")</f>
        <v/>
      </c>
      <c r="K49" s="209">
        <f>IFERROR(J49-F49,"")</f>
        <v/>
      </c>
      <c r="L49" s="208">
        <f>IFERROR(K49/F49,"")</f>
        <v/>
      </c>
      <c r="M49" s="209">
        <f>IFERROR(ROUNDUP(K49/$D$7,0),"")</f>
        <v/>
      </c>
      <c r="N49" s="193" t="n">
        <v>8.300000000000001</v>
      </c>
      <c r="O49" s="210">
        <f>IFERROR(K49*$D$6,"")</f>
        <v/>
      </c>
      <c r="P49" s="144">
        <f>IFERROR(RANK(K49,$K$12:$K$66),"")</f>
        <v/>
      </c>
    </row>
    <row r="50" ht="18.75" customHeight="1" s="122">
      <c r="A50" s="144" t="n">
        <v>39</v>
      </c>
      <c r="B50" s="144" t="inlineStr">
        <is>
          <t>EP051</t>
        </is>
      </c>
      <c r="C50" s="147" t="inlineStr">
        <is>
          <t>كورنيش الخبر</t>
        </is>
      </c>
      <c r="D50" s="144" t="inlineStr">
        <is>
          <t>الشرقية</t>
        </is>
      </c>
      <c r="E50" s="144" t="inlineStr">
        <is>
          <t>حيوية</t>
        </is>
      </c>
      <c r="F50" s="152" t="n">
        <v>5197774</v>
      </c>
      <c r="G50" s="208" t="n">
        <v>0.327</v>
      </c>
      <c r="H50" s="141" t="inlineStr">
        <is>
          <t>صاعدة</t>
        </is>
      </c>
      <c r="I50" s="208">
        <f>IFERROR(IF(H50="هابطة",G50*$H$7,INDEX($H$7:$H$10,MATCH(H50,$G$7:$G$10,0))),"")</f>
        <v/>
      </c>
      <c r="J50" s="152">
        <f>IFERROR(F50*(1+I50),"")</f>
        <v/>
      </c>
      <c r="K50" s="209">
        <f>IFERROR(J50-F50,"")</f>
        <v/>
      </c>
      <c r="L50" s="208">
        <f>IFERROR(K50/F50,"")</f>
        <v/>
      </c>
      <c r="M50" s="209">
        <f>IFERROR(ROUNDUP(K50/$D$7,0),"")</f>
        <v/>
      </c>
      <c r="N50" s="193" t="n">
        <v>8.4</v>
      </c>
      <c r="O50" s="210">
        <f>IFERROR(K50*$D$6,"")</f>
        <v/>
      </c>
      <c r="P50" s="144">
        <f>IFERROR(RANK(K50,$K$12:$K$66),"")</f>
        <v/>
      </c>
    </row>
    <row r="51" ht="18.75" customHeight="1" s="122">
      <c r="A51" s="144" t="n">
        <v>40</v>
      </c>
      <c r="B51" s="144" t="inlineStr">
        <is>
          <t>JA053</t>
        </is>
      </c>
      <c r="C51" s="147" t="inlineStr">
        <is>
          <t>خبت نخلان</t>
        </is>
      </c>
      <c r="D51" s="144" t="inlineStr">
        <is>
          <t>جازان</t>
        </is>
      </c>
      <c r="E51" s="144" t="inlineStr">
        <is>
          <t>نائية</t>
        </is>
      </c>
      <c r="F51" s="152" t="n">
        <v>4362115</v>
      </c>
      <c r="G51" s="208" t="n">
        <v>-0.008999999999999999</v>
      </c>
      <c r="H51" s="142" t="inlineStr">
        <is>
          <t>راكدة</t>
        </is>
      </c>
      <c r="I51" s="208">
        <f>IFERROR(IF(H51="هابطة",G51*$H$7,INDEX($H$7:$H$10,MATCH(H51,$G$7:$G$10,0))),"")</f>
        <v/>
      </c>
      <c r="J51" s="152">
        <f>IFERROR(F51*(1+I51),"")</f>
        <v/>
      </c>
      <c r="K51" s="209">
        <f>IFERROR(J51-F51,"")</f>
        <v/>
      </c>
      <c r="L51" s="208">
        <f>IFERROR(K51/F51,"")</f>
        <v/>
      </c>
      <c r="M51" s="209">
        <f>IFERROR(ROUNDUP(K51/$D$7,0),"")</f>
        <v/>
      </c>
      <c r="N51" s="193" t="n">
        <v>10.2</v>
      </c>
      <c r="O51" s="210">
        <f>IFERROR(K51*$D$6,"")</f>
        <v/>
      </c>
      <c r="P51" s="144">
        <f>IFERROR(RANK(K51,$K$12:$K$66),"")</f>
        <v/>
      </c>
    </row>
    <row r="52" ht="18.75" customHeight="1" s="122">
      <c r="A52" s="144" t="n">
        <v>41</v>
      </c>
      <c r="B52" s="144" t="inlineStr">
        <is>
          <t>RY024</t>
        </is>
      </c>
      <c r="C52" s="147" t="inlineStr">
        <is>
          <t>غرناطة - طريق الملك عبدالله</t>
        </is>
      </c>
      <c r="D52" s="144" t="inlineStr">
        <is>
          <t>الخرج</t>
        </is>
      </c>
      <c r="E52" s="144" t="inlineStr">
        <is>
          <t>غير مصنفة</t>
        </is>
      </c>
      <c r="F52" s="152" t="n">
        <v>4341977</v>
      </c>
      <c r="G52" s="208" t="n">
        <v>0.064</v>
      </c>
      <c r="H52" s="141" t="inlineStr">
        <is>
          <t>صاعدة</t>
        </is>
      </c>
      <c r="I52" s="208">
        <f>IFERROR(IF(H52="هابطة",G52*$H$7,INDEX($H$7:$H$10,MATCH(H52,$G$7:$G$10,0))),"")</f>
        <v/>
      </c>
      <c r="J52" s="152">
        <f>IFERROR(F52*(1+I52),"")</f>
        <v/>
      </c>
      <c r="K52" s="209">
        <f>IFERROR(J52-F52,"")</f>
        <v/>
      </c>
      <c r="L52" s="208">
        <f>IFERROR(K52/F52,"")</f>
        <v/>
      </c>
      <c r="M52" s="209">
        <f>IFERROR(ROUNDUP(K52/$D$7,0),"")</f>
        <v/>
      </c>
      <c r="N52" s="193" t="n">
        <v>12.9</v>
      </c>
      <c r="O52" s="210">
        <f>IFERROR(K52*$D$6,"")</f>
        <v/>
      </c>
      <c r="P52" s="144">
        <f>IFERROR(RANK(K52,$K$12:$K$66),"")</f>
        <v/>
      </c>
    </row>
    <row r="53" ht="18.75" customHeight="1" s="122">
      <c r="A53" s="144" t="n">
        <v>42</v>
      </c>
      <c r="B53" s="144" t="inlineStr">
        <is>
          <t>JA061</t>
        </is>
      </c>
      <c r="C53" s="147" t="inlineStr">
        <is>
          <t>طريق صبيا</t>
        </is>
      </c>
      <c r="D53" s="144" t="inlineStr">
        <is>
          <t>جازان</t>
        </is>
      </c>
      <c r="E53" s="144" t="inlineStr">
        <is>
          <t>حيوية</t>
        </is>
      </c>
      <c r="F53" s="152" t="n">
        <v>4191108</v>
      </c>
      <c r="G53" s="208" t="n">
        <v>-0.044</v>
      </c>
      <c r="H53" s="142" t="inlineStr">
        <is>
          <t>راكدة</t>
        </is>
      </c>
      <c r="I53" s="208">
        <f>IFERROR(IF(H53="هابطة",G53*$H$7,INDEX($H$7:$H$10,MATCH(H53,$G$7:$G$10,0))),"")</f>
        <v/>
      </c>
      <c r="J53" s="152">
        <f>IFERROR(F53*(1+I53),"")</f>
        <v/>
      </c>
      <c r="K53" s="209">
        <f>IFERROR(J53-F53,"")</f>
        <v/>
      </c>
      <c r="L53" s="208">
        <f>IFERROR(K53/F53,"")</f>
        <v/>
      </c>
      <c r="M53" s="209">
        <f>IFERROR(ROUNDUP(K53/$D$7,0),"")</f>
        <v/>
      </c>
      <c r="N53" s="193" t="n">
        <v>10.5</v>
      </c>
      <c r="O53" s="210">
        <f>IFERROR(K53*$D$6,"")</f>
        <v/>
      </c>
      <c r="P53" s="144">
        <f>IFERROR(RANK(K53,$K$12:$K$66),"")</f>
        <v/>
      </c>
    </row>
    <row r="54" ht="18.75" customHeight="1" s="122">
      <c r="A54" s="144" t="n">
        <v>43</v>
      </c>
      <c r="B54" s="144" t="inlineStr">
        <is>
          <t>MK031</t>
        </is>
      </c>
      <c r="C54" s="147" t="inlineStr">
        <is>
          <t>بطحاء قريش 2</t>
        </is>
      </c>
      <c r="D54" s="144" t="inlineStr">
        <is>
          <t>مكة</t>
        </is>
      </c>
      <c r="E54" s="144" t="inlineStr">
        <is>
          <t>حيوية</t>
        </is>
      </c>
      <c r="F54" s="152" t="n">
        <v>4156161</v>
      </c>
      <c r="G54" s="208" t="n">
        <v>-0.123</v>
      </c>
      <c r="H54" s="143" t="inlineStr">
        <is>
          <t>هابطة</t>
        </is>
      </c>
      <c r="I54" s="208">
        <f>IFERROR(IF(H54="هابطة",G54*$H$7,INDEX($H$7:$H$10,MATCH(H54,$G$7:$G$10,0))),"")</f>
        <v/>
      </c>
      <c r="J54" s="152">
        <f>IFERROR(F54*(1+I54),"")</f>
        <v/>
      </c>
      <c r="K54" s="209">
        <f>IFERROR(J54-F54,"")</f>
        <v/>
      </c>
      <c r="L54" s="208">
        <f>IFERROR(K54/F54,"")</f>
        <v/>
      </c>
      <c r="M54" s="209">
        <f>IFERROR(ROUNDUP(K54/$D$7,0),"")</f>
        <v/>
      </c>
      <c r="N54" s="193" t="n">
        <v>12.3</v>
      </c>
      <c r="O54" s="210">
        <f>IFERROR(K54*$D$6,"")</f>
        <v/>
      </c>
      <c r="P54" s="144">
        <f>IFERROR(RANK(K54,$K$12:$K$66),"")</f>
        <v/>
      </c>
    </row>
    <row r="55" ht="18.75" customHeight="1" s="122">
      <c r="A55" s="144" t="n">
        <v>44</v>
      </c>
      <c r="B55" s="144" t="inlineStr">
        <is>
          <t>MK019</t>
        </is>
      </c>
      <c r="C55" s="147" t="inlineStr">
        <is>
          <t>الشرايع</t>
        </is>
      </c>
      <c r="D55" s="144" t="inlineStr">
        <is>
          <t>مكة</t>
        </is>
      </c>
      <c r="E55" s="144" t="inlineStr">
        <is>
          <t>حيوية</t>
        </is>
      </c>
      <c r="F55" s="152" t="n">
        <v>3857645</v>
      </c>
      <c r="G55" s="208" t="n">
        <v>-0.249</v>
      </c>
      <c r="H55" s="143" t="inlineStr">
        <is>
          <t>هابطة</t>
        </is>
      </c>
      <c r="I55" s="208">
        <f>IFERROR(IF(H55="هابطة",G55*$H$7,INDEX($H$7:$H$10,MATCH(H55,$G$7:$G$10,0))),"")</f>
        <v/>
      </c>
      <c r="J55" s="152">
        <f>IFERROR(F55*(1+I55),"")</f>
        <v/>
      </c>
      <c r="K55" s="209">
        <f>IFERROR(J55-F55,"")</f>
        <v/>
      </c>
      <c r="L55" s="208">
        <f>IFERROR(K55/F55,"")</f>
        <v/>
      </c>
      <c r="M55" s="209">
        <f>IFERROR(ROUNDUP(K55/$D$7,0),"")</f>
        <v/>
      </c>
      <c r="N55" s="193" t="n">
        <v>32.6</v>
      </c>
      <c r="O55" s="210">
        <f>IFERROR(K55*$D$6,"")</f>
        <v/>
      </c>
      <c r="P55" s="144">
        <f>IFERROR(RANK(K55,$K$12:$K$66),"")</f>
        <v/>
      </c>
    </row>
    <row r="56" ht="18.75" customHeight="1" s="122">
      <c r="A56" s="144" t="n">
        <v>45</v>
      </c>
      <c r="B56" s="144" t="inlineStr">
        <is>
          <t>MK014</t>
        </is>
      </c>
      <c r="C56" s="147" t="inlineStr">
        <is>
          <t>خليص</t>
        </is>
      </c>
      <c r="D56" s="144" t="inlineStr">
        <is>
          <t>مكة</t>
        </is>
      </c>
      <c r="E56" s="144" t="inlineStr">
        <is>
          <t>خط سفر</t>
        </is>
      </c>
      <c r="F56" s="152" t="n">
        <v>3791200</v>
      </c>
      <c r="G56" s="208" t="n">
        <v>-0.08400000000000001</v>
      </c>
      <c r="H56" s="143" t="inlineStr">
        <is>
          <t>هابطة</t>
        </is>
      </c>
      <c r="I56" s="208">
        <f>IFERROR(IF(H56="هابطة",G56*$H$7,INDEX($H$7:$H$10,MATCH(H56,$G$7:$G$10,0))),"")</f>
        <v/>
      </c>
      <c r="J56" s="152">
        <f>IFERROR(F56*(1+I56),"")</f>
        <v/>
      </c>
      <c r="K56" s="209">
        <f>IFERROR(J56-F56,"")</f>
        <v/>
      </c>
      <c r="L56" s="208">
        <f>IFERROR(K56/F56,"")</f>
        <v/>
      </c>
      <c r="M56" s="209">
        <f>IFERROR(ROUNDUP(K56/$D$7,0),"")</f>
        <v/>
      </c>
      <c r="N56" s="193" t="n">
        <v>9.6</v>
      </c>
      <c r="O56" s="210">
        <f>IFERROR(K56*$D$6,"")</f>
        <v/>
      </c>
      <c r="P56" s="144">
        <f>IFERROR(RANK(K56,$K$12:$K$66),"")</f>
        <v/>
      </c>
    </row>
    <row r="57" ht="18.75" customHeight="1" s="122">
      <c r="A57" s="144" t="n">
        <v>46</v>
      </c>
      <c r="B57" s="144" t="inlineStr">
        <is>
          <t>MK323</t>
        </is>
      </c>
      <c r="C57" s="147" t="inlineStr">
        <is>
          <t>جبل ثور - جوهرة النسيم</t>
        </is>
      </c>
      <c r="D57" s="144" t="inlineStr">
        <is>
          <t>مكة</t>
        </is>
      </c>
      <c r="E57" s="144" t="inlineStr">
        <is>
          <t>حيوية</t>
        </is>
      </c>
      <c r="F57" s="152" t="n">
        <v>3708152</v>
      </c>
      <c r="G57" s="144" t="inlineStr">
        <is>
          <t>—</t>
        </is>
      </c>
      <c r="H57" s="145" t="inlineStr">
        <is>
          <t>بلا بيانات</t>
        </is>
      </c>
      <c r="I57" s="208">
        <f>IFERROR(IF(H57="هابطة",G57*$H$7,INDEX($H$7:$H$10,MATCH(H57,$G$7:$G$10,0))),"")</f>
        <v/>
      </c>
      <c r="J57" s="152">
        <f>IFERROR(F57*(1+I57),"")</f>
        <v/>
      </c>
      <c r="K57" s="209">
        <f>IFERROR(J57-F57,"")</f>
        <v/>
      </c>
      <c r="L57" s="208">
        <f>IFERROR(K57/F57,"")</f>
        <v/>
      </c>
      <c r="M57" s="209">
        <f>IFERROR(ROUNDUP(K57/$D$7,0),"")</f>
        <v/>
      </c>
      <c r="N57" s="144" t="n"/>
      <c r="O57" s="210">
        <f>IFERROR(K57*$D$6,"")</f>
        <v/>
      </c>
      <c r="P57" s="144">
        <f>IFERROR(RANK(K57,$K$12:$K$66),"")</f>
        <v/>
      </c>
    </row>
    <row r="58" ht="18.75" customHeight="1" s="122">
      <c r="A58" s="144" t="n">
        <v>47</v>
      </c>
      <c r="B58" s="144" t="inlineStr">
        <is>
          <t>QS055</t>
        </is>
      </c>
      <c r="C58" s="147" t="inlineStr">
        <is>
          <t>الدائري الشرقي</t>
        </is>
      </c>
      <c r="D58" s="144" t="inlineStr">
        <is>
          <t>القصيم</t>
        </is>
      </c>
      <c r="E58" s="144" t="inlineStr">
        <is>
          <t>غير مصنفة</t>
        </is>
      </c>
      <c r="F58" s="152" t="n">
        <v>3599745</v>
      </c>
      <c r="G58" s="208" t="n">
        <v>-0.029</v>
      </c>
      <c r="H58" s="142" t="inlineStr">
        <is>
          <t>راكدة</t>
        </is>
      </c>
      <c r="I58" s="208">
        <f>IFERROR(IF(H58="هابطة",G58*$H$7,INDEX($H$7:$H$10,MATCH(H58,$G$7:$G$10,0))),"")</f>
        <v/>
      </c>
      <c r="J58" s="152">
        <f>IFERROR(F58*(1+I58),"")</f>
        <v/>
      </c>
      <c r="K58" s="209">
        <f>IFERROR(J58-F58,"")</f>
        <v/>
      </c>
      <c r="L58" s="208">
        <f>IFERROR(K58/F58,"")</f>
        <v/>
      </c>
      <c r="M58" s="209">
        <f>IFERROR(ROUNDUP(K58/$D$7,0),"")</f>
        <v/>
      </c>
      <c r="N58" s="193" t="n">
        <v>12.2</v>
      </c>
      <c r="O58" s="210">
        <f>IFERROR(K58*$D$6,"")</f>
        <v/>
      </c>
      <c r="P58" s="144">
        <f>IFERROR(RANK(K58,$K$12:$K$66),"")</f>
        <v/>
      </c>
    </row>
    <row r="59" ht="18.75" customHeight="1" s="122">
      <c r="A59" s="144" t="n">
        <v>48</v>
      </c>
      <c r="B59" s="144" t="inlineStr">
        <is>
          <t>RY042</t>
        </is>
      </c>
      <c r="C59" s="147" t="inlineStr">
        <is>
          <t>الناصفة</t>
        </is>
      </c>
      <c r="D59" s="144" t="inlineStr">
        <is>
          <t>الخرج</t>
        </is>
      </c>
      <c r="E59" s="144" t="inlineStr">
        <is>
          <t>حي</t>
        </is>
      </c>
      <c r="F59" s="152" t="n">
        <v>3433425</v>
      </c>
      <c r="G59" s="208" t="n">
        <v>0.256</v>
      </c>
      <c r="H59" s="141" t="inlineStr">
        <is>
          <t>صاعدة</t>
        </is>
      </c>
      <c r="I59" s="208">
        <f>IFERROR(IF(H59="هابطة",G59*$H$7,INDEX($H$7:$H$10,MATCH(H59,$G$7:$G$10,0))),"")</f>
        <v/>
      </c>
      <c r="J59" s="152">
        <f>IFERROR(F59*(1+I59),"")</f>
        <v/>
      </c>
      <c r="K59" s="209">
        <f>IFERROR(J59-F59,"")</f>
        <v/>
      </c>
      <c r="L59" s="208">
        <f>IFERROR(K59/F59,"")</f>
        <v/>
      </c>
      <c r="M59" s="209">
        <f>IFERROR(ROUNDUP(K59/$D$7,0),"")</f>
        <v/>
      </c>
      <c r="N59" s="193" t="n">
        <v>15.4</v>
      </c>
      <c r="O59" s="210">
        <f>IFERROR(K59*$D$6,"")</f>
        <v/>
      </c>
      <c r="P59" s="144">
        <f>IFERROR(RANK(K59,$K$12:$K$66),"")</f>
        <v/>
      </c>
    </row>
    <row r="60" ht="18.75" customHeight="1" s="122">
      <c r="A60" s="144" t="n">
        <v>49</v>
      </c>
      <c r="B60" s="144" t="inlineStr">
        <is>
          <t>MK099</t>
        </is>
      </c>
      <c r="C60" s="147" t="inlineStr">
        <is>
          <t>البيعة</t>
        </is>
      </c>
      <c r="D60" s="144" t="inlineStr">
        <is>
          <t>الطائف</t>
        </is>
      </c>
      <c r="E60" s="144" t="inlineStr">
        <is>
          <t>حي</t>
        </is>
      </c>
      <c r="F60" s="152" t="n">
        <v>3315559</v>
      </c>
      <c r="G60" s="208" t="n">
        <v>0.137</v>
      </c>
      <c r="H60" s="141" t="inlineStr">
        <is>
          <t>صاعدة</t>
        </is>
      </c>
      <c r="I60" s="208">
        <f>IFERROR(IF(H60="هابطة",G60*$H$7,INDEX($H$7:$H$10,MATCH(H60,$G$7:$G$10,0))),"")</f>
        <v/>
      </c>
      <c r="J60" s="152">
        <f>IFERROR(F60*(1+I60),"")</f>
        <v/>
      </c>
      <c r="K60" s="209">
        <f>IFERROR(J60-F60,"")</f>
        <v/>
      </c>
      <c r="L60" s="208">
        <f>IFERROR(K60/F60,"")</f>
        <v/>
      </c>
      <c r="M60" s="209">
        <f>IFERROR(ROUNDUP(K60/$D$7,0),"")</f>
        <v/>
      </c>
      <c r="N60" s="193" t="n">
        <v>13.2</v>
      </c>
      <c r="O60" s="210">
        <f>IFERROR(K60*$D$6,"")</f>
        <v/>
      </c>
      <c r="P60" s="144">
        <f>IFERROR(RANK(K60,$K$12:$K$66),"")</f>
        <v/>
      </c>
    </row>
    <row r="61" ht="18.75" customHeight="1" s="122">
      <c r="A61" s="144" t="n">
        <v>50</v>
      </c>
      <c r="B61" s="144" t="inlineStr">
        <is>
          <t>HA043</t>
        </is>
      </c>
      <c r="C61" s="147" t="inlineStr">
        <is>
          <t>العريفي</t>
        </is>
      </c>
      <c r="D61" s="144" t="inlineStr">
        <is>
          <t>حائل</t>
        </is>
      </c>
      <c r="E61" s="144" t="inlineStr">
        <is>
          <t>غير مصنفة</t>
        </is>
      </c>
      <c r="F61" s="152" t="n">
        <v>2663618</v>
      </c>
      <c r="G61" s="208" t="n">
        <v>-0.028</v>
      </c>
      <c r="H61" s="142" t="inlineStr">
        <is>
          <t>راكدة</t>
        </is>
      </c>
      <c r="I61" s="208">
        <f>IFERROR(IF(H61="هابطة",G61*$H$7,INDEX($H$7:$H$10,MATCH(H61,$G$7:$G$10,0))),"")</f>
        <v/>
      </c>
      <c r="J61" s="152">
        <f>IFERROR(F61*(1+I61),"")</f>
        <v/>
      </c>
      <c r="K61" s="209">
        <f>IFERROR(J61-F61,"")</f>
        <v/>
      </c>
      <c r="L61" s="208">
        <f>IFERROR(K61/F61,"")</f>
        <v/>
      </c>
      <c r="M61" s="209">
        <f>IFERROR(ROUNDUP(K61/$D$7,0),"")</f>
        <v/>
      </c>
      <c r="N61" s="193" t="n">
        <v>21.9</v>
      </c>
      <c r="O61" s="210">
        <f>IFERROR(K61*$D$6,"")</f>
        <v/>
      </c>
      <c r="P61" s="144">
        <f>IFERROR(RANK(K61,$K$12:$K$66),"")</f>
        <v/>
      </c>
    </row>
    <row r="62" ht="18.75" customHeight="1" s="122">
      <c r="A62" s="144" t="n">
        <v>51</v>
      </c>
      <c r="B62" s="144" t="inlineStr">
        <is>
          <t>MK100</t>
        </is>
      </c>
      <c r="C62" s="147" t="inlineStr">
        <is>
          <t>الكوثر</t>
        </is>
      </c>
      <c r="D62" s="144" t="inlineStr">
        <is>
          <t>جدة</t>
        </is>
      </c>
      <c r="E62" s="144" t="inlineStr">
        <is>
          <t>حيوية</t>
        </is>
      </c>
      <c r="F62" s="152" t="n">
        <v>2286567</v>
      </c>
      <c r="G62" s="208" t="n">
        <v>0.045</v>
      </c>
      <c r="H62" s="142" t="inlineStr">
        <is>
          <t>راكدة</t>
        </is>
      </c>
      <c r="I62" s="208">
        <f>IFERROR(IF(H62="هابطة",G62*$H$7,INDEX($H$7:$H$10,MATCH(H62,$G$7:$G$10,0))),"")</f>
        <v/>
      </c>
      <c r="J62" s="152">
        <f>IFERROR(F62*(1+I62),"")</f>
        <v/>
      </c>
      <c r="K62" s="209">
        <f>IFERROR(J62-F62,"")</f>
        <v/>
      </c>
      <c r="L62" s="208">
        <f>IFERROR(K62/F62,"")</f>
        <v/>
      </c>
      <c r="M62" s="209">
        <f>IFERROR(ROUNDUP(K62/$D$7,0),"")</f>
        <v/>
      </c>
      <c r="N62" s="193" t="n">
        <v>19.2</v>
      </c>
      <c r="O62" s="210">
        <f>IFERROR(K62*$D$6,"")</f>
        <v/>
      </c>
      <c r="P62" s="144">
        <f>IFERROR(RANK(K62,$K$12:$K$66),"")</f>
        <v/>
      </c>
    </row>
    <row r="63" ht="18.75" customHeight="1" s="122">
      <c r="A63" s="144" t="n">
        <v>52</v>
      </c>
      <c r="B63" s="144" t="inlineStr">
        <is>
          <t>JA056</t>
        </is>
      </c>
      <c r="C63" s="147" t="inlineStr">
        <is>
          <t>الروابي - المودة</t>
        </is>
      </c>
      <c r="D63" s="144" t="inlineStr">
        <is>
          <t>جازان</t>
        </is>
      </c>
      <c r="E63" s="144" t="inlineStr">
        <is>
          <t>حي</t>
        </is>
      </c>
      <c r="F63" s="152" t="n">
        <v>2086987</v>
      </c>
      <c r="G63" s="208" t="n">
        <v>0.188</v>
      </c>
      <c r="H63" s="141" t="inlineStr">
        <is>
          <t>صاعدة</t>
        </is>
      </c>
      <c r="I63" s="208">
        <f>IFERROR(IF(H63="هابطة",G63*$H$7,INDEX($H$7:$H$10,MATCH(H63,$G$7:$G$10,0))),"")</f>
        <v/>
      </c>
      <c r="J63" s="152">
        <f>IFERROR(F63*(1+I63),"")</f>
        <v/>
      </c>
      <c r="K63" s="209">
        <f>IFERROR(J63-F63,"")</f>
        <v/>
      </c>
      <c r="L63" s="208">
        <f>IFERROR(K63/F63,"")</f>
        <v/>
      </c>
      <c r="M63" s="209">
        <f>IFERROR(ROUNDUP(K63/$D$7,0),"")</f>
        <v/>
      </c>
      <c r="N63" s="193" t="n">
        <v>28</v>
      </c>
      <c r="O63" s="210">
        <f>IFERROR(K63*$D$6,"")</f>
        <v/>
      </c>
      <c r="P63" s="144">
        <f>IFERROR(RANK(K63,$K$12:$K$66),"")</f>
        <v/>
      </c>
    </row>
    <row r="64" ht="18.75" customHeight="1" s="122">
      <c r="A64" s="144" t="n">
        <v>53</v>
      </c>
      <c r="B64" s="144" t="inlineStr">
        <is>
          <t>JA060</t>
        </is>
      </c>
      <c r="C64" s="147" t="inlineStr">
        <is>
          <t>صناعية صامطة</t>
        </is>
      </c>
      <c r="D64" s="144" t="inlineStr">
        <is>
          <t>جازان</t>
        </is>
      </c>
      <c r="E64" s="144" t="inlineStr">
        <is>
          <t>حيوية</t>
        </is>
      </c>
      <c r="F64" s="152" t="n">
        <v>1960098</v>
      </c>
      <c r="G64" s="208" t="n">
        <v>0.06</v>
      </c>
      <c r="H64" s="141" t="inlineStr">
        <is>
          <t>صاعدة</t>
        </is>
      </c>
      <c r="I64" s="208">
        <f>IFERROR(IF(H64="هابطة",G64*$H$7,INDEX($H$7:$H$10,MATCH(H64,$G$7:$G$10,0))),"")</f>
        <v/>
      </c>
      <c r="J64" s="152">
        <f>IFERROR(F64*(1+I64),"")</f>
        <v/>
      </c>
      <c r="K64" s="209">
        <f>IFERROR(J64-F64,"")</f>
        <v/>
      </c>
      <c r="L64" s="208">
        <f>IFERROR(K64/F64,"")</f>
        <v/>
      </c>
      <c r="M64" s="209">
        <f>IFERROR(ROUNDUP(K64/$D$7,0),"")</f>
        <v/>
      </c>
      <c r="N64" s="193" t="n">
        <v>22.3</v>
      </c>
      <c r="O64" s="210">
        <f>IFERROR(K64*$D$6,"")</f>
        <v/>
      </c>
      <c r="P64" s="144">
        <f>IFERROR(RANK(K64,$K$12:$K$66),"")</f>
        <v/>
      </c>
    </row>
    <row r="65" ht="18.75" customHeight="1" s="122">
      <c r="A65" s="144" t="n">
        <v>54</v>
      </c>
      <c r="B65" s="144" t="inlineStr">
        <is>
          <t>MD009</t>
        </is>
      </c>
      <c r="C65" s="147" t="inlineStr">
        <is>
          <t>طريق السلام</t>
        </is>
      </c>
      <c r="D65" s="144" t="inlineStr">
        <is>
          <t>المدينة المنورة</t>
        </is>
      </c>
      <c r="E65" s="144" t="inlineStr">
        <is>
          <t>غير مصنفة</t>
        </is>
      </c>
      <c r="F65" s="152" t="n">
        <v>1451309</v>
      </c>
      <c r="G65" s="144" t="inlineStr">
        <is>
          <t>—</t>
        </is>
      </c>
      <c r="H65" s="145" t="inlineStr">
        <is>
          <t>بلا بيانات</t>
        </is>
      </c>
      <c r="I65" s="208">
        <f>IFERROR(IF(H65="هابطة",G65*$H$7,INDEX($H$7:$H$10,MATCH(H65,$G$7:$G$10,0))),"")</f>
        <v/>
      </c>
      <c r="J65" s="152">
        <f>IFERROR(F65*(1+I65),"")</f>
        <v/>
      </c>
      <c r="K65" s="209">
        <f>IFERROR(J65-F65,"")</f>
        <v/>
      </c>
      <c r="L65" s="208">
        <f>IFERROR(K65/F65,"")</f>
        <v/>
      </c>
      <c r="M65" s="209">
        <f>IFERROR(ROUNDUP(K65/$D$7,0),"")</f>
        <v/>
      </c>
      <c r="N65" s="144" t="n"/>
      <c r="O65" s="210">
        <f>IFERROR(K65*$D$6,"")</f>
        <v/>
      </c>
      <c r="P65" s="144">
        <f>IFERROR(RANK(K65,$K$12:$K$66),"")</f>
        <v/>
      </c>
    </row>
    <row r="66" ht="18.75" customHeight="1" s="122">
      <c r="A66" s="144" t="n">
        <v>55</v>
      </c>
      <c r="B66" s="144" t="inlineStr">
        <is>
          <t>NJ219</t>
        </is>
      </c>
      <c r="C66" s="147" t="inlineStr">
        <is>
          <t>المركب</t>
        </is>
      </c>
      <c r="D66" s="144" t="inlineStr">
        <is>
          <t>نجران</t>
        </is>
      </c>
      <c r="E66" s="144" t="inlineStr">
        <is>
          <t>غير مصنفة</t>
        </is>
      </c>
      <c r="F66" s="152" t="n">
        <v>1099275</v>
      </c>
      <c r="G66" s="144" t="inlineStr">
        <is>
          <t>—</t>
        </is>
      </c>
      <c r="H66" s="145" t="inlineStr">
        <is>
          <t>بلا بيانات</t>
        </is>
      </c>
      <c r="I66" s="208">
        <f>IFERROR(IF(H66="هابطة",G66*$H$7,INDEX($H$7:$H$10,MATCH(H66,$G$7:$G$10,0))),"")</f>
        <v/>
      </c>
      <c r="J66" s="152">
        <f>IFERROR(F66*(1+I66),"")</f>
        <v/>
      </c>
      <c r="K66" s="209">
        <f>IFERROR(J66-F66,"")</f>
        <v/>
      </c>
      <c r="L66" s="208">
        <f>IFERROR(K66/F66,"")</f>
        <v/>
      </c>
      <c r="M66" s="209">
        <f>IFERROR(ROUNDUP(K66/$D$7,0),"")</f>
        <v/>
      </c>
      <c r="N66" s="193" t="n">
        <v>43.2</v>
      </c>
      <c r="O66" s="210">
        <f>IFERROR(K66*$D$6,"")</f>
        <v/>
      </c>
      <c r="P66" s="144">
        <f>IFERROR(RANK(K66,$K$12:$K$66),"")</f>
        <v/>
      </c>
    </row>
    <row r="67" ht="15" customHeight="1" s="122">
      <c r="A67" s="155" t="n"/>
      <c r="B67" s="155" t="n"/>
      <c r="C67" s="155" t="inlineStr">
        <is>
          <t>الإجمالي</t>
        </is>
      </c>
      <c r="D67" s="155" t="n"/>
      <c r="E67" s="155" t="n"/>
      <c r="F67" s="157">
        <f>SUM(F12:F66)</f>
        <v/>
      </c>
      <c r="G67" s="155" t="n"/>
      <c r="H67" s="155" t="n"/>
      <c r="I67" s="155" t="n"/>
      <c r="J67" s="157">
        <f>SUM(J12:J66)</f>
        <v/>
      </c>
      <c r="K67" s="212">
        <f>SUM(K12:K66)</f>
        <v/>
      </c>
      <c r="L67" s="213">
        <f>IFERROR(K67/F67,"")</f>
        <v/>
      </c>
      <c r="M67" s="212">
        <f>SUM(M12:M66)</f>
        <v/>
      </c>
      <c r="N67" s="155" t="n"/>
      <c r="O67" s="212">
        <f>SUM(O12:O66)</f>
        <v/>
      </c>
      <c r="P67" s="155" t="n"/>
    </row>
    <row r="68">
      <c r="A68" s="124" t="n"/>
      <c r="B68" s="124" t="n"/>
      <c r="C68" s="124" t="n"/>
      <c r="D68" s="124" t="n"/>
      <c r="E68" s="124" t="n"/>
      <c r="F68" s="124" t="n"/>
      <c r="G68" s="124" t="n"/>
      <c r="H68" s="124" t="n"/>
      <c r="I68" s="124" t="n"/>
      <c r="J68" s="124" t="n"/>
      <c r="K68" s="124" t="n"/>
      <c r="L68" s="124" t="n"/>
      <c r="M68" s="124" t="n"/>
      <c r="N68" s="124" t="n"/>
      <c r="O68" s="124" t="n"/>
      <c r="P68" s="124" t="n"/>
    </row>
    <row r="69" ht="15" customHeight="1" s="122">
      <c r="A69" s="124" t="n"/>
      <c r="B69" s="148" t="inlineStr">
        <is>
          <t>لماذا فئات لا معدل واحد</t>
        </is>
      </c>
      <c r="C69" s="124" t="n"/>
      <c r="D69" s="124" t="n"/>
      <c r="E69" s="124" t="n"/>
      <c r="F69" s="124" t="n"/>
      <c r="G69" s="124" t="n"/>
      <c r="H69" s="124" t="n"/>
      <c r="I69" s="124" t="n"/>
      <c r="J69" s="124" t="n"/>
      <c r="K69" s="124" t="n"/>
      <c r="L69" s="124" t="n"/>
      <c r="M69" s="124" t="n"/>
      <c r="N69" s="124" t="n"/>
      <c r="O69" s="124" t="n"/>
      <c r="P69" s="124" t="n"/>
    </row>
    <row r="70" ht="15.75" customHeight="1" s="122">
      <c r="A70" s="124" t="n"/>
      <c r="B70" s="124" t="n"/>
      <c r="C70" s="149" t="inlineStr">
        <is>
          <t>•  البنزين 478.9 مليون لتر = 81.4% من لتراتنا</t>
        </is>
      </c>
      <c r="D70" s="124" t="n"/>
      <c r="E70" s="124" t="n"/>
      <c r="F70" s="124" t="n"/>
      <c r="G70" s="124" t="n"/>
      <c r="H70" s="124" t="n"/>
      <c r="I70" s="124" t="n"/>
      <c r="J70" s="124" t="n"/>
      <c r="K70" s="124" t="n"/>
      <c r="L70" s="124" t="n"/>
      <c r="M70" s="124" t="n"/>
      <c r="N70" s="124" t="n"/>
      <c r="O70" s="124" t="n"/>
      <c r="P70" s="124" t="n"/>
    </row>
    <row r="71" ht="15.75" customHeight="1" s="122">
      <c r="A71" s="124" t="n"/>
      <c r="B71" s="124" t="n"/>
      <c r="C71" s="149" t="inlineStr">
        <is>
          <t>•  13 هابطة (28.0%) · 17 صاعدة (24.2%) · 11 راكدة · 14 بلا بيانات (33.0%)</t>
        </is>
      </c>
      <c r="D71" s="124" t="n"/>
      <c r="E71" s="124" t="n"/>
      <c r="F71" s="124" t="n"/>
      <c r="G71" s="124" t="n"/>
      <c r="H71" s="124" t="n"/>
      <c r="I71" s="124" t="n"/>
      <c r="J71" s="124" t="n"/>
      <c r="K71" s="124" t="n"/>
      <c r="L71" s="124" t="n"/>
      <c r="M71" s="124" t="n"/>
      <c r="N71" s="124" t="n"/>
      <c r="O71" s="124" t="n"/>
      <c r="P71" s="124" t="n"/>
    </row>
    <row r="72" ht="15.75" customHeight="1" s="122">
      <c r="A72" s="124" t="n"/>
      <c r="B72" s="124" t="n"/>
      <c r="C72" s="149" t="inlineStr">
        <is>
          <t>•  معدل الفئة الهابطة عامل يُضرب في نزيف كل محطة لا نسبة مطلقة</t>
        </is>
      </c>
      <c r="D72" s="124" t="n"/>
      <c r="E72" s="124" t="n"/>
      <c r="F72" s="124" t="n"/>
      <c r="G72" s="124" t="n"/>
      <c r="H72" s="124" t="n"/>
      <c r="I72" s="124" t="n"/>
      <c r="J72" s="124" t="n"/>
      <c r="K72" s="124" t="n"/>
      <c r="L72" s="124" t="n"/>
      <c r="M72" s="124" t="n"/>
      <c r="N72" s="124" t="n"/>
      <c r="O72" s="124" t="n"/>
      <c r="P72" s="124" t="n"/>
    </row>
    <row r="73">
      <c r="A73" s="124" t="n"/>
      <c r="B73" s="124" t="n"/>
      <c r="C73" s="124" t="n"/>
      <c r="D73" s="124" t="n"/>
      <c r="E73" s="124" t="n"/>
      <c r="F73" s="124" t="n"/>
      <c r="G73" s="124" t="n"/>
      <c r="H73" s="124" t="n"/>
      <c r="I73" s="124" t="n"/>
      <c r="J73" s="124" t="n"/>
      <c r="K73" s="124" t="n"/>
      <c r="L73" s="124" t="n"/>
      <c r="M73" s="124" t="n"/>
      <c r="N73" s="124" t="n"/>
      <c r="O73" s="124" t="n"/>
      <c r="P73" s="124" t="n"/>
    </row>
    <row r="74" ht="15" customHeight="1" s="122">
      <c r="A74" s="124" t="n"/>
      <c r="B74" s="164" t="inlineStr">
        <is>
          <t>اختبار السيناريوهات</t>
        </is>
      </c>
      <c r="C74" s="124" t="n"/>
      <c r="D74" s="124" t="n"/>
      <c r="E74" s="124" t="n"/>
      <c r="F74" s="124" t="n"/>
      <c r="G74" s="124" t="n"/>
      <c r="H74" s="124" t="n"/>
      <c r="I74" s="124" t="n"/>
      <c r="J74" s="124" t="n"/>
      <c r="K74" s="124" t="n"/>
      <c r="L74" s="124" t="n"/>
      <c r="M74" s="124" t="n"/>
      <c r="N74" s="124" t="n"/>
      <c r="O74" s="124" t="n"/>
      <c r="P74" s="124" t="n"/>
    </row>
    <row r="75" ht="15.75" customHeight="1" s="122">
      <c r="A75" s="124" t="n"/>
      <c r="B75" s="124" t="n"/>
      <c r="C75" s="149" t="inlineStr">
        <is>
          <t>•  تقليل النزيف للنصف مع نمو 3–8% ← +0.6% فقط (+440 ألف ريال)</t>
        </is>
      </c>
      <c r="D75" s="124" t="n"/>
      <c r="E75" s="124" t="n"/>
      <c r="F75" s="124" t="n"/>
      <c r="G75" s="124" t="n"/>
      <c r="H75" s="124" t="n"/>
      <c r="I75" s="124" t="n"/>
      <c r="J75" s="124" t="n"/>
      <c r="K75" s="124" t="n"/>
      <c r="L75" s="124" t="n"/>
      <c r="M75" s="124" t="n"/>
      <c r="N75" s="124" t="n"/>
      <c r="O75" s="124" t="n"/>
      <c r="P75" s="124" t="n"/>
    </row>
    <row r="76" ht="15.75" customHeight="1" s="122">
      <c r="A76" s="124" t="n"/>
      <c r="B76" s="124" t="n"/>
      <c r="C76" s="149" t="inlineStr">
        <is>
          <t>•  إيقاف النزيف مع نمو 5–10% ← +4.6% (+3.3 مليون ريال)</t>
        </is>
      </c>
      <c r="D76" s="124" t="n"/>
      <c r="E76" s="124" t="n"/>
      <c r="F76" s="124" t="n"/>
      <c r="G76" s="124" t="n"/>
      <c r="H76" s="124" t="n"/>
      <c r="I76" s="124" t="n"/>
      <c r="J76" s="124" t="n"/>
      <c r="K76" s="124" t="n"/>
      <c r="L76" s="124" t="n"/>
      <c r="M76" s="124" t="n"/>
      <c r="N76" s="124" t="n"/>
      <c r="O76" s="124" t="n"/>
      <c r="P76" s="124" t="n"/>
    </row>
    <row r="77" ht="15.75" customHeight="1" s="122">
      <c r="A77" s="124" t="n"/>
      <c r="B77" s="124" t="n"/>
      <c r="C77" s="149" t="inlineStr">
        <is>
          <t>•  لتعويض نزيف الهابطة وحده يلزم باقي الشبكة نمو 7.1%</t>
        </is>
      </c>
      <c r="D77" s="124" t="n"/>
      <c r="E77" s="124" t="n"/>
      <c r="F77" s="124" t="n"/>
      <c r="G77" s="124" t="n"/>
      <c r="H77" s="124" t="n"/>
      <c r="I77" s="124" t="n"/>
      <c r="J77" s="124" t="n"/>
      <c r="K77" s="124" t="n"/>
      <c r="L77" s="124" t="n"/>
      <c r="M77" s="124" t="n"/>
      <c r="N77" s="124" t="n"/>
      <c r="O77" s="124" t="n"/>
      <c r="P77" s="124" t="n"/>
    </row>
    <row r="78">
      <c r="A78" s="124" t="n"/>
      <c r="B78" s="124" t="n"/>
      <c r="C78" s="124" t="n"/>
      <c r="D78" s="124" t="n"/>
      <c r="E78" s="124" t="n"/>
      <c r="F78" s="124" t="n"/>
      <c r="G78" s="124" t="n"/>
      <c r="H78" s="124" t="n"/>
      <c r="I78" s="124" t="n"/>
      <c r="J78" s="124" t="n"/>
      <c r="K78" s="124" t="n"/>
      <c r="L78" s="124" t="n"/>
      <c r="M78" s="124" t="n"/>
      <c r="N78" s="124" t="n"/>
      <c r="O78" s="124" t="n"/>
      <c r="P78" s="124" t="n"/>
    </row>
    <row r="79" ht="15" customHeight="1" s="122">
      <c r="A79" s="124" t="n"/>
      <c r="B79" s="164" t="inlineStr">
        <is>
          <t>قيد الطاقة</t>
        </is>
      </c>
      <c r="C79" s="124" t="n"/>
      <c r="D79" s="124" t="n"/>
      <c r="E79" s="124" t="n"/>
      <c r="F79" s="124" t="n"/>
      <c r="G79" s="124" t="n"/>
      <c r="H79" s="124" t="n"/>
      <c r="I79" s="124" t="n"/>
      <c r="J79" s="124" t="n"/>
      <c r="K79" s="124" t="n"/>
      <c r="L79" s="124" t="n"/>
      <c r="M79" s="124" t="n"/>
      <c r="N79" s="124" t="n"/>
      <c r="O79" s="124" t="n"/>
      <c r="P79" s="124" t="n"/>
    </row>
    <row r="80" ht="15.75" customHeight="1" s="122">
      <c r="A80" s="124" t="n"/>
      <c r="B80" s="124" t="n"/>
      <c r="C80" s="149" t="inlineStr">
        <is>
          <t>•  MK007 و MK072 مخزونهما 2.6 يوم بنزين — الزيادة تستلزم رفع تردد التوريد</t>
        </is>
      </c>
      <c r="D80" s="124" t="n"/>
      <c r="E80" s="124" t="n"/>
      <c r="F80" s="124" t="n"/>
      <c r="G80" s="124" t="n"/>
      <c r="H80" s="124" t="n"/>
      <c r="I80" s="124" t="n"/>
      <c r="J80" s="124" t="n"/>
      <c r="K80" s="124" t="n"/>
      <c r="L80" s="124" t="n"/>
      <c r="M80" s="124" t="n"/>
      <c r="N80" s="124" t="n"/>
      <c r="O80" s="124" t="n"/>
      <c r="P80" s="124" t="n"/>
    </row>
    <row r="81" ht="15.75" customHeight="1" s="122">
      <c r="A81" s="124" t="n"/>
      <c r="B81" s="124" t="n"/>
      <c r="C81" s="149" t="inlineStr">
        <is>
          <t>•  عمود «رحلات إضافية» يحسب المطلوب — وأي هدف بدونها هدف على الورق</t>
        </is>
      </c>
      <c r="D81" s="124" t="n"/>
      <c r="E81" s="124" t="n"/>
      <c r="F81" s="124" t="n"/>
      <c r="G81" s="124" t="n"/>
      <c r="H81" s="124" t="n"/>
      <c r="I81" s="124" t="n"/>
      <c r="J81" s="124" t="n"/>
      <c r="K81" s="124" t="n"/>
      <c r="L81" s="124" t="n"/>
      <c r="M81" s="124" t="n"/>
      <c r="N81" s="124" t="n"/>
      <c r="O81" s="124" t="n"/>
      <c r="P81" s="124" t="n"/>
    </row>
    <row r="82">
      <c r="A82" s="124" t="n"/>
      <c r="B82" s="124" t="n"/>
      <c r="C82" s="124" t="n"/>
      <c r="D82" s="124" t="n"/>
      <c r="E82" s="124" t="n"/>
      <c r="F82" s="124" t="n"/>
      <c r="G82" s="124" t="n"/>
      <c r="H82" s="124" t="n"/>
      <c r="I82" s="124" t="n"/>
      <c r="J82" s="124" t="n"/>
      <c r="K82" s="124" t="n"/>
      <c r="L82" s="124" t="n"/>
      <c r="M82" s="124" t="n"/>
      <c r="N82" s="124" t="n"/>
      <c r="O82" s="124" t="n"/>
      <c r="P82" s="124" t="n"/>
    </row>
    <row r="83" ht="15" customHeight="1" s="122">
      <c r="A83" s="124" t="n"/>
      <c r="B83" s="164" t="inlineStr">
        <is>
          <t>ما يُحسم قبل الاعتماد</t>
        </is>
      </c>
      <c r="C83" s="124" t="n"/>
      <c r="D83" s="124" t="n"/>
      <c r="E83" s="124" t="n"/>
      <c r="F83" s="124" t="n"/>
      <c r="G83" s="124" t="n"/>
      <c r="H83" s="124" t="n"/>
      <c r="I83" s="124" t="n"/>
      <c r="J83" s="124" t="n"/>
      <c r="K83" s="124" t="n"/>
      <c r="L83" s="124" t="n"/>
      <c r="M83" s="124" t="n"/>
      <c r="N83" s="124" t="n"/>
      <c r="O83" s="124" t="n"/>
      <c r="P83" s="124" t="n"/>
    </row>
    <row r="84" ht="15.75" customHeight="1" s="122">
      <c r="A84" s="124" t="n"/>
      <c r="B84" s="124" t="n"/>
      <c r="C84" s="149" t="inlineStr">
        <is>
          <t>•  معدلات الفئات الأربع قرار إدارة لا حساب</t>
        </is>
      </c>
      <c r="D84" s="124" t="n"/>
      <c r="E84" s="124" t="n"/>
      <c r="F84" s="124" t="n"/>
      <c r="G84" s="124" t="n"/>
      <c r="H84" s="124" t="n"/>
      <c r="I84" s="124" t="n"/>
      <c r="J84" s="124" t="n"/>
      <c r="K84" s="124" t="n"/>
      <c r="L84" s="124" t="n"/>
      <c r="M84" s="124" t="n"/>
      <c r="N84" s="124" t="n"/>
      <c r="O84" s="124" t="n"/>
      <c r="P84" s="124" t="n"/>
    </row>
    <row r="85" ht="15.75" customHeight="1" s="122">
      <c r="A85" s="124" t="n"/>
      <c r="B85" s="124" t="n"/>
      <c r="C85" s="149" t="inlineStr">
        <is>
          <t>•  الـ14 محطة بلا بيانات تحمل ثلث البنزين — مستهدفاتها مؤقتة</t>
        </is>
      </c>
      <c r="D85" s="124" t="n"/>
      <c r="E85" s="124" t="n"/>
      <c r="F85" s="124" t="n"/>
      <c r="G85" s="124" t="n"/>
      <c r="H85" s="124" t="n"/>
      <c r="I85" s="124" t="n"/>
      <c r="J85" s="124" t="n"/>
      <c r="K85" s="124" t="n"/>
      <c r="L85" s="124" t="n"/>
      <c r="M85" s="124" t="n"/>
      <c r="N85" s="124" t="n"/>
      <c r="O85" s="124" t="n"/>
      <c r="P85" s="124" t="n"/>
    </row>
    <row r="86" ht="15.75" customHeight="1" s="122">
      <c r="A86" s="124" t="n"/>
      <c r="B86" s="124" t="n"/>
      <c r="C86" s="149" t="inlineStr">
        <is>
          <t>•  تشخيص تراجع مكة ما زال مفتوحاً</t>
        </is>
      </c>
      <c r="D86" s="124" t="n"/>
      <c r="E86" s="124" t="n"/>
      <c r="F86" s="124" t="n"/>
      <c r="G86" s="124" t="n"/>
      <c r="H86" s="124" t="n"/>
      <c r="I86" s="124" t="n"/>
      <c r="J86" s="124" t="n"/>
      <c r="K86" s="124" t="n"/>
      <c r="L86" s="124" t="n"/>
      <c r="M86" s="124" t="n"/>
      <c r="N86" s="124" t="n"/>
      <c r="O86" s="124" t="n"/>
      <c r="P86" s="124" t="n"/>
    </row>
  </sheetData>
  <mergeCells count="14">
    <mergeCell ref="C70:P70"/>
    <mergeCell ref="C80:P80"/>
    <mergeCell ref="C3:P3"/>
    <mergeCell ref="C75:P75"/>
    <mergeCell ref="C77:P77"/>
    <mergeCell ref="A1:P1"/>
    <mergeCell ref="C86:P86"/>
    <mergeCell ref="C85:P85"/>
    <mergeCell ref="C72:P72"/>
    <mergeCell ref="C81:P81"/>
    <mergeCell ref="C76:P76"/>
    <mergeCell ref="C71:P71"/>
    <mergeCell ref="C84:P84"/>
    <mergeCell ref="A2:P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P77"/>
  <sheetViews>
    <sheetView showFormulas="0" showGridLines="0" showRowColHeaders="1" showZeros="1" rightToLeft="1"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5390625" defaultRowHeight="15" zeroHeight="0" outlineLevelRow="0"/>
  <cols>
    <col width="4" customWidth="1" style="121" min="1" max="1"/>
    <col width="9" customWidth="1" style="121" min="2" max="2"/>
    <col width="22" customWidth="1" style="121" min="3" max="3"/>
    <col width="11" customWidth="1" style="121" min="4" max="5"/>
    <col width="9" customWidth="1" style="121" min="6" max="7"/>
    <col width="10" customWidth="1" style="121" min="8" max="8"/>
    <col width="9" customWidth="1" style="121" min="9" max="9"/>
    <col width="10" customWidth="1" style="121" min="10" max="10"/>
    <col width="9" customWidth="1" style="121" min="11" max="11"/>
    <col width="12" customWidth="1" style="121" min="12" max="14"/>
    <col width="11" customWidth="1" style="121" min="15" max="15"/>
    <col width="30" customWidth="1" style="121" min="16" max="16"/>
  </cols>
  <sheetData>
    <row r="1" ht="25.5" customHeight="1" s="122">
      <c r="A1" s="123" t="inlineStr">
        <is>
          <t>العمالة والمضخات لكل محطة</t>
        </is>
      </c>
      <c r="B1" s="124" t="n"/>
      <c r="C1" s="124" t="n"/>
      <c r="D1" s="124" t="n"/>
      <c r="E1" s="124" t="n"/>
      <c r="F1" s="124" t="n"/>
      <c r="G1" s="124" t="n"/>
      <c r="H1" s="124" t="n"/>
      <c r="I1" s="124" t="n"/>
      <c r="J1" s="124" t="n"/>
      <c r="K1" s="124" t="n"/>
      <c r="L1" s="124" t="n"/>
      <c r="M1" s="124" t="n"/>
      <c r="N1" s="124" t="n"/>
      <c r="O1" s="124" t="n"/>
      <c r="P1" s="124" t="n"/>
    </row>
    <row r="2" ht="18" customHeight="1" s="122">
      <c r="A2" s="125" t="inlineStr">
        <is>
          <t>52 محطة · بيانات التشغيل 29 يوليو 2026 · الإنتاجية محسوبة بالصيغ</t>
        </is>
      </c>
      <c r="B2" s="124" t="n"/>
      <c r="C2" s="124" t="n"/>
      <c r="D2" s="124" t="n"/>
      <c r="E2" s="124" t="n"/>
      <c r="F2" s="124" t="n"/>
      <c r="G2" s="124" t="n"/>
      <c r="H2" s="124" t="n"/>
      <c r="I2" s="124" t="n"/>
      <c r="J2" s="124" t="n"/>
      <c r="K2" s="124" t="n"/>
      <c r="L2" s="124" t="n"/>
      <c r="M2" s="124" t="n"/>
      <c r="N2" s="124" t="n"/>
      <c r="O2" s="124" t="n"/>
      <c r="P2" s="124" t="n"/>
    </row>
    <row r="3">
      <c r="A3" s="124" t="n"/>
      <c r="B3" s="124" t="n"/>
      <c r="C3" s="124" t="n"/>
      <c r="D3" s="124" t="n"/>
      <c r="E3" s="124" t="n"/>
      <c r="F3" s="124" t="n"/>
      <c r="G3" s="124" t="n"/>
      <c r="H3" s="124" t="n"/>
      <c r="I3" s="124" t="n"/>
      <c r="J3" s="124" t="n"/>
      <c r="K3" s="124" t="n"/>
      <c r="L3" s="124" t="n"/>
      <c r="M3" s="124" t="n"/>
      <c r="N3" s="124" t="n"/>
      <c r="O3" s="124" t="n"/>
      <c r="P3" s="124" t="n"/>
    </row>
    <row r="4" ht="31.5" customHeight="1" s="122">
      <c r="A4" s="138" t="inlineStr">
        <is>
          <t>#</t>
        </is>
      </c>
      <c r="B4" s="138" t="inlineStr">
        <is>
          <t>الكود</t>
        </is>
      </c>
      <c r="C4" s="138" t="inlineStr">
        <is>
          <t>المحطة</t>
        </is>
      </c>
      <c r="D4" s="138" t="inlineStr">
        <is>
          <t>المنطقة</t>
        </is>
      </c>
      <c r="E4" s="138" t="inlineStr">
        <is>
          <t>التعاقد</t>
        </is>
      </c>
      <c r="F4" s="138" t="inlineStr">
        <is>
          <t>المساحة</t>
        </is>
      </c>
      <c r="G4" s="138" t="inlineStr">
        <is>
          <t>مضخات بنزين</t>
        </is>
      </c>
      <c r="H4" s="138" t="inlineStr">
        <is>
          <t>مضخات ديزل</t>
        </is>
      </c>
      <c r="I4" s="138" t="inlineStr">
        <is>
          <t>إجمالي المضخات</t>
        </is>
      </c>
      <c r="J4" s="138" t="inlineStr">
        <is>
          <t>عمال فعلي</t>
        </is>
      </c>
      <c r="K4" s="138" t="inlineStr">
        <is>
          <t>متفق عليه</t>
        </is>
      </c>
      <c r="L4" s="138" t="inlineStr">
        <is>
          <t>الفارق</t>
        </is>
      </c>
      <c r="M4" s="138" t="inlineStr">
        <is>
          <t>زيارة/يوم</t>
        </is>
      </c>
      <c r="N4" s="138" t="inlineStr">
        <is>
          <t>زيارة/عامل</t>
        </is>
      </c>
      <c r="O4" s="138" t="inlineStr">
        <is>
          <t>زيارة/مضخة</t>
        </is>
      </c>
      <c r="P4" s="138" t="inlineStr">
        <is>
          <t>ملاحظة</t>
        </is>
      </c>
    </row>
    <row r="5" ht="18.75" customHeight="1" s="122">
      <c r="A5" s="144" t="n">
        <v>1</v>
      </c>
      <c r="B5" s="144" t="inlineStr">
        <is>
          <t>MK003</t>
        </is>
      </c>
      <c r="C5" s="147" t="inlineStr">
        <is>
          <t>العوالي</t>
        </is>
      </c>
      <c r="D5" s="144" t="inlineStr">
        <is>
          <t>مكة</t>
        </is>
      </c>
      <c r="E5" s="144" t="inlineStr">
        <is>
          <t>ايجار</t>
        </is>
      </c>
      <c r="F5" s="152" t="n">
        <v>7071</v>
      </c>
      <c r="G5" s="144" t="n">
        <v>21</v>
      </c>
      <c r="H5" s="144" t="n">
        <v>0</v>
      </c>
      <c r="I5" s="144">
        <f>G5+H5</f>
        <v/>
      </c>
      <c r="J5" s="144" t="n">
        <v>42</v>
      </c>
      <c r="K5" s="144" t="n">
        <v>39</v>
      </c>
      <c r="L5" s="214">
        <f>IF(K5="","",J5-K5)</f>
        <v/>
      </c>
      <c r="M5" s="144" t="n"/>
      <c r="N5" s="152">
        <f>IFERROR(M5/J5,"")</f>
        <v/>
      </c>
      <c r="O5" s="152">
        <f>IFERROR(M5/I5,"")</f>
        <v/>
      </c>
      <c r="P5" s="139" t="inlineStr">
        <is>
          <t>تغطية مبيعات ناقصة</t>
        </is>
      </c>
    </row>
    <row r="6" ht="18.75" customHeight="1" s="122">
      <c r="A6" s="144" t="n">
        <v>2</v>
      </c>
      <c r="B6" s="144" t="inlineStr">
        <is>
          <t>MK007</t>
        </is>
      </c>
      <c r="C6" s="147" t="inlineStr">
        <is>
          <t>العمرة</t>
        </is>
      </c>
      <c r="D6" s="144" t="inlineStr">
        <is>
          <t>مكة</t>
        </is>
      </c>
      <c r="E6" s="144" t="inlineStr">
        <is>
          <t>ايجار</t>
        </is>
      </c>
      <c r="F6" s="152" t="n">
        <v>120000</v>
      </c>
      <c r="G6" s="144" t="n">
        <v>18</v>
      </c>
      <c r="H6" s="144" t="n">
        <v>0</v>
      </c>
      <c r="I6" s="144">
        <f>G6+H6</f>
        <v/>
      </c>
      <c r="J6" s="144" t="n">
        <v>32</v>
      </c>
      <c r="K6" s="144" t="n">
        <v>34</v>
      </c>
      <c r="L6" s="214">
        <f>IF(K6="","",J6-K6)</f>
        <v/>
      </c>
      <c r="M6" s="152" t="n">
        <v>4236</v>
      </c>
      <c r="N6" s="152">
        <f>IFERROR(M6/J6,"")</f>
        <v/>
      </c>
      <c r="O6" s="152">
        <f>IFERROR(M6/I6,"")</f>
        <v/>
      </c>
      <c r="P6" s="139" t="n"/>
    </row>
    <row r="7" ht="18.75" customHeight="1" s="122">
      <c r="A7" s="144" t="n">
        <v>3</v>
      </c>
      <c r="B7" s="144" t="inlineStr">
        <is>
          <t>MK015</t>
        </is>
      </c>
      <c r="C7" s="147" t="inlineStr">
        <is>
          <t>جدة النسيم</t>
        </is>
      </c>
      <c r="D7" s="144" t="inlineStr">
        <is>
          <t>جدة</t>
        </is>
      </c>
      <c r="E7" s="144" t="inlineStr">
        <is>
          <t>ايجار</t>
        </is>
      </c>
      <c r="F7" s="152" t="n">
        <v>5618</v>
      </c>
      <c r="G7" s="144" t="n">
        <v>12</v>
      </c>
      <c r="H7" s="144" t="n">
        <v>0</v>
      </c>
      <c r="I7" s="144">
        <f>G7+H7</f>
        <v/>
      </c>
      <c r="J7" s="144" t="n">
        <v>20</v>
      </c>
      <c r="K7" s="144" t="n">
        <v>14</v>
      </c>
      <c r="L7" s="214">
        <f>IF(K7="","",J7-K7)</f>
        <v/>
      </c>
      <c r="M7" s="144" t="n"/>
      <c r="N7" s="152">
        <f>IFERROR(M7/J7,"")</f>
        <v/>
      </c>
      <c r="O7" s="152">
        <f>IFERROR(M7/I7,"")</f>
        <v/>
      </c>
      <c r="P7" s="139" t="inlineStr">
        <is>
          <t>تغطية مبيعات ناقصة</t>
        </is>
      </c>
    </row>
    <row r="8" ht="18.75" customHeight="1" s="122">
      <c r="A8" s="144" t="n">
        <v>4</v>
      </c>
      <c r="B8" s="144" t="inlineStr">
        <is>
          <t>MK004</t>
        </is>
      </c>
      <c r="C8" s="147" t="inlineStr">
        <is>
          <t>عاصفة الصحراء</t>
        </is>
      </c>
      <c r="D8" s="144" t="inlineStr">
        <is>
          <t>الطائف</t>
        </is>
      </c>
      <c r="E8" s="144" t="inlineStr">
        <is>
          <t>ايجار</t>
        </is>
      </c>
      <c r="F8" s="152" t="n">
        <v>20966</v>
      </c>
      <c r="G8" s="144" t="n">
        <v>7</v>
      </c>
      <c r="H8" s="144" t="n">
        <v>5</v>
      </c>
      <c r="I8" s="144">
        <f>G8+H8</f>
        <v/>
      </c>
      <c r="J8" s="144" t="n">
        <v>19</v>
      </c>
      <c r="K8" s="144" t="n">
        <v>20</v>
      </c>
      <c r="L8" s="214">
        <f>IF(K8="","",J8-K8)</f>
        <v/>
      </c>
      <c r="M8" s="144" t="n"/>
      <c r="N8" s="152">
        <f>IFERROR(M8/J8,"")</f>
        <v/>
      </c>
      <c r="O8" s="152">
        <f>IFERROR(M8/I8,"")</f>
        <v/>
      </c>
      <c r="P8" s="139" t="inlineStr">
        <is>
          <t>تغطية مبيعات ناقصة</t>
        </is>
      </c>
    </row>
    <row r="9" ht="18.75" customHeight="1" s="122">
      <c r="A9" s="144" t="n">
        <v>5</v>
      </c>
      <c r="B9" s="144" t="inlineStr">
        <is>
          <t>MK005</t>
        </is>
      </c>
      <c r="C9" s="147" t="inlineStr">
        <is>
          <t>الشيباني</t>
        </is>
      </c>
      <c r="D9" s="144" t="inlineStr">
        <is>
          <t>الطائف</t>
        </is>
      </c>
      <c r="E9" s="144" t="inlineStr">
        <is>
          <t>ايجار</t>
        </is>
      </c>
      <c r="F9" s="152" t="n">
        <v>9029</v>
      </c>
      <c r="G9" s="144" t="n">
        <v>9</v>
      </c>
      <c r="H9" s="144" t="n">
        <v>0</v>
      </c>
      <c r="I9" s="144">
        <f>G9+H9</f>
        <v/>
      </c>
      <c r="J9" s="144" t="n">
        <v>18</v>
      </c>
      <c r="K9" s="144" t="n">
        <v>16</v>
      </c>
      <c r="L9" s="214">
        <f>IF(K9="","",J9-K9)</f>
        <v/>
      </c>
      <c r="M9" s="144" t="n"/>
      <c r="N9" s="152">
        <f>IFERROR(M9/J9,"")</f>
        <v/>
      </c>
      <c r="O9" s="152">
        <f>IFERROR(M9/I9,"")</f>
        <v/>
      </c>
      <c r="P9" s="139" t="inlineStr">
        <is>
          <t>تغطية مبيعات ناقصة</t>
        </is>
      </c>
    </row>
    <row r="10" ht="18.75" customHeight="1" s="122">
      <c r="A10" s="144" t="n">
        <v>6</v>
      </c>
      <c r="B10" s="144" t="inlineStr">
        <is>
          <t>MK072</t>
        </is>
      </c>
      <c r="C10" s="147" t="inlineStr">
        <is>
          <t>العزيزية بن دهيش</t>
        </is>
      </c>
      <c r="D10" s="144" t="inlineStr">
        <is>
          <t>مكة</t>
        </is>
      </c>
      <c r="E10" s="144" t="inlineStr">
        <is>
          <t>ايجار</t>
        </is>
      </c>
      <c r="F10" s="152" t="n">
        <v>2948</v>
      </c>
      <c r="G10" s="144" t="n">
        <v>6</v>
      </c>
      <c r="H10" s="144" t="n">
        <v>0</v>
      </c>
      <c r="I10" s="144">
        <f>G10+H10</f>
        <v/>
      </c>
      <c r="J10" s="144" t="n">
        <v>14</v>
      </c>
      <c r="K10" s="144" t="n">
        <v>15</v>
      </c>
      <c r="L10" s="214">
        <f>IF(K10="","",J10-K10)</f>
        <v/>
      </c>
      <c r="M10" s="152" t="n">
        <v>2359</v>
      </c>
      <c r="N10" s="152">
        <f>IFERROR(M10/J10,"")</f>
        <v/>
      </c>
      <c r="O10" s="152">
        <f>IFERROR(M10/I10,"")</f>
        <v/>
      </c>
      <c r="P10" s="139" t="n"/>
    </row>
    <row r="11" ht="18.75" customHeight="1" s="122">
      <c r="A11" s="144" t="n">
        <v>7</v>
      </c>
      <c r="B11" s="144" t="inlineStr">
        <is>
          <t>MK006</t>
        </is>
      </c>
      <c r="C11" s="147" t="inlineStr">
        <is>
          <t>جنوب الطائف</t>
        </is>
      </c>
      <c r="D11" s="144" t="inlineStr">
        <is>
          <t>الطائف</t>
        </is>
      </c>
      <c r="E11" s="144" t="inlineStr">
        <is>
          <t>ايجار</t>
        </is>
      </c>
      <c r="F11" s="152" t="n">
        <v>4735</v>
      </c>
      <c r="G11" s="144" t="n">
        <v>12</v>
      </c>
      <c r="H11" s="144" t="n">
        <v>0</v>
      </c>
      <c r="I11" s="144">
        <f>G11+H11</f>
        <v/>
      </c>
      <c r="J11" s="144" t="n">
        <v>13</v>
      </c>
      <c r="K11" s="144" t="n">
        <v>12</v>
      </c>
      <c r="L11" s="214">
        <f>IF(K11="","",J11-K11)</f>
        <v/>
      </c>
      <c r="M11" s="144" t="n"/>
      <c r="N11" s="152">
        <f>IFERROR(M11/J11,"")</f>
        <v/>
      </c>
      <c r="O11" s="152">
        <f>IFERROR(M11/I11,"")</f>
        <v/>
      </c>
      <c r="P11" s="139" t="inlineStr">
        <is>
          <t>تغطية مبيعات ناقصة</t>
        </is>
      </c>
    </row>
    <row r="12" ht="18.75" customHeight="1" s="122">
      <c r="A12" s="144" t="n">
        <v>8</v>
      </c>
      <c r="B12" s="144" t="inlineStr">
        <is>
          <t>MK028</t>
        </is>
      </c>
      <c r="C12" s="147" t="inlineStr">
        <is>
          <t>احلى مساء</t>
        </is>
      </c>
      <c r="D12" s="144" t="inlineStr">
        <is>
          <t>الطائف</t>
        </is>
      </c>
      <c r="E12" s="144" t="inlineStr">
        <is>
          <t>تشغيل</t>
        </is>
      </c>
      <c r="F12" s="152" t="n">
        <v>7246</v>
      </c>
      <c r="G12" s="144" t="n">
        <v>9</v>
      </c>
      <c r="H12" s="144" t="n">
        <v>0</v>
      </c>
      <c r="I12" s="144">
        <f>G12+H12</f>
        <v/>
      </c>
      <c r="J12" s="144" t="n">
        <v>13</v>
      </c>
      <c r="K12" s="144" t="n">
        <v>12</v>
      </c>
      <c r="L12" s="214">
        <f>IF(K12="","",J12-K12)</f>
        <v/>
      </c>
      <c r="M12" s="152" t="n">
        <v>1414</v>
      </c>
      <c r="N12" s="152">
        <f>IFERROR(M12/J12,"")</f>
        <v/>
      </c>
      <c r="O12" s="152">
        <f>IFERROR(M12/I12,"")</f>
        <v/>
      </c>
      <c r="P12" s="139" t="n"/>
    </row>
    <row r="13" ht="18.75" customHeight="1" s="122">
      <c r="A13" s="144" t="n">
        <v>9</v>
      </c>
      <c r="B13" s="144" t="inlineStr">
        <is>
          <t>MK033</t>
        </is>
      </c>
      <c r="C13" s="147" t="inlineStr">
        <is>
          <t>أبو وافي</t>
        </is>
      </c>
      <c r="D13" s="144" t="inlineStr">
        <is>
          <t>مكة</t>
        </is>
      </c>
      <c r="E13" s="144" t="inlineStr">
        <is>
          <t>تشغيل</t>
        </is>
      </c>
      <c r="F13" s="152" t="n">
        <v>13279</v>
      </c>
      <c r="G13" s="144" t="n">
        <v>6</v>
      </c>
      <c r="H13" s="144" t="n">
        <v>4</v>
      </c>
      <c r="I13" s="144">
        <f>G13+H13</f>
        <v/>
      </c>
      <c r="J13" s="144" t="n">
        <v>13</v>
      </c>
      <c r="K13" s="144" t="n">
        <v>12</v>
      </c>
      <c r="L13" s="214">
        <f>IF(K13="","",J13-K13)</f>
        <v/>
      </c>
      <c r="M13" s="152" t="n">
        <v>1380</v>
      </c>
      <c r="N13" s="152">
        <f>IFERROR(M13/J13,"")</f>
        <v/>
      </c>
      <c r="O13" s="152">
        <f>IFERROR(M13/I13,"")</f>
        <v/>
      </c>
      <c r="P13" s="139" t="n"/>
    </row>
    <row r="14" ht="18.75" customHeight="1" s="122">
      <c r="A14" s="144" t="n">
        <v>10</v>
      </c>
      <c r="B14" s="144" t="inlineStr">
        <is>
          <t>MK029</t>
        </is>
      </c>
      <c r="C14" s="147" t="inlineStr">
        <is>
          <t>الذكرى الخالدة</t>
        </is>
      </c>
      <c r="D14" s="144" t="inlineStr">
        <is>
          <t>مكة</t>
        </is>
      </c>
      <c r="E14" s="144" t="inlineStr">
        <is>
          <t>تشغيل</t>
        </is>
      </c>
      <c r="F14" s="152" t="n">
        <v>8306</v>
      </c>
      <c r="G14" s="144" t="n">
        <v>8</v>
      </c>
      <c r="H14" s="144" t="n">
        <v>0</v>
      </c>
      <c r="I14" s="144">
        <f>G14+H14</f>
        <v/>
      </c>
      <c r="J14" s="144" t="n">
        <v>12</v>
      </c>
      <c r="K14" s="144" t="n">
        <v>12</v>
      </c>
      <c r="L14" s="214">
        <f>IF(K14="","",J14-K14)</f>
        <v/>
      </c>
      <c r="M14" s="152" t="n">
        <v>1566</v>
      </c>
      <c r="N14" s="152">
        <f>IFERROR(M14/J14,"")</f>
        <v/>
      </c>
      <c r="O14" s="152">
        <f>IFERROR(M14/I14,"")</f>
        <v/>
      </c>
      <c r="P14" s="139" t="n"/>
    </row>
    <row r="15" ht="18.75" customHeight="1" s="122">
      <c r="A15" s="144" t="n">
        <v>11</v>
      </c>
      <c r="B15" s="144" t="inlineStr">
        <is>
          <t>MK046</t>
        </is>
      </c>
      <c r="C15" s="147" t="inlineStr">
        <is>
          <t>الحليس</t>
        </is>
      </c>
      <c r="D15" s="144" t="inlineStr">
        <is>
          <t>الطائف</t>
        </is>
      </c>
      <c r="E15" s="144" t="inlineStr">
        <is>
          <t>تشغيل</t>
        </is>
      </c>
      <c r="F15" s="152" t="n">
        <v>3120</v>
      </c>
      <c r="G15" s="144" t="n">
        <v>8</v>
      </c>
      <c r="H15" s="144" t="n">
        <v>0</v>
      </c>
      <c r="I15" s="144">
        <f>G15+H15</f>
        <v/>
      </c>
      <c r="J15" s="144" t="n">
        <v>12</v>
      </c>
      <c r="K15" s="144" t="n">
        <v>12</v>
      </c>
      <c r="L15" s="214">
        <f>IF(K15="","",J15-K15)</f>
        <v/>
      </c>
      <c r="M15" s="144" t="n"/>
      <c r="N15" s="152">
        <f>IFERROR(M15/J15,"")</f>
        <v/>
      </c>
      <c r="O15" s="152">
        <f>IFERROR(M15/I15,"")</f>
        <v/>
      </c>
      <c r="P15" s="139" t="inlineStr">
        <is>
          <t>تغطية مبيعات ناقصة</t>
        </is>
      </c>
    </row>
    <row r="16" ht="18.75" customHeight="1" s="122">
      <c r="A16" s="144" t="n">
        <v>12</v>
      </c>
      <c r="B16" s="144" t="inlineStr">
        <is>
          <t>MK016</t>
        </is>
      </c>
      <c r="C16" s="147" t="inlineStr">
        <is>
          <t>الرصيفة</t>
        </is>
      </c>
      <c r="D16" s="144" t="inlineStr">
        <is>
          <t>مكة</t>
        </is>
      </c>
      <c r="E16" s="144" t="inlineStr">
        <is>
          <t>تشغيل</t>
        </is>
      </c>
      <c r="F16" s="152" t="n">
        <v>4343.5</v>
      </c>
      <c r="G16" s="144" t="n">
        <v>9</v>
      </c>
      <c r="H16" s="144" t="n">
        <v>0</v>
      </c>
      <c r="I16" s="144">
        <f>G16+H16</f>
        <v/>
      </c>
      <c r="J16" s="144" t="n">
        <v>11</v>
      </c>
      <c r="K16" s="144" t="n">
        <v>11</v>
      </c>
      <c r="L16" s="214">
        <f>IF(K16="","",J16-K16)</f>
        <v/>
      </c>
      <c r="M16" s="152" t="n">
        <v>1573</v>
      </c>
      <c r="N16" s="152">
        <f>IFERROR(M16/J16,"")</f>
        <v/>
      </c>
      <c r="O16" s="152">
        <f>IFERROR(M16/I16,"")</f>
        <v/>
      </c>
      <c r="P16" s="139" t="n"/>
    </row>
    <row r="17" ht="18.75" customHeight="1" s="122">
      <c r="A17" s="144" t="n">
        <v>13</v>
      </c>
      <c r="B17" s="144" t="inlineStr">
        <is>
          <t>MK054</t>
        </is>
      </c>
      <c r="C17" s="147" t="inlineStr">
        <is>
          <t>سلطان المطرفي</t>
        </is>
      </c>
      <c r="D17" s="144" t="inlineStr">
        <is>
          <t>مكة</t>
        </is>
      </c>
      <c r="E17" s="144" t="inlineStr">
        <is>
          <t>تشغيل</t>
        </is>
      </c>
      <c r="F17" s="152" t="n">
        <v>43915</v>
      </c>
      <c r="G17" s="144" t="n">
        <v>12</v>
      </c>
      <c r="H17" s="144" t="n">
        <v>4</v>
      </c>
      <c r="I17" s="144">
        <f>G17+H17</f>
        <v/>
      </c>
      <c r="J17" s="144" t="n">
        <v>11</v>
      </c>
      <c r="K17" s="144" t="n">
        <v>10</v>
      </c>
      <c r="L17" s="214">
        <f>IF(K17="","",J17-K17)</f>
        <v/>
      </c>
      <c r="M17" s="144" t="n"/>
      <c r="N17" s="152">
        <f>IFERROR(M17/J17,"")</f>
        <v/>
      </c>
      <c r="O17" s="152">
        <f>IFERROR(M17/I17,"")</f>
        <v/>
      </c>
      <c r="P17" s="139" t="inlineStr">
        <is>
          <t>تغطية مبيعات ناقصة</t>
        </is>
      </c>
    </row>
    <row r="18" ht="18.75" customHeight="1" s="122">
      <c r="A18" s="144" t="n">
        <v>14</v>
      </c>
      <c r="B18" s="144" t="inlineStr">
        <is>
          <t>MK001</t>
        </is>
      </c>
      <c r="C18" s="147" t="inlineStr">
        <is>
          <t>جبل النور</t>
        </is>
      </c>
      <c r="D18" s="144" t="inlineStr">
        <is>
          <t>مكة</t>
        </is>
      </c>
      <c r="E18" s="144" t="inlineStr">
        <is>
          <t>ايجار</t>
        </is>
      </c>
      <c r="F18" s="152" t="n">
        <v>2367</v>
      </c>
      <c r="G18" s="144" t="n">
        <v>4</v>
      </c>
      <c r="H18" s="144" t="n">
        <v>0</v>
      </c>
      <c r="I18" s="144">
        <f>G18+H18</f>
        <v/>
      </c>
      <c r="J18" s="144" t="n">
        <v>10</v>
      </c>
      <c r="K18" s="144" t="n">
        <v>12</v>
      </c>
      <c r="L18" s="214">
        <f>IF(K18="","",J18-K18)</f>
        <v/>
      </c>
      <c r="M18" s="152" t="n">
        <v>1872</v>
      </c>
      <c r="N18" s="152">
        <f>IFERROR(M18/J18,"")</f>
        <v/>
      </c>
      <c r="O18" s="152">
        <f>IFERROR(M18/I18,"")</f>
        <v/>
      </c>
      <c r="P18" s="139" t="n"/>
    </row>
    <row r="19" ht="18.75" customHeight="1" s="122">
      <c r="A19" s="144" t="n">
        <v>15</v>
      </c>
      <c r="B19" s="144" t="inlineStr">
        <is>
          <t>MK047</t>
        </is>
      </c>
      <c r="C19" s="147" t="inlineStr">
        <is>
          <t>القادسية</t>
        </is>
      </c>
      <c r="D19" s="144" t="inlineStr">
        <is>
          <t>مكة</t>
        </is>
      </c>
      <c r="E19" s="144" t="inlineStr">
        <is>
          <t>تشغيل</t>
        </is>
      </c>
      <c r="F19" s="152" t="n">
        <v>5078</v>
      </c>
      <c r="G19" s="144" t="n">
        <v>9</v>
      </c>
      <c r="H19" s="144" t="n">
        <v>0</v>
      </c>
      <c r="I19" s="144">
        <f>G19+H19</f>
        <v/>
      </c>
      <c r="J19" s="144" t="n">
        <v>10</v>
      </c>
      <c r="K19" s="144" t="n">
        <v>11</v>
      </c>
      <c r="L19" s="214">
        <f>IF(K19="","",J19-K19)</f>
        <v/>
      </c>
      <c r="M19" s="152" t="n">
        <v>1702</v>
      </c>
      <c r="N19" s="152">
        <f>IFERROR(M19/J19,"")</f>
        <v/>
      </c>
      <c r="O19" s="152">
        <f>IFERROR(M19/I19,"")</f>
        <v/>
      </c>
      <c r="P19" s="139" t="n"/>
    </row>
    <row r="20" ht="18.75" customHeight="1" s="122">
      <c r="A20" s="144" t="n">
        <v>16</v>
      </c>
      <c r="B20" s="144" t="inlineStr">
        <is>
          <t>RY075</t>
        </is>
      </c>
      <c r="C20" s="147" t="inlineStr">
        <is>
          <t>الرياض الدائري الشمالي</t>
        </is>
      </c>
      <c r="D20" s="144" t="inlineStr">
        <is>
          <t>الرياض</t>
        </is>
      </c>
      <c r="E20" s="144" t="inlineStr">
        <is>
          <t>تشغيل</t>
        </is>
      </c>
      <c r="F20" s="152" t="n">
        <v>13300</v>
      </c>
      <c r="G20" s="144" t="n">
        <v>8</v>
      </c>
      <c r="H20" s="144" t="n">
        <v>8</v>
      </c>
      <c r="I20" s="144">
        <f>G20+H20</f>
        <v/>
      </c>
      <c r="J20" s="144" t="n">
        <v>10</v>
      </c>
      <c r="K20" s="144" t="n">
        <v>10</v>
      </c>
      <c r="L20" s="214">
        <f>IF(K20="","",J20-K20)</f>
        <v/>
      </c>
      <c r="M20" s="152" t="n">
        <v>1169</v>
      </c>
      <c r="N20" s="152">
        <f>IFERROR(M20/J20,"")</f>
        <v/>
      </c>
      <c r="O20" s="152">
        <f>IFERROR(M20/I20,"")</f>
        <v/>
      </c>
      <c r="P20" s="139" t="n"/>
    </row>
    <row r="21" ht="18.75" customHeight="1" s="122">
      <c r="A21" s="144" t="n">
        <v>17</v>
      </c>
      <c r="B21" s="144" t="inlineStr">
        <is>
          <t>MK008</t>
        </is>
      </c>
      <c r="C21" s="147" t="inlineStr">
        <is>
          <t>جنوب الحسينية</t>
        </is>
      </c>
      <c r="D21" s="144" t="inlineStr">
        <is>
          <t>مكة</t>
        </is>
      </c>
      <c r="E21" s="144" t="inlineStr">
        <is>
          <t>ايجار</t>
        </is>
      </c>
      <c r="F21" s="152" t="n">
        <v>3408</v>
      </c>
      <c r="G21" s="144" t="n">
        <v>6</v>
      </c>
      <c r="H21" s="144" t="n">
        <v>0</v>
      </c>
      <c r="I21" s="144">
        <f>G21+H21</f>
        <v/>
      </c>
      <c r="J21" s="144" t="n">
        <v>9</v>
      </c>
      <c r="K21" s="144" t="n">
        <v>10</v>
      </c>
      <c r="L21" s="214">
        <f>IF(K21="","",J21-K21)</f>
        <v/>
      </c>
      <c r="M21" s="144" t="n"/>
      <c r="N21" s="152">
        <f>IFERROR(M21/J21,"")</f>
        <v/>
      </c>
      <c r="O21" s="152">
        <f>IFERROR(M21/I21,"")</f>
        <v/>
      </c>
      <c r="P21" s="139" t="inlineStr">
        <is>
          <t>تغطية مبيعات ناقصة</t>
        </is>
      </c>
    </row>
    <row r="22" ht="18.75" customHeight="1" s="122">
      <c r="A22" s="144" t="n">
        <v>18</v>
      </c>
      <c r="B22" s="144" t="inlineStr">
        <is>
          <t>MK017</t>
        </is>
      </c>
      <c r="C22" s="147" t="inlineStr">
        <is>
          <t>عرفات الشوقية</t>
        </is>
      </c>
      <c r="D22" s="144" t="inlineStr">
        <is>
          <t>مكة</t>
        </is>
      </c>
      <c r="E22" s="144" t="inlineStr">
        <is>
          <t>ايجار</t>
        </is>
      </c>
      <c r="F22" s="152" t="n">
        <v>3625</v>
      </c>
      <c r="G22" s="144" t="n">
        <v>9</v>
      </c>
      <c r="H22" s="144" t="n">
        <v>0</v>
      </c>
      <c r="I22" s="144">
        <f>G22+H22</f>
        <v/>
      </c>
      <c r="J22" s="144" t="n">
        <v>9</v>
      </c>
      <c r="K22" s="144" t="n">
        <v>9</v>
      </c>
      <c r="L22" s="214">
        <f>IF(K22="","",J22-K22)</f>
        <v/>
      </c>
      <c r="M22" s="152" t="n">
        <v>1290</v>
      </c>
      <c r="N22" s="152">
        <f>IFERROR(M22/J22,"")</f>
        <v/>
      </c>
      <c r="O22" s="152">
        <f>IFERROR(M22/I22,"")</f>
        <v/>
      </c>
      <c r="P22" s="139" t="n"/>
    </row>
    <row r="23" ht="18.75" customHeight="1" s="122">
      <c r="A23" s="144" t="n">
        <v>19</v>
      </c>
      <c r="B23" s="144" t="inlineStr">
        <is>
          <t>MK020</t>
        </is>
      </c>
      <c r="C23" s="147" t="inlineStr">
        <is>
          <t>ممشى الشوقية</t>
        </is>
      </c>
      <c r="D23" s="144" t="inlineStr">
        <is>
          <t>مكة</t>
        </is>
      </c>
      <c r="E23" s="144" t="inlineStr">
        <is>
          <t>تشغيل</t>
        </is>
      </c>
      <c r="F23" s="152" t="n">
        <v>4338</v>
      </c>
      <c r="G23" s="144" t="n">
        <v>4</v>
      </c>
      <c r="H23" s="144" t="n">
        <v>0</v>
      </c>
      <c r="I23" s="144">
        <f>G23+H23</f>
        <v/>
      </c>
      <c r="J23" s="144" t="n">
        <v>9</v>
      </c>
      <c r="K23" s="144" t="n">
        <v>10</v>
      </c>
      <c r="L23" s="214">
        <f>IF(K23="","",J23-K23)</f>
        <v/>
      </c>
      <c r="M23" s="152" t="n">
        <v>1363</v>
      </c>
      <c r="N23" s="152">
        <f>IFERROR(M23/J23,"")</f>
        <v/>
      </c>
      <c r="O23" s="152">
        <f>IFERROR(M23/I23,"")</f>
        <v/>
      </c>
      <c r="P23" s="139" t="n"/>
    </row>
    <row r="24" ht="18.75" customHeight="1" s="122">
      <c r="A24" s="144" t="n">
        <v>20</v>
      </c>
      <c r="B24" s="144" t="inlineStr">
        <is>
          <t>MK063</t>
        </is>
      </c>
      <c r="C24" s="147" t="inlineStr">
        <is>
          <t>السواط</t>
        </is>
      </c>
      <c r="D24" s="144" t="inlineStr">
        <is>
          <t>الطائف</t>
        </is>
      </c>
      <c r="E24" s="144" t="inlineStr">
        <is>
          <t>ايجار</t>
        </is>
      </c>
      <c r="F24" s="152" t="n">
        <v>2991</v>
      </c>
      <c r="G24" s="144" t="n">
        <v>9</v>
      </c>
      <c r="H24" s="144" t="n">
        <v>0</v>
      </c>
      <c r="I24" s="144">
        <f>G24+H24</f>
        <v/>
      </c>
      <c r="J24" s="144" t="n">
        <v>9</v>
      </c>
      <c r="K24" s="144" t="n">
        <v>8</v>
      </c>
      <c r="L24" s="214">
        <f>IF(K24="","",J24-K24)</f>
        <v/>
      </c>
      <c r="M24" s="152" t="n">
        <v>1144</v>
      </c>
      <c r="N24" s="152">
        <f>IFERROR(M24/J24,"")</f>
        <v/>
      </c>
      <c r="O24" s="152">
        <f>IFERROR(M24/I24,"")</f>
        <v/>
      </c>
      <c r="P24" s="139" t="n"/>
    </row>
    <row r="25" ht="18.75" customHeight="1" s="122">
      <c r="A25" s="144" t="n">
        <v>21</v>
      </c>
      <c r="B25" s="144" t="inlineStr">
        <is>
          <t>MK064</t>
        </is>
      </c>
      <c r="C25" s="147" t="inlineStr">
        <is>
          <t>جعرانة</t>
        </is>
      </c>
      <c r="D25" s="144" t="inlineStr">
        <is>
          <t>مكة</t>
        </is>
      </c>
      <c r="E25" s="144" t="inlineStr">
        <is>
          <t>تشغيل</t>
        </is>
      </c>
      <c r="F25" s="152" t="n">
        <v>5492</v>
      </c>
      <c r="G25" s="144" t="n">
        <v>6</v>
      </c>
      <c r="H25" s="144" t="n">
        <v>0</v>
      </c>
      <c r="I25" s="144">
        <f>G25+H25</f>
        <v/>
      </c>
      <c r="J25" s="144" t="n">
        <v>9</v>
      </c>
      <c r="K25" s="144" t="n">
        <v>10</v>
      </c>
      <c r="L25" s="214">
        <f>IF(K25="","",J25-K25)</f>
        <v/>
      </c>
      <c r="M25" s="152" t="n">
        <v>1112</v>
      </c>
      <c r="N25" s="152">
        <f>IFERROR(M25/J25,"")</f>
        <v/>
      </c>
      <c r="O25" s="152">
        <f>IFERROR(M25/I25,"")</f>
        <v/>
      </c>
      <c r="P25" s="139" t="n"/>
    </row>
    <row r="26" ht="18.75" customHeight="1" s="122">
      <c r="A26" s="144" t="n">
        <v>22</v>
      </c>
      <c r="B26" s="144" t="inlineStr">
        <is>
          <t>MK014</t>
        </is>
      </c>
      <c r="C26" s="147" t="inlineStr">
        <is>
          <t>خليص</t>
        </is>
      </c>
      <c r="D26" s="144" t="inlineStr">
        <is>
          <t>جدة</t>
        </is>
      </c>
      <c r="E26" s="144" t="inlineStr">
        <is>
          <t>تشغيل</t>
        </is>
      </c>
      <c r="F26" s="152" t="n">
        <v>6987</v>
      </c>
      <c r="G26" s="144" t="n">
        <v>4</v>
      </c>
      <c r="H26" s="144" t="n">
        <v>2</v>
      </c>
      <c r="I26" s="144">
        <f>G26+H26</f>
        <v/>
      </c>
      <c r="J26" s="144" t="n">
        <v>9</v>
      </c>
      <c r="K26" s="144" t="n">
        <v>8</v>
      </c>
      <c r="L26" s="214">
        <f>IF(K26="","",J26-K26)</f>
        <v/>
      </c>
      <c r="M26" s="152" t="n">
        <v>423</v>
      </c>
      <c r="N26" s="152">
        <f>IFERROR(M26/J26,"")</f>
        <v/>
      </c>
      <c r="O26" s="152">
        <f>IFERROR(M26/I26,"")</f>
        <v/>
      </c>
      <c r="P26" s="139" t="n"/>
    </row>
    <row r="27" ht="18.75" customHeight="1" s="122">
      <c r="A27" s="144" t="n">
        <v>23</v>
      </c>
      <c r="B27" s="144" t="inlineStr">
        <is>
          <t>MK022</t>
        </is>
      </c>
      <c r="C27" s="147" t="inlineStr">
        <is>
          <t>بطحاء قريش</t>
        </is>
      </c>
      <c r="D27" s="144" t="inlineStr">
        <is>
          <t>مكة</t>
        </is>
      </c>
      <c r="E27" s="144" t="inlineStr">
        <is>
          <t>ايجار</t>
        </is>
      </c>
      <c r="F27" s="152" t="n">
        <v>3693</v>
      </c>
      <c r="G27" s="144" t="n">
        <v>6</v>
      </c>
      <c r="H27" s="144" t="n">
        <v>0</v>
      </c>
      <c r="I27" s="144">
        <f>G27+H27</f>
        <v/>
      </c>
      <c r="J27" s="144" t="n">
        <v>8</v>
      </c>
      <c r="K27" s="144" t="n">
        <v>9</v>
      </c>
      <c r="L27" s="214">
        <f>IF(K27="","",J27-K27)</f>
        <v/>
      </c>
      <c r="M27" s="152" t="n">
        <v>816</v>
      </c>
      <c r="N27" s="152">
        <f>IFERROR(M27/J27,"")</f>
        <v/>
      </c>
      <c r="O27" s="152">
        <f>IFERROR(M27/I27,"")</f>
        <v/>
      </c>
      <c r="P27" s="139" t="n"/>
    </row>
    <row r="28" ht="18.75" customHeight="1" s="122">
      <c r="A28" s="144" t="n">
        <v>24</v>
      </c>
      <c r="B28" s="144" t="inlineStr">
        <is>
          <t>MK084</t>
        </is>
      </c>
      <c r="C28" s="147" t="inlineStr">
        <is>
          <t>الكر النازل</t>
        </is>
      </c>
      <c r="D28" s="144" t="inlineStr">
        <is>
          <t>مكة</t>
        </is>
      </c>
      <c r="E28" s="144" t="inlineStr">
        <is>
          <t>تشغيل</t>
        </is>
      </c>
      <c r="F28" s="152" t="n">
        <v>7390</v>
      </c>
      <c r="G28" s="144" t="n">
        <v>9</v>
      </c>
      <c r="H28" s="144" t="n">
        <v>0</v>
      </c>
      <c r="I28" s="144">
        <f>G28+H28</f>
        <v/>
      </c>
      <c r="J28" s="144" t="n">
        <v>8</v>
      </c>
      <c r="K28" s="144" t="n">
        <v>8</v>
      </c>
      <c r="L28" s="214">
        <f>IF(K28="","",J28-K28)</f>
        <v/>
      </c>
      <c r="M28" s="152" t="n">
        <v>537</v>
      </c>
      <c r="N28" s="152">
        <f>IFERROR(M28/J28,"")</f>
        <v/>
      </c>
      <c r="O28" s="152">
        <f>IFERROR(M28/I28,"")</f>
        <v/>
      </c>
      <c r="P28" s="139" t="n"/>
    </row>
    <row r="29" ht="18.75" customHeight="1" s="122">
      <c r="A29" s="144" t="n">
        <v>25</v>
      </c>
      <c r="B29" s="144" t="inlineStr">
        <is>
          <t>JA069</t>
        </is>
      </c>
      <c r="C29" s="147" t="inlineStr">
        <is>
          <t>كورنيش جيزان</t>
        </is>
      </c>
      <c r="D29" s="144" t="inlineStr">
        <is>
          <t>جازان</t>
        </is>
      </c>
      <c r="E29" s="144" t="inlineStr">
        <is>
          <t>تشغيل</t>
        </is>
      </c>
      <c r="F29" s="152" t="n">
        <v>7500</v>
      </c>
      <c r="G29" s="144" t="n">
        <v>3</v>
      </c>
      <c r="H29" s="144" t="n">
        <v>3</v>
      </c>
      <c r="I29" s="144">
        <f>G29+H29</f>
        <v/>
      </c>
      <c r="J29" s="144" t="n">
        <v>8</v>
      </c>
      <c r="K29" s="144" t="n">
        <v>8</v>
      </c>
      <c r="L29" s="214">
        <f>IF(K29="","",J29-K29)</f>
        <v/>
      </c>
      <c r="M29" s="152" t="n">
        <v>922</v>
      </c>
      <c r="N29" s="152">
        <f>IFERROR(M29/J29,"")</f>
        <v/>
      </c>
      <c r="O29" s="152">
        <f>IFERROR(M29/I29,"")</f>
        <v/>
      </c>
      <c r="P29" s="139" t="n"/>
    </row>
    <row r="30" ht="18.75" customHeight="1" s="122">
      <c r="A30" s="144" t="n">
        <v>26</v>
      </c>
      <c r="B30" s="144" t="inlineStr">
        <is>
          <t>JA053</t>
        </is>
      </c>
      <c r="C30" s="147" t="inlineStr">
        <is>
          <t>صبيا</t>
        </is>
      </c>
      <c r="D30" s="144" t="inlineStr">
        <is>
          <t>جازان</t>
        </is>
      </c>
      <c r="E30" s="144" t="inlineStr">
        <is>
          <t>تشغيل</t>
        </is>
      </c>
      <c r="F30" s="152" t="n">
        <v>14000</v>
      </c>
      <c r="G30" s="144" t="n">
        <v>6</v>
      </c>
      <c r="H30" s="144" t="n">
        <v>2</v>
      </c>
      <c r="I30" s="144">
        <f>G30+H30</f>
        <v/>
      </c>
      <c r="J30" s="144" t="n">
        <v>8</v>
      </c>
      <c r="K30" s="144" t="n">
        <v>7</v>
      </c>
      <c r="L30" s="214">
        <f>IF(K30="","",J30-K30)</f>
        <v/>
      </c>
      <c r="M30" s="152" t="n">
        <v>650</v>
      </c>
      <c r="N30" s="152">
        <f>IFERROR(M30/J30,"")</f>
        <v/>
      </c>
      <c r="O30" s="152">
        <f>IFERROR(M30/I30,"")</f>
        <v/>
      </c>
      <c r="P30" s="139" t="n"/>
    </row>
    <row r="31" ht="18.75" customHeight="1" s="122">
      <c r="A31" s="144" t="n">
        <v>27</v>
      </c>
      <c r="B31" s="144" t="inlineStr">
        <is>
          <t>MK002</t>
        </is>
      </c>
      <c r="C31" s="147" t="inlineStr">
        <is>
          <t>المعيصم</t>
        </is>
      </c>
      <c r="D31" s="144" t="inlineStr">
        <is>
          <t>مكة</t>
        </is>
      </c>
      <c r="E31" s="144" t="inlineStr">
        <is>
          <t>ايجار</t>
        </is>
      </c>
      <c r="F31" s="152" t="n">
        <v>7071</v>
      </c>
      <c r="G31" s="144" t="n">
        <v>10</v>
      </c>
      <c r="H31" s="144" t="n">
        <v>0</v>
      </c>
      <c r="I31" s="144">
        <f>G31+H31</f>
        <v/>
      </c>
      <c r="J31" s="144" t="n">
        <v>7</v>
      </c>
      <c r="K31" s="144" t="n">
        <v>8</v>
      </c>
      <c r="L31" s="214">
        <f>IF(K31="","",J31-K31)</f>
        <v/>
      </c>
      <c r="M31" s="152" t="n">
        <v>913</v>
      </c>
      <c r="N31" s="152">
        <f>IFERROR(M31/J31,"")</f>
        <v/>
      </c>
      <c r="O31" s="152">
        <f>IFERROR(M31/I31,"")</f>
        <v/>
      </c>
      <c r="P31" s="139" t="n"/>
    </row>
    <row r="32" ht="18.75" customHeight="1" s="122">
      <c r="A32" s="144" t="n">
        <v>28</v>
      </c>
      <c r="B32" s="144" t="inlineStr">
        <is>
          <t>MK023</t>
        </is>
      </c>
      <c r="C32" s="147" t="inlineStr">
        <is>
          <t>بن درويش</t>
        </is>
      </c>
      <c r="D32" s="144" t="inlineStr">
        <is>
          <t>مكة</t>
        </is>
      </c>
      <c r="E32" s="144" t="inlineStr">
        <is>
          <t>تشغيل</t>
        </is>
      </c>
      <c r="F32" s="152" t="n">
        <v>4488</v>
      </c>
      <c r="G32" s="144" t="n">
        <v>4</v>
      </c>
      <c r="H32" s="144" t="n">
        <v>0</v>
      </c>
      <c r="I32" s="144">
        <f>G32+H32</f>
        <v/>
      </c>
      <c r="J32" s="144" t="n">
        <v>7</v>
      </c>
      <c r="K32" s="144" t="n">
        <v>7</v>
      </c>
      <c r="L32" s="214">
        <f>IF(K32="","",J32-K32)</f>
        <v/>
      </c>
      <c r="M32" s="152" t="n">
        <v>807</v>
      </c>
      <c r="N32" s="152">
        <f>IFERROR(M32/J32,"")</f>
        <v/>
      </c>
      <c r="O32" s="152">
        <f>IFERROR(M32/I32,"")</f>
        <v/>
      </c>
      <c r="P32" s="139" t="n"/>
    </row>
    <row r="33" ht="18.75" customHeight="1" s="122">
      <c r="A33" s="144" t="n">
        <v>29</v>
      </c>
      <c r="B33" s="144" t="inlineStr">
        <is>
          <t>RY024</t>
        </is>
      </c>
      <c r="C33" s="147" t="inlineStr">
        <is>
          <t>الخرج غرناطة</t>
        </is>
      </c>
      <c r="D33" s="144" t="inlineStr">
        <is>
          <t>الرياض</t>
        </is>
      </c>
      <c r="E33" s="144" t="inlineStr">
        <is>
          <t>ايجار</t>
        </is>
      </c>
      <c r="F33" s="152" t="n">
        <v>7000</v>
      </c>
      <c r="G33" s="144" t="n">
        <v>9</v>
      </c>
      <c r="H33" s="144" t="n">
        <v>0</v>
      </c>
      <c r="I33" s="144">
        <f>G33+H33</f>
        <v/>
      </c>
      <c r="J33" s="144" t="n">
        <v>7</v>
      </c>
      <c r="K33" s="144" t="n">
        <v>6</v>
      </c>
      <c r="L33" s="214">
        <f>IF(K33="","",J33-K33)</f>
        <v/>
      </c>
      <c r="M33" s="152" t="n">
        <v>469</v>
      </c>
      <c r="N33" s="152">
        <f>IFERROR(M33/J33,"")</f>
        <v/>
      </c>
      <c r="O33" s="152">
        <f>IFERROR(M33/I33,"")</f>
        <v/>
      </c>
      <c r="P33" s="139" t="n"/>
    </row>
    <row r="34" ht="18.75" customHeight="1" s="122">
      <c r="A34" s="144" t="n">
        <v>30</v>
      </c>
      <c r="B34" s="144" t="inlineStr">
        <is>
          <t>RY025</t>
        </is>
      </c>
      <c r="C34" s="147" t="inlineStr">
        <is>
          <t>الخرج الحمراء</t>
        </is>
      </c>
      <c r="D34" s="144" t="inlineStr">
        <is>
          <t>الرياض</t>
        </is>
      </c>
      <c r="E34" s="144" t="inlineStr">
        <is>
          <t>ايجار</t>
        </is>
      </c>
      <c r="F34" s="152" t="n">
        <v>3633</v>
      </c>
      <c r="G34" s="144" t="n">
        <v>9</v>
      </c>
      <c r="H34" s="144" t="n">
        <v>6</v>
      </c>
      <c r="I34" s="144">
        <f>G34+H34</f>
        <v/>
      </c>
      <c r="J34" s="144" t="n">
        <v>7</v>
      </c>
      <c r="K34" s="144" t="n">
        <v>7</v>
      </c>
      <c r="L34" s="214">
        <f>IF(K34="","",J34-K34)</f>
        <v/>
      </c>
      <c r="M34" s="152" t="n">
        <v>864</v>
      </c>
      <c r="N34" s="152">
        <f>IFERROR(M34/J34,"")</f>
        <v/>
      </c>
      <c r="O34" s="152">
        <f>IFERROR(M34/I34,"")</f>
        <v/>
      </c>
      <c r="P34" s="139" t="n"/>
    </row>
    <row r="35" ht="18.75" customHeight="1" s="122">
      <c r="A35" s="144" t="n">
        <v>31</v>
      </c>
      <c r="B35" s="144" t="inlineStr">
        <is>
          <t>MK071</t>
        </is>
      </c>
      <c r="C35" s="147" t="inlineStr">
        <is>
          <t>الاجاويد-جدة</t>
        </is>
      </c>
      <c r="D35" s="144" t="inlineStr">
        <is>
          <t>جدة</t>
        </is>
      </c>
      <c r="E35" s="144" t="inlineStr">
        <is>
          <t>تشغيل</t>
        </is>
      </c>
      <c r="F35" s="152" t="n">
        <v>1607.22</v>
      </c>
      <c r="G35" s="144" t="n">
        <v>3</v>
      </c>
      <c r="H35" s="144" t="n">
        <v>0</v>
      </c>
      <c r="I35" s="144">
        <f>G35+H35</f>
        <v/>
      </c>
      <c r="J35" s="144" t="n">
        <v>7</v>
      </c>
      <c r="K35" s="144" t="n">
        <v>6</v>
      </c>
      <c r="L35" s="214">
        <f>IF(K35="","",J35-K35)</f>
        <v/>
      </c>
      <c r="M35" s="152" t="n">
        <v>938</v>
      </c>
      <c r="N35" s="152">
        <f>IFERROR(M35/J35,"")</f>
        <v/>
      </c>
      <c r="O35" s="152">
        <f>IFERROR(M35/I35,"")</f>
        <v/>
      </c>
      <c r="P35" s="139" t="n"/>
    </row>
    <row r="36" ht="18.75" customHeight="1" s="122">
      <c r="A36" s="144" t="n">
        <v>32</v>
      </c>
      <c r="B36" s="144" t="inlineStr">
        <is>
          <t>MK068</t>
        </is>
      </c>
      <c r="C36" s="147" t="inlineStr">
        <is>
          <t>الجموم</t>
        </is>
      </c>
      <c r="D36" s="144" t="inlineStr">
        <is>
          <t>مكة</t>
        </is>
      </c>
      <c r="E36" s="144" t="inlineStr">
        <is>
          <t>تشغيل</t>
        </is>
      </c>
      <c r="F36" s="152" t="n">
        <v>1413</v>
      </c>
      <c r="G36" s="144" t="n">
        <v>4</v>
      </c>
      <c r="H36" s="144" t="n">
        <v>0</v>
      </c>
      <c r="I36" s="144">
        <f>G36+H36</f>
        <v/>
      </c>
      <c r="J36" s="144" t="n">
        <v>7</v>
      </c>
      <c r="K36" s="144" t="n">
        <v>7</v>
      </c>
      <c r="L36" s="214">
        <f>IF(K36="","",J36-K36)</f>
        <v/>
      </c>
      <c r="M36" s="152" t="n">
        <v>931</v>
      </c>
      <c r="N36" s="152">
        <f>IFERROR(M36/J36,"")</f>
        <v/>
      </c>
      <c r="O36" s="152">
        <f>IFERROR(M36/I36,"")</f>
        <v/>
      </c>
      <c r="P36" s="139" t="n"/>
    </row>
    <row r="37" ht="18.75" customHeight="1" s="122">
      <c r="A37" s="144" t="n">
        <v>33</v>
      </c>
      <c r="B37" s="144" t="inlineStr">
        <is>
          <t>AS153</t>
        </is>
      </c>
      <c r="C37" s="147" t="inlineStr">
        <is>
          <t>محايل عسير</t>
        </is>
      </c>
      <c r="D37" s="144" t="inlineStr">
        <is>
          <t>عسير</t>
        </is>
      </c>
      <c r="E37" s="144" t="inlineStr">
        <is>
          <t>تشغيل</t>
        </is>
      </c>
      <c r="F37" s="144" t="n"/>
      <c r="G37" s="144" t="n">
        <v>6</v>
      </c>
      <c r="H37" s="144" t="n">
        <v>1</v>
      </c>
      <c r="I37" s="144">
        <f>G37+H37</f>
        <v/>
      </c>
      <c r="J37" s="144" t="n">
        <v>7</v>
      </c>
      <c r="K37" s="144" t="n">
        <v>7</v>
      </c>
      <c r="L37" s="214">
        <f>IF(K37="","",J37-K37)</f>
        <v/>
      </c>
      <c r="M37" s="144" t="n"/>
      <c r="N37" s="152">
        <f>IFERROR(M37/J37,"")</f>
        <v/>
      </c>
      <c r="O37" s="152">
        <f>IFERROR(M37/I37,"")</f>
        <v/>
      </c>
      <c r="P37" s="139" t="inlineStr">
        <is>
          <t>تغطية مبيعات ناقصة</t>
        </is>
      </c>
    </row>
    <row r="38" ht="18.75" customHeight="1" s="122">
      <c r="A38" s="144" t="n">
        <v>34</v>
      </c>
      <c r="B38" s="144" t="inlineStr">
        <is>
          <t>JA041</t>
        </is>
      </c>
      <c r="C38" s="147" t="inlineStr">
        <is>
          <t>القسوم</t>
        </is>
      </c>
      <c r="D38" s="144" t="inlineStr">
        <is>
          <t>جازان</t>
        </is>
      </c>
      <c r="E38" s="144" t="inlineStr">
        <is>
          <t>تشغيل</t>
        </is>
      </c>
      <c r="F38" s="152" t="n">
        <v>10839</v>
      </c>
      <c r="G38" s="144" t="n">
        <v>6</v>
      </c>
      <c r="H38" s="144" t="n">
        <v>2</v>
      </c>
      <c r="I38" s="144">
        <f>G38+H38</f>
        <v/>
      </c>
      <c r="J38" s="144" t="n">
        <v>7</v>
      </c>
      <c r="K38" s="144" t="n">
        <v>7</v>
      </c>
      <c r="L38" s="214">
        <f>IF(K38="","",J38-K38)</f>
        <v/>
      </c>
      <c r="M38" s="144" t="n"/>
      <c r="N38" s="152">
        <f>IFERROR(M38/J38,"")</f>
        <v/>
      </c>
      <c r="O38" s="152">
        <f>IFERROR(M38/I38,"")</f>
        <v/>
      </c>
      <c r="P38" s="139" t="inlineStr">
        <is>
          <t>تغطية مبيعات ناقصة</t>
        </is>
      </c>
    </row>
    <row r="39" ht="18.75" customHeight="1" s="122">
      <c r="A39" s="144" t="n">
        <v>35</v>
      </c>
      <c r="B39" s="144" t="inlineStr">
        <is>
          <t>MK018</t>
        </is>
      </c>
      <c r="C39" s="147" t="inlineStr">
        <is>
          <t>الرصيفة مسار</t>
        </is>
      </c>
      <c r="D39" s="144" t="inlineStr">
        <is>
          <t>مكة</t>
        </is>
      </c>
      <c r="E39" s="144" t="inlineStr">
        <is>
          <t>ايجار</t>
        </is>
      </c>
      <c r="F39" s="152" t="n">
        <v>1463</v>
      </c>
      <c r="G39" s="144" t="n">
        <v>4</v>
      </c>
      <c r="H39" s="144" t="n">
        <v>4</v>
      </c>
      <c r="I39" s="144">
        <f>G39+H39</f>
        <v/>
      </c>
      <c r="J39" s="144" t="n">
        <v>6</v>
      </c>
      <c r="K39" s="144" t="n">
        <v>7</v>
      </c>
      <c r="L39" s="214">
        <f>IF(K39="","",J39-K39)</f>
        <v/>
      </c>
      <c r="M39" s="144" t="n"/>
      <c r="N39" s="152">
        <f>IFERROR(M39/J39,"")</f>
        <v/>
      </c>
      <c r="O39" s="152">
        <f>IFERROR(M39/I39,"")</f>
        <v/>
      </c>
      <c r="P39" s="139" t="inlineStr">
        <is>
          <t>تغطية مبيعات ناقصة</t>
        </is>
      </c>
    </row>
    <row r="40" ht="18.75" customHeight="1" s="122">
      <c r="A40" s="144" t="n">
        <v>36</v>
      </c>
      <c r="B40" s="144" t="inlineStr">
        <is>
          <t>MK035</t>
        </is>
      </c>
      <c r="C40" s="147" t="inlineStr">
        <is>
          <t>الجمعية</t>
        </is>
      </c>
      <c r="D40" s="144" t="inlineStr">
        <is>
          <t>الطائف</t>
        </is>
      </c>
      <c r="E40" s="144" t="inlineStr">
        <is>
          <t>تشغيل</t>
        </is>
      </c>
      <c r="F40" s="152" t="n">
        <v>2262</v>
      </c>
      <c r="G40" s="144" t="n">
        <v>4</v>
      </c>
      <c r="H40" s="144" t="n">
        <v>0</v>
      </c>
      <c r="I40" s="144">
        <f>G40+H40</f>
        <v/>
      </c>
      <c r="J40" s="144" t="n">
        <v>6</v>
      </c>
      <c r="K40" s="144" t="n">
        <v>6</v>
      </c>
      <c r="L40" s="214">
        <f>IF(K40="","",J40-K40)</f>
        <v/>
      </c>
      <c r="M40" s="152" t="n">
        <v>823</v>
      </c>
      <c r="N40" s="152">
        <f>IFERROR(M40/J40,"")</f>
        <v/>
      </c>
      <c r="O40" s="152">
        <f>IFERROR(M40/I40,"")</f>
        <v/>
      </c>
      <c r="P40" s="139" t="n"/>
    </row>
    <row r="41" ht="18.75" customHeight="1" s="122">
      <c r="A41" s="144" t="n">
        <v>37</v>
      </c>
      <c r="B41" s="144" t="inlineStr">
        <is>
          <t>HA043</t>
        </is>
      </c>
      <c r="C41" s="147" t="inlineStr">
        <is>
          <t>العريفي</t>
        </is>
      </c>
      <c r="D41" s="144" t="inlineStr">
        <is>
          <t>حائل</t>
        </is>
      </c>
      <c r="E41" s="144" t="inlineStr">
        <is>
          <t>ايجار</t>
        </is>
      </c>
      <c r="F41" s="152" t="n">
        <v>4361</v>
      </c>
      <c r="G41" s="144" t="n">
        <v>3</v>
      </c>
      <c r="H41" s="144" t="n">
        <v>3</v>
      </c>
      <c r="I41" s="144">
        <f>G41+H41</f>
        <v/>
      </c>
      <c r="J41" s="144" t="n">
        <v>6</v>
      </c>
      <c r="K41" s="144" t="n">
        <v>6</v>
      </c>
      <c r="L41" s="214">
        <f>IF(K41="","",J41-K41)</f>
        <v/>
      </c>
      <c r="M41" s="152" t="n">
        <v>327</v>
      </c>
      <c r="N41" s="152">
        <f>IFERROR(M41/J41,"")</f>
        <v/>
      </c>
      <c r="O41" s="152">
        <f>IFERROR(M41/I41,"")</f>
        <v/>
      </c>
      <c r="P41" s="139" t="n"/>
    </row>
    <row r="42" ht="18.75" customHeight="1" s="122">
      <c r="A42" s="144" t="n">
        <v>38</v>
      </c>
      <c r="B42" s="144" t="inlineStr">
        <is>
          <t>JA061</t>
        </is>
      </c>
      <c r="C42" s="147" t="inlineStr">
        <is>
          <t>صبيا</t>
        </is>
      </c>
      <c r="D42" s="144" t="inlineStr">
        <is>
          <t>جازان</t>
        </is>
      </c>
      <c r="E42" s="144" t="inlineStr">
        <is>
          <t>ايجار</t>
        </is>
      </c>
      <c r="F42" s="152" t="n">
        <v>3124</v>
      </c>
      <c r="G42" s="144" t="n">
        <v>4</v>
      </c>
      <c r="H42" s="144" t="n">
        <v>1</v>
      </c>
      <c r="I42" s="144">
        <f>G42+H42</f>
        <v/>
      </c>
      <c r="J42" s="144" t="n">
        <v>6</v>
      </c>
      <c r="K42" s="144" t="n">
        <v>6</v>
      </c>
      <c r="L42" s="214">
        <f>IF(K42="","",J42-K42)</f>
        <v/>
      </c>
      <c r="M42" s="152" t="n">
        <v>538</v>
      </c>
      <c r="N42" s="152">
        <f>IFERROR(M42/J42,"")</f>
        <v/>
      </c>
      <c r="O42" s="152">
        <f>IFERROR(M42/I42,"")</f>
        <v/>
      </c>
      <c r="P42" s="139" t="n"/>
    </row>
    <row r="43" ht="18.75" customHeight="1" s="122">
      <c r="A43" s="144" t="n">
        <v>39</v>
      </c>
      <c r="B43" s="144" t="inlineStr">
        <is>
          <t>EP051</t>
        </is>
      </c>
      <c r="C43" s="147" t="inlineStr">
        <is>
          <t>الخبر</t>
        </is>
      </c>
      <c r="D43" s="144" t="inlineStr">
        <is>
          <t>الخبر</t>
        </is>
      </c>
      <c r="E43" s="144" t="inlineStr">
        <is>
          <t>ايجار</t>
        </is>
      </c>
      <c r="F43" s="152" t="n">
        <v>3375</v>
      </c>
      <c r="G43" s="144" t="n">
        <v>6</v>
      </c>
      <c r="H43" s="144" t="n">
        <v>0</v>
      </c>
      <c r="I43" s="144">
        <f>G43+H43</f>
        <v/>
      </c>
      <c r="J43" s="144" t="n">
        <v>6</v>
      </c>
      <c r="K43" s="144" t="n">
        <v>6</v>
      </c>
      <c r="L43" s="214">
        <f>IF(K43="","",J43-K43)</f>
        <v/>
      </c>
      <c r="M43" s="152" t="n">
        <v>591</v>
      </c>
      <c r="N43" s="152">
        <f>IFERROR(M43/J43,"")</f>
        <v/>
      </c>
      <c r="O43" s="152">
        <f>IFERROR(M43/I43,"")</f>
        <v/>
      </c>
      <c r="P43" s="139" t="n"/>
    </row>
    <row r="44" ht="18.75" customHeight="1" s="122">
      <c r="A44" s="144" t="n">
        <v>40</v>
      </c>
      <c r="B44" s="144" t="inlineStr">
        <is>
          <t>MK100</t>
        </is>
      </c>
      <c r="C44" s="147" t="inlineStr">
        <is>
          <t>الكوثر</t>
        </is>
      </c>
      <c r="D44" s="144" t="inlineStr">
        <is>
          <t>جدة</t>
        </is>
      </c>
      <c r="E44" s="144" t="inlineStr">
        <is>
          <t>تشغيل</t>
        </is>
      </c>
      <c r="F44" s="152" t="n">
        <v>2486.43</v>
      </c>
      <c r="G44" s="144" t="n">
        <v>4</v>
      </c>
      <c r="H44" s="144" t="n">
        <v>0</v>
      </c>
      <c r="I44" s="144">
        <f>G44+H44</f>
        <v/>
      </c>
      <c r="J44" s="144" t="n">
        <v>6</v>
      </c>
      <c r="K44" s="144" t="n">
        <v>4</v>
      </c>
      <c r="L44" s="214">
        <f>IF(K44="","",J44-K44)</f>
        <v/>
      </c>
      <c r="M44" s="152" t="n">
        <v>333</v>
      </c>
      <c r="N44" s="152">
        <f>IFERROR(M44/J44,"")</f>
        <v/>
      </c>
      <c r="O44" s="152">
        <f>IFERROR(M44/I44,"")</f>
        <v/>
      </c>
      <c r="P44" s="139" t="n"/>
    </row>
    <row r="45" ht="18.75" customHeight="1" s="122">
      <c r="A45" s="144" t="n">
        <v>41</v>
      </c>
      <c r="B45" s="144" t="inlineStr">
        <is>
          <t>QS055</t>
        </is>
      </c>
      <c r="C45" s="147" t="inlineStr">
        <is>
          <t>القصيم</t>
        </is>
      </c>
      <c r="D45" s="144" t="inlineStr">
        <is>
          <t>القصيم</t>
        </is>
      </c>
      <c r="E45" s="144" t="inlineStr">
        <is>
          <t>تشغيل</t>
        </is>
      </c>
      <c r="F45" s="152" t="n">
        <v>7180</v>
      </c>
      <c r="G45" s="144" t="n">
        <v>4</v>
      </c>
      <c r="H45" s="144" t="n">
        <v>4</v>
      </c>
      <c r="I45" s="144">
        <f>G45+H45</f>
        <v/>
      </c>
      <c r="J45" s="144" t="n">
        <v>6</v>
      </c>
      <c r="K45" s="144" t="n">
        <v>6</v>
      </c>
      <c r="L45" s="214">
        <f>IF(K45="","",J45-K45)</f>
        <v/>
      </c>
      <c r="M45" s="152" t="n">
        <v>441</v>
      </c>
      <c r="N45" s="152">
        <f>IFERROR(M45/J45,"")</f>
        <v/>
      </c>
      <c r="O45" s="152">
        <f>IFERROR(M45/I45,"")</f>
        <v/>
      </c>
      <c r="P45" s="139" t="n"/>
    </row>
    <row r="46" ht="18.75" customHeight="1" s="122">
      <c r="A46" s="144" t="n">
        <v>42</v>
      </c>
      <c r="B46" s="144" t="inlineStr">
        <is>
          <t>MK257</t>
        </is>
      </c>
      <c r="C46" s="147" t="inlineStr">
        <is>
          <t>الربوة</t>
        </is>
      </c>
      <c r="D46" s="144" t="inlineStr">
        <is>
          <t>مكة</t>
        </is>
      </c>
      <c r="E46" s="144" t="inlineStr">
        <is>
          <t>تشغيل</t>
        </is>
      </c>
      <c r="F46" s="144" t="n"/>
      <c r="G46" s="144" t="n">
        <v>4</v>
      </c>
      <c r="H46" s="144" t="n">
        <v>0</v>
      </c>
      <c r="I46" s="144">
        <f>G46+H46</f>
        <v/>
      </c>
      <c r="J46" s="144" t="n">
        <v>6</v>
      </c>
      <c r="K46" s="144" t="n"/>
      <c r="L46" s="214">
        <f>IF(K46="","",J46-K46)</f>
        <v/>
      </c>
      <c r="M46" s="144" t="n"/>
      <c r="N46" s="152">
        <f>IFERROR(M46/J46,"")</f>
        <v/>
      </c>
      <c r="O46" s="152">
        <f>IFERROR(M46/I46,"")</f>
        <v/>
      </c>
      <c r="P46" s="139" t="inlineStr">
        <is>
          <t>لا بيانات مبيعات</t>
        </is>
      </c>
    </row>
    <row r="47" ht="18.75" customHeight="1" s="122">
      <c r="A47" s="144" t="n">
        <v>43</v>
      </c>
      <c r="B47" s="144" t="inlineStr">
        <is>
          <t>MK258</t>
        </is>
      </c>
      <c r="C47" s="147" t="inlineStr">
        <is>
          <t>الستين</t>
        </is>
      </c>
      <c r="D47" s="144" t="inlineStr">
        <is>
          <t>مكة</t>
        </is>
      </c>
      <c r="E47" s="144" t="inlineStr">
        <is>
          <t>تشغيل</t>
        </is>
      </c>
      <c r="F47" s="144" t="n"/>
      <c r="G47" s="144" t="n">
        <v>4</v>
      </c>
      <c r="H47" s="144" t="n">
        <v>0</v>
      </c>
      <c r="I47" s="144">
        <f>G47+H47</f>
        <v/>
      </c>
      <c r="J47" s="144" t="n">
        <v>6</v>
      </c>
      <c r="K47" s="144" t="n"/>
      <c r="L47" s="214">
        <f>IF(K47="","",J47-K47)</f>
        <v/>
      </c>
      <c r="M47" s="144" t="n"/>
      <c r="N47" s="152">
        <f>IFERROR(M47/J47,"")</f>
        <v/>
      </c>
      <c r="O47" s="152">
        <f>IFERROR(M47/I47,"")</f>
        <v/>
      </c>
      <c r="P47" s="139" t="inlineStr">
        <is>
          <t>لا بيانات مبيعات</t>
        </is>
      </c>
    </row>
    <row r="48" ht="18.75" customHeight="1" s="122">
      <c r="A48" s="144" t="n">
        <v>44</v>
      </c>
      <c r="B48" s="144" t="inlineStr">
        <is>
          <t>MK019</t>
        </is>
      </c>
      <c r="C48" s="147" t="inlineStr">
        <is>
          <t>عرفات الشرائع</t>
        </is>
      </c>
      <c r="D48" s="144" t="inlineStr">
        <is>
          <t>مكة</t>
        </is>
      </c>
      <c r="E48" s="144" t="inlineStr">
        <is>
          <t>ايجار</t>
        </is>
      </c>
      <c r="F48" s="152" t="n">
        <v>3270</v>
      </c>
      <c r="G48" s="144" t="n">
        <v>6</v>
      </c>
      <c r="H48" s="144" t="n">
        <v>0</v>
      </c>
      <c r="I48" s="144">
        <f>G48+H48</f>
        <v/>
      </c>
      <c r="J48" s="144" t="n">
        <v>5</v>
      </c>
      <c r="K48" s="144" t="n">
        <v>6</v>
      </c>
      <c r="L48" s="214">
        <f>IF(K48="","",J48-K48)</f>
        <v/>
      </c>
      <c r="M48" s="152" t="n">
        <v>456</v>
      </c>
      <c r="N48" s="152">
        <f>IFERROR(M48/J48,"")</f>
        <v/>
      </c>
      <c r="O48" s="152">
        <f>IFERROR(M48/I48,"")</f>
        <v/>
      </c>
      <c r="P48" s="139" t="n"/>
    </row>
    <row r="49" ht="18.75" customHeight="1" s="122">
      <c r="A49" s="144" t="n">
        <v>45</v>
      </c>
      <c r="B49" s="144" t="inlineStr">
        <is>
          <t>MK031</t>
        </is>
      </c>
      <c r="C49" s="147" t="inlineStr">
        <is>
          <t>بطحاء قريش 2</t>
        </is>
      </c>
      <c r="D49" s="144" t="inlineStr">
        <is>
          <t>مكة</t>
        </is>
      </c>
      <c r="E49" s="144" t="inlineStr">
        <is>
          <t>ايجار</t>
        </is>
      </c>
      <c r="F49" s="152" t="n">
        <v>1754</v>
      </c>
      <c r="G49" s="144" t="n">
        <v>6</v>
      </c>
      <c r="H49" s="144" t="n">
        <v>0</v>
      </c>
      <c r="I49" s="144">
        <f>G49+H49</f>
        <v/>
      </c>
      <c r="J49" s="144" t="n">
        <v>5</v>
      </c>
      <c r="K49" s="144" t="n">
        <v>6</v>
      </c>
      <c r="L49" s="214">
        <f>IF(K49="","",J49-K49)</f>
        <v/>
      </c>
      <c r="M49" s="152" t="n">
        <v>586</v>
      </c>
      <c r="N49" s="152">
        <f>IFERROR(M49/J49,"")</f>
        <v/>
      </c>
      <c r="O49" s="152">
        <f>IFERROR(M49/I49,"")</f>
        <v/>
      </c>
      <c r="P49" s="139" t="n"/>
    </row>
    <row r="50" ht="18.75" customHeight="1" s="122">
      <c r="A50" s="144" t="n">
        <v>46</v>
      </c>
      <c r="B50" s="144" t="inlineStr">
        <is>
          <t>RY042</t>
        </is>
      </c>
      <c r="C50" s="147" t="inlineStr">
        <is>
          <t>العرجاني الخرج</t>
        </is>
      </c>
      <c r="D50" s="144" t="inlineStr">
        <is>
          <t>الرياض</t>
        </is>
      </c>
      <c r="E50" s="144" t="inlineStr">
        <is>
          <t>ايجار</t>
        </is>
      </c>
      <c r="F50" s="152" t="n">
        <v>7390</v>
      </c>
      <c r="G50" s="144" t="n">
        <v>9</v>
      </c>
      <c r="H50" s="144" t="n">
        <v>0</v>
      </c>
      <c r="I50" s="144">
        <f>G50+H50</f>
        <v/>
      </c>
      <c r="J50" s="144" t="n">
        <v>5</v>
      </c>
      <c r="K50" s="144" t="n">
        <v>5</v>
      </c>
      <c r="L50" s="214">
        <f>IF(K50="","",J50-K50)</f>
        <v/>
      </c>
      <c r="M50" s="152" t="n">
        <v>402</v>
      </c>
      <c r="N50" s="152">
        <f>IFERROR(M50/J50,"")</f>
        <v/>
      </c>
      <c r="O50" s="152">
        <f>IFERROR(M50/I50,"")</f>
        <v/>
      </c>
      <c r="P50" s="139" t="n"/>
    </row>
    <row r="51" ht="18.75" customHeight="1" s="122">
      <c r="A51" s="144" t="n">
        <v>47</v>
      </c>
      <c r="B51" s="144" t="inlineStr">
        <is>
          <t>MK093</t>
        </is>
      </c>
      <c r="C51" s="147" t="inlineStr">
        <is>
          <t>الملك خالد طائف</t>
        </is>
      </c>
      <c r="D51" s="144" t="inlineStr">
        <is>
          <t>الطائف</t>
        </is>
      </c>
      <c r="E51" s="144" t="inlineStr">
        <is>
          <t>تشغيل</t>
        </is>
      </c>
      <c r="F51" s="152" t="n">
        <v>2641</v>
      </c>
      <c r="G51" s="144" t="n">
        <v>6</v>
      </c>
      <c r="H51" s="144" t="n">
        <v>0</v>
      </c>
      <c r="I51" s="144">
        <f>G51+H51</f>
        <v/>
      </c>
      <c r="J51" s="144" t="n">
        <v>5</v>
      </c>
      <c r="K51" s="144" t="n">
        <v>5</v>
      </c>
      <c r="L51" s="214">
        <f>IF(K51="","",J51-K51)</f>
        <v/>
      </c>
      <c r="M51" s="152" t="n">
        <v>685</v>
      </c>
      <c r="N51" s="152">
        <f>IFERROR(M51/J51,"")</f>
        <v/>
      </c>
      <c r="O51" s="152">
        <f>IFERROR(M51/I51,"")</f>
        <v/>
      </c>
      <c r="P51" s="139" t="n"/>
    </row>
    <row r="52" ht="18.75" customHeight="1" s="122">
      <c r="A52" s="144" t="n">
        <v>48</v>
      </c>
      <c r="B52" s="144" t="inlineStr">
        <is>
          <t>MK099</t>
        </is>
      </c>
      <c r="C52" s="147" t="inlineStr">
        <is>
          <t>البيعة</t>
        </is>
      </c>
      <c r="D52" s="144" t="inlineStr">
        <is>
          <t>الطائف</t>
        </is>
      </c>
      <c r="E52" s="144" t="inlineStr">
        <is>
          <t>تشغيل</t>
        </is>
      </c>
      <c r="F52" s="152" t="n">
        <v>3211</v>
      </c>
      <c r="G52" s="144" t="n">
        <v>4</v>
      </c>
      <c r="H52" s="144" t="n">
        <v>0</v>
      </c>
      <c r="I52" s="144">
        <f>G52+H52</f>
        <v/>
      </c>
      <c r="J52" s="144" t="n">
        <v>5</v>
      </c>
      <c r="K52" s="144" t="n">
        <v>6</v>
      </c>
      <c r="L52" s="214">
        <f>IF(K52="","",J52-K52)</f>
        <v/>
      </c>
      <c r="M52" s="152" t="n">
        <v>455</v>
      </c>
      <c r="N52" s="152">
        <f>IFERROR(M52/J52,"")</f>
        <v/>
      </c>
      <c r="O52" s="152">
        <f>IFERROR(M52/I52,"")</f>
        <v/>
      </c>
      <c r="P52" s="139" t="n"/>
    </row>
    <row r="53" ht="18.75" customHeight="1" s="122">
      <c r="A53" s="144" t="n">
        <v>49</v>
      </c>
      <c r="B53" s="144" t="inlineStr">
        <is>
          <t>NJ219</t>
        </is>
      </c>
      <c r="C53" s="147" t="inlineStr">
        <is>
          <t>المركب</t>
        </is>
      </c>
      <c r="D53" s="144" t="inlineStr">
        <is>
          <t>نجران</t>
        </is>
      </c>
      <c r="E53" s="144" t="inlineStr">
        <is>
          <t>تشغيل</t>
        </is>
      </c>
      <c r="F53" s="144" t="n"/>
      <c r="G53" s="144" t="n">
        <v>6</v>
      </c>
      <c r="H53" s="144" t="n">
        <v>0</v>
      </c>
      <c r="I53" s="144">
        <f>G53+H53</f>
        <v/>
      </c>
      <c r="J53" s="144" t="n">
        <v>5</v>
      </c>
      <c r="K53" s="144" t="n"/>
      <c r="L53" s="214">
        <f>IF(K53="","",J53-K53)</f>
        <v/>
      </c>
      <c r="M53" s="144" t="n"/>
      <c r="N53" s="152">
        <f>IFERROR(M53/J53,"")</f>
        <v/>
      </c>
      <c r="O53" s="152">
        <f>IFERROR(M53/I53,"")</f>
        <v/>
      </c>
      <c r="P53" s="139" t="inlineStr">
        <is>
          <t>تغطية مبيعات ناقصة</t>
        </is>
      </c>
    </row>
    <row r="54" ht="18.75" customHeight="1" s="122">
      <c r="A54" s="144" t="n">
        <v>50</v>
      </c>
      <c r="B54" s="144" t="inlineStr">
        <is>
          <t>JA060</t>
        </is>
      </c>
      <c r="C54" s="147" t="inlineStr">
        <is>
          <t>صامطة</t>
        </is>
      </c>
      <c r="D54" s="144" t="inlineStr">
        <is>
          <t>جازان</t>
        </is>
      </c>
      <c r="E54" s="144" t="inlineStr">
        <is>
          <t>ايجار</t>
        </is>
      </c>
      <c r="F54" s="152" t="n">
        <v>5894</v>
      </c>
      <c r="G54" s="144" t="n">
        <v>6</v>
      </c>
      <c r="H54" s="144" t="n">
        <v>1</v>
      </c>
      <c r="I54" s="144">
        <f>G54+H54</f>
        <v/>
      </c>
      <c r="J54" s="144" t="n">
        <v>4</v>
      </c>
      <c r="K54" s="144" t="n">
        <v>4</v>
      </c>
      <c r="L54" s="214">
        <f>IF(K54="","",J54-K54)</f>
        <v/>
      </c>
      <c r="M54" s="152" t="n">
        <v>408</v>
      </c>
      <c r="N54" s="152">
        <f>IFERROR(M54/J54,"")</f>
        <v/>
      </c>
      <c r="O54" s="152">
        <f>IFERROR(M54/I54,"")</f>
        <v/>
      </c>
      <c r="P54" s="139" t="n"/>
    </row>
    <row r="55" ht="18.75" customHeight="1" s="122">
      <c r="A55" s="144" t="n">
        <v>51</v>
      </c>
      <c r="B55" s="144" t="inlineStr">
        <is>
          <t>JA056</t>
        </is>
      </c>
      <c r="C55" s="147" t="inlineStr">
        <is>
          <t>الروابي</t>
        </is>
      </c>
      <c r="D55" s="144" t="inlineStr">
        <is>
          <t>جازان</t>
        </is>
      </c>
      <c r="E55" s="144" t="inlineStr">
        <is>
          <t>تشغيل</t>
        </is>
      </c>
      <c r="F55" s="152" t="n">
        <v>7276</v>
      </c>
      <c r="G55" s="144" t="n">
        <v>4</v>
      </c>
      <c r="H55" s="144" t="n">
        <v>2</v>
      </c>
      <c r="I55" s="144">
        <f>G55+H55</f>
        <v/>
      </c>
      <c r="J55" s="144" t="n">
        <v>4</v>
      </c>
      <c r="K55" s="144" t="n">
        <v>4</v>
      </c>
      <c r="L55" s="214">
        <f>IF(K55="","",J55-K55)</f>
        <v/>
      </c>
      <c r="M55" s="152" t="n">
        <v>281</v>
      </c>
      <c r="N55" s="152">
        <f>IFERROR(M55/J55,"")</f>
        <v/>
      </c>
      <c r="O55" s="152">
        <f>IFERROR(M55/I55,"")</f>
        <v/>
      </c>
      <c r="P55" s="139" t="n"/>
    </row>
    <row r="56" ht="18.75" customHeight="1" s="122">
      <c r="A56" s="144" t="n">
        <v>52</v>
      </c>
      <c r="B56" s="144" t="inlineStr">
        <is>
          <t>BH050</t>
        </is>
      </c>
      <c r="C56" s="147" t="inlineStr">
        <is>
          <t>الاطاوله الباحه</t>
        </is>
      </c>
      <c r="D56" s="144" t="inlineStr">
        <is>
          <t>الباحه</t>
        </is>
      </c>
      <c r="E56" s="144" t="inlineStr">
        <is>
          <t>ايجار</t>
        </is>
      </c>
      <c r="F56" s="144" t="n"/>
      <c r="G56" s="144" t="n">
        <v>4</v>
      </c>
      <c r="H56" s="144" t="n">
        <v>0</v>
      </c>
      <c r="I56" s="144">
        <f>G56+H56</f>
        <v/>
      </c>
      <c r="J56" s="144" t="n">
        <v>4</v>
      </c>
      <c r="K56" s="144" t="n">
        <v>4</v>
      </c>
      <c r="L56" s="214">
        <f>IF(K56="","",J56-K56)</f>
        <v/>
      </c>
      <c r="M56" s="144" t="n"/>
      <c r="N56" s="152">
        <f>IFERROR(M56/J56,"")</f>
        <v/>
      </c>
      <c r="O56" s="152">
        <f>IFERROR(M56/I56,"")</f>
        <v/>
      </c>
      <c r="P56" s="139" t="inlineStr">
        <is>
          <t>لا بيانات مبيعات</t>
        </is>
      </c>
    </row>
    <row r="57" ht="15" customHeight="1" s="122">
      <c r="A57" s="155" t="n"/>
      <c r="B57" s="155" t="n"/>
      <c r="C57" s="155" t="inlineStr">
        <is>
          <t>الإجمالي</t>
        </is>
      </c>
      <c r="D57" s="155" t="n"/>
      <c r="E57" s="155" t="n"/>
      <c r="F57" s="155" t="n"/>
      <c r="G57" s="157">
        <f>SUM(G5:G56)</f>
        <v/>
      </c>
      <c r="H57" s="157">
        <f>SUM(H5:H56)</f>
        <v/>
      </c>
      <c r="I57" s="157">
        <f>SUM(I5:I56)</f>
        <v/>
      </c>
      <c r="J57" s="157">
        <f>SUM(J5:J56)</f>
        <v/>
      </c>
      <c r="K57" s="157">
        <f>SUM(K5:K56)</f>
        <v/>
      </c>
      <c r="L57" s="157">
        <f>SUM(L5:L56)</f>
        <v/>
      </c>
      <c r="M57" s="157">
        <f>SUM(M5:M56)</f>
        <v/>
      </c>
      <c r="N57" s="157">
        <f>IFERROR(M57/J57,"")</f>
        <v/>
      </c>
      <c r="O57" s="157">
        <f>IFERROR(M57/I57,"")</f>
        <v/>
      </c>
      <c r="P57" s="155" t="n"/>
    </row>
    <row r="58">
      <c r="A58" s="124" t="n"/>
      <c r="B58" s="124" t="n"/>
      <c r="C58" s="124" t="n"/>
      <c r="D58" s="124" t="n"/>
      <c r="E58" s="124" t="n"/>
      <c r="F58" s="124" t="n"/>
      <c r="G58" s="124" t="n"/>
      <c r="H58" s="124" t="n"/>
      <c r="I58" s="124" t="n"/>
      <c r="J58" s="124" t="n"/>
      <c r="K58" s="124" t="n"/>
      <c r="L58" s="124" t="n"/>
      <c r="M58" s="124" t="n"/>
      <c r="N58" s="124" t="n"/>
      <c r="O58" s="124" t="n"/>
      <c r="P58" s="124" t="n"/>
    </row>
    <row r="59" ht="15" customHeight="1" s="122">
      <c r="A59" s="124" t="n"/>
      <c r="B59" s="148" t="inlineStr">
        <is>
          <t>العمالة</t>
        </is>
      </c>
      <c r="C59" s="124" t="n"/>
      <c r="D59" s="124" t="n"/>
      <c r="E59" s="124" t="n"/>
      <c r="F59" s="124" t="n"/>
      <c r="G59" s="124" t="n"/>
      <c r="H59" s="124" t="n"/>
      <c r="I59" s="124" t="n"/>
      <c r="J59" s="124" t="n"/>
      <c r="K59" s="124" t="n"/>
      <c r="L59" s="124" t="n"/>
      <c r="M59" s="124" t="n"/>
      <c r="N59" s="124" t="n"/>
      <c r="O59" s="124" t="n"/>
      <c r="P59" s="124" t="n"/>
    </row>
    <row r="60" ht="15.75" customHeight="1" s="122">
      <c r="A60" s="124" t="n"/>
      <c r="B60" s="124" t="n"/>
      <c r="C60" s="149" t="inlineStr">
        <is>
          <t>•  498 فعلي مقابل 475 متفق — الفارق +23 فقط</t>
        </is>
      </c>
      <c r="D60" s="124" t="n"/>
      <c r="E60" s="124" t="n"/>
      <c r="F60" s="124" t="n"/>
      <c r="G60" s="124" t="n"/>
      <c r="H60" s="124" t="n"/>
      <c r="I60" s="124" t="n"/>
      <c r="J60" s="124" t="n"/>
      <c r="K60" s="124" t="n"/>
      <c r="L60" s="124" t="n"/>
      <c r="M60" s="124" t="n"/>
      <c r="N60" s="124" t="n"/>
      <c r="O60" s="124" t="n"/>
      <c r="P60" s="124" t="n"/>
    </row>
    <row r="61" ht="15.75" customHeight="1" s="122">
      <c r="A61" s="124" t="n"/>
      <c r="B61" s="124" t="n"/>
      <c r="C61" s="149" t="inlineStr">
        <is>
          <t>•  13 محطة زائدة · 14 ناقصة · 22 مطابقة — مشكلة توزيع لا إجمالي</t>
        </is>
      </c>
      <c r="D61" s="124" t="n"/>
      <c r="E61" s="124" t="n"/>
      <c r="F61" s="124" t="n"/>
      <c r="G61" s="124" t="n"/>
      <c r="H61" s="124" t="n"/>
      <c r="I61" s="124" t="n"/>
      <c r="J61" s="124" t="n"/>
      <c r="K61" s="124" t="n"/>
      <c r="L61" s="124" t="n"/>
      <c r="M61" s="124" t="n"/>
      <c r="N61" s="124" t="n"/>
      <c r="O61" s="124" t="n"/>
      <c r="P61" s="124" t="n"/>
    </row>
    <row r="62" ht="15.75" customHeight="1" s="122">
      <c r="A62" s="124" t="n"/>
      <c r="B62" s="124" t="n"/>
      <c r="C62" s="149" t="inlineStr">
        <is>
          <t>•  إعادة التوزيع تسدّ العجز بلا توظيف جديد</t>
        </is>
      </c>
      <c r="D62" s="124" t="n"/>
      <c r="E62" s="124" t="n"/>
      <c r="F62" s="124" t="n"/>
      <c r="G62" s="124" t="n"/>
      <c r="H62" s="124" t="n"/>
      <c r="I62" s="124" t="n"/>
      <c r="J62" s="124" t="n"/>
      <c r="K62" s="124" t="n"/>
      <c r="L62" s="124" t="n"/>
      <c r="M62" s="124" t="n"/>
      <c r="N62" s="124" t="n"/>
      <c r="O62" s="124" t="n"/>
      <c r="P62" s="124" t="n"/>
    </row>
    <row r="63">
      <c r="A63" s="124" t="n"/>
      <c r="B63" s="124" t="n"/>
      <c r="C63" s="124" t="n"/>
      <c r="D63" s="124" t="n"/>
      <c r="E63" s="124" t="n"/>
      <c r="F63" s="124" t="n"/>
      <c r="G63" s="124" t="n"/>
      <c r="H63" s="124" t="n"/>
      <c r="I63" s="124" t="n"/>
      <c r="J63" s="124" t="n"/>
      <c r="K63" s="124" t="n"/>
      <c r="L63" s="124" t="n"/>
      <c r="M63" s="124" t="n"/>
      <c r="N63" s="124" t="n"/>
      <c r="O63" s="124" t="n"/>
      <c r="P63" s="124" t="n"/>
    </row>
    <row r="64" ht="15" customHeight="1" s="122">
      <c r="A64" s="124" t="n"/>
      <c r="B64" s="148" t="inlineStr">
        <is>
          <t>الإنتاجية</t>
        </is>
      </c>
      <c r="C64" s="124" t="n"/>
      <c r="D64" s="124" t="n"/>
      <c r="E64" s="124" t="n"/>
      <c r="F64" s="124" t="n"/>
      <c r="G64" s="124" t="n"/>
      <c r="H64" s="124" t="n"/>
      <c r="I64" s="124" t="n"/>
      <c r="J64" s="124" t="n"/>
      <c r="K64" s="124" t="n"/>
      <c r="L64" s="124" t="n"/>
      <c r="M64" s="124" t="n"/>
      <c r="N64" s="124" t="n"/>
      <c r="O64" s="124" t="n"/>
      <c r="P64" s="124" t="n"/>
    </row>
    <row r="65" ht="15.75" customHeight="1" s="122">
      <c r="A65" s="124" t="n"/>
      <c r="B65" s="124" t="n"/>
      <c r="C65" s="149" t="inlineStr">
        <is>
          <t>•  زيارة لكل عامل: 31 إلى 187 — الوسيط 114</t>
        </is>
      </c>
      <c r="D65" s="124" t="n"/>
      <c r="E65" s="124" t="n"/>
      <c r="F65" s="124" t="n"/>
      <c r="G65" s="124" t="n"/>
      <c r="H65" s="124" t="n"/>
      <c r="I65" s="124" t="n"/>
      <c r="J65" s="124" t="n"/>
      <c r="K65" s="124" t="n"/>
      <c r="L65" s="124" t="n"/>
      <c r="M65" s="124" t="n"/>
      <c r="N65" s="124" t="n"/>
      <c r="O65" s="124" t="n"/>
      <c r="P65" s="124" t="n"/>
    </row>
    <row r="66" ht="15.75" customHeight="1" s="122">
      <c r="A66" s="124" t="n"/>
      <c r="B66" s="124" t="n"/>
      <c r="C66" s="149" t="inlineStr">
        <is>
          <t>•  زيارة لكل مضخة: 26 إلى 468 — الوسيط 128</t>
        </is>
      </c>
      <c r="D66" s="124" t="n"/>
      <c r="E66" s="124" t="n"/>
      <c r="F66" s="124" t="n"/>
      <c r="G66" s="124" t="n"/>
      <c r="H66" s="124" t="n"/>
      <c r="I66" s="124" t="n"/>
      <c r="J66" s="124" t="n"/>
      <c r="K66" s="124" t="n"/>
      <c r="L66" s="124" t="n"/>
      <c r="M66" s="124" t="n"/>
      <c r="N66" s="124" t="n"/>
      <c r="O66" s="124" t="n"/>
      <c r="P66" s="124" t="n"/>
    </row>
    <row r="67">
      <c r="A67" s="124" t="n"/>
      <c r="B67" s="124" t="n"/>
      <c r="C67" s="124" t="n"/>
      <c r="D67" s="124" t="n"/>
      <c r="E67" s="124" t="n"/>
      <c r="F67" s="124" t="n"/>
      <c r="G67" s="124" t="n"/>
      <c r="H67" s="124" t="n"/>
      <c r="I67" s="124" t="n"/>
      <c r="J67" s="124" t="n"/>
      <c r="K67" s="124" t="n"/>
      <c r="L67" s="124" t="n"/>
      <c r="M67" s="124" t="n"/>
      <c r="N67" s="124" t="n"/>
      <c r="O67" s="124" t="n"/>
      <c r="P67" s="124" t="n"/>
    </row>
    <row r="68" ht="15" customHeight="1" s="122">
      <c r="A68" s="124" t="n"/>
      <c r="B68" s="164" t="inlineStr">
        <is>
          <t>فرضية الازدحام — اختُبرت ورُفضت</t>
        </is>
      </c>
      <c r="C68" s="124" t="n"/>
      <c r="D68" s="124" t="n"/>
      <c r="E68" s="124" t="n"/>
      <c r="F68" s="124" t="n"/>
      <c r="G68" s="124" t="n"/>
      <c r="H68" s="124" t="n"/>
      <c r="I68" s="124" t="n"/>
      <c r="J68" s="124" t="n"/>
      <c r="K68" s="124" t="n"/>
      <c r="L68" s="124" t="n"/>
      <c r="M68" s="124" t="n"/>
      <c r="N68" s="124" t="n"/>
      <c r="O68" s="124" t="n"/>
      <c r="P68" s="124" t="n"/>
    </row>
    <row r="69" ht="15.75" customHeight="1" s="122">
      <c r="A69" s="124" t="n"/>
      <c r="B69" s="124" t="n"/>
      <c r="C69" s="149" t="inlineStr">
        <is>
          <t>•  الفارق الظاهر (157 مقابل 106) أثر حجم لا أثر ازدحام</t>
        </is>
      </c>
      <c r="D69" s="124" t="n"/>
      <c r="E69" s="124" t="n"/>
      <c r="F69" s="124" t="n"/>
      <c r="G69" s="124" t="n"/>
      <c r="H69" s="124" t="n"/>
      <c r="I69" s="124" t="n"/>
      <c r="J69" s="124" t="n"/>
      <c r="K69" s="124" t="n"/>
      <c r="L69" s="124" t="n"/>
      <c r="M69" s="124" t="n"/>
      <c r="N69" s="124" t="n"/>
      <c r="O69" s="124" t="n"/>
      <c r="P69" s="124" t="n"/>
    </row>
    <row r="70" ht="15.75" customHeight="1" s="122">
      <c r="A70" s="124" t="n"/>
      <c r="B70" s="124" t="n"/>
      <c r="C70" s="149" t="inlineStr">
        <is>
          <t>•  بضبط الحجم: المحطات الصغيرة المزدحمة تنمو لا تتراجع</t>
        </is>
      </c>
      <c r="D70" s="124" t="n"/>
      <c r="E70" s="124" t="n"/>
      <c r="F70" s="124" t="n"/>
      <c r="G70" s="124" t="n"/>
      <c r="H70" s="124" t="n"/>
      <c r="I70" s="124" t="n"/>
      <c r="J70" s="124" t="n"/>
      <c r="K70" s="124" t="n"/>
      <c r="L70" s="124" t="n"/>
      <c r="M70" s="124" t="n"/>
      <c r="N70" s="124" t="n"/>
      <c r="O70" s="124" t="n"/>
      <c r="P70" s="124" t="n"/>
    </row>
    <row r="71" ht="15.75" customHeight="1" s="122">
      <c r="A71" s="124" t="n"/>
      <c r="B71" s="124" t="n"/>
      <c r="C71" s="149" t="inlineStr">
        <is>
          <t>•  الارتباط بالازدحام −0.185 مقابل −0.340 بحجم الزيارات</t>
        </is>
      </c>
      <c r="D71" s="124" t="n"/>
      <c r="E71" s="124" t="n"/>
      <c r="F71" s="124" t="n"/>
      <c r="G71" s="124" t="n"/>
      <c r="H71" s="124" t="n"/>
      <c r="I71" s="124" t="n"/>
      <c r="J71" s="124" t="n"/>
      <c r="K71" s="124" t="n"/>
      <c r="L71" s="124" t="n"/>
      <c r="M71" s="124" t="n"/>
      <c r="N71" s="124" t="n"/>
      <c r="O71" s="124" t="n"/>
      <c r="P71" s="124" t="n"/>
    </row>
    <row r="72" ht="15.75" customHeight="1" s="122">
      <c r="A72" s="124" t="n"/>
      <c r="B72" s="124" t="n"/>
      <c r="C72" s="149" t="inlineStr">
        <is>
          <t>•  زيادة المضخات ليست علاج التراجع</t>
        </is>
      </c>
      <c r="D72" s="124" t="n"/>
      <c r="E72" s="124" t="n"/>
      <c r="F72" s="124" t="n"/>
      <c r="G72" s="124" t="n"/>
      <c r="H72" s="124" t="n"/>
      <c r="I72" s="124" t="n"/>
      <c r="J72" s="124" t="n"/>
      <c r="K72" s="124" t="n"/>
      <c r="L72" s="124" t="n"/>
      <c r="M72" s="124" t="n"/>
      <c r="N72" s="124" t="n"/>
      <c r="O72" s="124" t="n"/>
      <c r="P72" s="124" t="n"/>
    </row>
    <row r="73">
      <c r="A73" s="124" t="n"/>
      <c r="B73" s="124" t="n"/>
      <c r="C73" s="124" t="n"/>
      <c r="D73" s="124" t="n"/>
      <c r="E73" s="124" t="n"/>
      <c r="F73" s="124" t="n"/>
      <c r="G73" s="124" t="n"/>
      <c r="H73" s="124" t="n"/>
      <c r="I73" s="124" t="n"/>
      <c r="J73" s="124" t="n"/>
      <c r="K73" s="124" t="n"/>
      <c r="L73" s="124" t="n"/>
      <c r="M73" s="124" t="n"/>
      <c r="N73" s="124" t="n"/>
      <c r="O73" s="124" t="n"/>
      <c r="P73" s="124" t="n"/>
    </row>
    <row r="74" ht="15" customHeight="1" s="122">
      <c r="A74" s="124" t="n"/>
      <c r="B74" s="164" t="inlineStr">
        <is>
          <t>حدود البيانات</t>
        </is>
      </c>
      <c r="C74" s="124" t="n"/>
      <c r="D74" s="124" t="n"/>
      <c r="E74" s="124" t="n"/>
      <c r="F74" s="124" t="n"/>
      <c r="G74" s="124" t="n"/>
      <c r="H74" s="124" t="n"/>
      <c r="I74" s="124" t="n"/>
      <c r="J74" s="124" t="n"/>
      <c r="K74" s="124" t="n"/>
      <c r="L74" s="124" t="n"/>
      <c r="M74" s="124" t="n"/>
      <c r="N74" s="124" t="n"/>
      <c r="O74" s="124" t="n"/>
      <c r="P74" s="124" t="n"/>
    </row>
    <row r="75" ht="15.75" customHeight="1" s="122">
      <c r="A75" s="124" t="n"/>
      <c r="B75" s="124" t="n"/>
      <c r="C75" s="149" t="inlineStr">
        <is>
          <t>•  عمود المحلات التجارية مملوء في 3 محطات من 52</t>
        </is>
      </c>
      <c r="D75" s="124" t="n"/>
      <c r="E75" s="124" t="n"/>
      <c r="F75" s="124" t="n"/>
      <c r="G75" s="124" t="n"/>
      <c r="H75" s="124" t="n"/>
      <c r="I75" s="124" t="n"/>
      <c r="J75" s="124" t="n"/>
      <c r="K75" s="124" t="n"/>
      <c r="L75" s="124" t="n"/>
      <c r="M75" s="124" t="n"/>
      <c r="N75" s="124" t="n"/>
      <c r="O75" s="124" t="n"/>
      <c r="P75" s="124" t="n"/>
    </row>
    <row r="76" ht="15.75" customHeight="1" s="122">
      <c r="A76" s="124" t="n"/>
      <c r="B76" s="124" t="n"/>
      <c r="C76" s="149" t="inlineStr">
        <is>
          <t>•  «July Sales» مبيعات بالريال لا عدد معاملات</t>
        </is>
      </c>
      <c r="D76" s="124" t="n"/>
      <c r="E76" s="124" t="n"/>
      <c r="F76" s="124" t="n"/>
      <c r="G76" s="124" t="n"/>
      <c r="H76" s="124" t="n"/>
      <c r="I76" s="124" t="n"/>
      <c r="J76" s="124" t="n"/>
      <c r="K76" s="124" t="n"/>
      <c r="L76" s="124" t="n"/>
      <c r="M76" s="124" t="n"/>
      <c r="N76" s="124" t="n"/>
      <c r="O76" s="124" t="n"/>
      <c r="P76" s="124" t="n"/>
    </row>
    <row r="77" ht="15.75" customHeight="1" s="122">
      <c r="A77" s="124" t="n"/>
      <c r="B77" s="124" t="n"/>
      <c r="C77" s="149" t="inlineStr">
        <is>
          <t>•  MK257 و MK258 بلا مقابل في بيانات المبيعات</t>
        </is>
      </c>
      <c r="D77" s="124" t="n"/>
      <c r="E77" s="124" t="n"/>
      <c r="F77" s="124" t="n"/>
      <c r="G77" s="124" t="n"/>
      <c r="H77" s="124" t="n"/>
      <c r="I77" s="124" t="n"/>
      <c r="J77" s="124" t="n"/>
      <c r="K77" s="124" t="n"/>
      <c r="L77" s="124" t="n"/>
      <c r="M77" s="124" t="n"/>
      <c r="N77" s="124" t="n"/>
      <c r="O77" s="124" t="n"/>
      <c r="P77" s="124" t="n"/>
    </row>
  </sheetData>
  <mergeCells count="14">
    <mergeCell ref="C70:P70"/>
    <mergeCell ref="C61:P61"/>
    <mergeCell ref="C69:P69"/>
    <mergeCell ref="C77:P77"/>
    <mergeCell ref="A1:P1"/>
    <mergeCell ref="C62:P62"/>
    <mergeCell ref="C60:P60"/>
    <mergeCell ref="C72:P72"/>
    <mergeCell ref="C65:P65"/>
    <mergeCell ref="C76:P76"/>
    <mergeCell ref="C71:P71"/>
    <mergeCell ref="C66:P66"/>
    <mergeCell ref="C75:P75"/>
    <mergeCell ref="A2:P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42"/>
  <sheetViews>
    <sheetView showFormulas="0" showGridLines="0" showRowColHeaders="1" showZeros="1" rightToLeft="1"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5390625" defaultRowHeight="15" zeroHeight="0" outlineLevelRow="0"/>
  <cols>
    <col width="4" customWidth="1" style="121" min="1" max="1"/>
    <col width="10" customWidth="1" style="121" min="2" max="2"/>
    <col width="22" customWidth="1" style="121" min="3" max="3"/>
    <col width="9" customWidth="1" style="121" min="4" max="5"/>
    <col width="12" customWidth="1" style="121" min="6" max="6"/>
    <col width="15" customWidth="1" style="121" min="7" max="7"/>
    <col width="10" customWidth="1" style="121" min="8" max="8"/>
    <col width="9" customWidth="1" style="121" min="9" max="9"/>
    <col width="11" customWidth="1" style="121" min="10" max="10"/>
    <col width="40" customWidth="1" style="121" min="11" max="11"/>
  </cols>
  <sheetData>
    <row r="1" ht="25.5" customHeight="1" s="122">
      <c r="A1" s="123" t="inlineStr">
        <is>
          <t>شكاوى العملاء — 103 شكوى في 5 محطات</t>
        </is>
      </c>
      <c r="B1" s="124" t="n"/>
      <c r="C1" s="124" t="n"/>
      <c r="D1" s="124" t="n"/>
      <c r="E1" s="124" t="n"/>
      <c r="F1" s="124" t="n"/>
      <c r="G1" s="124" t="n"/>
      <c r="H1" s="124" t="n"/>
      <c r="I1" s="124" t="n"/>
      <c r="J1" s="124" t="n"/>
      <c r="K1" s="124" t="n"/>
    </row>
    <row r="2" ht="18" customHeight="1" s="122">
      <c r="A2" s="125" t="inlineStr">
        <is>
          <t>النصف الأول 2026 · وأربع من الخمس هي محطاتنا المنهارة</t>
        </is>
      </c>
      <c r="B2" s="124" t="n"/>
      <c r="C2" s="124" t="n"/>
      <c r="D2" s="124" t="n"/>
      <c r="E2" s="124" t="n"/>
      <c r="F2" s="124" t="n"/>
      <c r="G2" s="124" t="n"/>
      <c r="H2" s="124" t="n"/>
      <c r="I2" s="124" t="n"/>
      <c r="J2" s="124" t="n"/>
      <c r="K2" s="124" t="n"/>
    </row>
    <row r="3">
      <c r="A3" s="124" t="n"/>
      <c r="B3" s="124" t="n"/>
      <c r="C3" s="124" t="n"/>
      <c r="D3" s="124" t="n"/>
      <c r="E3" s="124" t="n"/>
      <c r="F3" s="124" t="n"/>
      <c r="G3" s="124" t="n"/>
      <c r="H3" s="124" t="n"/>
      <c r="I3" s="124" t="n"/>
      <c r="J3" s="124" t="n"/>
      <c r="K3" s="124" t="n"/>
    </row>
    <row r="4" ht="31.5" customHeight="1" s="122">
      <c r="A4" s="138" t="inlineStr">
        <is>
          <t>#</t>
        </is>
      </c>
      <c r="B4" s="138" t="inlineStr">
        <is>
          <t>الكود</t>
        </is>
      </c>
      <c r="C4" s="138" t="inlineStr">
        <is>
          <t>المحطة</t>
        </is>
      </c>
      <c r="D4" s="138" t="inlineStr">
        <is>
          <t>شكاوى</t>
        </is>
      </c>
      <c r="E4" s="138" t="inlineStr">
        <is>
          <t>قوقل ماب</t>
        </is>
      </c>
      <c r="F4" s="138" t="inlineStr">
        <is>
          <t>زيارة/يوم</t>
        </is>
      </c>
      <c r="G4" s="138" t="inlineStr">
        <is>
          <t>شكوى/100 ألف زيارة</t>
        </is>
      </c>
      <c r="H4" s="138" t="inlineStr">
        <is>
          <t>النمو</t>
        </is>
      </c>
      <c r="I4" s="138" t="inlineStr">
        <is>
          <t>عمال</t>
        </is>
      </c>
      <c r="J4" s="138" t="inlineStr">
        <is>
          <t>زيارة/عامل</t>
        </is>
      </c>
      <c r="K4" s="138" t="inlineStr">
        <is>
          <t>القراءة</t>
        </is>
      </c>
    </row>
    <row r="5" ht="25.5" customHeight="1" s="122">
      <c r="A5" s="144" t="n">
        <v>1</v>
      </c>
      <c r="B5" s="144" t="inlineStr">
        <is>
          <t>MK007</t>
        </is>
      </c>
      <c r="C5" s="147" t="inlineStr">
        <is>
          <t>العمرة الجديدة</t>
        </is>
      </c>
      <c r="D5" s="144" t="n">
        <v>58</v>
      </c>
      <c r="E5" s="144" t="n">
        <v>24</v>
      </c>
      <c r="F5" s="152" t="n">
        <v>4236</v>
      </c>
      <c r="G5" s="215">
        <f>IFERROR(D5/(F5*181)*100000,"")</f>
        <v/>
      </c>
      <c r="H5" s="216" t="n">
        <v>-0.223</v>
      </c>
      <c r="I5" s="144" t="n">
        <v>32</v>
      </c>
      <c r="J5" s="152">
        <f>IFERROR(F5/I5,"")</f>
        <v/>
      </c>
      <c r="K5" s="139" t="inlineStr">
        <is>
          <t>أعلى معدل شكاوى وأكبر محطة — 24 مراجعة عامة سلبية</t>
        </is>
      </c>
    </row>
    <row r="6" ht="25.5" customHeight="1" s="122">
      <c r="A6" s="144" t="n">
        <v>2</v>
      </c>
      <c r="B6" s="144" t="inlineStr">
        <is>
          <t>MK072</t>
        </is>
      </c>
      <c r="C6" s="147" t="inlineStr">
        <is>
          <t>العزيزية</t>
        </is>
      </c>
      <c r="D6" s="144" t="n">
        <v>28</v>
      </c>
      <c r="E6" s="144" t="n">
        <v>11</v>
      </c>
      <c r="F6" s="152" t="n">
        <v>2359</v>
      </c>
      <c r="G6" s="215">
        <f>IFERROR(D6/(F6*180)*100000,"")</f>
        <v/>
      </c>
      <c r="H6" s="216" t="n">
        <v>-0.211</v>
      </c>
      <c r="I6" s="144" t="n">
        <v>14</v>
      </c>
      <c r="J6" s="152">
        <f>IFERROR(F6/I6,"")</f>
        <v/>
      </c>
      <c r="K6" s="139" t="n"/>
    </row>
    <row r="7" ht="25.5" customHeight="1" s="122">
      <c r="A7" s="144" t="n">
        <v>3</v>
      </c>
      <c r="B7" s="144" t="inlineStr">
        <is>
          <t>MK017</t>
        </is>
      </c>
      <c r="C7" s="147" t="inlineStr">
        <is>
          <t>عرفات الشوقية</t>
        </is>
      </c>
      <c r="D7" s="144" t="n">
        <v>8</v>
      </c>
      <c r="E7" s="144" t="n">
        <v>4</v>
      </c>
      <c r="F7" s="152" t="n">
        <v>1290</v>
      </c>
      <c r="G7" s="215">
        <f>IFERROR(D7/(F7*181)*100000,"")</f>
        <v/>
      </c>
      <c r="H7" s="217" t="n">
        <v>0.06900000000000001</v>
      </c>
      <c r="I7" s="144" t="n">
        <v>9</v>
      </c>
      <c r="J7" s="152">
        <f>IFERROR(F7/I7,"")</f>
        <v/>
      </c>
      <c r="K7" s="139" t="inlineStr">
        <is>
          <t>الوحيدة النامية — ومعدل شكاواها نصف الباقي</t>
        </is>
      </c>
    </row>
    <row r="8" ht="25.5" customHeight="1" s="122">
      <c r="A8" s="144" t="n">
        <v>4</v>
      </c>
      <c r="B8" s="144" t="inlineStr">
        <is>
          <t>MK019</t>
        </is>
      </c>
      <c r="C8" s="147" t="inlineStr">
        <is>
          <t>الشرايع</t>
        </is>
      </c>
      <c r="D8" s="144" t="n">
        <v>6</v>
      </c>
      <c r="E8" s="144" t="n">
        <v>1</v>
      </c>
      <c r="F8" s="152" t="n">
        <v>456</v>
      </c>
      <c r="G8" s="215">
        <f>IFERROR(D8/(F8*181)*100000,"")</f>
        <v/>
      </c>
      <c r="H8" s="216" t="n">
        <v>-0.249</v>
      </c>
      <c r="I8" s="144" t="n">
        <v>5</v>
      </c>
      <c r="J8" s="152">
        <f>IFERROR(F8/I8,"")</f>
        <v/>
      </c>
      <c r="K8" s="139" t="n"/>
    </row>
    <row r="9" ht="25.5" customHeight="1" s="122">
      <c r="A9" s="144" t="n">
        <v>5</v>
      </c>
      <c r="B9" s="144" t="inlineStr">
        <is>
          <t>MK002</t>
        </is>
      </c>
      <c r="C9" s="147" t="inlineStr">
        <is>
          <t>المعيصم</t>
        </is>
      </c>
      <c r="D9" s="144" t="n">
        <v>3</v>
      </c>
      <c r="E9" s="144" t="n">
        <v>1</v>
      </c>
      <c r="F9" s="152" t="n">
        <v>913</v>
      </c>
      <c r="G9" s="215">
        <f>IFERROR(D9/(F9*181)*100000,"")</f>
        <v/>
      </c>
      <c r="H9" s="216" t="n">
        <v>-0.533</v>
      </c>
      <c r="I9" s="144" t="n">
        <v>7</v>
      </c>
      <c r="J9" s="152">
        <f>IFERROR(F9/I9,"")</f>
        <v/>
      </c>
      <c r="K9" s="139" t="n"/>
    </row>
    <row r="10" ht="15" customHeight="1" s="122">
      <c r="A10" s="155" t="n"/>
      <c r="B10" s="155" t="n"/>
      <c r="C10" s="155" t="inlineStr">
        <is>
          <t>الإجمالي</t>
        </is>
      </c>
      <c r="D10" s="155">
        <f>SUM(D5:D9)</f>
        <v/>
      </c>
      <c r="E10" s="155">
        <f>SUM(E5:E9)</f>
        <v/>
      </c>
      <c r="F10" s="155" t="n"/>
      <c r="G10" s="155" t="n"/>
      <c r="H10" s="155" t="n"/>
      <c r="I10" s="155" t="n"/>
      <c r="J10" s="155" t="n"/>
      <c r="K10" s="155" t="n"/>
    </row>
    <row r="11">
      <c r="A11" s="124" t="n"/>
      <c r="B11" s="124" t="n"/>
      <c r="C11" s="124" t="n"/>
      <c r="D11" s="124" t="n"/>
      <c r="E11" s="124" t="n"/>
      <c r="F11" s="124" t="n"/>
      <c r="G11" s="124" t="n"/>
      <c r="H11" s="124" t="n"/>
      <c r="I11" s="124" t="n"/>
      <c r="J11" s="124" t="n"/>
      <c r="K11" s="124" t="n"/>
    </row>
    <row r="12" ht="15" customHeight="1" s="122">
      <c r="A12" s="124" t="n"/>
      <c r="B12" s="194" t="inlineStr">
        <is>
          <t>التصنيف</t>
        </is>
      </c>
      <c r="C12" s="124" t="n"/>
      <c r="D12" s="124" t="n"/>
      <c r="E12" s="124" t="n"/>
      <c r="F12" s="124" t="n"/>
      <c r="G12" s="124" t="n"/>
      <c r="H12" s="124" t="n"/>
      <c r="I12" s="124" t="n"/>
      <c r="J12" s="124" t="n"/>
      <c r="K12" s="124" t="n"/>
    </row>
    <row r="13" ht="31.5" customHeight="1" s="122">
      <c r="A13" s="138" t="inlineStr">
        <is>
          <t>#</t>
        </is>
      </c>
      <c r="B13" s="138" t="inlineStr">
        <is>
          <t>التصنيف</t>
        </is>
      </c>
      <c r="C13" s="138" t="inlineStr">
        <is>
          <t>العدد</t>
        </is>
      </c>
      <c r="D13" s="138" t="inlineStr">
        <is>
          <t>الحصة</t>
        </is>
      </c>
      <c r="E13" s="138" t="n"/>
      <c r="F13" s="138" t="n"/>
      <c r="G13" s="138" t="n"/>
      <c r="H13" s="138" t="n"/>
      <c r="I13" s="138" t="n"/>
      <c r="J13" s="138" t="n"/>
      <c r="K13" s="138" t="inlineStr">
        <is>
          <t>الدلالة</t>
        </is>
      </c>
    </row>
    <row r="14" ht="19.5" customHeight="1" s="122">
      <c r="A14" s="144" t="n">
        <v>1</v>
      </c>
      <c r="B14" s="147" t="inlineStr">
        <is>
          <t>أخرى</t>
        </is>
      </c>
      <c r="C14" s="144" t="n">
        <v>28</v>
      </c>
      <c r="D14" s="166">
        <f>C14/103</f>
        <v/>
      </c>
      <c r="E14" s="144" t="n"/>
      <c r="F14" s="144" t="n"/>
      <c r="G14" s="144" t="n"/>
      <c r="H14" s="144" t="n"/>
      <c r="I14" s="144" t="n"/>
      <c r="J14" s="144" t="n"/>
      <c r="K14" s="139" t="inlineStr">
        <is>
          <t>غير مصنّفة — تحتاج تبويباً أدق</t>
        </is>
      </c>
    </row>
    <row r="15" ht="19.5" customHeight="1" s="122">
      <c r="A15" s="144" t="n">
        <v>2</v>
      </c>
      <c r="B15" s="147" t="inlineStr">
        <is>
          <t>سلوك العمال</t>
        </is>
      </c>
      <c r="C15" s="144" t="n">
        <v>28</v>
      </c>
      <c r="D15" s="166">
        <f>C15/103</f>
        <v/>
      </c>
      <c r="E15" s="144" t="n"/>
      <c r="F15" s="144" t="n"/>
      <c r="G15" s="144" t="n"/>
      <c r="H15" s="144" t="n"/>
      <c r="I15" s="144" t="n"/>
      <c r="J15" s="144" t="n"/>
      <c r="K15" s="139" t="inlineStr">
        <is>
          <t>تعامل مباشر — يُحل بالإشراف والمحاسبة</t>
        </is>
      </c>
    </row>
    <row r="16" ht="19.5" customHeight="1" s="122">
      <c r="A16" s="144" t="n">
        <v>3</v>
      </c>
      <c r="B16" s="147" t="inlineStr">
        <is>
          <t>بطء الخدمة</t>
        </is>
      </c>
      <c r="C16" s="144" t="n">
        <v>24</v>
      </c>
      <c r="D16" s="166">
        <f>C16/103</f>
        <v/>
      </c>
      <c r="E16" s="144" t="n"/>
      <c r="F16" s="144" t="n"/>
      <c r="G16" s="144" t="n"/>
      <c r="H16" s="144" t="n"/>
      <c r="I16" s="144" t="n"/>
      <c r="J16" s="144" t="n"/>
      <c r="K16" s="139" t="inlineStr">
        <is>
          <t>زمن الانتظار — والمراجعات تقول «ومافي زحمة»</t>
        </is>
      </c>
    </row>
    <row r="17" ht="19.5" customHeight="1" s="122">
      <c r="A17" s="144" t="n">
        <v>4</v>
      </c>
      <c r="B17" s="147" t="inlineStr">
        <is>
          <t>رفض التعبئة</t>
        </is>
      </c>
      <c r="C17" s="144" t="n">
        <v>5</v>
      </c>
      <c r="D17" s="166">
        <f>C17/103</f>
        <v/>
      </c>
      <c r="E17" s="144" t="n"/>
      <c r="F17" s="144" t="n"/>
      <c r="G17" s="144" t="n"/>
      <c r="H17" s="144" t="n"/>
      <c r="I17" s="144" t="n"/>
      <c r="J17" s="144" t="n"/>
      <c r="K17" s="139" t="inlineStr">
        <is>
          <t>امتناع عن الخدمة — الأخطر سمعةً</t>
        </is>
      </c>
    </row>
    <row r="18" ht="19.5" customHeight="1" s="122">
      <c r="A18" s="144" t="n">
        <v>5</v>
      </c>
      <c r="B18" s="147" t="inlineStr">
        <is>
          <t>تعبئة وقود خاطئ</t>
        </is>
      </c>
      <c r="C18" s="144" t="n">
        <v>3</v>
      </c>
      <c r="D18" s="166">
        <f>C18/103</f>
        <v/>
      </c>
      <c r="E18" s="144" t="n"/>
      <c r="F18" s="144" t="n"/>
      <c r="G18" s="144" t="n"/>
      <c r="H18" s="144" t="n"/>
      <c r="I18" s="144" t="n"/>
      <c r="J18" s="144" t="n"/>
      <c r="K18" s="139" t="n"/>
    </row>
    <row r="19" ht="19.5" customHeight="1" s="122">
      <c r="A19" s="144" t="n">
        <v>6</v>
      </c>
      <c r="B19" s="147" t="inlineStr">
        <is>
          <t>سحب مبلغ زائد</t>
        </is>
      </c>
      <c r="C19" s="144" t="n">
        <v>2</v>
      </c>
      <c r="D19" s="166">
        <f>C19/103</f>
        <v/>
      </c>
      <c r="E19" s="144" t="n"/>
      <c r="F19" s="144" t="n"/>
      <c r="G19" s="144" t="n"/>
      <c r="H19" s="144" t="n"/>
      <c r="I19" s="144" t="n"/>
      <c r="J19" s="144" t="n"/>
      <c r="K19" s="139" t="n"/>
    </row>
    <row r="20" ht="19.5" customHeight="1" s="122">
      <c r="A20" s="144" t="n">
        <v>7</v>
      </c>
      <c r="B20" s="147" t="inlineStr">
        <is>
          <t>تطبيقات تعبئة وقود</t>
        </is>
      </c>
      <c r="C20" s="144" t="n">
        <v>2</v>
      </c>
      <c r="D20" s="166">
        <f>C20/103</f>
        <v/>
      </c>
      <c r="E20" s="144" t="n"/>
      <c r="F20" s="144" t="n"/>
      <c r="G20" s="144" t="n"/>
      <c r="H20" s="144" t="n"/>
      <c r="I20" s="144" t="n"/>
      <c r="J20" s="144" t="n"/>
      <c r="K20" s="139" t="n"/>
    </row>
    <row r="21" ht="19.5" customHeight="1" s="122">
      <c r="A21" s="144" t="n">
        <v>8</v>
      </c>
      <c r="B21" s="147" t="inlineStr">
        <is>
          <t>التأكد من صحة التعبئة</t>
        </is>
      </c>
      <c r="C21" s="144" t="n">
        <v>2</v>
      </c>
      <c r="D21" s="166">
        <f>C21/103</f>
        <v/>
      </c>
      <c r="E21" s="144" t="n"/>
      <c r="F21" s="144" t="n"/>
      <c r="G21" s="144" t="n"/>
      <c r="H21" s="144" t="n"/>
      <c r="I21" s="144" t="n"/>
      <c r="J21" s="144" t="n"/>
      <c r="K21" s="139" t="n"/>
    </row>
    <row r="22">
      <c r="A22" s="124" t="n"/>
      <c r="B22" s="124" t="n"/>
      <c r="C22" s="124" t="n"/>
      <c r="D22" s="124" t="n"/>
      <c r="E22" s="124" t="n"/>
      <c r="F22" s="124" t="n"/>
      <c r="G22" s="124" t="n"/>
      <c r="H22" s="124" t="n"/>
      <c r="I22" s="124" t="n"/>
      <c r="J22" s="124" t="n"/>
      <c r="K22" s="124" t="n"/>
    </row>
    <row r="23" ht="15" customHeight="1" s="122">
      <c r="A23" s="124" t="n"/>
      <c r="B23" s="164" t="inlineStr">
        <is>
          <t>المؤشر</t>
        </is>
      </c>
      <c r="C23" s="124" t="n"/>
      <c r="D23" s="124" t="n"/>
      <c r="E23" s="124" t="n"/>
      <c r="F23" s="124" t="n"/>
      <c r="G23" s="124" t="n"/>
      <c r="H23" s="124" t="n"/>
      <c r="I23" s="124" t="n"/>
      <c r="J23" s="124" t="n"/>
      <c r="K23" s="124" t="n"/>
    </row>
    <row r="24" ht="15.75" customHeight="1" s="122">
      <c r="A24" s="124" t="n"/>
      <c r="B24" s="124" t="n"/>
      <c r="C24" s="149" t="inlineStr">
        <is>
          <t>•  56% من 103 شكوى تخصّ العامل مباشرة</t>
        </is>
      </c>
      <c r="D24" s="124" t="n"/>
      <c r="E24" s="124" t="n"/>
      <c r="F24" s="124" t="n"/>
      <c r="G24" s="124" t="n"/>
      <c r="H24" s="124" t="n"/>
      <c r="I24" s="124" t="n"/>
      <c r="J24" s="124" t="n"/>
      <c r="K24" s="124" t="n"/>
    </row>
    <row r="25" ht="15.75" customHeight="1" s="122">
      <c r="A25" s="124" t="n"/>
      <c r="B25" s="124" t="n"/>
      <c r="C25" s="149" t="inlineStr">
        <is>
          <t>•  MK007 وحدها: 22 بطء خدمة و21 سلوك عمال = 74% من شكاواها</t>
        </is>
      </c>
      <c r="D25" s="124" t="n"/>
      <c r="E25" s="124" t="n"/>
      <c r="F25" s="124" t="n"/>
      <c r="G25" s="124" t="n"/>
      <c r="H25" s="124" t="n"/>
      <c r="I25" s="124" t="n"/>
      <c r="J25" s="124" t="n"/>
      <c r="K25" s="124" t="n"/>
    </row>
    <row r="26" ht="15.75" customHeight="1" s="122">
      <c r="A26" s="124" t="n"/>
      <c r="B26" s="124" t="n"/>
      <c r="C26" s="149" t="inlineStr">
        <is>
          <t>•  محطات مكة ذات الشكاوى تتراجع −22.9% مقابل −7.7% لباقي مكة</t>
        </is>
      </c>
      <c r="D26" s="124" t="n"/>
      <c r="E26" s="124" t="n"/>
      <c r="F26" s="124" t="n"/>
      <c r="G26" s="124" t="n"/>
      <c r="H26" s="124" t="n"/>
      <c r="I26" s="124" t="n"/>
      <c r="J26" s="124" t="n"/>
      <c r="K26" s="124" t="n"/>
    </row>
    <row r="27">
      <c r="A27" s="124" t="n"/>
      <c r="B27" s="124" t="n"/>
      <c r="C27" s="124" t="n"/>
      <c r="D27" s="124" t="n"/>
      <c r="E27" s="124" t="n"/>
      <c r="F27" s="124" t="n"/>
      <c r="G27" s="124" t="n"/>
      <c r="H27" s="124" t="n"/>
      <c r="I27" s="124" t="n"/>
      <c r="J27" s="124" t="n"/>
      <c r="K27" s="124" t="n"/>
    </row>
    <row r="28" ht="15" customHeight="1" s="122">
      <c r="A28" s="124" t="n"/>
      <c r="B28" s="148" t="inlineStr">
        <is>
          <t>حدّ منهجي</t>
        </is>
      </c>
      <c r="C28" s="124" t="n"/>
      <c r="D28" s="124" t="n"/>
      <c r="E28" s="124" t="n"/>
      <c r="F28" s="124" t="n"/>
      <c r="G28" s="124" t="n"/>
      <c r="H28" s="124" t="n"/>
      <c r="I28" s="124" t="n"/>
      <c r="J28" s="124" t="n"/>
      <c r="K28" s="124" t="n"/>
    </row>
    <row r="29" ht="15.75" customHeight="1" s="122">
      <c r="A29" s="124" t="n"/>
      <c r="B29" s="124" t="n"/>
      <c r="C29" s="149" t="inlineStr">
        <is>
          <t>•  المحطات الخمس اختيرت لأنها الأكثر شكاوى — فلا يصحّ استنتاج السببية</t>
        </is>
      </c>
      <c r="D29" s="124" t="n"/>
      <c r="E29" s="124" t="n"/>
      <c r="F29" s="124" t="n"/>
      <c r="G29" s="124" t="n"/>
      <c r="H29" s="124" t="n"/>
      <c r="I29" s="124" t="n"/>
      <c r="J29" s="124" t="n"/>
      <c r="K29" s="124" t="n"/>
    </row>
    <row r="30" ht="15.75" customHeight="1" s="122">
      <c r="A30" s="124" t="n"/>
      <c r="B30" s="124" t="n"/>
      <c r="C30" s="149" t="inlineStr">
        <is>
          <t>•  MK017 النامية معدل شكاواها نصف المتراجعة</t>
        </is>
      </c>
      <c r="D30" s="124" t="n"/>
      <c r="E30" s="124" t="n"/>
      <c r="F30" s="124" t="n"/>
      <c r="G30" s="124" t="n"/>
      <c r="H30" s="124" t="n"/>
      <c r="I30" s="124" t="n"/>
      <c r="J30" s="124" t="n"/>
      <c r="K30" s="124" t="n"/>
    </row>
    <row r="31" ht="15.75" customHeight="1" s="122">
      <c r="A31" s="124" t="n"/>
      <c r="B31" s="124" t="n"/>
      <c r="C31" s="149" t="inlineStr">
        <is>
          <t>•  MK002 استثناء: أدنى شكاوى وأسوأ تراجع — لها سبب آخر</t>
        </is>
      </c>
      <c r="D31" s="124" t="n"/>
      <c r="E31" s="124" t="n"/>
      <c r="F31" s="124" t="n"/>
      <c r="G31" s="124" t="n"/>
      <c r="H31" s="124" t="n"/>
      <c r="I31" s="124" t="n"/>
      <c r="J31" s="124" t="n"/>
      <c r="K31" s="124" t="n"/>
    </row>
    <row r="32">
      <c r="A32" s="124" t="n"/>
      <c r="B32" s="124" t="n"/>
      <c r="C32" s="124" t="n"/>
      <c r="D32" s="124" t="n"/>
      <c r="E32" s="124" t="n"/>
      <c r="F32" s="124" t="n"/>
      <c r="G32" s="124" t="n"/>
      <c r="H32" s="124" t="n"/>
      <c r="I32" s="124" t="n"/>
      <c r="J32" s="124" t="n"/>
      <c r="K32" s="124" t="n"/>
    </row>
    <row r="33" ht="15" customHeight="1" s="122">
      <c r="A33" s="124" t="n"/>
      <c r="B33" s="164" t="inlineStr">
        <is>
          <t>دلالة تشغيلية</t>
        </is>
      </c>
      <c r="C33" s="124" t="n"/>
      <c r="D33" s="124" t="n"/>
      <c r="E33" s="124" t="n"/>
      <c r="F33" s="124" t="n"/>
      <c r="G33" s="124" t="n"/>
      <c r="H33" s="124" t="n"/>
      <c r="I33" s="124" t="n"/>
      <c r="J33" s="124" t="n"/>
      <c r="K33" s="124" t="n"/>
    </row>
    <row r="34" ht="15.75" customHeight="1" s="122">
      <c r="A34" s="124" t="n"/>
      <c r="B34" s="124" t="n"/>
      <c r="C34" s="149" t="inlineStr">
        <is>
          <t>•  مراجعة عامة تذكر تأخيراً عشرين دقيقة «ومافي زحمة» — المشكلة في التنفيذ</t>
        </is>
      </c>
      <c r="D34" s="124" t="n"/>
      <c r="E34" s="124" t="n"/>
      <c r="F34" s="124" t="n"/>
      <c r="G34" s="124" t="n"/>
      <c r="H34" s="124" t="n"/>
      <c r="I34" s="124" t="n"/>
      <c r="J34" s="124" t="n"/>
      <c r="K34" s="124" t="n"/>
    </row>
    <row r="35" ht="15.75" customHeight="1" s="122">
      <c r="A35" s="124" t="n"/>
      <c r="B35" s="124" t="n"/>
      <c r="C35" s="149" t="inlineStr">
        <is>
          <t>•  العلاج إشراف وتدريب وجدولة ورديات لا مضخات جديدة</t>
        </is>
      </c>
      <c r="D35" s="124" t="n"/>
      <c r="E35" s="124" t="n"/>
      <c r="F35" s="124" t="n"/>
      <c r="G35" s="124" t="n"/>
      <c r="H35" s="124" t="n"/>
      <c r="I35" s="124" t="n"/>
      <c r="J35" s="124" t="n"/>
      <c r="K35" s="124" t="n"/>
    </row>
    <row r="36" ht="15.75" customHeight="1" s="122">
      <c r="A36" s="124" t="n"/>
      <c r="B36" s="124" t="n"/>
      <c r="C36" s="149" t="inlineStr">
        <is>
          <t>•  من 58 شكوى: 31 انتهت بإبلاغ المدير وصفر استبدال أو إيقاف</t>
        </is>
      </c>
      <c r="D36" s="124" t="n"/>
      <c r="E36" s="124" t="n"/>
      <c r="F36" s="124" t="n"/>
      <c r="G36" s="124" t="n"/>
      <c r="H36" s="124" t="n"/>
      <c r="I36" s="124" t="n"/>
      <c r="J36" s="124" t="n"/>
      <c r="K36" s="124" t="n"/>
    </row>
    <row r="37" ht="15.75" customHeight="1" s="122">
      <c r="A37" s="124" t="n"/>
      <c r="B37" s="124" t="n"/>
      <c r="C37" s="149" t="inlineStr">
        <is>
          <t>•  41 شكوى منشورة على قوقل ماب — تضرب الاكتساب لا الاحتفاظ</t>
        </is>
      </c>
      <c r="D37" s="124" t="n"/>
      <c r="E37" s="124" t="n"/>
      <c r="F37" s="124" t="n"/>
      <c r="G37" s="124" t="n"/>
      <c r="H37" s="124" t="n"/>
      <c r="I37" s="124" t="n"/>
      <c r="J37" s="124" t="n"/>
      <c r="K37" s="124" t="n"/>
    </row>
    <row r="38">
      <c r="A38" s="124" t="n"/>
      <c r="B38" s="124" t="n"/>
      <c r="C38" s="124" t="n"/>
      <c r="D38" s="124" t="n"/>
      <c r="E38" s="124" t="n"/>
      <c r="F38" s="124" t="n"/>
      <c r="G38" s="124" t="n"/>
      <c r="H38" s="124" t="n"/>
      <c r="I38" s="124" t="n"/>
      <c r="J38" s="124" t="n"/>
      <c r="K38" s="124" t="n"/>
    </row>
    <row r="39" ht="15" customHeight="1" s="122">
      <c r="A39" s="124" t="n"/>
      <c r="B39" s="148" t="inlineStr">
        <is>
          <t>الاختبار المقترح</t>
        </is>
      </c>
      <c r="C39" s="124" t="n"/>
      <c r="D39" s="124" t="n"/>
      <c r="E39" s="124" t="n"/>
      <c r="F39" s="124" t="n"/>
      <c r="G39" s="124" t="n"/>
      <c r="H39" s="124" t="n"/>
      <c r="I39" s="124" t="n"/>
      <c r="J39" s="124" t="n"/>
      <c r="K39" s="124" t="n"/>
    </row>
    <row r="40" ht="15.75" customHeight="1" s="122">
      <c r="A40" s="124" t="n"/>
      <c r="B40" s="124" t="n"/>
      <c r="C40" s="149" t="inlineStr">
        <is>
          <t>•  تدخّل إشرافي في MK007 و MK072 لثلاثة أشهر</t>
        </is>
      </c>
      <c r="D40" s="124" t="n"/>
      <c r="E40" s="124" t="n"/>
      <c r="F40" s="124" t="n"/>
      <c r="G40" s="124" t="n"/>
      <c r="H40" s="124" t="n"/>
      <c r="I40" s="124" t="n"/>
      <c r="J40" s="124" t="n"/>
      <c r="K40" s="124" t="n"/>
    </row>
    <row r="41" ht="15.75" customHeight="1" s="122">
      <c r="A41" s="124" t="n"/>
      <c r="B41" s="124" t="n"/>
      <c r="C41" s="149" t="inlineStr">
        <is>
          <t>•  جدولة الذروتين 17 و21 · محاسبة على السلوك · قياس زمن الخدمة</t>
        </is>
      </c>
      <c r="D41" s="124" t="n"/>
      <c r="E41" s="124" t="n"/>
      <c r="F41" s="124" t="n"/>
      <c r="G41" s="124" t="n"/>
      <c r="H41" s="124" t="n"/>
      <c r="I41" s="124" t="n"/>
      <c r="J41" s="124" t="n"/>
      <c r="K41" s="124" t="n"/>
    </row>
    <row r="42" ht="15.75" customHeight="1" s="122">
      <c r="A42" s="124" t="n"/>
      <c r="B42" s="124" t="n"/>
      <c r="C42" s="149" t="inlineStr">
        <is>
          <t>•  يُقاس الأثر على الشكاوى والزيارات معاً بتكلفة شبه صفرية</t>
        </is>
      </c>
      <c r="D42" s="124" t="n"/>
      <c r="E42" s="124" t="n"/>
      <c r="F42" s="124" t="n"/>
      <c r="G42" s="124" t="n"/>
      <c r="H42" s="124" t="n"/>
      <c r="I42" s="124" t="n"/>
      <c r="J42" s="124" t="n"/>
      <c r="K42" s="124" t="n"/>
    </row>
  </sheetData>
  <mergeCells count="15">
    <mergeCell ref="C24:K24"/>
    <mergeCell ref="C30:K30"/>
    <mergeCell ref="C25:K25"/>
    <mergeCell ref="C41:K41"/>
    <mergeCell ref="C42:K42"/>
    <mergeCell ref="C37:K37"/>
    <mergeCell ref="C36:K36"/>
    <mergeCell ref="A2:K2"/>
    <mergeCell ref="C40:K40"/>
    <mergeCell ref="A1:K1"/>
    <mergeCell ref="C31:K31"/>
    <mergeCell ref="C26:K26"/>
    <mergeCell ref="C35:K35"/>
    <mergeCell ref="C34:K34"/>
    <mergeCell ref="C29:K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8"/>
  <sheetViews>
    <sheetView showFormulas="0" showGridLines="0" showRowColHeaders="1" showZeros="1" rightToLeft="1"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 customWidth="1" style="121" min="1" max="1"/>
    <col width="30" customWidth="1" style="121" min="2" max="2"/>
    <col width="15" customWidth="1" style="121" min="3" max="4"/>
    <col width="13" customWidth="1" style="121" min="5" max="5"/>
    <col width="44" customWidth="1" style="121" min="6" max="6"/>
  </cols>
  <sheetData>
    <row r="1" ht="25.5" customHeight="1" s="122">
      <c r="A1" s="123" t="inlineStr">
        <is>
          <t>اقتصاديات اللتر الفعلية — من قائمة الدخل</t>
        </is>
      </c>
      <c r="B1" s="124" t="n"/>
      <c r="C1" s="124" t="n"/>
      <c r="D1" s="124" t="n"/>
      <c r="E1" s="124" t="n"/>
      <c r="F1" s="124" t="n"/>
    </row>
    <row r="2" ht="18" customHeight="1" s="122">
      <c r="A2" s="125" t="inlineStr">
        <is>
          <t>النصف الأول 2026 · أرقام مُحققة لا تقديرات · الوحدة: هللة لكل لتر</t>
        </is>
      </c>
      <c r="B2" s="124" t="n"/>
      <c r="C2" s="124" t="n"/>
      <c r="D2" s="124" t="n"/>
      <c r="E2" s="124" t="n"/>
      <c r="F2" s="124" t="n"/>
    </row>
    <row r="3" ht="30" customHeight="1" s="122">
      <c r="A3" s="124" t="n"/>
      <c r="B3" s="174" t="inlineStr">
        <is>
          <t>🔑 المصدر</t>
        </is>
      </c>
      <c r="C3" s="127" t="inlineStr">
        <is>
          <t>تقرير DARB التجاري (يونيو 2026) — أول أرقام تكلفة محققة، تحلّ محل المُدخلات الافتراضية.</t>
        </is>
      </c>
      <c r="D3" s="124" t="n"/>
      <c r="E3" s="124" t="n"/>
      <c r="F3" s="124" t="n"/>
    </row>
    <row r="4" ht="31.5" customHeight="1" s="122">
      <c r="A4" s="138" t="inlineStr">
        <is>
          <t>#</t>
        </is>
      </c>
      <c r="B4" s="138" t="inlineStr">
        <is>
          <t>البند</t>
        </is>
      </c>
      <c r="C4" s="138" t="inlineStr">
        <is>
          <t>MK007 العمرة</t>
        </is>
      </c>
      <c r="D4" s="138" t="inlineStr">
        <is>
          <t>MK019 الشرايع</t>
        </is>
      </c>
      <c r="E4" s="138" t="inlineStr">
        <is>
          <t>الفارق</t>
        </is>
      </c>
      <c r="F4" s="138" t="inlineStr">
        <is>
          <t>القراءة</t>
        </is>
      </c>
    </row>
    <row r="5" ht="25.5" customHeight="1" s="122">
      <c r="A5" s="144" t="n">
        <v>1</v>
      </c>
      <c r="B5" s="147" t="inlineStr">
        <is>
          <t>الإيراد لكل لتر</t>
        </is>
      </c>
      <c r="C5" s="215" t="n">
        <v>182.51</v>
      </c>
      <c r="D5" s="215" t="n">
        <v>196.77</v>
      </c>
      <c r="E5" s="218">
        <f>C5-D5</f>
        <v/>
      </c>
      <c r="F5" s="139" t="inlineStr">
        <is>
          <t>MK019 إيرادها أعلى للتر — مزيج منتجات مختلف</t>
        </is>
      </c>
    </row>
    <row r="6" ht="25.5" customHeight="1" s="122">
      <c r="A6" s="144" t="n">
        <v>2</v>
      </c>
      <c r="B6" s="147" t="inlineStr">
        <is>
          <t>تكلفة البضاعة</t>
        </is>
      </c>
      <c r="C6" s="215" t="n">
        <v>-170</v>
      </c>
      <c r="D6" s="215" t="n">
        <v>-180.67</v>
      </c>
      <c r="E6" s="218">
        <f>C6-D6</f>
        <v/>
      </c>
      <c r="F6" s="139" t="inlineStr">
        <is>
          <t>المكوّن الأكبر — 93% من الإيراد · لا نتحكم فيه</t>
        </is>
      </c>
    </row>
    <row r="7" ht="25.5" customHeight="1" s="122">
      <c r="A7" s="144" t="n">
        <v>3</v>
      </c>
      <c r="B7" s="147" t="inlineStr">
        <is>
          <t>النقل</t>
        </is>
      </c>
      <c r="C7" s="215" t="n">
        <v>-1.89</v>
      </c>
      <c r="D7" s="215" t="n">
        <v>-1.88</v>
      </c>
      <c r="E7" s="218">
        <f>C7-D7</f>
        <v/>
      </c>
      <c r="F7" s="139" t="inlineStr">
        <is>
          <t>أجرة الرحلة الفعلية 623 ريال — لا 1,800 كما افترضتُ</t>
        </is>
      </c>
    </row>
    <row r="8" ht="25.5" customHeight="1" s="122">
      <c r="A8" s="144" t="n">
        <v>4</v>
      </c>
      <c r="B8" s="147" t="inlineStr">
        <is>
          <t>التبخّر</t>
        </is>
      </c>
      <c r="C8" s="215" t="n">
        <v>-0.54</v>
      </c>
      <c r="D8" s="215" t="n">
        <v>-0.84</v>
      </c>
      <c r="E8" s="218">
        <f>C8-D8</f>
        <v/>
      </c>
      <c r="F8" s="139" t="inlineStr">
        <is>
          <t>0.32% من التكلفة — أقل بكثير من 1.10% المقيسة من فرق التوريد</t>
        </is>
      </c>
    </row>
    <row r="9" ht="25.5" customHeight="1" s="122">
      <c r="A9" s="167" t="n">
        <v>5</v>
      </c>
      <c r="B9" s="219" t="inlineStr">
        <is>
          <t>◄ هامش مساهمة الوقود</t>
        </is>
      </c>
      <c r="C9" s="220" t="n">
        <v>10.07</v>
      </c>
      <c r="D9" s="220" t="n">
        <v>13.38</v>
      </c>
      <c r="E9" s="221">
        <f>C9-D9</f>
        <v/>
      </c>
      <c r="F9" s="169" t="inlineStr">
        <is>
          <t>الهدف 15 هللة — والفجوة 4.9 و1.6 هللة</t>
        </is>
      </c>
    </row>
    <row r="10" ht="25.5" customHeight="1" s="122">
      <c r="A10" s="144" t="n">
        <v>6</v>
      </c>
      <c r="B10" s="147" t="inlineStr">
        <is>
          <t>صافي التأجير</t>
        </is>
      </c>
      <c r="C10" s="215" t="n">
        <v>5.3</v>
      </c>
      <c r="D10" s="215" t="n">
        <v>-2.25</v>
      </c>
      <c r="E10" s="218">
        <f>C10-D10</f>
        <v/>
      </c>
      <c r="F10" s="139" t="inlineStr">
        <is>
          <t>موجب في العمرة وسالب في الشرايع</t>
        </is>
      </c>
    </row>
    <row r="11" ht="25.5" customHeight="1" s="122">
      <c r="A11" s="144" t="n">
        <v>7</v>
      </c>
      <c r="B11" s="147" t="inlineStr">
        <is>
          <t>المصاريف التشغيلية</t>
        </is>
      </c>
      <c r="C11" s="215" t="n">
        <v>-10.23</v>
      </c>
      <c r="D11" s="215" t="n">
        <v>-7.21</v>
      </c>
      <c r="E11" s="218">
        <f>C11-D11</f>
        <v/>
      </c>
      <c r="F11" s="139" t="inlineStr">
        <is>
          <t>88% منها إهلاك غير نقدي</t>
        </is>
      </c>
    </row>
    <row r="12" ht="25.5" customHeight="1" s="122">
      <c r="A12" s="167" t="n">
        <v>8</v>
      </c>
      <c r="B12" s="219" t="inlineStr">
        <is>
          <t>◄ صافي الربح</t>
        </is>
      </c>
      <c r="C12" s="220" t="n">
        <v>5.15</v>
      </c>
      <c r="D12" s="220" t="n">
        <v>3.87</v>
      </c>
      <c r="E12" s="221">
        <f>C12-D12</f>
        <v/>
      </c>
      <c r="F12" s="169" t="inlineStr">
        <is>
          <t>15 هللة صافية تعني مضاعفة الربح ثلاث مرات</t>
        </is>
      </c>
    </row>
    <row r="13">
      <c r="A13" s="124" t="n"/>
      <c r="B13" s="124" t="n"/>
      <c r="C13" s="124" t="n"/>
      <c r="D13" s="124" t="n"/>
      <c r="E13" s="124" t="n"/>
      <c r="F13" s="124" t="n"/>
    </row>
    <row r="14" ht="15" customHeight="1" s="122">
      <c r="A14" s="124" t="n"/>
      <c r="B14" s="192" t="inlineStr">
        <is>
          <t>مقابل هدف 15 هللة</t>
        </is>
      </c>
      <c r="C14" s="124" t="n"/>
      <c r="D14" s="124" t="n"/>
      <c r="E14" s="124" t="n"/>
      <c r="F14" s="124" t="n"/>
    </row>
    <row r="15" ht="31.5" customHeight="1" s="122">
      <c r="A15" s="138" t="inlineStr">
        <is>
          <t>#</t>
        </is>
      </c>
      <c r="B15" s="138" t="inlineStr">
        <is>
          <t>المقياس</t>
        </is>
      </c>
      <c r="C15" s="138" t="inlineStr">
        <is>
          <t>MK007</t>
        </is>
      </c>
      <c r="D15" s="138" t="inlineStr">
        <is>
          <t>MK019</t>
        </is>
      </c>
      <c r="E15" s="138" t="inlineStr">
        <is>
          <t>الهدف</t>
        </is>
      </c>
      <c r="F15" s="138" t="inlineStr">
        <is>
          <t>القراءة</t>
        </is>
      </c>
    </row>
    <row r="16" ht="25.5" customHeight="1" s="122">
      <c r="A16" s="144" t="n">
        <v>1</v>
      </c>
      <c r="B16" s="147" t="inlineStr">
        <is>
          <t>هامش مساهمة الوقود</t>
        </is>
      </c>
      <c r="C16" s="215" t="n">
        <v>10.07</v>
      </c>
      <c r="D16" s="215" t="n">
        <v>13.38</v>
      </c>
      <c r="E16" s="215" t="n">
        <v>15</v>
      </c>
      <c r="F16" s="139" t="inlineStr">
        <is>
          <t>الأقرب للهدف — الفجوة 4.9 و1.6 هللة</t>
        </is>
      </c>
    </row>
    <row r="17" ht="25.5" customHeight="1" s="122">
      <c r="A17" s="144" t="n">
        <v>2</v>
      </c>
      <c r="B17" s="147" t="inlineStr">
        <is>
          <t>صافي الربح الفعلي</t>
        </is>
      </c>
      <c r="C17" s="215" t="n">
        <v>5.15</v>
      </c>
      <c r="D17" s="215" t="n">
        <v>3.87</v>
      </c>
      <c r="E17" s="215" t="n">
        <v>15</v>
      </c>
      <c r="F17" s="139" t="inlineStr">
        <is>
          <t>الفجوة 9.9 و11.1 هللة — أي مضاعفة ثلاث مرات</t>
        </is>
      </c>
    </row>
    <row r="18" ht="25.5" customHeight="1" s="122">
      <c r="A18" s="144" t="n">
        <v>3</v>
      </c>
      <c r="B18" s="147" t="inlineStr">
        <is>
          <t>المصاريف النقدية القابلة للخفض</t>
        </is>
      </c>
      <c r="C18" s="222" t="n">
        <v>0.9399999999999999</v>
      </c>
      <c r="D18" s="144" t="n"/>
      <c r="E18" s="215" t="n">
        <v>15</v>
      </c>
      <c r="F18" s="139" t="inlineStr">
        <is>
          <t>🔴 أقل من هللة واحدة — فلا مجال لبلوغ الهدف بخفض التكاليف</t>
        </is>
      </c>
    </row>
    <row r="19">
      <c r="A19" s="124" t="n"/>
      <c r="B19" s="124" t="n"/>
      <c r="C19" s="124" t="n"/>
      <c r="D19" s="124" t="n"/>
      <c r="E19" s="124" t="n"/>
      <c r="F19" s="124" t="n"/>
    </row>
    <row r="20" ht="15" customHeight="1" s="122">
      <c r="A20" s="124" t="n"/>
      <c r="B20" s="164" t="inlineStr">
        <is>
          <t>بنية التكلفة</t>
        </is>
      </c>
      <c r="C20" s="124" t="n"/>
      <c r="D20" s="124" t="n"/>
      <c r="E20" s="124" t="n"/>
      <c r="F20" s="124" t="n"/>
    </row>
    <row r="21" ht="15.75" customHeight="1" s="122">
      <c r="A21" s="124" t="n"/>
      <c r="B21" s="124" t="n"/>
      <c r="C21" s="149" t="inlineStr">
        <is>
          <t>•  الإهلاك 88% من المصاريف التشغيلية — غير نقدي وغير قابل للخفض</t>
        </is>
      </c>
      <c r="D21" s="124" t="n"/>
      <c r="E21" s="124" t="n"/>
      <c r="F21" s="124" t="n"/>
    </row>
    <row r="22" ht="15.75" customHeight="1" s="122">
      <c r="A22" s="124" t="n"/>
      <c r="B22" s="124" t="n"/>
      <c r="C22" s="149" t="inlineStr">
        <is>
          <t>•  المصاريف النقدية 0.94 هللة لكل لتر فقط</t>
        </is>
      </c>
      <c r="D22" s="124" t="n"/>
      <c r="E22" s="124" t="n"/>
      <c r="F22" s="124" t="n"/>
    </row>
    <row r="23" ht="15.75" customHeight="1" s="122">
      <c r="A23" s="124" t="n"/>
      <c r="B23" s="124" t="n"/>
      <c r="C23" s="149" t="inlineStr">
        <is>
          <t>•  الوصول إلى 15 هللة لا يمرّ عبر خفض التكلفة</t>
        </is>
      </c>
      <c r="D23" s="124" t="n"/>
      <c r="E23" s="124" t="n"/>
      <c r="F23" s="124" t="n"/>
    </row>
    <row r="24">
      <c r="A24" s="124" t="n"/>
      <c r="B24" s="124" t="n"/>
      <c r="C24" s="124" t="n"/>
      <c r="D24" s="124" t="n"/>
      <c r="E24" s="124" t="n"/>
      <c r="F24" s="124" t="n"/>
    </row>
    <row r="25" ht="15" customHeight="1" s="122">
      <c r="A25" s="124" t="n"/>
      <c r="B25" s="148" t="inlineStr">
        <is>
          <t>المسارات المتاحة</t>
        </is>
      </c>
      <c r="C25" s="124" t="n"/>
      <c r="D25" s="124" t="n"/>
      <c r="E25" s="124" t="n"/>
      <c r="F25" s="124" t="n"/>
    </row>
    <row r="26" ht="15.75" customHeight="1" s="122">
      <c r="A26" s="124" t="n"/>
      <c r="B26" s="124" t="n"/>
      <c r="C26" s="149" t="inlineStr">
        <is>
          <t>•  رفع اللترات: الإهلاك ثابت فيتوزّع على قاعدة أكبر</t>
        </is>
      </c>
      <c r="D26" s="124" t="n"/>
      <c r="E26" s="124" t="n"/>
      <c r="F26" s="124" t="n"/>
    </row>
    <row r="27" ht="15.75" customHeight="1" s="122">
      <c r="A27" s="124" t="n"/>
      <c r="B27" s="124" t="n"/>
      <c r="C27" s="149" t="inlineStr">
        <is>
          <t>•  رفع صافي التأجير: الرافعة الأقوى</t>
        </is>
      </c>
      <c r="D27" s="124" t="n"/>
      <c r="E27" s="124" t="n"/>
      <c r="F27" s="124" t="n"/>
    </row>
    <row r="28" ht="15.75" customHeight="1" s="122">
      <c r="A28" s="124" t="n"/>
      <c r="B28" s="124" t="n"/>
      <c r="C28" s="149" t="inlineStr">
        <is>
          <t>•  هامش المساهمة نفسه خارج سيطرتنا — السعر مقنَّن</t>
        </is>
      </c>
      <c r="D28" s="124" t="n"/>
      <c r="E28" s="124" t="n"/>
      <c r="F28" s="124" t="n"/>
    </row>
    <row r="29">
      <c r="A29" s="124" t="n"/>
      <c r="B29" s="124" t="n"/>
      <c r="C29" s="124" t="n"/>
      <c r="D29" s="124" t="n"/>
      <c r="E29" s="124" t="n"/>
      <c r="F29" s="124" t="n"/>
    </row>
    <row r="30" ht="15" customHeight="1" s="122">
      <c r="A30" s="124" t="n"/>
      <c r="B30" s="164" t="inlineStr">
        <is>
          <t>اقتصاديات التأجير</t>
        </is>
      </c>
      <c r="C30" s="124" t="n"/>
      <c r="D30" s="124" t="n"/>
      <c r="E30" s="124" t="n"/>
      <c r="F30" s="124" t="n"/>
    </row>
    <row r="31" ht="15.75" customHeight="1" s="122">
      <c r="A31" s="124" t="n"/>
      <c r="B31" s="124" t="n"/>
      <c r="C31" s="149" t="inlineStr">
        <is>
          <t>•  التمويل وإهلاك حق الاستخدام يلتهمان 63% في العمرة و106% في الشرايع</t>
        </is>
      </c>
      <c r="D31" s="124" t="n"/>
      <c r="E31" s="124" t="n"/>
      <c r="F31" s="124" t="n"/>
    </row>
    <row r="32" ht="15.75" customHeight="1" s="122">
      <c r="A32" s="124" t="n"/>
      <c r="B32" s="124" t="n"/>
      <c r="C32" s="149" t="inlineStr">
        <is>
          <t>•  البندان ثابتان — مدفوعان سواء أُجّرت الوحدات أم لا</t>
        </is>
      </c>
      <c r="D32" s="124" t="n"/>
      <c r="E32" s="124" t="n"/>
      <c r="F32" s="124" t="n"/>
    </row>
    <row r="33" ht="15.75" customHeight="1" s="122">
      <c r="A33" s="124" t="n"/>
      <c r="B33" s="124" t="n"/>
      <c r="C33" s="149" t="inlineStr">
        <is>
          <t>•  كل ريال إيجار إضافي من الـ96 وحدة شاغرة يتدفّق للربح شبه كاملاً</t>
        </is>
      </c>
      <c r="D33" s="124" t="n"/>
      <c r="E33" s="124" t="n"/>
      <c r="F33" s="124" t="n"/>
    </row>
    <row r="34">
      <c r="A34" s="124" t="n"/>
      <c r="B34" s="124" t="n"/>
      <c r="C34" s="124" t="n"/>
      <c r="D34" s="124" t="n"/>
      <c r="E34" s="124" t="n"/>
      <c r="F34" s="124" t="n"/>
    </row>
    <row r="35" ht="15" customHeight="1" s="122">
      <c r="A35" s="124" t="n"/>
      <c r="B35" s="148" t="inlineStr">
        <is>
          <t>تصحيحات</t>
        </is>
      </c>
      <c r="C35" s="124" t="n"/>
      <c r="D35" s="124" t="n"/>
      <c r="E35" s="124" t="n"/>
      <c r="F35" s="124" t="n"/>
    </row>
    <row r="36" ht="15.75" customHeight="1" s="122">
      <c r="A36" s="124" t="n"/>
      <c r="B36" s="124" t="n"/>
      <c r="C36" s="149" t="inlineStr">
        <is>
          <t>•  أجرة الرحلة الفعلية 623 ريال — لا 1,800</t>
        </is>
      </c>
      <c r="D36" s="124" t="n"/>
      <c r="E36" s="124" t="n"/>
      <c r="F36" s="124" t="n"/>
    </row>
    <row r="37" ht="15.75" customHeight="1" s="122">
      <c r="A37" s="124" t="n"/>
      <c r="B37" s="124" t="n"/>
      <c r="C37" s="149" t="inlineStr">
        <is>
          <t>•  التبخّر المحاسبي 0.32% مقابل 1.10% فرق التوريد والمبيعات</t>
        </is>
      </c>
      <c r="D37" s="124" t="n"/>
      <c r="E37" s="124" t="n"/>
      <c r="F37" s="124" t="n"/>
    </row>
    <row r="38" ht="15.75" customHeight="1" s="122">
      <c r="A38" s="124" t="n"/>
      <c r="B38" s="124" t="n"/>
      <c r="C38" s="149" t="inlineStr">
        <is>
          <t>•  العيّنة محطتان من 221</t>
        </is>
      </c>
      <c r="D38" s="124" t="n"/>
      <c r="E38" s="124" t="n"/>
      <c r="F38" s="124" t="n"/>
    </row>
  </sheetData>
  <mergeCells count="15">
    <mergeCell ref="C22:F22"/>
    <mergeCell ref="A2:F2"/>
    <mergeCell ref="C31:F31"/>
    <mergeCell ref="C3:F3"/>
    <mergeCell ref="C23:F23"/>
    <mergeCell ref="A1:F1"/>
    <mergeCell ref="C26:F26"/>
    <mergeCell ref="C21:F21"/>
    <mergeCell ref="C38:F38"/>
    <mergeCell ref="C33:F33"/>
    <mergeCell ref="C32:F32"/>
    <mergeCell ref="C27:F27"/>
    <mergeCell ref="C37:F37"/>
    <mergeCell ref="C36:F36"/>
    <mergeCell ref="C28:F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F59"/>
  <sheetViews>
    <sheetView showFormulas="0" showGridLines="0" showRowColHeaders="1" showZeros="1" rightToLeft="1"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 customWidth="1" style="121" min="1" max="1"/>
    <col width="30" customWidth="1" style="121" min="2" max="2"/>
    <col width="16" customWidth="1" style="121" min="3" max="4"/>
    <col width="14" customWidth="1" style="121" min="5" max="5"/>
    <col width="34" customWidth="1" style="121" min="6" max="6"/>
  </cols>
  <sheetData>
    <row r="1" ht="25.5" customHeight="1" s="122">
      <c r="A1" s="123" t="inlineStr">
        <is>
          <t>النموذج التجريبي — الوقود</t>
        </is>
      </c>
      <c r="B1" s="124" t="n"/>
      <c r="C1" s="124" t="n"/>
      <c r="D1" s="124" t="n"/>
      <c r="E1" s="124" t="n"/>
      <c r="F1" s="124" t="n"/>
    </row>
    <row r="2" ht="18" customHeight="1" s="122">
      <c r="A2" s="125" t="inlineStr">
        <is>
          <t>عرفات الشوقية (نامية +6.9%) × بن درويش (هابطة −12.1%) · تجربة طبيعية في نفس المنطقة والنمط</t>
        </is>
      </c>
      <c r="B2" s="124" t="n"/>
      <c r="C2" s="124" t="n"/>
      <c r="D2" s="124" t="n"/>
      <c r="E2" s="124" t="n"/>
      <c r="F2" s="124" t="n"/>
    </row>
    <row r="3">
      <c r="A3" s="124" t="n"/>
      <c r="B3" s="124" t="n"/>
      <c r="C3" s="124" t="n"/>
      <c r="D3" s="124" t="n"/>
      <c r="E3" s="124" t="n"/>
      <c r="F3" s="124" t="n"/>
    </row>
    <row r="4" ht="31.5" customHeight="1" s="122">
      <c r="A4" s="138" t="inlineStr">
        <is>
          <t>#</t>
        </is>
      </c>
      <c r="B4" s="138" t="inlineStr">
        <is>
          <t>المؤشر</t>
        </is>
      </c>
      <c r="C4" s="138" t="inlineStr">
        <is>
          <t>MK017 عرفات الشوقية</t>
        </is>
      </c>
      <c r="D4" s="138" t="inlineStr">
        <is>
          <t>MK023 بن درويش</t>
        </is>
      </c>
      <c r="E4" s="138" t="inlineStr">
        <is>
          <t>الفارق</t>
        </is>
      </c>
      <c r="F4" s="138" t="inlineStr">
        <is>
          <t>الدلالة</t>
        </is>
      </c>
    </row>
    <row r="5" ht="18.75" customHeight="1" s="122">
      <c r="A5" s="144" t="n">
        <v>1</v>
      </c>
      <c r="B5" s="147" t="inlineStr">
        <is>
          <t>النمو</t>
        </is>
      </c>
      <c r="C5" s="144" t="inlineStr">
        <is>
          <t>+6.9%</t>
        </is>
      </c>
      <c r="D5" s="144" t="inlineStr">
        <is>
          <t>-12.1%</t>
        </is>
      </c>
      <c r="E5" s="144" t="n"/>
      <c r="F5" s="139" t="inlineStr">
        <is>
          <t>المتغيّر المراد تفسيره</t>
        </is>
      </c>
    </row>
    <row r="6" ht="18.75" customHeight="1" s="122">
      <c r="A6" s="144" t="n">
        <v>2</v>
      </c>
      <c r="B6" s="147" t="inlineStr">
        <is>
          <t>النمط والمنطقة</t>
        </is>
      </c>
      <c r="C6" s="144" t="inlineStr">
        <is>
          <t>حيوية · مكة</t>
        </is>
      </c>
      <c r="D6" s="144" t="inlineStr">
        <is>
          <t>حيوية · مكة</t>
        </is>
      </c>
      <c r="E6" s="144" t="n"/>
      <c r="F6" s="139" t="inlineStr">
        <is>
          <t>متطابق — يعزل أثر الموقع</t>
        </is>
      </c>
    </row>
    <row r="7" ht="18.75" customHeight="1" s="122">
      <c r="A7" s="144" t="n">
        <v>3</v>
      </c>
      <c r="B7" s="147" t="inlineStr">
        <is>
          <t>مزيج المنتج</t>
        </is>
      </c>
      <c r="C7" s="144" t="inlineStr">
        <is>
          <t>51.7 / 48.3 · بلا ديزل</t>
        </is>
      </c>
      <c r="D7" s="144" t="inlineStr">
        <is>
          <t>54.0 / 46.0 · بلا ديزل</t>
        </is>
      </c>
      <c r="E7" s="144" t="n"/>
      <c r="F7" s="139" t="inlineStr">
        <is>
          <t>متطابق — يعزل أثر المنتج</t>
        </is>
      </c>
    </row>
    <row r="8" ht="18.75" customHeight="1" s="122">
      <c r="A8" s="144" t="n">
        <v>4</v>
      </c>
      <c r="B8" s="147" t="inlineStr">
        <is>
          <t>ساعة الذروة</t>
        </is>
      </c>
      <c r="C8" s="144" t="inlineStr">
        <is>
          <t>21</t>
        </is>
      </c>
      <c r="D8" s="144" t="inlineStr">
        <is>
          <t>21</t>
        </is>
      </c>
      <c r="E8" s="144" t="n"/>
      <c r="F8" s="139" t="inlineStr">
        <is>
          <t>متطابق</t>
        </is>
      </c>
    </row>
    <row r="9" ht="18.75" customHeight="1" s="122">
      <c r="A9" s="144" t="n">
        <v>5</v>
      </c>
      <c r="B9" s="147" t="inlineStr">
        <is>
          <t>طريقة الدفع</t>
        </is>
      </c>
      <c r="C9" s="144" t="inlineStr">
        <is>
          <t>نقد 100%</t>
        </is>
      </c>
      <c r="D9" s="144" t="inlineStr">
        <is>
          <t>نقد 100%</t>
        </is>
      </c>
      <c r="E9" s="144" t="n"/>
      <c r="F9" s="139" t="inlineStr">
        <is>
          <t>صفر شبكة وصفر تطبيق في كليهما</t>
        </is>
      </c>
    </row>
    <row r="10" ht="6" customHeight="1" s="122">
      <c r="A10" s="223" t="n"/>
      <c r="B10" s="223" t="n"/>
      <c r="C10" s="223" t="n"/>
      <c r="D10" s="223" t="n"/>
      <c r="E10" s="223" t="n"/>
      <c r="F10" s="223" t="n"/>
    </row>
    <row r="11" ht="18.75" customHeight="1" s="122">
      <c r="A11" s="144" t="n">
        <v>6</v>
      </c>
      <c r="B11" s="147" t="inlineStr">
        <is>
          <t>الزيارات يومياً</t>
        </is>
      </c>
      <c r="C11" s="224" t="n">
        <v>1290</v>
      </c>
      <c r="D11" s="224" t="n">
        <v>807</v>
      </c>
      <c r="E11" s="225">
        <f>IFERROR(C11-D11,"")</f>
        <v/>
      </c>
      <c r="F11" s="139" t="inlineStr">
        <is>
          <t>عرفات أكبر بـ60%</t>
        </is>
      </c>
    </row>
    <row r="12" ht="18.75" customHeight="1" s="122">
      <c r="A12" s="144" t="n">
        <v>7</v>
      </c>
      <c r="B12" s="147" t="inlineStr">
        <is>
          <t>اللترات يومياً</t>
        </is>
      </c>
      <c r="C12" s="224" t="n">
        <v>27210</v>
      </c>
      <c r="D12" s="224" t="n">
        <v>16162</v>
      </c>
      <c r="E12" s="225">
        <f>IFERROR(C12-D12,"")</f>
        <v/>
      </c>
      <c r="F12" s="139" t="inlineStr">
        <is>
          <t>عرفات أكبر بـ68%</t>
        </is>
      </c>
    </row>
    <row r="13" ht="18.75" customHeight="1" s="122">
      <c r="A13" s="144" t="n">
        <v>8</v>
      </c>
      <c r="B13" s="147" t="inlineStr">
        <is>
          <t>الإيراد يومياً</t>
        </is>
      </c>
      <c r="C13" s="224" t="n">
        <v>61488</v>
      </c>
      <c r="D13" s="224" t="n">
        <v>36469</v>
      </c>
      <c r="E13" s="225">
        <f>IFERROR(C13-D13,"")</f>
        <v/>
      </c>
      <c r="F13" s="139" t="inlineStr">
        <is>
          <t>ريال</t>
        </is>
      </c>
    </row>
    <row r="14" ht="18.75" customHeight="1" s="122">
      <c r="A14" s="144" t="n">
        <v>9</v>
      </c>
      <c r="B14" s="147" t="inlineStr">
        <is>
          <t>لتر لكل زيارة</t>
        </is>
      </c>
      <c r="C14" s="224" t="n">
        <v>21.1</v>
      </c>
      <c r="D14" s="224" t="n">
        <v>20.04</v>
      </c>
      <c r="E14" s="225">
        <f>IFERROR(C14-D14,"")</f>
        <v/>
      </c>
      <c r="F14" s="139" t="inlineStr">
        <is>
          <t>عرفات أعلى — سلة أكبر</t>
        </is>
      </c>
    </row>
    <row r="15" ht="18.75" customHeight="1" s="122">
      <c r="A15" s="144" t="n">
        <v>10</v>
      </c>
      <c r="B15" s="147" t="inlineStr">
        <is>
          <t>متوسط الفاتورة</t>
        </is>
      </c>
      <c r="C15" s="224" t="n">
        <v>47.68</v>
      </c>
      <c r="D15" s="224" t="n">
        <v>45.21</v>
      </c>
      <c r="E15" s="225">
        <f>IFERROR(C15-D15,"")</f>
        <v/>
      </c>
      <c r="F15" s="139" t="inlineStr">
        <is>
          <t>ريال</t>
        </is>
      </c>
    </row>
    <row r="16" ht="6" customHeight="1" s="122">
      <c r="A16" s="223" t="n"/>
      <c r="B16" s="223" t="n"/>
      <c r="C16" s="223" t="n"/>
      <c r="D16" s="223" t="n"/>
      <c r="E16" s="223" t="n"/>
      <c r="F16" s="223" t="n"/>
    </row>
    <row r="17" ht="18.75" customHeight="1" s="122">
      <c r="A17" s="144" t="n">
        <v>11</v>
      </c>
      <c r="B17" s="147" t="inlineStr">
        <is>
          <t>المضخات</t>
        </is>
      </c>
      <c r="C17" s="224" t="n">
        <v>9</v>
      </c>
      <c r="D17" s="224" t="n">
        <v>4</v>
      </c>
      <c r="E17" s="225">
        <f>IFERROR(C17-D17,"")</f>
        <v/>
      </c>
      <c r="F17" s="139" t="inlineStr">
        <is>
          <t>عرفات ضعف بن درويش تقريباً</t>
        </is>
      </c>
    </row>
    <row r="18" ht="18.75" customHeight="1" s="122">
      <c r="A18" s="144" t="n">
        <v>12</v>
      </c>
      <c r="B18" s="147" t="inlineStr">
        <is>
          <t>زيارة لكل مضخة</t>
        </is>
      </c>
      <c r="C18" s="224" t="n">
        <v>143</v>
      </c>
      <c r="D18" s="224" t="n">
        <v>202</v>
      </c>
      <c r="E18" s="225">
        <f>IFERROR(C18-D18,"")</f>
        <v/>
      </c>
      <c r="F18" s="139" t="inlineStr">
        <is>
          <t>بن درويش أزحم رغم أنها أصغر</t>
        </is>
      </c>
    </row>
    <row r="19" ht="18.75" customHeight="1" s="122">
      <c r="A19" s="144" t="n">
        <v>13</v>
      </c>
      <c r="B19" s="147" t="inlineStr">
        <is>
          <t>العمال</t>
        </is>
      </c>
      <c r="C19" s="224" t="n">
        <v>9</v>
      </c>
      <c r="D19" s="224" t="n">
        <v>7</v>
      </c>
      <c r="E19" s="225">
        <f>IFERROR(C19-D19,"")</f>
        <v/>
      </c>
      <c r="F19" s="139" t="inlineStr">
        <is>
          <t>مطابق للمتفق عليه في كليهما</t>
        </is>
      </c>
    </row>
    <row r="20" ht="18.75" customHeight="1" s="122">
      <c r="A20" s="144" t="n">
        <v>14</v>
      </c>
      <c r="B20" s="147" t="inlineStr">
        <is>
          <t>زيارة لكل عامل</t>
        </is>
      </c>
      <c r="C20" s="224" t="n">
        <v>143</v>
      </c>
      <c r="D20" s="224" t="n">
        <v>115</v>
      </c>
      <c r="E20" s="225">
        <f>IFERROR(C20-D20,"")</f>
        <v/>
      </c>
      <c r="F20" s="139" t="inlineStr">
        <is>
          <t>متقارب</t>
        </is>
      </c>
    </row>
    <row r="21" ht="18.75" customHeight="1" s="122">
      <c r="A21" s="144" t="n">
        <v>15</v>
      </c>
      <c r="B21" s="147" t="inlineStr">
        <is>
          <t>المساحة (م²)</t>
        </is>
      </c>
      <c r="C21" s="224" t="n">
        <v>3625</v>
      </c>
      <c r="D21" s="224" t="n">
        <v>4488</v>
      </c>
      <c r="E21" s="225">
        <f>IFERROR(C21-D21,"")</f>
        <v/>
      </c>
      <c r="F21" s="139" t="inlineStr">
        <is>
          <t>بن درويش أكبر مساحةً</t>
        </is>
      </c>
    </row>
    <row r="22" ht="6" customHeight="1" s="122">
      <c r="A22" s="223" t="n"/>
      <c r="B22" s="223" t="n"/>
      <c r="C22" s="223" t="n"/>
      <c r="D22" s="223" t="n"/>
      <c r="E22" s="223" t="n"/>
      <c r="F22" s="223" t="n"/>
    </row>
    <row r="23" ht="18.75" customHeight="1" s="122">
      <c r="A23" s="144" t="n">
        <v>16</v>
      </c>
      <c r="B23" s="147" t="inlineStr">
        <is>
          <t>سعة الخزانات</t>
        </is>
      </c>
      <c r="C23" s="224" t="n">
        <v>240000</v>
      </c>
      <c r="D23" s="224" t="n">
        <v>240000</v>
      </c>
      <c r="E23" s="225">
        <f>IFERROR(C23-D23,"")</f>
        <v/>
      </c>
      <c r="F23" s="139" t="inlineStr">
        <is>
          <t>متطابقة</t>
        </is>
      </c>
    </row>
    <row r="24" ht="18.75" customHeight="1" s="122">
      <c r="A24" s="144" t="n">
        <v>17</v>
      </c>
      <c r="B24" s="147" t="inlineStr">
        <is>
          <t>رحلات التوريد</t>
        </is>
      </c>
      <c r="C24" s="224" t="n">
        <v>147</v>
      </c>
      <c r="D24" s="224" t="n">
        <v>89</v>
      </c>
      <c r="E24" s="225">
        <f>IFERROR(C24-D24,"")</f>
        <v/>
      </c>
      <c r="F24" s="139" t="inlineStr">
        <is>
          <t>لستة أشهر</t>
        </is>
      </c>
    </row>
    <row r="25" ht="18.75" customHeight="1" s="122">
      <c r="A25" s="144" t="n">
        <v>18</v>
      </c>
      <c r="B25" s="147" t="inlineStr">
        <is>
          <t>الدوران</t>
        </is>
      </c>
      <c r="C25" s="224" t="n">
        <v>19.9</v>
      </c>
      <c r="D25" s="224" t="n">
        <v>12.2</v>
      </c>
      <c r="E25" s="225">
        <f>IFERROR(C25-D25,"")</f>
        <v/>
      </c>
      <c r="F25" s="139" t="inlineStr">
        <is>
          <t>عرفات أسرع دوراناً</t>
        </is>
      </c>
    </row>
    <row r="26" ht="18.75" customHeight="1" s="122">
      <c r="A26" s="144" t="n">
        <v>19</v>
      </c>
      <c r="B26" s="147" t="inlineStr">
        <is>
          <t>أيام المخزون</t>
        </is>
      </c>
      <c r="C26" s="224" t="n">
        <v>9.1</v>
      </c>
      <c r="D26" s="224" t="n">
        <v>14.8</v>
      </c>
      <c r="E26" s="225">
        <f>IFERROR(C26-D26,"")</f>
        <v/>
      </c>
      <c r="F26" s="139" t="inlineStr">
        <is>
          <t>بن درويش تحتجز رأس مال أطول</t>
        </is>
      </c>
    </row>
    <row r="27" ht="18.75" customHeight="1" s="122">
      <c r="A27" s="144" t="n">
        <v>20</v>
      </c>
      <c r="B27" s="147" t="inlineStr">
        <is>
          <t>فرق التوريد والمبيعات</t>
        </is>
      </c>
      <c r="C27" s="144" t="inlineStr">
        <is>
          <t>-3.32%</t>
        </is>
      </c>
      <c r="D27" s="144" t="inlineStr">
        <is>
          <t>+0.26%</t>
        </is>
      </c>
      <c r="E27" s="144" t="n"/>
      <c r="F27" s="139" t="inlineStr">
        <is>
          <t>عرفات سالب — يحتاج تفسير جرد</t>
        </is>
      </c>
    </row>
    <row r="28" ht="18.75" customHeight="1" s="122">
      <c r="A28" s="144" t="n">
        <v>21</v>
      </c>
      <c r="B28" s="147" t="inlineStr">
        <is>
          <t>الشكاوى</t>
        </is>
      </c>
      <c r="C28" s="224" t="n">
        <v>8</v>
      </c>
      <c r="D28" s="224" t="n">
        <v>0</v>
      </c>
      <c r="E28" s="225">
        <f>IFERROR(C28-D28,"")</f>
        <v/>
      </c>
      <c r="F28" s="139" t="inlineStr">
        <is>
          <t>بن درويش بلا شكاوى رغم تراجعها</t>
        </is>
      </c>
    </row>
    <row r="29">
      <c r="A29" s="124" t="n"/>
      <c r="B29" s="124" t="n"/>
      <c r="C29" s="124" t="n"/>
      <c r="D29" s="124" t="n"/>
      <c r="E29" s="124" t="n"/>
      <c r="F29" s="124" t="n"/>
    </row>
    <row r="30" ht="15" customHeight="1" s="122">
      <c r="A30" s="124" t="n"/>
      <c r="B30" s="159" t="inlineStr">
        <is>
          <t>قيمة كل لتر</t>
        </is>
      </c>
      <c r="C30" s="124" t="n"/>
      <c r="D30" s="124" t="n"/>
      <c r="E30" s="124" t="n"/>
      <c r="F30" s="124" t="n"/>
    </row>
    <row r="31" ht="15" customHeight="1" s="122">
      <c r="A31" s="124" t="n"/>
      <c r="B31" s="137" t="inlineStr">
        <is>
          <t>هامش المساهمة % (مُدخل)</t>
        </is>
      </c>
      <c r="C31" s="226" t="n"/>
      <c r="D31" s="226" t="n"/>
      <c r="E31" s="124" t="n"/>
      <c r="F31" s="205" t="inlineStr">
        <is>
          <t>من قائمة الدخل · المرجع: 6.79% لمحطة بلا ديزل</t>
        </is>
      </c>
    </row>
    <row r="32" ht="31.5" customHeight="1" s="122">
      <c r="A32" s="138" t="inlineStr">
        <is>
          <t>#</t>
        </is>
      </c>
      <c r="B32" s="138" t="inlineStr">
        <is>
          <t>البند</t>
        </is>
      </c>
      <c r="C32" s="138" t="inlineStr">
        <is>
          <t>MK017</t>
        </is>
      </c>
      <c r="D32" s="138" t="inlineStr">
        <is>
          <t>MK023</t>
        </is>
      </c>
      <c r="E32" s="138" t="inlineStr">
        <is>
          <t>الفارق</t>
        </is>
      </c>
      <c r="F32" s="138" t="inlineStr">
        <is>
          <t>الدلالة</t>
        </is>
      </c>
    </row>
    <row r="33" ht="19.5" customHeight="1" s="122">
      <c r="A33" s="144" t="n">
        <v>1</v>
      </c>
      <c r="B33" s="147" t="inlineStr">
        <is>
          <t>سعر البيع المرجّح (ريال/لتر)</t>
        </is>
      </c>
      <c r="C33" s="200" t="n">
        <v>2.2525</v>
      </c>
      <c r="D33" s="200" t="n">
        <v>2.249</v>
      </c>
      <c r="E33" s="144" t="n"/>
      <c r="F33" s="139" t="inlineStr">
        <is>
          <t>محسوب من مزيج كل محطة بالأسعار المقننة</t>
        </is>
      </c>
    </row>
    <row r="34" ht="19.5" customHeight="1" s="122">
      <c r="A34" s="144" t="n">
        <v>2</v>
      </c>
      <c r="B34" s="147" t="inlineStr">
        <is>
          <t>الإيراد الفعلي لكل لتر</t>
        </is>
      </c>
      <c r="C34" s="200" t="n">
        <v>2.2598</v>
      </c>
      <c r="D34" s="200" t="n">
        <v>2.2565</v>
      </c>
      <c r="E34" s="144" t="n"/>
      <c r="F34" s="139" t="inlineStr">
        <is>
          <t>تحقّق: يطابق سعر البيع المرجّح</t>
        </is>
      </c>
    </row>
    <row r="35" ht="19.5" customHeight="1" s="122">
      <c r="A35" s="144" t="n">
        <v>3</v>
      </c>
      <c r="B35" s="147" t="inlineStr">
        <is>
          <t>هامش المساهمة (هللة/لتر)</t>
        </is>
      </c>
      <c r="C35" s="220">
        <f>C34*C31*100</f>
        <v/>
      </c>
      <c r="D35" s="220">
        <f>D34*D31*100</f>
        <v/>
      </c>
      <c r="E35" s="144" t="n"/>
      <c r="F35" s="139" t="inlineStr">
        <is>
          <t>الإيراد لكل لتر مضروباً في هامش المساهمة</t>
        </is>
      </c>
    </row>
    <row r="36" ht="19.5" customHeight="1" s="122">
      <c r="A36" s="144" t="n">
        <v>4</v>
      </c>
      <c r="B36" s="147" t="inlineStr">
        <is>
          <t>الفجوة عن هدف 15 هللة</t>
        </is>
      </c>
      <c r="C36" s="221">
        <f>15-C35</f>
        <v/>
      </c>
      <c r="D36" s="221">
        <f>15-D35</f>
        <v/>
      </c>
      <c r="E36" s="144" t="n"/>
      <c r="F36" s="139" t="inlineStr">
        <is>
          <t>الفرق المطلوب سدّه</t>
        </is>
      </c>
    </row>
    <row r="37" ht="19.5" customHeight="1" s="122">
      <c r="A37" s="144" t="n">
        <v>5</v>
      </c>
      <c r="B37" s="147" t="inlineStr">
        <is>
          <t>اللترات السنوية المُطبَّعة</t>
        </is>
      </c>
      <c r="C37" s="152" t="n">
        <v>9931491</v>
      </c>
      <c r="D37" s="152" t="n">
        <v>5899223</v>
      </c>
      <c r="E37" s="144" t="n"/>
      <c r="F37" s="139" t="inlineStr">
        <is>
          <t>أساس احتساب الأثر</t>
        </is>
      </c>
    </row>
    <row r="38" ht="19.5" customHeight="1" s="122">
      <c r="A38" s="144" t="n">
        <v>6</v>
      </c>
      <c r="B38" s="147" t="inlineStr">
        <is>
          <t>هامش المساهمة السنوي (ريال)</t>
        </is>
      </c>
      <c r="C38" s="170">
        <f>C37*C35/100</f>
        <v/>
      </c>
      <c r="D38" s="170">
        <f>D37*D35/100</f>
        <v/>
      </c>
      <c r="E38" s="144" t="n"/>
      <c r="F38" s="139" t="inlineStr">
        <is>
          <t>اللترات × الهامش لكل لتر</t>
        </is>
      </c>
    </row>
    <row r="39" ht="19.5" customHeight="1" s="122">
      <c r="A39" s="144" t="n">
        <v>7</v>
      </c>
      <c r="B39" s="147" t="inlineStr">
        <is>
          <t>أثر بلوغ 15 هللة (ريال/سنة)</t>
        </is>
      </c>
      <c r="C39" s="210">
        <f>C37*C36/100</f>
        <v/>
      </c>
      <c r="D39" s="210">
        <f>D37*D36/100</f>
        <v/>
      </c>
      <c r="E39" s="144" t="n"/>
      <c r="F39" s="139" t="inlineStr">
        <is>
          <t>الفجوة × اللترات السنوية</t>
        </is>
      </c>
    </row>
    <row r="40">
      <c r="A40" s="124" t="n"/>
      <c r="B40" s="124" t="n"/>
      <c r="C40" s="124" t="n"/>
      <c r="D40" s="124" t="n"/>
      <c r="E40" s="124" t="n"/>
      <c r="F40" s="124" t="n"/>
    </row>
    <row r="41" ht="15" customHeight="1" s="122">
      <c r="A41" s="124" t="n"/>
      <c r="B41" s="148" t="inlineStr">
        <is>
          <t>ما يعزله التصميم</t>
        </is>
      </c>
      <c r="C41" s="124" t="n"/>
      <c r="D41" s="124" t="n"/>
      <c r="E41" s="124" t="n"/>
      <c r="F41" s="124" t="n"/>
    </row>
    <row r="42" ht="15.75" customHeight="1" s="122">
      <c r="A42" s="124" t="n"/>
      <c r="B42" s="124" t="n"/>
      <c r="C42" s="149" t="inlineStr">
        <is>
          <t>•  المحطتان في مكة · نمط حيوية · بلا ديزل · نفس ساعة الذروة · نقد 100%</t>
        </is>
      </c>
      <c r="D42" s="124" t="n"/>
      <c r="E42" s="124" t="n"/>
      <c r="F42" s="124" t="n"/>
    </row>
    <row r="43" ht="15.75" customHeight="1" s="122">
      <c r="A43" s="124" t="n"/>
      <c r="B43" s="124" t="n"/>
      <c r="C43" s="149" t="inlineStr">
        <is>
          <t>•  فالفارق في النمو لا يُفسَّر بالمنطقة ولا المنتج ولا نوع العميل</t>
        </is>
      </c>
      <c r="D43" s="124" t="n"/>
      <c r="E43" s="124" t="n"/>
      <c r="F43" s="124" t="n"/>
    </row>
    <row r="44">
      <c r="A44" s="124" t="n"/>
      <c r="B44" s="124" t="n"/>
      <c r="C44" s="124" t="n"/>
      <c r="D44" s="124" t="n"/>
      <c r="E44" s="124" t="n"/>
      <c r="F44" s="124" t="n"/>
    </row>
    <row r="45" ht="15" customHeight="1" s="122">
      <c r="A45" s="124" t="n"/>
      <c r="B45" s="164" t="inlineStr">
        <is>
          <t>الفروق القابلة للقياس</t>
        </is>
      </c>
      <c r="C45" s="124" t="n"/>
      <c r="D45" s="124" t="n"/>
      <c r="E45" s="124" t="n"/>
      <c r="F45" s="124" t="n"/>
    </row>
    <row r="46" ht="15.75" customHeight="1" s="122">
      <c r="A46" s="124" t="n"/>
      <c r="B46" s="124" t="n"/>
      <c r="C46" s="149" t="inlineStr">
        <is>
          <t>•  بن درويش 202 زيارة لكل مضخة مقابل 143 لعرفات — أزحم رغم أنها أصغر</t>
        </is>
      </c>
      <c r="D46" s="124" t="n"/>
      <c r="E46" s="124" t="n"/>
      <c r="F46" s="124" t="n"/>
    </row>
    <row r="47" ht="15.75" customHeight="1" s="122">
      <c r="A47" s="124" t="n"/>
      <c r="B47" s="124" t="n"/>
      <c r="C47" s="149" t="inlineStr">
        <is>
          <t>•  بن درويش أيام مخزونها 14.8 مقابل 9.1 — رأس مال محتجز أطول</t>
        </is>
      </c>
      <c r="D47" s="124" t="n"/>
      <c r="E47" s="124" t="n"/>
      <c r="F47" s="124" t="n"/>
    </row>
    <row r="48" ht="15.75" customHeight="1" s="122">
      <c r="A48" s="124" t="n"/>
      <c r="B48" s="124" t="n"/>
      <c r="C48" s="149" t="inlineStr">
        <is>
          <t>•  بن درويش بلا شكاوى مسجّلة رغم تراجعها — فالشكاوى لا تفسّر حالتها</t>
        </is>
      </c>
      <c r="D48" s="124" t="n"/>
      <c r="E48" s="124" t="n"/>
      <c r="F48" s="124" t="n"/>
    </row>
    <row r="49">
      <c r="A49" s="124" t="n"/>
      <c r="B49" s="124" t="n"/>
      <c r="C49" s="124" t="n"/>
      <c r="D49" s="124" t="n"/>
      <c r="E49" s="124" t="n"/>
      <c r="F49" s="124" t="n"/>
    </row>
    <row r="50" ht="15" customHeight="1" s="122">
      <c r="A50" s="124" t="n"/>
      <c r="B50" s="148" t="inlineStr">
        <is>
          <t>ما يجب قياسه ميدانياً</t>
        </is>
      </c>
      <c r="C50" s="124" t="n"/>
      <c r="D50" s="124" t="n"/>
      <c r="E50" s="124" t="n"/>
      <c r="F50" s="124" t="n"/>
    </row>
    <row r="51" ht="15.75" customHeight="1" s="122">
      <c r="A51" s="124" t="n"/>
      <c r="B51" s="124" t="n"/>
      <c r="C51" s="149" t="inlineStr">
        <is>
          <t>•  زمن الخدمة لكل تعبئة في ساعة الذروة (21) في المحطتين</t>
        </is>
      </c>
      <c r="D51" s="124" t="n"/>
      <c r="E51" s="124" t="n"/>
      <c r="F51" s="124" t="n"/>
    </row>
    <row r="52" ht="15.75" customHeight="1" s="122">
      <c r="A52" s="124" t="n"/>
      <c r="B52" s="124" t="n"/>
      <c r="C52" s="149" t="inlineStr">
        <is>
          <t>•  عدد المركبات التي تدخل ولا تعبّئ</t>
        </is>
      </c>
      <c r="D52" s="124" t="n"/>
      <c r="E52" s="124" t="n"/>
      <c r="F52" s="124" t="n"/>
    </row>
    <row r="53" ht="15.75" customHeight="1" s="122">
      <c r="A53" s="124" t="n"/>
      <c r="B53" s="124" t="n"/>
      <c r="C53" s="149" t="inlineStr">
        <is>
          <t>•  المنافس الأقرب لكل محطة والمسافة إليه</t>
        </is>
      </c>
      <c r="D53" s="124" t="n"/>
      <c r="E53" s="124" t="n"/>
      <c r="F53" s="124" t="n"/>
    </row>
    <row r="54" ht="15.75" customHeight="1" s="122">
      <c r="A54" s="124" t="n"/>
      <c r="B54" s="124" t="n"/>
      <c r="C54" s="149" t="inlineStr">
        <is>
          <t>•  تغيّرات المسار أو أعمال الطرق خلال الفترة</t>
        </is>
      </c>
      <c r="D54" s="124" t="n"/>
      <c r="E54" s="124" t="n"/>
      <c r="F54" s="124" t="n"/>
    </row>
    <row r="55">
      <c r="A55" s="124" t="n"/>
      <c r="B55" s="124" t="n"/>
      <c r="C55" s="124" t="n"/>
      <c r="D55" s="124" t="n"/>
      <c r="E55" s="124" t="n"/>
      <c r="F55" s="124" t="n"/>
    </row>
    <row r="56" ht="15" customHeight="1" s="122">
      <c r="A56" s="124" t="n"/>
      <c r="B56" s="148" t="inlineStr">
        <is>
          <t>فرص فورية مشتركة</t>
        </is>
      </c>
      <c r="C56" s="124" t="n"/>
      <c r="D56" s="124" t="n"/>
      <c r="E56" s="124" t="n"/>
      <c r="F56" s="124" t="n"/>
    </row>
    <row r="57" ht="15.75" customHeight="1" s="122">
      <c r="A57" s="124" t="n"/>
      <c r="B57" s="124" t="n"/>
      <c r="C57" s="149" t="inlineStr">
        <is>
          <t>•  الدفع نقد 100% في المحطتين — لا شبكة ولا تطبيق</t>
        </is>
      </c>
      <c r="D57" s="124" t="n"/>
      <c r="E57" s="124" t="n"/>
      <c r="F57" s="124" t="n"/>
    </row>
    <row r="58" ht="15.75" customHeight="1" s="122">
      <c r="A58" s="124" t="n"/>
      <c r="B58" s="124" t="n"/>
      <c r="C58" s="149" t="inlineStr">
        <is>
          <t>•  تفعيل الدفع الإلكتروني يبني قاعدة تعريف من صفر</t>
        </is>
      </c>
      <c r="D58" s="124" t="n"/>
      <c r="E58" s="124" t="n"/>
      <c r="F58" s="124" t="n"/>
    </row>
    <row r="59" ht="15.75" customHeight="1" s="122">
      <c r="A59" s="124" t="n"/>
      <c r="B59" s="124" t="n"/>
      <c r="C59" s="149" t="inlineStr">
        <is>
          <t>•  بن درويش 4 مضخات فقط لـ807 زيارة — أقل من نصف طاقة عرفات</t>
        </is>
      </c>
      <c r="D59" s="124" t="n"/>
      <c r="E59" s="124" t="n"/>
      <c r="F59" s="124" t="n"/>
    </row>
  </sheetData>
  <mergeCells count="14">
    <mergeCell ref="A2:F2"/>
    <mergeCell ref="C52:F52"/>
    <mergeCell ref="C53:F53"/>
    <mergeCell ref="C48:F48"/>
    <mergeCell ref="C42:F42"/>
    <mergeCell ref="C43:F43"/>
    <mergeCell ref="A1:F1"/>
    <mergeCell ref="C46:F46"/>
    <mergeCell ref="C59:F59"/>
    <mergeCell ref="C54:F54"/>
    <mergeCell ref="C51:F51"/>
    <mergeCell ref="C47:F47"/>
    <mergeCell ref="C57:F57"/>
    <mergeCell ref="C58:F5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58"/>
  <sheetViews>
    <sheetView showFormulas="0" showGridLines="0" showRowColHeaders="1" showZeros="1" rightToLeft="1"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 customWidth="1" style="121" min="1" max="1"/>
    <col width="26" customWidth="1" style="121" min="2" max="2"/>
    <col width="20" customWidth="1" style="121" min="3" max="3"/>
    <col width="16" customWidth="1" style="121" min="4" max="6"/>
    <col width="34" customWidth="1" style="121" min="7" max="7"/>
  </cols>
  <sheetData>
    <row r="1" ht="25.5" customHeight="1" s="122">
      <c r="A1" s="123" t="inlineStr">
        <is>
          <t>النموذج التجريبي — حملات المستأجرين · MK007 النورية</t>
        </is>
      </c>
      <c r="B1" s="124" t="n"/>
      <c r="C1" s="124" t="n"/>
      <c r="D1" s="124" t="n"/>
      <c r="E1" s="124" t="n"/>
      <c r="F1" s="124" t="n"/>
      <c r="G1" s="124" t="n"/>
    </row>
    <row r="2" ht="18" customHeight="1" s="122">
      <c r="A2" s="125" t="inlineStr">
        <is>
          <t>أعلى حركة في الشبكة · 4,236 زيارة يومياً · دخل إيجار 3,887 ألف ريال في النصف الأول</t>
        </is>
      </c>
      <c r="B2" s="124" t="n"/>
      <c r="C2" s="124" t="n"/>
      <c r="D2" s="124" t="n"/>
      <c r="E2" s="124" t="n"/>
      <c r="F2" s="124" t="n"/>
      <c r="G2" s="124" t="n"/>
    </row>
    <row r="3">
      <c r="A3" s="124" t="n"/>
      <c r="B3" s="124" t="n"/>
      <c r="C3" s="124" t="n"/>
      <c r="D3" s="124" t="n"/>
      <c r="E3" s="124" t="n"/>
      <c r="F3" s="124" t="n"/>
      <c r="G3" s="124" t="n"/>
    </row>
    <row r="4" ht="31.5" customHeight="1" s="122">
      <c r="A4" s="138" t="inlineStr">
        <is>
          <t>#</t>
        </is>
      </c>
      <c r="B4" s="138" t="inlineStr">
        <is>
          <t>المؤشر</t>
        </is>
      </c>
      <c r="C4" s="138" t="inlineStr">
        <is>
          <t>القيمة</t>
        </is>
      </c>
      <c r="D4" s="138" t="n"/>
      <c r="E4" s="138" t="n"/>
      <c r="F4" s="138" t="n"/>
      <c r="G4" s="138" t="inlineStr">
        <is>
          <t>الدلالة</t>
        </is>
      </c>
    </row>
    <row r="5" ht="19.5" customHeight="1" s="122">
      <c r="A5" s="144" t="n">
        <v>1</v>
      </c>
      <c r="B5" s="147" t="inlineStr">
        <is>
          <t>الزيارات يومياً</t>
        </is>
      </c>
      <c r="C5" s="144" t="inlineStr">
        <is>
          <t>4,236</t>
        </is>
      </c>
      <c r="D5" s="144" t="n"/>
      <c r="E5" s="144" t="n"/>
      <c r="F5" s="144" t="n"/>
      <c r="G5" s="139" t="inlineStr">
        <is>
          <t>أعلى حركة في الشبكة — قاعدة الحملة</t>
        </is>
      </c>
    </row>
    <row r="6" ht="19.5" customHeight="1" s="122">
      <c r="A6" s="144" t="n">
        <v>2</v>
      </c>
      <c r="B6" s="147" t="inlineStr">
        <is>
          <t>الزيارات في النصف الأول</t>
        </is>
      </c>
      <c r="C6" s="144" t="inlineStr">
        <is>
          <t>766,648</t>
        </is>
      </c>
      <c r="D6" s="144" t="n"/>
      <c r="E6" s="144" t="n"/>
      <c r="F6" s="144" t="n"/>
      <c r="G6" s="139" t="inlineStr">
        <is>
          <t>حجم التعرّض المتاح</t>
        </is>
      </c>
    </row>
    <row r="7" ht="19.5" customHeight="1" s="122">
      <c r="A7" s="144" t="n">
        <v>3</v>
      </c>
      <c r="B7" s="147" t="inlineStr">
        <is>
          <t>متوسط الفاتورة</t>
        </is>
      </c>
      <c r="C7" s="144" t="inlineStr">
        <is>
          <t>64.69 ريال</t>
        </is>
      </c>
      <c r="D7" s="144" t="n"/>
      <c r="E7" s="144" t="n"/>
      <c r="F7" s="144" t="n"/>
      <c r="G7" s="139" t="inlineStr">
        <is>
          <t>وقود فقط</t>
        </is>
      </c>
    </row>
    <row r="8" ht="19.5" customHeight="1" s="122">
      <c r="A8" s="144" t="n">
        <v>4</v>
      </c>
      <c r="B8" s="147" t="inlineStr">
        <is>
          <t>ساعة الذروة</t>
        </is>
      </c>
      <c r="C8" s="144" t="inlineStr">
        <is>
          <t>17</t>
        </is>
      </c>
      <c r="D8" s="144" t="n"/>
      <c r="E8" s="144" t="n"/>
      <c r="F8" s="144" t="n"/>
      <c r="G8" s="139" t="inlineStr">
        <is>
          <t>توقيت الحملة الأمثل</t>
        </is>
      </c>
    </row>
    <row r="9" ht="19.5" customHeight="1" s="122">
      <c r="A9" s="144" t="n">
        <v>5</v>
      </c>
      <c r="B9" s="147" t="inlineStr">
        <is>
          <t>دخل الإيجار — النصف الأول</t>
        </is>
      </c>
      <c r="C9" s="144" t="inlineStr">
        <is>
          <t>3,887 ألف ريال</t>
        </is>
      </c>
      <c r="D9" s="144" t="n"/>
      <c r="E9" s="144" t="n"/>
      <c r="F9" s="144" t="n"/>
      <c r="G9" s="139" t="inlineStr">
        <is>
          <t>من قائمة الدخل</t>
        </is>
      </c>
    </row>
    <row r="10" ht="19.5" customHeight="1" s="122">
      <c r="A10" s="144" t="n">
        <v>6</v>
      </c>
      <c r="B10" s="147" t="inlineStr">
        <is>
          <t>صافي التأجير بعد التمويل والإهلاك</t>
        </is>
      </c>
      <c r="C10" s="144" t="inlineStr">
        <is>
          <t>1,253 ألف ريال</t>
        </is>
      </c>
      <c r="D10" s="144" t="n"/>
      <c r="E10" s="144" t="n"/>
      <c r="F10" s="144" t="n"/>
      <c r="G10" s="139" t="inlineStr">
        <is>
          <t>التمويل والإهلاك يلتهمان 63%</t>
        </is>
      </c>
    </row>
    <row r="11" ht="19.5" customHeight="1" s="122">
      <c r="A11" s="144" t="n">
        <v>7</v>
      </c>
      <c r="B11" s="147" t="inlineStr">
        <is>
          <t>طريقة الدفع</t>
        </is>
      </c>
      <c r="C11" s="144" t="inlineStr">
        <is>
          <t>نقد 53% · شبكة 43.7% · تطبيق 0.6%</t>
        </is>
      </c>
      <c r="D11" s="144" t="n"/>
      <c r="E11" s="144" t="n"/>
      <c r="F11" s="144" t="n"/>
      <c r="G11" s="139" t="inlineStr">
        <is>
          <t>الوحيدة بشبكة فعّالة بين الثلاث</t>
        </is>
      </c>
    </row>
    <row r="12" ht="19.5" customHeight="1" s="122">
      <c r="A12" s="144" t="n">
        <v>8</v>
      </c>
      <c r="B12" s="147" t="inlineStr">
        <is>
          <t>المساحة</t>
        </is>
      </c>
      <c r="C12" s="144" t="inlineStr">
        <is>
          <t>120,000 م²</t>
        </is>
      </c>
      <c r="D12" s="144" t="n"/>
      <c r="E12" s="144" t="n"/>
      <c r="F12" s="144" t="n"/>
      <c r="G12" s="139" t="inlineStr">
        <is>
          <t>الأكبر في الشبكة</t>
        </is>
      </c>
    </row>
    <row r="13" ht="19.5" customHeight="1" s="122">
      <c r="A13" s="144" t="n">
        <v>9</v>
      </c>
      <c r="B13" s="147" t="inlineStr">
        <is>
          <t>الشكاوى</t>
        </is>
      </c>
      <c r="C13" s="144" t="inlineStr">
        <is>
          <t>58 شكوى</t>
        </is>
      </c>
      <c r="D13" s="144" t="n"/>
      <c r="E13" s="144" t="n"/>
      <c r="F13" s="144" t="n"/>
      <c r="G13" s="139" t="inlineStr">
        <is>
          <t>56% منها عن الخدمة — تؤثر على تجربة المستأجر أيضاً</t>
        </is>
      </c>
    </row>
    <row r="14">
      <c r="A14" s="124" t="n"/>
      <c r="B14" s="124" t="n"/>
      <c r="C14" s="124" t="n"/>
      <c r="D14" s="124" t="n"/>
      <c r="E14" s="124" t="n"/>
      <c r="F14" s="124" t="n"/>
      <c r="G14" s="124" t="n"/>
    </row>
    <row r="15" ht="15" customHeight="1" s="122">
      <c r="A15" s="124" t="n"/>
      <c r="B15" s="159" t="inlineStr">
        <is>
          <t>المستأجرون الحاليون</t>
        </is>
      </c>
      <c r="C15" s="124" t="n"/>
      <c r="D15" s="124" t="n"/>
      <c r="E15" s="124" t="n"/>
      <c r="F15" s="124" t="n"/>
      <c r="G15" s="124" t="n"/>
    </row>
    <row r="16" ht="31.5" customHeight="1" s="122">
      <c r="A16" s="138" t="inlineStr">
        <is>
          <t>#</t>
        </is>
      </c>
      <c r="B16" s="138" t="inlineStr">
        <is>
          <t>الفئة</t>
        </is>
      </c>
      <c r="C16" s="138" t="inlineStr">
        <is>
          <t>العلامات</t>
        </is>
      </c>
      <c r="D16" s="138" t="inlineStr">
        <is>
          <t>العدد</t>
        </is>
      </c>
      <c r="E16" s="138" t="n"/>
      <c r="F16" s="138" t="n"/>
      <c r="G16" s="138" t="inlineStr">
        <is>
          <t>فرصة الحملة</t>
        </is>
      </c>
    </row>
    <row r="17" ht="30" customHeight="1" s="122">
      <c r="A17" s="144" t="n">
        <v>1</v>
      </c>
      <c r="B17" s="147" t="inlineStr">
        <is>
          <t>مطاعم</t>
        </is>
      </c>
      <c r="C17" s="139" t="inlineStr">
        <is>
          <t>صامولجي - ترويقة زمان - بيتزا ريتا - ماكدونالدز - قيس ايسكريم</t>
        </is>
      </c>
      <c r="D17" s="144" t="n">
        <v>5</v>
      </c>
      <c r="E17" s="144" t="n"/>
      <c r="F17" s="144" t="n"/>
      <c r="G17" s="139" t="inlineStr">
        <is>
          <t>سلة الوجبة مع التعبئة</t>
        </is>
      </c>
    </row>
    <row r="18" ht="30" customHeight="1" s="122">
      <c r="A18" s="144" t="n">
        <v>2</v>
      </c>
      <c r="B18" s="147" t="inlineStr">
        <is>
          <t>كافيهات</t>
        </is>
      </c>
      <c r="C18" s="139" t="inlineStr">
        <is>
          <t>رو  - المذاق المغربي - جوينت -  ريشو  -  بوبا بيرلز - انسول</t>
        </is>
      </c>
      <c r="D18" s="144" t="n">
        <v>6</v>
      </c>
      <c r="E18" s="144" t="n"/>
      <c r="F18" s="144" t="n"/>
      <c r="G18" s="139" t="inlineStr">
        <is>
          <t>أعلى تكرار — الأنسب لحملة ولاء</t>
        </is>
      </c>
    </row>
    <row r="19" ht="30" customHeight="1" s="122">
      <c r="A19" s="144" t="n">
        <v>3</v>
      </c>
      <c r="B19" s="147" t="inlineStr">
        <is>
          <t>ماركت</t>
        </is>
      </c>
      <c r="C19" s="139" t="inlineStr">
        <is>
          <t>بنده</t>
        </is>
      </c>
      <c r="D19" s="144" t="n">
        <v>1</v>
      </c>
      <c r="E19" s="144" t="n"/>
      <c r="F19" s="144" t="n"/>
      <c r="G19" s="139" t="inlineStr">
        <is>
          <t>بيع متقاطع مع الوقود</t>
        </is>
      </c>
    </row>
    <row r="20" ht="30" customHeight="1" s="122">
      <c r="A20" s="144" t="n">
        <v>4</v>
      </c>
      <c r="B20" s="147" t="inlineStr">
        <is>
          <t>خدمات سيارات</t>
        </is>
      </c>
      <c r="C20" s="139" t="inlineStr">
        <is>
          <t>—</t>
        </is>
      </c>
      <c r="D20" s="143" t="n">
        <v>0</v>
      </c>
      <c r="E20" s="144" t="n"/>
      <c r="F20" s="144" t="n"/>
      <c r="G20" s="139" t="inlineStr">
        <is>
          <t>🔴 لا يوجد — فجوة في أكبر محطة</t>
        </is>
      </c>
    </row>
    <row r="21" ht="30" customHeight="1" s="122">
      <c r="A21" s="144" t="n">
        <v>5</v>
      </c>
      <c r="B21" s="147" t="inlineStr">
        <is>
          <t>أخرى</t>
        </is>
      </c>
      <c r="C21" s="139" t="inlineStr">
        <is>
          <t>—</t>
        </is>
      </c>
      <c r="D21" s="143" t="n">
        <v>0</v>
      </c>
      <c r="E21" s="144" t="n"/>
      <c r="F21" s="144" t="n"/>
      <c r="G21" s="139" t="inlineStr">
        <is>
          <t>لا صراف ولا خزائن</t>
        </is>
      </c>
    </row>
    <row r="22">
      <c r="A22" s="124" t="n"/>
      <c r="B22" s="124" t="n"/>
      <c r="C22" s="124" t="n"/>
      <c r="D22" s="124" t="n"/>
      <c r="E22" s="124" t="n"/>
      <c r="F22" s="124" t="n"/>
      <c r="G22" s="124" t="n"/>
    </row>
    <row r="23" ht="15" customHeight="1" s="122">
      <c r="A23" s="124" t="n"/>
      <c r="B23" s="159" t="inlineStr">
        <is>
          <t>نموذج الحملة — يُعبّأ لكل حملة</t>
        </is>
      </c>
      <c r="C23" s="124" t="n"/>
      <c r="D23" s="124" t="n"/>
      <c r="E23" s="124" t="n"/>
      <c r="F23" s="124" t="n"/>
      <c r="G23" s="124" t="n"/>
    </row>
    <row r="24" ht="31.5" customHeight="1" s="122">
      <c r="A24" s="138" t="inlineStr">
        <is>
          <t>#</t>
        </is>
      </c>
      <c r="B24" s="138" t="inlineStr">
        <is>
          <t>الحقل</t>
        </is>
      </c>
      <c r="C24" s="138" t="inlineStr">
        <is>
          <t>القيمة</t>
        </is>
      </c>
      <c r="D24" s="138" t="inlineStr">
        <is>
          <t>الوحدة</t>
        </is>
      </c>
      <c r="E24" s="138" t="inlineStr">
        <is>
          <t>المصدر</t>
        </is>
      </c>
      <c r="F24" s="138" t="n"/>
      <c r="G24" s="138" t="inlineStr">
        <is>
          <t>ملاحظة</t>
        </is>
      </c>
    </row>
    <row r="25" ht="18.75" customHeight="1" s="122">
      <c r="A25" s="144" t="n">
        <v>1</v>
      </c>
      <c r="B25" s="147" t="inlineStr">
        <is>
          <t>اسم الحملة</t>
        </is>
      </c>
      <c r="C25" s="227" t="n"/>
      <c r="D25" s="144" t="inlineStr">
        <is>
          <t>نص</t>
        </is>
      </c>
      <c r="E25" s="144" t="inlineStr">
        <is>
          <t>يدوي</t>
        </is>
      </c>
      <c r="F25" s="144" t="n"/>
      <c r="G25" s="139" t="inlineStr">
        <is>
          <t>تسمية واضحة قابلة للتتبّع</t>
        </is>
      </c>
    </row>
    <row r="26" ht="18.75" customHeight="1" s="122">
      <c r="A26" s="144" t="n">
        <v>2</v>
      </c>
      <c r="B26" s="147" t="inlineStr">
        <is>
          <t>المستأجر المشارك</t>
        </is>
      </c>
      <c r="C26" s="227" t="n"/>
      <c r="D26" s="144" t="inlineStr">
        <is>
          <t>نص</t>
        </is>
      </c>
      <c r="E26" s="144" t="inlineStr">
        <is>
          <t>يدوي</t>
        </is>
      </c>
      <c r="F26" s="144" t="n"/>
      <c r="G26" s="139" t="inlineStr">
        <is>
          <t>علامة واحدة أو أكثر</t>
        </is>
      </c>
    </row>
    <row r="27" ht="18.75" customHeight="1" s="122">
      <c r="A27" s="144" t="n">
        <v>3</v>
      </c>
      <c r="B27" s="147" t="inlineStr">
        <is>
          <t>تاريخ البداية</t>
        </is>
      </c>
      <c r="C27" s="227" t="n"/>
      <c r="D27" s="144" t="inlineStr">
        <is>
          <t>تاريخ</t>
        </is>
      </c>
      <c r="E27" s="144" t="inlineStr">
        <is>
          <t>يدوي</t>
        </is>
      </c>
      <c r="F27" s="144" t="n"/>
      <c r="G27" s="139" t="n"/>
    </row>
    <row r="28" ht="18.75" customHeight="1" s="122">
      <c r="A28" s="144" t="n">
        <v>4</v>
      </c>
      <c r="B28" s="147" t="inlineStr">
        <is>
          <t>تاريخ النهاية</t>
        </is>
      </c>
      <c r="C28" s="227" t="n"/>
      <c r="D28" s="144" t="inlineStr">
        <is>
          <t>تاريخ</t>
        </is>
      </c>
      <c r="E28" s="144" t="inlineStr">
        <is>
          <t>يدوي</t>
        </is>
      </c>
      <c r="F28" s="144" t="n"/>
      <c r="G28" s="139" t="n"/>
    </row>
    <row r="29" ht="18.75" customHeight="1" s="122">
      <c r="A29" s="144" t="n">
        <v>5</v>
      </c>
      <c r="B29" s="147" t="inlineStr">
        <is>
          <t>مدة الحملة</t>
        </is>
      </c>
      <c r="C29" s="144">
        <f>IF(OR(C27="",C28=""),"",C28-C27)</f>
        <v/>
      </c>
      <c r="D29" s="144" t="inlineStr">
        <is>
          <t>يوم</t>
        </is>
      </c>
      <c r="E29" s="144" t="inlineStr">
        <is>
          <t>صيغة</t>
        </is>
      </c>
      <c r="F29" s="144" t="n"/>
      <c r="G29" s="139" t="inlineStr">
        <is>
          <t>تُحسب تلقائياً</t>
        </is>
      </c>
    </row>
    <row r="30" ht="18.75" customHeight="1" s="122">
      <c r="A30" s="144" t="n">
        <v>6</v>
      </c>
      <c r="B30" s="147" t="inlineStr">
        <is>
          <t>آلية العرض</t>
        </is>
      </c>
      <c r="C30" s="227" t="n"/>
      <c r="D30" s="144" t="inlineStr">
        <is>
          <t>نص</t>
        </is>
      </c>
      <c r="E30" s="144" t="inlineStr">
        <is>
          <t>يدوي</t>
        </is>
      </c>
      <c r="F30" s="144" t="n"/>
      <c r="G30" s="139" t="inlineStr">
        <is>
          <t>خصم · هدية · نقاط · قسيمة مع التعبئة</t>
        </is>
      </c>
    </row>
    <row r="31" ht="18.75" customHeight="1" s="122">
      <c r="A31" s="144" t="n">
        <v>7</v>
      </c>
      <c r="B31" s="147" t="inlineStr">
        <is>
          <t>شرط الاستفادة</t>
        </is>
      </c>
      <c r="C31" s="227" t="n"/>
      <c r="D31" s="144" t="inlineStr">
        <is>
          <t>نص</t>
        </is>
      </c>
      <c r="E31" s="144" t="inlineStr">
        <is>
          <t>يدوي</t>
        </is>
      </c>
      <c r="F31" s="144" t="n"/>
      <c r="G31" s="139" t="inlineStr">
        <is>
          <t>حد أدنى للتعبئة أو للفاتورة</t>
        </is>
      </c>
    </row>
    <row r="32" ht="18.75" customHeight="1" s="122">
      <c r="A32" s="144" t="n">
        <v>8</v>
      </c>
      <c r="B32" s="147" t="inlineStr">
        <is>
          <t>التكلفة على درب</t>
        </is>
      </c>
      <c r="C32" s="227" t="n"/>
      <c r="D32" s="144" t="inlineStr">
        <is>
          <t>ريال</t>
        </is>
      </c>
      <c r="E32" s="144" t="inlineStr">
        <is>
          <t>يدوي</t>
        </is>
      </c>
      <c r="F32" s="144" t="n"/>
      <c r="G32" s="139" t="inlineStr">
        <is>
          <t>الحد الأقصى للإنفاق</t>
        </is>
      </c>
    </row>
    <row r="33" ht="18.75" customHeight="1" s="122">
      <c r="A33" s="144" t="n">
        <v>9</v>
      </c>
      <c r="B33" s="147" t="inlineStr">
        <is>
          <t>مساهمة المستأجر</t>
        </is>
      </c>
      <c r="C33" s="227" t="n"/>
      <c r="D33" s="144" t="inlineStr">
        <is>
          <t>ريال</t>
        </is>
      </c>
      <c r="E33" s="144" t="inlineStr">
        <is>
          <t>يدوي</t>
        </is>
      </c>
      <c r="F33" s="144" t="n"/>
      <c r="G33" s="139" t="inlineStr">
        <is>
          <t>حصته من التكلفة</t>
        </is>
      </c>
    </row>
    <row r="34" ht="18.75" customHeight="1" s="122">
      <c r="A34" s="144" t="n">
        <v>10</v>
      </c>
      <c r="B34" s="147" t="inlineStr">
        <is>
          <t>الزيارات قبل الحملة</t>
        </is>
      </c>
      <c r="C34" s="227" t="n"/>
      <c r="D34" s="144" t="inlineStr">
        <is>
          <t>زيارة/يوم</t>
        </is>
      </c>
      <c r="E34" s="144" t="inlineStr">
        <is>
          <t>بيانات</t>
        </is>
      </c>
      <c r="F34" s="144" t="n"/>
      <c r="G34" s="139" t="inlineStr">
        <is>
          <t>متوسط 30 يوماً قبل</t>
        </is>
      </c>
    </row>
    <row r="35" ht="18.75" customHeight="1" s="122">
      <c r="A35" s="144" t="n">
        <v>11</v>
      </c>
      <c r="B35" s="147" t="inlineStr">
        <is>
          <t>الزيارات أثناء الحملة</t>
        </is>
      </c>
      <c r="C35" s="227" t="n"/>
      <c r="D35" s="144" t="inlineStr">
        <is>
          <t>زيارة/يوم</t>
        </is>
      </c>
      <c r="E35" s="144" t="inlineStr">
        <is>
          <t>بيانات</t>
        </is>
      </c>
      <c r="F35" s="144" t="n"/>
      <c r="G35" s="139" t="inlineStr">
        <is>
          <t>يُقاس يومياً</t>
        </is>
      </c>
    </row>
    <row r="36" ht="18.75" customHeight="1" s="122">
      <c r="A36" s="144" t="n">
        <v>12</v>
      </c>
      <c r="B36" s="147" t="inlineStr">
        <is>
          <t>التغيّر في الزيارات</t>
        </is>
      </c>
      <c r="C36" s="208">
        <f>IFERROR(C35/C34-1,"")</f>
        <v/>
      </c>
      <c r="D36" s="144" t="inlineStr">
        <is>
          <t>%</t>
        </is>
      </c>
      <c r="E36" s="144" t="inlineStr">
        <is>
          <t>صيغة</t>
        </is>
      </c>
      <c r="F36" s="144" t="n"/>
      <c r="G36" s="139" t="inlineStr">
        <is>
          <t>تُحسب تلقائياً</t>
        </is>
      </c>
    </row>
    <row r="37" ht="18.75" customHeight="1" s="122">
      <c r="A37" s="144" t="n">
        <v>13</v>
      </c>
      <c r="B37" s="147" t="inlineStr">
        <is>
          <t>مبيعات المستأجر قبل</t>
        </is>
      </c>
      <c r="C37" s="227" t="n"/>
      <c r="D37" s="144" t="inlineStr">
        <is>
          <t>ريال/يوم</t>
        </is>
      </c>
      <c r="E37" s="144" t="inlineStr">
        <is>
          <t>المستأجر</t>
        </is>
      </c>
      <c r="F37" s="144" t="n"/>
      <c r="G37" s="139" t="inlineStr">
        <is>
          <t>يُلتزم به في العقد</t>
        </is>
      </c>
    </row>
    <row r="38" ht="18.75" customHeight="1" s="122">
      <c r="A38" s="144" t="n">
        <v>14</v>
      </c>
      <c r="B38" s="147" t="inlineStr">
        <is>
          <t>مبيعات المستأجر أثناء</t>
        </is>
      </c>
      <c r="C38" s="227" t="n"/>
      <c r="D38" s="144" t="inlineStr">
        <is>
          <t>ريال/يوم</t>
        </is>
      </c>
      <c r="E38" s="144" t="inlineStr">
        <is>
          <t>المستأجر</t>
        </is>
      </c>
      <c r="F38" s="144" t="n"/>
      <c r="G38" s="139" t="n"/>
    </row>
    <row r="39" ht="18.75" customHeight="1" s="122">
      <c r="A39" s="144" t="n">
        <v>15</v>
      </c>
      <c r="B39" s="147" t="inlineStr">
        <is>
          <t>التغيّر في مبيعات المستأجر</t>
        </is>
      </c>
      <c r="C39" s="208">
        <f>IFERROR(C38/C37-1,"")</f>
        <v/>
      </c>
      <c r="D39" s="144" t="inlineStr">
        <is>
          <t>%</t>
        </is>
      </c>
      <c r="E39" s="144" t="inlineStr">
        <is>
          <t>صيغة</t>
        </is>
      </c>
      <c r="F39" s="144" t="n"/>
      <c r="G39" s="139" t="inlineStr">
        <is>
          <t>تُحسب تلقائياً</t>
        </is>
      </c>
    </row>
    <row r="40" ht="18.75" customHeight="1" s="122">
      <c r="A40" s="144" t="n">
        <v>16</v>
      </c>
      <c r="B40" s="147" t="inlineStr">
        <is>
          <t>عدد القسائم المستخدمة</t>
        </is>
      </c>
      <c r="C40" s="227" t="n"/>
      <c r="D40" s="144" t="inlineStr">
        <is>
          <t>عدد</t>
        </is>
      </c>
      <c r="E40" s="144" t="inlineStr">
        <is>
          <t>بيانات</t>
        </is>
      </c>
      <c r="F40" s="144" t="n"/>
      <c r="G40" s="139" t="inlineStr">
        <is>
          <t>مؤشر التفاعل</t>
        </is>
      </c>
    </row>
    <row r="41" ht="18.75" customHeight="1" s="122">
      <c r="A41" s="144" t="n">
        <v>17</v>
      </c>
      <c r="B41" s="147" t="inlineStr">
        <is>
          <t>لترات إضافية مقدَّرة</t>
        </is>
      </c>
      <c r="C41" s="152">
        <f>IFERROR((C35-C34)*C29*30.64,"")</f>
        <v/>
      </c>
      <c r="D41" s="144" t="inlineStr">
        <is>
          <t>لتر</t>
        </is>
      </c>
      <c r="E41" s="144" t="inlineStr">
        <is>
          <t>صيغة</t>
        </is>
      </c>
      <c r="F41" s="144" t="n"/>
      <c r="G41" s="139" t="inlineStr">
        <is>
          <t>التغيّر × لتر/زيارة</t>
        </is>
      </c>
    </row>
    <row r="42" ht="18.75" customHeight="1" s="122">
      <c r="A42" s="144" t="n">
        <v>18</v>
      </c>
      <c r="B42" s="147" t="inlineStr">
        <is>
          <t>العائد على الحملة</t>
        </is>
      </c>
      <c r="C42" s="209">
        <f>IFERROR(C41*0.15-C32+C33,"")</f>
        <v/>
      </c>
      <c r="D42" s="144" t="inlineStr">
        <is>
          <t>ريال</t>
        </is>
      </c>
      <c r="E42" s="144" t="inlineStr">
        <is>
          <t>صيغة</t>
        </is>
      </c>
      <c r="F42" s="144" t="n"/>
      <c r="G42" s="139" t="inlineStr">
        <is>
          <t>الأثر ناقص التكلفة</t>
        </is>
      </c>
    </row>
    <row r="43">
      <c r="A43" s="124" t="n"/>
      <c r="B43" s="124" t="n"/>
      <c r="C43" s="124" t="n"/>
      <c r="D43" s="124" t="n"/>
      <c r="E43" s="124" t="n"/>
      <c r="F43" s="124" t="n"/>
      <c r="G43" s="124" t="n"/>
    </row>
    <row r="44">
      <c r="A44" s="124" t="n"/>
      <c r="B44" s="124" t="n"/>
      <c r="C44" s="124" t="n"/>
      <c r="D44" s="124" t="n"/>
      <c r="E44" s="124" t="n"/>
      <c r="F44" s="124" t="n"/>
      <c r="G44" s="124" t="n"/>
    </row>
    <row r="45" ht="15" customHeight="1" s="122">
      <c r="A45" s="124" t="n"/>
      <c r="B45" s="148" t="inlineStr">
        <is>
          <t>لماذا النورية</t>
        </is>
      </c>
      <c r="C45" s="124" t="n"/>
      <c r="D45" s="124" t="n"/>
      <c r="E45" s="124" t="n"/>
      <c r="F45" s="124" t="n"/>
      <c r="G45" s="124" t="n"/>
    </row>
    <row r="46" ht="15.75" customHeight="1" s="122">
      <c r="A46" s="124" t="n"/>
      <c r="B46" s="124" t="n"/>
      <c r="C46" s="149" t="inlineStr">
        <is>
          <t>•  أعلى حركة في الشبكة — 4,236 زيارة يومياً تعطي عيّنة قياس سريعة</t>
        </is>
      </c>
      <c r="D46" s="124" t="n"/>
      <c r="E46" s="124" t="n"/>
      <c r="F46" s="124" t="n"/>
      <c r="G46" s="124" t="n"/>
    </row>
    <row r="47" ht="15.75" customHeight="1" s="122">
      <c r="A47" s="124" t="n"/>
      <c r="B47" s="124" t="n"/>
      <c r="C47" s="149" t="inlineStr">
        <is>
          <t>•  دخل إيجار قائم 3,887 ألف ريال يتيح قياس الأثر النسبي</t>
        </is>
      </c>
      <c r="D47" s="124" t="n"/>
      <c r="E47" s="124" t="n"/>
      <c r="F47" s="124" t="n"/>
      <c r="G47" s="124" t="n"/>
    </row>
    <row r="48" ht="15.75" customHeight="1" s="122">
      <c r="A48" s="124" t="n"/>
      <c r="B48" s="124" t="n"/>
      <c r="C48" s="149" t="inlineStr">
        <is>
          <t>•  التمويل والإهلاك ثابتان — فأي إيجار إضافي ربح شبه صافٍ</t>
        </is>
      </c>
      <c r="D48" s="124" t="n"/>
      <c r="E48" s="124" t="n"/>
      <c r="F48" s="124" t="n"/>
      <c r="G48" s="124" t="n"/>
    </row>
    <row r="49">
      <c r="A49" s="124" t="n"/>
      <c r="B49" s="124" t="n"/>
      <c r="C49" s="124" t="n"/>
      <c r="D49" s="124" t="n"/>
      <c r="E49" s="124" t="n"/>
      <c r="F49" s="124" t="n"/>
      <c r="G49" s="124" t="n"/>
    </row>
    <row r="50" ht="15" customHeight="1" s="122">
      <c r="A50" s="124" t="n"/>
      <c r="B50" s="164" t="inlineStr">
        <is>
          <t>الفجوة الظاهرة</t>
        </is>
      </c>
      <c r="C50" s="124" t="n"/>
      <c r="D50" s="124" t="n"/>
      <c r="E50" s="124" t="n"/>
      <c r="F50" s="124" t="n"/>
      <c r="G50" s="124" t="n"/>
    </row>
    <row r="51" ht="15.75" customHeight="1" s="122">
      <c r="A51" s="124" t="n"/>
      <c r="B51" s="124" t="n"/>
      <c r="C51" s="149" t="inlineStr">
        <is>
          <t>•  لا خدمات سيارات إطلاقاً رغم أنها الأكبر مساحةً وحركةً</t>
        </is>
      </c>
      <c r="D51" s="124" t="n"/>
      <c r="E51" s="124" t="n"/>
      <c r="F51" s="124" t="n"/>
      <c r="G51" s="124" t="n"/>
    </row>
    <row r="52" ht="15.75" customHeight="1" s="122">
      <c r="A52" s="124" t="n"/>
      <c r="B52" s="124" t="n"/>
      <c r="C52" s="149" t="inlineStr">
        <is>
          <t>•  لا صراف ولا خزائن ذكية</t>
        </is>
      </c>
      <c r="D52" s="124" t="n"/>
      <c r="E52" s="124" t="n"/>
      <c r="F52" s="124" t="n"/>
      <c r="G52" s="124" t="n"/>
    </row>
    <row r="53" ht="15.75" customHeight="1" s="122">
      <c r="A53" s="124" t="n"/>
      <c r="B53" s="124" t="n"/>
      <c r="C53" s="149" t="inlineStr">
        <is>
          <t>•  58 شكوى عن الخدمة تؤثر على تجربة المستأجر أيضاً</t>
        </is>
      </c>
      <c r="D53" s="124" t="n"/>
      <c r="E53" s="124" t="n"/>
      <c r="F53" s="124" t="n"/>
      <c r="G53" s="124" t="n"/>
    </row>
    <row r="54">
      <c r="A54" s="124" t="n"/>
      <c r="B54" s="124" t="n"/>
      <c r="C54" s="124" t="n"/>
      <c r="D54" s="124" t="n"/>
      <c r="E54" s="124" t="n"/>
      <c r="F54" s="124" t="n"/>
      <c r="G54" s="124" t="n"/>
    </row>
    <row r="55" ht="15" customHeight="1" s="122">
      <c r="A55" s="124" t="n"/>
      <c r="B55" s="164" t="inlineStr">
        <is>
          <t>شرط نجاح القياس</t>
        </is>
      </c>
      <c r="C55" s="124" t="n"/>
      <c r="D55" s="124" t="n"/>
      <c r="E55" s="124" t="n"/>
      <c r="F55" s="124" t="n"/>
      <c r="G55" s="124" t="n"/>
    </row>
    <row r="56" ht="15.75" customHeight="1" s="122">
      <c r="A56" s="124" t="n"/>
      <c r="B56" s="124" t="n"/>
      <c r="C56" s="149" t="inlineStr">
        <is>
          <t>•  التزام المستأجر بمشاركة مبيعاته اليومية قبل الحملة وأثناءها</t>
        </is>
      </c>
      <c r="D56" s="124" t="n"/>
      <c r="E56" s="124" t="n"/>
      <c r="F56" s="124" t="n"/>
      <c r="G56" s="124" t="n"/>
    </row>
    <row r="57" ht="15.75" customHeight="1" s="122">
      <c r="A57" s="124" t="n"/>
      <c r="B57" s="124" t="n"/>
      <c r="C57" s="149" t="inlineStr">
        <is>
          <t>•  بلا هذا الرقم لا يمكن إثبات أثر أي حملة</t>
        </is>
      </c>
      <c r="D57" s="124" t="n"/>
      <c r="E57" s="124" t="n"/>
      <c r="F57" s="124" t="n"/>
      <c r="G57" s="124" t="n"/>
    </row>
    <row r="58" ht="15.75" customHeight="1" s="122">
      <c r="A58" s="124" t="n"/>
      <c r="B58" s="124" t="n"/>
      <c r="C58" s="149" t="inlineStr">
        <is>
          <t>•  يُدرَج شرطاً في ملحق العقد قبل الإطلاق</t>
        </is>
      </c>
      <c r="D58" s="124" t="n"/>
      <c r="E58" s="124" t="n"/>
      <c r="F58" s="124" t="n"/>
      <c r="G58" s="124" t="n"/>
    </row>
  </sheetData>
  <mergeCells count="11">
    <mergeCell ref="A1:G1"/>
    <mergeCell ref="C46:G46"/>
    <mergeCell ref="C47:G47"/>
    <mergeCell ref="C58:G58"/>
    <mergeCell ref="C51:G51"/>
    <mergeCell ref="C57:G57"/>
    <mergeCell ref="A2:G2"/>
    <mergeCell ref="C53:G53"/>
    <mergeCell ref="C52:G52"/>
    <mergeCell ref="C48:G48"/>
    <mergeCell ref="C56:G5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O18"/>
  <sheetViews>
    <sheetView showFormulas="0" showGridLines="0"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5" customWidth="1" style="121" min="1" max="1"/>
    <col width="26" customWidth="1" style="121" min="2" max="2"/>
    <col width="14" customWidth="1" style="121" min="3" max="3"/>
    <col width="20" customWidth="1" style="121" min="4" max="4"/>
    <col width="13" customWidth="1" style="121" min="5" max="5"/>
    <col width="11" customWidth="1" style="121" min="6" max="6"/>
    <col width="20" customWidth="1" style="121" min="7" max="7"/>
    <col width="13" customWidth="1" style="121" min="8" max="8"/>
    <col width="11" customWidth="1" style="121" min="9" max="10"/>
    <col width="34" customWidth="1" style="121" min="11" max="11"/>
    <col width="16" customWidth="1" style="121" min="12" max="12"/>
    <col width="14" customWidth="1" style="121" min="13" max="13"/>
    <col width="26" customWidth="1" style="121" min="14" max="14"/>
    <col width="13" customWidth="1" style="121" min="15" max="15"/>
  </cols>
  <sheetData>
    <row r="1" ht="25.5" customHeight="1" s="122">
      <c r="A1" s="123" t="inlineStr">
        <is>
          <t>الخطة التنفيذية لمنافذ البيع</t>
        </is>
      </c>
      <c r="B1" s="124" t="n"/>
      <c r="C1" s="124" t="n"/>
      <c r="D1" s="124" t="n"/>
      <c r="E1" s="124" t="n"/>
      <c r="F1" s="124" t="n"/>
      <c r="G1" s="124" t="n"/>
      <c r="H1" s="124" t="n"/>
      <c r="I1" s="124" t="n"/>
      <c r="J1" s="124" t="n"/>
      <c r="K1" s="124" t="n"/>
      <c r="L1" s="124" t="n"/>
      <c r="M1" s="124" t="n"/>
      <c r="N1" s="124" t="n"/>
      <c r="O1" s="124" t="n"/>
    </row>
    <row r="2" ht="18" customHeight="1" s="122">
      <c r="A2" s="125" t="inlineStr">
        <is>
          <t>الخانات الصفراء تُعبّأ · الفجوة ونسبة النمو تُحسب تلقائياً</t>
        </is>
      </c>
      <c r="B2" s="124" t="n"/>
      <c r="C2" s="124" t="n"/>
      <c r="D2" s="124" t="n"/>
      <c r="E2" s="124" t="n"/>
      <c r="F2" s="124" t="n"/>
      <c r="G2" s="124" t="n"/>
      <c r="H2" s="124" t="n"/>
      <c r="I2" s="124" t="n"/>
      <c r="J2" s="124" t="n"/>
      <c r="K2" s="124" t="n"/>
      <c r="L2" s="124" t="n"/>
      <c r="M2" s="124" t="n"/>
      <c r="N2" s="124" t="n"/>
      <c r="O2" s="124" t="n"/>
    </row>
    <row r="3" ht="31.5" customHeight="1" s="122">
      <c r="A3" s="138" t="inlineStr">
        <is>
          <t>#</t>
        </is>
      </c>
      <c r="B3" s="138" t="inlineStr">
        <is>
          <t>منفذ البيع</t>
        </is>
      </c>
      <c r="C3" s="138" t="inlineStr">
        <is>
          <t>القناة الحاسمة</t>
        </is>
      </c>
      <c r="D3" s="138" t="inlineStr">
        <is>
          <t>المنافس المسيطر</t>
        </is>
      </c>
      <c r="E3" s="138" t="inlineStr">
        <is>
          <t>خط الأساس</t>
        </is>
      </c>
      <c r="F3" s="138" t="inlineStr">
        <is>
          <t>الوحدة</t>
        </is>
      </c>
      <c r="G3" s="138" t="inlineStr">
        <is>
          <t>مصدر خط الأساس</t>
        </is>
      </c>
      <c r="H3" s="138" t="inlineStr">
        <is>
          <t>المستهدف السنوي</t>
        </is>
      </c>
      <c r="I3" s="138" t="inlineStr">
        <is>
          <t>الفجوة</t>
        </is>
      </c>
      <c r="J3" s="138" t="inlineStr">
        <is>
          <t>نمو مطلوب</t>
        </is>
      </c>
      <c r="K3" s="138" t="inlineStr">
        <is>
          <t>المبادرة الرئيسية</t>
        </is>
      </c>
      <c r="L3" s="138" t="inlineStr">
        <is>
          <t>الإدارة المالكة</t>
        </is>
      </c>
      <c r="M3" s="138" t="inlineStr">
        <is>
          <t>المسؤول</t>
        </is>
      </c>
      <c r="N3" s="138" t="inlineStr">
        <is>
          <t>المؤشر الحاسم</t>
        </is>
      </c>
      <c r="O3" s="138" t="inlineStr">
        <is>
          <t>الحالة</t>
        </is>
      </c>
    </row>
    <row r="4" ht="30" customHeight="1" s="122">
      <c r="A4" s="228" t="inlineStr">
        <is>
          <t>م</t>
        </is>
      </c>
      <c r="B4" s="229" t="inlineStr">
        <is>
          <t>‹مثال› الخدمات المالية</t>
        </is>
      </c>
      <c r="C4" s="228" t="inlineStr">
        <is>
          <t>شركات</t>
        </is>
      </c>
      <c r="D4" s="229" t="inlineStr">
        <is>
          <t>البنوك</t>
        </is>
      </c>
      <c r="E4" s="228" t="n">
        <v>6</v>
      </c>
      <c r="F4" s="228" t="inlineStr">
        <is>
          <t>موقع</t>
        </is>
      </c>
      <c r="G4" s="229" t="inlineStr">
        <is>
          <t>leasing-own.csv</t>
        </is>
      </c>
      <c r="H4" s="228" t="n">
        <v>20</v>
      </c>
      <c r="I4" s="228">
        <f>IF(H4="","",H4-E4)</f>
        <v/>
      </c>
      <c r="J4" s="230">
        <f>IFERROR(IF(H4="","",(H4-E4)/E4),"")</f>
        <v/>
      </c>
      <c r="K4" s="229" t="inlineStr">
        <is>
          <t>التعاقد مع بنكين على 14 موقعاً جديداً</t>
        </is>
      </c>
      <c r="L4" s="228" t="inlineStr">
        <is>
          <t>الشراكات</t>
        </is>
      </c>
      <c r="M4" s="229" t="inlineStr">
        <is>
          <t>‹اسم المسؤول›</t>
        </is>
      </c>
      <c r="N4" s="229" t="inlineStr">
        <is>
          <t>عدد المواقع المُدرّة</t>
        </is>
      </c>
      <c r="O4" s="228" t="inlineStr">
        <is>
          <t>لم تبدأ</t>
        </is>
      </c>
    </row>
    <row r="5" ht="30" customHeight="1" s="122">
      <c r="A5" s="144" t="n">
        <v>1</v>
      </c>
      <c r="B5" s="140" t="inlineStr">
        <is>
          <t>الوقود</t>
        </is>
      </c>
      <c r="C5" s="144" t="inlineStr">
        <is>
          <t>تجزئة</t>
        </is>
      </c>
      <c r="D5" s="139" t="inlineStr">
        <is>
          <t>الدريس</t>
        </is>
      </c>
      <c r="E5" s="231" t="n">
        <v>1271</v>
      </c>
      <c r="F5" s="144" t="inlineStr">
        <is>
          <t>مليون ريال/سنة</t>
        </is>
      </c>
      <c r="G5" s="139" t="inlineStr">
        <is>
          <t>analytics.csv — إسقاط مُطبَّع</t>
        </is>
      </c>
      <c r="H5" s="232" t="n"/>
      <c r="I5" s="231">
        <f>IF(H5="","",H5-E5)</f>
        <v/>
      </c>
      <c r="J5" s="166">
        <f>IFERROR(IF(H5="","",(H5-E5)/E5),"")</f>
        <v/>
      </c>
      <c r="K5" s="233" t="n"/>
      <c r="L5" s="144" t="inlineStr">
        <is>
          <t>مبيعات الوقود</t>
        </is>
      </c>
      <c r="M5" s="233" t="n"/>
      <c r="N5" s="139" t="inlineStr">
        <is>
          <t>الربح لكل زيارة</t>
        </is>
      </c>
      <c r="O5" s="227" t="n"/>
    </row>
    <row r="6" ht="30" customHeight="1" s="122">
      <c r="A6" s="144" t="n">
        <v>2</v>
      </c>
      <c r="B6" s="140" t="inlineStr">
        <is>
          <t>العقار والتأجير</t>
        </is>
      </c>
      <c r="C6" s="144" t="inlineStr">
        <is>
          <t>وسطاء</t>
        </is>
      </c>
      <c r="D6" s="139" t="inlineStr">
        <is>
          <t>لا مسيطر</t>
        </is>
      </c>
      <c r="E6" s="231" t="n">
        <v>25</v>
      </c>
      <c r="F6" s="144" t="inlineStr">
        <is>
          <t>% إشغال</t>
        </is>
      </c>
      <c r="G6" s="139" t="inlineStr">
        <is>
          <t>leasing-franchise.csv — 32 مؤجّرة من 128</t>
        </is>
      </c>
      <c r="H6" s="232" t="n"/>
      <c r="I6" s="231">
        <f>IF(H6="","",H6-E6)</f>
        <v/>
      </c>
      <c r="J6" s="166">
        <f>IFERROR(IF(H6="","",(H6-E6)/E6),"")</f>
        <v/>
      </c>
      <c r="K6" s="233" t="n"/>
      <c r="L6" s="144" t="inlineStr">
        <is>
          <t>التأجير</t>
        </is>
      </c>
      <c r="M6" s="233" t="n"/>
      <c r="N6" s="139" t="inlineStr">
        <is>
          <t>نسبة الإشغال</t>
        </is>
      </c>
      <c r="O6" s="227" t="n"/>
    </row>
    <row r="7" ht="30" customHeight="1" s="122">
      <c r="A7" s="144" t="n">
        <v>3</v>
      </c>
      <c r="B7" s="140" t="inlineStr">
        <is>
          <t>خدمات السيارات</t>
        </is>
      </c>
      <c r="C7" s="144" t="inlineStr">
        <is>
          <t>شركات</t>
        </is>
      </c>
      <c r="D7" s="139" t="inlineStr">
        <is>
          <t>بترومين إكسبرس</t>
        </is>
      </c>
      <c r="E7" s="231" t="n">
        <v>39</v>
      </c>
      <c r="F7" s="144" t="inlineStr">
        <is>
          <t>محطة بخدمة</t>
        </is>
      </c>
      <c r="G7" s="139" t="inlineStr">
        <is>
          <t>leasing-own.csv</t>
        </is>
      </c>
      <c r="H7" s="232" t="n"/>
      <c r="I7" s="231">
        <f>IF(H7="","",H7-E7)</f>
        <v/>
      </c>
      <c r="J7" s="166">
        <f>IFERROR(IF(H7="","",(H7-E7)/E7),"")</f>
        <v/>
      </c>
      <c r="K7" s="233" t="n"/>
      <c r="L7" s="144" t="inlineStr">
        <is>
          <t>الشراكات</t>
        </is>
      </c>
      <c r="M7" s="233" t="n"/>
      <c r="N7" s="139" t="inlineStr">
        <is>
          <t>الهامش لكل زيارة خدمة</t>
        </is>
      </c>
      <c r="O7" s="227" t="n"/>
    </row>
    <row r="8" ht="30" customHeight="1" s="122">
      <c r="A8" s="144" t="n">
        <v>4</v>
      </c>
      <c r="B8" s="140" t="inlineStr">
        <is>
          <t>الإكسسوارات والزينة</t>
        </is>
      </c>
      <c r="C8" s="144" t="inlineStr">
        <is>
          <t>تجزئة</t>
        </is>
      </c>
      <c r="D8" s="139" t="inlineStr">
        <is>
          <t>لا مسيطر</t>
        </is>
      </c>
      <c r="E8" s="231" t="n">
        <v>0</v>
      </c>
      <c r="F8" s="144" t="inlineStr">
        <is>
          <t>ريال/سنة</t>
        </is>
      </c>
      <c r="G8" s="139" t="inlineStr">
        <is>
          <t>لا إيراد موثّق</t>
        </is>
      </c>
      <c r="H8" s="232" t="n"/>
      <c r="I8" s="231">
        <f>IF(H8="","",H8-E8)</f>
        <v/>
      </c>
      <c r="J8" s="166">
        <f>IFERROR(IF(H8="","",(H8-E8)/E8),"")</f>
        <v/>
      </c>
      <c r="K8" s="233" t="n"/>
      <c r="L8" s="144" t="inlineStr">
        <is>
          <t>التأجير</t>
        </is>
      </c>
      <c r="M8" s="233" t="n"/>
      <c r="N8" s="139" t="inlineStr">
        <is>
          <t>إيراد غير وقودي لكل زيارة</t>
        </is>
      </c>
      <c r="O8" s="227" t="n"/>
    </row>
    <row r="9" ht="30" customHeight="1" s="122">
      <c r="A9" s="144" t="n">
        <v>5</v>
      </c>
      <c r="B9" s="140" t="inlineStr">
        <is>
          <t>التطبيق والولاء (تانكي)</t>
        </is>
      </c>
      <c r="C9" s="144" t="inlineStr">
        <is>
          <t>وسطاء</t>
        </is>
      </c>
      <c r="D9" s="139" t="inlineStr">
        <is>
          <t>النقد ومدى</t>
        </is>
      </c>
      <c r="E9" s="231" t="n">
        <v>0.28</v>
      </c>
      <c r="F9" s="144" t="inlineStr">
        <is>
          <t>% من الإيراد</t>
        </is>
      </c>
      <c r="G9" s="139" t="inlineStr">
        <is>
          <t>analytics.csv — مرجّح بالإيراد</t>
        </is>
      </c>
      <c r="H9" s="232" t="n"/>
      <c r="I9" s="231">
        <f>IF(H9="","",H9-E9)</f>
        <v/>
      </c>
      <c r="J9" s="166">
        <f>IFERROR(IF(H9="","",(H9-E9)/E9),"")</f>
        <v/>
      </c>
      <c r="K9" s="233" t="n"/>
      <c r="L9" s="144" t="inlineStr">
        <is>
          <t>التسويق</t>
        </is>
      </c>
      <c r="M9" s="233" t="n"/>
      <c r="N9" s="139" t="inlineStr">
        <is>
          <t>نسبة الزيارات المعرَّفة</t>
        </is>
      </c>
      <c r="O9" s="227" t="n"/>
    </row>
    <row r="10" ht="30" customHeight="1" s="122">
      <c r="A10" s="144" t="n">
        <v>6</v>
      </c>
      <c r="B10" s="140" t="inlineStr">
        <is>
          <t>البطاقات ومنصات الإنفاق</t>
        </is>
      </c>
      <c r="C10" s="144" t="inlineStr">
        <is>
          <t>وسطاء</t>
        </is>
      </c>
      <c r="D10" s="139" t="inlineStr">
        <is>
          <t>بترو آب</t>
        </is>
      </c>
      <c r="E10" s="231" t="n">
        <v>0</v>
      </c>
      <c r="F10" s="144" t="inlineStr">
        <is>
          <t>لتر متعاقَد</t>
        </is>
      </c>
      <c r="G10" s="139" t="inlineStr">
        <is>
          <t>لا عقود أساطيل موثّقة</t>
        </is>
      </c>
      <c r="H10" s="232" t="n"/>
      <c r="I10" s="231">
        <f>IF(H10="","",H10-E10)</f>
        <v/>
      </c>
      <c r="J10" s="166">
        <f>IFERROR(IF(H10="","",(H10-E10)/E10),"")</f>
        <v/>
      </c>
      <c r="K10" s="233" t="n"/>
      <c r="L10" s="144" t="inlineStr">
        <is>
          <t>الشراكات</t>
        </is>
      </c>
      <c r="M10" s="233" t="n"/>
      <c r="N10" s="139" t="inlineStr">
        <is>
          <t>لتر مباشر ÷ لتر عبر وسيط</t>
        </is>
      </c>
      <c r="O10" s="227" t="n"/>
    </row>
    <row r="11" ht="30" customHeight="1" s="122">
      <c r="A11" s="144" t="n">
        <v>7</v>
      </c>
      <c r="B11" s="140" t="inlineStr">
        <is>
          <t>المساحات الإعلانية</t>
        </is>
      </c>
      <c r="C11" s="144" t="inlineStr">
        <is>
          <t>شركات + وسطاء</t>
        </is>
      </c>
      <c r="D11" s="139" t="inlineStr">
        <is>
          <t>العربية للإعلان</t>
        </is>
      </c>
      <c r="E11" s="231" t="n">
        <v>0</v>
      </c>
      <c r="F11" s="144" t="inlineStr">
        <is>
          <t>موقع مُدرّ</t>
        </is>
      </c>
      <c r="G11" s="139" t="inlineStr">
        <is>
          <t>لا إيراد موثّق من 355 موقعاً</t>
        </is>
      </c>
      <c r="H11" s="232" t="n"/>
      <c r="I11" s="231">
        <f>IF(H11="","",H11-E11)</f>
        <v/>
      </c>
      <c r="J11" s="166">
        <f>IFERROR(IF(H11="","",(H11-E11)/E11),"")</f>
        <v/>
      </c>
      <c r="K11" s="233" t="n"/>
      <c r="L11" s="144" t="inlineStr">
        <is>
          <t>التسويق</t>
        </is>
      </c>
      <c r="M11" s="233" t="n"/>
      <c r="N11" s="139" t="inlineStr">
        <is>
          <t>إيراد إعلاني لكل موقع</t>
        </is>
      </c>
      <c r="O11" s="227" t="n"/>
    </row>
    <row r="12" ht="30" customHeight="1" s="122">
      <c r="A12" s="144" t="n">
        <v>8</v>
      </c>
      <c r="B12" s="140" t="inlineStr">
        <is>
          <t>الامتياز والتوريد</t>
        </is>
      </c>
      <c r="C12" s="144" t="inlineStr">
        <is>
          <t>شركات</t>
        </is>
      </c>
      <c r="D12" s="139" t="inlineStr">
        <is>
          <t>الدريس</t>
        </is>
      </c>
      <c r="E12" s="231" t="n">
        <v>31</v>
      </c>
      <c r="F12" s="144" t="inlineStr">
        <is>
          <t>محطة مكتملة الهوية</t>
        </is>
      </c>
      <c r="G12" s="139" t="inlineStr">
        <is>
          <t>stations.csv — من 231</t>
        </is>
      </c>
      <c r="H12" s="232" t="n"/>
      <c r="I12" s="231">
        <f>IF(H12="","",H12-E12)</f>
        <v/>
      </c>
      <c r="J12" s="166">
        <f>IFERROR(IF(H12="","",(H12-E12)/E12),"")</f>
        <v/>
      </c>
      <c r="K12" s="233" t="n"/>
      <c r="L12" s="144" t="inlineStr">
        <is>
          <t>الشراكات</t>
        </is>
      </c>
      <c r="M12" s="233" t="n"/>
      <c r="N12" s="139" t="inlineStr">
        <is>
          <t>نسبة اكتمال الهوية</t>
        </is>
      </c>
      <c r="O12" s="227" t="n"/>
    </row>
    <row r="13" ht="30" customHeight="1" s="122">
      <c r="A13" s="144" t="n">
        <v>9</v>
      </c>
      <c r="B13" s="140" t="inlineStr">
        <is>
          <t>الشحن الكهربائي</t>
        </is>
      </c>
      <c r="C13" s="144" t="inlineStr">
        <is>
          <t>وسطاء</t>
        </is>
      </c>
      <c r="D13" s="139" t="inlineStr">
        <is>
          <t>EVIQ</t>
        </is>
      </c>
      <c r="E13" s="231" t="n">
        <v>0</v>
      </c>
      <c r="F13" s="144" t="inlineStr">
        <is>
          <t>موقع بشواحن</t>
        </is>
      </c>
      <c r="G13" s="139" t="inlineStr">
        <is>
          <t>لم يبدأ</t>
        </is>
      </c>
      <c r="H13" s="232" t="n"/>
      <c r="I13" s="231">
        <f>IF(H13="","",H13-E13)</f>
        <v/>
      </c>
      <c r="J13" s="166">
        <f>IFERROR(IF(H13="","",(H13-E13)/E13),"")</f>
        <v/>
      </c>
      <c r="K13" s="233" t="n"/>
      <c r="L13" s="144" t="inlineStr">
        <is>
          <t>الشراكات</t>
        </is>
      </c>
      <c r="M13" s="233" t="n"/>
      <c r="N13" s="139" t="inlineStr">
        <is>
          <t>إنفاق غير وقودي لكل جلسة</t>
        </is>
      </c>
      <c r="O13" s="227" t="n"/>
    </row>
    <row r="14" ht="30" customHeight="1" s="122">
      <c r="A14" s="144" t="n">
        <v>10</v>
      </c>
      <c r="B14" s="140" t="inlineStr">
        <is>
          <t>الديزل بالجملة والتوصيل</t>
        </is>
      </c>
      <c r="C14" s="144" t="inlineStr">
        <is>
          <t>شركات</t>
        </is>
      </c>
      <c r="D14" s="139" t="inlineStr">
        <is>
          <t>الدريس · بترومين</t>
        </is>
      </c>
      <c r="E14" s="231" t="n">
        <v>0</v>
      </c>
      <c r="F14" s="144" t="inlineStr">
        <is>
          <t>لتر مُسلَّم خارج المحطة</t>
        </is>
      </c>
      <c r="G14" s="139" t="inlineStr">
        <is>
          <t>غير مفعّل</t>
        </is>
      </c>
      <c r="H14" s="232" t="n"/>
      <c r="I14" s="231">
        <f>IF(H14="","",H14-E14)</f>
        <v/>
      </c>
      <c r="J14" s="166">
        <f>IFERROR(IF(H14="","",(H14-E14)/E14),"")</f>
        <v/>
      </c>
      <c r="K14" s="233" t="n"/>
      <c r="L14" s="144" t="inlineStr">
        <is>
          <t>مبيعات الوقود</t>
        </is>
      </c>
      <c r="M14" s="233" t="n"/>
      <c r="N14" s="139" t="inlineStr">
        <is>
          <t>هامش التوصيل</t>
        </is>
      </c>
      <c r="O14" s="227" t="n"/>
    </row>
    <row r="15" ht="30" customHeight="1" s="122">
      <c r="A15" s="144" t="n">
        <v>11</v>
      </c>
      <c r="B15" s="140" t="inlineStr">
        <is>
          <t>الخدمات المالية والخزائن</t>
        </is>
      </c>
      <c r="C15" s="144" t="inlineStr">
        <is>
          <t>شركات</t>
        </is>
      </c>
      <c r="D15" s="139" t="inlineStr">
        <is>
          <t>البنوك</t>
        </is>
      </c>
      <c r="E15" s="231" t="n">
        <v>6</v>
      </c>
      <c r="F15" s="144" t="inlineStr">
        <is>
          <t>موقع مُدرّ</t>
        </is>
      </c>
      <c r="G15" s="139" t="inlineStr">
        <is>
          <t>leasing-own.csv — من 123</t>
        </is>
      </c>
      <c r="H15" s="232" t="n"/>
      <c r="I15" s="231">
        <f>IF(H15="","",H15-E15)</f>
        <v/>
      </c>
      <c r="J15" s="166">
        <f>IFERROR(IF(H15="","",(H15-E15)/E15),"")</f>
        <v/>
      </c>
      <c r="K15" s="233" t="n"/>
      <c r="L15" s="144" t="inlineStr">
        <is>
          <t>الشراكات</t>
        </is>
      </c>
      <c r="M15" s="233" t="n"/>
      <c r="N15" s="139" t="inlineStr">
        <is>
          <t>إيراد ثابت لكل موقع</t>
        </is>
      </c>
      <c r="O15" s="227" t="n"/>
    </row>
    <row r="16" ht="30" customHeight="1" s="122">
      <c r="A16" s="144" t="n">
        <v>12</v>
      </c>
      <c r="B16" s="140" t="inlineStr">
        <is>
          <t>المساحات اللوجستية والمواقف</t>
        </is>
      </c>
      <c r="C16" s="144" t="inlineStr">
        <is>
          <t>شركات</t>
        </is>
      </c>
      <c r="D16" s="139" t="inlineStr">
        <is>
          <t>مشغّلو المواقف</t>
        </is>
      </c>
      <c r="E16" s="231" t="n">
        <v>0</v>
      </c>
      <c r="F16" s="144" t="inlineStr">
        <is>
          <t>م² مُدرّ</t>
        </is>
      </c>
      <c r="G16" s="139" t="inlineStr">
        <is>
          <t>غير مُستثمر · 5,420 م² متاحة</t>
        </is>
      </c>
      <c r="H16" s="232" t="n"/>
      <c r="I16" s="231">
        <f>IF(H16="","",H16-E16)</f>
        <v/>
      </c>
      <c r="J16" s="166">
        <f>IFERROR(IF(H16="","",(H16-E16)/E16),"")</f>
        <v/>
      </c>
      <c r="K16" s="233" t="n"/>
      <c r="L16" s="144" t="inlineStr">
        <is>
          <t>التأجير</t>
        </is>
      </c>
      <c r="M16" s="233" t="n"/>
      <c r="N16" s="139" t="inlineStr">
        <is>
          <t>ريال لكل م² غير مبني</t>
        </is>
      </c>
      <c r="O16" s="227" t="n"/>
    </row>
    <row r="17">
      <c r="A17" s="124" t="n"/>
      <c r="B17" s="124" t="n"/>
      <c r="C17" s="124" t="n"/>
      <c r="D17" s="124" t="n"/>
      <c r="E17" s="124" t="n"/>
      <c r="F17" s="124" t="n"/>
      <c r="G17" s="124" t="n"/>
      <c r="H17" s="124" t="n"/>
      <c r="I17" s="124" t="n"/>
      <c r="J17" s="124" t="n"/>
      <c r="K17" s="124" t="n"/>
      <c r="L17" s="124" t="n"/>
      <c r="M17" s="124" t="n"/>
      <c r="N17" s="124" t="n"/>
      <c r="O17" s="124" t="n"/>
    </row>
    <row r="18" ht="33.75" customHeight="1" s="122">
      <c r="A18" s="124" t="n"/>
      <c r="B18" s="126" t="inlineStr">
        <is>
          <t>ملاحظة على خط الأساس</t>
        </is>
      </c>
      <c r="C18" s="234" t="inlineStr">
        <is>
          <t>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is>
      </c>
      <c r="D18" s="124" t="n"/>
      <c r="E18" s="124" t="n"/>
      <c r="F18" s="124" t="n"/>
      <c r="G18" s="124" t="n"/>
      <c r="H18" s="124" t="n"/>
      <c r="I18" s="124" t="n"/>
      <c r="J18" s="124" t="n"/>
      <c r="K18" s="124" t="n"/>
      <c r="L18" s="124" t="n"/>
      <c r="M18" s="124" t="n"/>
      <c r="N18" s="124" t="n"/>
      <c r="O18" s="124" t="n"/>
    </row>
  </sheetData>
  <mergeCells count="3">
    <mergeCell ref="A1:O1"/>
    <mergeCell ref="C18:K18"/>
    <mergeCell ref="A2:O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N30"/>
  <sheetViews>
    <sheetView showFormulas="0" showGridLines="0" showRowColHeaders="1" showZeros="1" rightToLeft="1"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5" customWidth="1" style="121" min="1" max="1"/>
    <col width="38" customWidth="1" style="121" min="2" max="2"/>
    <col width="24" customWidth="1" style="121" min="3" max="3"/>
    <col width="15" customWidth="1" style="121" min="4" max="4"/>
    <col width="16" customWidth="1" style="121" min="5" max="6"/>
    <col width="13" customWidth="1" style="121" min="7" max="8"/>
    <col width="10" customWidth="1" style="121" min="9" max="9"/>
    <col width="11" customWidth="1" style="121" min="10" max="10"/>
    <col width="15" customWidth="1" style="121" min="11" max="11"/>
    <col width="26" customWidth="1" style="121" min="12" max="12"/>
    <col width="13" customWidth="1" style="121" min="13" max="13"/>
    <col width="11" customWidth="1" style="121" min="14" max="14"/>
  </cols>
  <sheetData>
    <row r="1" ht="25.5" customHeight="1" s="122">
      <c r="A1" s="123" t="inlineStr">
        <is>
          <t>خارطة المبادرات</t>
        </is>
      </c>
      <c r="B1" s="124" t="n"/>
      <c r="C1" s="124" t="n"/>
      <c r="D1" s="124" t="n"/>
      <c r="E1" s="124" t="n"/>
      <c r="F1" s="124" t="n"/>
      <c r="G1" s="124" t="n"/>
      <c r="H1" s="124" t="n"/>
      <c r="I1" s="124" t="n"/>
      <c r="J1" s="124" t="n"/>
      <c r="K1" s="124" t="n"/>
      <c r="L1" s="124" t="n"/>
      <c r="M1" s="124" t="n"/>
      <c r="N1" s="124" t="n"/>
    </row>
    <row r="2" ht="18" customHeight="1" s="122">
      <c r="A2" s="125" t="inlineStr">
        <is>
          <t>كل مبادرة بمالك وتاريخ — المدة تُحسب تلقائياً</t>
        </is>
      </c>
      <c r="B2" s="124" t="n"/>
      <c r="C2" s="124" t="n"/>
      <c r="D2" s="124" t="n"/>
      <c r="E2" s="124" t="n"/>
      <c r="F2" s="124" t="n"/>
      <c r="G2" s="124" t="n"/>
      <c r="H2" s="124" t="n"/>
      <c r="I2" s="124" t="n"/>
      <c r="J2" s="124" t="n"/>
      <c r="K2" s="124" t="n"/>
      <c r="L2" s="124" t="n"/>
      <c r="M2" s="124" t="n"/>
      <c r="N2" s="124" t="n"/>
    </row>
    <row r="3" ht="31.5" customHeight="1" s="122">
      <c r="A3" s="138" t="inlineStr">
        <is>
          <t>#</t>
        </is>
      </c>
      <c r="B3" s="138" t="inlineStr">
        <is>
          <t>المبادرة</t>
        </is>
      </c>
      <c r="C3" s="138" t="inlineStr">
        <is>
          <t>منفذ البيع</t>
        </is>
      </c>
      <c r="D3" s="138" t="inlineStr">
        <is>
          <t>القناة</t>
        </is>
      </c>
      <c r="E3" s="138" t="inlineStr">
        <is>
          <t>الإدارة المالكة</t>
        </is>
      </c>
      <c r="F3" s="138" t="inlineStr">
        <is>
          <t>المسؤول</t>
        </is>
      </c>
      <c r="G3" s="138" t="inlineStr">
        <is>
          <t>البداية</t>
        </is>
      </c>
      <c r="H3" s="138" t="inlineStr">
        <is>
          <t>النهاية</t>
        </is>
      </c>
      <c r="I3" s="138" t="inlineStr">
        <is>
          <t>المدة</t>
        </is>
      </c>
      <c r="J3" s="138" t="inlineStr">
        <is>
          <t>الأولوية</t>
        </is>
      </c>
      <c r="K3" s="138" t="inlineStr">
        <is>
          <t>التكلفة التقديرية</t>
        </is>
      </c>
      <c r="L3" s="138" t="inlineStr">
        <is>
          <t>الأثر المتوقع</t>
        </is>
      </c>
      <c r="M3" s="138" t="inlineStr">
        <is>
          <t>الحالة</t>
        </is>
      </c>
      <c r="N3" s="138" t="inlineStr">
        <is>
          <t>الإنجاز</t>
        </is>
      </c>
    </row>
    <row r="4" ht="30" customHeight="1" s="122">
      <c r="A4" s="228" t="inlineStr">
        <is>
          <t>م</t>
        </is>
      </c>
      <c r="B4" s="229" t="inlineStr">
        <is>
          <t>‹مثال› حصر وتصنيف الـ60 وحدة الشاغرة غير المصنّفة وتسعيرها حسب الموقع</t>
        </is>
      </c>
      <c r="C4" s="228" t="inlineStr">
        <is>
          <t>العقار والتأجير</t>
        </is>
      </c>
      <c r="D4" s="228" t="inlineStr">
        <is>
          <t>وسطاء</t>
        </is>
      </c>
      <c r="E4" s="228" t="inlineStr">
        <is>
          <t>التأجير</t>
        </is>
      </c>
      <c r="F4" s="228" t="inlineStr">
        <is>
          <t>‹اسم المسؤول›</t>
        </is>
      </c>
      <c r="G4" s="235" t="n">
        <v>46235</v>
      </c>
      <c r="H4" s="235" t="n">
        <v>46326</v>
      </c>
      <c r="I4" s="228">
        <f>IF(OR(G4="",H4=""),"",H4-G4)</f>
        <v/>
      </c>
      <c r="J4" s="228" t="n">
        <v>1</v>
      </c>
      <c r="K4" s="228" t="inlineStr">
        <is>
          <t>‹ريال›</t>
        </is>
      </c>
      <c r="L4" s="229" t="inlineStr">
        <is>
          <t>رفع الإشغال من 25% إلى 40%</t>
        </is>
      </c>
      <c r="M4" s="228" t="inlineStr">
        <is>
          <t>لم تبدأ</t>
        </is>
      </c>
      <c r="N4" s="236" t="n">
        <v>0</v>
      </c>
    </row>
    <row r="5" ht="25.5" customHeight="1" s="122">
      <c r="A5" s="237" t="n">
        <v>1</v>
      </c>
      <c r="B5" s="233" t="n"/>
      <c r="C5" s="227" t="n"/>
      <c r="D5" s="227" t="n"/>
      <c r="E5" s="227" t="n"/>
      <c r="F5" s="227" t="n"/>
      <c r="G5" s="238" t="n"/>
      <c r="H5" s="238" t="n"/>
      <c r="I5" s="144">
        <f>IF(OR(G5="",H5=""),"",H5-G5)</f>
        <v/>
      </c>
      <c r="J5" s="227" t="n"/>
      <c r="K5" s="227" t="n"/>
      <c r="L5" s="233" t="n"/>
      <c r="M5" s="227" t="n"/>
      <c r="N5" s="239" t="n"/>
    </row>
    <row r="6" ht="25.5" customHeight="1" s="122">
      <c r="A6" s="237" t="n">
        <v>2</v>
      </c>
      <c r="B6" s="233" t="n"/>
      <c r="C6" s="227" t="n"/>
      <c r="D6" s="227" t="n"/>
      <c r="E6" s="227" t="n"/>
      <c r="F6" s="227" t="n"/>
      <c r="G6" s="238" t="n"/>
      <c r="H6" s="238" t="n"/>
      <c r="I6" s="144">
        <f>IF(OR(G6="",H6=""),"",H6-G6)</f>
        <v/>
      </c>
      <c r="J6" s="227" t="n"/>
      <c r="K6" s="227" t="n"/>
      <c r="L6" s="233" t="n"/>
      <c r="M6" s="227" t="n"/>
      <c r="N6" s="239" t="n"/>
    </row>
    <row r="7" ht="25.5" customHeight="1" s="122">
      <c r="A7" s="237" t="n">
        <v>3</v>
      </c>
      <c r="B7" s="233" t="n"/>
      <c r="C7" s="227" t="n"/>
      <c r="D7" s="227" t="n"/>
      <c r="E7" s="227" t="n"/>
      <c r="F7" s="227" t="n"/>
      <c r="G7" s="238" t="n"/>
      <c r="H7" s="238" t="n"/>
      <c r="I7" s="144">
        <f>IF(OR(G7="",H7=""),"",H7-G7)</f>
        <v/>
      </c>
      <c r="J7" s="227" t="n"/>
      <c r="K7" s="227" t="n"/>
      <c r="L7" s="233" t="n"/>
      <c r="M7" s="227" t="n"/>
      <c r="N7" s="239" t="n"/>
    </row>
    <row r="8" ht="25.5" customHeight="1" s="122">
      <c r="A8" s="237" t="n">
        <v>4</v>
      </c>
      <c r="B8" s="233" t="n"/>
      <c r="C8" s="227" t="n"/>
      <c r="D8" s="227" t="n"/>
      <c r="E8" s="227" t="n"/>
      <c r="F8" s="227" t="n"/>
      <c r="G8" s="238" t="n"/>
      <c r="H8" s="238" t="n"/>
      <c r="I8" s="144">
        <f>IF(OR(G8="",H8=""),"",H8-G8)</f>
        <v/>
      </c>
      <c r="J8" s="227" t="n"/>
      <c r="K8" s="227" t="n"/>
      <c r="L8" s="233" t="n"/>
      <c r="M8" s="227" t="n"/>
      <c r="N8" s="239" t="n"/>
    </row>
    <row r="9" ht="25.5" customHeight="1" s="122">
      <c r="A9" s="237" t="n">
        <v>5</v>
      </c>
      <c r="B9" s="233" t="n"/>
      <c r="C9" s="227" t="n"/>
      <c r="D9" s="227" t="n"/>
      <c r="E9" s="227" t="n"/>
      <c r="F9" s="227" t="n"/>
      <c r="G9" s="238" t="n"/>
      <c r="H9" s="238" t="n"/>
      <c r="I9" s="144">
        <f>IF(OR(G9="",H9=""),"",H9-G9)</f>
        <v/>
      </c>
      <c r="J9" s="227" t="n"/>
      <c r="K9" s="227" t="n"/>
      <c r="L9" s="233" t="n"/>
      <c r="M9" s="227" t="n"/>
      <c r="N9" s="239" t="n"/>
    </row>
    <row r="10" ht="25.5" customHeight="1" s="122">
      <c r="A10" s="237" t="n">
        <v>6</v>
      </c>
      <c r="B10" s="233" t="n"/>
      <c r="C10" s="227" t="n"/>
      <c r="D10" s="227" t="n"/>
      <c r="E10" s="227" t="n"/>
      <c r="F10" s="227" t="n"/>
      <c r="G10" s="238" t="n"/>
      <c r="H10" s="238" t="n"/>
      <c r="I10" s="144">
        <f>IF(OR(G10="",H10=""),"",H10-G10)</f>
        <v/>
      </c>
      <c r="J10" s="227" t="n"/>
      <c r="K10" s="227" t="n"/>
      <c r="L10" s="233" t="n"/>
      <c r="M10" s="227" t="n"/>
      <c r="N10" s="239" t="n"/>
    </row>
    <row r="11" ht="25.5" customHeight="1" s="122">
      <c r="A11" s="237" t="n">
        <v>7</v>
      </c>
      <c r="B11" s="233" t="n"/>
      <c r="C11" s="227" t="n"/>
      <c r="D11" s="227" t="n"/>
      <c r="E11" s="227" t="n"/>
      <c r="F11" s="227" t="n"/>
      <c r="G11" s="238" t="n"/>
      <c r="H11" s="238" t="n"/>
      <c r="I11" s="144">
        <f>IF(OR(G11="",H11=""),"",H11-G11)</f>
        <v/>
      </c>
      <c r="J11" s="227" t="n"/>
      <c r="K11" s="227" t="n"/>
      <c r="L11" s="233" t="n"/>
      <c r="M11" s="227" t="n"/>
      <c r="N11" s="239" t="n"/>
    </row>
    <row r="12" ht="25.5" customHeight="1" s="122">
      <c r="A12" s="237" t="n">
        <v>8</v>
      </c>
      <c r="B12" s="233" t="n"/>
      <c r="C12" s="227" t="n"/>
      <c r="D12" s="227" t="n"/>
      <c r="E12" s="227" t="n"/>
      <c r="F12" s="227" t="n"/>
      <c r="G12" s="238" t="n"/>
      <c r="H12" s="238" t="n"/>
      <c r="I12" s="144">
        <f>IF(OR(G12="",H12=""),"",H12-G12)</f>
        <v/>
      </c>
      <c r="J12" s="227" t="n"/>
      <c r="K12" s="227" t="n"/>
      <c r="L12" s="233" t="n"/>
      <c r="M12" s="227" t="n"/>
      <c r="N12" s="239" t="n"/>
    </row>
    <row r="13" ht="25.5" customHeight="1" s="122">
      <c r="A13" s="237" t="n">
        <v>9</v>
      </c>
      <c r="B13" s="233" t="n"/>
      <c r="C13" s="227" t="n"/>
      <c r="D13" s="227" t="n"/>
      <c r="E13" s="227" t="n"/>
      <c r="F13" s="227" t="n"/>
      <c r="G13" s="238" t="n"/>
      <c r="H13" s="238" t="n"/>
      <c r="I13" s="144">
        <f>IF(OR(G13="",H13=""),"",H13-G13)</f>
        <v/>
      </c>
      <c r="J13" s="227" t="n"/>
      <c r="K13" s="227" t="n"/>
      <c r="L13" s="233" t="n"/>
      <c r="M13" s="227" t="n"/>
      <c r="N13" s="239" t="n"/>
    </row>
    <row r="14" ht="25.5" customHeight="1" s="122">
      <c r="A14" s="237" t="n">
        <v>10</v>
      </c>
      <c r="B14" s="233" t="n"/>
      <c r="C14" s="227" t="n"/>
      <c r="D14" s="227" t="n"/>
      <c r="E14" s="227" t="n"/>
      <c r="F14" s="227" t="n"/>
      <c r="G14" s="238" t="n"/>
      <c r="H14" s="238" t="n"/>
      <c r="I14" s="144">
        <f>IF(OR(G14="",H14=""),"",H14-G14)</f>
        <v/>
      </c>
      <c r="J14" s="227" t="n"/>
      <c r="K14" s="227" t="n"/>
      <c r="L14" s="233" t="n"/>
      <c r="M14" s="227" t="n"/>
      <c r="N14" s="239" t="n"/>
    </row>
    <row r="15" ht="25.5" customHeight="1" s="122">
      <c r="A15" s="237" t="n">
        <v>11</v>
      </c>
      <c r="B15" s="233" t="n"/>
      <c r="C15" s="227" t="n"/>
      <c r="D15" s="227" t="n"/>
      <c r="E15" s="227" t="n"/>
      <c r="F15" s="227" t="n"/>
      <c r="G15" s="238" t="n"/>
      <c r="H15" s="238" t="n"/>
      <c r="I15" s="144">
        <f>IF(OR(G15="",H15=""),"",H15-G15)</f>
        <v/>
      </c>
      <c r="J15" s="227" t="n"/>
      <c r="K15" s="227" t="n"/>
      <c r="L15" s="233" t="n"/>
      <c r="M15" s="227" t="n"/>
      <c r="N15" s="239" t="n"/>
    </row>
    <row r="16" ht="25.5" customHeight="1" s="122">
      <c r="A16" s="237" t="n">
        <v>12</v>
      </c>
      <c r="B16" s="233" t="n"/>
      <c r="C16" s="227" t="n"/>
      <c r="D16" s="227" t="n"/>
      <c r="E16" s="227" t="n"/>
      <c r="F16" s="227" t="n"/>
      <c r="G16" s="238" t="n"/>
      <c r="H16" s="238" t="n"/>
      <c r="I16" s="144">
        <f>IF(OR(G16="",H16=""),"",H16-G16)</f>
        <v/>
      </c>
      <c r="J16" s="227" t="n"/>
      <c r="K16" s="227" t="n"/>
      <c r="L16" s="233" t="n"/>
      <c r="M16" s="227" t="n"/>
      <c r="N16" s="239" t="n"/>
    </row>
    <row r="17" ht="25.5" customHeight="1" s="122">
      <c r="A17" s="237" t="n">
        <v>13</v>
      </c>
      <c r="B17" s="233" t="n"/>
      <c r="C17" s="227" t="n"/>
      <c r="D17" s="227" t="n"/>
      <c r="E17" s="227" t="n"/>
      <c r="F17" s="227" t="n"/>
      <c r="G17" s="238" t="n"/>
      <c r="H17" s="238" t="n"/>
      <c r="I17" s="144">
        <f>IF(OR(G17="",H17=""),"",H17-G17)</f>
        <v/>
      </c>
      <c r="J17" s="227" t="n"/>
      <c r="K17" s="227" t="n"/>
      <c r="L17" s="233" t="n"/>
      <c r="M17" s="227" t="n"/>
      <c r="N17" s="239" t="n"/>
    </row>
    <row r="18" ht="25.5" customHeight="1" s="122">
      <c r="A18" s="237" t="n">
        <v>14</v>
      </c>
      <c r="B18" s="233" t="n"/>
      <c r="C18" s="227" t="n"/>
      <c r="D18" s="227" t="n"/>
      <c r="E18" s="227" t="n"/>
      <c r="F18" s="227" t="n"/>
      <c r="G18" s="238" t="n"/>
      <c r="H18" s="238" t="n"/>
      <c r="I18" s="144">
        <f>IF(OR(G18="",H18=""),"",H18-G18)</f>
        <v/>
      </c>
      <c r="J18" s="227" t="n"/>
      <c r="K18" s="227" t="n"/>
      <c r="L18" s="233" t="n"/>
      <c r="M18" s="227" t="n"/>
      <c r="N18" s="239" t="n"/>
    </row>
    <row r="19" ht="25.5" customHeight="1" s="122">
      <c r="A19" s="237" t="n">
        <v>15</v>
      </c>
      <c r="B19" s="233" t="n"/>
      <c r="C19" s="227" t="n"/>
      <c r="D19" s="227" t="n"/>
      <c r="E19" s="227" t="n"/>
      <c r="F19" s="227" t="n"/>
      <c r="G19" s="238" t="n"/>
      <c r="H19" s="238" t="n"/>
      <c r="I19" s="144">
        <f>IF(OR(G19="",H19=""),"",H19-G19)</f>
        <v/>
      </c>
      <c r="J19" s="227" t="n"/>
      <c r="K19" s="227" t="n"/>
      <c r="L19" s="233" t="n"/>
      <c r="M19" s="227" t="n"/>
      <c r="N19" s="239" t="n"/>
    </row>
    <row r="20" ht="25.5" customHeight="1" s="122">
      <c r="A20" s="237" t="n">
        <v>16</v>
      </c>
      <c r="B20" s="233" t="n"/>
      <c r="C20" s="227" t="n"/>
      <c r="D20" s="227" t="n"/>
      <c r="E20" s="227" t="n"/>
      <c r="F20" s="227" t="n"/>
      <c r="G20" s="238" t="n"/>
      <c r="H20" s="238" t="n"/>
      <c r="I20" s="144">
        <f>IF(OR(G20="",H20=""),"",H20-G20)</f>
        <v/>
      </c>
      <c r="J20" s="227" t="n"/>
      <c r="K20" s="227" t="n"/>
      <c r="L20" s="233" t="n"/>
      <c r="M20" s="227" t="n"/>
      <c r="N20" s="239" t="n"/>
    </row>
    <row r="21" ht="25.5" customHeight="1" s="122">
      <c r="A21" s="237" t="n">
        <v>17</v>
      </c>
      <c r="B21" s="233" t="n"/>
      <c r="C21" s="227" t="n"/>
      <c r="D21" s="227" t="n"/>
      <c r="E21" s="227" t="n"/>
      <c r="F21" s="227" t="n"/>
      <c r="G21" s="238" t="n"/>
      <c r="H21" s="238" t="n"/>
      <c r="I21" s="144">
        <f>IF(OR(G21="",H21=""),"",H21-G21)</f>
        <v/>
      </c>
      <c r="J21" s="227" t="n"/>
      <c r="K21" s="227" t="n"/>
      <c r="L21" s="233" t="n"/>
      <c r="M21" s="227" t="n"/>
      <c r="N21" s="239" t="n"/>
    </row>
    <row r="22" ht="25.5" customHeight="1" s="122">
      <c r="A22" s="237" t="n">
        <v>18</v>
      </c>
      <c r="B22" s="233" t="n"/>
      <c r="C22" s="227" t="n"/>
      <c r="D22" s="227" t="n"/>
      <c r="E22" s="227" t="n"/>
      <c r="F22" s="227" t="n"/>
      <c r="G22" s="238" t="n"/>
      <c r="H22" s="238" t="n"/>
      <c r="I22" s="144">
        <f>IF(OR(G22="",H22=""),"",H22-G22)</f>
        <v/>
      </c>
      <c r="J22" s="227" t="n"/>
      <c r="K22" s="227" t="n"/>
      <c r="L22" s="233" t="n"/>
      <c r="M22" s="227" t="n"/>
      <c r="N22" s="239" t="n"/>
    </row>
    <row r="23" ht="25.5" customHeight="1" s="122">
      <c r="A23" s="237" t="n">
        <v>19</v>
      </c>
      <c r="B23" s="233" t="n"/>
      <c r="C23" s="227" t="n"/>
      <c r="D23" s="227" t="n"/>
      <c r="E23" s="227" t="n"/>
      <c r="F23" s="227" t="n"/>
      <c r="G23" s="238" t="n"/>
      <c r="H23" s="238" t="n"/>
      <c r="I23" s="144">
        <f>IF(OR(G23="",H23=""),"",H23-G23)</f>
        <v/>
      </c>
      <c r="J23" s="227" t="n"/>
      <c r="K23" s="227" t="n"/>
      <c r="L23" s="233" t="n"/>
      <c r="M23" s="227" t="n"/>
      <c r="N23" s="239" t="n"/>
    </row>
    <row r="24" ht="25.5" customHeight="1" s="122">
      <c r="A24" s="237" t="n">
        <v>20</v>
      </c>
      <c r="B24" s="233" t="n"/>
      <c r="C24" s="227" t="n"/>
      <c r="D24" s="227" t="n"/>
      <c r="E24" s="227" t="n"/>
      <c r="F24" s="227" t="n"/>
      <c r="G24" s="238" t="n"/>
      <c r="H24" s="238" t="n"/>
      <c r="I24" s="144">
        <f>IF(OR(G24="",H24=""),"",H24-G24)</f>
        <v/>
      </c>
      <c r="J24" s="227" t="n"/>
      <c r="K24" s="227" t="n"/>
      <c r="L24" s="233" t="n"/>
      <c r="M24" s="227" t="n"/>
      <c r="N24" s="239" t="n"/>
    </row>
    <row r="25" ht="25.5" customHeight="1" s="122">
      <c r="A25" s="237" t="n">
        <v>21</v>
      </c>
      <c r="B25" s="233" t="n"/>
      <c r="C25" s="227" t="n"/>
      <c r="D25" s="227" t="n"/>
      <c r="E25" s="227" t="n"/>
      <c r="F25" s="227" t="n"/>
      <c r="G25" s="238" t="n"/>
      <c r="H25" s="238" t="n"/>
      <c r="I25" s="144">
        <f>IF(OR(G25="",H25=""),"",H25-G25)</f>
        <v/>
      </c>
      <c r="J25" s="227" t="n"/>
      <c r="K25" s="227" t="n"/>
      <c r="L25" s="233" t="n"/>
      <c r="M25" s="227" t="n"/>
      <c r="N25" s="239" t="n"/>
    </row>
    <row r="26" ht="25.5" customHeight="1" s="122">
      <c r="A26" s="237" t="n">
        <v>22</v>
      </c>
      <c r="B26" s="233" t="n"/>
      <c r="C26" s="227" t="n"/>
      <c r="D26" s="227" t="n"/>
      <c r="E26" s="227" t="n"/>
      <c r="F26" s="227" t="n"/>
      <c r="G26" s="238" t="n"/>
      <c r="H26" s="238" t="n"/>
      <c r="I26" s="144">
        <f>IF(OR(G26="",H26=""),"",H26-G26)</f>
        <v/>
      </c>
      <c r="J26" s="227" t="n"/>
      <c r="K26" s="227" t="n"/>
      <c r="L26" s="233" t="n"/>
      <c r="M26" s="227" t="n"/>
      <c r="N26" s="239" t="n"/>
    </row>
    <row r="27" ht="25.5" customHeight="1" s="122">
      <c r="A27" s="237" t="n">
        <v>23</v>
      </c>
      <c r="B27" s="233" t="n"/>
      <c r="C27" s="227" t="n"/>
      <c r="D27" s="227" t="n"/>
      <c r="E27" s="227" t="n"/>
      <c r="F27" s="227" t="n"/>
      <c r="G27" s="238" t="n"/>
      <c r="H27" s="238" t="n"/>
      <c r="I27" s="144">
        <f>IF(OR(G27="",H27=""),"",H27-G27)</f>
        <v/>
      </c>
      <c r="J27" s="227" t="n"/>
      <c r="K27" s="227" t="n"/>
      <c r="L27" s="233" t="n"/>
      <c r="M27" s="227" t="n"/>
      <c r="N27" s="239" t="n"/>
    </row>
    <row r="28" ht="25.5" customHeight="1" s="122">
      <c r="A28" s="237" t="n">
        <v>24</v>
      </c>
      <c r="B28" s="233" t="n"/>
      <c r="C28" s="227" t="n"/>
      <c r="D28" s="227" t="n"/>
      <c r="E28" s="227" t="n"/>
      <c r="F28" s="227" t="n"/>
      <c r="G28" s="238" t="n"/>
      <c r="H28" s="238" t="n"/>
      <c r="I28" s="144">
        <f>IF(OR(G28="",H28=""),"",H28-G28)</f>
        <v/>
      </c>
      <c r="J28" s="227" t="n"/>
      <c r="K28" s="227" t="n"/>
      <c r="L28" s="233" t="n"/>
      <c r="M28" s="227" t="n"/>
      <c r="N28" s="239" t="n"/>
    </row>
    <row r="29">
      <c r="A29" s="124" t="n"/>
      <c r="B29" s="124" t="n"/>
      <c r="C29" s="124" t="n"/>
      <c r="D29" s="124" t="n"/>
      <c r="E29" s="124" t="n"/>
      <c r="F29" s="124" t="n"/>
      <c r="G29" s="124" t="n"/>
      <c r="H29" s="124" t="n"/>
      <c r="I29" s="124" t="n"/>
      <c r="J29" s="124" t="n"/>
      <c r="K29" s="124" t="n"/>
      <c r="L29" s="124" t="n"/>
      <c r="M29" s="124" t="n"/>
      <c r="N29" s="124" t="n"/>
    </row>
    <row r="30" ht="15" customHeight="1" s="122">
      <c r="A30" s="124" t="n"/>
      <c r="B30" s="147" t="inlineStr">
        <is>
          <t>إجمالي المبادرات</t>
        </is>
      </c>
      <c r="C30" s="124" t="n"/>
      <c r="D30" s="124" t="n"/>
      <c r="E30" s="124" t="n"/>
      <c r="F30" s="124" t="n"/>
      <c r="G30" s="124" t="n"/>
      <c r="H30" s="124" t="n"/>
      <c r="I30" s="124" t="n"/>
      <c r="J30" s="124" t="n"/>
      <c r="K30" s="124" t="n"/>
      <c r="L30" s="124" t="n"/>
      <c r="M30" s="144">
        <f>COUNTA(B5:B28)&amp;" مبادرة"</f>
        <v/>
      </c>
      <c r="N30" s="179">
        <f>IFERROR(AVERAGE(N5:N28),"")</f>
        <v/>
      </c>
    </row>
  </sheetData>
  <mergeCells count="2">
    <mergeCell ref="A2:N2"/>
    <mergeCell ref="A1:N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O61"/>
  <sheetViews>
    <sheetView showFormulas="0" showGridLines="0" showRowColHeaders="1" showZeros="1" rightToLeft="1"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5" zeroHeight="0" outlineLevelRow="0"/>
  <cols>
    <col width="9" customWidth="1" style="121" min="1" max="1"/>
    <col width="28" customWidth="1" style="121" min="2" max="2"/>
    <col width="11" customWidth="1" style="121" min="3" max="3"/>
    <col width="13" customWidth="1" style="121" min="4" max="4"/>
    <col width="10" customWidth="1" style="121" min="5" max="5"/>
    <col width="14" customWidth="1" style="121" min="6" max="6"/>
    <col width="15" customWidth="1" style="121" min="7" max="7"/>
    <col width="12" customWidth="1" style="121" min="8" max="8"/>
    <col width="13" customWidth="1" style="121" min="9" max="9"/>
    <col width="12" customWidth="1" style="121" min="10" max="10"/>
    <col width="11" customWidth="1" style="121" min="11" max="11"/>
    <col width="10" customWidth="1" style="121" min="12" max="13"/>
    <col width="11" customWidth="1" style="121" min="14" max="14"/>
    <col width="14" customWidth="1" style="121" min="15" max="15"/>
  </cols>
  <sheetData>
    <row r="1" ht="25.5" customHeight="1" s="122">
      <c r="A1" s="123" t="inlineStr">
        <is>
          <t>المحطات — قاعدة الربط</t>
        </is>
      </c>
      <c r="B1" s="124" t="n"/>
      <c r="C1" s="124" t="n"/>
      <c r="D1" s="124" t="n"/>
      <c r="E1" s="124" t="n"/>
      <c r="F1" s="124" t="n"/>
      <c r="G1" s="124" t="n"/>
      <c r="H1" s="124" t="n"/>
      <c r="I1" s="124" t="n"/>
      <c r="J1" s="124" t="n"/>
      <c r="K1" s="124" t="n"/>
      <c r="L1" s="124" t="n"/>
      <c r="M1" s="124" t="n"/>
      <c r="N1" s="124" t="n"/>
      <c r="O1" s="124" t="n"/>
    </row>
    <row r="2" ht="18" customHeight="1" s="122">
      <c r="A2" s="125" t="inlineStr">
        <is>
          <t>55 محطة · 1 يناير – 30 يونيو 2026 (12 رجب 1447 – 15 محرّم 1448) · الإيراد السنوي محسوب بصيغة</t>
        </is>
      </c>
      <c r="B2" s="124" t="n"/>
      <c r="C2" s="124" t="n"/>
      <c r="D2" s="124" t="n"/>
      <c r="E2" s="124" t="n"/>
      <c r="F2" s="124" t="n"/>
      <c r="G2" s="124" t="n"/>
      <c r="H2" s="124" t="n"/>
      <c r="I2" s="124" t="n"/>
      <c r="J2" s="124" t="n"/>
      <c r="K2" s="124" t="n"/>
      <c r="L2" s="124" t="n"/>
      <c r="M2" s="124" t="n"/>
      <c r="N2" s="124" t="n"/>
      <c r="O2" s="124" t="n"/>
    </row>
    <row r="3" ht="31.5" customHeight="1" s="122">
      <c r="A3" s="138" t="inlineStr">
        <is>
          <t>الرمز</t>
        </is>
      </c>
      <c r="B3" s="138" t="inlineStr">
        <is>
          <t>المحطة</t>
        </is>
      </c>
      <c r="C3" s="138" t="inlineStr">
        <is>
          <t>المنطقة</t>
        </is>
      </c>
      <c r="D3" s="138" t="inlineStr">
        <is>
          <t>نمط الموقع</t>
        </is>
      </c>
      <c r="E3" s="138" t="inlineStr">
        <is>
          <t>أيام البيانات</t>
        </is>
      </c>
      <c r="F3" s="138" t="inlineStr">
        <is>
          <t>إيراد الفترة (ر)</t>
        </is>
      </c>
      <c r="G3" s="138" t="inlineStr">
        <is>
          <t>إيراد سنوي مُطبَّع (ر)</t>
        </is>
      </c>
      <c r="H3" s="138" t="inlineStr">
        <is>
          <t>الزيارات</t>
        </is>
      </c>
      <c r="I3" s="138" t="inlineStr">
        <is>
          <t>اللترات</t>
        </is>
      </c>
      <c r="J3" s="138" t="inlineStr">
        <is>
          <t>متوسط الفاتورة</t>
        </is>
      </c>
      <c r="K3" s="138" t="inlineStr">
        <is>
          <t>النمو</t>
        </is>
      </c>
      <c r="L3" s="138" t="inlineStr">
        <is>
          <t>التطبيق</t>
        </is>
      </c>
      <c r="M3" s="138" t="inlineStr">
        <is>
          <t>النقد</t>
        </is>
      </c>
      <c r="N3" s="138" t="inlineStr">
        <is>
          <t>الديزل</t>
        </is>
      </c>
      <c r="O3" s="138" t="inlineStr">
        <is>
          <t>نشاط تجاري</t>
        </is>
      </c>
    </row>
    <row r="4" ht="15" customHeight="1" s="122">
      <c r="A4" s="144" t="inlineStr">
        <is>
          <t>MK007</t>
        </is>
      </c>
      <c r="B4" s="139" t="inlineStr">
        <is>
          <t>العمرة الجديدة</t>
        </is>
      </c>
      <c r="C4" s="144" t="inlineStr">
        <is>
          <t>مكة</t>
        </is>
      </c>
      <c r="D4" s="144" t="inlineStr">
        <is>
          <t>حيوية</t>
        </is>
      </c>
      <c r="E4" s="144" t="n">
        <v>181</v>
      </c>
      <c r="F4" s="152" t="n">
        <v>49590690</v>
      </c>
      <c r="G4" s="152">
        <f>F4*365/E4</f>
        <v/>
      </c>
      <c r="H4" s="152" t="n">
        <v>766648</v>
      </c>
      <c r="I4" s="152" t="n">
        <v>23493282</v>
      </c>
      <c r="J4" s="231" t="n">
        <v>64.69</v>
      </c>
      <c r="K4" s="177" t="n">
        <v>-0.223</v>
      </c>
      <c r="L4" s="166" t="n">
        <v>0.006</v>
      </c>
      <c r="M4" s="166" t="n">
        <v>0.53</v>
      </c>
      <c r="N4" s="166" t="n">
        <v>0.281</v>
      </c>
      <c r="O4" s="144" t="inlineStr">
        <is>
          <t>3 نشاط</t>
        </is>
      </c>
    </row>
    <row r="5" ht="15" customHeight="1" s="122">
      <c r="A5" s="144" t="inlineStr">
        <is>
          <t>MK003</t>
        </is>
      </c>
      <c r="B5" s="139" t="inlineStr">
        <is>
          <t>العوالي</t>
        </is>
      </c>
      <c r="C5" s="144" t="inlineStr">
        <is>
          <t>مكة</t>
        </is>
      </c>
      <c r="D5" s="144" t="inlineStr">
        <is>
          <t>خط سفر</t>
        </is>
      </c>
      <c r="E5" s="144" t="n">
        <v>91</v>
      </c>
      <c r="F5" s="152" t="n">
        <v>20001382</v>
      </c>
      <c r="G5" s="152">
        <f>F5*365/E5</f>
        <v/>
      </c>
      <c r="H5" s="152" t="n">
        <v>324068</v>
      </c>
      <c r="I5" s="152" t="n">
        <v>8841940</v>
      </c>
      <c r="J5" s="231" t="n">
        <v>61.72</v>
      </c>
      <c r="K5" s="240" t="n">
        <v>0</v>
      </c>
      <c r="L5" s="166" t="n">
        <v>0</v>
      </c>
      <c r="M5" s="166" t="n">
        <v>0.364</v>
      </c>
      <c r="N5" s="166" t="n">
        <v>0</v>
      </c>
      <c r="O5" s="144" t="inlineStr">
        <is>
          <t>5 نشاط</t>
        </is>
      </c>
    </row>
    <row r="6" ht="15" customHeight="1" s="122">
      <c r="A6" s="144" t="inlineStr">
        <is>
          <t>MK004</t>
        </is>
      </c>
      <c r="B6" s="139" t="inlineStr">
        <is>
          <t>عاصفة الصحراء</t>
        </is>
      </c>
      <c r="C6" s="144" t="inlineStr">
        <is>
          <t>الطائف</t>
        </is>
      </c>
      <c r="D6" s="144" t="inlineStr">
        <is>
          <t>حيوية</t>
        </is>
      </c>
      <c r="E6" s="144" t="n">
        <v>91</v>
      </c>
      <c r="F6" s="152" t="n">
        <v>15598002</v>
      </c>
      <c r="G6" s="152">
        <f>F6*365/E6</f>
        <v/>
      </c>
      <c r="H6" s="152" t="n">
        <v>194466</v>
      </c>
      <c r="I6" s="152" t="n">
        <v>7467484</v>
      </c>
      <c r="J6" s="231" t="n">
        <v>80.20999999999999</v>
      </c>
      <c r="K6" s="240" t="n">
        <v>0</v>
      </c>
      <c r="L6" s="166" t="n">
        <v>0</v>
      </c>
      <c r="M6" s="166" t="n">
        <v>0.441</v>
      </c>
      <c r="N6" s="166" t="n">
        <v>0.344</v>
      </c>
      <c r="O6" s="144" t="inlineStr">
        <is>
          <t>4 نشاط</t>
        </is>
      </c>
    </row>
    <row r="7" ht="15" customHeight="1" s="122">
      <c r="A7" s="144" t="inlineStr">
        <is>
          <t>MK289</t>
        </is>
      </c>
      <c r="B7" s="139" t="inlineStr">
        <is>
          <t>طريق الليث - الفضيلة</t>
        </is>
      </c>
      <c r="C7" s="144" t="inlineStr">
        <is>
          <t>جدة</t>
        </is>
      </c>
      <c r="D7" s="144" t="inlineStr">
        <is>
          <t>خط سفر</t>
        </is>
      </c>
      <c r="E7" s="144" t="n">
        <v>176</v>
      </c>
      <c r="F7" s="152" t="n">
        <v>28047704</v>
      </c>
      <c r="G7" s="152">
        <f>F7*365/E7</f>
        <v/>
      </c>
      <c r="H7" s="152" t="n">
        <v>333050</v>
      </c>
      <c r="I7" s="152" t="n">
        <v>14552120</v>
      </c>
      <c r="J7" s="231" t="n">
        <v>84.20999999999999</v>
      </c>
      <c r="K7" s="241" t="n">
        <v>0.273</v>
      </c>
      <c r="L7" s="166" t="n">
        <v>0</v>
      </c>
      <c r="M7" s="166" t="n">
        <v>0.204</v>
      </c>
      <c r="N7" s="166" t="n">
        <v>0.641</v>
      </c>
      <c r="O7" s="143" t="inlineStr">
        <is>
          <t>لا يوجد</t>
        </is>
      </c>
    </row>
    <row r="8" ht="15" customHeight="1" s="122">
      <c r="A8" s="144" t="inlineStr">
        <is>
          <t>MK072</t>
        </is>
      </c>
      <c r="B8" s="139" t="inlineStr">
        <is>
          <t>العزيزية</t>
        </is>
      </c>
      <c r="C8" s="144" t="inlineStr">
        <is>
          <t>مكة</t>
        </is>
      </c>
      <c r="D8" s="144" t="inlineStr">
        <is>
          <t>حيوية</t>
        </is>
      </c>
      <c r="E8" s="144" t="n">
        <v>180</v>
      </c>
      <c r="F8" s="152" t="n">
        <v>20528975</v>
      </c>
      <c r="G8" s="152">
        <f>F8*365/E8</f>
        <v/>
      </c>
      <c r="H8" s="152" t="n">
        <v>424628</v>
      </c>
      <c r="I8" s="152" t="n">
        <v>2916708</v>
      </c>
      <c r="J8" s="231" t="n">
        <v>48.35</v>
      </c>
      <c r="K8" s="177" t="n">
        <v>-0.211</v>
      </c>
      <c r="L8" s="166" t="n">
        <v>0</v>
      </c>
      <c r="M8" s="166" t="n">
        <v>0.922</v>
      </c>
      <c r="N8" s="166" t="n">
        <v>0.134</v>
      </c>
      <c r="O8" s="144" t="inlineStr">
        <is>
          <t>2 نشاط</t>
        </is>
      </c>
    </row>
    <row r="9" ht="15" customHeight="1" s="122">
      <c r="A9" s="144" t="inlineStr">
        <is>
          <t>MK046</t>
        </is>
      </c>
      <c r="B9" s="139" t="inlineStr">
        <is>
          <t>الحليس - طريق الجنوب</t>
        </is>
      </c>
      <c r="C9" s="144" t="inlineStr">
        <is>
          <t>الطائف</t>
        </is>
      </c>
      <c r="D9" s="144" t="inlineStr">
        <is>
          <t>مختلط</t>
        </is>
      </c>
      <c r="E9" s="144" t="n">
        <v>55</v>
      </c>
      <c r="F9" s="152" t="n">
        <v>6133992</v>
      </c>
      <c r="G9" s="152">
        <f>F9*365/E9</f>
        <v/>
      </c>
      <c r="H9" s="152" t="n">
        <v>93189</v>
      </c>
      <c r="I9" s="152" t="n">
        <v>2916316</v>
      </c>
      <c r="J9" s="231" t="n">
        <v>65.81999999999999</v>
      </c>
      <c r="K9" s="240" t="n">
        <v>0</v>
      </c>
      <c r="L9" s="166" t="n">
        <v>0</v>
      </c>
      <c r="M9" s="166" t="n">
        <v>0.501</v>
      </c>
      <c r="N9" s="166" t="n">
        <v>0.309</v>
      </c>
      <c r="O9" s="144" t="inlineStr">
        <is>
          <t>3 نشاط</t>
        </is>
      </c>
    </row>
    <row r="10" ht="15" customHeight="1" s="122">
      <c r="A10" s="144" t="inlineStr">
        <is>
          <t>MK005</t>
        </is>
      </c>
      <c r="B10" s="139" t="inlineStr">
        <is>
          <t>الشيباني</t>
        </is>
      </c>
      <c r="C10" s="144" t="inlineStr">
        <is>
          <t>الطائف</t>
        </is>
      </c>
      <c r="D10" s="144" t="inlineStr">
        <is>
          <t>حيوية</t>
        </is>
      </c>
      <c r="E10" s="144" t="n">
        <v>63</v>
      </c>
      <c r="F10" s="152" t="n">
        <v>6430228</v>
      </c>
      <c r="G10" s="152">
        <f>F10*365/E10</f>
        <v/>
      </c>
      <c r="H10" s="152" t="n">
        <v>108731</v>
      </c>
      <c r="I10" s="152" t="n">
        <v>2831981</v>
      </c>
      <c r="J10" s="231" t="n">
        <v>59.14</v>
      </c>
      <c r="K10" s="240" t="n">
        <v>0</v>
      </c>
      <c r="L10" s="166" t="n">
        <v>0</v>
      </c>
      <c r="M10" s="166" t="n">
        <v>0.318</v>
      </c>
      <c r="N10" s="166" t="n">
        <v>0.006</v>
      </c>
      <c r="O10" s="144" t="inlineStr">
        <is>
          <t>4 نشاط</t>
        </is>
      </c>
    </row>
    <row r="11" ht="15" customHeight="1" s="122">
      <c r="A11" s="144" t="inlineStr">
        <is>
          <t>MK015</t>
        </is>
      </c>
      <c r="B11" s="139" t="inlineStr">
        <is>
          <t>النسيم</t>
        </is>
      </c>
      <c r="C11" s="144" t="inlineStr">
        <is>
          <t>جدة</t>
        </is>
      </c>
      <c r="D11" s="144" t="inlineStr">
        <is>
          <t>حيوية</t>
        </is>
      </c>
      <c r="E11" s="144" t="n">
        <v>65</v>
      </c>
      <c r="F11" s="152" t="n">
        <v>6610805</v>
      </c>
      <c r="G11" s="152">
        <f>F11*365/E11</f>
        <v/>
      </c>
      <c r="H11" s="152" t="n">
        <v>132653</v>
      </c>
      <c r="I11" s="152" t="n">
        <v>2931550</v>
      </c>
      <c r="J11" s="231" t="n">
        <v>49.84</v>
      </c>
      <c r="K11" s="240" t="n">
        <v>0</v>
      </c>
      <c r="L11" s="166" t="n">
        <v>0</v>
      </c>
      <c r="M11" s="166" t="n">
        <v>0.436</v>
      </c>
      <c r="N11" s="166" t="n">
        <v>0</v>
      </c>
      <c r="O11" s="144" t="inlineStr">
        <is>
          <t>4 نشاط</t>
        </is>
      </c>
    </row>
    <row r="12" ht="15" customHeight="1" s="122">
      <c r="A12" s="144" t="inlineStr">
        <is>
          <t>MK047</t>
        </is>
      </c>
      <c r="B12" s="139" t="inlineStr">
        <is>
          <t>القادسية</t>
        </is>
      </c>
      <c r="C12" s="144" t="inlineStr">
        <is>
          <t>مكة</t>
        </is>
      </c>
      <c r="D12" s="144" t="inlineStr">
        <is>
          <t>حيوية</t>
        </is>
      </c>
      <c r="E12" s="144" t="n">
        <v>181</v>
      </c>
      <c r="F12" s="152" t="n">
        <v>18281399</v>
      </c>
      <c r="G12" s="152">
        <f>F12*365/E12</f>
        <v/>
      </c>
      <c r="H12" s="152" t="n">
        <v>308074</v>
      </c>
      <c r="I12" s="152" t="n">
        <v>8679738</v>
      </c>
      <c r="J12" s="231" t="n">
        <v>59.34</v>
      </c>
      <c r="K12" s="177" t="n">
        <v>-0.09</v>
      </c>
      <c r="L12" s="166" t="n">
        <v>0</v>
      </c>
      <c r="M12" s="166" t="n">
        <v>1</v>
      </c>
      <c r="N12" s="166" t="n">
        <v>0.277</v>
      </c>
      <c r="O12" s="144" t="inlineStr">
        <is>
          <t>4 نشاط</t>
        </is>
      </c>
    </row>
    <row r="13" ht="15" customHeight="1" s="122">
      <c r="A13" s="144" t="inlineStr">
        <is>
          <t>MK028</t>
        </is>
      </c>
      <c r="B13" s="139" t="inlineStr">
        <is>
          <t>أحلى مساء</t>
        </is>
      </c>
      <c r="C13" s="144" t="inlineStr">
        <is>
          <t>الطائف</t>
        </is>
      </c>
      <c r="D13" s="144" t="inlineStr">
        <is>
          <t>مختلط</t>
        </is>
      </c>
      <c r="E13" s="144" t="n">
        <v>181</v>
      </c>
      <c r="F13" s="152" t="n">
        <v>17320811</v>
      </c>
      <c r="G13" s="152">
        <f>F13*365/E13</f>
        <v/>
      </c>
      <c r="H13" s="152" t="n">
        <v>256011</v>
      </c>
      <c r="I13" s="152" t="n">
        <v>7729931</v>
      </c>
      <c r="J13" s="231" t="n">
        <v>67.66</v>
      </c>
      <c r="K13" s="177" t="n">
        <v>-0.119</v>
      </c>
      <c r="L13" s="166" t="n">
        <v>0</v>
      </c>
      <c r="M13" s="166" t="n">
        <v>1</v>
      </c>
      <c r="N13" s="166" t="n">
        <v>0.082</v>
      </c>
      <c r="O13" s="144" t="inlineStr">
        <is>
          <t>4 نشاط</t>
        </is>
      </c>
    </row>
    <row r="14" ht="15" customHeight="1" s="122">
      <c r="A14" s="144" t="inlineStr">
        <is>
          <t>MK029</t>
        </is>
      </c>
      <c r="B14" s="139" t="inlineStr">
        <is>
          <t>الدائري الثالث - الذكرى</t>
        </is>
      </c>
      <c r="C14" s="144" t="inlineStr">
        <is>
          <t>مكة</t>
        </is>
      </c>
      <c r="D14" s="144" t="inlineStr">
        <is>
          <t>حيوية</t>
        </is>
      </c>
      <c r="E14" s="144" t="n">
        <v>181</v>
      </c>
      <c r="F14" s="152" t="n">
        <v>16855372</v>
      </c>
      <c r="G14" s="152">
        <f>F14*365/E14</f>
        <v/>
      </c>
      <c r="H14" s="152" t="n">
        <v>283446</v>
      </c>
      <c r="I14" s="152" t="n">
        <v>2676944</v>
      </c>
      <c r="J14" s="231" t="n">
        <v>59.47</v>
      </c>
      <c r="K14" s="166" t="n">
        <v>-0.034</v>
      </c>
      <c r="L14" s="166" t="n">
        <v>0.038</v>
      </c>
      <c r="M14" s="166" t="n">
        <v>0.488</v>
      </c>
      <c r="N14" s="166" t="n">
        <v>0.231</v>
      </c>
      <c r="O14" s="144" t="inlineStr">
        <is>
          <t>4 نشاط</t>
        </is>
      </c>
    </row>
    <row r="15" ht="15" customHeight="1" s="122">
      <c r="A15" s="144" t="inlineStr">
        <is>
          <t>MK033</t>
        </is>
      </c>
      <c r="B15" s="139" t="inlineStr">
        <is>
          <t>أبو وافي العمرة</t>
        </is>
      </c>
      <c r="C15" s="144" t="inlineStr">
        <is>
          <t>مكة</t>
        </is>
      </c>
      <c r="D15" s="144" t="inlineStr">
        <is>
          <t>خط سفر</t>
        </is>
      </c>
      <c r="E15" s="144" t="n">
        <v>181</v>
      </c>
      <c r="F15" s="152" t="n">
        <v>15775248</v>
      </c>
      <c r="G15" s="152">
        <f>F15*365/E15</f>
        <v/>
      </c>
      <c r="H15" s="152" t="n">
        <v>249705</v>
      </c>
      <c r="I15" s="152" t="n">
        <v>7806709</v>
      </c>
      <c r="J15" s="231" t="n">
        <v>63.18</v>
      </c>
      <c r="K15" s="177" t="n">
        <v>-0.217</v>
      </c>
      <c r="L15" s="166" t="n">
        <v>0</v>
      </c>
      <c r="M15" s="166" t="n">
        <v>0.894</v>
      </c>
      <c r="N15" s="166" t="n">
        <v>0.458</v>
      </c>
      <c r="O15" s="144" t="inlineStr">
        <is>
          <t>2 نشاط</t>
        </is>
      </c>
    </row>
    <row r="16" ht="15" customHeight="1" s="122">
      <c r="A16" s="144" t="inlineStr">
        <is>
          <t>RY075</t>
        </is>
      </c>
      <c r="B16" s="139" t="inlineStr">
        <is>
          <t>الدائري الشمالي</t>
        </is>
      </c>
      <c r="C16" s="144" t="inlineStr">
        <is>
          <t>الرياض</t>
        </is>
      </c>
      <c r="D16" s="144" t="inlineStr">
        <is>
          <t>حيوية</t>
        </is>
      </c>
      <c r="E16" s="144" t="n">
        <v>181</v>
      </c>
      <c r="F16" s="152" t="n">
        <v>15719285</v>
      </c>
      <c r="G16" s="152">
        <f>F16*365/E16</f>
        <v/>
      </c>
      <c r="H16" s="152" t="n">
        <v>211558</v>
      </c>
      <c r="I16" s="152" t="n">
        <v>4791911</v>
      </c>
      <c r="J16" s="231" t="n">
        <v>74.3</v>
      </c>
      <c r="K16" s="241" t="n">
        <v>0.151</v>
      </c>
      <c r="L16" s="166" t="n">
        <v>0</v>
      </c>
      <c r="M16" s="166" t="n">
        <v>0.247</v>
      </c>
      <c r="N16" s="166" t="n">
        <v>0.076</v>
      </c>
      <c r="O16" s="144" t="inlineStr">
        <is>
          <t>4 نشاط</t>
        </is>
      </c>
    </row>
    <row r="17" ht="15" customHeight="1" s="122">
      <c r="A17" s="144" t="inlineStr">
        <is>
          <t>MK006</t>
        </is>
      </c>
      <c r="B17" s="139" t="inlineStr">
        <is>
          <t>جنوب الطائف</t>
        </is>
      </c>
      <c r="C17" s="144" t="inlineStr">
        <is>
          <t>الطائف</t>
        </is>
      </c>
      <c r="D17" s="144" t="inlineStr">
        <is>
          <t>حيوية</t>
        </is>
      </c>
      <c r="E17" s="144" t="n">
        <v>57</v>
      </c>
      <c r="F17" s="152" t="n">
        <v>4714627</v>
      </c>
      <c r="G17" s="152">
        <f>F17*365/E17</f>
        <v/>
      </c>
      <c r="H17" s="152" t="n">
        <v>84547</v>
      </c>
      <c r="I17" s="152" t="n">
        <v>2078856</v>
      </c>
      <c r="J17" s="231" t="n">
        <v>55.76</v>
      </c>
      <c r="K17" s="240" t="n">
        <v>0</v>
      </c>
      <c r="L17" s="166" t="n">
        <v>0</v>
      </c>
      <c r="M17" s="166" t="n">
        <v>0.432</v>
      </c>
      <c r="N17" s="166" t="n">
        <v>0</v>
      </c>
      <c r="O17" s="144" t="inlineStr">
        <is>
          <t>3 نشاط</t>
        </is>
      </c>
    </row>
    <row r="18" ht="15" customHeight="1" s="122">
      <c r="A18" s="144" t="inlineStr">
        <is>
          <t>MK001</t>
        </is>
      </c>
      <c r="B18" s="139" t="inlineStr">
        <is>
          <t>جبل النور</t>
        </is>
      </c>
      <c r="C18" s="144" t="inlineStr">
        <is>
          <t>مكة</t>
        </is>
      </c>
      <c r="D18" s="144" t="inlineStr">
        <is>
          <t>حيوية</t>
        </is>
      </c>
      <c r="E18" s="144" t="n">
        <v>181</v>
      </c>
      <c r="F18" s="152" t="n">
        <v>14811456</v>
      </c>
      <c r="G18" s="152">
        <f>F18*365/E18</f>
        <v/>
      </c>
      <c r="H18" s="152" t="n">
        <v>338888</v>
      </c>
      <c r="I18" s="152" t="n">
        <v>6570004</v>
      </c>
      <c r="J18" s="231" t="n">
        <v>43.71</v>
      </c>
      <c r="K18" s="166" t="n">
        <v>-0.03</v>
      </c>
      <c r="L18" s="166" t="n">
        <v>0</v>
      </c>
      <c r="M18" s="166" t="n">
        <v>1</v>
      </c>
      <c r="N18" s="166" t="n">
        <v>0</v>
      </c>
      <c r="O18" s="144" t="inlineStr">
        <is>
          <t>3 نشاط</t>
        </is>
      </c>
    </row>
    <row r="19" ht="15" customHeight="1" s="122">
      <c r="A19" s="144" t="inlineStr">
        <is>
          <t>JA092</t>
        </is>
      </c>
      <c r="B19" s="139" t="inlineStr">
        <is>
          <t>الصفا - أحد المسارحة</t>
        </is>
      </c>
      <c r="C19" s="144" t="inlineStr">
        <is>
          <t>جازان</t>
        </is>
      </c>
      <c r="D19" s="144" t="inlineStr">
        <is>
          <t>غير مصنفة</t>
        </is>
      </c>
      <c r="E19" s="144" t="n">
        <v>130</v>
      </c>
      <c r="F19" s="152" t="n">
        <v>9901510</v>
      </c>
      <c r="G19" s="152">
        <f>F19*365/E19</f>
        <v/>
      </c>
      <c r="H19" s="152" t="n">
        <v>234974</v>
      </c>
      <c r="I19" s="152" t="n">
        <v>4445436</v>
      </c>
      <c r="J19" s="231" t="n">
        <v>42.14</v>
      </c>
      <c r="K19" s="241" t="n">
        <v>0.275</v>
      </c>
      <c r="L19" s="166" t="n">
        <v>0</v>
      </c>
      <c r="M19" s="166" t="n">
        <v>0.478</v>
      </c>
      <c r="N19" s="166" t="n">
        <v>0.048</v>
      </c>
      <c r="O19" s="143" t="inlineStr">
        <is>
          <t>لا يوجد</t>
        </is>
      </c>
    </row>
    <row r="20" ht="15" customHeight="1" s="122">
      <c r="A20" s="144" t="inlineStr">
        <is>
          <t>MK008</t>
        </is>
      </c>
      <c r="B20" s="139" t="inlineStr">
        <is>
          <t>الحسينية</t>
        </is>
      </c>
      <c r="C20" s="144" t="inlineStr">
        <is>
          <t>مكة</t>
        </is>
      </c>
      <c r="D20" s="144" t="inlineStr">
        <is>
          <t>حي</t>
        </is>
      </c>
      <c r="E20" s="144" t="n">
        <v>70</v>
      </c>
      <c r="F20" s="152" t="n">
        <v>5015246</v>
      </c>
      <c r="G20" s="152">
        <f>F20*365/E20</f>
        <v/>
      </c>
      <c r="H20" s="152" t="n">
        <v>115020</v>
      </c>
      <c r="I20" s="152" t="n">
        <v>2229579</v>
      </c>
      <c r="J20" s="231" t="n">
        <v>43.6</v>
      </c>
      <c r="K20" s="240" t="n">
        <v>0</v>
      </c>
      <c r="L20" s="166" t="n">
        <v>0</v>
      </c>
      <c r="M20" s="166" t="n">
        <v>0.678</v>
      </c>
      <c r="N20" s="166" t="n">
        <v>0</v>
      </c>
      <c r="O20" s="144" t="inlineStr">
        <is>
          <t>5 نشاط</t>
        </is>
      </c>
    </row>
    <row r="21" ht="15" customHeight="1" s="122">
      <c r="A21" s="144" t="inlineStr">
        <is>
          <t>MK016</t>
        </is>
      </c>
      <c r="B21" s="139" t="inlineStr">
        <is>
          <t>الرصيفة</t>
        </is>
      </c>
      <c r="C21" s="144" t="inlineStr">
        <is>
          <t>مكة</t>
        </is>
      </c>
      <c r="D21" s="144" t="inlineStr">
        <is>
          <t>حيوية</t>
        </is>
      </c>
      <c r="E21" s="144" t="n">
        <v>181</v>
      </c>
      <c r="F21" s="152" t="n">
        <v>12392502</v>
      </c>
      <c r="G21" s="152">
        <f>F21*365/E21</f>
        <v/>
      </c>
      <c r="H21" s="152" t="n">
        <v>284756</v>
      </c>
      <c r="I21" s="152" t="n">
        <v>5504980</v>
      </c>
      <c r="J21" s="231" t="n">
        <v>43.52</v>
      </c>
      <c r="K21" s="177" t="n">
        <v>-0.112</v>
      </c>
      <c r="L21" s="166" t="n">
        <v>0</v>
      </c>
      <c r="M21" s="166" t="n">
        <v>1</v>
      </c>
      <c r="N21" s="166" t="n">
        <v>0</v>
      </c>
      <c r="O21" s="144" t="inlineStr">
        <is>
          <t>4 نشاط</t>
        </is>
      </c>
    </row>
    <row r="22" ht="15" customHeight="1" s="122">
      <c r="A22" s="144" t="inlineStr">
        <is>
          <t>MK210</t>
        </is>
      </c>
      <c r="B22" s="139" t="inlineStr">
        <is>
          <t>الفلاح - فلسطين</t>
        </is>
      </c>
      <c r="C22" s="144" t="inlineStr">
        <is>
          <t>جدة</t>
        </is>
      </c>
      <c r="D22" s="144" t="inlineStr">
        <is>
          <t>حيوية</t>
        </is>
      </c>
      <c r="E22" s="144" t="n">
        <v>147</v>
      </c>
      <c r="F22" s="152" t="n">
        <v>9737128</v>
      </c>
      <c r="G22" s="152">
        <f>F22*365/E22</f>
        <v/>
      </c>
      <c r="H22" s="152" t="n">
        <v>195205</v>
      </c>
      <c r="I22" s="152" t="n">
        <v>4722403</v>
      </c>
      <c r="J22" s="231" t="n">
        <v>49.88</v>
      </c>
      <c r="K22" s="241" t="n">
        <v>0.068</v>
      </c>
      <c r="L22" s="166" t="n">
        <v>0</v>
      </c>
      <c r="M22" s="166" t="n">
        <v>0.673</v>
      </c>
      <c r="N22" s="166" t="n">
        <v>0.329</v>
      </c>
      <c r="O22" s="144" t="inlineStr">
        <is>
          <t>2 نشاط</t>
        </is>
      </c>
    </row>
    <row r="23" ht="15" customHeight="1" s="122">
      <c r="A23" s="144" t="inlineStr">
        <is>
          <t>MK017</t>
        </is>
      </c>
      <c r="B23" s="139" t="inlineStr">
        <is>
          <t>عرفات الشوقية</t>
        </is>
      </c>
      <c r="C23" s="144" t="inlineStr">
        <is>
          <t>مكة</t>
        </is>
      </c>
      <c r="D23" s="144" t="inlineStr">
        <is>
          <t>حيوية</t>
        </is>
      </c>
      <c r="E23" s="144" t="n">
        <v>181</v>
      </c>
      <c r="F23" s="152" t="n">
        <v>11129389</v>
      </c>
      <c r="G23" s="152">
        <f>F23*365/E23</f>
        <v/>
      </c>
      <c r="H23" s="152" t="n">
        <v>233425</v>
      </c>
      <c r="I23" s="152" t="n">
        <v>4924931</v>
      </c>
      <c r="J23" s="231" t="n">
        <v>47.68</v>
      </c>
      <c r="K23" s="241" t="n">
        <v>0.06900000000000001</v>
      </c>
      <c r="L23" s="166" t="n">
        <v>0</v>
      </c>
      <c r="M23" s="166" t="n">
        <v>1</v>
      </c>
      <c r="N23" s="166" t="n">
        <v>0</v>
      </c>
      <c r="O23" s="144" t="inlineStr">
        <is>
          <t>4 نشاط</t>
        </is>
      </c>
    </row>
    <row r="24" ht="15" customHeight="1" s="122">
      <c r="A24" s="144" t="inlineStr">
        <is>
          <t>MK020</t>
        </is>
      </c>
      <c r="B24" s="139" t="inlineStr">
        <is>
          <t>ممشى الشوقية</t>
        </is>
      </c>
      <c r="C24" s="144" t="inlineStr">
        <is>
          <t>مكة</t>
        </is>
      </c>
      <c r="D24" s="144" t="inlineStr">
        <is>
          <t>حيوية</t>
        </is>
      </c>
      <c r="E24" s="144" t="n">
        <v>181</v>
      </c>
      <c r="F24" s="152" t="n">
        <v>10708429</v>
      </c>
      <c r="G24" s="152">
        <f>F24*365/E24</f>
        <v/>
      </c>
      <c r="H24" s="152" t="n">
        <v>246641</v>
      </c>
      <c r="I24" s="152" t="n">
        <v>4740020</v>
      </c>
      <c r="J24" s="231" t="n">
        <v>43.42</v>
      </c>
      <c r="K24" s="166" t="n">
        <v>0.042</v>
      </c>
      <c r="L24" s="166" t="n">
        <v>0</v>
      </c>
      <c r="M24" s="166" t="n">
        <v>1</v>
      </c>
      <c r="N24" s="166" t="n">
        <v>0</v>
      </c>
      <c r="O24" s="144" t="inlineStr">
        <is>
          <t>4 نشاط</t>
        </is>
      </c>
    </row>
    <row r="25" ht="15" customHeight="1" s="122">
      <c r="A25" s="144" t="inlineStr">
        <is>
          <t>MK063</t>
        </is>
      </c>
      <c r="B25" s="139" t="inlineStr">
        <is>
          <t>السواط - شهار</t>
        </is>
      </c>
      <c r="C25" s="144" t="inlineStr">
        <is>
          <t>الطائف</t>
        </is>
      </c>
      <c r="D25" s="144" t="inlineStr">
        <is>
          <t>مختلط</t>
        </is>
      </c>
      <c r="E25" s="144" t="n">
        <v>181</v>
      </c>
      <c r="F25" s="152" t="n">
        <v>10700092</v>
      </c>
      <c r="G25" s="152">
        <f>F25*365/E25</f>
        <v/>
      </c>
      <c r="H25" s="152" t="n">
        <v>207031</v>
      </c>
      <c r="I25" s="152" t="n">
        <v>4771577</v>
      </c>
      <c r="J25" s="231" t="n">
        <v>51.68</v>
      </c>
      <c r="K25" s="241" t="n">
        <v>0.177</v>
      </c>
      <c r="L25" s="166" t="n">
        <v>0</v>
      </c>
      <c r="M25" s="166" t="n">
        <v>1</v>
      </c>
      <c r="N25" s="166" t="n">
        <v>0.058</v>
      </c>
      <c r="O25" s="144" t="inlineStr">
        <is>
          <t>3 نشاط</t>
        </is>
      </c>
    </row>
    <row r="26" ht="15" customHeight="1" s="122">
      <c r="A26" s="144" t="inlineStr">
        <is>
          <t>MK064</t>
        </is>
      </c>
      <c r="B26" s="139" t="inlineStr">
        <is>
          <t>الجعرانة</t>
        </is>
      </c>
      <c r="C26" s="144" t="inlineStr">
        <is>
          <t>مكة</t>
        </is>
      </c>
      <c r="D26" s="144" t="inlineStr">
        <is>
          <t>حي</t>
        </is>
      </c>
      <c r="E26" s="144" t="n">
        <v>181</v>
      </c>
      <c r="F26" s="152" t="n">
        <v>10414834</v>
      </c>
      <c r="G26" s="152">
        <f>F26*365/E26</f>
        <v/>
      </c>
      <c r="H26" s="152" t="n">
        <v>201217</v>
      </c>
      <c r="I26" s="152" t="n">
        <v>4933540</v>
      </c>
      <c r="J26" s="231" t="n">
        <v>51.76</v>
      </c>
      <c r="K26" s="166" t="n">
        <v>-0.033</v>
      </c>
      <c r="L26" s="166" t="n">
        <v>0</v>
      </c>
      <c r="M26" s="166" t="n">
        <v>0.634</v>
      </c>
      <c r="N26" s="166" t="n">
        <v>0.276</v>
      </c>
      <c r="O26" s="144" t="inlineStr">
        <is>
          <t>3 نشاط</t>
        </is>
      </c>
    </row>
    <row r="27" ht="15" customHeight="1" s="122">
      <c r="A27" s="144" t="inlineStr">
        <is>
          <t>MK035</t>
        </is>
      </c>
      <c r="B27" s="139" t="inlineStr">
        <is>
          <t>الجمعية الوسام</t>
        </is>
      </c>
      <c r="C27" s="144" t="inlineStr">
        <is>
          <t>الطائف</t>
        </is>
      </c>
      <c r="D27" s="144" t="inlineStr">
        <is>
          <t>مختلط</t>
        </is>
      </c>
      <c r="E27" s="144" t="n">
        <v>181</v>
      </c>
      <c r="F27" s="152" t="n">
        <v>9869940</v>
      </c>
      <c r="G27" s="152">
        <f>F27*365/E27</f>
        <v/>
      </c>
      <c r="H27" s="152" t="n">
        <v>148911</v>
      </c>
      <c r="I27" s="152" t="n">
        <v>4643058</v>
      </c>
      <c r="J27" s="231" t="n">
        <v>66.28</v>
      </c>
      <c r="K27" s="241" t="n">
        <v>0.083</v>
      </c>
      <c r="L27" s="166" t="n">
        <v>0</v>
      </c>
      <c r="M27" s="166" t="n">
        <v>1</v>
      </c>
      <c r="N27" s="166" t="n">
        <v>0.27</v>
      </c>
      <c r="O27" s="144" t="inlineStr">
        <is>
          <t>1 نشاط</t>
        </is>
      </c>
    </row>
    <row r="28" ht="15" customHeight="1" s="122">
      <c r="A28" s="144" t="inlineStr">
        <is>
          <t>MK054</t>
        </is>
      </c>
      <c r="B28" s="139" t="inlineStr">
        <is>
          <t>طريق السيل</t>
        </is>
      </c>
      <c r="C28" s="144" t="inlineStr">
        <is>
          <t>مكة</t>
        </is>
      </c>
      <c r="D28" s="144" t="inlineStr">
        <is>
          <t>خط سفر</t>
        </is>
      </c>
      <c r="E28" s="144" t="n">
        <v>111</v>
      </c>
      <c r="F28" s="152" t="n">
        <v>5875411</v>
      </c>
      <c r="G28" s="152">
        <f>F28*365/E28</f>
        <v/>
      </c>
      <c r="H28" s="152" t="n">
        <v>75507</v>
      </c>
      <c r="I28" s="152" t="n">
        <v>2834084</v>
      </c>
      <c r="J28" s="231" t="n">
        <v>77.81</v>
      </c>
      <c r="K28" s="240" t="n">
        <v>-0.033</v>
      </c>
      <c r="L28" s="166" t="n">
        <v>0</v>
      </c>
      <c r="M28" s="166" t="n">
        <v>0.493</v>
      </c>
      <c r="N28" s="166" t="n">
        <v>0.349</v>
      </c>
      <c r="O28" s="143" t="inlineStr">
        <is>
          <t>لا يوجد</t>
        </is>
      </c>
    </row>
    <row r="29" ht="15" customHeight="1" s="122">
      <c r="A29" s="144" t="inlineStr">
        <is>
          <t>MK022</t>
        </is>
      </c>
      <c r="B29" s="139" t="inlineStr">
        <is>
          <t>بطحاء قريش 1</t>
        </is>
      </c>
      <c r="C29" s="144" t="inlineStr">
        <is>
          <t>مكة</t>
        </is>
      </c>
      <c r="D29" s="144" t="inlineStr">
        <is>
          <t>حي</t>
        </is>
      </c>
      <c r="E29" s="144" t="n">
        <v>181</v>
      </c>
      <c r="F29" s="152" t="n">
        <v>9512678</v>
      </c>
      <c r="G29" s="152">
        <f>F29*365/E29</f>
        <v/>
      </c>
      <c r="H29" s="152" t="n">
        <v>147623</v>
      </c>
      <c r="I29" s="152" t="n">
        <v>4558563</v>
      </c>
      <c r="J29" s="231" t="n">
        <v>64.44</v>
      </c>
      <c r="K29" s="166" t="n">
        <v>-0.045</v>
      </c>
      <c r="L29" s="166" t="n">
        <v>0</v>
      </c>
      <c r="M29" s="166" t="n">
        <v>1</v>
      </c>
      <c r="N29" s="166" t="n">
        <v>0.321</v>
      </c>
      <c r="O29" s="144" t="inlineStr">
        <is>
          <t>3 نشاط</t>
        </is>
      </c>
    </row>
    <row r="30" ht="15" customHeight="1" s="122">
      <c r="A30" s="144" t="inlineStr">
        <is>
          <t>MK018</t>
        </is>
      </c>
      <c r="B30" s="139" t="inlineStr">
        <is>
          <t>الرصيفة المسار</t>
        </is>
      </c>
      <c r="C30" s="144" t="inlineStr">
        <is>
          <t>مكة</t>
        </is>
      </c>
      <c r="D30" s="144" t="inlineStr">
        <is>
          <t>حيوية</t>
        </is>
      </c>
      <c r="E30" s="144" t="n">
        <v>92</v>
      </c>
      <c r="F30" s="152" t="n">
        <v>4575739</v>
      </c>
      <c r="G30" s="152">
        <f>F30*365/E30</f>
        <v/>
      </c>
      <c r="H30" s="152" t="n">
        <v>94310</v>
      </c>
      <c r="I30" s="152" t="n">
        <v>2127665</v>
      </c>
      <c r="J30" s="231" t="n">
        <v>48.52</v>
      </c>
      <c r="K30" s="240" t="n">
        <v>0</v>
      </c>
      <c r="L30" s="166" t="n">
        <v>0</v>
      </c>
      <c r="M30" s="166" t="n">
        <v>0.6850000000000001</v>
      </c>
      <c r="N30" s="166" t="n">
        <v>0.176</v>
      </c>
      <c r="O30" s="144" t="inlineStr">
        <is>
          <t>3 نشاط</t>
        </is>
      </c>
    </row>
    <row r="31" ht="15" customHeight="1" s="122">
      <c r="A31" s="144" t="inlineStr">
        <is>
          <t>RY025</t>
        </is>
      </c>
      <c r="B31" s="139" t="inlineStr">
        <is>
          <t>الحمرا - طريق الملك عبدالله</t>
        </is>
      </c>
      <c r="C31" s="144" t="inlineStr">
        <is>
          <t>الخرج</t>
        </is>
      </c>
      <c r="D31" s="144" t="inlineStr">
        <is>
          <t>غير مصنفة</t>
        </is>
      </c>
      <c r="E31" s="144" t="n">
        <v>181</v>
      </c>
      <c r="F31" s="152" t="n">
        <v>8563678</v>
      </c>
      <c r="G31" s="152">
        <f>F31*365/E31</f>
        <v/>
      </c>
      <c r="H31" s="152" t="n">
        <v>156380</v>
      </c>
      <c r="I31" s="152" t="n">
        <v>3884721</v>
      </c>
      <c r="J31" s="231" t="n">
        <v>54.76</v>
      </c>
      <c r="K31" s="241" t="n">
        <v>0.186</v>
      </c>
      <c r="L31" s="166" t="n">
        <v>0</v>
      </c>
      <c r="M31" s="166" t="n">
        <v>0</v>
      </c>
      <c r="N31" s="166" t="n">
        <v>0.082</v>
      </c>
      <c r="O31" s="144" t="inlineStr">
        <is>
          <t>4 نشاط</t>
        </is>
      </c>
    </row>
    <row r="32" ht="15" customHeight="1" s="122">
      <c r="A32" s="144" t="inlineStr">
        <is>
          <t>AS153</t>
        </is>
      </c>
      <c r="B32" s="139" t="inlineStr">
        <is>
          <t>مدخل محايل</t>
        </is>
      </c>
      <c r="C32" s="144" t="inlineStr">
        <is>
          <t>عسير</t>
        </is>
      </c>
      <c r="D32" s="144" t="inlineStr">
        <is>
          <t>غير مصنفة</t>
        </is>
      </c>
      <c r="E32" s="144" t="n">
        <v>69</v>
      </c>
      <c r="F32" s="152" t="n">
        <v>3263896</v>
      </c>
      <c r="G32" s="152">
        <f>F32*365/E32</f>
        <v/>
      </c>
      <c r="H32" s="152" t="n">
        <v>65707</v>
      </c>
      <c r="I32" s="152" t="n">
        <v>1471112</v>
      </c>
      <c r="J32" s="231" t="n">
        <v>49.67</v>
      </c>
      <c r="K32" s="240" t="n">
        <v>0</v>
      </c>
      <c r="L32" s="166" t="n">
        <v>0</v>
      </c>
      <c r="M32" s="166" t="n">
        <v>0.597</v>
      </c>
      <c r="N32" s="166" t="n">
        <v>0.103</v>
      </c>
      <c r="O32" s="143" t="inlineStr">
        <is>
          <t>لا يوجد</t>
        </is>
      </c>
    </row>
    <row r="33" ht="15" customHeight="1" s="122">
      <c r="A33" s="144" t="inlineStr">
        <is>
          <t>JA069</t>
        </is>
      </c>
      <c r="B33" s="139" t="inlineStr">
        <is>
          <t>كورنيش جيزان</t>
        </is>
      </c>
      <c r="C33" s="144" t="inlineStr">
        <is>
          <t>جازان</t>
        </is>
      </c>
      <c r="D33" s="144" t="inlineStr">
        <is>
          <t>حيوية</t>
        </is>
      </c>
      <c r="E33" s="144" t="n">
        <v>181</v>
      </c>
      <c r="F33" s="152" t="n">
        <v>8483209</v>
      </c>
      <c r="G33" s="152">
        <f>F33*365/E33</f>
        <v/>
      </c>
      <c r="H33" s="152" t="n">
        <v>166967</v>
      </c>
      <c r="I33" s="152" t="n">
        <v>3774634</v>
      </c>
      <c r="J33" s="231" t="n">
        <v>50.81</v>
      </c>
      <c r="K33" s="241" t="n">
        <v>0.18</v>
      </c>
      <c r="L33" s="166" t="n">
        <v>0</v>
      </c>
      <c r="M33" s="166" t="n">
        <v>0.253</v>
      </c>
      <c r="N33" s="166" t="n">
        <v>0.023</v>
      </c>
      <c r="O33" s="144" t="inlineStr">
        <is>
          <t>3 نشاط</t>
        </is>
      </c>
    </row>
    <row r="34" ht="15" customHeight="1" s="122">
      <c r="A34" s="144" t="inlineStr">
        <is>
          <t>MK014</t>
        </is>
      </c>
      <c r="B34" s="139" t="inlineStr">
        <is>
          <t>خليص</t>
        </is>
      </c>
      <c r="C34" s="144" t="inlineStr">
        <is>
          <t>مكة</t>
        </is>
      </c>
      <c r="D34" s="144" t="inlineStr">
        <is>
          <t>خط سفر</t>
        </is>
      </c>
      <c r="E34" s="144" t="n">
        <v>181</v>
      </c>
      <c r="F34" s="152" t="n">
        <v>8421901</v>
      </c>
      <c r="G34" s="152">
        <f>F34*365/E34</f>
        <v/>
      </c>
      <c r="H34" s="152" t="n">
        <v>76519</v>
      </c>
      <c r="I34" s="152" t="n">
        <v>4263083</v>
      </c>
      <c r="J34" s="231" t="n">
        <v>110.06</v>
      </c>
      <c r="K34" s="177" t="n">
        <v>-0.08400000000000001</v>
      </c>
      <c r="L34" s="166" t="n">
        <v>0.015</v>
      </c>
      <c r="M34" s="166" t="n">
        <v>0.357</v>
      </c>
      <c r="N34" s="166" t="n">
        <v>0.5590000000000001</v>
      </c>
      <c r="O34" s="144" t="inlineStr">
        <is>
          <t>1 نشاط</t>
        </is>
      </c>
    </row>
    <row r="35" ht="15" customHeight="1" s="122">
      <c r="A35" s="144" t="inlineStr">
        <is>
          <t>MK002</t>
        </is>
      </c>
      <c r="B35" s="139" t="inlineStr">
        <is>
          <t>المعيصم</t>
        </is>
      </c>
      <c r="C35" s="144" t="inlineStr">
        <is>
          <t>مكة</t>
        </is>
      </c>
      <c r="D35" s="144" t="inlineStr">
        <is>
          <t>حيوية</t>
        </is>
      </c>
      <c r="E35" s="144" t="n">
        <v>181</v>
      </c>
      <c r="F35" s="152" t="n">
        <v>7821875</v>
      </c>
      <c r="G35" s="152">
        <f>F35*365/E35</f>
        <v/>
      </c>
      <c r="H35" s="152" t="n">
        <v>165177</v>
      </c>
      <c r="I35" s="152" t="n">
        <v>3471225</v>
      </c>
      <c r="J35" s="231" t="n">
        <v>47.35</v>
      </c>
      <c r="K35" s="177" t="n">
        <v>-0.533</v>
      </c>
      <c r="L35" s="166" t="n">
        <v>0</v>
      </c>
      <c r="M35" s="166" t="n">
        <v>1</v>
      </c>
      <c r="N35" s="166" t="n">
        <v>0</v>
      </c>
      <c r="O35" s="144" t="inlineStr">
        <is>
          <t>4 نشاط</t>
        </is>
      </c>
    </row>
    <row r="36" ht="15" customHeight="1" s="122">
      <c r="A36" s="144" t="inlineStr">
        <is>
          <t>MK068</t>
        </is>
      </c>
      <c r="B36" s="139" t="inlineStr">
        <is>
          <t>الجموم - الكنيدري</t>
        </is>
      </c>
      <c r="C36" s="144" t="inlineStr">
        <is>
          <t>مكة</t>
        </is>
      </c>
      <c r="D36" s="144" t="inlineStr">
        <is>
          <t>مختلط</t>
        </is>
      </c>
      <c r="E36" s="144" t="n">
        <v>181</v>
      </c>
      <c r="F36" s="152" t="n">
        <v>7731204</v>
      </c>
      <c r="G36" s="152">
        <f>F36*365/E36</f>
        <v/>
      </c>
      <c r="H36" s="152" t="n">
        <v>168510</v>
      </c>
      <c r="I36" s="152" t="n">
        <v>3512113</v>
      </c>
      <c r="J36" s="231" t="n">
        <v>45.88</v>
      </c>
      <c r="K36" s="177" t="n">
        <v>-0.068</v>
      </c>
      <c r="L36" s="166" t="n">
        <v>0</v>
      </c>
      <c r="M36" s="166" t="n">
        <v>0.509</v>
      </c>
      <c r="N36" s="166" t="n">
        <v>0.115</v>
      </c>
      <c r="O36" s="144" t="inlineStr">
        <is>
          <t>2 نشاط</t>
        </is>
      </c>
    </row>
    <row r="37" ht="15" customHeight="1" s="122">
      <c r="A37" s="144" t="inlineStr">
        <is>
          <t>JA348</t>
        </is>
      </c>
      <c r="B37" s="139" t="inlineStr">
        <is>
          <t>جنوب صبيا</t>
        </is>
      </c>
      <c r="C37" s="144" t="inlineStr">
        <is>
          <t>جازان</t>
        </is>
      </c>
      <c r="D37" s="144" t="inlineStr">
        <is>
          <t>غير مصنفة</t>
        </is>
      </c>
      <c r="E37" s="144" t="n">
        <v>26</v>
      </c>
      <c r="F37" s="152" t="n">
        <v>1063910</v>
      </c>
      <c r="G37" s="152">
        <f>F37*365/E37</f>
        <v/>
      </c>
      <c r="H37" s="152" t="n">
        <v>31905</v>
      </c>
      <c r="I37" s="152" t="n">
        <v>486162</v>
      </c>
      <c r="J37" s="231" t="n">
        <v>33.35</v>
      </c>
      <c r="K37" s="240" t="n">
        <v>0</v>
      </c>
      <c r="L37" s="166" t="n">
        <v>0</v>
      </c>
      <c r="M37" s="166" t="n">
        <v>0.601</v>
      </c>
      <c r="N37" s="166" t="n">
        <v>0.114</v>
      </c>
      <c r="O37" s="144" t="inlineStr">
        <is>
          <t>—</t>
        </is>
      </c>
    </row>
    <row r="38" ht="15" customHeight="1" s="122">
      <c r="A38" s="144" t="inlineStr">
        <is>
          <t>MK071</t>
        </is>
      </c>
      <c r="B38" s="139" t="inlineStr">
        <is>
          <t>الأجاويد</t>
        </is>
      </c>
      <c r="C38" s="144" t="inlineStr">
        <is>
          <t>جدة</t>
        </is>
      </c>
      <c r="D38" s="144" t="inlineStr">
        <is>
          <t>حيوية</t>
        </is>
      </c>
      <c r="E38" s="144" t="n">
        <v>181</v>
      </c>
      <c r="F38" s="152" t="n">
        <v>7305589</v>
      </c>
      <c r="G38" s="152">
        <f>F38*365/E38</f>
        <v/>
      </c>
      <c r="H38" s="152" t="n">
        <v>169734</v>
      </c>
      <c r="I38" s="152" t="n">
        <v>3406904</v>
      </c>
      <c r="J38" s="231" t="n">
        <v>43.04</v>
      </c>
      <c r="K38" s="241" t="n">
        <v>0.083</v>
      </c>
      <c r="L38" s="166" t="n">
        <v>0.015</v>
      </c>
      <c r="M38" s="166" t="n">
        <v>0.459</v>
      </c>
      <c r="N38" s="166" t="n">
        <v>0.167</v>
      </c>
      <c r="O38" s="144" t="inlineStr">
        <is>
          <t>3 نشاط</t>
        </is>
      </c>
    </row>
    <row r="39" ht="15" customHeight="1" s="122">
      <c r="A39" s="144" t="inlineStr">
        <is>
          <t>MK084</t>
        </is>
      </c>
      <c r="B39" s="139" t="inlineStr">
        <is>
          <t>الكر النازل</t>
        </is>
      </c>
      <c r="C39" s="144" t="inlineStr">
        <is>
          <t>مكة</t>
        </is>
      </c>
      <c r="D39" s="144" t="inlineStr">
        <is>
          <t>خط سفر</t>
        </is>
      </c>
      <c r="E39" s="144" t="n">
        <v>181</v>
      </c>
      <c r="F39" s="152" t="n">
        <v>6769350</v>
      </c>
      <c r="G39" s="152">
        <f>F39*365/E39</f>
        <v/>
      </c>
      <c r="H39" s="152" t="n">
        <v>97200</v>
      </c>
      <c r="I39" s="152" t="n">
        <v>3076219</v>
      </c>
      <c r="J39" s="231" t="n">
        <v>69.64</v>
      </c>
      <c r="K39" s="177" t="n">
        <v>-0.126</v>
      </c>
      <c r="L39" s="166" t="n">
        <v>0.002</v>
      </c>
      <c r="M39" s="166" t="n">
        <v>0.497</v>
      </c>
      <c r="N39" s="166" t="n">
        <v>0.106</v>
      </c>
      <c r="O39" s="144" t="inlineStr">
        <is>
          <t>3 نشاط</t>
        </is>
      </c>
    </row>
    <row r="40" ht="15" customHeight="1" s="122">
      <c r="A40" s="144" t="inlineStr">
        <is>
          <t>JA061</t>
        </is>
      </c>
      <c r="B40" s="139" t="inlineStr">
        <is>
          <t>طريق صبيا</t>
        </is>
      </c>
      <c r="C40" s="144" t="inlineStr">
        <is>
          <t>جازان</t>
        </is>
      </c>
      <c r="D40" s="144" t="inlineStr">
        <is>
          <t>حيوية</t>
        </is>
      </c>
      <c r="E40" s="144" t="n">
        <v>181</v>
      </c>
      <c r="F40" s="152" t="n">
        <v>6763759</v>
      </c>
      <c r="G40" s="152">
        <f>F40*365/E40</f>
        <v/>
      </c>
      <c r="H40" s="152" t="n">
        <v>97406</v>
      </c>
      <c r="I40" s="152" t="n">
        <v>3314721</v>
      </c>
      <c r="J40" s="231" t="n">
        <v>69.44</v>
      </c>
      <c r="K40" s="166" t="n">
        <v>-0.044</v>
      </c>
      <c r="L40" s="166" t="n">
        <v>0</v>
      </c>
      <c r="M40" s="166" t="n">
        <v>1</v>
      </c>
      <c r="N40" s="166" t="n">
        <v>0.373</v>
      </c>
      <c r="O40" s="144" t="inlineStr">
        <is>
          <t>3 نشاط</t>
        </is>
      </c>
    </row>
    <row r="41" ht="15" customHeight="1" s="122">
      <c r="A41" s="144" t="inlineStr">
        <is>
          <t>MK023</t>
        </is>
      </c>
      <c r="B41" s="139" t="inlineStr">
        <is>
          <t>بن درويش</t>
        </is>
      </c>
      <c r="C41" s="144" t="inlineStr">
        <is>
          <t>مكة</t>
        </is>
      </c>
      <c r="D41" s="144" t="inlineStr">
        <is>
          <t>حيوية</t>
        </is>
      </c>
      <c r="E41" s="144" t="n">
        <v>181</v>
      </c>
      <c r="F41" s="152" t="n">
        <v>6600956</v>
      </c>
      <c r="G41" s="152">
        <f>F41*365/E41</f>
        <v/>
      </c>
      <c r="H41" s="152" t="n">
        <v>146007</v>
      </c>
      <c r="I41" s="152" t="n">
        <v>2925368</v>
      </c>
      <c r="J41" s="231" t="n">
        <v>45.21</v>
      </c>
      <c r="K41" s="177" t="n">
        <v>-0.121</v>
      </c>
      <c r="L41" s="166" t="n">
        <v>0</v>
      </c>
      <c r="M41" s="166" t="n">
        <v>1</v>
      </c>
      <c r="N41" s="166" t="n">
        <v>0</v>
      </c>
      <c r="O41" s="144" t="inlineStr">
        <is>
          <t>3 نشاط</t>
        </is>
      </c>
    </row>
    <row r="42" ht="15" customHeight="1" s="122">
      <c r="A42" s="144" t="inlineStr">
        <is>
          <t>JA041</t>
        </is>
      </c>
      <c r="B42" s="139" t="inlineStr">
        <is>
          <t>القسوم - أحد المسارحة</t>
        </is>
      </c>
      <c r="C42" s="144" t="inlineStr">
        <is>
          <t>جازان</t>
        </is>
      </c>
      <c r="D42" s="144" t="inlineStr">
        <is>
          <t>غير مصنفة</t>
        </is>
      </c>
      <c r="E42" s="144" t="n">
        <v>68</v>
      </c>
      <c r="F42" s="152" t="n">
        <v>2479043</v>
      </c>
      <c r="G42" s="152">
        <f>F42*365/E42</f>
        <v/>
      </c>
      <c r="H42" s="152" t="n">
        <v>54370</v>
      </c>
      <c r="I42" s="152" t="n">
        <v>1114635</v>
      </c>
      <c r="J42" s="231" t="n">
        <v>45.6</v>
      </c>
      <c r="K42" s="240" t="n">
        <v>0</v>
      </c>
      <c r="L42" s="166" t="n">
        <v>0</v>
      </c>
      <c r="M42" s="166" t="n">
        <v>0.475</v>
      </c>
      <c r="N42" s="166" t="n">
        <v>0.056</v>
      </c>
      <c r="O42" s="143" t="inlineStr">
        <is>
          <t>لا يوجد</t>
        </is>
      </c>
    </row>
    <row r="43" ht="15" customHeight="1" s="122">
      <c r="A43" s="144" t="inlineStr">
        <is>
          <t>MK093</t>
        </is>
      </c>
      <c r="B43" s="139" t="inlineStr">
        <is>
          <t>الملك خالد</t>
        </is>
      </c>
      <c r="C43" s="144" t="inlineStr">
        <is>
          <t>الطائف</t>
        </is>
      </c>
      <c r="D43" s="144" t="inlineStr">
        <is>
          <t>حي</t>
        </is>
      </c>
      <c r="E43" s="144" t="n">
        <v>181</v>
      </c>
      <c r="F43" s="152" t="n">
        <v>6302158</v>
      </c>
      <c r="G43" s="152">
        <f>F43*365/E43</f>
        <v/>
      </c>
      <c r="H43" s="152" t="n">
        <v>123912</v>
      </c>
      <c r="I43" s="152" t="n">
        <v>2839338</v>
      </c>
      <c r="J43" s="231" t="n">
        <v>50.86</v>
      </c>
      <c r="K43" s="241" t="n">
        <v>0.082</v>
      </c>
      <c r="L43" s="166" t="n">
        <v>0.007</v>
      </c>
      <c r="M43" s="166" t="n">
        <v>0.307</v>
      </c>
      <c r="N43" s="166" t="n">
        <v>0.077</v>
      </c>
      <c r="O43" s="144" t="inlineStr">
        <is>
          <t>1 نشاط</t>
        </is>
      </c>
    </row>
    <row r="44" ht="15" customHeight="1" s="122">
      <c r="A44" s="144" t="inlineStr">
        <is>
          <t>EP051</t>
        </is>
      </c>
      <c r="B44" s="139" t="inlineStr">
        <is>
          <t>كورنيش الخبر</t>
        </is>
      </c>
      <c r="C44" s="144" t="inlineStr">
        <is>
          <t>الشرقية</t>
        </is>
      </c>
      <c r="D44" s="144" t="inlineStr">
        <is>
          <t>حيوية</t>
        </is>
      </c>
      <c r="E44" s="144" t="n">
        <v>181</v>
      </c>
      <c r="F44" s="152" t="n">
        <v>6083371</v>
      </c>
      <c r="G44" s="152">
        <f>F44*365/E44</f>
        <v/>
      </c>
      <c r="H44" s="152" t="n">
        <v>107035</v>
      </c>
      <c r="I44" s="152" t="n">
        <v>2759664</v>
      </c>
      <c r="J44" s="231" t="n">
        <v>56.84</v>
      </c>
      <c r="K44" s="241" t="n">
        <v>0.327</v>
      </c>
      <c r="L44" s="166" t="n">
        <v>0.003</v>
      </c>
      <c r="M44" s="166" t="n">
        <v>0.284</v>
      </c>
      <c r="N44" s="166" t="n">
        <v>0.066</v>
      </c>
      <c r="O44" s="143" t="inlineStr">
        <is>
          <t>لا يوجد</t>
        </is>
      </c>
    </row>
    <row r="45" ht="15" customHeight="1" s="122">
      <c r="A45" s="144" t="inlineStr">
        <is>
          <t>QS055</t>
        </is>
      </c>
      <c r="B45" s="139" t="inlineStr">
        <is>
          <t>الدائري الشرقي</t>
        </is>
      </c>
      <c r="C45" s="144" t="inlineStr">
        <is>
          <t>القصيم</t>
        </is>
      </c>
      <c r="D45" s="144" t="inlineStr">
        <is>
          <t>غير مصنفة</t>
        </is>
      </c>
      <c r="E45" s="144" t="n">
        <v>181</v>
      </c>
      <c r="F45" s="152" t="n">
        <v>5976488</v>
      </c>
      <c r="G45" s="152">
        <f>F45*365/E45</f>
        <v/>
      </c>
      <c r="H45" s="152" t="n">
        <v>79761</v>
      </c>
      <c r="I45" s="152" t="n">
        <v>2940822</v>
      </c>
      <c r="J45" s="231" t="n">
        <v>74.93000000000001</v>
      </c>
      <c r="K45" s="166" t="n">
        <v>-0.029</v>
      </c>
      <c r="L45" s="166" t="n">
        <v>0.002</v>
      </c>
      <c r="M45" s="166" t="n">
        <v>0.336</v>
      </c>
      <c r="N45" s="166" t="n">
        <v>0.392</v>
      </c>
      <c r="O45" s="143" t="inlineStr">
        <is>
          <t>لا يوجد</t>
        </is>
      </c>
    </row>
    <row r="46" ht="15" customHeight="1" s="122">
      <c r="A46" s="144" t="inlineStr">
        <is>
          <t>MK031</t>
        </is>
      </c>
      <c r="B46" s="139" t="inlineStr">
        <is>
          <t>بطحاء قريش 2</t>
        </is>
      </c>
      <c r="C46" s="144" t="inlineStr">
        <is>
          <t>مكة</t>
        </is>
      </c>
      <c r="D46" s="144" t="inlineStr">
        <is>
          <t>حيوية</t>
        </is>
      </c>
      <c r="E46" s="144" t="n">
        <v>181</v>
      </c>
      <c r="F46" s="152" t="n">
        <v>5721087</v>
      </c>
      <c r="G46" s="152">
        <f>F46*365/E46</f>
        <v/>
      </c>
      <c r="H46" s="152" t="n">
        <v>106073</v>
      </c>
      <c r="I46" s="152" t="n">
        <v>2694118</v>
      </c>
      <c r="J46" s="231" t="n">
        <v>53.94</v>
      </c>
      <c r="K46" s="177" t="n">
        <v>-0.123</v>
      </c>
      <c r="L46" s="166" t="n">
        <v>0</v>
      </c>
      <c r="M46" s="166" t="n">
        <v>1</v>
      </c>
      <c r="N46" s="166" t="n">
        <v>0.236</v>
      </c>
      <c r="O46" s="144" t="inlineStr">
        <is>
          <t>4 نشاط</t>
        </is>
      </c>
    </row>
    <row r="47" ht="15" customHeight="1" s="122">
      <c r="A47" s="144" t="inlineStr">
        <is>
          <t>JA053</t>
        </is>
      </c>
      <c r="B47" s="139" t="inlineStr">
        <is>
          <t>خبت نخلان</t>
        </is>
      </c>
      <c r="C47" s="144" t="inlineStr">
        <is>
          <t>جازان</t>
        </is>
      </c>
      <c r="D47" s="144" t="inlineStr">
        <is>
          <t>نائية</t>
        </is>
      </c>
      <c r="E47" s="144" t="n">
        <v>181</v>
      </c>
      <c r="F47" s="152" t="n">
        <v>5714308</v>
      </c>
      <c r="G47" s="152">
        <f>F47*365/E47</f>
        <v/>
      </c>
      <c r="H47" s="152" t="n">
        <v>117578</v>
      </c>
      <c r="I47" s="152" t="n">
        <v>2650896</v>
      </c>
      <c r="J47" s="231" t="n">
        <v>48.6</v>
      </c>
      <c r="K47" s="166" t="n">
        <v>-0.008999999999999999</v>
      </c>
      <c r="L47" s="166" t="n">
        <v>0.007</v>
      </c>
      <c r="M47" s="166" t="n">
        <v>0.531</v>
      </c>
      <c r="N47" s="166" t="n">
        <v>0.184</v>
      </c>
      <c r="O47" s="144" t="inlineStr">
        <is>
          <t>1 نشاط</t>
        </is>
      </c>
    </row>
    <row r="48" ht="15" customHeight="1" s="122">
      <c r="A48" s="144" t="inlineStr">
        <is>
          <t>RY024</t>
        </is>
      </c>
      <c r="B48" s="139" t="inlineStr">
        <is>
          <t>غرناطة - طريق الملك عبدالله</t>
        </is>
      </c>
      <c r="C48" s="144" t="inlineStr">
        <is>
          <t>الخرج</t>
        </is>
      </c>
      <c r="D48" s="144" t="inlineStr">
        <is>
          <t>غير مصنفة</t>
        </is>
      </c>
      <c r="E48" s="144" t="n">
        <v>181</v>
      </c>
      <c r="F48" s="152" t="n">
        <v>4846644</v>
      </c>
      <c r="G48" s="152">
        <f>F48*365/E48</f>
        <v/>
      </c>
      <c r="H48" s="152" t="n">
        <v>84802</v>
      </c>
      <c r="I48" s="152" t="n">
        <v>2153145</v>
      </c>
      <c r="J48" s="231" t="n">
        <v>57.15</v>
      </c>
      <c r="K48" s="241" t="n">
        <v>0.064</v>
      </c>
      <c r="L48" s="166" t="n">
        <v>0</v>
      </c>
      <c r="M48" s="166" t="n">
        <v>0</v>
      </c>
      <c r="N48" s="166" t="n">
        <v>0</v>
      </c>
      <c r="O48" s="144" t="inlineStr">
        <is>
          <t>3 نشاط</t>
        </is>
      </c>
    </row>
    <row r="49" ht="15" customHeight="1" s="122">
      <c r="A49" s="144" t="inlineStr">
        <is>
          <t>RY042</t>
        </is>
      </c>
      <c r="B49" s="139" t="inlineStr">
        <is>
          <t>الناصفة</t>
        </is>
      </c>
      <c r="C49" s="144" t="inlineStr">
        <is>
          <t>الخرج</t>
        </is>
      </c>
      <c r="D49" s="144" t="inlineStr">
        <is>
          <t>حي</t>
        </is>
      </c>
      <c r="E49" s="144" t="n">
        <v>181</v>
      </c>
      <c r="F49" s="152" t="n">
        <v>4569369</v>
      </c>
      <c r="G49" s="152">
        <f>F49*365/E49</f>
        <v/>
      </c>
      <c r="H49" s="152" t="n">
        <v>72735</v>
      </c>
      <c r="I49" s="152" t="n">
        <v>2133587</v>
      </c>
      <c r="J49" s="231" t="n">
        <v>62.82</v>
      </c>
      <c r="K49" s="241" t="n">
        <v>0.256</v>
      </c>
      <c r="L49" s="166" t="n">
        <v>0</v>
      </c>
      <c r="M49" s="166" t="n">
        <v>0.355</v>
      </c>
      <c r="N49" s="166" t="n">
        <v>0.201</v>
      </c>
      <c r="O49" s="144" t="inlineStr">
        <is>
          <t>3 نشاط</t>
        </is>
      </c>
    </row>
    <row r="50" ht="15" customHeight="1" s="122">
      <c r="A50" s="144" t="inlineStr">
        <is>
          <t>MK019</t>
        </is>
      </c>
      <c r="B50" s="139" t="inlineStr">
        <is>
          <t>الشرايع</t>
        </is>
      </c>
      <c r="C50" s="144" t="inlineStr">
        <is>
          <t>مكة</t>
        </is>
      </c>
      <c r="D50" s="144" t="inlineStr">
        <is>
          <t>حيوية</t>
        </is>
      </c>
      <c r="E50" s="144" t="n">
        <v>181</v>
      </c>
      <c r="F50" s="152" t="n">
        <v>4331347</v>
      </c>
      <c r="G50" s="152">
        <f>F50*365/E50</f>
        <v/>
      </c>
      <c r="H50" s="152" t="n">
        <v>82571</v>
      </c>
      <c r="I50" s="152" t="n">
        <v>1912969</v>
      </c>
      <c r="J50" s="231" t="n">
        <v>52.46</v>
      </c>
      <c r="K50" s="177" t="n">
        <v>-0.249</v>
      </c>
      <c r="L50" s="166" t="n">
        <v>0</v>
      </c>
      <c r="M50" s="166" t="n">
        <v>1</v>
      </c>
      <c r="N50" s="166" t="n">
        <v>0</v>
      </c>
      <c r="O50" s="144" t="inlineStr">
        <is>
          <t>4 نشاط</t>
        </is>
      </c>
    </row>
    <row r="51" ht="15" customHeight="1" s="122">
      <c r="A51" s="144" t="inlineStr">
        <is>
          <t>MK323</t>
        </is>
      </c>
      <c r="B51" s="139" t="inlineStr">
        <is>
          <t>جبل ثور - جوهرة النسيم</t>
        </is>
      </c>
      <c r="C51" s="144" t="inlineStr">
        <is>
          <t>مكة</t>
        </is>
      </c>
      <c r="D51" s="144" t="inlineStr">
        <is>
          <t>حيوية</t>
        </is>
      </c>
      <c r="E51" s="144" t="n">
        <v>56</v>
      </c>
      <c r="F51" s="152" t="n">
        <v>1285957</v>
      </c>
      <c r="G51" s="152">
        <f>F51*365/E51</f>
        <v/>
      </c>
      <c r="H51" s="152" t="n">
        <v>25265</v>
      </c>
      <c r="I51" s="152" t="n">
        <v>568922</v>
      </c>
      <c r="J51" s="231" t="n">
        <v>50.9</v>
      </c>
      <c r="K51" s="240" t="n">
        <v>0</v>
      </c>
      <c r="L51" s="166" t="n">
        <v>0</v>
      </c>
      <c r="M51" s="166" t="n">
        <v>0.372</v>
      </c>
      <c r="N51" s="166" t="n">
        <v>0</v>
      </c>
      <c r="O51" s="144" t="inlineStr">
        <is>
          <t>—</t>
        </is>
      </c>
    </row>
    <row r="52" ht="15" customHeight="1" s="122">
      <c r="A52" s="144" t="inlineStr">
        <is>
          <t>MK099</t>
        </is>
      </c>
      <c r="B52" s="139" t="inlineStr">
        <is>
          <t>البيعة</t>
        </is>
      </c>
      <c r="C52" s="144" t="inlineStr">
        <is>
          <t>الطائف</t>
        </is>
      </c>
      <c r="D52" s="144" t="inlineStr">
        <is>
          <t>حي</t>
        </is>
      </c>
      <c r="E52" s="144" t="n">
        <v>181</v>
      </c>
      <c r="F52" s="152" t="n">
        <v>3783052</v>
      </c>
      <c r="G52" s="152">
        <f>F52*365/E52</f>
        <v/>
      </c>
      <c r="H52" s="152" t="n">
        <v>82333</v>
      </c>
      <c r="I52" s="152" t="n">
        <v>1672588</v>
      </c>
      <c r="J52" s="231" t="n">
        <v>45.95</v>
      </c>
      <c r="K52" s="241" t="n">
        <v>0.137</v>
      </c>
      <c r="L52" s="166" t="n">
        <v>0.008</v>
      </c>
      <c r="M52" s="166" t="n">
        <v>0.335</v>
      </c>
      <c r="N52" s="166" t="n">
        <v>0.017</v>
      </c>
      <c r="O52" s="144" t="inlineStr">
        <is>
          <t>2 نشاط</t>
        </is>
      </c>
    </row>
    <row r="53" ht="15" customHeight="1" s="122">
      <c r="A53" s="144" t="inlineStr">
        <is>
          <t>MK100</t>
        </is>
      </c>
      <c r="B53" s="139" t="inlineStr">
        <is>
          <t>الكوثر</t>
        </is>
      </c>
      <c r="C53" s="144" t="inlineStr">
        <is>
          <t>جدة</t>
        </is>
      </c>
      <c r="D53" s="144" t="inlineStr">
        <is>
          <t>حيوية</t>
        </is>
      </c>
      <c r="E53" s="144" t="n">
        <v>181</v>
      </c>
      <c r="F53" s="152" t="n">
        <v>3334226</v>
      </c>
      <c r="G53" s="152">
        <f>F53*365/E53</f>
        <v/>
      </c>
      <c r="H53" s="152" t="n">
        <v>60202</v>
      </c>
      <c r="I53" s="152" t="n">
        <v>1601535</v>
      </c>
      <c r="J53" s="231" t="n">
        <v>55.38</v>
      </c>
      <c r="K53" s="166" t="n">
        <v>0.045</v>
      </c>
      <c r="L53" s="166" t="n">
        <v>0.015</v>
      </c>
      <c r="M53" s="166" t="n">
        <v>0.375</v>
      </c>
      <c r="N53" s="166" t="n">
        <v>0.292</v>
      </c>
      <c r="O53" s="144" t="inlineStr">
        <is>
          <t>2 نشاط</t>
        </is>
      </c>
    </row>
    <row r="54" ht="15" customHeight="1" s="122">
      <c r="A54" s="144" t="inlineStr">
        <is>
          <t>HA043</t>
        </is>
      </c>
      <c r="B54" s="139" t="inlineStr">
        <is>
          <t>العريفي</t>
        </is>
      </c>
      <c r="C54" s="144" t="inlineStr">
        <is>
          <t>حائل</t>
        </is>
      </c>
      <c r="D54" s="144" t="inlineStr">
        <is>
          <t>غير مصنفة</t>
        </is>
      </c>
      <c r="E54" s="144" t="n">
        <v>181</v>
      </c>
      <c r="F54" s="152" t="n">
        <v>3179944</v>
      </c>
      <c r="G54" s="152">
        <f>F54*365/E54</f>
        <v/>
      </c>
      <c r="H54" s="152" t="n">
        <v>59244</v>
      </c>
      <c r="I54" s="152" t="n">
        <v>1431054</v>
      </c>
      <c r="J54" s="231" t="n">
        <v>53.68</v>
      </c>
      <c r="K54" s="166" t="n">
        <v>-0.028</v>
      </c>
      <c r="L54" s="166" t="n">
        <v>0</v>
      </c>
      <c r="M54" s="166" t="n">
        <v>1</v>
      </c>
      <c r="N54" s="166" t="n">
        <v>0.077</v>
      </c>
      <c r="O54" s="144" t="inlineStr">
        <is>
          <t>3 نشاط</t>
        </is>
      </c>
    </row>
    <row r="55" ht="15" customHeight="1" s="122">
      <c r="A55" s="144" t="inlineStr">
        <is>
          <t>JA056</t>
        </is>
      </c>
      <c r="B55" s="139" t="inlineStr">
        <is>
          <t>الروابي - المودة</t>
        </is>
      </c>
      <c r="C55" s="144" t="inlineStr">
        <is>
          <t>جازان</t>
        </is>
      </c>
      <c r="D55" s="144" t="inlineStr">
        <is>
          <t>حي</t>
        </is>
      </c>
      <c r="E55" s="144" t="n">
        <v>181</v>
      </c>
      <c r="F55" s="152" t="n">
        <v>2708911</v>
      </c>
      <c r="G55" s="152">
        <f>F55*365/E55</f>
        <v/>
      </c>
      <c r="H55" s="152" t="n">
        <v>50827</v>
      </c>
      <c r="I55" s="152" t="n">
        <v>1262094</v>
      </c>
      <c r="J55" s="231" t="n">
        <v>53.3</v>
      </c>
      <c r="K55" s="241" t="n">
        <v>0.188</v>
      </c>
      <c r="L55" s="166" t="n">
        <v>0.005</v>
      </c>
      <c r="M55" s="166" t="n">
        <v>0.408</v>
      </c>
      <c r="N55" s="166" t="n">
        <v>0.18</v>
      </c>
      <c r="O55" s="143" t="inlineStr">
        <is>
          <t>لا يوجد</t>
        </is>
      </c>
    </row>
    <row r="56" ht="15" customHeight="1" s="122">
      <c r="A56" s="144" t="inlineStr">
        <is>
          <t>JA060</t>
        </is>
      </c>
      <c r="B56" s="139" t="inlineStr">
        <is>
          <t>صناعية صامطة</t>
        </is>
      </c>
      <c r="C56" s="144" t="inlineStr">
        <is>
          <t>جازان</t>
        </is>
      </c>
      <c r="D56" s="144" t="inlineStr">
        <is>
          <t>حيوية</t>
        </is>
      </c>
      <c r="E56" s="144" t="n">
        <v>181</v>
      </c>
      <c r="F56" s="152" t="n">
        <v>2574779</v>
      </c>
      <c r="G56" s="152">
        <f>F56*365/E56</f>
        <v/>
      </c>
      <c r="H56" s="152" t="n">
        <v>73820</v>
      </c>
      <c r="I56" s="152" t="n">
        <v>1204453</v>
      </c>
      <c r="J56" s="231" t="n">
        <v>34.88</v>
      </c>
      <c r="K56" s="241" t="n">
        <v>0.06</v>
      </c>
      <c r="L56" s="166" t="n">
        <v>0</v>
      </c>
      <c r="M56" s="166" t="n">
        <v>1</v>
      </c>
      <c r="N56" s="166" t="n">
        <v>0.194</v>
      </c>
      <c r="O56" s="144" t="inlineStr">
        <is>
          <t>2 نشاط</t>
        </is>
      </c>
    </row>
    <row r="57" ht="15" customHeight="1" s="122">
      <c r="A57" s="144" t="inlineStr">
        <is>
          <t>MD009</t>
        </is>
      </c>
      <c r="B57" s="139" t="inlineStr">
        <is>
          <t>طريق السلام</t>
        </is>
      </c>
      <c r="C57" s="144" t="inlineStr">
        <is>
          <t>المدينة المنورة</t>
        </is>
      </c>
      <c r="D57" s="144" t="inlineStr">
        <is>
          <t>غير مصنفة</t>
        </is>
      </c>
      <c r="E57" s="144" t="n">
        <v>39</v>
      </c>
      <c r="F57" s="152" t="n">
        <v>436617</v>
      </c>
      <c r="G57" s="152">
        <f>F57*365/E57</f>
        <v/>
      </c>
      <c r="H57" s="152" t="n">
        <v>7649</v>
      </c>
      <c r="I57" s="152" t="n">
        <v>206212</v>
      </c>
      <c r="J57" s="231" t="n">
        <v>57.08</v>
      </c>
      <c r="K57" s="240" t="n">
        <v>0</v>
      </c>
      <c r="L57" s="166" t="n">
        <v>0</v>
      </c>
      <c r="M57" s="166" t="n">
        <v>0.4</v>
      </c>
      <c r="N57" s="166" t="n">
        <v>0.249</v>
      </c>
      <c r="O57" s="143" t="inlineStr">
        <is>
          <t>لا يوجد</t>
        </is>
      </c>
    </row>
    <row r="58" ht="15" customHeight="1" s="122">
      <c r="A58" s="144" t="inlineStr">
        <is>
          <t>NJ219</t>
        </is>
      </c>
      <c r="B58" s="139" t="inlineStr">
        <is>
          <t>المركب</t>
        </is>
      </c>
      <c r="C58" s="144" t="inlineStr">
        <is>
          <t>نجران</t>
        </is>
      </c>
      <c r="D58" s="144" t="inlineStr">
        <is>
          <t>غير مصنفة</t>
        </is>
      </c>
      <c r="E58" s="144" t="n">
        <v>6</v>
      </c>
      <c r="F58" s="152" t="n">
        <v>46160</v>
      </c>
      <c r="G58" s="152">
        <f>F58*365/E58</f>
        <v/>
      </c>
      <c r="H58" s="152" t="n">
        <v>924</v>
      </c>
      <c r="I58" s="152" t="n">
        <v>21693</v>
      </c>
      <c r="J58" s="231" t="n">
        <v>49.96</v>
      </c>
      <c r="K58" s="240" t="n">
        <v>0</v>
      </c>
      <c r="L58" s="166" t="n">
        <v>0</v>
      </c>
      <c r="M58" s="166" t="n">
        <v>0.505</v>
      </c>
      <c r="N58" s="166" t="n">
        <v>0.167</v>
      </c>
      <c r="O58" s="143" t="inlineStr">
        <is>
          <t>لا يوجد</t>
        </is>
      </c>
    </row>
    <row r="59" ht="15" customHeight="1" s="122">
      <c r="A59" s="189" t="inlineStr">
        <is>
          <t>55</t>
        </is>
      </c>
      <c r="B59" s="147" t="inlineStr">
        <is>
          <t>الإجمالي</t>
        </is>
      </c>
      <c r="C59" s="124" t="n"/>
      <c r="D59" s="124" t="n"/>
      <c r="E59" s="124" t="n"/>
      <c r="F59" s="242">
        <f>SUM(F4:F58)</f>
        <v/>
      </c>
      <c r="G59" s="242">
        <f>SUM(G4:G58)</f>
        <v/>
      </c>
      <c r="H59" s="242">
        <f>SUM(H4:H58)</f>
        <v/>
      </c>
      <c r="I59" s="242">
        <f>SUM(I4:I58)</f>
        <v/>
      </c>
      <c r="J59" s="124" t="n"/>
      <c r="K59" s="124" t="n"/>
      <c r="L59" s="124" t="n"/>
      <c r="M59" s="124" t="n"/>
      <c r="N59" s="124" t="n"/>
      <c r="O59" s="124" t="n"/>
    </row>
    <row r="60">
      <c r="A60" s="124" t="n"/>
      <c r="B60" s="124" t="n"/>
      <c r="C60" s="124" t="n"/>
      <c r="D60" s="124" t="n"/>
      <c r="E60" s="124" t="n"/>
      <c r="F60" s="124" t="n"/>
      <c r="G60" s="124" t="n"/>
      <c r="H60" s="124" t="n"/>
      <c r="I60" s="124" t="n"/>
      <c r="J60" s="124" t="n"/>
      <c r="K60" s="124" t="n"/>
      <c r="L60" s="124" t="n"/>
      <c r="M60" s="124" t="n"/>
      <c r="N60" s="124" t="n"/>
      <c r="O60" s="124" t="n"/>
    </row>
    <row r="61" ht="30" customHeight="1" s="122">
      <c r="A61" s="243" t="inlineStr">
        <is>
          <t>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is>
      </c>
      <c r="B61" s="124" t="n"/>
      <c r="C61" s="124" t="n"/>
      <c r="D61" s="124" t="n"/>
      <c r="E61" s="124" t="n"/>
      <c r="F61" s="124" t="n"/>
      <c r="G61" s="124" t="n"/>
      <c r="H61" s="124" t="n"/>
      <c r="I61" s="124" t="n"/>
      <c r="J61" s="124" t="n"/>
      <c r="K61" s="124" t="n"/>
      <c r="L61" s="124" t="n"/>
      <c r="M61" s="124" t="n"/>
      <c r="N61" s="124" t="n"/>
      <c r="O61" s="124" t="n"/>
    </row>
  </sheetData>
  <mergeCells count="3">
    <mergeCell ref="A1:O1"/>
    <mergeCell ref="A2:O2"/>
    <mergeCell ref="A61:O6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2026-08-05T07:55:58Z</dcterms:created>
  <dcterms:modified xmlns:dcterms="http://purl.org/dc/terms/" xmlns:xsi="http://www.w3.org/2001/XMLSchema-instance" xsi:type="dcterms:W3CDTF">2026-08-23T06:34:28Z</dcterms:modified>
  <cp:revision>0</cp:revision>
</cp:coreProperties>
</file>