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دليل" sheetId="1" state="visible" r:id="rId3"/>
    <sheet name="منافذ البيع" sheetId="2" state="visible" r:id="rId4"/>
    <sheet name="المنافسون" sheetId="3" state="visible" r:id="rId5"/>
    <sheet name="حصص السوق" sheetId="4" state="visible" r:id="rId6"/>
    <sheet name="التطبيقات والمنصات" sheetId="5" state="visible" r:id="rId7"/>
    <sheet name="منفذ ٢ — العقار والتأجير" sheetId="6" state="visible" r:id="rId8"/>
    <sheet name="منفذ ٤ — الإكسسوارات" sheetId="7" state="visible" r:id="rId9"/>
    <sheet name="الخطة التنفيذية" sheetId="8" state="visible" r:id="rId10"/>
    <sheet name="المستهدفات الربعية" sheetId="9" state="visible" r:id="rId11"/>
    <sheet name="المبادرات" sheetId="10" state="visible" r:id="rId12"/>
    <sheet name="المحطات"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<sst xmlns="http://schemas.openxmlformats.org/spreadsheetml/2006/main" count="1119" uniqueCount="730">
  <si>
    <t xml:space="preserve">نموذج الخطة التنفيذية — الإدارة التجارية</t>
  </si>
  <si>
    <t xml:space="preserve">منافذ البيع في الشركة · تحليل كل منفذ · المنافس المسيطر عليه</t>
  </si>
  <si>
    <t xml:space="preserve">الغرض</t>
  </si>
  <si>
    <t xml:space="preserve">الإدارة التجارية مسؤولة عن كل منفذ بيع في الشركة. المحطة ليست منفذاً واحداً بل حاوية لاثني عشر منفذاً. هذا النموذج يحصر المنافذ، ويحدّد المسيطر على كل منها، ويحوّل ذلك إلى مستهدفات ومبادرات بمسؤول وتاريخ.</t>
  </si>
  <si>
    <t xml:space="preserve">الأوراق</t>
  </si>
  <si>
    <t xml:space="preserve">منافذ البيع</t>
  </si>
  <si>
    <t xml:space="preserve">المصفوفة الأم — 12 منفذاً × 3 قنوات × المنافس المسيطر. مرجع لا يُعبّأ.</t>
  </si>
  <si>
    <t xml:space="preserve">المنافسون</t>
  </si>
  <si>
    <t xml:space="preserve">بطاقة كل منافس: حجمه · ما يسيطر عليه · مصدر قوته · ردّنا.</t>
  </si>
  <si>
    <t xml:space="preserve">الخطة التنفيذية</t>
  </si>
  <si>
    <t xml:space="preserve">الورقة الأساسية — خط الأساس والمستهدف والفجوة والمالك لكل منفذ.</t>
  </si>
  <si>
    <t xml:space="preserve">المستهدفات الربعية</t>
  </si>
  <si>
    <t xml:space="preserve">توزيع المستهدف على أربعة أرباع (تراكمي).</t>
  </si>
  <si>
    <t xml:space="preserve">المبادرات</t>
  </si>
  <si>
    <t xml:space="preserve">خارطة التنفيذ — مبادرة · مسؤول · تاريخ · حالة.</t>
  </si>
  <si>
    <t xml:space="preserve">منفذ ٢ — العقار</t>
  </si>
  <si>
    <t xml:space="preserve">تفصيل الشواغر والعلامات — الأولوية الأولى.</t>
  </si>
  <si>
    <t xml:space="preserve">منفذ ٤ — الإكسسوارات</t>
  </si>
  <si>
    <t xml:space="preserve">السوق واللاعبون وقرار التأجير مقابل التشغيل.</t>
  </si>
  <si>
    <t xml:space="preserve">دليل الألوان</t>
  </si>
  <si>
    <t xml:space="preserve">حصص محطات المملكة وأين نقف.</t>
  </si>
  <si>
    <t xml:space="preserve">أصفر + خط أزرق</t>
  </si>
  <si>
    <t xml:space="preserve">خانة تُعبّأ يدوياً — هذه وحدها التي تُكتب فيها</t>
  </si>
  <si>
    <t xml:space="preserve">خط أسود</t>
  </si>
  <si>
    <t xml:space="preserve">صيغة محسوبة تلقائياً — لا تُكتب فوقها</t>
  </si>
  <si>
    <t xml:space="preserve">خط أخضر</t>
  </si>
  <si>
    <t xml:space="preserve">مرتبط بورقة أخرى في نفس الملف</t>
  </si>
  <si>
    <t xml:space="preserve">رمادي مائل</t>
  </si>
  <si>
    <t xml:space="preserve">صف مثال توضيحي — يُحذف قبل الاعتماد</t>
  </si>
  <si>
    <t xml:space="preserve">حالة المنفذ</t>
  </si>
  <si>
    <t xml:space="preserve">قائم</t>
  </si>
  <si>
    <t xml:space="preserve">نبيع فيه فعلاً اليوم</t>
  </si>
  <si>
    <t xml:space="preserve">ضعيف</t>
  </si>
  <si>
    <t xml:space="preserve">موجود بأداء دون المستوى أو بلا عقد</t>
  </si>
  <si>
    <t xml:space="preserve">غائب</t>
  </si>
  <si>
    <t xml:space="preserve">لا نبيع فيه إطلاقاً — أو المنافس يحتكره</t>
  </si>
  <si>
    <t xml:space="preserve">حاسمة</t>
  </si>
  <si>
    <t xml:space="preserve">القناة التي يُحسم فيها المنفذ</t>
  </si>
  <si>
    <t xml:space="preserve">لا ينطبق</t>
  </si>
  <si>
    <t xml:space="preserve">المنفذ لا يُباع عبر هذه القناة أصلاً</t>
  </si>
  <si>
    <t xml:space="preserve">فترة البيانات</t>
  </si>
  <si>
    <t xml:space="preserve">1 يناير – 30 يونيو 2026 · 12 رجب 1447 – 15 محرّم 1448 · 181 يوماً (شاملة رمضان والحج 1447). الأرقام السنوية إسقاط لا واقع مُحقَّق — وهي حدّ أعلى لأن النصف الأول يحتوي موسمَي الذروة.</t>
  </si>
  <si>
    <t xml:space="preserve">المصدر</t>
  </si>
  <si>
    <t xml:space="preserve">ملفات الشركة: analytics.csv · stations.csv · leasing-own.csv · leasing-franchise.csv. أرقام المنافسين من مصادر معلنة موثّقة في ورقة «المنافسون».</t>
  </si>
  <si>
    <t xml:space="preserve">منافذ البيع في الشركة</t>
  </si>
  <si>
    <t xml:space="preserve">كل منفذ × ثلاث قنوات × المنافس المسيطر — مصفوفة مرجعية</t>
  </si>
  <si>
    <t xml:space="preserve">#</t>
  </si>
  <si>
    <t xml:space="preserve">منفذ البيع</t>
  </si>
  <si>
    <t xml:space="preserve">تجزئة</t>
  </si>
  <si>
    <t xml:space="preserve">شركات</t>
  </si>
  <si>
    <t xml:space="preserve">وسطاء</t>
  </si>
  <si>
    <t xml:space="preserve">القناة الحاسمة</t>
  </si>
  <si>
    <t xml:space="preserve">المنافس المسيطر</t>
  </si>
  <si>
    <t xml:space="preserve">حجم المنافس</t>
  </si>
  <si>
    <t xml:space="preserve">وضعنا اليوم</t>
  </si>
  <si>
    <t xml:space="preserve">الفجوة</t>
  </si>
  <si>
    <t xml:space="preserve">الإدارة المالكة</t>
  </si>
  <si>
    <t xml:space="preserve">الأولوية</t>
  </si>
  <si>
    <t xml:space="preserve">الوقود</t>
  </si>
  <si>
    <t xml:space="preserve">الدريس</t>
  </si>
  <si>
    <t xml:space="preserve">1,383 محطة · 18.95% حصة (الربع الثاني 2026)</t>
  </si>
  <si>
    <t xml:space="preserve">~126 محطة تحت الهوية · فاتورة 56.9 ر</t>
  </si>
  <si>
    <t xml:space="preserve">حجم أساطيل قائم بلا عقد</t>
  </si>
  <si>
    <t xml:space="preserve">مبيعات الوقود</t>
  </si>
  <si>
    <t xml:space="preserve">العقار والتأجير</t>
  </si>
  <si>
    <t xml:space="preserve">لا مسيطر</t>
  </si>
  <si>
    <t xml:space="preserve">سوق مجزّأ — لا سلسلة مهيمنة · 190 علامة في محفظتنا</t>
  </si>
  <si>
    <t xml:space="preserve">إشغال 25% · 96 وحدة شاغرة · 20 محطة مفتوحة بلا نشاط</t>
  </si>
  <si>
    <t xml:space="preserve">96 وحدة شاغرة + 52 محطة تحت الإنشاء</t>
  </si>
  <si>
    <t xml:space="preserve">التأجير</t>
  </si>
  <si>
    <t xml:space="preserve">خدمات السيارات</t>
  </si>
  <si>
    <t xml:space="preserve">بترومين إكسبرس</t>
  </si>
  <si>
    <t xml:space="preserve">650–700 فرع</t>
  </si>
  <si>
    <t xml:space="preserve">39 محطة — بعلامة الشريك لا بعلامتنا</t>
  </si>
  <si>
    <t xml:space="preserve">85 محطة مملوكة بلا خدمة</t>
  </si>
  <si>
    <t xml:space="preserve">الشراكات</t>
  </si>
  <si>
    <t xml:space="preserve">الإكسسوارات والزينة</t>
  </si>
  <si>
    <t xml:space="preserve">مجزّأ — متاجر إلكترونية وأسواق تقليدية</t>
  </si>
  <si>
    <t xml:space="preserve">صفر</t>
  </si>
  <si>
    <t xml:space="preserve">المنفذ كامل غير مُفعّل</t>
  </si>
  <si>
    <t xml:space="preserve">التطبيق والولاء — أفراد</t>
  </si>
  <si>
    <t xml:space="preserve">النقد (البديل) · ساسكو وقوستيشن (تطبيقات أفراد)</t>
  </si>
  <si>
    <t xml:space="preserve">62.6% نقداً · ساسكو ~683 محطة · قوستيشن 12 محطة</t>
  </si>
  <si>
    <t xml:space="preserve">0.28% حصة التطبيق · 43 محطة بصفر</t>
  </si>
  <si>
    <t xml:space="preserve">لا نعرف من اشترى</t>
  </si>
  <si>
    <t xml:space="preserve">التسويق</t>
  </si>
  <si>
    <t xml:space="preserve">منصات إنفاق الأساطيل — شركات</t>
  </si>
  <si>
    <t xml:space="preserve">بترو آب · سيارة آب · Fleet Plus · واعي وكنترول (بطاقات)</t>
  </si>
  <si>
    <t xml:space="preserve">بترو آب: 500 ألف مركبة · 10 آلاف منشأة · 5,000 محطة قبول</t>
  </si>
  <si>
    <t xml:space="preserve">خارج الشبكة</t>
  </si>
  <si>
    <t xml:space="preserve">وسيط يفصلنا عن العميل</t>
  </si>
  <si>
    <t xml:space="preserve">المساحات الإعلانية</t>
  </si>
  <si>
    <t xml:space="preserve">شركات + وسطاء</t>
  </si>
  <si>
    <t xml:space="preserve">العربية للإعلان الخارجي</t>
  </si>
  <si>
    <t xml:space="preserve">62–66% حصة · 4,942 لوحة</t>
  </si>
  <si>
    <t xml:space="preserve">صفر إيراد موثّق</t>
  </si>
  <si>
    <t xml:space="preserve">355 موقعاً بلا إيراد إعلاني</t>
  </si>
  <si>
    <t xml:space="preserve">الامتياز والتوريد</t>
  </si>
  <si>
    <t xml:space="preserve">الأسرع في ضمّ المحطات المستقلة</t>
  </si>
  <si>
    <t xml:space="preserve">231 محطة في المنظومة · 31 مكتملة الهوية</t>
  </si>
  <si>
    <t xml:space="preserve">200 محطة علامتها غير مُسلَّمة</t>
  </si>
  <si>
    <t xml:space="preserve">الشحن الكهربائي</t>
  </si>
  <si>
    <t xml:space="preserve">EVIQ</t>
  </si>
  <si>
    <t xml:space="preserve">5,000+ شاحن في 1,000 موقع · شراكة PIF والسعودية للكهرباء</t>
  </si>
  <si>
    <t xml:space="preserve">النافذة تُغلق</t>
  </si>
  <si>
    <t xml:space="preserve">الديزل بالجملة والتوصيل</t>
  </si>
  <si>
    <t xml:space="preserve">الدريس · بترومين</t>
  </si>
  <si>
    <t xml:space="preserve">يملكان أسطول النقل — وهو حاجز الدخول</t>
  </si>
  <si>
    <t xml:space="preserve">محطات ديزل عالية بلا توزيع</t>
  </si>
  <si>
    <t xml:space="preserve">الخدمات المالية والخزائن</t>
  </si>
  <si>
    <t xml:space="preserve">البنوك (طرف مقابل لا منافس)</t>
  </si>
  <si>
    <t xml:space="preserve">بدائل مواقع كثيرة أمامها</t>
  </si>
  <si>
    <t xml:space="preserve">6 مواقع من 124 محطة</t>
  </si>
  <si>
    <t xml:space="preserve">118 محطة بلا خدمة مالية</t>
  </si>
  <si>
    <t xml:space="preserve">المساحات اللوجستية والمواقف</t>
  </si>
  <si>
    <t xml:space="preserve">مشغّلو المواقف والمستودعات</t>
  </si>
  <si>
    <t xml:space="preserve">سوق مجزّأ</t>
  </si>
  <si>
    <t xml:space="preserve">غير مُستثمر · مواقع تصل 5,420 م²</t>
  </si>
  <si>
    <t xml:space="preserve">أرض مملوكة بلا إيراد</t>
  </si>
  <si>
    <t xml:space="preserve">الإجمالي</t>
  </si>
  <si>
    <t xml:space="preserve">القراءة الأفقية: عمود «شركات» شبه فارغ — وهذه هي الفجوة كلها. وثلاث خلايا حاسمة في عمود الوسطاء نحن غائبون عنها.</t>
  </si>
  <si>
    <t xml:space="preserve">القاعدة الحاكمة: القناة التي لا نملك فيها العلاقة تُدرّ حجماً اليوم وتُفقدنا التسعير غداً.</t>
  </si>
  <si>
    <t xml:space="preserve">أضعف منافذنا هي أقلّها منافسة — التأجير والإعلان والزينة: لا مسيطر فيها، ونحن غائبون.</t>
  </si>
  <si>
    <t xml:space="preserve">تحليل المنافسين</t>
  </si>
  <si>
    <t xml:space="preserve">من يسيطر على كل منفذ — وبأي مصدر قوة</t>
  </si>
  <si>
    <t xml:space="preserve">المنافس</t>
  </si>
  <si>
    <t xml:space="preserve">النوع</t>
  </si>
  <si>
    <t xml:space="preserve">الحجم</t>
  </si>
  <si>
    <t xml:space="preserve">المنافذ التي يسيطر عليها</t>
  </si>
  <si>
    <t xml:space="preserve">مصدر قوته</t>
  </si>
  <si>
    <t xml:space="preserve">نقطة ضعفه</t>
  </si>
  <si>
    <t xml:space="preserve">الردّ المقترح</t>
  </si>
  <si>
    <t xml:space="preserve">مشغّل محطات</t>
  </si>
  <si>
    <t xml:space="preserve">1,383 محطة · 18.95% حصة (Q2 2026) · +83 محطة في النصف الأول 2026 · ربح صافٍ 421.8 مليون ريال 2025 (+22%)</t>
  </si>
  <si>
    <t xml:space="preserve">الوقود · الامتياز والتوريد · الديزل بالجملة · البطاقات (واعي)</t>
  </si>
  <si>
    <t xml:space="preserve">الحجم والانتشار وسرعة ضمّ المستقلين · واعي يثبّت الأسطول بحاجز تقني</t>
  </si>
  <si>
    <t xml:space="preserve">أدواته محصورة في شبكته — واعي لا يعمل خارج محطات الدريس</t>
  </si>
  <si>
    <t xml:space="preserve">لا ننافسه على اللتر بل على الربح لكل زيارة — ونستحوذ على المنافذ التي لا يلعب فيها</t>
  </si>
  <si>
    <t xml:space="preserve">argaam.com — نتائج 2025 وحصص الربع الرابع</t>
  </si>
  <si>
    <t xml:space="preserve">بترو آب (PetroApp)</t>
  </si>
  <si>
    <t xml:space="preserve">منصة وساطة</t>
  </si>
  <si>
    <t xml:space="preserve">500,000+ مركبة · 10,000 عميل شركة · 5,000 محطة قبول · تمويل 50 مليون دولار بقيادة جدوى</t>
  </si>
  <si>
    <t xml:space="preserve">البطاقات ومنصات الإنفاق · خدمات السيارات (توسّع) · الإكسسوارات (إطارات وبطاريات)</t>
  </si>
  <si>
    <t xml:space="preserve">يملك العلاقة مع المنشأة والبيانات وقرار توجيه الحجم — بلا محطة واحدة</t>
  </si>
  <si>
    <t xml:space="preserve">لا يملك أصلاً مادياً — يعتمد كلياً على شبكة قبول المحطات</t>
  </si>
  <si>
    <t xml:space="preserve">المساران معاً: عقود مباشرة لمن نصله بمندوب، والتقاط الباقي عبر المنصة بعمولة — والحساب يُعاد كل ربع</t>
  </si>
  <si>
    <t xml:space="preserve">fintechfutures.com · petroapp.com</t>
  </si>
  <si>
    <t xml:space="preserve">سلسلة خدمة</t>
  </si>
  <si>
    <t xml:space="preserve">كثافة الفروع والعلامة في الزيوت والصيانة</t>
  </si>
  <si>
    <t xml:space="preserve">لا يملك حركة المحطة — يشتريها منّا</t>
  </si>
  <si>
    <t xml:space="preserve">نحوّل الـ39 محطة من إيجار إلى نسبة من الخدمة، ونفتح عقود أساطيل دورية في الـ85 الشاغرة</t>
  </si>
  <si>
    <t xml:space="preserve">تحليل داخلي</t>
  </si>
  <si>
    <t xml:space="preserve">وكالة إعلان</t>
  </si>
  <si>
    <t xml:space="preserve">62–66% حصة السوق · 4,942 لوحة</t>
  </si>
  <si>
    <t xml:space="preserve">علاقات المعلنين الوطنيين وحصرية المواقع</t>
  </si>
  <si>
    <t xml:space="preserve">يشتري مواقع نحن أصحابها — الأصل بيدنا</t>
  </si>
  <si>
    <t xml:space="preserve">تأجير الشبكة للوطني عبر وكالة بحد أدنى مضمون + بيع مباشر للمعلن المحلي والمستأجر</t>
  </si>
  <si>
    <t xml:space="preserve">بنية تحتية</t>
  </si>
  <si>
    <t xml:space="preserve">5,000+ شاحن في 1,000 موقع · شراكة صندوق الاستثمارات العامة والسعودية للكهرباء</t>
  </si>
  <si>
    <t xml:space="preserve">دعم سيادي ورأس مال بنية تحتية</t>
  </si>
  <si>
    <t xml:space="preserve">يحتاج مواقع على شرايين الحركة — ونحن نملك 355</t>
  </si>
  <si>
    <t xml:space="preserve">استضافة بعقد موقع لا استثمار في الشواحن — المنتج هو زمن الانتظار لا الشحن</t>
  </si>
  <si>
    <t xml:space="preserve">pif.gov.sa</t>
  </si>
  <si>
    <t xml:space="preserve">ساسكو</t>
  </si>
  <si>
    <t xml:space="preserve">~683 محطة (مُقدَّر Q1 2026) · 653 معلن Q4 2025 · الشبكة = ساسكو + نفط منذ 2022 (80% من خدمات النفط بـ1.1 مليار ريال · 233 موقعاً) · +72 (2024) +81 (2025) +30 (Q1 2026) · هدف +100 سنوياً</t>
  </si>
  <si>
    <t xml:space="preserve">الوقود · البطاقات (كنترول) · تطبيق الأفراد · الامتياز</t>
  </si>
  <si>
    <t xml:space="preserve">ينمو بالاستحواذ على شبكات قائمة لا بالبناء وحده · الوحيد الذي يجمع تطبيق أفراد ناضجاً + كنترول للشركات · نقاط تُستبدل في مطاعم محطاته</t>
  </si>
  <si>
    <t xml:space="preserve">أصغر شبكة من الدريس · أدواته محصورة في شبكته</t>
  </si>
  <si>
    <t xml:space="preserve">نقلّده في ربط التطبيق بالمستأجرين · وصفقة نفط تسعّر ضمّ الشبكات بنحو 4.7 مليون ريال للموقع — وهو مرجع لتقييم أصولنا غير المفعّلة</t>
  </si>
  <si>
    <t xml:space="preserve">sasco.com.sa · argaam.com</t>
  </si>
  <si>
    <t xml:space="preserve">سيارة آب (SyarahApp)</t>
  </si>
  <si>
    <t xml:space="preserve">منصة وساطة + شبكة</t>
  </si>
  <si>
    <t xml:space="preserve">2,500+ محطة قبول · NFC · استُحوذ عليها يوليو 2026 من مجموعة تشغّل 1,790+ محطة</t>
  </si>
  <si>
    <t xml:space="preserve">منصات إنفاق الأساطيل · الوقود</t>
  </si>
  <si>
    <t xml:space="preserve">بعد الصفقة صارت منصة + شبكة معاً — نموذج الدريس بتقنية أحدث وشبكة قبول مفتوحة</t>
  </si>
  <si>
    <t xml:space="preserve">الجهة المستحوذة وقيمة الصفقة غير معلنتين · ورقم 1,790 غير موضّح الأساس</t>
  </si>
  <si>
    <t xml:space="preserve">متابعة عاجلة — لو صحّ الرقم فهو أكبر مشغّل في المملكة، وقد يغيّر ترتيب السوق كله</t>
  </si>
  <si>
    <t xml:space="preserve">dealroom.co · entarabi.com — يوليو 2026</t>
  </si>
  <si>
    <t xml:space="preserve">قوستيشن (GoStation)</t>
  </si>
  <si>
    <t xml:space="preserve">مشغّل صغير + تطبيق</t>
  </si>
  <si>
    <t xml:space="preserve">12 محطة · المنطقة الشرقية (الخبر) · شركة هلا السعودية للخدمات البترولية</t>
  </si>
  <si>
    <t xml:space="preserve">تطبيق الأفراد (محلياً)</t>
  </si>
  <si>
    <t xml:space="preserve">منتج رقمي ناضج: محفظة لكل مركبة · ولاء متدرج · توصيل وقود</t>
  </si>
  <si>
    <t xml:space="preserve">12 محطة — لا وزن سوقي (0.16%)</t>
  </si>
  <si>
    <t xml:space="preserve">ليس تهديداً حجمياً بل مرآة: 12 محطة ومنتجه الرقمي أنضج من منتجنا بـ355</t>
  </si>
  <si>
    <t xml:space="preserve">gostation.net · Google Play</t>
  </si>
  <si>
    <t xml:space="preserve">Fleet Plus</t>
  </si>
  <si>
    <t xml:space="preserve">5,000+ مزوّد خدمة · وقود وإطارات وزيوت وبطاريات وغسيل بفوترة موحدة</t>
  </si>
  <si>
    <t xml:space="preserve">البطاقات ومنصات الإنفاق · خدمات السيارات</t>
  </si>
  <si>
    <t xml:space="preserve">حزمة موحّدة ومسارات اعتماد للمنشأة</t>
  </si>
  <si>
    <t xml:space="preserve">لا يملك أصولاً — نفس ضعف بترو آب</t>
  </si>
  <si>
    <t xml:space="preserve">نفس قاعدة بترو آب: عمولة المنصة لكل لتر مقابل تكلفة قوة البيع المباشرة</t>
  </si>
  <si>
    <t xml:space="preserve">النقد ومدى وآبل باي</t>
  </si>
  <si>
    <t xml:space="preserve">بديل سلوكي</t>
  </si>
  <si>
    <t xml:space="preserve">62.6% نقد · 26.1% شبكة من مبيعاتنا</t>
  </si>
  <si>
    <t xml:space="preserve">التطبيق والولاء</t>
  </si>
  <si>
    <t xml:space="preserve">لا احتكاك — الدفع بلمسة بلا تطبيق</t>
  </si>
  <si>
    <t xml:space="preserve">لا يقدّم للعميل أي ميزة تتجاوز الدفع</t>
  </si>
  <si>
    <t xml:space="preserve">التطبيق يجب أن يبيع ما لا يُباع بغيره: سعر عضوية · طابور أسرع · رصيد مُهدى · عرض من المستأجر</t>
  </si>
  <si>
    <t xml:space="preserve">بيانات الشركة</t>
  </si>
  <si>
    <t xml:space="preserve">حصص سوق محطات الوقود في المملكة</t>
  </si>
  <si>
    <t xml:space="preserve">الربع الثاني 2026 — نفس فترة بياناتنا · إجمالي السوق 7,300 محطة · المصدر: أرقام</t>
  </si>
  <si>
    <t xml:space="preserve">إجمالي محطات المملكة</t>
  </si>
  <si>
    <t xml:space="preserve">الربع الثاني 2026</t>
  </si>
  <si>
    <t xml:space="preserve">الربع الرابع 2025</t>
  </si>
  <si>
    <t xml:space="preserve">السوق انكمش 300 محطة — تركّز لا نمو</t>
  </si>
  <si>
    <t xml:space="preserve">الشركة</t>
  </si>
  <si>
    <t xml:space="preserve">محطات Q4 2025</t>
  </si>
  <si>
    <t xml:space="preserve">حصة Q4 2025</t>
  </si>
  <si>
    <t xml:space="preserve">محطات Q2 2026</t>
  </si>
  <si>
    <t xml:space="preserve">حصة Q2 2026</t>
  </si>
  <si>
    <t xml:space="preserve">التغيّر</t>
  </si>
  <si>
    <t xml:space="preserve">حالة الرقم</t>
  </si>
  <si>
    <t xml:space="preserve">ملاحظة</t>
  </si>
  <si>
    <t xml:space="preserve">معلن</t>
  </si>
  <si>
    <t xml:space="preserve">1,300 (Q4 2025) ← 1,383 (Q2 2026) = +83 محطة في النصف الأول. تنبيه: مصدر صحفي ذكر +183 محطة في 6 أشهر ولا يتصالح مع سلسلة الأرباع — المعتمد هنا هو المحسوب من الحصص المعلنة</t>
  </si>
  <si>
    <t xml:space="preserve">مُقدَّر</t>
  </si>
  <si>
    <t xml:space="preserve">الشبكة مركّبة: ساسكو + نفط (استحوذت على 80% من خدمات النفط بـ1.1 مليار ريال في يناير 2022 — 233 موقعاً). +30 محطة في Q1 2026 · الرئيس التنفيذي (مايو 2026): الشبكة ≈10% · هدف +100 سنوياً تطويراً أو استحواذاً</t>
  </si>
  <si>
    <t xml:space="preserve">جي أويل</t>
  </si>
  <si>
    <t xml:space="preserve">غير معلن</t>
  </si>
  <si>
    <t xml:space="preserve">آخر رقم منشور: الربع الرابع 2025</t>
  </si>
  <si>
    <t xml:space="preserve">مزايا</t>
  </si>
  <si>
    <t xml:space="preserve">أرامكو</t>
  </si>
  <si>
    <t xml:space="preserve">عبر التسهيلات للتسويق · استحوذت على سهل لخدمات الوقود</t>
  </si>
  <si>
    <t xml:space="preserve">مجموع الشركات الرئيسية</t>
  </si>
  <si>
    <t xml:space="preserve">أرقام: 32.3% عبر 2,456 محطة في الربع الرابع 2025</t>
  </si>
  <si>
    <t xml:space="preserve">المستقلون والأفراد</t>
  </si>
  <si>
    <t xml:space="preserve">السوق القابل للضمّ عبر الامتياز — ملعب المنفذ رقم ٨</t>
  </si>
  <si>
    <t xml:space="preserve">أين نقف نحن — الربع الثاني 2026</t>
  </si>
  <si>
    <t xml:space="preserve">القياس</t>
  </si>
  <si>
    <t xml:space="preserve">عدد المحطات</t>
  </si>
  <si>
    <t xml:space="preserve">الحصة</t>
  </si>
  <si>
    <t xml:space="preserve">—</t>
  </si>
  <si>
    <t xml:space="preserve">الترتيب</t>
  </si>
  <si>
    <t xml:space="preserve">درب — اسمياً (كل المنظومة)</t>
  </si>
  <si>
    <t xml:space="preserve">الثالث</t>
  </si>
  <si>
    <t xml:space="preserve">أعلى من جي أويل ومزايا وأرامكو — لكنه رقم سجل لا رقم تشغيل</t>
  </si>
  <si>
    <t xml:space="preserve">درب — تحت الهوية (126)</t>
  </si>
  <si>
    <t xml:space="preserve">الخامس</t>
  </si>
  <si>
    <t xml:space="preserve">المحطات التي تحمل علامتنا فعلاً</t>
  </si>
  <si>
    <t xml:space="preserve">درب — مشغّلة بالكامل (80)</t>
  </si>
  <si>
    <t xml:space="preserve">السادس</t>
  </si>
  <si>
    <t xml:space="preserve">49 استثماري مشغّل + 31 امتياز مكتمل الهوية — الرقم الحقيقي</t>
  </si>
  <si>
    <t xml:space="preserve">في النصف الأول 2026 — نفس فترة بياناتنا بالضبط — أضافت الدريس 83 محطة ورفعت حصتها من 17.11% إلى 18.95%. ونحن في الفترة نفسها: ميزان صافٍ −43.8 مليون ريال.</t>
  </si>
  <si>
    <t xml:space="preserve">السوق انكمش من 7,600 إلى 7,300 محطة بينما كبر الكبار — أي أن المستقلين يخرجون ويُضَمّون. هذا يفتح نافذة المنفذ رقم ٨ (الامتياز) ويغلقها في آن.</t>
  </si>
  <si>
    <t xml:space="preserve">الفارق بين «355» و«80» هو الفارق بين المركز الثالث والسادس — وهو نفس الغموض في رقم «1,790 محطة» بصفقة سيارة آب. كل رقم شبكة هنا يجب أن يُسأل: مملوكة أم امتياز أم موردة؟</t>
  </si>
  <si>
    <t xml:space="preserve">مرجع تسعير: ساسكو دفعت 1.1 مليار ريال مقابل 80% من نفط (233 موقعاً) — أي نحو 4.7 مليون ريال للموقع. فما قيمة الـ200 محطة امتياز في منظومتنا التي لم تكتمل هويتها؟ أصول بأيدينا لم تُفعَّل.</t>
  </si>
  <si>
    <t xml:space="preserve">التطبيقات والمنصات والبطاقات — التصنيف الصحيح</t>
  </si>
  <si>
    <t xml:space="preserve">ثلاثة أنواع تُخلط عادةً وهي مختلفة جوهرياً: تطبيق أفراد · منصة شركات · بطاقة/شريحة</t>
  </si>
  <si>
    <t xml:space="preserve">الاسم</t>
  </si>
  <si>
    <t xml:space="preserve">المالك/المشغّل</t>
  </si>
  <si>
    <t xml:space="preserve">الفئة</t>
  </si>
  <si>
    <t xml:space="preserve">التقنية</t>
  </si>
  <si>
    <t xml:space="preserve">محطات المالك</t>
  </si>
  <si>
    <t xml:space="preserve">شبكة القبول</t>
  </si>
  <si>
    <t xml:space="preserve">% من المملكة</t>
  </si>
  <si>
    <t xml:space="preserve">التغطية الجغرافية</t>
  </si>
  <si>
    <t xml:space="preserve">الحجم المعلن</t>
  </si>
  <si>
    <t xml:space="preserve">مصدر القوة</t>
  </si>
  <si>
    <t xml:space="preserve">نقطة الضعف</t>
  </si>
  <si>
    <t xml:space="preserve">الخطر علينا</t>
  </si>
  <si>
    <t xml:space="preserve">ساسكو (مشغّل)</t>
  </si>
  <si>
    <t xml:space="preserve">أفراد</t>
  </si>
  <si>
    <t xml:space="preserve">QR + محفظة رقمية + نقاط</t>
  </si>
  <si>
    <t xml:space="preserve">محطات ساسكو ونخلة ومغاسل أوتوسبا — وطني</t>
  </si>
  <si>
    <t xml:space="preserve">شبكة مملوكة + نقاط تُستبدل في مطاعم ومقاهي المحطة</t>
  </si>
  <si>
    <t xml:space="preserve">محصور في شبكته — لا يعمل خارجها</t>
  </si>
  <si>
    <t xml:space="preserve">يضع معيار تجربة أعلى من تطبيقنا لعميل الأفراد نفسه</t>
  </si>
  <si>
    <t xml:space="preserve">قوستيشن</t>
  </si>
  <si>
    <t xml:space="preserve">هلا السعودية (مشغّل)</t>
  </si>
  <si>
    <t xml:space="preserve">محفظة + ولاء متدرج (برونزي→بلاتيني) + توصيل وقود</t>
  </si>
  <si>
    <t xml:space="preserve">المنطقة الشرقية — الخبر</t>
  </si>
  <si>
    <t xml:space="preserve">منتج رقمي ناضج: محفظة لكل مركبة + توصيل وقود + مستويات عضوية</t>
  </si>
  <si>
    <t xml:space="preserve">12 محطة فقط — لا وزن سوقي</t>
  </si>
  <si>
    <t xml:space="preserve">إشارة تحذير: 12 محطة ومنتجه الرقمي أنضج من منتجنا بـ355</t>
  </si>
  <si>
    <t xml:space="preserve">التسهيلات للتسويق</t>
  </si>
  <si>
    <t xml:space="preserve">تطبيق محطات</t>
  </si>
  <si>
    <t xml:space="preserve">وطني</t>
  </si>
  <si>
    <t xml:space="preserve">العلامة والدعم المؤسسي · استحوذت على سهل لخدمات الوقود</t>
  </si>
  <si>
    <t xml:space="preserve">حديث الدخول في التجزئة</t>
  </si>
  <si>
    <t xml:space="preserve">منافس صاعد بعلامة لا تُقاوَم</t>
  </si>
  <si>
    <t xml:space="preserve">درب (نحن)</t>
  </si>
  <si>
    <t xml:space="preserve">درب</t>
  </si>
  <si>
    <t xml:space="preserve">تطبيق + تانكي</t>
  </si>
  <si>
    <t xml:space="preserve">مكة · جدة · الطائف · جازان · الشرقية · الخرج · القصيم</t>
  </si>
  <si>
    <t xml:space="preserve">0.28% من الإيراد · 43 محطة بصفر</t>
  </si>
  <si>
    <t xml:space="preserve">نملك الزيارة: 22.5 مليون زيارة سنوياً</t>
  </si>
  <si>
    <t xml:space="preserve">0.28% — التطبيق ميت عملياً · 62.6% نقد</t>
  </si>
  <si>
    <t xml:space="preserve">بترو آب</t>
  </si>
  <si>
    <t xml:space="preserve">مستقلة — بقيادة جدوى للاستثمار</t>
  </si>
  <si>
    <t xml:space="preserve">NFC</t>
  </si>
  <si>
    <t xml:space="preserve">كل مناطق المملكة + مصر وتايلاند ونيجيريا</t>
  </si>
  <si>
    <t xml:space="preserve">500,000+ مركبة · 10,000 عميل شركة</t>
  </si>
  <si>
    <t xml:space="preserve">يملك العلاقة والبيانات وقرار توجيه الحجم — بلا محطة واحدة · تمويل 50 مليون دولار · طرح مستهدف 2028</t>
  </si>
  <si>
    <t xml:space="preserve">الأخطر: مقبول في نحو ثلثي محطات المملكة ويحوّلنا إلى نقطة تنفيذ</t>
  </si>
  <si>
    <t xml:space="preserve">سيارة آب</t>
  </si>
  <si>
    <t xml:space="preserve">استُحوذ عليها — مجموعة 1,790+ محطة</t>
  </si>
  <si>
    <t xml:space="preserve">صار له أصول بعد الصفقة (يوليو 2026): منصة + شبكة محطات معاً</t>
  </si>
  <si>
    <t xml:space="preserve">الجهة المستحوذة غير معلنة وقيمة الصفقة غير معلنة</t>
  </si>
  <si>
    <t xml:space="preserve">الخطر الجديد: نموذج المنصة+الشبكة يفوق الدريس عدداً لو صحّ الرقم</t>
  </si>
  <si>
    <t xml:space="preserve">مستقلة</t>
  </si>
  <si>
    <t xml:space="preserve">فوترة موحدة + مسارات اعتماد</t>
  </si>
  <si>
    <t xml:space="preserve">5,000+ مزوّد خدمة</t>
  </si>
  <si>
    <t xml:space="preserve">حزمة موحّدة: وقود وإطارات وزيوت وبطاريات وغسيل</t>
  </si>
  <si>
    <t xml:space="preserve">يقطع محفظتَي الوقود وخدمات السيارات معاً</t>
  </si>
  <si>
    <t xml:space="preserve">واعي</t>
  </si>
  <si>
    <t xml:space="preserve">RFID داخل فوهة المضخة — ليس تطبيقاً</t>
  </si>
  <si>
    <t xml:space="preserve">تعبئة آلية بلا تدخل بشري + تعريف المركبة في الفوهة + منع الغش</t>
  </si>
  <si>
    <t xml:space="preserve">محصور في شبكة الدريس فقط</t>
  </si>
  <si>
    <t xml:space="preserve">يثبّت أسطول العميل داخل شبكة الدريس بحاجز تقني</t>
  </si>
  <si>
    <t xml:space="preserve">كنترول</t>
  </si>
  <si>
    <t xml:space="preserve">شرائح RFID + بطاقات</t>
  </si>
  <si>
    <t xml:space="preserve">ضبط إنفاق ناضج مربوط بشبكة ساسكو</t>
  </si>
  <si>
    <t xml:space="preserve">محصور في شبكة ساسكو فقط</t>
  </si>
  <si>
    <t xml:space="preserve">يثبّت الأسطول المتوسط داخل شبكة ساسكو</t>
  </si>
  <si>
    <t xml:space="preserve">التصنيف الذي يجب ألا يُخلط</t>
  </si>
  <si>
    <t xml:space="preserve">«واعي» بطاقة/شريحة لا تطبيق — قارئ RFID داخل فوهة المضخة يعرّف المركبة ويعبّئ آلياً. ومقارنته بتطبيق أفراد خطأ تصنيفي يقود إلى قرار خاطئ.</t>
  </si>
  <si>
    <t xml:space="preserve">النمط الحاسم</t>
  </si>
  <si>
    <t xml:space="preserve">المشغّلون (الدريس · ساسكو) بنوا أدوات محصورة في شبكاتهم — واعي يعمل في محطات الدريس فقط. أما المنصات المستقلة فبنت شبكات تتجاوز أي مشغّل: بترو آب مقبولة في نحو ثلثي محطات المملكة بلا أن تملك محطة واحدة. الأداة المحصورة تحمي حصة قائمة؛ والمنصة المفتوحة تأخذ حصة الجميع.</t>
  </si>
  <si>
    <t xml:space="preserve">ما تغيّر في يوليو 2026</t>
  </si>
  <si>
    <t xml:space="preserve">سيارة آب كانت منصة بلا أصول، وبعد الاستحواذ صارت منصة + شبكة معاً — أي نموذج الدريس لكن بتقنية أحدث وشبكة قبول مفتوحة. هذا يجعل نموذج «منصة تملك محطات» هو المسار الرابح، وهو بالضبط ما نملك مقوّماته ولا نستخدمه.</t>
  </si>
  <si>
    <t xml:space="preserve">الخلاصة لنا</t>
  </si>
  <si>
    <t xml:space="preserve">لسنا متأخرين في التطبيق فحسب — نحن في السباق الخطأ. منتجنا B2C دفع وولاء (0.28%)، والمعركة الفعلية B2B ضبط إنفاق. ومقارنة 0.28% بـ500 ألف مركبة مقارنة خاطئة من أساسها: السؤال الصحيح هو من يملك عقد الأسطول.</t>
  </si>
  <si>
    <t xml:space="preserve">منفذ ٢ — العقار والتأجير</t>
  </si>
  <si>
    <t xml:space="preserve">أكبر فجوة × لا مسيطر · الأولوية الأولى · بيانات الربع الأول 2026</t>
  </si>
  <si>
    <t xml:space="preserve">⚠ تصحيح</t>
  </si>
  <si>
    <t xml:space="preserve">ملف الامتياز يحتوي صف «اجمالي محطات الربع الاول» مدمجاً مع صفوف المحطات. جمعه مع الصفوف ضاعف الأرقام. الصحيح: 128 وحدة و96 شاغرة — لا 256 و192. ونسبة الإشغال 25% لم تتغيّر، ولهذا مرّ الخطأ.</t>
  </si>
  <si>
    <t xml:space="preserve">محطة الامتياز</t>
  </si>
  <si>
    <t xml:space="preserve">المدينة</t>
  </si>
  <si>
    <t xml:space="preserve">وحدات</t>
  </si>
  <si>
    <t xml:space="preserve">مؤجّر</t>
  </si>
  <si>
    <t xml:space="preserve">شاغر</t>
  </si>
  <si>
    <t xml:space="preserve">الإشغال</t>
  </si>
  <si>
    <t xml:space="preserve">أنواع الوحدات الشاغرة</t>
  </si>
  <si>
    <t xml:space="preserve">الظبيه</t>
  </si>
  <si>
    <t xml:space="preserve">الظبية</t>
  </si>
  <si>
    <t xml:space="preserve">◄ غير مصنّفة</t>
  </si>
  <si>
    <t xml:space="preserve">خيبر بيشة</t>
  </si>
  <si>
    <t xml:space="preserve">خيبر</t>
  </si>
  <si>
    <t xml:space="preserve">طريق السلام</t>
  </si>
  <si>
    <t xml:space="preserve">المدينة المنورة</t>
  </si>
  <si>
    <t xml:space="preserve">الحزام الجنوبي</t>
  </si>
  <si>
    <t xml:space="preserve">جازان</t>
  </si>
  <si>
    <t xml:space="preserve">كشك2 \ محلات5</t>
  </si>
  <si>
    <t xml:space="preserve">الحزم</t>
  </si>
  <si>
    <t xml:space="preserve">جدة</t>
  </si>
  <si>
    <t xml:space="preserve">الأمير سعود</t>
  </si>
  <si>
    <t xml:space="preserve">حائل</t>
  </si>
  <si>
    <t xml:space="preserve">كشك \ محل \ درايف ثرو3</t>
  </si>
  <si>
    <t xml:space="preserve">نجم الدين الايوبي</t>
  </si>
  <si>
    <t xml:space="preserve">الرياض</t>
  </si>
  <si>
    <t xml:space="preserve">كشك2 \ محل2</t>
  </si>
  <si>
    <t xml:space="preserve">العزيزية خميس مشيط</t>
  </si>
  <si>
    <t xml:space="preserve">خميس مشيط</t>
  </si>
  <si>
    <t xml:space="preserve">كشك \ محل \ زيوت</t>
  </si>
  <si>
    <t xml:space="preserve">السفير 4 ( الهدا )</t>
  </si>
  <si>
    <t xml:space="preserve">الخرج</t>
  </si>
  <si>
    <t xml:space="preserve">مطعم \ محل \ صراف</t>
  </si>
  <si>
    <t xml:space="preserve">بترولايز - الياقوت</t>
  </si>
  <si>
    <t xml:space="preserve">ورشة \ محل \ صراف</t>
  </si>
  <si>
    <t xml:space="preserve">طريق احد</t>
  </si>
  <si>
    <t xml:space="preserve">القطيف</t>
  </si>
  <si>
    <t xml:space="preserve">كشك \ محل</t>
  </si>
  <si>
    <t xml:space="preserve">اكويلا فيول</t>
  </si>
  <si>
    <t xml:space="preserve">جده</t>
  </si>
  <si>
    <t xml:space="preserve">كشك2</t>
  </si>
  <si>
    <t xml:space="preserve">الأمير سعد</t>
  </si>
  <si>
    <t xml:space="preserve">خدمات سيارات \ سوبرماركت</t>
  </si>
  <si>
    <t xml:space="preserve">الذيبة</t>
  </si>
  <si>
    <t xml:space="preserve">حفر الباطن</t>
  </si>
  <si>
    <t xml:space="preserve">محل</t>
  </si>
  <si>
    <t xml:space="preserve">الواحة</t>
  </si>
  <si>
    <t xml:space="preserve">درايف ثرو</t>
  </si>
  <si>
    <t xml:space="preserve">بترولايز الواحة</t>
  </si>
  <si>
    <t xml:space="preserve">بترولابز الفلاح</t>
  </si>
  <si>
    <t xml:space="preserve">بترولايز- طيبة</t>
  </si>
  <si>
    <t xml:space="preserve">سوبرماركت</t>
  </si>
  <si>
    <t xml:space="preserve">المحطات المملوكة — 123 محطة</t>
  </si>
  <si>
    <t xml:space="preserve">الحالة</t>
  </si>
  <si>
    <t xml:space="preserve">العدد</t>
  </si>
  <si>
    <t xml:space="preserve">بنشاط</t>
  </si>
  <si>
    <t xml:space="preserve">بلا نشاط</t>
  </si>
  <si>
    <t xml:space="preserve">القراءة</t>
  </si>
  <si>
    <t xml:space="preserve">مفتوحة (Open)</t>
  </si>
  <si>
    <t xml:space="preserve">الفجوة الفعلية القابلة للعلاج الآن</t>
  </si>
  <si>
    <t xml:space="preserve">تحت الإنشاء (In progress)</t>
  </si>
  <si>
    <t xml:space="preserve">ليست فجوة بل خط أنابيب — يُتعاقَد لها قبل الافتتاح</t>
  </si>
  <si>
    <t xml:space="preserve">محفظة العلامات — التفتّت</t>
  </si>
  <si>
    <t xml:space="preserve">محطات</t>
  </si>
  <si>
    <t xml:space="preserve">علامات</t>
  </si>
  <si>
    <t xml:space="preserve">الأكثر تكراراً</t>
  </si>
  <si>
    <t xml:space="preserve">مرات</t>
  </si>
  <si>
    <t xml:space="preserve">تركّز</t>
  </si>
  <si>
    <t xml:space="preserve">مطاعم</t>
  </si>
  <si>
    <t xml:space="preserve">ماكدونالدز</t>
  </si>
  <si>
    <t xml:space="preserve">مفتّت — بلا قوة تفاوضية</t>
  </si>
  <si>
    <t xml:space="preserve">كافيهات</t>
  </si>
  <si>
    <t xml:space="preserve">بون</t>
  </si>
  <si>
    <t xml:space="preserve">ماركت</t>
  </si>
  <si>
    <t xml:space="preserve">فريش واي</t>
  </si>
  <si>
    <t xml:space="preserve">علامة واحدة في 40% من المحطات — النموذج الوحيد القابل للتكرار</t>
  </si>
  <si>
    <t xml:space="preserve">أخرى</t>
  </si>
  <si>
    <t xml:space="preserve">Redbox</t>
  </si>
  <si>
    <t xml:space="preserve">خمس علامات فقط — ولا واحدة متكررة</t>
  </si>
  <si>
    <t xml:space="preserve">خدمات سيارات</t>
  </si>
  <si>
    <t xml:space="preserve">بترومين</t>
  </si>
  <si>
    <t xml:space="preserve">الفجوة الحقيقية</t>
  </si>
  <si>
    <t xml:space="preserve">20 محطة مفتوحة بلا أي نشاط تجاري (من 71 مفتوحة) + 96 وحدة شاغرة في الامتياز. وليست 73 محطة كما بدا أولاً — لأن 52 من الـ72 الخالية لم تفتح بعد.</t>
  </si>
  <si>
    <t xml:space="preserve">الفرصة الأكبر ليست علاجاً بل استباقاً</t>
  </si>
  <si>
    <t xml:space="preserve">52 محطة تحت الإنشاء بلا نشاط. التعاقد لها قبل الافتتاح أرخص وأسرع من ملء محطة عاملة — ويجنّبنا تكرار الفجوة نفسها بعد سنتين.</t>
  </si>
  <si>
    <t xml:space="preserve">62% من الشواغر غير مصنّفة</t>
  </si>
  <si>
    <t xml:space="preserve">60 من 96 وحدة شاغرة بلا نوع مسجَّل — وكلها في المحطات الأربع الأكبر شغوراً (الظبية 30 · خيبر بيشة 12 · طريق السلام 11 · الحزم 7). لا يمكن تسويق ما لم يُحصر.</t>
  </si>
  <si>
    <t xml:space="preserve">الظبية وحدها ربع المشكلة</t>
  </si>
  <si>
    <t xml:space="preserve">31 وحدة ووحدة واحدة مؤجّرة (3.2%). أكبر تجمّع وحدات لدينا وأقلّها إشغالاً — تستحق ملف تسويق مستقل قبل أي مبادرة شبكية.</t>
  </si>
  <si>
    <t xml:space="preserve">محفظة العلامات مفتّتة</t>
  </si>
  <si>
    <t xml:space="preserve">190 علامة مختلفة عبر خمس فئات — 67 علامة كافيه في 42 محطة وحدها. لا اتفاقيات إطارية ولا قوة تفاوضية ولا اتساق تجربة. الاستثناء: فريش واي في 17 محطة.</t>
  </si>
  <si>
    <t xml:space="preserve">منفذ ٤ — الإكسسوارات والزينة</t>
  </si>
  <si>
    <t xml:space="preserve">لا مسيطر · نحن بصفر · القرار الحاسم: نؤجّر أم نشغّل؟</t>
  </si>
  <si>
    <t xml:space="preserve">البند</t>
  </si>
  <si>
    <t xml:space="preserve">القيمة</t>
  </si>
  <si>
    <t xml:space="preserve">الملاحظة</t>
  </si>
  <si>
    <t xml:space="preserve">حجم سوق قطع الغيار والإكسسوارات</t>
  </si>
  <si>
    <t xml:space="preserve">19.4 – 50 مليار ريال</t>
  </si>
  <si>
    <t xml:space="preserve">تقديرات متباينة</t>
  </si>
  <si>
    <t xml:space="preserve">الفارق كبير بين المصادر — يُعتمد كنطاق لا كرقم</t>
  </si>
  <si>
    <t xml:space="preserve">التوقع 2030</t>
  </si>
  <si>
    <t xml:space="preserve">39 مليار ريال</t>
  </si>
  <si>
    <t xml:space="preserve">تقدير سوقي</t>
  </si>
  <si>
    <t xml:space="preserve">نمو مركّب ~7.8% سنوياً</t>
  </si>
  <si>
    <t xml:space="preserve">أعلى فئة إيراداً</t>
  </si>
  <si>
    <t xml:space="preserve">الإطارات</t>
  </si>
  <si>
    <t xml:space="preserve">تحليل السوق</t>
  </si>
  <si>
    <t xml:space="preserve">وهي أيضاً الأعلى سلةً والأكثر مقارنةً سعرياً</t>
  </si>
  <si>
    <t xml:space="preserve">الأسرع دوراناً وأفضل هامشاً</t>
  </si>
  <si>
    <t xml:space="preserve">بطاريات · فلاتر · فرامل · زيوت</t>
  </si>
  <si>
    <t xml:space="preserve">وهي بالضبط ما يناسب موقعاً يعبّئ فيه العميل أصلاً</t>
  </si>
  <si>
    <t xml:space="preserve">من يلعب في هذا المنفذ</t>
  </si>
  <si>
    <t xml:space="preserve">اللاعب</t>
  </si>
  <si>
    <t xml:space="preserve">الحجم/الوضع</t>
  </si>
  <si>
    <t xml:space="preserve">ما يسيطر عليه</t>
  </si>
  <si>
    <t xml:space="preserve">علاقته بنا</t>
  </si>
  <si>
    <t xml:space="preserve">وكلاء العلامات</t>
  </si>
  <si>
    <t xml:space="preserve">توزيع</t>
  </si>
  <si>
    <t xml:space="preserve">شبكات توزيع مرتبطة بمراكز الخدمة</t>
  </si>
  <si>
    <t xml:space="preserve">القنوات الرسمية للقطع</t>
  </si>
  <si>
    <t xml:space="preserve">مورّد محتمل</t>
  </si>
  <si>
    <t xml:space="preserve">يصلون العميل عبر مراكز الخدمة لا عبر المحطة</t>
  </si>
  <si>
    <t xml:space="preserve">الزيوت والصيانة — والإطارات والبطاريات بالتبعية</t>
  </si>
  <si>
    <t xml:space="preserve">مستأجر في 11 محطة</t>
  </si>
  <si>
    <t xml:space="preserve">المسيطر في المنتجات المجاورة — لا في الزينة</t>
  </si>
  <si>
    <t xml:space="preserve">Speero · Odiggo</t>
  </si>
  <si>
    <t xml:space="preserve">منصات رقمية</t>
  </si>
  <si>
    <t xml:space="preserve">قطع غيار وخدمات أونلاين</t>
  </si>
  <si>
    <t xml:space="preserve">قناة الشراء الرقمية</t>
  </si>
  <si>
    <t xml:space="preserve">خارج علاقتنا</t>
  </si>
  <si>
    <t xml:space="preserve">يمكن أن تكون المحطة نقطة تركيب واستلام لهم — بلا مخزون</t>
  </si>
  <si>
    <t xml:space="preserve">متاجر إلكترونية للزينة</t>
  </si>
  <si>
    <t xml:space="preserve">تجزئة رقمية</t>
  </si>
  <si>
    <t xml:space="preserve">توب ستايل · كاربون كروم · جي تي كار · هرمكو · لمسات سيارتي</t>
  </si>
  <si>
    <t xml:space="preserve">الزينة والتجهيز</t>
  </si>
  <si>
    <t xml:space="preserve">مجزّأ بلا سلسلة مسيطرة</t>
  </si>
  <si>
    <t xml:space="preserve">الأسواق التقليدية</t>
  </si>
  <si>
    <t xml:space="preserve">مركزها الغرابي بالرياض</t>
  </si>
  <si>
    <t xml:space="preserve">الزينة بالجملة</t>
  </si>
  <si>
    <t xml:space="preserve">قناة قديمة تفقد حصتها للرقمي</t>
  </si>
  <si>
    <t xml:space="preserve">بترو آب · Fleet Plus</t>
  </si>
  <si>
    <t xml:space="preserve">منصات وساطة</t>
  </si>
  <si>
    <t xml:space="preserve">وسّعتا إلى الإطارات والبطاريات والزيوت</t>
  </si>
  <si>
    <t xml:space="preserve">قناة الأسطول</t>
  </si>
  <si>
    <t xml:space="preserve">تبيعان في محطاتنا دون عقد معنا</t>
  </si>
  <si>
    <t xml:space="preserve">الخطر: يقطعان هذا المنفذ ومنفذَي الوقود وخدمات السيارات معاً</t>
  </si>
  <si>
    <t xml:space="preserve">القرار: نؤجّر أم نشغّل؟</t>
  </si>
  <si>
    <t xml:space="preserve">الشريحة</t>
  </si>
  <si>
    <t xml:space="preserve">المنتجات</t>
  </si>
  <si>
    <t xml:space="preserve">سلوك الشراء</t>
  </si>
  <si>
    <t xml:space="preserve">المخزون</t>
  </si>
  <si>
    <t xml:space="preserve">النموذج الصحيح</t>
  </si>
  <si>
    <t xml:space="preserve">السبب</t>
  </si>
  <si>
    <t xml:space="preserve">سريع الدوران</t>
  </si>
  <si>
    <t xml:space="preserve">زيوت · معطرات · مساحات · شواحن · مياه تبريد</t>
  </si>
  <si>
    <t xml:space="preserve">اندفاعي عند الكاشير</t>
  </si>
  <si>
    <t xml:space="preserve">صغير · دوران عالٍ</t>
  </si>
  <si>
    <t xml:space="preserve">بيع مباشر من الكاشير</t>
  </si>
  <si>
    <t xml:space="preserve">لا يحتاج مساحة ولا مخزوناً كبيراً — ويرفع سلة الزيارة فوراً</t>
  </si>
  <si>
    <t xml:space="preserve">أفلام حماية · تظليل · فرش · إضاءة · كروم · شاشات</t>
  </si>
  <si>
    <t xml:space="preserve">مخطَّط · مقارَن · يستغرق وقتاً</t>
  </si>
  <si>
    <t xml:space="preserve">كبير · بطيء · مرتجعات</t>
  </si>
  <si>
    <t xml:space="preserve">تأجير وحدة لمتجر متخصص + نسبة</t>
  </si>
  <si>
    <t xml:space="preserve">المخزون والمرتجعات ليست ملعبنا — والمتخصص يتحملها</t>
  </si>
  <si>
    <t xml:space="preserve">الإطارات والبطاريات</t>
  </si>
  <si>
    <t xml:space="preserve">إطارات · بطاريات</t>
  </si>
  <si>
    <t xml:space="preserve">سنوي أو طارئ · مقارنة سعرية</t>
  </si>
  <si>
    <t xml:space="preserve">ثقيل · رأس مال عالٍ</t>
  </si>
  <si>
    <t xml:space="preserve">شراكة تشغيل مع متخصص</t>
  </si>
  <si>
    <t xml:space="preserve">أعلى سلة لكنه يحتاج فنيين ومعدات — ويتقاطع مع منفذ خدمات السيارات</t>
  </si>
  <si>
    <t xml:space="preserve">الحكم</t>
  </si>
  <si>
    <t xml:space="preserve">الزينة محفظة سلة لا محفظة وجهة — العميل لا يقصد المحطة لأجلها لكنه يشتريها إن كانت في طريقه. لذلك لا تشغيل ذاتي إلا في سريع الدوران من الكاشير.</t>
  </si>
  <si>
    <t xml:space="preserve">لماذا الآن رغم أنها بصفر</t>
  </si>
  <si>
    <t xml:space="preserve">لا سلسلة مسيطرة في الزينة — أضعف منافسة في كل المنافذ الاثني عشر. والفرصة تُلتقط عبر الوحدات الشاغرة نفسها: «زيوت» و«ورشة» و«خدمات سيارات» ظهرت صراحةً ضمن الوحدات الشاغرة في الامتياز.</t>
  </si>
  <si>
    <t xml:space="preserve">التقاطع مع منفذ ٢</t>
  </si>
  <si>
    <t xml:space="preserve">هذا المنفذ لا يحتاج استثماراً جديداً — يحتاج أن تُملأ وحدات شاغرة قائمة بالنشاط الصحيح. فهو عملياً مبادرة داخل منفذ العقار لا مشروعاً منفصلاً.</t>
  </si>
  <si>
    <t xml:space="preserve">الخطر الذي يجب ألا يُغفل</t>
  </si>
  <si>
    <t xml:space="preserve">بترو آب و Fleet Plus تبيعان الإطارات والبطاريات والزيوت للأسطول داخل محطاتنا دون عقد معنا. أي أن المنفذ يُستنزف قبل أن نفتحه.</t>
  </si>
  <si>
    <t xml:space="preserve">الخطة التنفيذية لمنافذ البيع</t>
  </si>
  <si>
    <t xml:space="preserve">الخانات الصفراء تُعبّأ · الفجوة ونسبة النمو تُحسب تلقائياً</t>
  </si>
  <si>
    <t xml:space="preserve">خط الأساس</t>
  </si>
  <si>
    <t xml:space="preserve">الوحدة</t>
  </si>
  <si>
    <t xml:space="preserve">مصدر خط الأساس</t>
  </si>
  <si>
    <t xml:space="preserve">المستهدف السنوي</t>
  </si>
  <si>
    <t xml:space="preserve">نمو مطلوب</t>
  </si>
  <si>
    <t xml:space="preserve">المبادرة الرئيسية</t>
  </si>
  <si>
    <t xml:space="preserve">المسؤول</t>
  </si>
  <si>
    <t xml:space="preserve">المؤشر الحاسم</t>
  </si>
  <si>
    <t xml:space="preserve">م</t>
  </si>
  <si>
    <t xml:space="preserve">‹مثال› الخدمات المالية</t>
  </si>
  <si>
    <t xml:space="preserve">البنوك</t>
  </si>
  <si>
    <t xml:space="preserve">موقع</t>
  </si>
  <si>
    <t xml:space="preserve">leasing-own.csv</t>
  </si>
  <si>
    <t xml:space="preserve">التعاقد مع بنكين على 14 موقعاً جديداً</t>
  </si>
  <si>
    <t xml:space="preserve">‹اسم المسؤول›</t>
  </si>
  <si>
    <t xml:space="preserve">عدد المواقع المُدرّة</t>
  </si>
  <si>
    <t xml:space="preserve">لم تبدأ</t>
  </si>
  <si>
    <t xml:space="preserve">مليون ريال/سنة</t>
  </si>
  <si>
    <t xml:space="preserve">analytics.csv — إسقاط مُطبَّع</t>
  </si>
  <si>
    <t xml:space="preserve">الربح لكل زيارة</t>
  </si>
  <si>
    <t xml:space="preserve">% إشغال</t>
  </si>
  <si>
    <t xml:space="preserve">leasing-franchise.csv — 32 مؤجّرة من 128</t>
  </si>
  <si>
    <t xml:space="preserve">نسبة الإشغال</t>
  </si>
  <si>
    <t xml:space="preserve">محطة بخدمة</t>
  </si>
  <si>
    <t xml:space="preserve">الهامش لكل زيارة خدمة</t>
  </si>
  <si>
    <t xml:space="preserve">ريال/سنة</t>
  </si>
  <si>
    <t xml:space="preserve">لا إيراد موثّق</t>
  </si>
  <si>
    <t xml:space="preserve">إيراد غير وقودي لكل زيارة</t>
  </si>
  <si>
    <t xml:space="preserve">التطبيق والولاء (تانكي)</t>
  </si>
  <si>
    <t xml:space="preserve">النقد ومدى</t>
  </si>
  <si>
    <t xml:space="preserve">% من الإيراد</t>
  </si>
  <si>
    <t xml:space="preserve">analytics.csv — مرجّح بالإيراد</t>
  </si>
  <si>
    <t xml:space="preserve">نسبة الزيارات المعرَّفة</t>
  </si>
  <si>
    <t xml:space="preserve">البطاقات ومنصات الإنفاق</t>
  </si>
  <si>
    <t xml:space="preserve">لتر متعاقَد</t>
  </si>
  <si>
    <t xml:space="preserve">لا عقود أساطيل موثّقة</t>
  </si>
  <si>
    <t xml:space="preserve">لتر مباشر ÷ لتر عبر وسيط</t>
  </si>
  <si>
    <t xml:space="preserve">العربية للإعلان</t>
  </si>
  <si>
    <t xml:space="preserve">موقع مُدرّ</t>
  </si>
  <si>
    <t xml:space="preserve">لا إيراد موثّق من 355 موقعاً</t>
  </si>
  <si>
    <t xml:space="preserve">إيراد إعلاني لكل موقع</t>
  </si>
  <si>
    <t xml:space="preserve">محطة مكتملة الهوية</t>
  </si>
  <si>
    <t xml:space="preserve">stations.csv — من 231</t>
  </si>
  <si>
    <t xml:space="preserve">نسبة اكتمال الهوية</t>
  </si>
  <si>
    <t xml:space="preserve">موقع بشواحن</t>
  </si>
  <si>
    <t xml:space="preserve">لم يبدأ</t>
  </si>
  <si>
    <t xml:space="preserve">إنفاق غير وقودي لكل جلسة</t>
  </si>
  <si>
    <t xml:space="preserve">لتر مُسلَّم خارج المحطة</t>
  </si>
  <si>
    <t xml:space="preserve">غير مفعّل</t>
  </si>
  <si>
    <t xml:space="preserve">هامش التوصيل</t>
  </si>
  <si>
    <t xml:space="preserve">leasing-own.csv — من 123</t>
  </si>
  <si>
    <t xml:space="preserve">إيراد ثابت لكل موقع</t>
  </si>
  <si>
    <t xml:space="preserve">مشغّلو المواقف</t>
  </si>
  <si>
    <t xml:space="preserve">م² مُدرّ</t>
  </si>
  <si>
    <t xml:space="preserve">غير مُستثمر · 5,420 م² متاحة</t>
  </si>
  <si>
    <t xml:space="preserve">ريال لكل م² غير مبني</t>
  </si>
  <si>
    <t xml:space="preserve">ملاحظة على خط الأساس</t>
  </si>
  <si>
    <t xml:space="preserve">كل خط أساس مأخوذ من ملفات الشركة للفترة 1 يناير – 30 يونيو 2026 (12 رجب 1447 – 15 محرّم 1448). رقم الوقود إسقاط سنوي لنصف يحتوي رمضان والحج — أي حدّ أعلى. أصفار المنافذ الأخرى تعني «لا إيراد موثّق» لا «لا نشاط».</t>
  </si>
  <si>
    <t xml:space="preserve">قِيَم تراكمية بنهاية كل ربع — Q4 يجب أن يطابق المستهدف السنوي</t>
  </si>
  <si>
    <t xml:space="preserve">Q1</t>
  </si>
  <si>
    <t xml:space="preserve">Q2</t>
  </si>
  <si>
    <t xml:space="preserve">Q3</t>
  </si>
  <si>
    <t xml:space="preserve">Q4</t>
  </si>
  <si>
    <t xml:space="preserve">تطابق؟</t>
  </si>
  <si>
    <t xml:space="preserve">النمو المستهدف</t>
  </si>
  <si>
    <t xml:space="preserve">خارطة المبادرات</t>
  </si>
  <si>
    <t xml:space="preserve">كل مبادرة بمالك وتاريخ — المدة تُحسب تلقائياً</t>
  </si>
  <si>
    <t xml:space="preserve">المبادرة</t>
  </si>
  <si>
    <t xml:space="preserve">القناة</t>
  </si>
  <si>
    <t xml:space="preserve">البداية</t>
  </si>
  <si>
    <t xml:space="preserve">النهاية</t>
  </si>
  <si>
    <t xml:space="preserve">المدة</t>
  </si>
  <si>
    <t xml:space="preserve">التكلفة التقديرية</t>
  </si>
  <si>
    <t xml:space="preserve">الأثر المتوقع</t>
  </si>
  <si>
    <t xml:space="preserve">الإنجاز</t>
  </si>
  <si>
    <t xml:space="preserve">‹مثال› حصر وتصنيف الـ60 وحدة الشاغرة غير المصنّفة وتسعيرها حسب الموقع</t>
  </si>
  <si>
    <t xml:space="preserve">‹ريال›</t>
  </si>
  <si>
    <t xml:space="preserve">رفع الإشغال من 25% إلى 40%</t>
  </si>
  <si>
    <t xml:space="preserve">إجمالي المبادرات</t>
  </si>
  <si>
    <t xml:space="preserve">المحطات — قاعدة الربط</t>
  </si>
  <si>
    <t xml:space="preserve">55 محطة · 1 يناير – 30 يونيو 2026 (12 رجب 1447 – 15 محرّم 1448) · الإيراد السنوي محسوب بصيغة</t>
  </si>
  <si>
    <t xml:space="preserve">الرمز</t>
  </si>
  <si>
    <t xml:space="preserve">المحطة</t>
  </si>
  <si>
    <t xml:space="preserve">المنطقة</t>
  </si>
  <si>
    <t xml:space="preserve">نمط الموقع</t>
  </si>
  <si>
    <t xml:space="preserve">أيام البيانات</t>
  </si>
  <si>
    <t xml:space="preserve">إيراد الفترة (ر)</t>
  </si>
  <si>
    <t xml:space="preserve">إيراد سنوي مُطبَّع (ر)</t>
  </si>
  <si>
    <t xml:space="preserve">الزيارات</t>
  </si>
  <si>
    <t xml:space="preserve">اللترات</t>
  </si>
  <si>
    <t xml:space="preserve">متوسط الفاتورة</t>
  </si>
  <si>
    <t xml:space="preserve">النمو</t>
  </si>
  <si>
    <t xml:space="preserve">التطبيق</t>
  </si>
  <si>
    <t xml:space="preserve">النقد</t>
  </si>
  <si>
    <t xml:space="preserve">الديزل</t>
  </si>
  <si>
    <t xml:space="preserve">نشاط تجاري</t>
  </si>
  <si>
    <t xml:space="preserve">MK007</t>
  </si>
  <si>
    <t xml:space="preserve">العمرة الجديدة</t>
  </si>
  <si>
    <t xml:space="preserve">مكة</t>
  </si>
  <si>
    <t xml:space="preserve">حيوية</t>
  </si>
  <si>
    <t xml:space="preserve">3 نشاط</t>
  </si>
  <si>
    <t xml:space="preserve">MK003</t>
  </si>
  <si>
    <t xml:space="preserve">العوالي</t>
  </si>
  <si>
    <t xml:space="preserve">خط سفر</t>
  </si>
  <si>
    <t xml:space="preserve">5 نشاط</t>
  </si>
  <si>
    <t xml:space="preserve">MK004</t>
  </si>
  <si>
    <t xml:space="preserve">عاصفة الصحراء</t>
  </si>
  <si>
    <t xml:space="preserve">الطائف</t>
  </si>
  <si>
    <t xml:space="preserve">4 نشاط</t>
  </si>
  <si>
    <t xml:space="preserve">MK289</t>
  </si>
  <si>
    <t xml:space="preserve">طريق الليث - الفضيلة</t>
  </si>
  <si>
    <t xml:space="preserve">لا يوجد</t>
  </si>
  <si>
    <t xml:space="preserve">MK072</t>
  </si>
  <si>
    <t xml:space="preserve">العزيزية</t>
  </si>
  <si>
    <t xml:space="preserve">2 نشاط</t>
  </si>
  <si>
    <t xml:space="preserve">MK046</t>
  </si>
  <si>
    <t xml:space="preserve">الحليس - طريق الجنوب</t>
  </si>
  <si>
    <t xml:space="preserve">مختلط</t>
  </si>
  <si>
    <t xml:space="preserve">MK005</t>
  </si>
  <si>
    <t xml:space="preserve">الشيباني</t>
  </si>
  <si>
    <t xml:space="preserve">MK015</t>
  </si>
  <si>
    <t xml:space="preserve">النسيم</t>
  </si>
  <si>
    <t xml:space="preserve">MK047</t>
  </si>
  <si>
    <t xml:space="preserve">القادسية</t>
  </si>
  <si>
    <t xml:space="preserve">MK028</t>
  </si>
  <si>
    <t xml:space="preserve">أحلى مساء</t>
  </si>
  <si>
    <t xml:space="preserve">MK029</t>
  </si>
  <si>
    <t xml:space="preserve">الدائري الثالث - الذكرى</t>
  </si>
  <si>
    <t xml:space="preserve">MK033</t>
  </si>
  <si>
    <t xml:space="preserve">أبو وافي العمرة</t>
  </si>
  <si>
    <t xml:space="preserve">RY075</t>
  </si>
  <si>
    <t xml:space="preserve">الدائري الشمالي</t>
  </si>
  <si>
    <t xml:space="preserve">MK006</t>
  </si>
  <si>
    <t xml:space="preserve">جنوب الطائف</t>
  </si>
  <si>
    <t xml:space="preserve">MK001</t>
  </si>
  <si>
    <t xml:space="preserve">جبل النور</t>
  </si>
  <si>
    <t xml:space="preserve">JA092</t>
  </si>
  <si>
    <t xml:space="preserve">الصفا - أحد المسارحة</t>
  </si>
  <si>
    <t xml:space="preserve">غير مصنفة</t>
  </si>
  <si>
    <t xml:space="preserve">MK008</t>
  </si>
  <si>
    <t xml:space="preserve">الحسينية</t>
  </si>
  <si>
    <t xml:space="preserve">حي</t>
  </si>
  <si>
    <t xml:space="preserve">MK016</t>
  </si>
  <si>
    <t xml:space="preserve">الرصيفة</t>
  </si>
  <si>
    <t xml:space="preserve">MK210</t>
  </si>
  <si>
    <t xml:space="preserve">الفلاح - فلسطين</t>
  </si>
  <si>
    <t xml:space="preserve">MK017</t>
  </si>
  <si>
    <t xml:space="preserve">عرفات الشوقية</t>
  </si>
  <si>
    <t xml:space="preserve">MK020</t>
  </si>
  <si>
    <t xml:space="preserve">ممشى الشوقية</t>
  </si>
  <si>
    <t xml:space="preserve">MK063</t>
  </si>
  <si>
    <t xml:space="preserve">السواط - شهار</t>
  </si>
  <si>
    <t xml:space="preserve">MK064</t>
  </si>
  <si>
    <t xml:space="preserve">الجعرانة</t>
  </si>
  <si>
    <t xml:space="preserve">MK035</t>
  </si>
  <si>
    <t xml:space="preserve">الجمعية الوسام</t>
  </si>
  <si>
    <t xml:space="preserve">1 نشاط</t>
  </si>
  <si>
    <t xml:space="preserve">MK054</t>
  </si>
  <si>
    <t xml:space="preserve">طريق السيل</t>
  </si>
  <si>
    <t xml:space="preserve">MK022</t>
  </si>
  <si>
    <t xml:space="preserve">بطحاء قريش 1</t>
  </si>
  <si>
    <t xml:space="preserve">MK018</t>
  </si>
  <si>
    <t xml:space="preserve">الرصيفة المسار</t>
  </si>
  <si>
    <t xml:space="preserve">RY025</t>
  </si>
  <si>
    <t xml:space="preserve">الحمرا - طريق الملك عبدالله</t>
  </si>
  <si>
    <t xml:space="preserve">AS153</t>
  </si>
  <si>
    <t xml:space="preserve">مدخل محايل</t>
  </si>
  <si>
    <t xml:space="preserve">عسير</t>
  </si>
  <si>
    <t xml:space="preserve">JA069</t>
  </si>
  <si>
    <t xml:space="preserve">كورنيش جيزان</t>
  </si>
  <si>
    <t xml:space="preserve">MK014</t>
  </si>
  <si>
    <t xml:space="preserve">خليص</t>
  </si>
  <si>
    <t xml:space="preserve">MK002</t>
  </si>
  <si>
    <t xml:space="preserve">المعيصم</t>
  </si>
  <si>
    <t xml:space="preserve">MK068</t>
  </si>
  <si>
    <t xml:space="preserve">الجموم - الكنيدري</t>
  </si>
  <si>
    <t xml:space="preserve">JA348</t>
  </si>
  <si>
    <t xml:space="preserve">جنوب صبيا</t>
  </si>
  <si>
    <t xml:space="preserve">MK071</t>
  </si>
  <si>
    <t xml:space="preserve">الأجاويد</t>
  </si>
  <si>
    <t xml:space="preserve">MK084</t>
  </si>
  <si>
    <t xml:space="preserve">الكر النازل</t>
  </si>
  <si>
    <t xml:space="preserve">JA061</t>
  </si>
  <si>
    <t xml:space="preserve">طريق صبيا</t>
  </si>
  <si>
    <t xml:space="preserve">MK023</t>
  </si>
  <si>
    <t xml:space="preserve">بن درويش</t>
  </si>
  <si>
    <t xml:space="preserve">JA041</t>
  </si>
  <si>
    <t xml:space="preserve">القسوم - أحد المسارحة</t>
  </si>
  <si>
    <t xml:space="preserve">MK093</t>
  </si>
  <si>
    <t xml:space="preserve">الملك خالد</t>
  </si>
  <si>
    <t xml:space="preserve">EP051</t>
  </si>
  <si>
    <t xml:space="preserve">كورنيش الخبر</t>
  </si>
  <si>
    <t xml:space="preserve">الشرقية</t>
  </si>
  <si>
    <t xml:space="preserve">QS055</t>
  </si>
  <si>
    <t xml:space="preserve">الدائري الشرقي</t>
  </si>
  <si>
    <t xml:space="preserve">القصيم</t>
  </si>
  <si>
    <t xml:space="preserve">MK031</t>
  </si>
  <si>
    <t xml:space="preserve">بطحاء قريش 2</t>
  </si>
  <si>
    <t xml:space="preserve">JA053</t>
  </si>
  <si>
    <t xml:space="preserve">خبت نخلان</t>
  </si>
  <si>
    <t xml:space="preserve">نائية</t>
  </si>
  <si>
    <t xml:space="preserve">RY024</t>
  </si>
  <si>
    <t xml:space="preserve">غرناطة - طريق الملك عبدالله</t>
  </si>
  <si>
    <t xml:space="preserve">RY042</t>
  </si>
  <si>
    <t xml:space="preserve">الناصفة</t>
  </si>
  <si>
    <t xml:space="preserve">MK019</t>
  </si>
  <si>
    <t xml:space="preserve">الشرايع</t>
  </si>
  <si>
    <t xml:space="preserve">MK323</t>
  </si>
  <si>
    <t xml:space="preserve">جبل ثور - جوهرة النسيم</t>
  </si>
  <si>
    <t xml:space="preserve">MK099</t>
  </si>
  <si>
    <t xml:space="preserve">البيعة</t>
  </si>
  <si>
    <t xml:space="preserve">MK100</t>
  </si>
  <si>
    <t xml:space="preserve">الكوثر</t>
  </si>
  <si>
    <t xml:space="preserve">HA043</t>
  </si>
  <si>
    <t xml:space="preserve">العريفي</t>
  </si>
  <si>
    <t xml:space="preserve">JA056</t>
  </si>
  <si>
    <t xml:space="preserve">الروابي - المودة</t>
  </si>
  <si>
    <t xml:space="preserve">JA060</t>
  </si>
  <si>
    <t xml:space="preserve">صناعية صامطة</t>
  </si>
  <si>
    <t xml:space="preserve">MD009</t>
  </si>
  <si>
    <t xml:space="preserve">NJ219</t>
  </si>
  <si>
    <t xml:space="preserve">المركب</t>
  </si>
  <si>
    <t xml:space="preserve">نجران</t>
  </si>
  <si>
    <t xml:space="preserve">55</t>
  </si>
  <si>
    <t xml:space="preserve">تحذير: أعمدة النمو المظلّلة رمادياً محطات تغطيتها أقل من 175 يوماً — «0.0%» فيها تعني «لا فترة مقارنة» لا «ثبات». والإيراد السنوي المُطبَّع إسقاط لنصف يحتوي رمضان والحج، فهو حدّ أعلى لا توقّع.</t>
  </si>
</sst>
</file>

<file path=xl/styles.xml><?xml version="1.0" encoding="utf-8"?>
<styleSheet xmlns="http://schemas.openxmlformats.org/spreadsheetml/2006/main">
  <numFmts count="8">
    <numFmt numFmtId="164" formatCode="General"/>
    <numFmt numFmtId="165" formatCode="#,##0"/>
    <numFmt numFmtId="166" formatCode="0.00%"/>
    <numFmt numFmtId="167" formatCode="\+#,##0;\-#,##0;\-"/>
    <numFmt numFmtId="168" formatCode="0.0%"/>
    <numFmt numFmtId="169" formatCode="0%"/>
    <numFmt numFmtId="170" formatCode="#,##0.00"/>
    <numFmt numFmtId="171" formatCode="yyyy\-mm\-dd"/>
  </numFmts>
  <fonts count="18">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44546A"/>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
      <i val="true"/>
      <sz val="9"/>
      <color rgb="FF808080"/>
      <name val="Arial"/>
      <family val="0"/>
      <charset val="1"/>
    </font>
    <font>
      <b val="true"/>
      <sz val="10"/>
      <color rgb="FFFFFFFF"/>
      <name val="Arial"/>
      <family val="0"/>
      <charset val="1"/>
    </font>
    <font>
      <b val="true"/>
      <sz val="10"/>
      <color rgb="FF1F3864"/>
      <name val="Arial"/>
      <family val="0"/>
      <charset val="1"/>
    </font>
    <font>
      <sz val="9"/>
      <color rgb="FFC00000"/>
      <name val="Arial"/>
      <family val="0"/>
      <charset val="1"/>
    </font>
    <font>
      <b val="true"/>
      <sz val="12"/>
      <color rgb="FF1F3864"/>
      <name val="Arial"/>
      <family val="0"/>
      <charset val="1"/>
    </font>
    <font>
      <b val="true"/>
      <sz val="10"/>
      <color rgb="FFC00000"/>
      <name val="Arial"/>
      <family val="0"/>
      <charset val="1"/>
    </font>
    <font>
      <sz val="9"/>
      <color rgb="FF44546A"/>
      <name val="Arial"/>
      <family val="0"/>
      <charset val="1"/>
    </font>
    <font>
      <b val="true"/>
      <sz val="9"/>
      <color rgb="FFC00000"/>
      <name val="Arial"/>
      <family val="0"/>
      <charset val="1"/>
    </font>
  </fonts>
  <fills count="11">
    <fill>
      <patternFill patternType="none"/>
    </fill>
    <fill>
      <patternFill patternType="gray125"/>
    </fill>
    <fill>
      <patternFill patternType="solid">
        <fgColor rgb="FFFFFF00"/>
        <bgColor rgb="FFFFFF00"/>
      </patternFill>
    </fill>
    <fill>
      <patternFill patternType="solid">
        <fgColor rgb="FFF2F2F2"/>
        <bgColor rgb="FFE7E6E6"/>
      </patternFill>
    </fill>
    <fill>
      <patternFill patternType="solid">
        <fgColor rgb="FFC6E0B4"/>
        <bgColor rgb="FFBDD7EE"/>
      </patternFill>
    </fill>
    <fill>
      <patternFill patternType="solid">
        <fgColor rgb="FFFFE699"/>
        <bgColor rgb="FFF8CBAD"/>
      </patternFill>
    </fill>
    <fill>
      <patternFill patternType="solid">
        <fgColor rgb="FFF8CBAD"/>
        <bgColor rgb="FFFFE699"/>
      </patternFill>
    </fill>
    <fill>
      <patternFill patternType="solid">
        <fgColor rgb="FFBDD7EE"/>
        <bgColor rgb="FFD9E2F3"/>
      </patternFill>
    </fill>
    <fill>
      <patternFill patternType="solid">
        <fgColor rgb="FFE7E6E6"/>
        <bgColor rgb="FFD9E2F3"/>
      </patternFill>
    </fill>
    <fill>
      <patternFill patternType="solid">
        <fgColor rgb="FF1F3864"/>
        <bgColor rgb="FF333333"/>
      </patternFill>
    </fill>
    <fill>
      <patternFill patternType="solid">
        <fgColor rgb="FFD9E2F3"/>
        <bgColor rgb="FFE7E6E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center" textRotation="0" wrapText="false" indent="0" shrinkToFit="false" readingOrder="2"/>
      <protection locked="true" hidden="false"/>
    </xf>
    <xf numFmtId="164" fontId="5" fillId="0" borderId="0" xfId="0" applyFont="true" applyBorder="true" applyAlignment="true" applyProtection="false">
      <alignment horizontal="right" vertical="center" textRotation="0" wrapText="false" indent="0" shrinkToFit="false" readingOrder="2"/>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top" textRotation="0" wrapText="true" indent="0" shrinkToFit="false" readingOrder="2"/>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readingOrder="2"/>
      <protection locked="true" hidden="false"/>
    </xf>
    <xf numFmtId="164" fontId="6" fillId="5" borderId="1" xfId="0" applyFont="true" applyBorder="true" applyAlignment="true" applyProtection="false">
      <alignment horizontal="center" vertical="center" textRotation="0" wrapText="true" indent="0" shrinkToFit="false" readingOrder="2"/>
      <protection locked="true" hidden="false"/>
    </xf>
    <xf numFmtId="164" fontId="6" fillId="6" borderId="1" xfId="0" applyFont="true" applyBorder="true" applyAlignment="true" applyProtection="false">
      <alignment horizontal="center" vertical="center" textRotation="0" wrapText="true" indent="0" shrinkToFit="false" readingOrder="2"/>
      <protection locked="true" hidden="false"/>
    </xf>
    <xf numFmtId="164" fontId="6" fillId="7" borderId="1" xfId="0" applyFont="true" applyBorder="true" applyAlignment="true" applyProtection="false">
      <alignment horizontal="center" vertical="center" textRotation="0" wrapText="true" indent="0" shrinkToFit="false" readingOrder="2"/>
      <protection locked="true" hidden="false"/>
    </xf>
    <xf numFmtId="164" fontId="6" fillId="8" borderId="1" xfId="0" applyFont="true" applyBorder="true" applyAlignment="true" applyProtection="false">
      <alignment horizontal="center" vertical="center" textRotation="0" wrapText="true" indent="0" shrinkToFit="false" readingOrder="2"/>
      <protection locked="true" hidden="false"/>
    </xf>
    <xf numFmtId="164" fontId="11" fillId="9" borderId="1" xfId="0" applyFont="true" applyBorder="true" applyAlignment="true" applyProtection="false">
      <alignment horizontal="center" vertical="center" textRotation="0" wrapText="true" indent="0" shrinkToFit="false" readingOrder="2"/>
      <protection locked="true" hidden="false"/>
    </xf>
    <xf numFmtId="164" fontId="7" fillId="0" borderId="1" xfId="0" applyFont="true" applyBorder="true" applyAlignment="true" applyProtection="false">
      <alignment horizontal="right" vertical="top" textRotation="0" wrapText="true" indent="0" shrinkToFit="false" readingOrder="2"/>
      <protection locked="true" hidden="false"/>
    </xf>
    <xf numFmtId="164" fontId="6" fillId="0" borderId="1" xfId="0" applyFont="true" applyBorder="true" applyAlignment="true" applyProtection="false">
      <alignment horizontal="right" vertical="top" textRotation="0" wrapText="true" indent="0" shrinkToFit="false" readingOrder="2"/>
      <protection locked="true" hidden="false"/>
    </xf>
    <xf numFmtId="164" fontId="7" fillId="4" borderId="1" xfId="0" applyFont="true" applyBorder="true" applyAlignment="true" applyProtection="false">
      <alignment horizontal="center" vertical="center" textRotation="0" wrapText="true" indent="0" shrinkToFit="false" readingOrder="2"/>
      <protection locked="true" hidden="false"/>
    </xf>
    <xf numFmtId="164" fontId="7" fillId="5" borderId="1" xfId="0" applyFont="true" applyBorder="true" applyAlignment="true" applyProtection="false">
      <alignment horizontal="center" vertical="center" textRotation="0" wrapText="true" indent="0" shrinkToFit="false" readingOrder="2"/>
      <protection locked="true" hidden="false"/>
    </xf>
    <xf numFmtId="164" fontId="7" fillId="6" borderId="1" xfId="0" applyFont="true" applyBorder="true" applyAlignment="true" applyProtection="false">
      <alignment horizontal="center" vertical="center" textRotation="0" wrapText="true" indent="0" shrinkToFit="false" readingOrder="2"/>
      <protection locked="true" hidden="false"/>
    </xf>
    <xf numFmtId="164" fontId="7" fillId="0" borderId="1" xfId="0" applyFont="true" applyBorder="true" applyAlignment="true" applyProtection="false">
      <alignment horizontal="center" vertical="center" textRotation="0" wrapText="true" indent="0" shrinkToFit="false" readingOrder="2"/>
      <protection locked="true" hidden="false"/>
    </xf>
    <xf numFmtId="164" fontId="7" fillId="8" borderId="1" xfId="0" applyFont="true" applyBorder="true" applyAlignment="true" applyProtection="false">
      <alignment horizontal="center" vertical="center" textRotation="0" wrapText="true" indent="0" shrinkToFit="false" readingOrder="2"/>
      <protection locked="true" hidden="false"/>
    </xf>
    <xf numFmtId="164" fontId="7" fillId="7" borderId="1" xfId="0" applyFont="true" applyBorder="true" applyAlignment="true" applyProtection="false">
      <alignment horizontal="center" vertical="center" textRotation="0" wrapText="true" indent="0" shrinkToFit="false" readingOrder="2"/>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right" vertical="bottom" textRotation="0" wrapText="false" indent="0" shrinkToFit="false" readingOrder="2"/>
      <protection locked="true" hidden="false"/>
    </xf>
    <xf numFmtId="165" fontId="8" fillId="2" borderId="1" xfId="0" applyFont="true" applyBorder="true" applyAlignment="true" applyProtection="false">
      <alignment horizontal="center" vertical="center" textRotation="0" wrapText="true" indent="0" shrinkToFit="false" readingOrder="2"/>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true" indent="0" shrinkToFit="false" readingOrder="2"/>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center" textRotation="0" wrapText="true" indent="0" shrinkToFit="false" readingOrder="2"/>
      <protection locked="true" hidden="false"/>
    </xf>
    <xf numFmtId="167" fontId="7" fillId="0" borderId="1" xfId="0" applyFont="true" applyBorder="true" applyAlignment="true" applyProtection="false">
      <alignment horizontal="center" vertical="center" textRotation="0" wrapText="true" indent="0" shrinkToFit="false" readingOrder="2"/>
      <protection locked="true" hidden="false"/>
    </xf>
    <xf numFmtId="164" fontId="6" fillId="10" borderId="1" xfId="0" applyFont="true" applyBorder="true" applyAlignment="true" applyProtection="false">
      <alignment horizontal="center" vertical="center" textRotation="0" wrapText="true" indent="0" shrinkToFit="false" readingOrder="2"/>
      <protection locked="true" hidden="false"/>
    </xf>
    <xf numFmtId="164" fontId="6" fillId="10" borderId="1" xfId="0" applyFont="true" applyBorder="true" applyAlignment="false" applyProtection="false">
      <alignment horizontal="general" vertical="bottom" textRotation="0" wrapText="false" indent="0" shrinkToFit="false"/>
      <protection locked="true" hidden="false"/>
    </xf>
    <xf numFmtId="165" fontId="6" fillId="10" borderId="1" xfId="0" applyFont="true" applyBorder="true" applyAlignment="true" applyProtection="false">
      <alignment horizontal="center" vertical="center" textRotation="0" wrapText="true" indent="0" shrinkToFit="false" readingOrder="2"/>
      <protection locked="true" hidden="false"/>
    </xf>
    <xf numFmtId="166" fontId="6" fillId="10" borderId="1" xfId="0" applyFont="true" applyBorder="true" applyAlignment="true" applyProtection="false">
      <alignment horizontal="center" vertical="center" textRotation="0" wrapText="true" indent="0" shrinkToFit="false" readingOrder="2"/>
      <protection locked="true" hidden="false"/>
    </xf>
    <xf numFmtId="164" fontId="6" fillId="10" borderId="1" xfId="0" applyFont="true" applyBorder="true" applyAlignment="true" applyProtection="false">
      <alignment horizontal="right" vertical="top" textRotation="0" wrapText="true" indent="0" shrinkToFit="false" readingOrder="2"/>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true" applyProtection="false">
      <alignment horizontal="center" vertical="center" textRotation="0" wrapText="true" indent="0" shrinkToFit="false" readingOrder="2"/>
      <protection locked="true" hidden="false"/>
    </xf>
    <xf numFmtId="166" fontId="7" fillId="5" borderId="1" xfId="0" applyFont="true" applyBorder="true" applyAlignment="true" applyProtection="false">
      <alignment horizontal="center" vertical="center" textRotation="0" wrapText="true" indent="0" shrinkToFit="false" readingOrder="2"/>
      <protection locked="true" hidden="false"/>
    </xf>
    <xf numFmtId="164" fontId="7" fillId="5" borderId="1" xfId="0" applyFont="true" applyBorder="true" applyAlignment="true" applyProtection="false">
      <alignment horizontal="right" vertical="top" textRotation="0" wrapText="true" indent="0" shrinkToFit="false" readingOrder="2"/>
      <protection locked="true" hidden="false"/>
    </xf>
    <xf numFmtId="164" fontId="15" fillId="0" borderId="0" xfId="0" applyFont="true" applyBorder="true" applyAlignment="true" applyProtection="false">
      <alignment horizontal="right" vertical="top" textRotation="0" wrapText="true" indent="0" shrinkToFit="false" readingOrder="2"/>
      <protection locked="true" hidden="false"/>
    </xf>
    <xf numFmtId="164" fontId="12" fillId="0" borderId="0" xfId="0" applyFont="true" applyBorder="true" applyAlignment="true" applyProtection="false">
      <alignment horizontal="right" vertical="top" textRotation="0" wrapText="true" indent="0" shrinkToFit="false" readingOrder="2"/>
      <protection locked="true" hidden="false"/>
    </xf>
    <xf numFmtId="164" fontId="6" fillId="7" borderId="1" xfId="0" applyFont="true" applyBorder="true" applyAlignment="true" applyProtection="false">
      <alignment horizontal="right" vertical="top" textRotation="0" wrapText="true" indent="0" shrinkToFit="false" readingOrder="2"/>
      <protection locked="true" hidden="false"/>
    </xf>
    <xf numFmtId="168" fontId="7" fillId="0" borderId="1" xfId="0" applyFont="true" applyBorder="true" applyAlignment="true" applyProtection="false">
      <alignment horizontal="center" vertical="center" textRotation="0" wrapText="true" indent="0" shrinkToFit="false" readingOrder="2"/>
      <protection locked="true" hidden="false"/>
    </xf>
    <xf numFmtId="164" fontId="7" fillId="10" borderId="1" xfId="0" applyFont="true" applyBorder="true" applyAlignment="true" applyProtection="false">
      <alignment horizontal="center" vertical="center" textRotation="0" wrapText="true" indent="0" shrinkToFit="false" readingOrder="2"/>
      <protection locked="true" hidden="false"/>
    </xf>
    <xf numFmtId="164" fontId="7" fillId="10" borderId="1" xfId="0" applyFont="true" applyBorder="true" applyAlignment="true" applyProtection="false">
      <alignment horizontal="right" vertical="top" textRotation="0" wrapText="true" indent="0" shrinkToFit="false" readingOrder="2"/>
      <protection locked="true" hidden="false"/>
    </xf>
    <xf numFmtId="165" fontId="7" fillId="10" borderId="1" xfId="0" applyFont="true" applyBorder="true" applyAlignment="true" applyProtection="false">
      <alignment horizontal="center" vertical="center" textRotation="0" wrapText="true" indent="0" shrinkToFit="false" readingOrder="2"/>
      <protection locked="true" hidden="false"/>
    </xf>
    <xf numFmtId="168" fontId="7" fillId="10" borderId="1" xfId="0" applyFont="true" applyBorder="true" applyAlignment="true" applyProtection="false">
      <alignment horizontal="center" vertical="center" textRotation="0" wrapText="true" indent="0" shrinkToFit="false" readingOrder="2"/>
      <protection locked="true" hidden="false"/>
    </xf>
    <xf numFmtId="164" fontId="6" fillId="6" borderId="1" xfId="0" applyFont="true" applyBorder="true" applyAlignment="true" applyProtection="false">
      <alignment horizontal="right" vertical="top" textRotation="0" wrapText="true" indent="0" shrinkToFit="false" readingOrder="2"/>
      <protection locked="true" hidden="false"/>
    </xf>
    <xf numFmtId="164" fontId="6" fillId="5" borderId="1" xfId="0" applyFont="true" applyBorder="true" applyAlignment="true" applyProtection="false">
      <alignment horizontal="right" vertical="top" textRotation="0" wrapText="true" indent="0" shrinkToFit="false" readingOrder="2"/>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right" vertical="top" textRotation="0" wrapText="true" indent="0" shrinkToFit="false" readingOrder="2"/>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right" vertical="top" textRotation="0" wrapText="true" indent="0" shrinkToFit="false" readingOrder="2"/>
      <protection locked="true" hidden="false"/>
    </xf>
    <xf numFmtId="164" fontId="7" fillId="6" borderId="1" xfId="0" applyFont="true" applyBorder="true" applyAlignment="true" applyProtection="false">
      <alignment horizontal="right" vertical="top" textRotation="0" wrapText="true" indent="0" shrinkToFit="false" readingOrder="2"/>
      <protection locked="true" hidden="false"/>
    </xf>
    <xf numFmtId="168" fontId="7" fillId="6" borderId="1" xfId="0" applyFont="true" applyBorder="true" applyAlignment="true" applyProtection="false">
      <alignment horizontal="center" vertical="center" textRotation="0" wrapText="true" indent="0" shrinkToFit="false" readingOrder="2"/>
      <protection locked="true" hidden="false"/>
    </xf>
    <xf numFmtId="168" fontId="6" fillId="10" borderId="1" xfId="0" applyFont="true" applyBorder="true" applyAlignment="true" applyProtection="false">
      <alignment horizontal="center" vertical="center" textRotation="0" wrapText="true" indent="0" shrinkToFit="false" readingOrder="2"/>
      <protection locked="true" hidden="false"/>
    </xf>
    <xf numFmtId="169" fontId="7" fillId="0" borderId="1" xfId="0" applyFont="true" applyBorder="true" applyAlignment="true" applyProtection="false">
      <alignment horizontal="center" vertical="center" textRotation="0" wrapText="true" indent="0" shrinkToFit="false" readingOrder="2"/>
      <protection locked="true" hidden="false"/>
    </xf>
    <xf numFmtId="169" fontId="7" fillId="4" borderId="1" xfId="0" applyFont="true" applyBorder="true" applyAlignment="true" applyProtection="false">
      <alignment horizontal="center" vertical="center" textRotation="0" wrapText="true" indent="0" shrinkToFit="false" readingOrder="2"/>
      <protection locked="true" hidden="false"/>
    </xf>
    <xf numFmtId="164" fontId="10" fillId="3" borderId="1" xfId="0" applyFont="true" applyBorder="true" applyAlignment="true" applyProtection="false">
      <alignment horizontal="center" vertical="center" textRotation="0" wrapText="true" indent="0" shrinkToFit="false" readingOrder="2"/>
      <protection locked="true" hidden="false"/>
    </xf>
    <xf numFmtId="164" fontId="10" fillId="3" borderId="1" xfId="0" applyFont="true" applyBorder="true" applyAlignment="true" applyProtection="false">
      <alignment horizontal="right" vertical="top" textRotation="0" wrapText="true" indent="0" shrinkToFit="false" readingOrder="2"/>
      <protection locked="true" hidden="false"/>
    </xf>
    <xf numFmtId="168" fontId="10" fillId="3" borderId="1" xfId="0" applyFont="true" applyBorder="true" applyAlignment="true" applyProtection="false">
      <alignment horizontal="center" vertical="center" textRotation="0" wrapText="true" indent="0" shrinkToFit="false" readingOrder="2"/>
      <protection locked="true" hidden="false"/>
    </xf>
    <xf numFmtId="170" fontId="7" fillId="0" borderId="1" xfId="0" applyFont="true" applyBorder="true" applyAlignment="true" applyProtection="false">
      <alignment horizontal="center" vertical="center" textRotation="0" wrapText="true" indent="0" shrinkToFit="false" readingOrder="2"/>
      <protection locked="true" hidden="false"/>
    </xf>
    <xf numFmtId="170" fontId="8" fillId="2" borderId="1" xfId="0" applyFont="true" applyBorder="true" applyAlignment="true" applyProtection="false">
      <alignment horizontal="center" vertical="center" textRotation="0" wrapText="true" indent="0" shrinkToFit="false" readingOrder="2"/>
      <protection locked="true" hidden="false"/>
    </xf>
    <xf numFmtId="164" fontId="8" fillId="2" borderId="1" xfId="0" applyFont="true" applyBorder="true" applyAlignment="true" applyProtection="false">
      <alignment horizontal="right" vertical="top" textRotation="0" wrapText="true" indent="0" shrinkToFit="false" readingOrder="2"/>
      <protection locked="true" hidden="false"/>
    </xf>
    <xf numFmtId="164" fontId="8" fillId="2" borderId="1" xfId="0" applyFont="true" applyBorder="true" applyAlignment="true" applyProtection="false">
      <alignment horizontal="center" vertical="center" textRotation="0" wrapText="true" indent="0" shrinkToFit="false" readingOrder="2"/>
      <protection locked="true" hidden="false"/>
    </xf>
    <xf numFmtId="164" fontId="16" fillId="0" borderId="0" xfId="0" applyFont="true" applyBorder="true" applyAlignment="true" applyProtection="false">
      <alignment horizontal="right" vertical="top" textRotation="0" wrapText="true" indent="0" shrinkToFit="false" readingOrder="2"/>
      <protection locked="true" hidden="false"/>
    </xf>
    <xf numFmtId="164" fontId="0" fillId="0" borderId="1" xfId="0" applyFont="false" applyBorder="true" applyAlignment="true" applyProtection="false">
      <alignment horizontal="center" vertical="center" textRotation="0" wrapText="true" indent="0" shrinkToFit="false" readingOrder="2"/>
      <protection locked="true" hidden="false"/>
    </xf>
    <xf numFmtId="164" fontId="0" fillId="0" borderId="1" xfId="0" applyFont="true" applyBorder="true" applyAlignment="true" applyProtection="false">
      <alignment horizontal="right" vertical="top" textRotation="0" wrapText="true" indent="0" shrinkToFit="false" readingOrder="2"/>
      <protection locked="true" hidden="false"/>
    </xf>
    <xf numFmtId="170" fontId="9" fillId="0" borderId="1" xfId="0" applyFont="true" applyBorder="true" applyAlignment="true" applyProtection="false">
      <alignment horizontal="center" vertical="center" textRotation="0" wrapText="true" indent="0" shrinkToFit="false" readingOrder="2"/>
      <protection locked="true" hidden="false"/>
    </xf>
    <xf numFmtId="171" fontId="10" fillId="3" borderId="1" xfId="0" applyFont="true" applyBorder="true" applyAlignment="true" applyProtection="false">
      <alignment horizontal="center" vertical="center" textRotation="0" wrapText="true" indent="0" shrinkToFit="false" readingOrder="2"/>
      <protection locked="true" hidden="false"/>
    </xf>
    <xf numFmtId="169" fontId="10" fillId="3" borderId="1" xfId="0" applyFont="true" applyBorder="true" applyAlignment="true" applyProtection="false">
      <alignment horizontal="center" vertical="center" textRotation="0" wrapText="true" indent="0" shrinkToFit="false" readingOrder="2"/>
      <protection locked="true" hidden="false"/>
    </xf>
    <xf numFmtId="171" fontId="8" fillId="2" borderId="1" xfId="0" applyFont="true" applyBorder="true" applyAlignment="true" applyProtection="false">
      <alignment horizontal="center" vertical="center" textRotation="0" wrapText="true" indent="0" shrinkToFit="false" readingOrder="2"/>
      <protection locked="true" hidden="false"/>
    </xf>
    <xf numFmtId="169" fontId="8" fillId="2" borderId="1" xfId="0" applyFont="true" applyBorder="true" applyAlignment="true" applyProtection="false">
      <alignment horizontal="center" vertical="center" textRotation="0" wrapText="true" indent="0" shrinkToFit="false" readingOrder="2"/>
      <protection locked="true" hidden="false"/>
    </xf>
    <xf numFmtId="168" fontId="7" fillId="8" borderId="1" xfId="0" applyFont="true" applyBorder="true" applyAlignment="true" applyProtection="false">
      <alignment horizontal="center" vertical="center" textRotation="0" wrapText="true" indent="0" shrinkToFit="false" readingOrder="2"/>
      <protection locked="true" hidden="false"/>
    </xf>
    <xf numFmtId="168" fontId="7" fillId="4" borderId="1" xfId="0" applyFont="true" applyBorder="true" applyAlignment="true" applyProtection="false">
      <alignment horizontal="center" vertical="center" textRotation="0" wrapText="true" indent="0" shrinkToFit="false" readingOrder="2"/>
      <protection locked="true" hidden="false"/>
    </xf>
    <xf numFmtId="164" fontId="6" fillId="0" borderId="1" xfId="0" applyFont="true" applyBorder="true" applyAlignment="true" applyProtection="false">
      <alignment horizontal="center" vertical="center" textRotation="0" wrapText="true" indent="0" shrinkToFit="false" readingOrder="2"/>
      <protection locked="true" hidden="false"/>
    </xf>
    <xf numFmtId="165" fontId="6" fillId="0" borderId="1" xfId="0" applyFont="true" applyBorder="true" applyAlignment="true" applyProtection="false">
      <alignment horizontal="center" vertical="center" textRotation="0" wrapText="true" indent="0" shrinkToFit="false" readingOrder="2"/>
      <protection locked="true" hidden="false"/>
    </xf>
    <xf numFmtId="164" fontId="17" fillId="0" borderId="0" xfId="0" applyFont="true" applyBorder="true" applyAlignment="true" applyProtection="false">
      <alignment horizontal="right" vertical="bottom"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9E2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7E6E6"/>
      <rgbColor rgb="FFC6E0B4"/>
      <rgbColor rgb="FFFFE699"/>
      <rgbColor rgb="FF99CCFF"/>
      <rgbColor rgb="FFFF99CC"/>
      <rgbColor rgb="FFCC99FF"/>
      <rgbColor rgb="FFF8CBAD"/>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62"/>
    <col collapsed="false" customWidth="true" hidden="false" outlineLevel="0" max="4" min="4" style="0" width="30"/>
  </cols>
  <sheetData>
    <row r="1" customFormat="false" ht="25.5" hidden="false" customHeight="true" outlineLevel="0" collapsed="false">
      <c r="A1" s="1" t="s">
        <v>0</v>
      </c>
      <c r="B1" s="1"/>
      <c r="C1" s="1"/>
      <c r="D1" s="1"/>
    </row>
    <row r="2" customFormat="false" ht="18" hidden="false" customHeight="true" outlineLevel="0" collapsed="false">
      <c r="A2" s="2" t="s">
        <v>1</v>
      </c>
      <c r="B2" s="2"/>
      <c r="C2" s="2"/>
      <c r="D2" s="2"/>
    </row>
    <row r="4" customFormat="false" ht="48" hidden="false" customHeight="true" outlineLevel="0" collapsed="false">
      <c r="B4" s="3" t="s">
        <v>2</v>
      </c>
      <c r="C4" s="4" t="s">
        <v>3</v>
      </c>
    </row>
    <row r="6" customFormat="false" ht="15" hidden="false" customHeight="false" outlineLevel="0" collapsed="false">
      <c r="B6" s="3" t="s">
        <v>4</v>
      </c>
    </row>
    <row r="7" customFormat="false" ht="15" hidden="false" customHeight="false" outlineLevel="0" collapsed="false">
      <c r="B7" s="3" t="s">
        <v>5</v>
      </c>
      <c r="C7" s="4" t="s">
        <v>6</v>
      </c>
    </row>
    <row r="8" customFormat="false" ht="15" hidden="false" customHeight="false" outlineLevel="0" collapsed="false">
      <c r="B8" s="3" t="s">
        <v>7</v>
      </c>
      <c r="C8" s="4" t="s">
        <v>8</v>
      </c>
    </row>
    <row r="9" customFormat="false" ht="15" hidden="false" customHeight="false" outlineLevel="0" collapsed="false">
      <c r="B9" s="3" t="s">
        <v>9</v>
      </c>
      <c r="C9" s="4" t="s">
        <v>10</v>
      </c>
    </row>
    <row r="10" customFormat="false" ht="15" hidden="false" customHeight="false" outlineLevel="0" collapsed="false">
      <c r="B10" s="3" t="s">
        <v>11</v>
      </c>
      <c r="C10" s="4" t="s">
        <v>12</v>
      </c>
    </row>
    <row r="11" customFormat="false" ht="15" hidden="false" customHeight="false" outlineLevel="0" collapsed="false">
      <c r="B11" s="3" t="s">
        <v>13</v>
      </c>
      <c r="C11" s="4" t="s">
        <v>14</v>
      </c>
    </row>
    <row r="12" customFormat="false" ht="15" hidden="false" customHeight="false" outlineLevel="0" collapsed="false">
      <c r="B12" s="3" t="s">
        <v>15</v>
      </c>
      <c r="C12" s="4" t="s">
        <v>16</v>
      </c>
    </row>
    <row r="13" customFormat="false" ht="15" hidden="false" customHeight="false" outlineLevel="0" collapsed="false">
      <c r="B13" s="3" t="s">
        <v>17</v>
      </c>
      <c r="C13" s="4" t="s">
        <v>18</v>
      </c>
    </row>
    <row r="14" customFormat="false" ht="15" hidden="false" customHeight="false" outlineLevel="0" collapsed="false">
      <c r="B14" s="3" t="s">
        <v>19</v>
      </c>
      <c r="C14" s="4" t="s">
        <v>20</v>
      </c>
    </row>
    <row r="15" customFormat="false" ht="15" hidden="false" customHeight="false" outlineLevel="0" collapsed="false">
      <c r="B15" s="5" t="s">
        <v>21</v>
      </c>
      <c r="C15" s="4" t="s">
        <v>22</v>
      </c>
    </row>
    <row r="16" customFormat="false" ht="15" hidden="false" customHeight="false" outlineLevel="0" collapsed="false">
      <c r="B16" s="6" t="s">
        <v>23</v>
      </c>
      <c r="C16" s="4" t="s">
        <v>24</v>
      </c>
    </row>
    <row r="17" customFormat="false" ht="15" hidden="false" customHeight="false" outlineLevel="0" collapsed="false">
      <c r="B17" s="7" t="s">
        <v>25</v>
      </c>
      <c r="C17" s="8" t="s">
        <v>26</v>
      </c>
    </row>
    <row r="18" customFormat="false" ht="15" hidden="false" customHeight="false" outlineLevel="0" collapsed="false">
      <c r="B18" s="9" t="s">
        <v>27</v>
      </c>
      <c r="C18" s="8" t="s">
        <v>28</v>
      </c>
    </row>
    <row r="20" customFormat="false" ht="15" hidden="false" customHeight="false" outlineLevel="0" collapsed="false">
      <c r="B20" s="3" t="s">
        <v>29</v>
      </c>
    </row>
    <row r="21" customFormat="false" ht="15" hidden="false" customHeight="false" outlineLevel="0" collapsed="false">
      <c r="B21" s="10" t="s">
        <v>30</v>
      </c>
      <c r="C21" s="8" t="s">
        <v>31</v>
      </c>
    </row>
    <row r="22" customFormat="false" ht="15" hidden="false" customHeight="false" outlineLevel="0" collapsed="false">
      <c r="B22" s="11" t="s">
        <v>32</v>
      </c>
      <c r="C22" s="8" t="s">
        <v>33</v>
      </c>
    </row>
    <row r="23" customFormat="false" ht="15" hidden="false" customHeight="false" outlineLevel="0" collapsed="false">
      <c r="B23" s="12" t="s">
        <v>34</v>
      </c>
      <c r="C23" s="8" t="s">
        <v>35</v>
      </c>
    </row>
    <row r="24" customFormat="false" ht="15" hidden="false" customHeight="false" outlineLevel="0" collapsed="false">
      <c r="B24" s="13" t="s">
        <v>36</v>
      </c>
      <c r="C24" s="8" t="s">
        <v>37</v>
      </c>
    </row>
    <row r="25" customFormat="false" ht="15" hidden="false" customHeight="false" outlineLevel="0" collapsed="false">
      <c r="B25" s="14" t="s">
        <v>38</v>
      </c>
      <c r="C25" s="8" t="s">
        <v>39</v>
      </c>
    </row>
    <row r="27" customFormat="false" ht="45.75" hidden="false" customHeight="true" outlineLevel="0" collapsed="false">
      <c r="B27" s="3" t="s">
        <v>40</v>
      </c>
      <c r="C27" s="4" t="s">
        <v>41</v>
      </c>
    </row>
    <row r="28" customFormat="false" ht="31.5" hidden="false" customHeight="true" outlineLevel="0" collapsed="false">
      <c r="B28" s="3" t="s">
        <v>42</v>
      </c>
      <c r="C28" s="4" t="s">
        <v>43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5" min="3" style="0" width="11"/>
    <col collapsed="false" customWidth="true" hidden="false" outlineLevel="0" max="6" min="6" style="0" width="15"/>
    <col collapsed="false" customWidth="true" hidden="false" outlineLevel="0" max="7" min="7" style="0" width="24"/>
    <col collapsed="false" customWidth="true" hidden="false" outlineLevel="0" max="8" min="8" style="0" width="30"/>
    <col collapsed="false" customWidth="true" hidden="false" outlineLevel="0" max="9" min="9" style="0" width="32"/>
    <col collapsed="false" customWidth="true" hidden="false" outlineLevel="0" max="10" min="10" style="0" width="26"/>
    <col collapsed="false" customWidth="true" hidden="false" outlineLevel="0" max="11" min="11" style="0" width="16"/>
    <col collapsed="false" customWidth="true" hidden="false" outlineLevel="0" max="12" min="12" style="0" width="8"/>
  </cols>
  <sheetData>
    <row r="1" customFormat="false" ht="25.5" hidden="false" customHeight="true" outlineLevel="0" collapsed="false">
      <c r="A1" s="1" t="s">
        <v>44</v>
      </c>
      <c r="B1" s="1"/>
      <c r="C1" s="1"/>
      <c r="D1" s="1"/>
      <c r="E1" s="1"/>
      <c r="F1" s="1"/>
      <c r="G1" s="1"/>
      <c r="H1" s="1"/>
      <c r="I1" s="1"/>
      <c r="J1" s="1"/>
      <c r="K1" s="1"/>
      <c r="L1" s="1"/>
    </row>
    <row r="2" customFormat="false" ht="18" hidden="false" customHeight="true" outlineLevel="0" collapsed="false">
      <c r="A2" s="2" t="s">
        <v>45</v>
      </c>
      <c r="B2" s="2"/>
      <c r="C2" s="2"/>
      <c r="D2" s="2"/>
      <c r="E2" s="2"/>
      <c r="F2" s="2"/>
      <c r="G2" s="2"/>
      <c r="H2" s="2"/>
      <c r="I2" s="2"/>
      <c r="J2" s="2"/>
      <c r="K2" s="2"/>
      <c r="L2" s="2"/>
    </row>
    <row r="3" customFormat="false" ht="31.5" hidden="false" customHeight="true" outlineLevel="0" collapsed="false">
      <c r="A3" s="15" t="s">
        <v>46</v>
      </c>
      <c r="B3" s="15" t="s">
        <v>47</v>
      </c>
      <c r="C3" s="15" t="s">
        <v>48</v>
      </c>
      <c r="D3" s="15" t="s">
        <v>49</v>
      </c>
      <c r="E3" s="15" t="s">
        <v>50</v>
      </c>
      <c r="F3" s="15" t="s">
        <v>51</v>
      </c>
      <c r="G3" s="15" t="s">
        <v>52</v>
      </c>
      <c r="H3" s="15" t="s">
        <v>53</v>
      </c>
      <c r="I3" s="15" t="s">
        <v>54</v>
      </c>
      <c r="J3" s="15" t="s">
        <v>55</v>
      </c>
      <c r="K3" s="15" t="s">
        <v>56</v>
      </c>
      <c r="L3" s="15" t="s">
        <v>57</v>
      </c>
    </row>
    <row r="4" customFormat="false" ht="33.75" hidden="false" customHeight="true" outlineLevel="0" collapsed="false">
      <c r="A4" s="16" t="n">
        <v>1</v>
      </c>
      <c r="B4" s="17" t="s">
        <v>58</v>
      </c>
      <c r="C4" s="18" t="s">
        <v>30</v>
      </c>
      <c r="D4" s="19" t="s">
        <v>32</v>
      </c>
      <c r="E4" s="20" t="s">
        <v>34</v>
      </c>
      <c r="F4" s="21" t="s">
        <v>48</v>
      </c>
      <c r="G4" s="16" t="s">
        <v>59</v>
      </c>
      <c r="H4" s="16" t="s">
        <v>60</v>
      </c>
      <c r="I4" s="16" t="s">
        <v>61</v>
      </c>
      <c r="J4" s="16" t="s">
        <v>62</v>
      </c>
      <c r="K4" s="16" t="s">
        <v>63</v>
      </c>
      <c r="L4" s="21"/>
    </row>
    <row r="5" customFormat="false" ht="33.75" hidden="false" customHeight="true" outlineLevel="0" collapsed="false">
      <c r="A5" s="16" t="n">
        <v>2</v>
      </c>
      <c r="B5" s="17" t="s">
        <v>64</v>
      </c>
      <c r="C5" s="22" t="s">
        <v>38</v>
      </c>
      <c r="D5" s="18" t="s">
        <v>30</v>
      </c>
      <c r="E5" s="23" t="s">
        <v>36</v>
      </c>
      <c r="F5" s="21" t="s">
        <v>50</v>
      </c>
      <c r="G5" s="16" t="s">
        <v>65</v>
      </c>
      <c r="H5" s="16" t="s">
        <v>66</v>
      </c>
      <c r="I5" s="16" t="s">
        <v>67</v>
      </c>
      <c r="J5" s="16" t="s">
        <v>68</v>
      </c>
      <c r="K5" s="16" t="s">
        <v>69</v>
      </c>
      <c r="L5" s="21" t="n">
        <v>1</v>
      </c>
    </row>
    <row r="6" customFormat="false" ht="33.75" hidden="false" customHeight="true" outlineLevel="0" collapsed="false">
      <c r="A6" s="16" t="n">
        <v>3</v>
      </c>
      <c r="B6" s="17" t="s">
        <v>70</v>
      </c>
      <c r="C6" s="18" t="s">
        <v>30</v>
      </c>
      <c r="D6" s="20" t="s">
        <v>34</v>
      </c>
      <c r="E6" s="20" t="s">
        <v>34</v>
      </c>
      <c r="F6" s="21" t="s">
        <v>49</v>
      </c>
      <c r="G6" s="16" t="s">
        <v>71</v>
      </c>
      <c r="H6" s="16" t="s">
        <v>72</v>
      </c>
      <c r="I6" s="16" t="s">
        <v>73</v>
      </c>
      <c r="J6" s="16" t="s">
        <v>74</v>
      </c>
      <c r="K6" s="16" t="s">
        <v>75</v>
      </c>
      <c r="L6" s="21" t="n">
        <v>4</v>
      </c>
    </row>
    <row r="7" customFormat="false" ht="33.75" hidden="false" customHeight="true" outlineLevel="0" collapsed="false">
      <c r="A7" s="16" t="n">
        <v>4</v>
      </c>
      <c r="B7" s="17" t="s">
        <v>76</v>
      </c>
      <c r="C7" s="20" t="s">
        <v>34</v>
      </c>
      <c r="D7" s="20" t="s">
        <v>34</v>
      </c>
      <c r="E7" s="22" t="s">
        <v>38</v>
      </c>
      <c r="F7" s="21" t="s">
        <v>48</v>
      </c>
      <c r="G7" s="16" t="s">
        <v>65</v>
      </c>
      <c r="H7" s="16" t="s">
        <v>77</v>
      </c>
      <c r="I7" s="16" t="s">
        <v>78</v>
      </c>
      <c r="J7" s="16" t="s">
        <v>79</v>
      </c>
      <c r="K7" s="16" t="s">
        <v>69</v>
      </c>
      <c r="L7" s="21"/>
    </row>
    <row r="8" customFormat="false" ht="33.75" hidden="false" customHeight="true" outlineLevel="0" collapsed="false">
      <c r="A8" s="16" t="n">
        <v>5</v>
      </c>
      <c r="B8" s="17" t="s">
        <v>80</v>
      </c>
      <c r="C8" s="19" t="s">
        <v>32</v>
      </c>
      <c r="D8" s="22" t="s">
        <v>38</v>
      </c>
      <c r="E8" s="23" t="s">
        <v>36</v>
      </c>
      <c r="F8" s="21" t="s">
        <v>50</v>
      </c>
      <c r="G8" s="16" t="s">
        <v>81</v>
      </c>
      <c r="H8" s="16" t="s">
        <v>82</v>
      </c>
      <c r="I8" s="16" t="s">
        <v>83</v>
      </c>
      <c r="J8" s="16" t="s">
        <v>84</v>
      </c>
      <c r="K8" s="16" t="s">
        <v>85</v>
      </c>
      <c r="L8" s="21" t="n">
        <v>6</v>
      </c>
    </row>
    <row r="9" customFormat="false" ht="33.75" hidden="false" customHeight="true" outlineLevel="0" collapsed="false">
      <c r="A9" s="16" t="n">
        <v>6</v>
      </c>
      <c r="B9" s="17" t="s">
        <v>86</v>
      </c>
      <c r="C9" s="22" t="s">
        <v>38</v>
      </c>
      <c r="D9" s="20" t="s">
        <v>34</v>
      </c>
      <c r="E9" s="20" t="s">
        <v>34</v>
      </c>
      <c r="F9" s="21" t="s">
        <v>50</v>
      </c>
      <c r="G9" s="16" t="s">
        <v>87</v>
      </c>
      <c r="H9" s="16" t="s">
        <v>88</v>
      </c>
      <c r="I9" s="16" t="s">
        <v>89</v>
      </c>
      <c r="J9" s="16" t="s">
        <v>90</v>
      </c>
      <c r="K9" s="16" t="s">
        <v>75</v>
      </c>
      <c r="L9" s="21" t="n">
        <v>3</v>
      </c>
    </row>
    <row r="10" customFormat="false" ht="33.75" hidden="false" customHeight="true" outlineLevel="0" collapsed="false">
      <c r="A10" s="16" t="n">
        <v>7</v>
      </c>
      <c r="B10" s="17" t="s">
        <v>91</v>
      </c>
      <c r="C10" s="22" t="s">
        <v>38</v>
      </c>
      <c r="D10" s="20" t="s">
        <v>34</v>
      </c>
      <c r="E10" s="20" t="s">
        <v>34</v>
      </c>
      <c r="F10" s="21" t="s">
        <v>92</v>
      </c>
      <c r="G10" s="16" t="s">
        <v>93</v>
      </c>
      <c r="H10" s="16" t="s">
        <v>94</v>
      </c>
      <c r="I10" s="16" t="s">
        <v>95</v>
      </c>
      <c r="J10" s="16" t="s">
        <v>96</v>
      </c>
      <c r="K10" s="16" t="s">
        <v>85</v>
      </c>
      <c r="L10" s="21" t="n">
        <v>2</v>
      </c>
    </row>
    <row r="11" customFormat="false" ht="33.75" hidden="false" customHeight="true" outlineLevel="0" collapsed="false">
      <c r="A11" s="16" t="n">
        <v>8</v>
      </c>
      <c r="B11" s="17" t="s">
        <v>97</v>
      </c>
      <c r="C11" s="22" t="s">
        <v>38</v>
      </c>
      <c r="D11" s="19" t="s">
        <v>32</v>
      </c>
      <c r="E11" s="22" t="s">
        <v>38</v>
      </c>
      <c r="F11" s="21" t="s">
        <v>49</v>
      </c>
      <c r="G11" s="16" t="s">
        <v>59</v>
      </c>
      <c r="H11" s="16" t="s">
        <v>98</v>
      </c>
      <c r="I11" s="16" t="s">
        <v>99</v>
      </c>
      <c r="J11" s="16" t="s">
        <v>100</v>
      </c>
      <c r="K11" s="16" t="s">
        <v>75</v>
      </c>
      <c r="L11" s="21" t="n">
        <v>5</v>
      </c>
    </row>
    <row r="12" customFormat="false" ht="33.75" hidden="false" customHeight="true" outlineLevel="0" collapsed="false">
      <c r="A12" s="16" t="n">
        <v>9</v>
      </c>
      <c r="B12" s="17" t="s">
        <v>101</v>
      </c>
      <c r="C12" s="20" t="s">
        <v>34</v>
      </c>
      <c r="D12" s="20" t="s">
        <v>34</v>
      </c>
      <c r="E12" s="23" t="s">
        <v>36</v>
      </c>
      <c r="F12" s="21" t="s">
        <v>50</v>
      </c>
      <c r="G12" s="16" t="s">
        <v>102</v>
      </c>
      <c r="H12" s="16" t="s">
        <v>103</v>
      </c>
      <c r="I12" s="16" t="s">
        <v>78</v>
      </c>
      <c r="J12" s="16" t="s">
        <v>104</v>
      </c>
      <c r="K12" s="16" t="s">
        <v>75</v>
      </c>
      <c r="L12" s="21" t="n">
        <v>7</v>
      </c>
    </row>
    <row r="13" customFormat="false" ht="33.75" hidden="false" customHeight="true" outlineLevel="0" collapsed="false">
      <c r="A13" s="16" t="n">
        <v>10</v>
      </c>
      <c r="B13" s="17" t="s">
        <v>105</v>
      </c>
      <c r="C13" s="22" t="s">
        <v>38</v>
      </c>
      <c r="D13" s="20" t="s">
        <v>34</v>
      </c>
      <c r="E13" s="22" t="s">
        <v>38</v>
      </c>
      <c r="F13" s="21" t="s">
        <v>49</v>
      </c>
      <c r="G13" s="16" t="s">
        <v>106</v>
      </c>
      <c r="H13" s="16" t="s">
        <v>107</v>
      </c>
      <c r="I13" s="16" t="s">
        <v>78</v>
      </c>
      <c r="J13" s="16" t="s">
        <v>108</v>
      </c>
      <c r="K13" s="16" t="s">
        <v>63</v>
      </c>
      <c r="L13" s="21"/>
    </row>
    <row r="14" customFormat="false" ht="33.75" hidden="false" customHeight="true" outlineLevel="0" collapsed="false">
      <c r="A14" s="16" t="n">
        <v>11</v>
      </c>
      <c r="B14" s="17" t="s">
        <v>109</v>
      </c>
      <c r="C14" s="22" t="s">
        <v>38</v>
      </c>
      <c r="D14" s="19" t="s">
        <v>32</v>
      </c>
      <c r="E14" s="22" t="s">
        <v>38</v>
      </c>
      <c r="F14" s="21" t="s">
        <v>49</v>
      </c>
      <c r="G14" s="16" t="s">
        <v>110</v>
      </c>
      <c r="H14" s="16" t="s">
        <v>111</v>
      </c>
      <c r="I14" s="16" t="s">
        <v>112</v>
      </c>
      <c r="J14" s="16" t="s">
        <v>113</v>
      </c>
      <c r="K14" s="16" t="s">
        <v>75</v>
      </c>
      <c r="L14" s="21"/>
    </row>
    <row r="15" customFormat="false" ht="33.75" hidden="false" customHeight="true" outlineLevel="0" collapsed="false">
      <c r="A15" s="16" t="n">
        <v>12</v>
      </c>
      <c r="B15" s="17" t="s">
        <v>114</v>
      </c>
      <c r="C15" s="22" t="s">
        <v>38</v>
      </c>
      <c r="D15" s="20" t="s">
        <v>34</v>
      </c>
      <c r="E15" s="22" t="s">
        <v>38</v>
      </c>
      <c r="F15" s="21" t="s">
        <v>49</v>
      </c>
      <c r="G15" s="16" t="s">
        <v>115</v>
      </c>
      <c r="H15" s="16" t="s">
        <v>116</v>
      </c>
      <c r="I15" s="16" t="s">
        <v>117</v>
      </c>
      <c r="J15" s="16" t="s">
        <v>118</v>
      </c>
      <c r="K15" s="16" t="s">
        <v>69</v>
      </c>
      <c r="L15" s="21"/>
    </row>
    <row r="16" customFormat="false" ht="15" hidden="false" customHeight="false" outlineLevel="0" collapsed="false">
      <c r="B16" s="24" t="s">
        <v>119</v>
      </c>
      <c r="C16" s="21" t="str">
        <f aca="false">COUNTIF(C4:C15,"قائم")&amp;" قائم / "&amp;COUNTIF(C4:C15,"غائب")&amp;" غائب"</f>
        <v>2 قائم / 2 غائب</v>
      </c>
      <c r="D16" s="21" t="str">
        <f aca="false">COUNTIF(D4:D15,"قائم")&amp;" قائم / "&amp;COUNTIF(D4:D15,"غائب")&amp;" غائب"</f>
        <v>1 قائم / 7 غائب</v>
      </c>
      <c r="E16" s="21" t="str">
        <f aca="false">COUNTIF(E4:E15,"قائم")&amp;" قائم / "&amp;COUNTIF(E4:E15,"غائب")&amp;" غائب"</f>
        <v>0 قائم / 4 غائب</v>
      </c>
    </row>
    <row r="18" customFormat="false" ht="15" hidden="false" customHeight="false" outlineLevel="0" collapsed="false">
      <c r="B18" s="25" t="s">
        <v>120</v>
      </c>
      <c r="C18" s="25"/>
      <c r="D18" s="25"/>
      <c r="E18" s="25"/>
      <c r="F18" s="25"/>
      <c r="G18" s="25"/>
      <c r="H18" s="25"/>
      <c r="I18" s="25"/>
      <c r="J18" s="25"/>
    </row>
    <row r="19" customFormat="false" ht="15" hidden="false" customHeight="false" outlineLevel="0" collapsed="false">
      <c r="B19" s="25" t="s">
        <v>121</v>
      </c>
      <c r="C19" s="25"/>
      <c r="D19" s="25"/>
      <c r="E19" s="25"/>
      <c r="F19" s="25"/>
      <c r="G19" s="25"/>
      <c r="H19" s="25"/>
      <c r="I19" s="25"/>
      <c r="J19" s="25"/>
    </row>
    <row r="20" customFormat="false" ht="15" hidden="false" customHeight="false" outlineLevel="0" collapsed="false">
      <c r="B20" s="25" t="s">
        <v>122</v>
      </c>
      <c r="C20" s="25"/>
      <c r="D20" s="25"/>
      <c r="E20" s="25"/>
      <c r="F20" s="25"/>
      <c r="G20" s="25"/>
      <c r="H20" s="25"/>
      <c r="I20" s="25"/>
      <c r="J20" s="25"/>
    </row>
  </sheetData>
  <mergeCells count="5">
    <mergeCell ref="A1:L1"/>
    <mergeCell ref="A2:L2"/>
    <mergeCell ref="B18:J18"/>
    <mergeCell ref="B19:J19"/>
    <mergeCell ref="B20:J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16"/>
    <col collapsed="false" customWidth="true" hidden="false" outlineLevel="0" max="5" min="4" style="0" width="30"/>
    <col collapsed="false" customWidth="true" hidden="false" outlineLevel="0" max="7" min="6" style="0" width="28"/>
    <col collapsed="false" customWidth="true" hidden="false" outlineLevel="0" max="8" min="8" style="0" width="34"/>
    <col collapsed="false" customWidth="true" hidden="false" outlineLevel="0" max="9" min="9" style="0" width="30"/>
  </cols>
  <sheetData>
    <row r="1" customFormat="false" ht="25.5" hidden="false" customHeight="true" outlineLevel="0" collapsed="false">
      <c r="A1" s="1" t="s">
        <v>123</v>
      </c>
      <c r="B1" s="1"/>
      <c r="C1" s="1"/>
      <c r="D1" s="1"/>
      <c r="E1" s="1"/>
      <c r="F1" s="1"/>
      <c r="G1" s="1"/>
      <c r="H1" s="1"/>
      <c r="I1" s="1"/>
    </row>
    <row r="2" customFormat="false" ht="18" hidden="false" customHeight="true" outlineLevel="0" collapsed="false">
      <c r="A2" s="2" t="s">
        <v>124</v>
      </c>
      <c r="B2" s="2"/>
      <c r="C2" s="2"/>
      <c r="D2" s="2"/>
      <c r="E2" s="2"/>
      <c r="F2" s="2"/>
      <c r="G2" s="2"/>
      <c r="H2" s="2"/>
      <c r="I2" s="2"/>
    </row>
    <row r="3" customFormat="false" ht="31.5" hidden="false" customHeight="true" outlineLevel="0" collapsed="false">
      <c r="A3" s="15" t="s">
        <v>46</v>
      </c>
      <c r="B3" s="15" t="s">
        <v>125</v>
      </c>
      <c r="C3" s="15" t="s">
        <v>126</v>
      </c>
      <c r="D3" s="15" t="s">
        <v>127</v>
      </c>
      <c r="E3" s="15" t="s">
        <v>128</v>
      </c>
      <c r="F3" s="15" t="s">
        <v>129</v>
      </c>
      <c r="G3" s="15" t="s">
        <v>130</v>
      </c>
      <c r="H3" s="15" t="s">
        <v>131</v>
      </c>
      <c r="I3" s="15" t="s">
        <v>42</v>
      </c>
    </row>
    <row r="4" customFormat="false" ht="61.5" hidden="false" customHeight="true" outlineLevel="0" collapsed="false">
      <c r="A4" s="21" t="n">
        <v>1</v>
      </c>
      <c r="B4" s="17" t="s">
        <v>59</v>
      </c>
      <c r="C4" s="16" t="s">
        <v>132</v>
      </c>
      <c r="D4" s="16" t="s">
        <v>133</v>
      </c>
      <c r="E4" s="16" t="s">
        <v>134</v>
      </c>
      <c r="F4" s="16" t="s">
        <v>135</v>
      </c>
      <c r="G4" s="16" t="s">
        <v>136</v>
      </c>
      <c r="H4" s="16" t="s">
        <v>137</v>
      </c>
      <c r="I4" s="16" t="s">
        <v>138</v>
      </c>
    </row>
    <row r="5" customFormat="false" ht="61.5" hidden="false" customHeight="true" outlineLevel="0" collapsed="false">
      <c r="A5" s="21" t="n">
        <v>2</v>
      </c>
      <c r="B5" s="17" t="s">
        <v>139</v>
      </c>
      <c r="C5" s="16" t="s">
        <v>140</v>
      </c>
      <c r="D5" s="16" t="s">
        <v>141</v>
      </c>
      <c r="E5" s="16" t="s">
        <v>142</v>
      </c>
      <c r="F5" s="16" t="s">
        <v>143</v>
      </c>
      <c r="G5" s="16" t="s">
        <v>144</v>
      </c>
      <c r="H5" s="16" t="s">
        <v>145</v>
      </c>
      <c r="I5" s="16" t="s">
        <v>146</v>
      </c>
    </row>
    <row r="6" customFormat="false" ht="61.5" hidden="false" customHeight="true" outlineLevel="0" collapsed="false">
      <c r="A6" s="21" t="n">
        <v>3</v>
      </c>
      <c r="B6" s="17" t="s">
        <v>71</v>
      </c>
      <c r="C6" s="16" t="s">
        <v>147</v>
      </c>
      <c r="D6" s="16" t="s">
        <v>72</v>
      </c>
      <c r="E6" s="16" t="s">
        <v>70</v>
      </c>
      <c r="F6" s="16" t="s">
        <v>148</v>
      </c>
      <c r="G6" s="16" t="s">
        <v>149</v>
      </c>
      <c r="H6" s="16" t="s">
        <v>150</v>
      </c>
      <c r="I6" s="16" t="s">
        <v>151</v>
      </c>
    </row>
    <row r="7" customFormat="false" ht="61.5" hidden="false" customHeight="true" outlineLevel="0" collapsed="false">
      <c r="A7" s="21" t="n">
        <v>4</v>
      </c>
      <c r="B7" s="17" t="s">
        <v>93</v>
      </c>
      <c r="C7" s="16" t="s">
        <v>152</v>
      </c>
      <c r="D7" s="16" t="s">
        <v>153</v>
      </c>
      <c r="E7" s="16" t="s">
        <v>91</v>
      </c>
      <c r="F7" s="16" t="s">
        <v>154</v>
      </c>
      <c r="G7" s="16" t="s">
        <v>155</v>
      </c>
      <c r="H7" s="16" t="s">
        <v>156</v>
      </c>
      <c r="I7" s="16" t="s">
        <v>151</v>
      </c>
    </row>
    <row r="8" customFormat="false" ht="61.5" hidden="false" customHeight="true" outlineLevel="0" collapsed="false">
      <c r="A8" s="21" t="n">
        <v>5</v>
      </c>
      <c r="B8" s="17" t="s">
        <v>102</v>
      </c>
      <c r="C8" s="16" t="s">
        <v>157</v>
      </c>
      <c r="D8" s="16" t="s">
        <v>158</v>
      </c>
      <c r="E8" s="16" t="s">
        <v>101</v>
      </c>
      <c r="F8" s="16" t="s">
        <v>159</v>
      </c>
      <c r="G8" s="16" t="s">
        <v>160</v>
      </c>
      <c r="H8" s="16" t="s">
        <v>161</v>
      </c>
      <c r="I8" s="16" t="s">
        <v>162</v>
      </c>
    </row>
    <row r="9" customFormat="false" ht="61.5" hidden="false" customHeight="true" outlineLevel="0" collapsed="false">
      <c r="A9" s="21" t="n">
        <v>6</v>
      </c>
      <c r="B9" s="17" t="s">
        <v>163</v>
      </c>
      <c r="C9" s="16" t="s">
        <v>132</v>
      </c>
      <c r="D9" s="16" t="s">
        <v>164</v>
      </c>
      <c r="E9" s="16" t="s">
        <v>165</v>
      </c>
      <c r="F9" s="16" t="s">
        <v>166</v>
      </c>
      <c r="G9" s="16" t="s">
        <v>167</v>
      </c>
      <c r="H9" s="16" t="s">
        <v>168</v>
      </c>
      <c r="I9" s="16" t="s">
        <v>169</v>
      </c>
    </row>
    <row r="10" customFormat="false" ht="61.5" hidden="false" customHeight="true" outlineLevel="0" collapsed="false">
      <c r="A10" s="21" t="n">
        <v>9</v>
      </c>
      <c r="B10" s="17" t="s">
        <v>170</v>
      </c>
      <c r="C10" s="16" t="s">
        <v>171</v>
      </c>
      <c r="D10" s="16" t="s">
        <v>172</v>
      </c>
      <c r="E10" s="16" t="s">
        <v>173</v>
      </c>
      <c r="F10" s="16" t="s">
        <v>174</v>
      </c>
      <c r="G10" s="16" t="s">
        <v>175</v>
      </c>
      <c r="H10" s="16" t="s">
        <v>176</v>
      </c>
      <c r="I10" s="16" t="s">
        <v>177</v>
      </c>
    </row>
    <row r="11" customFormat="false" ht="61.5" hidden="false" customHeight="true" outlineLevel="0" collapsed="false">
      <c r="A11" s="21" t="n">
        <v>10</v>
      </c>
      <c r="B11" s="17" t="s">
        <v>178</v>
      </c>
      <c r="C11" s="16" t="s">
        <v>179</v>
      </c>
      <c r="D11" s="16" t="s">
        <v>180</v>
      </c>
      <c r="E11" s="16" t="s">
        <v>181</v>
      </c>
      <c r="F11" s="16" t="s">
        <v>182</v>
      </c>
      <c r="G11" s="16" t="s">
        <v>183</v>
      </c>
      <c r="H11" s="16" t="s">
        <v>184</v>
      </c>
      <c r="I11" s="16" t="s">
        <v>185</v>
      </c>
    </row>
    <row r="12" customFormat="false" ht="61.5" hidden="false" customHeight="true" outlineLevel="0" collapsed="false">
      <c r="A12" s="21" t="n">
        <v>7</v>
      </c>
      <c r="B12" s="17" t="s">
        <v>186</v>
      </c>
      <c r="C12" s="16" t="s">
        <v>140</v>
      </c>
      <c r="D12" s="16" t="s">
        <v>187</v>
      </c>
      <c r="E12" s="16" t="s">
        <v>188</v>
      </c>
      <c r="F12" s="16" t="s">
        <v>189</v>
      </c>
      <c r="G12" s="16" t="s">
        <v>190</v>
      </c>
      <c r="H12" s="16" t="s">
        <v>191</v>
      </c>
      <c r="I12" s="16" t="s">
        <v>151</v>
      </c>
    </row>
    <row r="13" customFormat="false" ht="61.5" hidden="false" customHeight="true" outlineLevel="0" collapsed="false">
      <c r="A13" s="21" t="n">
        <v>8</v>
      </c>
      <c r="B13" s="17" t="s">
        <v>192</v>
      </c>
      <c r="C13" s="16" t="s">
        <v>193</v>
      </c>
      <c r="D13" s="16" t="s">
        <v>194</v>
      </c>
      <c r="E13" s="16" t="s">
        <v>195</v>
      </c>
      <c r="F13" s="16" t="s">
        <v>196</v>
      </c>
      <c r="G13" s="16" t="s">
        <v>197</v>
      </c>
      <c r="H13" s="16" t="s">
        <v>198</v>
      </c>
      <c r="I13" s="16" t="s">
        <v>199</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6" min="3" style="0" width="14"/>
    <col collapsed="false" customWidth="true" hidden="false" outlineLevel="0" max="7" min="7" style="0" width="13"/>
    <col collapsed="false" customWidth="true" hidden="false" outlineLevel="0" max="8" min="8" style="0" width="14"/>
    <col collapsed="false" customWidth="true" hidden="false" outlineLevel="0" max="9" min="9" style="0" width="34"/>
  </cols>
  <sheetData>
    <row r="1" customFormat="false" ht="25.5" hidden="false" customHeight="true" outlineLevel="0" collapsed="false">
      <c r="A1" s="1" t="s">
        <v>200</v>
      </c>
      <c r="B1" s="1"/>
      <c r="C1" s="1"/>
      <c r="D1" s="1"/>
      <c r="E1" s="1"/>
      <c r="F1" s="1"/>
      <c r="G1" s="1"/>
      <c r="H1" s="1"/>
      <c r="I1" s="1"/>
    </row>
    <row r="2" customFormat="false" ht="18" hidden="false" customHeight="true" outlineLevel="0" collapsed="false">
      <c r="A2" s="2" t="s">
        <v>201</v>
      </c>
      <c r="B2" s="2"/>
      <c r="C2" s="2"/>
      <c r="D2" s="2"/>
      <c r="E2" s="2"/>
      <c r="F2" s="2"/>
      <c r="G2" s="2"/>
      <c r="H2" s="2"/>
      <c r="I2" s="2"/>
    </row>
    <row r="3" customFormat="false" ht="15" hidden="false" customHeight="false" outlineLevel="0" collapsed="false">
      <c r="B3" s="3" t="s">
        <v>202</v>
      </c>
      <c r="C3" s="26" t="n">
        <v>7300</v>
      </c>
      <c r="D3" s="27" t="s">
        <v>203</v>
      </c>
      <c r="E3" s="28" t="n">
        <v>7600</v>
      </c>
      <c r="F3" s="27" t="s">
        <v>204</v>
      </c>
      <c r="H3" s="29" t="s">
        <v>205</v>
      </c>
    </row>
    <row r="4" customFormat="false" ht="31.5" hidden="false" customHeight="true" outlineLevel="0" collapsed="false">
      <c r="A4" s="15" t="s">
        <v>46</v>
      </c>
      <c r="B4" s="15" t="s">
        <v>206</v>
      </c>
      <c r="C4" s="15" t="s">
        <v>207</v>
      </c>
      <c r="D4" s="15" t="s">
        <v>208</v>
      </c>
      <c r="E4" s="15" t="s">
        <v>209</v>
      </c>
      <c r="F4" s="15" t="s">
        <v>210</v>
      </c>
      <c r="G4" s="15" t="s">
        <v>211</v>
      </c>
      <c r="H4" s="15" t="s">
        <v>212</v>
      </c>
      <c r="I4" s="15" t="s">
        <v>213</v>
      </c>
    </row>
    <row r="5" customFormat="false" ht="30" hidden="false" customHeight="true" outlineLevel="0" collapsed="false">
      <c r="A5" s="21" t="n">
        <v>1</v>
      </c>
      <c r="B5" s="24" t="s">
        <v>59</v>
      </c>
      <c r="C5" s="28" t="n">
        <v>1300</v>
      </c>
      <c r="D5" s="30" t="n">
        <f aca="false">IFERROR(C5/$E$3,"")</f>
        <v>0.171052631578947</v>
      </c>
      <c r="E5" s="28" t="n">
        <v>1383</v>
      </c>
      <c r="F5" s="30" t="n">
        <f aca="false">IFERROR(E5/$C$3,"")</f>
        <v>0.189452054794521</v>
      </c>
      <c r="G5" s="31" t="n">
        <f aca="false">IF(E5="","",E5-C5)</f>
        <v>83</v>
      </c>
      <c r="H5" s="18" t="s">
        <v>214</v>
      </c>
      <c r="I5" s="16" t="s">
        <v>215</v>
      </c>
    </row>
    <row r="6" customFormat="false" ht="30" hidden="false" customHeight="true" outlineLevel="0" collapsed="false">
      <c r="A6" s="21" t="n">
        <v>2</v>
      </c>
      <c r="B6" s="24" t="s">
        <v>163</v>
      </c>
      <c r="C6" s="28" t="n">
        <v>653</v>
      </c>
      <c r="D6" s="30" t="n">
        <f aca="false">IFERROR(C6/$E$3,"")</f>
        <v>0.085921052631579</v>
      </c>
      <c r="E6" s="28" t="n">
        <v>683</v>
      </c>
      <c r="F6" s="30" t="n">
        <f aca="false">IFERROR(E6/$C$3,"")</f>
        <v>0.0935616438356164</v>
      </c>
      <c r="G6" s="31" t="n">
        <f aca="false">IF(E6="","",E6-C6)</f>
        <v>30</v>
      </c>
      <c r="H6" s="19" t="s">
        <v>216</v>
      </c>
      <c r="I6" s="16" t="s">
        <v>217</v>
      </c>
    </row>
    <row r="7" customFormat="false" ht="30" hidden="false" customHeight="true" outlineLevel="0" collapsed="false">
      <c r="A7" s="21" t="n">
        <v>3</v>
      </c>
      <c r="B7" s="24" t="s">
        <v>218</v>
      </c>
      <c r="C7" s="28" t="n">
        <v>176</v>
      </c>
      <c r="D7" s="30" t="n">
        <f aca="false">IFERROR(C7/$E$3,"")</f>
        <v>0.0231578947368421</v>
      </c>
      <c r="E7" s="21"/>
      <c r="F7" s="30" t="n">
        <f aca="false">IFERROR(E7/$C$3,"")</f>
        <v>0</v>
      </c>
      <c r="G7" s="31" t="str">
        <f aca="false">IF(E7="","",E7-C7)</f>
        <v/>
      </c>
      <c r="H7" s="22" t="s">
        <v>219</v>
      </c>
      <c r="I7" s="16" t="s">
        <v>220</v>
      </c>
    </row>
    <row r="8" customFormat="false" ht="30" hidden="false" customHeight="true" outlineLevel="0" collapsed="false">
      <c r="A8" s="21" t="n">
        <v>4</v>
      </c>
      <c r="B8" s="24" t="s">
        <v>221</v>
      </c>
      <c r="C8" s="28" t="n">
        <v>173</v>
      </c>
      <c r="D8" s="30" t="n">
        <f aca="false">IFERROR(C8/$E$3,"")</f>
        <v>0.0227631578947368</v>
      </c>
      <c r="E8" s="21"/>
      <c r="F8" s="30" t="n">
        <f aca="false">IFERROR(E8/$C$3,"")</f>
        <v>0</v>
      </c>
      <c r="G8" s="31" t="str">
        <f aca="false">IF(E8="","",E8-C8)</f>
        <v/>
      </c>
      <c r="H8" s="22" t="s">
        <v>219</v>
      </c>
      <c r="I8" s="16" t="s">
        <v>220</v>
      </c>
    </row>
    <row r="9" customFormat="false" ht="30" hidden="false" customHeight="true" outlineLevel="0" collapsed="false">
      <c r="A9" s="21" t="n">
        <v>5</v>
      </c>
      <c r="B9" s="24" t="s">
        <v>222</v>
      </c>
      <c r="C9" s="28" t="n">
        <v>154</v>
      </c>
      <c r="D9" s="30" t="n">
        <f aca="false">IFERROR(C9/$E$3,"")</f>
        <v>0.0202631578947368</v>
      </c>
      <c r="E9" s="21"/>
      <c r="F9" s="30" t="n">
        <f aca="false">IFERROR(E9/$C$3,"")</f>
        <v>0</v>
      </c>
      <c r="G9" s="31" t="str">
        <f aca="false">IF(E9="","",E9-C9)</f>
        <v/>
      </c>
      <c r="H9" s="22" t="s">
        <v>219</v>
      </c>
      <c r="I9" s="16" t="s">
        <v>223</v>
      </c>
    </row>
    <row r="10" customFormat="false" ht="15" hidden="false" customHeight="false" outlineLevel="0" collapsed="false">
      <c r="A10" s="32"/>
      <c r="B10" s="33" t="s">
        <v>224</v>
      </c>
      <c r="C10" s="34" t="n">
        <f aca="false">SUM(C5:C9)</f>
        <v>2456</v>
      </c>
      <c r="D10" s="35" t="n">
        <f aca="false">IFERROR(C10/$E$3,"")</f>
        <v>0.323157894736842</v>
      </c>
      <c r="E10" s="32"/>
      <c r="F10" s="32"/>
      <c r="G10" s="32"/>
      <c r="H10" s="32"/>
      <c r="I10" s="36" t="s">
        <v>225</v>
      </c>
    </row>
    <row r="11" customFormat="false" ht="15" hidden="false" customHeight="false" outlineLevel="0" collapsed="false">
      <c r="A11" s="21"/>
      <c r="B11" s="24" t="s">
        <v>226</v>
      </c>
      <c r="C11" s="28" t="n">
        <f aca="false">$E$3-C10</f>
        <v>5144</v>
      </c>
      <c r="D11" s="30" t="n">
        <f aca="false">IFERROR(C11/$E$3,"")</f>
        <v>0.676842105263158</v>
      </c>
      <c r="E11" s="21"/>
      <c r="F11" s="21"/>
      <c r="G11" s="21"/>
      <c r="H11" s="21"/>
      <c r="I11" s="16" t="s">
        <v>227</v>
      </c>
    </row>
    <row r="13" customFormat="false" ht="15" hidden="false" customHeight="false" outlineLevel="0" collapsed="false">
      <c r="B13" s="37" t="s">
        <v>228</v>
      </c>
    </row>
    <row r="14" customFormat="false" ht="31.5" hidden="false" customHeight="true" outlineLevel="0" collapsed="false">
      <c r="A14" s="15" t="s">
        <v>46</v>
      </c>
      <c r="B14" s="15" t="s">
        <v>229</v>
      </c>
      <c r="C14" s="15" t="s">
        <v>230</v>
      </c>
      <c r="D14" s="15" t="s">
        <v>231</v>
      </c>
      <c r="E14" s="15" t="s">
        <v>232</v>
      </c>
      <c r="F14" s="15" t="s">
        <v>232</v>
      </c>
      <c r="G14" s="15" t="s">
        <v>232</v>
      </c>
      <c r="H14" s="15" t="s">
        <v>233</v>
      </c>
      <c r="I14" s="15" t="s">
        <v>213</v>
      </c>
    </row>
    <row r="15" customFormat="false" ht="25.5" hidden="false" customHeight="true" outlineLevel="0" collapsed="false">
      <c r="A15" s="21" t="n">
        <v>1</v>
      </c>
      <c r="B15" s="24" t="s">
        <v>234</v>
      </c>
      <c r="C15" s="28" t="n">
        <v>355</v>
      </c>
      <c r="D15" s="30" t="n">
        <f aca="false">C15/$C$3</f>
        <v>0.0486301369863014</v>
      </c>
      <c r="E15" s="21"/>
      <c r="F15" s="21"/>
      <c r="G15" s="21"/>
      <c r="H15" s="21" t="s">
        <v>235</v>
      </c>
      <c r="I15" s="16" t="s">
        <v>236</v>
      </c>
    </row>
    <row r="16" customFormat="false" ht="25.5" hidden="false" customHeight="true" outlineLevel="0" collapsed="false">
      <c r="A16" s="21" t="n">
        <v>2</v>
      </c>
      <c r="B16" s="24" t="s">
        <v>237</v>
      </c>
      <c r="C16" s="28" t="n">
        <v>126</v>
      </c>
      <c r="D16" s="30" t="n">
        <f aca="false">C16/$C$3</f>
        <v>0.0172602739726027</v>
      </c>
      <c r="E16" s="21"/>
      <c r="F16" s="21"/>
      <c r="G16" s="21"/>
      <c r="H16" s="21" t="s">
        <v>238</v>
      </c>
      <c r="I16" s="16" t="s">
        <v>239</v>
      </c>
    </row>
    <row r="17" customFormat="false" ht="25.5" hidden="false" customHeight="true" outlineLevel="0" collapsed="false">
      <c r="A17" s="19" t="n">
        <v>3</v>
      </c>
      <c r="B17" s="38" t="s">
        <v>240</v>
      </c>
      <c r="C17" s="39" t="n">
        <v>80</v>
      </c>
      <c r="D17" s="40" t="n">
        <f aca="false">C17/$C$3</f>
        <v>0.010958904109589</v>
      </c>
      <c r="E17" s="19"/>
      <c r="F17" s="19"/>
      <c r="G17" s="19"/>
      <c r="H17" s="19" t="s">
        <v>241</v>
      </c>
      <c r="I17" s="41" t="s">
        <v>242</v>
      </c>
    </row>
    <row r="19" customFormat="false" ht="31.5" hidden="false" customHeight="true" outlineLevel="0" collapsed="false">
      <c r="B19" s="42" t="s">
        <v>243</v>
      </c>
      <c r="C19" s="42"/>
      <c r="D19" s="42"/>
      <c r="E19" s="42"/>
      <c r="F19" s="42"/>
      <c r="G19" s="42"/>
      <c r="H19" s="42"/>
      <c r="I19" s="42"/>
    </row>
    <row r="20" customFormat="false" ht="31.5" hidden="false" customHeight="true" outlineLevel="0" collapsed="false">
      <c r="B20" s="43" t="s">
        <v>244</v>
      </c>
      <c r="C20" s="43"/>
      <c r="D20" s="43"/>
      <c r="E20" s="43"/>
      <c r="F20" s="43"/>
      <c r="G20" s="43"/>
      <c r="H20" s="43"/>
      <c r="I20" s="43"/>
    </row>
    <row r="21" customFormat="false" ht="31.5" hidden="false" customHeight="true" outlineLevel="0" collapsed="false">
      <c r="B21" s="43" t="s">
        <v>245</v>
      </c>
      <c r="C21" s="43"/>
      <c r="D21" s="43"/>
      <c r="E21" s="43"/>
      <c r="F21" s="43"/>
      <c r="G21" s="43"/>
      <c r="H21" s="43"/>
      <c r="I21" s="43"/>
    </row>
    <row r="22" customFormat="false" ht="31.5" hidden="false" customHeight="true" outlineLevel="0" collapsed="false">
      <c r="B22" s="42" t="s">
        <v>246</v>
      </c>
      <c r="C22" s="42"/>
      <c r="D22" s="42"/>
      <c r="E22" s="42"/>
      <c r="F22" s="42"/>
      <c r="G22" s="42"/>
      <c r="H22" s="42"/>
      <c r="I22" s="42"/>
    </row>
  </sheetData>
  <mergeCells count="6">
    <mergeCell ref="A1:I1"/>
    <mergeCell ref="A2:I2"/>
    <mergeCell ref="B19:I19"/>
    <mergeCell ref="B20:I20"/>
    <mergeCell ref="B21:I21"/>
    <mergeCell ref="B22:I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20"/>
    <col collapsed="false" customWidth="true" hidden="false" outlineLevel="0" max="4" min="4" style="0" width="13"/>
    <col collapsed="false" customWidth="true" hidden="false" outlineLevel="0" max="5" min="5" style="0" width="20"/>
    <col collapsed="false" customWidth="true" hidden="false" outlineLevel="0" max="6" min="6" style="0" width="13"/>
    <col collapsed="false" customWidth="true" hidden="false" outlineLevel="0" max="7" min="7" style="0" width="14"/>
    <col collapsed="false" customWidth="true" hidden="false" outlineLevel="0" max="8" min="8" style="0" width="13"/>
    <col collapsed="false" customWidth="true" hidden="false" outlineLevel="0" max="10" min="9" style="0" width="20"/>
    <col collapsed="false" customWidth="true" hidden="false" outlineLevel="0" max="12" min="11" style="0" width="26"/>
    <col collapsed="false" customWidth="true" hidden="false" outlineLevel="0" max="13" min="13" style="0" width="30"/>
  </cols>
  <sheetData>
    <row r="1" customFormat="false" ht="25.5" hidden="false" customHeight="true" outlineLevel="0" collapsed="false">
      <c r="A1" s="1" t="s">
        <v>247</v>
      </c>
      <c r="B1" s="1"/>
      <c r="C1" s="1"/>
      <c r="D1" s="1"/>
      <c r="E1" s="1"/>
      <c r="F1" s="1"/>
      <c r="G1" s="1"/>
      <c r="H1" s="1"/>
      <c r="I1" s="1"/>
      <c r="J1" s="1"/>
      <c r="K1" s="1"/>
      <c r="L1" s="1"/>
      <c r="M1" s="1"/>
    </row>
    <row r="2" customFormat="false" ht="18" hidden="false" customHeight="true" outlineLevel="0" collapsed="false">
      <c r="A2" s="2" t="s">
        <v>248</v>
      </c>
      <c r="B2" s="2"/>
      <c r="C2" s="2"/>
      <c r="D2" s="2"/>
      <c r="E2" s="2"/>
      <c r="F2" s="2"/>
      <c r="G2" s="2"/>
      <c r="H2" s="2"/>
      <c r="I2" s="2"/>
      <c r="J2" s="2"/>
      <c r="K2" s="2"/>
      <c r="L2" s="2"/>
      <c r="M2" s="2"/>
    </row>
    <row r="4" customFormat="false" ht="31.5" hidden="false" customHeight="true" outlineLevel="0" collapsed="false">
      <c r="A4" s="15" t="s">
        <v>46</v>
      </c>
      <c r="B4" s="15" t="s">
        <v>249</v>
      </c>
      <c r="C4" s="15" t="s">
        <v>250</v>
      </c>
      <c r="D4" s="15" t="s">
        <v>251</v>
      </c>
      <c r="E4" s="15" t="s">
        <v>252</v>
      </c>
      <c r="F4" s="15" t="s">
        <v>253</v>
      </c>
      <c r="G4" s="15" t="s">
        <v>254</v>
      </c>
      <c r="H4" s="15" t="s">
        <v>255</v>
      </c>
      <c r="I4" s="15" t="s">
        <v>256</v>
      </c>
      <c r="J4" s="15" t="s">
        <v>257</v>
      </c>
      <c r="K4" s="15" t="s">
        <v>258</v>
      </c>
      <c r="L4" s="15" t="s">
        <v>259</v>
      </c>
      <c r="M4" s="15" t="s">
        <v>260</v>
      </c>
    </row>
    <row r="5" customFormat="false" ht="55.5" hidden="false" customHeight="true" outlineLevel="0" collapsed="false">
      <c r="A5" s="21" t="n">
        <v>1</v>
      </c>
      <c r="B5" s="44" t="s">
        <v>163</v>
      </c>
      <c r="C5" s="16" t="s">
        <v>261</v>
      </c>
      <c r="D5" s="21" t="s">
        <v>262</v>
      </c>
      <c r="E5" s="16" t="s">
        <v>263</v>
      </c>
      <c r="F5" s="28" t="n">
        <v>683</v>
      </c>
      <c r="G5" s="28" t="n">
        <v>683</v>
      </c>
      <c r="H5" s="45" t="n">
        <f aca="false">IFERROR(G5/'حصص السوق'!$C$3,"")</f>
        <v>0.0935616438356164</v>
      </c>
      <c r="I5" s="16" t="s">
        <v>264</v>
      </c>
      <c r="J5" s="16" t="s">
        <v>219</v>
      </c>
      <c r="K5" s="16" t="s">
        <v>265</v>
      </c>
      <c r="L5" s="16" t="s">
        <v>266</v>
      </c>
      <c r="M5" s="16" t="s">
        <v>267</v>
      </c>
    </row>
    <row r="6" customFormat="false" ht="55.5" hidden="false" customHeight="true" outlineLevel="0" collapsed="false">
      <c r="A6" s="21" t="n">
        <v>2</v>
      </c>
      <c r="B6" s="44" t="s">
        <v>268</v>
      </c>
      <c r="C6" s="16" t="s">
        <v>269</v>
      </c>
      <c r="D6" s="21" t="s">
        <v>262</v>
      </c>
      <c r="E6" s="16" t="s">
        <v>270</v>
      </c>
      <c r="F6" s="28" t="n">
        <v>12</v>
      </c>
      <c r="G6" s="28" t="n">
        <v>12</v>
      </c>
      <c r="H6" s="45" t="n">
        <f aca="false">IFERROR(G6/'حصص السوق'!$C$3,"")</f>
        <v>0.00164383561643836</v>
      </c>
      <c r="I6" s="16" t="s">
        <v>271</v>
      </c>
      <c r="J6" s="16" t="s">
        <v>219</v>
      </c>
      <c r="K6" s="16" t="s">
        <v>272</v>
      </c>
      <c r="L6" s="16" t="s">
        <v>273</v>
      </c>
      <c r="M6" s="16" t="s">
        <v>274</v>
      </c>
    </row>
    <row r="7" customFormat="false" ht="55.5" hidden="false" customHeight="true" outlineLevel="0" collapsed="false">
      <c r="A7" s="21" t="n">
        <v>3</v>
      </c>
      <c r="B7" s="44" t="s">
        <v>222</v>
      </c>
      <c r="C7" s="16" t="s">
        <v>275</v>
      </c>
      <c r="D7" s="21" t="s">
        <v>262</v>
      </c>
      <c r="E7" s="16" t="s">
        <v>276</v>
      </c>
      <c r="F7" s="28" t="n">
        <v>154</v>
      </c>
      <c r="G7" s="28" t="n">
        <v>154</v>
      </c>
      <c r="H7" s="45" t="n">
        <f aca="false">IFERROR(G7/'حصص السوق'!$C$3,"")</f>
        <v>0.0210958904109589</v>
      </c>
      <c r="I7" s="16" t="s">
        <v>277</v>
      </c>
      <c r="J7" s="16" t="s">
        <v>219</v>
      </c>
      <c r="K7" s="16" t="s">
        <v>278</v>
      </c>
      <c r="L7" s="16" t="s">
        <v>279</v>
      </c>
      <c r="M7" s="16" t="s">
        <v>280</v>
      </c>
    </row>
    <row r="8" customFormat="false" ht="55.5" hidden="false" customHeight="true" outlineLevel="0" collapsed="false">
      <c r="A8" s="46" t="n">
        <v>4</v>
      </c>
      <c r="B8" s="36" t="s">
        <v>281</v>
      </c>
      <c r="C8" s="47" t="s">
        <v>282</v>
      </c>
      <c r="D8" s="46" t="s">
        <v>262</v>
      </c>
      <c r="E8" s="47" t="s">
        <v>283</v>
      </c>
      <c r="F8" s="48" t="n">
        <v>355</v>
      </c>
      <c r="G8" s="48" t="n">
        <v>355</v>
      </c>
      <c r="H8" s="49" t="n">
        <f aca="false">IFERROR(G8/'حصص السوق'!$C$3,"")</f>
        <v>0.0486301369863014</v>
      </c>
      <c r="I8" s="47" t="s">
        <v>284</v>
      </c>
      <c r="J8" s="47" t="s">
        <v>285</v>
      </c>
      <c r="K8" s="47" t="s">
        <v>286</v>
      </c>
      <c r="L8" s="47" t="s">
        <v>287</v>
      </c>
      <c r="M8" s="47" t="s">
        <v>232</v>
      </c>
    </row>
    <row r="9" customFormat="false" ht="55.5" hidden="false" customHeight="true" outlineLevel="0" collapsed="false">
      <c r="A9" s="21" t="n">
        <v>5</v>
      </c>
      <c r="B9" s="50" t="s">
        <v>288</v>
      </c>
      <c r="C9" s="16" t="s">
        <v>289</v>
      </c>
      <c r="D9" s="21" t="s">
        <v>49</v>
      </c>
      <c r="E9" s="16" t="s">
        <v>290</v>
      </c>
      <c r="F9" s="28" t="n">
        <v>0</v>
      </c>
      <c r="G9" s="28" t="n">
        <v>5000</v>
      </c>
      <c r="H9" s="45" t="n">
        <f aca="false">IFERROR(G9/'حصص السوق'!$C$3,"")</f>
        <v>0.684931506849315</v>
      </c>
      <c r="I9" s="16" t="s">
        <v>291</v>
      </c>
      <c r="J9" s="16" t="s">
        <v>292</v>
      </c>
      <c r="K9" s="16" t="s">
        <v>293</v>
      </c>
      <c r="L9" s="16" t="s">
        <v>144</v>
      </c>
      <c r="M9" s="16" t="s">
        <v>294</v>
      </c>
    </row>
    <row r="10" customFormat="false" ht="55.5" hidden="false" customHeight="true" outlineLevel="0" collapsed="false">
      <c r="A10" s="21" t="n">
        <v>6</v>
      </c>
      <c r="B10" s="50" t="s">
        <v>295</v>
      </c>
      <c r="C10" s="16" t="s">
        <v>296</v>
      </c>
      <c r="D10" s="21" t="s">
        <v>49</v>
      </c>
      <c r="E10" s="16" t="s">
        <v>290</v>
      </c>
      <c r="F10" s="28" t="n">
        <v>1790</v>
      </c>
      <c r="G10" s="28" t="n">
        <v>2500</v>
      </c>
      <c r="H10" s="45" t="n">
        <f aca="false">IFERROR(G10/'حصص السوق'!$C$3,"")</f>
        <v>0.342465753424658</v>
      </c>
      <c r="I10" s="16" t="s">
        <v>277</v>
      </c>
      <c r="J10" s="16" t="s">
        <v>219</v>
      </c>
      <c r="K10" s="16" t="s">
        <v>297</v>
      </c>
      <c r="L10" s="16" t="s">
        <v>298</v>
      </c>
      <c r="M10" s="16" t="s">
        <v>299</v>
      </c>
    </row>
    <row r="11" customFormat="false" ht="55.5" hidden="false" customHeight="true" outlineLevel="0" collapsed="false">
      <c r="A11" s="21" t="n">
        <v>7</v>
      </c>
      <c r="B11" s="50" t="s">
        <v>186</v>
      </c>
      <c r="C11" s="16" t="s">
        <v>300</v>
      </c>
      <c r="D11" s="21" t="s">
        <v>49</v>
      </c>
      <c r="E11" s="16" t="s">
        <v>301</v>
      </c>
      <c r="F11" s="28" t="n">
        <v>0</v>
      </c>
      <c r="G11" s="28" t="n">
        <v>5000</v>
      </c>
      <c r="H11" s="45" t="n">
        <f aca="false">IFERROR(G11/'حصص السوق'!$C$3,"")</f>
        <v>0.684931506849315</v>
      </c>
      <c r="I11" s="16" t="s">
        <v>277</v>
      </c>
      <c r="J11" s="16" t="s">
        <v>302</v>
      </c>
      <c r="K11" s="16" t="s">
        <v>303</v>
      </c>
      <c r="L11" s="16" t="s">
        <v>190</v>
      </c>
      <c r="M11" s="16" t="s">
        <v>304</v>
      </c>
    </row>
    <row r="12" customFormat="false" ht="55.5" hidden="false" customHeight="true" outlineLevel="0" collapsed="false">
      <c r="A12" s="21" t="n">
        <v>8</v>
      </c>
      <c r="B12" s="51" t="s">
        <v>305</v>
      </c>
      <c r="C12" s="16" t="s">
        <v>59</v>
      </c>
      <c r="D12" s="21" t="s">
        <v>49</v>
      </c>
      <c r="E12" s="16" t="s">
        <v>306</v>
      </c>
      <c r="F12" s="28" t="n">
        <v>1383</v>
      </c>
      <c r="G12" s="28" t="n">
        <v>1383</v>
      </c>
      <c r="H12" s="45" t="n">
        <f aca="false">IFERROR(G12/'حصص السوق'!$C$3,"")</f>
        <v>0.189452054794521</v>
      </c>
      <c r="I12" s="16" t="s">
        <v>277</v>
      </c>
      <c r="J12" s="16" t="s">
        <v>219</v>
      </c>
      <c r="K12" s="16" t="s">
        <v>307</v>
      </c>
      <c r="L12" s="16" t="s">
        <v>308</v>
      </c>
      <c r="M12" s="16" t="s">
        <v>309</v>
      </c>
    </row>
    <row r="13" customFormat="false" ht="55.5" hidden="false" customHeight="true" outlineLevel="0" collapsed="false">
      <c r="A13" s="21" t="n">
        <v>9</v>
      </c>
      <c r="B13" s="51" t="s">
        <v>310</v>
      </c>
      <c r="C13" s="16" t="s">
        <v>163</v>
      </c>
      <c r="D13" s="21" t="s">
        <v>49</v>
      </c>
      <c r="E13" s="16" t="s">
        <v>311</v>
      </c>
      <c r="F13" s="28" t="n">
        <v>683</v>
      </c>
      <c r="G13" s="28" t="n">
        <v>683</v>
      </c>
      <c r="H13" s="45" t="n">
        <f aca="false">IFERROR(G13/'حصص السوق'!$C$3,"")</f>
        <v>0.0935616438356164</v>
      </c>
      <c r="I13" s="16" t="s">
        <v>277</v>
      </c>
      <c r="J13" s="16" t="s">
        <v>219</v>
      </c>
      <c r="K13" s="16" t="s">
        <v>312</v>
      </c>
      <c r="L13" s="16" t="s">
        <v>313</v>
      </c>
      <c r="M13" s="16" t="s">
        <v>314</v>
      </c>
    </row>
    <row r="15" customFormat="false" ht="39.75" hidden="false" customHeight="true" outlineLevel="0" collapsed="false">
      <c r="B15" s="52" t="s">
        <v>315</v>
      </c>
      <c r="C15" s="53" t="s">
        <v>316</v>
      </c>
      <c r="D15" s="53"/>
      <c r="E15" s="53"/>
      <c r="F15" s="53"/>
      <c r="G15" s="53"/>
      <c r="H15" s="53"/>
      <c r="I15" s="53"/>
      <c r="J15" s="53"/>
      <c r="K15" s="53"/>
      <c r="L15" s="53"/>
      <c r="M15" s="53"/>
    </row>
    <row r="16" customFormat="false" ht="39.75" hidden="false" customHeight="true" outlineLevel="0" collapsed="false">
      <c r="B16" s="52" t="s">
        <v>317</v>
      </c>
      <c r="C16" s="53" t="s">
        <v>318</v>
      </c>
      <c r="D16" s="53"/>
      <c r="E16" s="53"/>
      <c r="F16" s="53"/>
      <c r="G16" s="53"/>
      <c r="H16" s="53"/>
      <c r="I16" s="53"/>
      <c r="J16" s="53"/>
      <c r="K16" s="53"/>
      <c r="L16" s="53"/>
      <c r="M16" s="53"/>
    </row>
    <row r="17" customFormat="false" ht="39.75" hidden="false" customHeight="true" outlineLevel="0" collapsed="false">
      <c r="B17" s="52" t="s">
        <v>319</v>
      </c>
      <c r="C17" s="53" t="s">
        <v>320</v>
      </c>
      <c r="D17" s="53"/>
      <c r="E17" s="53"/>
      <c r="F17" s="53"/>
      <c r="G17" s="53"/>
      <c r="H17" s="53"/>
      <c r="I17" s="53"/>
      <c r="J17" s="53"/>
      <c r="K17" s="53"/>
      <c r="L17" s="53"/>
      <c r="M17" s="53"/>
    </row>
    <row r="18" customFormat="false" ht="39.75" hidden="false" customHeight="true" outlineLevel="0" collapsed="false">
      <c r="B18" s="52" t="s">
        <v>321</v>
      </c>
      <c r="C18" s="53" t="s">
        <v>322</v>
      </c>
      <c r="D18" s="53"/>
      <c r="E18" s="53"/>
      <c r="F18" s="53"/>
      <c r="G18" s="53"/>
      <c r="H18" s="53"/>
      <c r="I18" s="53"/>
      <c r="J18" s="53"/>
      <c r="K18" s="53"/>
      <c r="L18" s="53"/>
      <c r="M18" s="53"/>
    </row>
  </sheetData>
  <mergeCells count="6">
    <mergeCell ref="A1:M1"/>
    <mergeCell ref="A2:M2"/>
    <mergeCell ref="C15:M15"/>
    <mergeCell ref="C16:M16"/>
    <mergeCell ref="C17:M17"/>
    <mergeCell ref="C18:M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2"/>
    <col collapsed="false" customWidth="true" hidden="false" outlineLevel="0" max="6" min="4" style="0" width="9"/>
    <col collapsed="false" customWidth="true" hidden="false" outlineLevel="0" max="7" min="7" style="0" width="10"/>
    <col collapsed="false" customWidth="true" hidden="false" outlineLevel="0" max="8" min="8" style="0" width="34"/>
  </cols>
  <sheetData>
    <row r="1" customFormat="false" ht="25.5" hidden="false" customHeight="true" outlineLevel="0" collapsed="false">
      <c r="A1" s="1" t="s">
        <v>323</v>
      </c>
      <c r="B1" s="1"/>
      <c r="C1" s="1"/>
      <c r="D1" s="1"/>
      <c r="E1" s="1"/>
      <c r="F1" s="1"/>
      <c r="G1" s="1"/>
      <c r="H1" s="1"/>
    </row>
    <row r="2" customFormat="false" ht="18" hidden="false" customHeight="true" outlineLevel="0" collapsed="false">
      <c r="A2" s="2" t="s">
        <v>324</v>
      </c>
      <c r="B2" s="2"/>
      <c r="C2" s="2"/>
      <c r="D2" s="2"/>
      <c r="E2" s="2"/>
      <c r="F2" s="2"/>
      <c r="G2" s="2"/>
      <c r="H2" s="2"/>
    </row>
    <row r="3" customFormat="false" ht="33.75" hidden="false" customHeight="true" outlineLevel="0" collapsed="false">
      <c r="B3" s="54" t="s">
        <v>325</v>
      </c>
      <c r="C3" s="55" t="s">
        <v>326</v>
      </c>
      <c r="D3" s="55"/>
      <c r="E3" s="55"/>
      <c r="F3" s="55"/>
      <c r="G3" s="55"/>
      <c r="H3" s="55"/>
    </row>
    <row r="4" customFormat="false" ht="31.5" hidden="false" customHeight="true" outlineLevel="0" collapsed="false">
      <c r="A4" s="15" t="s">
        <v>46</v>
      </c>
      <c r="B4" s="15" t="s">
        <v>327</v>
      </c>
      <c r="C4" s="15" t="s">
        <v>328</v>
      </c>
      <c r="D4" s="15" t="s">
        <v>329</v>
      </c>
      <c r="E4" s="15" t="s">
        <v>330</v>
      </c>
      <c r="F4" s="15" t="s">
        <v>331</v>
      </c>
      <c r="G4" s="15" t="s">
        <v>332</v>
      </c>
      <c r="H4" s="15" t="s">
        <v>333</v>
      </c>
    </row>
    <row r="5" customFormat="false" ht="21.75" hidden="false" customHeight="true" outlineLevel="0" collapsed="false">
      <c r="A5" s="21" t="n">
        <v>1</v>
      </c>
      <c r="B5" s="24" t="s">
        <v>334</v>
      </c>
      <c r="C5" s="21" t="s">
        <v>335</v>
      </c>
      <c r="D5" s="21" t="n">
        <v>31</v>
      </c>
      <c r="E5" s="21" t="n">
        <v>1</v>
      </c>
      <c r="F5" s="21" t="n">
        <f aca="false">D5-E5</f>
        <v>30</v>
      </c>
      <c r="G5" s="45" t="n">
        <f aca="false">IFERROR(E5/D5,"")</f>
        <v>0.032258064516129</v>
      </c>
      <c r="H5" s="56" t="s">
        <v>336</v>
      </c>
    </row>
    <row r="6" customFormat="false" ht="21.75" hidden="false" customHeight="true" outlineLevel="0" collapsed="false">
      <c r="A6" s="21" t="n">
        <v>2</v>
      </c>
      <c r="B6" s="24" t="s">
        <v>337</v>
      </c>
      <c r="C6" s="21" t="s">
        <v>338</v>
      </c>
      <c r="D6" s="21" t="n">
        <v>12</v>
      </c>
      <c r="E6" s="21" t="n">
        <v>0</v>
      </c>
      <c r="F6" s="21" t="n">
        <f aca="false">D6-E6</f>
        <v>12</v>
      </c>
      <c r="G6" s="57" t="n">
        <f aca="false">IFERROR(E6/D6,"")</f>
        <v>0</v>
      </c>
      <c r="H6" s="56" t="s">
        <v>336</v>
      </c>
    </row>
    <row r="7" customFormat="false" ht="21.75" hidden="false" customHeight="true" outlineLevel="0" collapsed="false">
      <c r="A7" s="21" t="n">
        <v>3</v>
      </c>
      <c r="B7" s="24" t="s">
        <v>339</v>
      </c>
      <c r="C7" s="21" t="s">
        <v>340</v>
      </c>
      <c r="D7" s="21" t="n">
        <v>11</v>
      </c>
      <c r="E7" s="21" t="n">
        <v>0</v>
      </c>
      <c r="F7" s="21" t="n">
        <f aca="false">D7-E7</f>
        <v>11</v>
      </c>
      <c r="G7" s="57" t="n">
        <f aca="false">IFERROR(E7/D7,"")</f>
        <v>0</v>
      </c>
      <c r="H7" s="56" t="s">
        <v>336</v>
      </c>
    </row>
    <row r="8" customFormat="false" ht="21.75" hidden="false" customHeight="true" outlineLevel="0" collapsed="false">
      <c r="A8" s="21" t="n">
        <v>4</v>
      </c>
      <c r="B8" s="24" t="s">
        <v>341</v>
      </c>
      <c r="C8" s="21" t="s">
        <v>342</v>
      </c>
      <c r="D8" s="21" t="n">
        <v>7</v>
      </c>
      <c r="E8" s="21" t="n">
        <v>0</v>
      </c>
      <c r="F8" s="21" t="n">
        <f aca="false">D8-E8</f>
        <v>7</v>
      </c>
      <c r="G8" s="57" t="n">
        <f aca="false">IFERROR(E8/D8,"")</f>
        <v>0</v>
      </c>
      <c r="H8" s="16" t="s">
        <v>343</v>
      </c>
    </row>
    <row r="9" customFormat="false" ht="21.75" hidden="false" customHeight="true" outlineLevel="0" collapsed="false">
      <c r="A9" s="21" t="n">
        <v>5</v>
      </c>
      <c r="B9" s="24" t="s">
        <v>344</v>
      </c>
      <c r="C9" s="21" t="s">
        <v>345</v>
      </c>
      <c r="D9" s="21" t="n">
        <v>7</v>
      </c>
      <c r="E9" s="21" t="n">
        <v>0</v>
      </c>
      <c r="F9" s="21" t="n">
        <f aca="false">D9-E9</f>
        <v>7</v>
      </c>
      <c r="G9" s="57" t="n">
        <f aca="false">IFERROR(E9/D9,"")</f>
        <v>0</v>
      </c>
      <c r="H9" s="56" t="s">
        <v>336</v>
      </c>
    </row>
    <row r="10" customFormat="false" ht="21.75" hidden="false" customHeight="true" outlineLevel="0" collapsed="false">
      <c r="A10" s="21" t="n">
        <v>6</v>
      </c>
      <c r="B10" s="24" t="s">
        <v>346</v>
      </c>
      <c r="C10" s="21" t="s">
        <v>347</v>
      </c>
      <c r="D10" s="21" t="n">
        <v>10</v>
      </c>
      <c r="E10" s="21" t="n">
        <v>5</v>
      </c>
      <c r="F10" s="21" t="n">
        <f aca="false">D10-E10</f>
        <v>5</v>
      </c>
      <c r="G10" s="45" t="n">
        <f aca="false">IFERROR(E10/D10,"")</f>
        <v>0.5</v>
      </c>
      <c r="H10" s="16" t="s">
        <v>348</v>
      </c>
    </row>
    <row r="11" customFormat="false" ht="21.75" hidden="false" customHeight="true" outlineLevel="0" collapsed="false">
      <c r="A11" s="21" t="n">
        <v>7</v>
      </c>
      <c r="B11" s="24" t="s">
        <v>349</v>
      </c>
      <c r="C11" s="21" t="s">
        <v>350</v>
      </c>
      <c r="D11" s="21" t="n">
        <v>7</v>
      </c>
      <c r="E11" s="21" t="n">
        <v>3</v>
      </c>
      <c r="F11" s="21" t="n">
        <f aca="false">D11-E11</f>
        <v>4</v>
      </c>
      <c r="G11" s="45" t="n">
        <f aca="false">IFERROR(E11/D11,"")</f>
        <v>0.428571428571429</v>
      </c>
      <c r="H11" s="16" t="s">
        <v>351</v>
      </c>
    </row>
    <row r="12" customFormat="false" ht="21.75" hidden="false" customHeight="true" outlineLevel="0" collapsed="false">
      <c r="A12" s="21" t="n">
        <v>8</v>
      </c>
      <c r="B12" s="24" t="s">
        <v>352</v>
      </c>
      <c r="C12" s="21" t="s">
        <v>353</v>
      </c>
      <c r="D12" s="21" t="n">
        <v>6</v>
      </c>
      <c r="E12" s="21" t="n">
        <v>3</v>
      </c>
      <c r="F12" s="21" t="n">
        <f aca="false">D12-E12</f>
        <v>3</v>
      </c>
      <c r="G12" s="45" t="n">
        <f aca="false">IFERROR(E12/D12,"")</f>
        <v>0.5</v>
      </c>
      <c r="H12" s="16" t="s">
        <v>354</v>
      </c>
    </row>
    <row r="13" customFormat="false" ht="21.75" hidden="false" customHeight="true" outlineLevel="0" collapsed="false">
      <c r="A13" s="21" t="n">
        <v>9</v>
      </c>
      <c r="B13" s="24" t="s">
        <v>355</v>
      </c>
      <c r="C13" s="21" t="s">
        <v>356</v>
      </c>
      <c r="D13" s="21" t="n">
        <v>11</v>
      </c>
      <c r="E13" s="21" t="n">
        <v>8</v>
      </c>
      <c r="F13" s="21" t="n">
        <f aca="false">D13-E13</f>
        <v>3</v>
      </c>
      <c r="G13" s="45" t="n">
        <f aca="false">IFERROR(E13/D13,"")</f>
        <v>0.727272727272727</v>
      </c>
      <c r="H13" s="16" t="s">
        <v>357</v>
      </c>
    </row>
    <row r="14" customFormat="false" ht="21.75" hidden="false" customHeight="true" outlineLevel="0" collapsed="false">
      <c r="A14" s="21" t="n">
        <v>10</v>
      </c>
      <c r="B14" s="24" t="s">
        <v>358</v>
      </c>
      <c r="C14" s="21" t="s">
        <v>345</v>
      </c>
      <c r="D14" s="21" t="n">
        <v>3</v>
      </c>
      <c r="E14" s="21" t="n">
        <v>0</v>
      </c>
      <c r="F14" s="21" t="n">
        <f aca="false">D14-E14</f>
        <v>3</v>
      </c>
      <c r="G14" s="57" t="n">
        <f aca="false">IFERROR(E14/D14,"")</f>
        <v>0</v>
      </c>
      <c r="H14" s="16" t="s">
        <v>359</v>
      </c>
    </row>
    <row r="15" customFormat="false" ht="21.75" hidden="false" customHeight="true" outlineLevel="0" collapsed="false">
      <c r="A15" s="21" t="n">
        <v>11</v>
      </c>
      <c r="B15" s="24" t="s">
        <v>360</v>
      </c>
      <c r="C15" s="21" t="s">
        <v>361</v>
      </c>
      <c r="D15" s="21" t="n">
        <v>2</v>
      </c>
      <c r="E15" s="21" t="n">
        <v>0</v>
      </c>
      <c r="F15" s="21" t="n">
        <f aca="false">D15-E15</f>
        <v>2</v>
      </c>
      <c r="G15" s="57" t="n">
        <f aca="false">IFERROR(E15/D15,"")</f>
        <v>0</v>
      </c>
      <c r="H15" s="16" t="s">
        <v>362</v>
      </c>
    </row>
    <row r="16" customFormat="false" ht="21.75" hidden="false" customHeight="true" outlineLevel="0" collapsed="false">
      <c r="A16" s="21" t="n">
        <v>12</v>
      </c>
      <c r="B16" s="24" t="s">
        <v>363</v>
      </c>
      <c r="C16" s="21" t="s">
        <v>364</v>
      </c>
      <c r="D16" s="21" t="n">
        <v>2</v>
      </c>
      <c r="E16" s="21" t="n">
        <v>0</v>
      </c>
      <c r="F16" s="21" t="n">
        <f aca="false">D16-E16</f>
        <v>2</v>
      </c>
      <c r="G16" s="57" t="n">
        <f aca="false">IFERROR(E16/D16,"")</f>
        <v>0</v>
      </c>
      <c r="H16" s="16" t="s">
        <v>365</v>
      </c>
    </row>
    <row r="17" customFormat="false" ht="21.75" hidden="false" customHeight="true" outlineLevel="0" collapsed="false">
      <c r="A17" s="21" t="n">
        <v>13</v>
      </c>
      <c r="B17" s="24" t="s">
        <v>366</v>
      </c>
      <c r="C17" s="21" t="s">
        <v>350</v>
      </c>
      <c r="D17" s="21" t="n">
        <v>3</v>
      </c>
      <c r="E17" s="21" t="n">
        <v>1</v>
      </c>
      <c r="F17" s="21" t="n">
        <f aca="false">D17-E17</f>
        <v>2</v>
      </c>
      <c r="G17" s="45" t="n">
        <f aca="false">IFERROR(E17/D17,"")</f>
        <v>0.333333333333333</v>
      </c>
      <c r="H17" s="16" t="s">
        <v>367</v>
      </c>
    </row>
    <row r="18" customFormat="false" ht="21.75" hidden="false" customHeight="true" outlineLevel="0" collapsed="false">
      <c r="A18" s="21" t="n">
        <v>14</v>
      </c>
      <c r="B18" s="24" t="s">
        <v>368</v>
      </c>
      <c r="C18" s="21" t="s">
        <v>369</v>
      </c>
      <c r="D18" s="21" t="n">
        <v>5</v>
      </c>
      <c r="E18" s="21" t="n">
        <v>4</v>
      </c>
      <c r="F18" s="21" t="n">
        <f aca="false">D18-E18</f>
        <v>1</v>
      </c>
      <c r="G18" s="45" t="n">
        <f aca="false">IFERROR(E18/D18,"")</f>
        <v>0.8</v>
      </c>
      <c r="H18" s="16" t="s">
        <v>370</v>
      </c>
    </row>
    <row r="19" customFormat="false" ht="21.75" hidden="false" customHeight="true" outlineLevel="0" collapsed="false">
      <c r="A19" s="21" t="n">
        <v>15</v>
      </c>
      <c r="B19" s="24" t="s">
        <v>371</v>
      </c>
      <c r="C19" s="21" t="s">
        <v>369</v>
      </c>
      <c r="D19" s="21" t="n">
        <v>8</v>
      </c>
      <c r="E19" s="21" t="n">
        <v>7</v>
      </c>
      <c r="F19" s="21" t="n">
        <f aca="false">D19-E19</f>
        <v>1</v>
      </c>
      <c r="G19" s="45" t="n">
        <f aca="false">IFERROR(E19/D19,"")</f>
        <v>0.875</v>
      </c>
      <c r="H19" s="16" t="s">
        <v>372</v>
      </c>
    </row>
    <row r="20" customFormat="false" ht="21.75" hidden="false" customHeight="true" outlineLevel="0" collapsed="false">
      <c r="A20" s="21" t="n">
        <v>16</v>
      </c>
      <c r="B20" s="24" t="s">
        <v>373</v>
      </c>
      <c r="C20" s="21" t="s">
        <v>345</v>
      </c>
      <c r="D20" s="21" t="n">
        <v>1</v>
      </c>
      <c r="E20" s="21" t="n">
        <v>0</v>
      </c>
      <c r="F20" s="21" t="n">
        <f aca="false">D20-E20</f>
        <v>1</v>
      </c>
      <c r="G20" s="57" t="n">
        <f aca="false">IFERROR(E20/D20,"")</f>
        <v>0</v>
      </c>
      <c r="H20" s="16" t="s">
        <v>372</v>
      </c>
    </row>
    <row r="21" customFormat="false" ht="21.75" hidden="false" customHeight="true" outlineLevel="0" collapsed="false">
      <c r="A21" s="21" t="n">
        <v>17</v>
      </c>
      <c r="B21" s="24" t="s">
        <v>374</v>
      </c>
      <c r="C21" s="21" t="s">
        <v>345</v>
      </c>
      <c r="D21" s="21" t="n">
        <v>1</v>
      </c>
      <c r="E21" s="21" t="n">
        <v>0</v>
      </c>
      <c r="F21" s="21" t="n">
        <f aca="false">D21-E21</f>
        <v>1</v>
      </c>
      <c r="G21" s="57" t="n">
        <f aca="false">IFERROR(E21/D21,"")</f>
        <v>0</v>
      </c>
      <c r="H21" s="16" t="s">
        <v>370</v>
      </c>
    </row>
    <row r="22" customFormat="false" ht="21.75" hidden="false" customHeight="true" outlineLevel="0" collapsed="false">
      <c r="A22" s="21" t="n">
        <v>18</v>
      </c>
      <c r="B22" s="24" t="s">
        <v>375</v>
      </c>
      <c r="C22" s="21" t="s">
        <v>345</v>
      </c>
      <c r="D22" s="21" t="n">
        <v>1</v>
      </c>
      <c r="E22" s="21" t="n">
        <v>0</v>
      </c>
      <c r="F22" s="21" t="n">
        <f aca="false">D22-E22</f>
        <v>1</v>
      </c>
      <c r="G22" s="57" t="n">
        <f aca="false">IFERROR(E22/D22,"")</f>
        <v>0</v>
      </c>
      <c r="H22" s="16" t="s">
        <v>376</v>
      </c>
    </row>
    <row r="23" customFormat="false" ht="15" hidden="false" customHeight="false" outlineLevel="0" collapsed="false">
      <c r="A23" s="32"/>
      <c r="B23" s="33" t="s">
        <v>119</v>
      </c>
      <c r="C23" s="32"/>
      <c r="D23" s="32" t="n">
        <f aca="false">SUM(D5:D22)</f>
        <v>128</v>
      </c>
      <c r="E23" s="32" t="n">
        <f aca="false">SUM(E5:E22)</f>
        <v>32</v>
      </c>
      <c r="F23" s="32" t="n">
        <f aca="false">SUM(F5:F22)</f>
        <v>96</v>
      </c>
      <c r="G23" s="58" t="n">
        <f aca="false">IFERROR(E23/D23,"")</f>
        <v>0.25</v>
      </c>
      <c r="H23" s="33"/>
    </row>
    <row r="25" customFormat="false" ht="15" hidden="false" customHeight="false" outlineLevel="0" collapsed="false">
      <c r="B25" s="37" t="s">
        <v>377</v>
      </c>
    </row>
    <row r="26" customFormat="false" ht="31.5" hidden="false" customHeight="true" outlineLevel="0" collapsed="false">
      <c r="A26" s="15" t="s">
        <v>46</v>
      </c>
      <c r="B26" s="15" t="s">
        <v>378</v>
      </c>
      <c r="C26" s="15" t="s">
        <v>379</v>
      </c>
      <c r="D26" s="15" t="s">
        <v>380</v>
      </c>
      <c r="E26" s="15" t="s">
        <v>381</v>
      </c>
      <c r="F26" s="15"/>
      <c r="G26" s="15"/>
      <c r="H26" s="15" t="s">
        <v>382</v>
      </c>
    </row>
    <row r="27" customFormat="false" ht="24" hidden="false" customHeight="true" outlineLevel="0" collapsed="false">
      <c r="A27" s="21" t="n">
        <v>1</v>
      </c>
      <c r="B27" s="24" t="s">
        <v>383</v>
      </c>
      <c r="C27" s="21" t="n">
        <v>71</v>
      </c>
      <c r="D27" s="21" t="n">
        <v>51</v>
      </c>
      <c r="E27" s="20" t="n">
        <v>20</v>
      </c>
      <c r="F27" s="21"/>
      <c r="G27" s="21"/>
      <c r="H27" s="16" t="s">
        <v>384</v>
      </c>
    </row>
    <row r="28" customFormat="false" ht="24" hidden="false" customHeight="true" outlineLevel="0" collapsed="false">
      <c r="A28" s="21" t="n">
        <v>2</v>
      </c>
      <c r="B28" s="24" t="s">
        <v>385</v>
      </c>
      <c r="C28" s="21" t="n">
        <v>52</v>
      </c>
      <c r="D28" s="21" t="n">
        <v>0</v>
      </c>
      <c r="E28" s="19" t="n">
        <v>52</v>
      </c>
      <c r="F28" s="21"/>
      <c r="G28" s="21"/>
      <c r="H28" s="16" t="s">
        <v>386</v>
      </c>
    </row>
    <row r="30" customFormat="false" ht="15" hidden="false" customHeight="false" outlineLevel="0" collapsed="false">
      <c r="B30" s="37" t="s">
        <v>387</v>
      </c>
    </row>
    <row r="31" customFormat="false" ht="31.5" hidden="false" customHeight="true" outlineLevel="0" collapsed="false">
      <c r="A31" s="15" t="s">
        <v>46</v>
      </c>
      <c r="B31" s="15" t="s">
        <v>251</v>
      </c>
      <c r="C31" s="15" t="s">
        <v>388</v>
      </c>
      <c r="D31" s="15" t="s">
        <v>389</v>
      </c>
      <c r="E31" s="15" t="s">
        <v>390</v>
      </c>
      <c r="F31" s="15" t="s">
        <v>391</v>
      </c>
      <c r="G31" s="15" t="s">
        <v>392</v>
      </c>
      <c r="H31" s="15" t="s">
        <v>382</v>
      </c>
    </row>
    <row r="32" customFormat="false" ht="24" hidden="false" customHeight="true" outlineLevel="0" collapsed="false">
      <c r="A32" s="21" t="n">
        <v>1</v>
      </c>
      <c r="B32" s="24" t="s">
        <v>393</v>
      </c>
      <c r="C32" s="21" t="n">
        <v>26</v>
      </c>
      <c r="D32" s="21" t="n">
        <v>48</v>
      </c>
      <c r="E32" s="6" t="s">
        <v>394</v>
      </c>
      <c r="F32" s="21" t="n">
        <v>7</v>
      </c>
      <c r="G32" s="59" t="n">
        <f aca="false">IFERROR(F32/C32,"")</f>
        <v>0.269230769230769</v>
      </c>
      <c r="H32" s="16" t="s">
        <v>395</v>
      </c>
    </row>
    <row r="33" customFormat="false" ht="24" hidden="false" customHeight="true" outlineLevel="0" collapsed="false">
      <c r="A33" s="21" t="n">
        <v>2</v>
      </c>
      <c r="B33" s="24" t="s">
        <v>396</v>
      </c>
      <c r="C33" s="21" t="n">
        <v>42</v>
      </c>
      <c r="D33" s="21" t="n">
        <v>67</v>
      </c>
      <c r="E33" s="6" t="s">
        <v>397</v>
      </c>
      <c r="F33" s="21" t="n">
        <v>12</v>
      </c>
      <c r="G33" s="59" t="n">
        <f aca="false">IFERROR(F33/C33,"")</f>
        <v>0.285714285714286</v>
      </c>
      <c r="H33" s="16" t="s">
        <v>395</v>
      </c>
    </row>
    <row r="34" customFormat="false" ht="24" hidden="false" customHeight="true" outlineLevel="0" collapsed="false">
      <c r="A34" s="21" t="n">
        <v>3</v>
      </c>
      <c r="B34" s="24" t="s">
        <v>398</v>
      </c>
      <c r="C34" s="21" t="n">
        <v>40</v>
      </c>
      <c r="D34" s="21" t="n">
        <v>23</v>
      </c>
      <c r="E34" s="6" t="s">
        <v>399</v>
      </c>
      <c r="F34" s="21" t="n">
        <v>17</v>
      </c>
      <c r="G34" s="60" t="n">
        <f aca="false">IFERROR(F34/C34,"")</f>
        <v>0.425</v>
      </c>
      <c r="H34" s="16" t="s">
        <v>400</v>
      </c>
    </row>
    <row r="35" customFormat="false" ht="24" hidden="false" customHeight="true" outlineLevel="0" collapsed="false">
      <c r="A35" s="21" t="n">
        <v>4</v>
      </c>
      <c r="B35" s="24" t="s">
        <v>401</v>
      </c>
      <c r="C35" s="21" t="n">
        <v>6</v>
      </c>
      <c r="D35" s="21" t="n">
        <v>6</v>
      </c>
      <c r="E35" s="6" t="s">
        <v>402</v>
      </c>
      <c r="F35" s="21" t="n">
        <v>1</v>
      </c>
      <c r="G35" s="59" t="n">
        <f aca="false">IFERROR(F35/C35,"")</f>
        <v>0.166666666666667</v>
      </c>
      <c r="H35" s="16" t="s">
        <v>403</v>
      </c>
    </row>
    <row r="36" customFormat="false" ht="24" hidden="false" customHeight="true" outlineLevel="0" collapsed="false">
      <c r="A36" s="21" t="n">
        <v>5</v>
      </c>
      <c r="B36" s="24" t="s">
        <v>404</v>
      </c>
      <c r="C36" s="21" t="n">
        <v>39</v>
      </c>
      <c r="D36" s="21" t="n">
        <v>46</v>
      </c>
      <c r="E36" s="6" t="s">
        <v>405</v>
      </c>
      <c r="F36" s="21" t="n">
        <v>11</v>
      </c>
      <c r="G36" s="59" t="n">
        <f aca="false">IFERROR(F36/C36,"")</f>
        <v>0.282051282051282</v>
      </c>
      <c r="H36" s="16" t="s">
        <v>395</v>
      </c>
    </row>
    <row r="38" customFormat="false" ht="33.75" hidden="false" customHeight="true" outlineLevel="0" collapsed="false">
      <c r="B38" s="54" t="s">
        <v>406</v>
      </c>
      <c r="C38" s="53" t="s">
        <v>407</v>
      </c>
      <c r="D38" s="53"/>
      <c r="E38" s="53"/>
      <c r="F38" s="53"/>
      <c r="G38" s="53"/>
      <c r="H38" s="53"/>
    </row>
    <row r="39" customFormat="false" ht="33.75" hidden="false" customHeight="true" outlineLevel="0" collapsed="false">
      <c r="B39" s="52" t="s">
        <v>408</v>
      </c>
      <c r="C39" s="53" t="s">
        <v>409</v>
      </c>
      <c r="D39" s="53"/>
      <c r="E39" s="53"/>
      <c r="F39" s="53"/>
      <c r="G39" s="53"/>
      <c r="H39" s="53"/>
    </row>
    <row r="40" customFormat="false" ht="33.75" hidden="false" customHeight="true" outlineLevel="0" collapsed="false">
      <c r="B40" s="54" t="s">
        <v>410</v>
      </c>
      <c r="C40" s="53" t="s">
        <v>411</v>
      </c>
      <c r="D40" s="53"/>
      <c r="E40" s="53"/>
      <c r="F40" s="53"/>
      <c r="G40" s="53"/>
      <c r="H40" s="53"/>
    </row>
    <row r="41" customFormat="false" ht="33.75" hidden="false" customHeight="true" outlineLevel="0" collapsed="false">
      <c r="B41" s="52" t="s">
        <v>412</v>
      </c>
      <c r="C41" s="53" t="s">
        <v>413</v>
      </c>
      <c r="D41" s="53"/>
      <c r="E41" s="53"/>
      <c r="F41" s="53"/>
      <c r="G41" s="53"/>
      <c r="H41" s="53"/>
    </row>
    <row r="42" customFormat="false" ht="33.75" hidden="false" customHeight="true" outlineLevel="0" collapsed="false">
      <c r="B42" s="52" t="s">
        <v>414</v>
      </c>
      <c r="C42" s="53" t="s">
        <v>415</v>
      </c>
      <c r="D42" s="53"/>
      <c r="E42" s="53"/>
      <c r="F42" s="53"/>
      <c r="G42" s="53"/>
      <c r="H42" s="53"/>
    </row>
  </sheetData>
  <mergeCells count="8">
    <mergeCell ref="A1:H1"/>
    <mergeCell ref="A2:H2"/>
    <mergeCell ref="C3:H3"/>
    <mergeCell ref="C38:H38"/>
    <mergeCell ref="C39:H39"/>
    <mergeCell ref="C40:H40"/>
    <mergeCell ref="C41:H41"/>
    <mergeCell ref="C42:H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5" min="3" style="0" width="22"/>
    <col collapsed="false" customWidth="true" hidden="false" outlineLevel="0" max="6" min="6" style="0" width="26"/>
    <col collapsed="false" customWidth="true" hidden="false" outlineLevel="0" max="7" min="7" style="0" width="34"/>
  </cols>
  <sheetData>
    <row r="1" customFormat="false" ht="25.5" hidden="false" customHeight="true" outlineLevel="0" collapsed="false">
      <c r="A1" s="1" t="s">
        <v>416</v>
      </c>
      <c r="B1" s="1"/>
      <c r="C1" s="1"/>
      <c r="D1" s="1"/>
      <c r="E1" s="1"/>
      <c r="F1" s="1"/>
      <c r="G1" s="1"/>
    </row>
    <row r="2" customFormat="false" ht="18" hidden="false" customHeight="true" outlineLevel="0" collapsed="false">
      <c r="A2" s="2" t="s">
        <v>417</v>
      </c>
      <c r="B2" s="2"/>
      <c r="C2" s="2"/>
      <c r="D2" s="2"/>
      <c r="E2" s="2"/>
      <c r="F2" s="2"/>
      <c r="G2" s="2"/>
    </row>
    <row r="3" customFormat="false" ht="31.5" hidden="false" customHeight="true" outlineLevel="0" collapsed="false">
      <c r="A3" s="15" t="s">
        <v>46</v>
      </c>
      <c r="B3" s="15" t="s">
        <v>418</v>
      </c>
      <c r="C3" s="15" t="s">
        <v>419</v>
      </c>
      <c r="D3" s="15" t="s">
        <v>42</v>
      </c>
      <c r="E3" s="15"/>
      <c r="F3" s="15"/>
      <c r="G3" s="15" t="s">
        <v>420</v>
      </c>
    </row>
    <row r="4" customFormat="false" ht="24" hidden="false" customHeight="true" outlineLevel="0" collapsed="false">
      <c r="A4" s="21" t="n">
        <v>1</v>
      </c>
      <c r="B4" s="24" t="s">
        <v>421</v>
      </c>
      <c r="C4" s="21" t="s">
        <v>422</v>
      </c>
      <c r="D4" s="21" t="s">
        <v>423</v>
      </c>
      <c r="E4" s="21"/>
      <c r="F4" s="21"/>
      <c r="G4" s="16" t="s">
        <v>424</v>
      </c>
    </row>
    <row r="5" customFormat="false" ht="24" hidden="false" customHeight="true" outlineLevel="0" collapsed="false">
      <c r="A5" s="21" t="n">
        <v>2</v>
      </c>
      <c r="B5" s="24" t="s">
        <v>425</v>
      </c>
      <c r="C5" s="21" t="s">
        <v>426</v>
      </c>
      <c r="D5" s="21" t="s">
        <v>427</v>
      </c>
      <c r="E5" s="21"/>
      <c r="F5" s="21"/>
      <c r="G5" s="16" t="s">
        <v>428</v>
      </c>
    </row>
    <row r="6" customFormat="false" ht="24" hidden="false" customHeight="true" outlineLevel="0" collapsed="false">
      <c r="A6" s="21" t="n">
        <v>3</v>
      </c>
      <c r="B6" s="24" t="s">
        <v>429</v>
      </c>
      <c r="C6" s="21" t="s">
        <v>430</v>
      </c>
      <c r="D6" s="21" t="s">
        <v>431</v>
      </c>
      <c r="E6" s="21"/>
      <c r="F6" s="21"/>
      <c r="G6" s="16" t="s">
        <v>432</v>
      </c>
    </row>
    <row r="7" customFormat="false" ht="24" hidden="false" customHeight="true" outlineLevel="0" collapsed="false">
      <c r="A7" s="21" t="n">
        <v>4</v>
      </c>
      <c r="B7" s="24" t="s">
        <v>433</v>
      </c>
      <c r="C7" s="21" t="s">
        <v>434</v>
      </c>
      <c r="D7" s="21" t="s">
        <v>431</v>
      </c>
      <c r="E7" s="21"/>
      <c r="F7" s="21"/>
      <c r="G7" s="16" t="s">
        <v>435</v>
      </c>
    </row>
    <row r="9" customFormat="false" ht="15" hidden="false" customHeight="false" outlineLevel="0" collapsed="false">
      <c r="B9" s="37" t="s">
        <v>436</v>
      </c>
    </row>
    <row r="10" customFormat="false" ht="31.5" hidden="false" customHeight="true" outlineLevel="0" collapsed="false">
      <c r="A10" s="15" t="s">
        <v>46</v>
      </c>
      <c r="B10" s="15" t="s">
        <v>437</v>
      </c>
      <c r="C10" s="15" t="s">
        <v>126</v>
      </c>
      <c r="D10" s="15" t="s">
        <v>438</v>
      </c>
      <c r="E10" s="15" t="s">
        <v>439</v>
      </c>
      <c r="F10" s="15" t="s">
        <v>440</v>
      </c>
      <c r="G10" s="15" t="s">
        <v>382</v>
      </c>
    </row>
    <row r="11" customFormat="false" ht="33.75" hidden="false" customHeight="true" outlineLevel="0" collapsed="false">
      <c r="A11" s="21" t="n">
        <v>1</v>
      </c>
      <c r="B11" s="17" t="s">
        <v>441</v>
      </c>
      <c r="C11" s="21" t="s">
        <v>442</v>
      </c>
      <c r="D11" s="16" t="s">
        <v>443</v>
      </c>
      <c r="E11" s="16" t="s">
        <v>444</v>
      </c>
      <c r="F11" s="16" t="s">
        <v>445</v>
      </c>
      <c r="G11" s="16" t="s">
        <v>446</v>
      </c>
    </row>
    <row r="12" customFormat="false" ht="33.75" hidden="false" customHeight="true" outlineLevel="0" collapsed="false">
      <c r="A12" s="21" t="n">
        <v>2</v>
      </c>
      <c r="B12" s="17" t="s">
        <v>405</v>
      </c>
      <c r="C12" s="21" t="s">
        <v>147</v>
      </c>
      <c r="D12" s="16" t="s">
        <v>72</v>
      </c>
      <c r="E12" s="16" t="s">
        <v>447</v>
      </c>
      <c r="F12" s="16" t="s">
        <v>448</v>
      </c>
      <c r="G12" s="16" t="s">
        <v>449</v>
      </c>
    </row>
    <row r="13" customFormat="false" ht="33.75" hidden="false" customHeight="true" outlineLevel="0" collapsed="false">
      <c r="A13" s="21" t="n">
        <v>3</v>
      </c>
      <c r="B13" s="17" t="s">
        <v>450</v>
      </c>
      <c r="C13" s="21" t="s">
        <v>451</v>
      </c>
      <c r="D13" s="16" t="s">
        <v>452</v>
      </c>
      <c r="E13" s="16" t="s">
        <v>453</v>
      </c>
      <c r="F13" s="16" t="s">
        <v>454</v>
      </c>
      <c r="G13" s="16" t="s">
        <v>455</v>
      </c>
    </row>
    <row r="14" customFormat="false" ht="33.75" hidden="false" customHeight="true" outlineLevel="0" collapsed="false">
      <c r="A14" s="21" t="n">
        <v>4</v>
      </c>
      <c r="B14" s="17" t="s">
        <v>456</v>
      </c>
      <c r="C14" s="21" t="s">
        <v>457</v>
      </c>
      <c r="D14" s="16" t="s">
        <v>458</v>
      </c>
      <c r="E14" s="16" t="s">
        <v>459</v>
      </c>
      <c r="F14" s="16" t="s">
        <v>454</v>
      </c>
      <c r="G14" s="16" t="s">
        <v>460</v>
      </c>
    </row>
    <row r="15" customFormat="false" ht="33.75" hidden="false" customHeight="true" outlineLevel="0" collapsed="false">
      <c r="A15" s="21" t="n">
        <v>5</v>
      </c>
      <c r="B15" s="17" t="s">
        <v>461</v>
      </c>
      <c r="C15" s="21" t="s">
        <v>48</v>
      </c>
      <c r="D15" s="16" t="s">
        <v>462</v>
      </c>
      <c r="E15" s="16" t="s">
        <v>463</v>
      </c>
      <c r="F15" s="16" t="s">
        <v>454</v>
      </c>
      <c r="G15" s="16" t="s">
        <v>464</v>
      </c>
    </row>
    <row r="16" customFormat="false" ht="33.75" hidden="false" customHeight="true" outlineLevel="0" collapsed="false">
      <c r="A16" s="21" t="n">
        <v>6</v>
      </c>
      <c r="B16" s="17" t="s">
        <v>465</v>
      </c>
      <c r="C16" s="21" t="s">
        <v>466</v>
      </c>
      <c r="D16" s="16" t="s">
        <v>467</v>
      </c>
      <c r="E16" s="16" t="s">
        <v>468</v>
      </c>
      <c r="F16" s="16" t="s">
        <v>469</v>
      </c>
      <c r="G16" s="16" t="s">
        <v>470</v>
      </c>
    </row>
    <row r="18" customFormat="false" ht="15" hidden="false" customHeight="false" outlineLevel="0" collapsed="false">
      <c r="B18" s="37" t="s">
        <v>471</v>
      </c>
    </row>
    <row r="19" customFormat="false" ht="31.5" hidden="false" customHeight="true" outlineLevel="0" collapsed="false">
      <c r="A19" s="15" t="s">
        <v>46</v>
      </c>
      <c r="B19" s="15" t="s">
        <v>472</v>
      </c>
      <c r="C19" s="15" t="s">
        <v>473</v>
      </c>
      <c r="D19" s="15" t="s">
        <v>474</v>
      </c>
      <c r="E19" s="15" t="s">
        <v>475</v>
      </c>
      <c r="F19" s="15" t="s">
        <v>476</v>
      </c>
      <c r="G19" s="15" t="s">
        <v>477</v>
      </c>
    </row>
    <row r="20" customFormat="false" ht="39.75" hidden="false" customHeight="true" outlineLevel="0" collapsed="false">
      <c r="A20" s="21" t="n">
        <v>1</v>
      </c>
      <c r="B20" s="17" t="s">
        <v>478</v>
      </c>
      <c r="C20" s="16" t="s">
        <v>479</v>
      </c>
      <c r="D20" s="16" t="s">
        <v>480</v>
      </c>
      <c r="E20" s="16" t="s">
        <v>481</v>
      </c>
      <c r="F20" s="44" t="s">
        <v>482</v>
      </c>
      <c r="G20" s="16" t="s">
        <v>483</v>
      </c>
    </row>
    <row r="21" customFormat="false" ht="39.75" hidden="false" customHeight="true" outlineLevel="0" collapsed="false">
      <c r="A21" s="21" t="n">
        <v>2</v>
      </c>
      <c r="B21" s="17" t="s">
        <v>459</v>
      </c>
      <c r="C21" s="16" t="s">
        <v>484</v>
      </c>
      <c r="D21" s="16" t="s">
        <v>485</v>
      </c>
      <c r="E21" s="16" t="s">
        <v>486</v>
      </c>
      <c r="F21" s="44" t="s">
        <v>487</v>
      </c>
      <c r="G21" s="16" t="s">
        <v>488</v>
      </c>
    </row>
    <row r="22" customFormat="false" ht="39.75" hidden="false" customHeight="true" outlineLevel="0" collapsed="false">
      <c r="A22" s="21" t="n">
        <v>3</v>
      </c>
      <c r="B22" s="17" t="s">
        <v>489</v>
      </c>
      <c r="C22" s="16" t="s">
        <v>490</v>
      </c>
      <c r="D22" s="16" t="s">
        <v>491</v>
      </c>
      <c r="E22" s="16" t="s">
        <v>492</v>
      </c>
      <c r="F22" s="44" t="s">
        <v>493</v>
      </c>
      <c r="G22" s="16" t="s">
        <v>494</v>
      </c>
    </row>
    <row r="24" customFormat="false" ht="37.5" hidden="false" customHeight="true" outlineLevel="0" collapsed="false">
      <c r="B24" s="52" t="s">
        <v>495</v>
      </c>
      <c r="C24" s="53" t="s">
        <v>496</v>
      </c>
      <c r="D24" s="53"/>
      <c r="E24" s="53"/>
      <c r="F24" s="53"/>
      <c r="G24" s="53"/>
    </row>
    <row r="25" customFormat="false" ht="37.5" hidden="false" customHeight="true" outlineLevel="0" collapsed="false">
      <c r="B25" s="52" t="s">
        <v>497</v>
      </c>
      <c r="C25" s="53" t="s">
        <v>498</v>
      </c>
      <c r="D25" s="53"/>
      <c r="E25" s="53"/>
      <c r="F25" s="53"/>
      <c r="G25" s="53"/>
    </row>
    <row r="26" customFormat="false" ht="37.5" hidden="false" customHeight="true" outlineLevel="0" collapsed="false">
      <c r="B26" s="54" t="s">
        <v>499</v>
      </c>
      <c r="C26" s="53" t="s">
        <v>500</v>
      </c>
      <c r="D26" s="53"/>
      <c r="E26" s="53"/>
      <c r="F26" s="53"/>
      <c r="G26" s="53"/>
    </row>
    <row r="27" customFormat="false" ht="37.5" hidden="false" customHeight="true" outlineLevel="0" collapsed="false">
      <c r="B27" s="54" t="s">
        <v>501</v>
      </c>
      <c r="C27" s="53" t="s">
        <v>502</v>
      </c>
      <c r="D27" s="53"/>
      <c r="E27" s="53"/>
      <c r="F27" s="53"/>
      <c r="G27" s="53"/>
    </row>
  </sheetData>
  <mergeCells count="6">
    <mergeCell ref="A1:G1"/>
    <mergeCell ref="A2:G2"/>
    <mergeCell ref="C24:G24"/>
    <mergeCell ref="C25:G25"/>
    <mergeCell ref="C26:G26"/>
    <mergeCell ref="C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4"/>
    <col collapsed="false" customWidth="true" hidden="false" outlineLevel="0" max="4" min="4" style="0" width="20"/>
    <col collapsed="false" customWidth="true" hidden="false" outlineLevel="0" max="5" min="5" style="0" width="13"/>
    <col collapsed="false" customWidth="true" hidden="false" outlineLevel="0" max="6" min="6" style="0" width="11"/>
    <col collapsed="false" customWidth="true" hidden="false" outlineLevel="0" max="7" min="7" style="0" width="20"/>
    <col collapsed="false" customWidth="true" hidden="false" outlineLevel="0" max="8" min="8" style="0" width="13"/>
    <col collapsed="false" customWidth="true" hidden="false" outlineLevel="0" max="10" min="9" style="0" width="11"/>
    <col collapsed="false" customWidth="true" hidden="false" outlineLevel="0" max="11" min="11" style="0" width="34"/>
    <col collapsed="false" customWidth="true" hidden="false" outlineLevel="0" max="12" min="12" style="0" width="16"/>
    <col collapsed="false" customWidth="true" hidden="false" outlineLevel="0" max="13" min="13" style="0" width="14"/>
    <col collapsed="false" customWidth="true" hidden="false" outlineLevel="0" max="14" min="14" style="0" width="26"/>
    <col collapsed="false" customWidth="true" hidden="false" outlineLevel="0" max="15" min="15" style="0" width="13"/>
  </cols>
  <sheetData>
    <row r="1" customFormat="false" ht="25.5" hidden="false" customHeight="true" outlineLevel="0" collapsed="false">
      <c r="A1" s="1" t="s">
        <v>503</v>
      </c>
      <c r="B1" s="1"/>
      <c r="C1" s="1"/>
      <c r="D1" s="1"/>
      <c r="E1" s="1"/>
      <c r="F1" s="1"/>
      <c r="G1" s="1"/>
      <c r="H1" s="1"/>
      <c r="I1" s="1"/>
      <c r="J1" s="1"/>
      <c r="K1" s="1"/>
      <c r="L1" s="1"/>
      <c r="M1" s="1"/>
      <c r="N1" s="1"/>
      <c r="O1" s="1"/>
    </row>
    <row r="2" customFormat="false" ht="18" hidden="false" customHeight="true" outlineLevel="0" collapsed="false">
      <c r="A2" s="2" t="s">
        <v>504</v>
      </c>
      <c r="B2" s="2"/>
      <c r="C2" s="2"/>
      <c r="D2" s="2"/>
      <c r="E2" s="2"/>
      <c r="F2" s="2"/>
      <c r="G2" s="2"/>
      <c r="H2" s="2"/>
      <c r="I2" s="2"/>
      <c r="J2" s="2"/>
      <c r="K2" s="2"/>
      <c r="L2" s="2"/>
      <c r="M2" s="2"/>
      <c r="N2" s="2"/>
      <c r="O2" s="2"/>
    </row>
    <row r="3" customFormat="false" ht="31.5" hidden="false" customHeight="true" outlineLevel="0" collapsed="false">
      <c r="A3" s="15" t="s">
        <v>46</v>
      </c>
      <c r="B3" s="15" t="s">
        <v>47</v>
      </c>
      <c r="C3" s="15" t="s">
        <v>51</v>
      </c>
      <c r="D3" s="15" t="s">
        <v>52</v>
      </c>
      <c r="E3" s="15" t="s">
        <v>505</v>
      </c>
      <c r="F3" s="15" t="s">
        <v>506</v>
      </c>
      <c r="G3" s="15" t="s">
        <v>507</v>
      </c>
      <c r="H3" s="15" t="s">
        <v>508</v>
      </c>
      <c r="I3" s="15" t="s">
        <v>55</v>
      </c>
      <c r="J3" s="15" t="s">
        <v>509</v>
      </c>
      <c r="K3" s="15" t="s">
        <v>510</v>
      </c>
      <c r="L3" s="15" t="s">
        <v>56</v>
      </c>
      <c r="M3" s="15" t="s">
        <v>511</v>
      </c>
      <c r="N3" s="15" t="s">
        <v>512</v>
      </c>
      <c r="O3" s="15" t="s">
        <v>378</v>
      </c>
    </row>
    <row r="4" customFormat="false" ht="30" hidden="false" customHeight="true" outlineLevel="0" collapsed="false">
      <c r="A4" s="61" t="s">
        <v>513</v>
      </c>
      <c r="B4" s="62" t="s">
        <v>514</v>
      </c>
      <c r="C4" s="61" t="s">
        <v>49</v>
      </c>
      <c r="D4" s="62" t="s">
        <v>515</v>
      </c>
      <c r="E4" s="61" t="n">
        <v>6</v>
      </c>
      <c r="F4" s="61" t="s">
        <v>516</v>
      </c>
      <c r="G4" s="62" t="s">
        <v>517</v>
      </c>
      <c r="H4" s="61" t="n">
        <v>20</v>
      </c>
      <c r="I4" s="61" t="n">
        <f aca="false">IF(H4="","",H4-E4)</f>
        <v>14</v>
      </c>
      <c r="J4" s="63" t="n">
        <f aca="false">IFERROR(IF(H4="","",(H4-E4)/E4),"")</f>
        <v>2.33333333333333</v>
      </c>
      <c r="K4" s="62" t="s">
        <v>518</v>
      </c>
      <c r="L4" s="61" t="s">
        <v>75</v>
      </c>
      <c r="M4" s="62" t="s">
        <v>519</v>
      </c>
      <c r="N4" s="62" t="s">
        <v>520</v>
      </c>
      <c r="O4" s="61" t="s">
        <v>521</v>
      </c>
    </row>
    <row r="5" customFormat="false" ht="30" hidden="false" customHeight="true" outlineLevel="0" collapsed="false">
      <c r="A5" s="21" t="n">
        <v>1</v>
      </c>
      <c r="B5" s="17" t="s">
        <v>58</v>
      </c>
      <c r="C5" s="21" t="s">
        <v>48</v>
      </c>
      <c r="D5" s="16" t="s">
        <v>59</v>
      </c>
      <c r="E5" s="64" t="n">
        <v>1271</v>
      </c>
      <c r="F5" s="21" t="s">
        <v>522</v>
      </c>
      <c r="G5" s="16" t="s">
        <v>523</v>
      </c>
      <c r="H5" s="65"/>
      <c r="I5" s="64" t="str">
        <f aca="false">IF(H5="","",H5-E5)</f>
        <v/>
      </c>
      <c r="J5" s="45" t="str">
        <f aca="false">IFERROR(IF(H5="","",(H5-E5)/E5),"")</f>
        <v/>
      </c>
      <c r="K5" s="66"/>
      <c r="L5" s="21" t="s">
        <v>63</v>
      </c>
      <c r="M5" s="66"/>
      <c r="N5" s="16" t="s">
        <v>524</v>
      </c>
      <c r="O5" s="67"/>
    </row>
    <row r="6" customFormat="false" ht="30" hidden="false" customHeight="true" outlineLevel="0" collapsed="false">
      <c r="A6" s="21" t="n">
        <v>2</v>
      </c>
      <c r="B6" s="17" t="s">
        <v>64</v>
      </c>
      <c r="C6" s="21" t="s">
        <v>50</v>
      </c>
      <c r="D6" s="16" t="s">
        <v>65</v>
      </c>
      <c r="E6" s="64" t="n">
        <v>25</v>
      </c>
      <c r="F6" s="21" t="s">
        <v>525</v>
      </c>
      <c r="G6" s="16" t="s">
        <v>526</v>
      </c>
      <c r="H6" s="65"/>
      <c r="I6" s="64" t="str">
        <f aca="false">IF(H6="","",H6-E6)</f>
        <v/>
      </c>
      <c r="J6" s="45" t="str">
        <f aca="false">IFERROR(IF(H6="","",(H6-E6)/E6),"")</f>
        <v/>
      </c>
      <c r="K6" s="66"/>
      <c r="L6" s="21" t="s">
        <v>69</v>
      </c>
      <c r="M6" s="66"/>
      <c r="N6" s="16" t="s">
        <v>527</v>
      </c>
      <c r="O6" s="67"/>
    </row>
    <row r="7" customFormat="false" ht="30" hidden="false" customHeight="true" outlineLevel="0" collapsed="false">
      <c r="A7" s="21" t="n">
        <v>3</v>
      </c>
      <c r="B7" s="17" t="s">
        <v>70</v>
      </c>
      <c r="C7" s="21" t="s">
        <v>49</v>
      </c>
      <c r="D7" s="16" t="s">
        <v>71</v>
      </c>
      <c r="E7" s="64" t="n">
        <v>39</v>
      </c>
      <c r="F7" s="21" t="s">
        <v>528</v>
      </c>
      <c r="G7" s="16" t="s">
        <v>517</v>
      </c>
      <c r="H7" s="65"/>
      <c r="I7" s="64" t="str">
        <f aca="false">IF(H7="","",H7-E7)</f>
        <v/>
      </c>
      <c r="J7" s="45" t="str">
        <f aca="false">IFERROR(IF(H7="","",(H7-E7)/E7),"")</f>
        <v/>
      </c>
      <c r="K7" s="66"/>
      <c r="L7" s="21" t="s">
        <v>75</v>
      </c>
      <c r="M7" s="66"/>
      <c r="N7" s="16" t="s">
        <v>529</v>
      </c>
      <c r="O7" s="67"/>
    </row>
    <row r="8" customFormat="false" ht="30" hidden="false" customHeight="true" outlineLevel="0" collapsed="false">
      <c r="A8" s="21" t="n">
        <v>4</v>
      </c>
      <c r="B8" s="17" t="s">
        <v>76</v>
      </c>
      <c r="C8" s="21" t="s">
        <v>48</v>
      </c>
      <c r="D8" s="16" t="s">
        <v>65</v>
      </c>
      <c r="E8" s="64" t="n">
        <v>0</v>
      </c>
      <c r="F8" s="21" t="s">
        <v>530</v>
      </c>
      <c r="G8" s="16" t="s">
        <v>531</v>
      </c>
      <c r="H8" s="65"/>
      <c r="I8" s="64" t="str">
        <f aca="false">IF(H8="","",H8-E8)</f>
        <v/>
      </c>
      <c r="J8" s="45" t="str">
        <f aca="false">IFERROR(IF(H8="","",(H8-E8)/E8),"")</f>
        <v/>
      </c>
      <c r="K8" s="66"/>
      <c r="L8" s="21" t="s">
        <v>69</v>
      </c>
      <c r="M8" s="66"/>
      <c r="N8" s="16" t="s">
        <v>532</v>
      </c>
      <c r="O8" s="67"/>
    </row>
    <row r="9" customFormat="false" ht="30" hidden="false" customHeight="true" outlineLevel="0" collapsed="false">
      <c r="A9" s="21" t="n">
        <v>5</v>
      </c>
      <c r="B9" s="17" t="s">
        <v>533</v>
      </c>
      <c r="C9" s="21" t="s">
        <v>50</v>
      </c>
      <c r="D9" s="16" t="s">
        <v>534</v>
      </c>
      <c r="E9" s="64" t="n">
        <v>0.28</v>
      </c>
      <c r="F9" s="21" t="s">
        <v>535</v>
      </c>
      <c r="G9" s="16" t="s">
        <v>536</v>
      </c>
      <c r="H9" s="65"/>
      <c r="I9" s="64" t="str">
        <f aca="false">IF(H9="","",H9-E9)</f>
        <v/>
      </c>
      <c r="J9" s="45" t="str">
        <f aca="false">IFERROR(IF(H9="","",(H9-E9)/E9),"")</f>
        <v/>
      </c>
      <c r="K9" s="66"/>
      <c r="L9" s="21" t="s">
        <v>85</v>
      </c>
      <c r="M9" s="66"/>
      <c r="N9" s="16" t="s">
        <v>537</v>
      </c>
      <c r="O9" s="67"/>
    </row>
    <row r="10" customFormat="false" ht="30" hidden="false" customHeight="true" outlineLevel="0" collapsed="false">
      <c r="A10" s="21" t="n">
        <v>6</v>
      </c>
      <c r="B10" s="17" t="s">
        <v>538</v>
      </c>
      <c r="C10" s="21" t="s">
        <v>50</v>
      </c>
      <c r="D10" s="16" t="s">
        <v>288</v>
      </c>
      <c r="E10" s="64" t="n">
        <v>0</v>
      </c>
      <c r="F10" s="21" t="s">
        <v>539</v>
      </c>
      <c r="G10" s="16" t="s">
        <v>540</v>
      </c>
      <c r="H10" s="65"/>
      <c r="I10" s="64" t="str">
        <f aca="false">IF(H10="","",H10-E10)</f>
        <v/>
      </c>
      <c r="J10" s="45" t="str">
        <f aca="false">IFERROR(IF(H10="","",(H10-E10)/E10),"")</f>
        <v/>
      </c>
      <c r="K10" s="66"/>
      <c r="L10" s="21" t="s">
        <v>75</v>
      </c>
      <c r="M10" s="66"/>
      <c r="N10" s="16" t="s">
        <v>541</v>
      </c>
      <c r="O10" s="67"/>
    </row>
    <row r="11" customFormat="false" ht="30" hidden="false" customHeight="true" outlineLevel="0" collapsed="false">
      <c r="A11" s="21" t="n">
        <v>7</v>
      </c>
      <c r="B11" s="17" t="s">
        <v>91</v>
      </c>
      <c r="C11" s="21" t="s">
        <v>92</v>
      </c>
      <c r="D11" s="16" t="s">
        <v>542</v>
      </c>
      <c r="E11" s="64" t="n">
        <v>0</v>
      </c>
      <c r="F11" s="21" t="s">
        <v>543</v>
      </c>
      <c r="G11" s="16" t="s">
        <v>544</v>
      </c>
      <c r="H11" s="65"/>
      <c r="I11" s="64" t="str">
        <f aca="false">IF(H11="","",H11-E11)</f>
        <v/>
      </c>
      <c r="J11" s="45" t="str">
        <f aca="false">IFERROR(IF(H11="","",(H11-E11)/E11),"")</f>
        <v/>
      </c>
      <c r="K11" s="66"/>
      <c r="L11" s="21" t="s">
        <v>85</v>
      </c>
      <c r="M11" s="66"/>
      <c r="N11" s="16" t="s">
        <v>545</v>
      </c>
      <c r="O11" s="67"/>
    </row>
    <row r="12" customFormat="false" ht="30" hidden="false" customHeight="true" outlineLevel="0" collapsed="false">
      <c r="A12" s="21" t="n">
        <v>8</v>
      </c>
      <c r="B12" s="17" t="s">
        <v>97</v>
      </c>
      <c r="C12" s="21" t="s">
        <v>49</v>
      </c>
      <c r="D12" s="16" t="s">
        <v>59</v>
      </c>
      <c r="E12" s="64" t="n">
        <v>31</v>
      </c>
      <c r="F12" s="21" t="s">
        <v>546</v>
      </c>
      <c r="G12" s="16" t="s">
        <v>547</v>
      </c>
      <c r="H12" s="65"/>
      <c r="I12" s="64" t="str">
        <f aca="false">IF(H12="","",H12-E12)</f>
        <v/>
      </c>
      <c r="J12" s="45" t="str">
        <f aca="false">IFERROR(IF(H12="","",(H12-E12)/E12),"")</f>
        <v/>
      </c>
      <c r="K12" s="66"/>
      <c r="L12" s="21" t="s">
        <v>75</v>
      </c>
      <c r="M12" s="66"/>
      <c r="N12" s="16" t="s">
        <v>548</v>
      </c>
      <c r="O12" s="67"/>
    </row>
    <row r="13" customFormat="false" ht="30" hidden="false" customHeight="true" outlineLevel="0" collapsed="false">
      <c r="A13" s="21" t="n">
        <v>9</v>
      </c>
      <c r="B13" s="17" t="s">
        <v>101</v>
      </c>
      <c r="C13" s="21" t="s">
        <v>50</v>
      </c>
      <c r="D13" s="16" t="s">
        <v>102</v>
      </c>
      <c r="E13" s="64" t="n">
        <v>0</v>
      </c>
      <c r="F13" s="21" t="s">
        <v>549</v>
      </c>
      <c r="G13" s="16" t="s">
        <v>550</v>
      </c>
      <c r="H13" s="65"/>
      <c r="I13" s="64" t="str">
        <f aca="false">IF(H13="","",H13-E13)</f>
        <v/>
      </c>
      <c r="J13" s="45" t="str">
        <f aca="false">IFERROR(IF(H13="","",(H13-E13)/E13),"")</f>
        <v/>
      </c>
      <c r="K13" s="66"/>
      <c r="L13" s="21" t="s">
        <v>75</v>
      </c>
      <c r="M13" s="66"/>
      <c r="N13" s="16" t="s">
        <v>551</v>
      </c>
      <c r="O13" s="67"/>
    </row>
    <row r="14" customFormat="false" ht="30" hidden="false" customHeight="true" outlineLevel="0" collapsed="false">
      <c r="A14" s="21" t="n">
        <v>10</v>
      </c>
      <c r="B14" s="17" t="s">
        <v>105</v>
      </c>
      <c r="C14" s="21" t="s">
        <v>49</v>
      </c>
      <c r="D14" s="16" t="s">
        <v>106</v>
      </c>
      <c r="E14" s="64" t="n">
        <v>0</v>
      </c>
      <c r="F14" s="21" t="s">
        <v>552</v>
      </c>
      <c r="G14" s="16" t="s">
        <v>553</v>
      </c>
      <c r="H14" s="65"/>
      <c r="I14" s="64" t="str">
        <f aca="false">IF(H14="","",H14-E14)</f>
        <v/>
      </c>
      <c r="J14" s="45" t="str">
        <f aca="false">IFERROR(IF(H14="","",(H14-E14)/E14),"")</f>
        <v/>
      </c>
      <c r="K14" s="66"/>
      <c r="L14" s="21" t="s">
        <v>63</v>
      </c>
      <c r="M14" s="66"/>
      <c r="N14" s="16" t="s">
        <v>554</v>
      </c>
      <c r="O14" s="67"/>
    </row>
    <row r="15" customFormat="false" ht="30" hidden="false" customHeight="true" outlineLevel="0" collapsed="false">
      <c r="A15" s="21" t="n">
        <v>11</v>
      </c>
      <c r="B15" s="17" t="s">
        <v>109</v>
      </c>
      <c r="C15" s="21" t="s">
        <v>49</v>
      </c>
      <c r="D15" s="16" t="s">
        <v>515</v>
      </c>
      <c r="E15" s="64" t="n">
        <v>6</v>
      </c>
      <c r="F15" s="21" t="s">
        <v>543</v>
      </c>
      <c r="G15" s="16" t="s">
        <v>555</v>
      </c>
      <c r="H15" s="65"/>
      <c r="I15" s="64" t="str">
        <f aca="false">IF(H15="","",H15-E15)</f>
        <v/>
      </c>
      <c r="J15" s="45" t="str">
        <f aca="false">IFERROR(IF(H15="","",(H15-E15)/E15),"")</f>
        <v/>
      </c>
      <c r="K15" s="66"/>
      <c r="L15" s="21" t="s">
        <v>75</v>
      </c>
      <c r="M15" s="66"/>
      <c r="N15" s="16" t="s">
        <v>556</v>
      </c>
      <c r="O15" s="67"/>
    </row>
    <row r="16" customFormat="false" ht="30" hidden="false" customHeight="true" outlineLevel="0" collapsed="false">
      <c r="A16" s="21" t="n">
        <v>12</v>
      </c>
      <c r="B16" s="17" t="s">
        <v>114</v>
      </c>
      <c r="C16" s="21" t="s">
        <v>49</v>
      </c>
      <c r="D16" s="16" t="s">
        <v>557</v>
      </c>
      <c r="E16" s="64" t="n">
        <v>0</v>
      </c>
      <c r="F16" s="21" t="s">
        <v>558</v>
      </c>
      <c r="G16" s="16" t="s">
        <v>559</v>
      </c>
      <c r="H16" s="65"/>
      <c r="I16" s="64" t="str">
        <f aca="false">IF(H16="","",H16-E16)</f>
        <v/>
      </c>
      <c r="J16" s="45" t="str">
        <f aca="false">IFERROR(IF(H16="","",(H16-E16)/E16),"")</f>
        <v/>
      </c>
      <c r="K16" s="66"/>
      <c r="L16" s="21" t="s">
        <v>69</v>
      </c>
      <c r="M16" s="66"/>
      <c r="N16" s="16" t="s">
        <v>560</v>
      </c>
      <c r="O16" s="67"/>
    </row>
    <row r="18" customFormat="false" ht="33.75" hidden="false" customHeight="true" outlineLevel="0" collapsed="false">
      <c r="B18" s="3" t="s">
        <v>561</v>
      </c>
      <c r="C18" s="68" t="s">
        <v>562</v>
      </c>
      <c r="D18" s="68"/>
      <c r="E18" s="68"/>
      <c r="F18" s="68"/>
      <c r="G18" s="68"/>
      <c r="H18" s="68"/>
      <c r="I18" s="68"/>
      <c r="J18" s="68"/>
      <c r="K18" s="68"/>
    </row>
  </sheetData>
  <mergeCells count="3">
    <mergeCell ref="A1:O1"/>
    <mergeCell ref="A2:O2"/>
    <mergeCell ref="C18:K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3" min="2" style="0" width="26"/>
    <col collapsed="false" customWidth="true" hidden="false" outlineLevel="0" max="4" min="4" style="0" width="13"/>
    <col collapsed="false" customWidth="true" hidden="false" outlineLevel="0" max="8" min="5" style="0" width="12"/>
    <col collapsed="false" customWidth="true" hidden="false" outlineLevel="0" max="9" min="9" style="0" width="14"/>
    <col collapsed="false" customWidth="true" hidden="false" outlineLevel="0" max="10" min="10" style="0" width="12"/>
    <col collapsed="false" customWidth="true" hidden="false" outlineLevel="0" max="11" min="11" style="0" width="13"/>
  </cols>
  <sheetData>
    <row r="1" customFormat="false" ht="25.5" hidden="false" customHeight="true" outlineLevel="0" collapsed="false">
      <c r="A1" s="1" t="s">
        <v>11</v>
      </c>
      <c r="B1" s="1"/>
      <c r="C1" s="1"/>
      <c r="D1" s="1"/>
      <c r="E1" s="1"/>
      <c r="F1" s="1"/>
      <c r="G1" s="1"/>
      <c r="H1" s="1"/>
      <c r="I1" s="1"/>
      <c r="J1" s="1"/>
      <c r="K1" s="1"/>
    </row>
    <row r="2" customFormat="false" ht="18" hidden="false" customHeight="true" outlineLevel="0" collapsed="false">
      <c r="A2" s="2" t="s">
        <v>563</v>
      </c>
      <c r="B2" s="2"/>
      <c r="C2" s="2"/>
      <c r="D2" s="2"/>
      <c r="E2" s="2"/>
      <c r="F2" s="2"/>
      <c r="G2" s="2"/>
      <c r="H2" s="2"/>
      <c r="I2" s="2"/>
      <c r="J2" s="2"/>
      <c r="K2" s="2"/>
    </row>
    <row r="3" customFormat="false" ht="31.5" hidden="false" customHeight="true" outlineLevel="0" collapsed="false">
      <c r="A3" s="15" t="s">
        <v>46</v>
      </c>
      <c r="B3" s="15" t="s">
        <v>47</v>
      </c>
      <c r="C3" s="15" t="s">
        <v>512</v>
      </c>
      <c r="D3" s="15" t="s">
        <v>505</v>
      </c>
      <c r="E3" s="15" t="s">
        <v>564</v>
      </c>
      <c r="F3" s="15" t="s">
        <v>565</v>
      </c>
      <c r="G3" s="15" t="s">
        <v>566</v>
      </c>
      <c r="H3" s="15" t="s">
        <v>567</v>
      </c>
      <c r="I3" s="15" t="s">
        <v>508</v>
      </c>
      <c r="J3" s="15" t="s">
        <v>568</v>
      </c>
      <c r="K3" s="15" t="s">
        <v>569</v>
      </c>
    </row>
    <row r="4" customFormat="false" ht="27.75" hidden="false" customHeight="true" outlineLevel="0" collapsed="false">
      <c r="A4" s="69" t="n">
        <v>1</v>
      </c>
      <c r="B4" s="17" t="s">
        <v>58</v>
      </c>
      <c r="C4" s="70" t="s">
        <v>524</v>
      </c>
      <c r="D4" s="71" t="n">
        <f aca="false">'الخطة التنفيذية'!E5</f>
        <v>1271</v>
      </c>
      <c r="E4" s="65"/>
      <c r="F4" s="65"/>
      <c r="G4" s="65"/>
      <c r="H4" s="65"/>
      <c r="I4" s="71" t="str">
        <f aca="false">IF('الخطة التنفيذية'!H5="","",'الخطة التنفيذية'!H5)</f>
        <v/>
      </c>
      <c r="J4" s="21" t="str">
        <f aca="false">IF(H4="","",IF(H4=I4,"مطابق","مختلف"))</f>
        <v/>
      </c>
      <c r="K4" s="45" t="str">
        <f aca="false">IFERROR(IF(H4="","",(H4-D4)/D4),"")</f>
        <v/>
      </c>
    </row>
    <row r="5" customFormat="false" ht="27.75" hidden="false" customHeight="true" outlineLevel="0" collapsed="false">
      <c r="A5" s="69" t="n">
        <v>2</v>
      </c>
      <c r="B5" s="17" t="s">
        <v>64</v>
      </c>
      <c r="C5" s="70" t="s">
        <v>527</v>
      </c>
      <c r="D5" s="71" t="n">
        <f aca="false">'الخطة التنفيذية'!E6</f>
        <v>25</v>
      </c>
      <c r="E5" s="65"/>
      <c r="F5" s="65"/>
      <c r="G5" s="65"/>
      <c r="H5" s="65"/>
      <c r="I5" s="71" t="str">
        <f aca="false">IF('الخطة التنفيذية'!H6="","",'الخطة التنفيذية'!H6)</f>
        <v/>
      </c>
      <c r="J5" s="21" t="str">
        <f aca="false">IF(H5="","",IF(H5=I5,"مطابق","مختلف"))</f>
        <v/>
      </c>
      <c r="K5" s="45" t="str">
        <f aca="false">IFERROR(IF(H5="","",(H5-D5)/D5),"")</f>
        <v/>
      </c>
    </row>
    <row r="6" customFormat="false" ht="27.75" hidden="false" customHeight="true" outlineLevel="0" collapsed="false">
      <c r="A6" s="69" t="n">
        <v>3</v>
      </c>
      <c r="B6" s="17" t="s">
        <v>70</v>
      </c>
      <c r="C6" s="70" t="s">
        <v>529</v>
      </c>
      <c r="D6" s="71" t="n">
        <f aca="false">'الخطة التنفيذية'!E7</f>
        <v>39</v>
      </c>
      <c r="E6" s="65"/>
      <c r="F6" s="65"/>
      <c r="G6" s="65"/>
      <c r="H6" s="65"/>
      <c r="I6" s="71" t="str">
        <f aca="false">IF('الخطة التنفيذية'!H7="","",'الخطة التنفيذية'!H7)</f>
        <v/>
      </c>
      <c r="J6" s="21" t="str">
        <f aca="false">IF(H6="","",IF(H6=I6,"مطابق","مختلف"))</f>
        <v/>
      </c>
      <c r="K6" s="45" t="str">
        <f aca="false">IFERROR(IF(H6="","",(H6-D6)/D6),"")</f>
        <v/>
      </c>
    </row>
    <row r="7" customFormat="false" ht="27.75" hidden="false" customHeight="true" outlineLevel="0" collapsed="false">
      <c r="A7" s="69" t="n">
        <v>4</v>
      </c>
      <c r="B7" s="17" t="s">
        <v>76</v>
      </c>
      <c r="C7" s="70" t="s">
        <v>532</v>
      </c>
      <c r="D7" s="71" t="n">
        <f aca="false">'الخطة التنفيذية'!E8</f>
        <v>0</v>
      </c>
      <c r="E7" s="65"/>
      <c r="F7" s="65"/>
      <c r="G7" s="65"/>
      <c r="H7" s="65"/>
      <c r="I7" s="71" t="str">
        <f aca="false">IF('الخطة التنفيذية'!H8="","",'الخطة التنفيذية'!H8)</f>
        <v/>
      </c>
      <c r="J7" s="21" t="str">
        <f aca="false">IF(H7="","",IF(H7=I7,"مطابق","مختلف"))</f>
        <v/>
      </c>
      <c r="K7" s="45" t="str">
        <f aca="false">IFERROR(IF(H7="","",(H7-D7)/D7),"")</f>
        <v/>
      </c>
    </row>
    <row r="8" customFormat="false" ht="27.75" hidden="false" customHeight="true" outlineLevel="0" collapsed="false">
      <c r="A8" s="69" t="n">
        <v>5</v>
      </c>
      <c r="B8" s="17" t="s">
        <v>533</v>
      </c>
      <c r="C8" s="70" t="s">
        <v>537</v>
      </c>
      <c r="D8" s="71" t="n">
        <f aca="false">'الخطة التنفيذية'!E9</f>
        <v>0.28</v>
      </c>
      <c r="E8" s="65"/>
      <c r="F8" s="65"/>
      <c r="G8" s="65"/>
      <c r="H8" s="65"/>
      <c r="I8" s="71" t="str">
        <f aca="false">IF('الخطة التنفيذية'!H9="","",'الخطة التنفيذية'!H9)</f>
        <v/>
      </c>
      <c r="J8" s="21" t="str">
        <f aca="false">IF(H8="","",IF(H8=I8,"مطابق","مختلف"))</f>
        <v/>
      </c>
      <c r="K8" s="45" t="str">
        <f aca="false">IFERROR(IF(H8="","",(H8-D8)/D8),"")</f>
        <v/>
      </c>
    </row>
    <row r="9" customFormat="false" ht="27.75" hidden="false" customHeight="true" outlineLevel="0" collapsed="false">
      <c r="A9" s="69" t="n">
        <v>6</v>
      </c>
      <c r="B9" s="17" t="s">
        <v>538</v>
      </c>
      <c r="C9" s="70" t="s">
        <v>541</v>
      </c>
      <c r="D9" s="71" t="n">
        <f aca="false">'الخطة التنفيذية'!E10</f>
        <v>0</v>
      </c>
      <c r="E9" s="65"/>
      <c r="F9" s="65"/>
      <c r="G9" s="65"/>
      <c r="H9" s="65"/>
      <c r="I9" s="71" t="str">
        <f aca="false">IF('الخطة التنفيذية'!H10="","",'الخطة التنفيذية'!H10)</f>
        <v/>
      </c>
      <c r="J9" s="21" t="str">
        <f aca="false">IF(H9="","",IF(H9=I9,"مطابق","مختلف"))</f>
        <v/>
      </c>
      <c r="K9" s="45" t="str">
        <f aca="false">IFERROR(IF(H9="","",(H9-D9)/D9),"")</f>
        <v/>
      </c>
    </row>
    <row r="10" customFormat="false" ht="27.75" hidden="false" customHeight="true" outlineLevel="0" collapsed="false">
      <c r="A10" s="69" t="n">
        <v>7</v>
      </c>
      <c r="B10" s="17" t="s">
        <v>91</v>
      </c>
      <c r="C10" s="70" t="s">
        <v>545</v>
      </c>
      <c r="D10" s="71" t="n">
        <f aca="false">'الخطة التنفيذية'!E11</f>
        <v>0</v>
      </c>
      <c r="E10" s="65"/>
      <c r="F10" s="65"/>
      <c r="G10" s="65"/>
      <c r="H10" s="65"/>
      <c r="I10" s="71" t="str">
        <f aca="false">IF('الخطة التنفيذية'!H11="","",'الخطة التنفيذية'!H11)</f>
        <v/>
      </c>
      <c r="J10" s="21" t="str">
        <f aca="false">IF(H10="","",IF(H10=I10,"مطابق","مختلف"))</f>
        <v/>
      </c>
      <c r="K10" s="45" t="str">
        <f aca="false">IFERROR(IF(H10="","",(H10-D10)/D10),"")</f>
        <v/>
      </c>
    </row>
    <row r="11" customFormat="false" ht="27.75" hidden="false" customHeight="true" outlineLevel="0" collapsed="false">
      <c r="A11" s="69" t="n">
        <v>8</v>
      </c>
      <c r="B11" s="17" t="s">
        <v>97</v>
      </c>
      <c r="C11" s="70" t="s">
        <v>548</v>
      </c>
      <c r="D11" s="71" t="n">
        <f aca="false">'الخطة التنفيذية'!E12</f>
        <v>31</v>
      </c>
      <c r="E11" s="65"/>
      <c r="F11" s="65"/>
      <c r="G11" s="65"/>
      <c r="H11" s="65"/>
      <c r="I11" s="71" t="str">
        <f aca="false">IF('الخطة التنفيذية'!H12="","",'الخطة التنفيذية'!H12)</f>
        <v/>
      </c>
      <c r="J11" s="21" t="str">
        <f aca="false">IF(H11="","",IF(H11=I11,"مطابق","مختلف"))</f>
        <v/>
      </c>
      <c r="K11" s="45" t="str">
        <f aca="false">IFERROR(IF(H11="","",(H11-D11)/D11),"")</f>
        <v/>
      </c>
    </row>
    <row r="12" customFormat="false" ht="27.75" hidden="false" customHeight="true" outlineLevel="0" collapsed="false">
      <c r="A12" s="69" t="n">
        <v>9</v>
      </c>
      <c r="B12" s="17" t="s">
        <v>101</v>
      </c>
      <c r="C12" s="70" t="s">
        <v>551</v>
      </c>
      <c r="D12" s="71" t="n">
        <f aca="false">'الخطة التنفيذية'!E13</f>
        <v>0</v>
      </c>
      <c r="E12" s="65"/>
      <c r="F12" s="65"/>
      <c r="G12" s="65"/>
      <c r="H12" s="65"/>
      <c r="I12" s="71" t="str">
        <f aca="false">IF('الخطة التنفيذية'!H13="","",'الخطة التنفيذية'!H13)</f>
        <v/>
      </c>
      <c r="J12" s="21" t="str">
        <f aca="false">IF(H12="","",IF(H12=I12,"مطابق","مختلف"))</f>
        <v/>
      </c>
      <c r="K12" s="45" t="str">
        <f aca="false">IFERROR(IF(H12="","",(H12-D12)/D12),"")</f>
        <v/>
      </c>
    </row>
    <row r="13" customFormat="false" ht="27.75" hidden="false" customHeight="true" outlineLevel="0" collapsed="false">
      <c r="A13" s="69" t="n">
        <v>10</v>
      </c>
      <c r="B13" s="17" t="s">
        <v>105</v>
      </c>
      <c r="C13" s="70" t="s">
        <v>554</v>
      </c>
      <c r="D13" s="71" t="n">
        <f aca="false">'الخطة التنفيذية'!E14</f>
        <v>0</v>
      </c>
      <c r="E13" s="65"/>
      <c r="F13" s="65"/>
      <c r="G13" s="65"/>
      <c r="H13" s="65"/>
      <c r="I13" s="71" t="str">
        <f aca="false">IF('الخطة التنفيذية'!H14="","",'الخطة التنفيذية'!H14)</f>
        <v/>
      </c>
      <c r="J13" s="21" t="str">
        <f aca="false">IF(H13="","",IF(H13=I13,"مطابق","مختلف"))</f>
        <v/>
      </c>
      <c r="K13" s="45" t="str">
        <f aca="false">IFERROR(IF(H13="","",(H13-D13)/D13),"")</f>
        <v/>
      </c>
    </row>
    <row r="14" customFormat="false" ht="27.75" hidden="false" customHeight="true" outlineLevel="0" collapsed="false">
      <c r="A14" s="69" t="n">
        <v>11</v>
      </c>
      <c r="B14" s="17" t="s">
        <v>109</v>
      </c>
      <c r="C14" s="70" t="s">
        <v>556</v>
      </c>
      <c r="D14" s="71" t="n">
        <f aca="false">'الخطة التنفيذية'!E15</f>
        <v>6</v>
      </c>
      <c r="E14" s="65"/>
      <c r="F14" s="65"/>
      <c r="G14" s="65"/>
      <c r="H14" s="65"/>
      <c r="I14" s="71" t="str">
        <f aca="false">IF('الخطة التنفيذية'!H15="","",'الخطة التنفيذية'!H15)</f>
        <v/>
      </c>
      <c r="J14" s="21" t="str">
        <f aca="false">IF(H14="","",IF(H14=I14,"مطابق","مختلف"))</f>
        <v/>
      </c>
      <c r="K14" s="45" t="str">
        <f aca="false">IFERROR(IF(H14="","",(H14-D14)/D14),"")</f>
        <v/>
      </c>
    </row>
    <row r="15" customFormat="false" ht="27.75" hidden="false" customHeight="true" outlineLevel="0" collapsed="false">
      <c r="A15" s="69" t="n">
        <v>12</v>
      </c>
      <c r="B15" s="17" t="s">
        <v>114</v>
      </c>
      <c r="C15" s="70" t="s">
        <v>560</v>
      </c>
      <c r="D15" s="71" t="n">
        <f aca="false">'الخطة التنفيذية'!E16</f>
        <v>0</v>
      </c>
      <c r="E15" s="65"/>
      <c r="F15" s="65"/>
      <c r="G15" s="65"/>
      <c r="H15" s="65"/>
      <c r="I15" s="71" t="str">
        <f aca="false">IF('الخطة التنفيذية'!H16="","",'الخطة التنفيذية'!H16)</f>
        <v/>
      </c>
      <c r="J15" s="21" t="str">
        <f aca="false">IF(H15="","",IF(H15=I15,"مطابق","مختلف"))</f>
        <v/>
      </c>
      <c r="K15" s="45" t="str">
        <f aca="false">IFERROR(IF(H15="","",(H15-D15)/D15),"")</f>
        <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24"/>
    <col collapsed="false" customWidth="true" hidden="false" outlineLevel="0" max="4" min="4" style="0" width="15"/>
    <col collapsed="false" customWidth="true" hidden="false" outlineLevel="0" max="6" min="5" style="0" width="16"/>
    <col collapsed="false" customWidth="true" hidden="false" outlineLevel="0" max="8" min="7" style="0" width="13"/>
    <col collapsed="false" customWidth="true" hidden="false" outlineLevel="0" max="9" min="9" style="0" width="10"/>
    <col collapsed="false" customWidth="true" hidden="false" outlineLevel="0" max="10" min="10" style="0" width="11"/>
    <col collapsed="false" customWidth="true" hidden="false" outlineLevel="0" max="11" min="11" style="0" width="15"/>
    <col collapsed="false" customWidth="true" hidden="false" outlineLevel="0" max="12" min="12" style="0" width="26"/>
    <col collapsed="false" customWidth="true" hidden="false" outlineLevel="0" max="13" min="13" style="0" width="13"/>
    <col collapsed="false" customWidth="true" hidden="false" outlineLevel="0" max="14" min="14" style="0" width="11"/>
  </cols>
  <sheetData>
    <row r="1" customFormat="false" ht="25.5" hidden="false" customHeight="true" outlineLevel="0" collapsed="false">
      <c r="A1" s="1" t="s">
        <v>570</v>
      </c>
      <c r="B1" s="1"/>
      <c r="C1" s="1"/>
      <c r="D1" s="1"/>
      <c r="E1" s="1"/>
      <c r="F1" s="1"/>
      <c r="G1" s="1"/>
      <c r="H1" s="1"/>
      <c r="I1" s="1"/>
      <c r="J1" s="1"/>
      <c r="K1" s="1"/>
      <c r="L1" s="1"/>
      <c r="M1" s="1"/>
      <c r="N1" s="1"/>
    </row>
    <row r="2" customFormat="false" ht="18" hidden="false" customHeight="true" outlineLevel="0" collapsed="false">
      <c r="A2" s="2" t="s">
        <v>571</v>
      </c>
      <c r="B2" s="2"/>
      <c r="C2" s="2"/>
      <c r="D2" s="2"/>
      <c r="E2" s="2"/>
      <c r="F2" s="2"/>
      <c r="G2" s="2"/>
      <c r="H2" s="2"/>
      <c r="I2" s="2"/>
      <c r="J2" s="2"/>
      <c r="K2" s="2"/>
      <c r="L2" s="2"/>
      <c r="M2" s="2"/>
      <c r="N2" s="2"/>
    </row>
    <row r="3" customFormat="false" ht="31.5" hidden="false" customHeight="true" outlineLevel="0" collapsed="false">
      <c r="A3" s="15" t="s">
        <v>46</v>
      </c>
      <c r="B3" s="15" t="s">
        <v>572</v>
      </c>
      <c r="C3" s="15" t="s">
        <v>47</v>
      </c>
      <c r="D3" s="15" t="s">
        <v>573</v>
      </c>
      <c r="E3" s="15" t="s">
        <v>56</v>
      </c>
      <c r="F3" s="15" t="s">
        <v>511</v>
      </c>
      <c r="G3" s="15" t="s">
        <v>574</v>
      </c>
      <c r="H3" s="15" t="s">
        <v>575</v>
      </c>
      <c r="I3" s="15" t="s">
        <v>576</v>
      </c>
      <c r="J3" s="15" t="s">
        <v>57</v>
      </c>
      <c r="K3" s="15" t="s">
        <v>577</v>
      </c>
      <c r="L3" s="15" t="s">
        <v>578</v>
      </c>
      <c r="M3" s="15" t="s">
        <v>378</v>
      </c>
      <c r="N3" s="15" t="s">
        <v>579</v>
      </c>
    </row>
    <row r="4" customFormat="false" ht="30" hidden="false" customHeight="true" outlineLevel="0" collapsed="false">
      <c r="A4" s="61" t="s">
        <v>513</v>
      </c>
      <c r="B4" s="62" t="s">
        <v>580</v>
      </c>
      <c r="C4" s="61" t="s">
        <v>64</v>
      </c>
      <c r="D4" s="61" t="s">
        <v>50</v>
      </c>
      <c r="E4" s="61" t="s">
        <v>69</v>
      </c>
      <c r="F4" s="61" t="s">
        <v>519</v>
      </c>
      <c r="G4" s="72" t="n">
        <v>46235</v>
      </c>
      <c r="H4" s="72" t="n">
        <v>46326</v>
      </c>
      <c r="I4" s="61" t="n">
        <f aca="false">IF(OR(G4="",H4=""),"",H4-G4)</f>
        <v>91</v>
      </c>
      <c r="J4" s="61" t="n">
        <v>1</v>
      </c>
      <c r="K4" s="61" t="s">
        <v>581</v>
      </c>
      <c r="L4" s="62" t="s">
        <v>582</v>
      </c>
      <c r="M4" s="61" t="s">
        <v>521</v>
      </c>
      <c r="N4" s="73" t="n">
        <v>0</v>
      </c>
    </row>
    <row r="5" customFormat="false" ht="25.5" hidden="false" customHeight="true" outlineLevel="0" collapsed="false">
      <c r="A5" s="69" t="n">
        <v>1</v>
      </c>
      <c r="B5" s="66"/>
      <c r="C5" s="67"/>
      <c r="D5" s="67"/>
      <c r="E5" s="67"/>
      <c r="F5" s="67"/>
      <c r="G5" s="74"/>
      <c r="H5" s="74"/>
      <c r="I5" s="21" t="str">
        <f aca="false">IF(OR(G5="",H5=""),"",H5-G5)</f>
        <v/>
      </c>
      <c r="J5" s="67"/>
      <c r="K5" s="67"/>
      <c r="L5" s="66"/>
      <c r="M5" s="67"/>
      <c r="N5" s="75"/>
    </row>
    <row r="6" customFormat="false" ht="25.5" hidden="false" customHeight="true" outlineLevel="0" collapsed="false">
      <c r="A6" s="69" t="n">
        <v>2</v>
      </c>
      <c r="B6" s="66"/>
      <c r="C6" s="67"/>
      <c r="D6" s="67"/>
      <c r="E6" s="67"/>
      <c r="F6" s="67"/>
      <c r="G6" s="74"/>
      <c r="H6" s="74"/>
      <c r="I6" s="21" t="str">
        <f aca="false">IF(OR(G6="",H6=""),"",H6-G6)</f>
        <v/>
      </c>
      <c r="J6" s="67"/>
      <c r="K6" s="67"/>
      <c r="L6" s="66"/>
      <c r="M6" s="67"/>
      <c r="N6" s="75"/>
    </row>
    <row r="7" customFormat="false" ht="25.5" hidden="false" customHeight="true" outlineLevel="0" collapsed="false">
      <c r="A7" s="69" t="n">
        <v>3</v>
      </c>
      <c r="B7" s="66"/>
      <c r="C7" s="67"/>
      <c r="D7" s="67"/>
      <c r="E7" s="67"/>
      <c r="F7" s="67"/>
      <c r="G7" s="74"/>
      <c r="H7" s="74"/>
      <c r="I7" s="21" t="str">
        <f aca="false">IF(OR(G7="",H7=""),"",H7-G7)</f>
        <v/>
      </c>
      <c r="J7" s="67"/>
      <c r="K7" s="67"/>
      <c r="L7" s="66"/>
      <c r="M7" s="67"/>
      <c r="N7" s="75"/>
    </row>
    <row r="8" customFormat="false" ht="25.5" hidden="false" customHeight="true" outlineLevel="0" collapsed="false">
      <c r="A8" s="69" t="n">
        <v>4</v>
      </c>
      <c r="B8" s="66"/>
      <c r="C8" s="67"/>
      <c r="D8" s="67"/>
      <c r="E8" s="67"/>
      <c r="F8" s="67"/>
      <c r="G8" s="74"/>
      <c r="H8" s="74"/>
      <c r="I8" s="21" t="str">
        <f aca="false">IF(OR(G8="",H8=""),"",H8-G8)</f>
        <v/>
      </c>
      <c r="J8" s="67"/>
      <c r="K8" s="67"/>
      <c r="L8" s="66"/>
      <c r="M8" s="67"/>
      <c r="N8" s="75"/>
    </row>
    <row r="9" customFormat="false" ht="25.5" hidden="false" customHeight="true" outlineLevel="0" collapsed="false">
      <c r="A9" s="69" t="n">
        <v>5</v>
      </c>
      <c r="B9" s="66"/>
      <c r="C9" s="67"/>
      <c r="D9" s="67"/>
      <c r="E9" s="67"/>
      <c r="F9" s="67"/>
      <c r="G9" s="74"/>
      <c r="H9" s="74"/>
      <c r="I9" s="21" t="str">
        <f aca="false">IF(OR(G9="",H9=""),"",H9-G9)</f>
        <v/>
      </c>
      <c r="J9" s="67"/>
      <c r="K9" s="67"/>
      <c r="L9" s="66"/>
      <c r="M9" s="67"/>
      <c r="N9" s="75"/>
    </row>
    <row r="10" customFormat="false" ht="25.5" hidden="false" customHeight="true" outlineLevel="0" collapsed="false">
      <c r="A10" s="69" t="n">
        <v>6</v>
      </c>
      <c r="B10" s="66"/>
      <c r="C10" s="67"/>
      <c r="D10" s="67"/>
      <c r="E10" s="67"/>
      <c r="F10" s="67"/>
      <c r="G10" s="74"/>
      <c r="H10" s="74"/>
      <c r="I10" s="21" t="str">
        <f aca="false">IF(OR(G10="",H10=""),"",H10-G10)</f>
        <v/>
      </c>
      <c r="J10" s="67"/>
      <c r="K10" s="67"/>
      <c r="L10" s="66"/>
      <c r="M10" s="67"/>
      <c r="N10" s="75"/>
    </row>
    <row r="11" customFormat="false" ht="25.5" hidden="false" customHeight="true" outlineLevel="0" collapsed="false">
      <c r="A11" s="69" t="n">
        <v>7</v>
      </c>
      <c r="B11" s="66"/>
      <c r="C11" s="67"/>
      <c r="D11" s="67"/>
      <c r="E11" s="67"/>
      <c r="F11" s="67"/>
      <c r="G11" s="74"/>
      <c r="H11" s="74"/>
      <c r="I11" s="21" t="str">
        <f aca="false">IF(OR(G11="",H11=""),"",H11-G11)</f>
        <v/>
      </c>
      <c r="J11" s="67"/>
      <c r="K11" s="67"/>
      <c r="L11" s="66"/>
      <c r="M11" s="67"/>
      <c r="N11" s="75"/>
    </row>
    <row r="12" customFormat="false" ht="25.5" hidden="false" customHeight="true" outlineLevel="0" collapsed="false">
      <c r="A12" s="69" t="n">
        <v>8</v>
      </c>
      <c r="B12" s="66"/>
      <c r="C12" s="67"/>
      <c r="D12" s="67"/>
      <c r="E12" s="67"/>
      <c r="F12" s="67"/>
      <c r="G12" s="74"/>
      <c r="H12" s="74"/>
      <c r="I12" s="21" t="str">
        <f aca="false">IF(OR(G12="",H12=""),"",H12-G12)</f>
        <v/>
      </c>
      <c r="J12" s="67"/>
      <c r="K12" s="67"/>
      <c r="L12" s="66"/>
      <c r="M12" s="67"/>
      <c r="N12" s="75"/>
    </row>
    <row r="13" customFormat="false" ht="25.5" hidden="false" customHeight="true" outlineLevel="0" collapsed="false">
      <c r="A13" s="69" t="n">
        <v>9</v>
      </c>
      <c r="B13" s="66"/>
      <c r="C13" s="67"/>
      <c r="D13" s="67"/>
      <c r="E13" s="67"/>
      <c r="F13" s="67"/>
      <c r="G13" s="74"/>
      <c r="H13" s="74"/>
      <c r="I13" s="21" t="str">
        <f aca="false">IF(OR(G13="",H13=""),"",H13-G13)</f>
        <v/>
      </c>
      <c r="J13" s="67"/>
      <c r="K13" s="67"/>
      <c r="L13" s="66"/>
      <c r="M13" s="67"/>
      <c r="N13" s="75"/>
    </row>
    <row r="14" customFormat="false" ht="25.5" hidden="false" customHeight="true" outlineLevel="0" collapsed="false">
      <c r="A14" s="69" t="n">
        <v>10</v>
      </c>
      <c r="B14" s="66"/>
      <c r="C14" s="67"/>
      <c r="D14" s="67"/>
      <c r="E14" s="67"/>
      <c r="F14" s="67"/>
      <c r="G14" s="74"/>
      <c r="H14" s="74"/>
      <c r="I14" s="21" t="str">
        <f aca="false">IF(OR(G14="",H14=""),"",H14-G14)</f>
        <v/>
      </c>
      <c r="J14" s="67"/>
      <c r="K14" s="67"/>
      <c r="L14" s="66"/>
      <c r="M14" s="67"/>
      <c r="N14" s="75"/>
    </row>
    <row r="15" customFormat="false" ht="25.5" hidden="false" customHeight="true" outlineLevel="0" collapsed="false">
      <c r="A15" s="69" t="n">
        <v>11</v>
      </c>
      <c r="B15" s="66"/>
      <c r="C15" s="67"/>
      <c r="D15" s="67"/>
      <c r="E15" s="67"/>
      <c r="F15" s="67"/>
      <c r="G15" s="74"/>
      <c r="H15" s="74"/>
      <c r="I15" s="21" t="str">
        <f aca="false">IF(OR(G15="",H15=""),"",H15-G15)</f>
        <v/>
      </c>
      <c r="J15" s="67"/>
      <c r="K15" s="67"/>
      <c r="L15" s="66"/>
      <c r="M15" s="67"/>
      <c r="N15" s="75"/>
    </row>
    <row r="16" customFormat="false" ht="25.5" hidden="false" customHeight="true" outlineLevel="0" collapsed="false">
      <c r="A16" s="69" t="n">
        <v>12</v>
      </c>
      <c r="B16" s="66"/>
      <c r="C16" s="67"/>
      <c r="D16" s="67"/>
      <c r="E16" s="67"/>
      <c r="F16" s="67"/>
      <c r="G16" s="74"/>
      <c r="H16" s="74"/>
      <c r="I16" s="21" t="str">
        <f aca="false">IF(OR(G16="",H16=""),"",H16-G16)</f>
        <v/>
      </c>
      <c r="J16" s="67"/>
      <c r="K16" s="67"/>
      <c r="L16" s="66"/>
      <c r="M16" s="67"/>
      <c r="N16" s="75"/>
    </row>
    <row r="17" customFormat="false" ht="25.5" hidden="false" customHeight="true" outlineLevel="0" collapsed="false">
      <c r="A17" s="69" t="n">
        <v>13</v>
      </c>
      <c r="B17" s="66"/>
      <c r="C17" s="67"/>
      <c r="D17" s="67"/>
      <c r="E17" s="67"/>
      <c r="F17" s="67"/>
      <c r="G17" s="74"/>
      <c r="H17" s="74"/>
      <c r="I17" s="21" t="str">
        <f aca="false">IF(OR(G17="",H17=""),"",H17-G17)</f>
        <v/>
      </c>
      <c r="J17" s="67"/>
      <c r="K17" s="67"/>
      <c r="L17" s="66"/>
      <c r="M17" s="67"/>
      <c r="N17" s="75"/>
    </row>
    <row r="18" customFormat="false" ht="25.5" hidden="false" customHeight="true" outlineLevel="0" collapsed="false">
      <c r="A18" s="69" t="n">
        <v>14</v>
      </c>
      <c r="B18" s="66"/>
      <c r="C18" s="67"/>
      <c r="D18" s="67"/>
      <c r="E18" s="67"/>
      <c r="F18" s="67"/>
      <c r="G18" s="74"/>
      <c r="H18" s="74"/>
      <c r="I18" s="21" t="str">
        <f aca="false">IF(OR(G18="",H18=""),"",H18-G18)</f>
        <v/>
      </c>
      <c r="J18" s="67"/>
      <c r="K18" s="67"/>
      <c r="L18" s="66"/>
      <c r="M18" s="67"/>
      <c r="N18" s="75"/>
    </row>
    <row r="19" customFormat="false" ht="25.5" hidden="false" customHeight="true" outlineLevel="0" collapsed="false">
      <c r="A19" s="69" t="n">
        <v>15</v>
      </c>
      <c r="B19" s="66"/>
      <c r="C19" s="67"/>
      <c r="D19" s="67"/>
      <c r="E19" s="67"/>
      <c r="F19" s="67"/>
      <c r="G19" s="74"/>
      <c r="H19" s="74"/>
      <c r="I19" s="21" t="str">
        <f aca="false">IF(OR(G19="",H19=""),"",H19-G19)</f>
        <v/>
      </c>
      <c r="J19" s="67"/>
      <c r="K19" s="67"/>
      <c r="L19" s="66"/>
      <c r="M19" s="67"/>
      <c r="N19" s="75"/>
    </row>
    <row r="20" customFormat="false" ht="25.5" hidden="false" customHeight="true" outlineLevel="0" collapsed="false">
      <c r="A20" s="69" t="n">
        <v>16</v>
      </c>
      <c r="B20" s="66"/>
      <c r="C20" s="67"/>
      <c r="D20" s="67"/>
      <c r="E20" s="67"/>
      <c r="F20" s="67"/>
      <c r="G20" s="74"/>
      <c r="H20" s="74"/>
      <c r="I20" s="21" t="str">
        <f aca="false">IF(OR(G20="",H20=""),"",H20-G20)</f>
        <v/>
      </c>
      <c r="J20" s="67"/>
      <c r="K20" s="67"/>
      <c r="L20" s="66"/>
      <c r="M20" s="67"/>
      <c r="N20" s="75"/>
    </row>
    <row r="21" customFormat="false" ht="25.5" hidden="false" customHeight="true" outlineLevel="0" collapsed="false">
      <c r="A21" s="69" t="n">
        <v>17</v>
      </c>
      <c r="B21" s="66"/>
      <c r="C21" s="67"/>
      <c r="D21" s="67"/>
      <c r="E21" s="67"/>
      <c r="F21" s="67"/>
      <c r="G21" s="74"/>
      <c r="H21" s="74"/>
      <c r="I21" s="21" t="str">
        <f aca="false">IF(OR(G21="",H21=""),"",H21-G21)</f>
        <v/>
      </c>
      <c r="J21" s="67"/>
      <c r="K21" s="67"/>
      <c r="L21" s="66"/>
      <c r="M21" s="67"/>
      <c r="N21" s="75"/>
    </row>
    <row r="22" customFormat="false" ht="25.5" hidden="false" customHeight="true" outlineLevel="0" collapsed="false">
      <c r="A22" s="69" t="n">
        <v>18</v>
      </c>
      <c r="B22" s="66"/>
      <c r="C22" s="67"/>
      <c r="D22" s="67"/>
      <c r="E22" s="67"/>
      <c r="F22" s="67"/>
      <c r="G22" s="74"/>
      <c r="H22" s="74"/>
      <c r="I22" s="21" t="str">
        <f aca="false">IF(OR(G22="",H22=""),"",H22-G22)</f>
        <v/>
      </c>
      <c r="J22" s="67"/>
      <c r="K22" s="67"/>
      <c r="L22" s="66"/>
      <c r="M22" s="67"/>
      <c r="N22" s="75"/>
    </row>
    <row r="23" customFormat="false" ht="25.5" hidden="false" customHeight="true" outlineLevel="0" collapsed="false">
      <c r="A23" s="69" t="n">
        <v>19</v>
      </c>
      <c r="B23" s="66"/>
      <c r="C23" s="67"/>
      <c r="D23" s="67"/>
      <c r="E23" s="67"/>
      <c r="F23" s="67"/>
      <c r="G23" s="74"/>
      <c r="H23" s="74"/>
      <c r="I23" s="21" t="str">
        <f aca="false">IF(OR(G23="",H23=""),"",H23-G23)</f>
        <v/>
      </c>
      <c r="J23" s="67"/>
      <c r="K23" s="67"/>
      <c r="L23" s="66"/>
      <c r="M23" s="67"/>
      <c r="N23" s="75"/>
    </row>
    <row r="24" customFormat="false" ht="25.5" hidden="false" customHeight="true" outlineLevel="0" collapsed="false">
      <c r="A24" s="69" t="n">
        <v>20</v>
      </c>
      <c r="B24" s="66"/>
      <c r="C24" s="67"/>
      <c r="D24" s="67"/>
      <c r="E24" s="67"/>
      <c r="F24" s="67"/>
      <c r="G24" s="74"/>
      <c r="H24" s="74"/>
      <c r="I24" s="21" t="str">
        <f aca="false">IF(OR(G24="",H24=""),"",H24-G24)</f>
        <v/>
      </c>
      <c r="J24" s="67"/>
      <c r="K24" s="67"/>
      <c r="L24" s="66"/>
      <c r="M24" s="67"/>
      <c r="N24" s="75"/>
    </row>
    <row r="25" customFormat="false" ht="25.5" hidden="false" customHeight="true" outlineLevel="0" collapsed="false">
      <c r="A25" s="69" t="n">
        <v>21</v>
      </c>
      <c r="B25" s="66"/>
      <c r="C25" s="67"/>
      <c r="D25" s="67"/>
      <c r="E25" s="67"/>
      <c r="F25" s="67"/>
      <c r="G25" s="74"/>
      <c r="H25" s="74"/>
      <c r="I25" s="21" t="str">
        <f aca="false">IF(OR(G25="",H25=""),"",H25-G25)</f>
        <v/>
      </c>
      <c r="J25" s="67"/>
      <c r="K25" s="67"/>
      <c r="L25" s="66"/>
      <c r="M25" s="67"/>
      <c r="N25" s="75"/>
    </row>
    <row r="26" customFormat="false" ht="25.5" hidden="false" customHeight="true" outlineLevel="0" collapsed="false">
      <c r="A26" s="69" t="n">
        <v>22</v>
      </c>
      <c r="B26" s="66"/>
      <c r="C26" s="67"/>
      <c r="D26" s="67"/>
      <c r="E26" s="67"/>
      <c r="F26" s="67"/>
      <c r="G26" s="74"/>
      <c r="H26" s="74"/>
      <c r="I26" s="21" t="str">
        <f aca="false">IF(OR(G26="",H26=""),"",H26-G26)</f>
        <v/>
      </c>
      <c r="J26" s="67"/>
      <c r="K26" s="67"/>
      <c r="L26" s="66"/>
      <c r="M26" s="67"/>
      <c r="N26" s="75"/>
    </row>
    <row r="27" customFormat="false" ht="25.5" hidden="false" customHeight="true" outlineLevel="0" collapsed="false">
      <c r="A27" s="69" t="n">
        <v>23</v>
      </c>
      <c r="B27" s="66"/>
      <c r="C27" s="67"/>
      <c r="D27" s="67"/>
      <c r="E27" s="67"/>
      <c r="F27" s="67"/>
      <c r="G27" s="74"/>
      <c r="H27" s="74"/>
      <c r="I27" s="21" t="str">
        <f aca="false">IF(OR(G27="",H27=""),"",H27-G27)</f>
        <v/>
      </c>
      <c r="J27" s="67"/>
      <c r="K27" s="67"/>
      <c r="L27" s="66"/>
      <c r="M27" s="67"/>
      <c r="N27" s="75"/>
    </row>
    <row r="28" customFormat="false" ht="25.5" hidden="false" customHeight="true" outlineLevel="0" collapsed="false">
      <c r="A28" s="69" t="n">
        <v>24</v>
      </c>
      <c r="B28" s="66"/>
      <c r="C28" s="67"/>
      <c r="D28" s="67"/>
      <c r="E28" s="67"/>
      <c r="F28" s="67"/>
      <c r="G28" s="74"/>
      <c r="H28" s="74"/>
      <c r="I28" s="21" t="str">
        <f aca="false">IF(OR(G28="",H28=""),"",H28-G28)</f>
        <v/>
      </c>
      <c r="J28" s="67"/>
      <c r="K28" s="67"/>
      <c r="L28" s="66"/>
      <c r="M28" s="67"/>
      <c r="N28" s="75"/>
    </row>
    <row r="30" customFormat="false" ht="15" hidden="false" customHeight="false" outlineLevel="0" collapsed="false">
      <c r="B30" s="24" t="s">
        <v>583</v>
      </c>
      <c r="M30" s="21" t="str">
        <f aca="false">COUNTA(B5:B28)&amp;" مبادرة"</f>
        <v>0 مبادرة</v>
      </c>
      <c r="N30" s="59" t="str">
        <f aca="false">IFERROR(AVERAGE(N5:N28),"")</f>
        <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1"/>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28"/>
    <col collapsed="false" customWidth="true" hidden="false" outlineLevel="0" max="3" min="3" style="0" width="11"/>
    <col collapsed="false" customWidth="true" hidden="false" outlineLevel="0" max="4" min="4" style="0" width="13"/>
    <col collapsed="false" customWidth="true" hidden="false" outlineLevel="0" max="5" min="5" style="0" width="10"/>
    <col collapsed="false" customWidth="true" hidden="false" outlineLevel="0" max="6" min="6" style="0" width="14"/>
    <col collapsed="false" customWidth="true" hidden="false" outlineLevel="0" max="7" min="7" style="0" width="15"/>
    <col collapsed="false" customWidth="true" hidden="false" outlineLevel="0" max="8" min="8" style="0" width="12"/>
    <col collapsed="false" customWidth="true" hidden="false" outlineLevel="0" max="9" min="9" style="0" width="13"/>
    <col collapsed="false" customWidth="true" hidden="false" outlineLevel="0" max="10" min="10" style="0" width="12"/>
    <col collapsed="false" customWidth="true" hidden="false" outlineLevel="0" max="11" min="11" style="0" width="11"/>
    <col collapsed="false" customWidth="true" hidden="false" outlineLevel="0" max="13" min="12" style="0" width="10"/>
    <col collapsed="false" customWidth="true" hidden="false" outlineLevel="0" max="14" min="14" style="0" width="11"/>
    <col collapsed="false" customWidth="true" hidden="false" outlineLevel="0" max="15" min="15" style="0" width="14"/>
  </cols>
  <sheetData>
    <row r="1" customFormat="false" ht="25.5" hidden="false" customHeight="true" outlineLevel="0" collapsed="false">
      <c r="A1" s="1" t="s">
        <v>584</v>
      </c>
      <c r="B1" s="1"/>
      <c r="C1" s="1"/>
      <c r="D1" s="1"/>
      <c r="E1" s="1"/>
      <c r="F1" s="1"/>
      <c r="G1" s="1"/>
      <c r="H1" s="1"/>
      <c r="I1" s="1"/>
      <c r="J1" s="1"/>
      <c r="K1" s="1"/>
      <c r="L1" s="1"/>
      <c r="M1" s="1"/>
      <c r="N1" s="1"/>
      <c r="O1" s="1"/>
    </row>
    <row r="2" customFormat="false" ht="18" hidden="false" customHeight="true" outlineLevel="0" collapsed="false">
      <c r="A2" s="2" t="s">
        <v>585</v>
      </c>
      <c r="B2" s="2"/>
      <c r="C2" s="2"/>
      <c r="D2" s="2"/>
      <c r="E2" s="2"/>
      <c r="F2" s="2"/>
      <c r="G2" s="2"/>
      <c r="H2" s="2"/>
      <c r="I2" s="2"/>
      <c r="J2" s="2"/>
      <c r="K2" s="2"/>
      <c r="L2" s="2"/>
      <c r="M2" s="2"/>
      <c r="N2" s="2"/>
      <c r="O2" s="2"/>
    </row>
    <row r="3" customFormat="false" ht="31.5" hidden="false" customHeight="true" outlineLevel="0" collapsed="false">
      <c r="A3" s="15" t="s">
        <v>586</v>
      </c>
      <c r="B3" s="15" t="s">
        <v>587</v>
      </c>
      <c r="C3" s="15" t="s">
        <v>588</v>
      </c>
      <c r="D3" s="15" t="s">
        <v>589</v>
      </c>
      <c r="E3" s="15" t="s">
        <v>590</v>
      </c>
      <c r="F3" s="15" t="s">
        <v>591</v>
      </c>
      <c r="G3" s="15" t="s">
        <v>592</v>
      </c>
      <c r="H3" s="15" t="s">
        <v>593</v>
      </c>
      <c r="I3" s="15" t="s">
        <v>594</v>
      </c>
      <c r="J3" s="15" t="s">
        <v>595</v>
      </c>
      <c r="K3" s="15" t="s">
        <v>596</v>
      </c>
      <c r="L3" s="15" t="s">
        <v>597</v>
      </c>
      <c r="M3" s="15" t="s">
        <v>598</v>
      </c>
      <c r="N3" s="15" t="s">
        <v>599</v>
      </c>
      <c r="O3" s="15" t="s">
        <v>600</v>
      </c>
    </row>
    <row r="4" customFormat="false" ht="15" hidden="false" customHeight="false" outlineLevel="0" collapsed="false">
      <c r="A4" s="21" t="s">
        <v>601</v>
      </c>
      <c r="B4" s="16" t="s">
        <v>602</v>
      </c>
      <c r="C4" s="21" t="s">
        <v>603</v>
      </c>
      <c r="D4" s="21" t="s">
        <v>604</v>
      </c>
      <c r="E4" s="21" t="n">
        <v>181</v>
      </c>
      <c r="F4" s="28" t="n">
        <v>49590690</v>
      </c>
      <c r="G4" s="28" t="n">
        <f aca="false">F4*365/E4</f>
        <v>100003325.138122</v>
      </c>
      <c r="H4" s="28" t="n">
        <v>766648</v>
      </c>
      <c r="I4" s="28" t="n">
        <v>23493282</v>
      </c>
      <c r="J4" s="64" t="n">
        <v>64.69</v>
      </c>
      <c r="K4" s="57" t="n">
        <v>-0.223</v>
      </c>
      <c r="L4" s="45" t="n">
        <v>0.006</v>
      </c>
      <c r="M4" s="45" t="n">
        <v>0.53</v>
      </c>
      <c r="N4" s="45" t="n">
        <v>0.281</v>
      </c>
      <c r="O4" s="21" t="s">
        <v>605</v>
      </c>
    </row>
    <row r="5" customFormat="false" ht="15" hidden="false" customHeight="false" outlineLevel="0" collapsed="false">
      <c r="A5" s="21" t="s">
        <v>606</v>
      </c>
      <c r="B5" s="16" t="s">
        <v>607</v>
      </c>
      <c r="C5" s="21" t="s">
        <v>603</v>
      </c>
      <c r="D5" s="21" t="s">
        <v>608</v>
      </c>
      <c r="E5" s="21" t="n">
        <v>91</v>
      </c>
      <c r="F5" s="28" t="n">
        <v>20001382</v>
      </c>
      <c r="G5" s="28" t="n">
        <f aca="false">F5*365/E5</f>
        <v>80225323.4065934</v>
      </c>
      <c r="H5" s="28" t="n">
        <v>324068</v>
      </c>
      <c r="I5" s="28" t="n">
        <v>8841940</v>
      </c>
      <c r="J5" s="64" t="n">
        <v>61.72</v>
      </c>
      <c r="K5" s="76" t="n">
        <v>0</v>
      </c>
      <c r="L5" s="45" t="n">
        <v>0</v>
      </c>
      <c r="M5" s="45" t="n">
        <v>0.364</v>
      </c>
      <c r="N5" s="45" t="n">
        <v>0</v>
      </c>
      <c r="O5" s="21" t="s">
        <v>609</v>
      </c>
    </row>
    <row r="6" customFormat="false" ht="15" hidden="false" customHeight="false" outlineLevel="0" collapsed="false">
      <c r="A6" s="21" t="s">
        <v>610</v>
      </c>
      <c r="B6" s="16" t="s">
        <v>611</v>
      </c>
      <c r="C6" s="21" t="s">
        <v>612</v>
      </c>
      <c r="D6" s="21" t="s">
        <v>604</v>
      </c>
      <c r="E6" s="21" t="n">
        <v>91</v>
      </c>
      <c r="F6" s="28" t="n">
        <v>15598002</v>
      </c>
      <c r="G6" s="28" t="n">
        <f aca="false">F6*365/E6</f>
        <v>62563414.6153846</v>
      </c>
      <c r="H6" s="28" t="n">
        <v>194466</v>
      </c>
      <c r="I6" s="28" t="n">
        <v>7467484</v>
      </c>
      <c r="J6" s="64" t="n">
        <v>80.21</v>
      </c>
      <c r="K6" s="76" t="n">
        <v>0</v>
      </c>
      <c r="L6" s="45" t="n">
        <v>0</v>
      </c>
      <c r="M6" s="45" t="n">
        <v>0.441</v>
      </c>
      <c r="N6" s="45" t="n">
        <v>0.344</v>
      </c>
      <c r="O6" s="21" t="s">
        <v>613</v>
      </c>
    </row>
    <row r="7" customFormat="false" ht="15" hidden="false" customHeight="false" outlineLevel="0" collapsed="false">
      <c r="A7" s="21" t="s">
        <v>614</v>
      </c>
      <c r="B7" s="16" t="s">
        <v>615</v>
      </c>
      <c r="C7" s="21" t="s">
        <v>345</v>
      </c>
      <c r="D7" s="21" t="s">
        <v>608</v>
      </c>
      <c r="E7" s="21" t="n">
        <v>176</v>
      </c>
      <c r="F7" s="28" t="n">
        <v>28047704</v>
      </c>
      <c r="G7" s="28" t="n">
        <f aca="false">F7*365/E7</f>
        <v>58167113.4090909</v>
      </c>
      <c r="H7" s="28" t="n">
        <v>333050</v>
      </c>
      <c r="I7" s="28" t="n">
        <v>14552120</v>
      </c>
      <c r="J7" s="64" t="n">
        <v>84.21</v>
      </c>
      <c r="K7" s="77" t="n">
        <v>0.273</v>
      </c>
      <c r="L7" s="45" t="n">
        <v>0</v>
      </c>
      <c r="M7" s="45" t="n">
        <v>0.204</v>
      </c>
      <c r="N7" s="45" t="n">
        <v>0.641</v>
      </c>
      <c r="O7" s="20" t="s">
        <v>616</v>
      </c>
    </row>
    <row r="8" customFormat="false" ht="15" hidden="false" customHeight="false" outlineLevel="0" collapsed="false">
      <c r="A8" s="21" t="s">
        <v>617</v>
      </c>
      <c r="B8" s="16" t="s">
        <v>618</v>
      </c>
      <c r="C8" s="21" t="s">
        <v>603</v>
      </c>
      <c r="D8" s="21" t="s">
        <v>604</v>
      </c>
      <c r="E8" s="21" t="n">
        <v>180</v>
      </c>
      <c r="F8" s="28" t="n">
        <v>20528975</v>
      </c>
      <c r="G8" s="28" t="n">
        <f aca="false">F8*365/E8</f>
        <v>41628199.3055556</v>
      </c>
      <c r="H8" s="28" t="n">
        <v>424628</v>
      </c>
      <c r="I8" s="28" t="n">
        <v>2916708</v>
      </c>
      <c r="J8" s="64" t="n">
        <v>48.35</v>
      </c>
      <c r="K8" s="57" t="n">
        <v>-0.211</v>
      </c>
      <c r="L8" s="45" t="n">
        <v>0</v>
      </c>
      <c r="M8" s="45" t="n">
        <v>0.922</v>
      </c>
      <c r="N8" s="45" t="n">
        <v>0.134</v>
      </c>
      <c r="O8" s="21" t="s">
        <v>619</v>
      </c>
    </row>
    <row r="9" customFormat="false" ht="15" hidden="false" customHeight="false" outlineLevel="0" collapsed="false">
      <c r="A9" s="21" t="s">
        <v>620</v>
      </c>
      <c r="B9" s="16" t="s">
        <v>621</v>
      </c>
      <c r="C9" s="21" t="s">
        <v>612</v>
      </c>
      <c r="D9" s="21" t="s">
        <v>622</v>
      </c>
      <c r="E9" s="21" t="n">
        <v>55</v>
      </c>
      <c r="F9" s="28" t="n">
        <v>6133992</v>
      </c>
      <c r="G9" s="28" t="n">
        <f aca="false">F9*365/E9</f>
        <v>40707401.4545455</v>
      </c>
      <c r="H9" s="28" t="n">
        <v>93189</v>
      </c>
      <c r="I9" s="28" t="n">
        <v>2916316</v>
      </c>
      <c r="J9" s="64" t="n">
        <v>65.82</v>
      </c>
      <c r="K9" s="76" t="n">
        <v>0</v>
      </c>
      <c r="L9" s="45" t="n">
        <v>0</v>
      </c>
      <c r="M9" s="45" t="n">
        <v>0.501</v>
      </c>
      <c r="N9" s="45" t="n">
        <v>0.309</v>
      </c>
      <c r="O9" s="21" t="s">
        <v>605</v>
      </c>
    </row>
    <row r="10" customFormat="false" ht="15" hidden="false" customHeight="false" outlineLevel="0" collapsed="false">
      <c r="A10" s="21" t="s">
        <v>623</v>
      </c>
      <c r="B10" s="16" t="s">
        <v>624</v>
      </c>
      <c r="C10" s="21" t="s">
        <v>612</v>
      </c>
      <c r="D10" s="21" t="s">
        <v>604</v>
      </c>
      <c r="E10" s="21" t="n">
        <v>63</v>
      </c>
      <c r="F10" s="28" t="n">
        <v>6430228</v>
      </c>
      <c r="G10" s="28" t="n">
        <f aca="false">F10*365/E10</f>
        <v>37254495.5555556</v>
      </c>
      <c r="H10" s="28" t="n">
        <v>108731</v>
      </c>
      <c r="I10" s="28" t="n">
        <v>2831981</v>
      </c>
      <c r="J10" s="64" t="n">
        <v>59.14</v>
      </c>
      <c r="K10" s="76" t="n">
        <v>0</v>
      </c>
      <c r="L10" s="45" t="n">
        <v>0</v>
      </c>
      <c r="M10" s="45" t="n">
        <v>0.318</v>
      </c>
      <c r="N10" s="45" t="n">
        <v>0.006</v>
      </c>
      <c r="O10" s="21" t="s">
        <v>613</v>
      </c>
    </row>
    <row r="11" customFormat="false" ht="15" hidden="false" customHeight="false" outlineLevel="0" collapsed="false">
      <c r="A11" s="21" t="s">
        <v>625</v>
      </c>
      <c r="B11" s="16" t="s">
        <v>626</v>
      </c>
      <c r="C11" s="21" t="s">
        <v>345</v>
      </c>
      <c r="D11" s="21" t="s">
        <v>604</v>
      </c>
      <c r="E11" s="21" t="n">
        <v>65</v>
      </c>
      <c r="F11" s="28" t="n">
        <v>6610805</v>
      </c>
      <c r="G11" s="28" t="n">
        <f aca="false">F11*365/E11</f>
        <v>37122212.6923077</v>
      </c>
      <c r="H11" s="28" t="n">
        <v>132653</v>
      </c>
      <c r="I11" s="28" t="n">
        <v>2931550</v>
      </c>
      <c r="J11" s="64" t="n">
        <v>49.84</v>
      </c>
      <c r="K11" s="76" t="n">
        <v>0</v>
      </c>
      <c r="L11" s="45" t="n">
        <v>0</v>
      </c>
      <c r="M11" s="45" t="n">
        <v>0.436</v>
      </c>
      <c r="N11" s="45" t="n">
        <v>0</v>
      </c>
      <c r="O11" s="21" t="s">
        <v>613</v>
      </c>
    </row>
    <row r="12" customFormat="false" ht="15" hidden="false" customHeight="false" outlineLevel="0" collapsed="false">
      <c r="A12" s="21" t="s">
        <v>627</v>
      </c>
      <c r="B12" s="16" t="s">
        <v>628</v>
      </c>
      <c r="C12" s="21" t="s">
        <v>603</v>
      </c>
      <c r="D12" s="21" t="s">
        <v>604</v>
      </c>
      <c r="E12" s="21" t="n">
        <v>181</v>
      </c>
      <c r="F12" s="28" t="n">
        <v>18281399</v>
      </c>
      <c r="G12" s="28" t="n">
        <f aca="false">F12*365/E12</f>
        <v>36865804.6132597</v>
      </c>
      <c r="H12" s="28" t="n">
        <v>308074</v>
      </c>
      <c r="I12" s="28" t="n">
        <v>8679738</v>
      </c>
      <c r="J12" s="64" t="n">
        <v>59.34</v>
      </c>
      <c r="K12" s="57" t="n">
        <v>-0.09</v>
      </c>
      <c r="L12" s="45" t="n">
        <v>0</v>
      </c>
      <c r="M12" s="45" t="n">
        <v>1</v>
      </c>
      <c r="N12" s="45" t="n">
        <v>0.277</v>
      </c>
      <c r="O12" s="21" t="s">
        <v>613</v>
      </c>
    </row>
    <row r="13" customFormat="false" ht="15" hidden="false" customHeight="false" outlineLevel="0" collapsed="false">
      <c r="A13" s="21" t="s">
        <v>629</v>
      </c>
      <c r="B13" s="16" t="s">
        <v>630</v>
      </c>
      <c r="C13" s="21" t="s">
        <v>612</v>
      </c>
      <c r="D13" s="21" t="s">
        <v>622</v>
      </c>
      <c r="E13" s="21" t="n">
        <v>181</v>
      </c>
      <c r="F13" s="28" t="n">
        <v>17320811</v>
      </c>
      <c r="G13" s="28" t="n">
        <f aca="false">F13*365/E13</f>
        <v>34928707.2651934</v>
      </c>
      <c r="H13" s="28" t="n">
        <v>256011</v>
      </c>
      <c r="I13" s="28" t="n">
        <v>7729931</v>
      </c>
      <c r="J13" s="64" t="n">
        <v>67.66</v>
      </c>
      <c r="K13" s="57" t="n">
        <v>-0.119</v>
      </c>
      <c r="L13" s="45" t="n">
        <v>0</v>
      </c>
      <c r="M13" s="45" t="n">
        <v>1</v>
      </c>
      <c r="N13" s="45" t="n">
        <v>0.082</v>
      </c>
      <c r="O13" s="21" t="s">
        <v>613</v>
      </c>
    </row>
    <row r="14" customFormat="false" ht="15" hidden="false" customHeight="false" outlineLevel="0" collapsed="false">
      <c r="A14" s="21" t="s">
        <v>631</v>
      </c>
      <c r="B14" s="16" t="s">
        <v>632</v>
      </c>
      <c r="C14" s="21" t="s">
        <v>603</v>
      </c>
      <c r="D14" s="21" t="s">
        <v>604</v>
      </c>
      <c r="E14" s="21" t="n">
        <v>181</v>
      </c>
      <c r="F14" s="28" t="n">
        <v>16855372</v>
      </c>
      <c r="G14" s="28" t="n">
        <f aca="false">F14*365/E14</f>
        <v>33990114.8066298</v>
      </c>
      <c r="H14" s="28" t="n">
        <v>283446</v>
      </c>
      <c r="I14" s="28" t="n">
        <v>2676944</v>
      </c>
      <c r="J14" s="64" t="n">
        <v>59.47</v>
      </c>
      <c r="K14" s="45" t="n">
        <v>-0.034</v>
      </c>
      <c r="L14" s="45" t="n">
        <v>0.038</v>
      </c>
      <c r="M14" s="45" t="n">
        <v>0.488</v>
      </c>
      <c r="N14" s="45" t="n">
        <v>0.231</v>
      </c>
      <c r="O14" s="21" t="s">
        <v>613</v>
      </c>
    </row>
    <row r="15" customFormat="false" ht="15" hidden="false" customHeight="false" outlineLevel="0" collapsed="false">
      <c r="A15" s="21" t="s">
        <v>633</v>
      </c>
      <c r="B15" s="16" t="s">
        <v>634</v>
      </c>
      <c r="C15" s="21" t="s">
        <v>603</v>
      </c>
      <c r="D15" s="21" t="s">
        <v>608</v>
      </c>
      <c r="E15" s="21" t="n">
        <v>181</v>
      </c>
      <c r="F15" s="28" t="n">
        <v>15775248</v>
      </c>
      <c r="G15" s="28" t="n">
        <f aca="false">F15*365/E15</f>
        <v>31811964.198895</v>
      </c>
      <c r="H15" s="28" t="n">
        <v>249705</v>
      </c>
      <c r="I15" s="28" t="n">
        <v>7806709</v>
      </c>
      <c r="J15" s="64" t="n">
        <v>63.18</v>
      </c>
      <c r="K15" s="57" t="n">
        <v>-0.217</v>
      </c>
      <c r="L15" s="45" t="n">
        <v>0</v>
      </c>
      <c r="M15" s="45" t="n">
        <v>0.894</v>
      </c>
      <c r="N15" s="45" t="n">
        <v>0.458</v>
      </c>
      <c r="O15" s="21" t="s">
        <v>619</v>
      </c>
    </row>
    <row r="16" customFormat="false" ht="15" hidden="false" customHeight="false" outlineLevel="0" collapsed="false">
      <c r="A16" s="21" t="s">
        <v>635</v>
      </c>
      <c r="B16" s="16" t="s">
        <v>636</v>
      </c>
      <c r="C16" s="21" t="s">
        <v>350</v>
      </c>
      <c r="D16" s="21" t="s">
        <v>604</v>
      </c>
      <c r="E16" s="21" t="n">
        <v>181</v>
      </c>
      <c r="F16" s="28" t="n">
        <v>15719285</v>
      </c>
      <c r="G16" s="28" t="n">
        <f aca="false">F16*365/E16</f>
        <v>31699110.6353591</v>
      </c>
      <c r="H16" s="28" t="n">
        <v>211558</v>
      </c>
      <c r="I16" s="28" t="n">
        <v>4791911</v>
      </c>
      <c r="J16" s="64" t="n">
        <v>74.3</v>
      </c>
      <c r="K16" s="77" t="n">
        <v>0.151</v>
      </c>
      <c r="L16" s="45" t="n">
        <v>0</v>
      </c>
      <c r="M16" s="45" t="n">
        <v>0.247</v>
      </c>
      <c r="N16" s="45" t="n">
        <v>0.076</v>
      </c>
      <c r="O16" s="21" t="s">
        <v>613</v>
      </c>
    </row>
    <row r="17" customFormat="false" ht="15" hidden="false" customHeight="false" outlineLevel="0" collapsed="false">
      <c r="A17" s="21" t="s">
        <v>637</v>
      </c>
      <c r="B17" s="16" t="s">
        <v>638</v>
      </c>
      <c r="C17" s="21" t="s">
        <v>612</v>
      </c>
      <c r="D17" s="21" t="s">
        <v>604</v>
      </c>
      <c r="E17" s="21" t="n">
        <v>57</v>
      </c>
      <c r="F17" s="28" t="n">
        <v>4714627</v>
      </c>
      <c r="G17" s="28" t="n">
        <f aca="false">F17*365/E17</f>
        <v>30190155.3508772</v>
      </c>
      <c r="H17" s="28" t="n">
        <v>84547</v>
      </c>
      <c r="I17" s="28" t="n">
        <v>2078856</v>
      </c>
      <c r="J17" s="64" t="n">
        <v>55.76</v>
      </c>
      <c r="K17" s="76" t="n">
        <v>0</v>
      </c>
      <c r="L17" s="45" t="n">
        <v>0</v>
      </c>
      <c r="M17" s="45" t="n">
        <v>0.432</v>
      </c>
      <c r="N17" s="45" t="n">
        <v>0</v>
      </c>
      <c r="O17" s="21" t="s">
        <v>605</v>
      </c>
    </row>
    <row r="18" customFormat="false" ht="15" hidden="false" customHeight="false" outlineLevel="0" collapsed="false">
      <c r="A18" s="21" t="s">
        <v>639</v>
      </c>
      <c r="B18" s="16" t="s">
        <v>640</v>
      </c>
      <c r="C18" s="21" t="s">
        <v>603</v>
      </c>
      <c r="D18" s="21" t="s">
        <v>604</v>
      </c>
      <c r="E18" s="21" t="n">
        <v>181</v>
      </c>
      <c r="F18" s="28" t="n">
        <v>14811456</v>
      </c>
      <c r="G18" s="28" t="n">
        <f aca="false">F18*365/E18</f>
        <v>29868405.7458564</v>
      </c>
      <c r="H18" s="28" t="n">
        <v>338888</v>
      </c>
      <c r="I18" s="28" t="n">
        <v>6570004</v>
      </c>
      <c r="J18" s="64" t="n">
        <v>43.71</v>
      </c>
      <c r="K18" s="45" t="n">
        <v>-0.03</v>
      </c>
      <c r="L18" s="45" t="n">
        <v>0</v>
      </c>
      <c r="M18" s="45" t="n">
        <v>1</v>
      </c>
      <c r="N18" s="45" t="n">
        <v>0</v>
      </c>
      <c r="O18" s="21" t="s">
        <v>605</v>
      </c>
    </row>
    <row r="19" customFormat="false" ht="15" hidden="false" customHeight="false" outlineLevel="0" collapsed="false">
      <c r="A19" s="21" t="s">
        <v>641</v>
      </c>
      <c r="B19" s="16" t="s">
        <v>642</v>
      </c>
      <c r="C19" s="21" t="s">
        <v>342</v>
      </c>
      <c r="D19" s="21" t="s">
        <v>643</v>
      </c>
      <c r="E19" s="21" t="n">
        <v>130</v>
      </c>
      <c r="F19" s="28" t="n">
        <v>9901510</v>
      </c>
      <c r="G19" s="28" t="n">
        <f aca="false">F19*365/E19</f>
        <v>27800393.4615385</v>
      </c>
      <c r="H19" s="28" t="n">
        <v>234974</v>
      </c>
      <c r="I19" s="28" t="n">
        <v>4445436</v>
      </c>
      <c r="J19" s="64" t="n">
        <v>42.14</v>
      </c>
      <c r="K19" s="77" t="n">
        <v>0.275</v>
      </c>
      <c r="L19" s="45" t="n">
        <v>0</v>
      </c>
      <c r="M19" s="45" t="n">
        <v>0.478</v>
      </c>
      <c r="N19" s="45" t="n">
        <v>0.048</v>
      </c>
      <c r="O19" s="20" t="s">
        <v>616</v>
      </c>
    </row>
    <row r="20" customFormat="false" ht="15" hidden="false" customHeight="false" outlineLevel="0" collapsed="false">
      <c r="A20" s="21" t="s">
        <v>644</v>
      </c>
      <c r="B20" s="16" t="s">
        <v>645</v>
      </c>
      <c r="C20" s="21" t="s">
        <v>603</v>
      </c>
      <c r="D20" s="21" t="s">
        <v>646</v>
      </c>
      <c r="E20" s="21" t="n">
        <v>70</v>
      </c>
      <c r="F20" s="28" t="n">
        <v>5015246</v>
      </c>
      <c r="G20" s="28" t="n">
        <f aca="false">F20*365/E20</f>
        <v>26150925.5714286</v>
      </c>
      <c r="H20" s="28" t="n">
        <v>115020</v>
      </c>
      <c r="I20" s="28" t="n">
        <v>2229579</v>
      </c>
      <c r="J20" s="64" t="n">
        <v>43.6</v>
      </c>
      <c r="K20" s="76" t="n">
        <v>0</v>
      </c>
      <c r="L20" s="45" t="n">
        <v>0</v>
      </c>
      <c r="M20" s="45" t="n">
        <v>0.678</v>
      </c>
      <c r="N20" s="45" t="n">
        <v>0</v>
      </c>
      <c r="O20" s="21" t="s">
        <v>609</v>
      </c>
    </row>
    <row r="21" customFormat="false" ht="15" hidden="false" customHeight="false" outlineLevel="0" collapsed="false">
      <c r="A21" s="21" t="s">
        <v>647</v>
      </c>
      <c r="B21" s="16" t="s">
        <v>648</v>
      </c>
      <c r="C21" s="21" t="s">
        <v>603</v>
      </c>
      <c r="D21" s="21" t="s">
        <v>604</v>
      </c>
      <c r="E21" s="21" t="n">
        <v>181</v>
      </c>
      <c r="F21" s="28" t="n">
        <v>12392502</v>
      </c>
      <c r="G21" s="28" t="n">
        <f aca="false">F21*365/E21</f>
        <v>24990404.5856354</v>
      </c>
      <c r="H21" s="28" t="n">
        <v>284756</v>
      </c>
      <c r="I21" s="28" t="n">
        <v>5504980</v>
      </c>
      <c r="J21" s="64" t="n">
        <v>43.52</v>
      </c>
      <c r="K21" s="57" t="n">
        <v>-0.112</v>
      </c>
      <c r="L21" s="45" t="n">
        <v>0</v>
      </c>
      <c r="M21" s="45" t="n">
        <v>1</v>
      </c>
      <c r="N21" s="45" t="n">
        <v>0</v>
      </c>
      <c r="O21" s="21" t="s">
        <v>613</v>
      </c>
    </row>
    <row r="22" customFormat="false" ht="15" hidden="false" customHeight="false" outlineLevel="0" collapsed="false">
      <c r="A22" s="21" t="s">
        <v>649</v>
      </c>
      <c r="B22" s="16" t="s">
        <v>650</v>
      </c>
      <c r="C22" s="21" t="s">
        <v>345</v>
      </c>
      <c r="D22" s="21" t="s">
        <v>604</v>
      </c>
      <c r="E22" s="21" t="n">
        <v>147</v>
      </c>
      <c r="F22" s="28" t="n">
        <v>9737128</v>
      </c>
      <c r="G22" s="28" t="n">
        <f aca="false">F22*365/E22</f>
        <v>24177222.585034</v>
      </c>
      <c r="H22" s="28" t="n">
        <v>195205</v>
      </c>
      <c r="I22" s="28" t="n">
        <v>4722403</v>
      </c>
      <c r="J22" s="64" t="n">
        <v>49.88</v>
      </c>
      <c r="K22" s="77" t="n">
        <v>0.068</v>
      </c>
      <c r="L22" s="45" t="n">
        <v>0</v>
      </c>
      <c r="M22" s="45" t="n">
        <v>0.673</v>
      </c>
      <c r="N22" s="45" t="n">
        <v>0.329</v>
      </c>
      <c r="O22" s="21" t="s">
        <v>619</v>
      </c>
    </row>
    <row r="23" customFormat="false" ht="15" hidden="false" customHeight="false" outlineLevel="0" collapsed="false">
      <c r="A23" s="21" t="s">
        <v>651</v>
      </c>
      <c r="B23" s="16" t="s">
        <v>652</v>
      </c>
      <c r="C23" s="21" t="s">
        <v>603</v>
      </c>
      <c r="D23" s="21" t="s">
        <v>604</v>
      </c>
      <c r="E23" s="21" t="n">
        <v>181</v>
      </c>
      <c r="F23" s="28" t="n">
        <v>11129389</v>
      </c>
      <c r="G23" s="28" t="n">
        <f aca="false">F23*365/E23</f>
        <v>22443243.0110497</v>
      </c>
      <c r="H23" s="28" t="n">
        <v>233425</v>
      </c>
      <c r="I23" s="28" t="n">
        <v>4924931</v>
      </c>
      <c r="J23" s="64" t="n">
        <v>47.68</v>
      </c>
      <c r="K23" s="77" t="n">
        <v>0.069</v>
      </c>
      <c r="L23" s="45" t="n">
        <v>0</v>
      </c>
      <c r="M23" s="45" t="n">
        <v>1</v>
      </c>
      <c r="N23" s="45" t="n">
        <v>0</v>
      </c>
      <c r="O23" s="21" t="s">
        <v>613</v>
      </c>
    </row>
    <row r="24" customFormat="false" ht="15" hidden="false" customHeight="false" outlineLevel="0" collapsed="false">
      <c r="A24" s="21" t="s">
        <v>653</v>
      </c>
      <c r="B24" s="16" t="s">
        <v>654</v>
      </c>
      <c r="C24" s="21" t="s">
        <v>603</v>
      </c>
      <c r="D24" s="21" t="s">
        <v>604</v>
      </c>
      <c r="E24" s="21" t="n">
        <v>181</v>
      </c>
      <c r="F24" s="28" t="n">
        <v>10708429</v>
      </c>
      <c r="G24" s="28" t="n">
        <f aca="false">F24*365/E24</f>
        <v>21594345.7734807</v>
      </c>
      <c r="H24" s="28" t="n">
        <v>246641</v>
      </c>
      <c r="I24" s="28" t="n">
        <v>4740020</v>
      </c>
      <c r="J24" s="64" t="n">
        <v>43.42</v>
      </c>
      <c r="K24" s="45" t="n">
        <v>0.042</v>
      </c>
      <c r="L24" s="45" t="n">
        <v>0</v>
      </c>
      <c r="M24" s="45" t="n">
        <v>1</v>
      </c>
      <c r="N24" s="45" t="n">
        <v>0</v>
      </c>
      <c r="O24" s="21" t="s">
        <v>613</v>
      </c>
    </row>
    <row r="25" customFormat="false" ht="15" hidden="false" customHeight="false" outlineLevel="0" collapsed="false">
      <c r="A25" s="21" t="s">
        <v>655</v>
      </c>
      <c r="B25" s="16" t="s">
        <v>656</v>
      </c>
      <c r="C25" s="21" t="s">
        <v>612</v>
      </c>
      <c r="D25" s="21" t="s">
        <v>622</v>
      </c>
      <c r="E25" s="21" t="n">
        <v>181</v>
      </c>
      <c r="F25" s="28" t="n">
        <v>10700092</v>
      </c>
      <c r="G25" s="28" t="n">
        <f aca="false">F25*365/E25</f>
        <v>21577533.5911602</v>
      </c>
      <c r="H25" s="28" t="n">
        <v>207031</v>
      </c>
      <c r="I25" s="28" t="n">
        <v>4771577</v>
      </c>
      <c r="J25" s="64" t="n">
        <v>51.68</v>
      </c>
      <c r="K25" s="77" t="n">
        <v>0.177</v>
      </c>
      <c r="L25" s="45" t="n">
        <v>0</v>
      </c>
      <c r="M25" s="45" t="n">
        <v>1</v>
      </c>
      <c r="N25" s="45" t="n">
        <v>0.058</v>
      </c>
      <c r="O25" s="21" t="s">
        <v>605</v>
      </c>
    </row>
    <row r="26" customFormat="false" ht="15" hidden="false" customHeight="false" outlineLevel="0" collapsed="false">
      <c r="A26" s="21" t="s">
        <v>657</v>
      </c>
      <c r="B26" s="16" t="s">
        <v>658</v>
      </c>
      <c r="C26" s="21" t="s">
        <v>603</v>
      </c>
      <c r="D26" s="21" t="s">
        <v>646</v>
      </c>
      <c r="E26" s="21" t="n">
        <v>181</v>
      </c>
      <c r="F26" s="28" t="n">
        <v>10414834</v>
      </c>
      <c r="G26" s="28" t="n">
        <f aca="false">F26*365/E26</f>
        <v>21002289.5580111</v>
      </c>
      <c r="H26" s="28" t="n">
        <v>201217</v>
      </c>
      <c r="I26" s="28" t="n">
        <v>4933540</v>
      </c>
      <c r="J26" s="64" t="n">
        <v>51.76</v>
      </c>
      <c r="K26" s="45" t="n">
        <v>-0.033</v>
      </c>
      <c r="L26" s="45" t="n">
        <v>0</v>
      </c>
      <c r="M26" s="45" t="n">
        <v>0.634</v>
      </c>
      <c r="N26" s="45" t="n">
        <v>0.276</v>
      </c>
      <c r="O26" s="21" t="s">
        <v>605</v>
      </c>
    </row>
    <row r="27" customFormat="false" ht="15" hidden="false" customHeight="false" outlineLevel="0" collapsed="false">
      <c r="A27" s="21" t="s">
        <v>659</v>
      </c>
      <c r="B27" s="16" t="s">
        <v>660</v>
      </c>
      <c r="C27" s="21" t="s">
        <v>612</v>
      </c>
      <c r="D27" s="21" t="s">
        <v>622</v>
      </c>
      <c r="E27" s="21" t="n">
        <v>181</v>
      </c>
      <c r="F27" s="28" t="n">
        <v>9869940</v>
      </c>
      <c r="G27" s="28" t="n">
        <f aca="false">F27*365/E27</f>
        <v>19903470.1657459</v>
      </c>
      <c r="H27" s="28" t="n">
        <v>148911</v>
      </c>
      <c r="I27" s="28" t="n">
        <v>4643058</v>
      </c>
      <c r="J27" s="64" t="n">
        <v>66.28</v>
      </c>
      <c r="K27" s="77" t="n">
        <v>0.083</v>
      </c>
      <c r="L27" s="45" t="n">
        <v>0</v>
      </c>
      <c r="M27" s="45" t="n">
        <v>1</v>
      </c>
      <c r="N27" s="45" t="n">
        <v>0.27</v>
      </c>
      <c r="O27" s="21" t="s">
        <v>661</v>
      </c>
    </row>
    <row r="28" customFormat="false" ht="15" hidden="false" customHeight="false" outlineLevel="0" collapsed="false">
      <c r="A28" s="21" t="s">
        <v>662</v>
      </c>
      <c r="B28" s="16" t="s">
        <v>663</v>
      </c>
      <c r="C28" s="21" t="s">
        <v>603</v>
      </c>
      <c r="D28" s="21" t="s">
        <v>608</v>
      </c>
      <c r="E28" s="21" t="n">
        <v>111</v>
      </c>
      <c r="F28" s="28" t="n">
        <v>5875411</v>
      </c>
      <c r="G28" s="28" t="n">
        <f aca="false">F28*365/E28</f>
        <v>19320045.1801802</v>
      </c>
      <c r="H28" s="28" t="n">
        <v>75507</v>
      </c>
      <c r="I28" s="28" t="n">
        <v>2834084</v>
      </c>
      <c r="J28" s="64" t="n">
        <v>77.81</v>
      </c>
      <c r="K28" s="76" t="n">
        <v>-0.033</v>
      </c>
      <c r="L28" s="45" t="n">
        <v>0</v>
      </c>
      <c r="M28" s="45" t="n">
        <v>0.493</v>
      </c>
      <c r="N28" s="45" t="n">
        <v>0.349</v>
      </c>
      <c r="O28" s="20" t="s">
        <v>616</v>
      </c>
    </row>
    <row r="29" customFormat="false" ht="15" hidden="false" customHeight="false" outlineLevel="0" collapsed="false">
      <c r="A29" s="21" t="s">
        <v>664</v>
      </c>
      <c r="B29" s="16" t="s">
        <v>665</v>
      </c>
      <c r="C29" s="21" t="s">
        <v>603</v>
      </c>
      <c r="D29" s="21" t="s">
        <v>646</v>
      </c>
      <c r="E29" s="21" t="n">
        <v>181</v>
      </c>
      <c r="F29" s="28" t="n">
        <v>9512678</v>
      </c>
      <c r="G29" s="28" t="n">
        <f aca="false">F29*365/E29</f>
        <v>19183024.6961326</v>
      </c>
      <c r="H29" s="28" t="n">
        <v>147623</v>
      </c>
      <c r="I29" s="28" t="n">
        <v>4558563</v>
      </c>
      <c r="J29" s="64" t="n">
        <v>64.44</v>
      </c>
      <c r="K29" s="45" t="n">
        <v>-0.045</v>
      </c>
      <c r="L29" s="45" t="n">
        <v>0</v>
      </c>
      <c r="M29" s="45" t="n">
        <v>1</v>
      </c>
      <c r="N29" s="45" t="n">
        <v>0.321</v>
      </c>
      <c r="O29" s="21" t="s">
        <v>605</v>
      </c>
    </row>
    <row r="30" customFormat="false" ht="15" hidden="false" customHeight="false" outlineLevel="0" collapsed="false">
      <c r="A30" s="21" t="s">
        <v>666</v>
      </c>
      <c r="B30" s="16" t="s">
        <v>667</v>
      </c>
      <c r="C30" s="21" t="s">
        <v>603</v>
      </c>
      <c r="D30" s="21" t="s">
        <v>604</v>
      </c>
      <c r="E30" s="21" t="n">
        <v>92</v>
      </c>
      <c r="F30" s="28" t="n">
        <v>4575739</v>
      </c>
      <c r="G30" s="28" t="n">
        <f aca="false">F30*365/E30</f>
        <v>18153747.1195652</v>
      </c>
      <c r="H30" s="28" t="n">
        <v>94310</v>
      </c>
      <c r="I30" s="28" t="n">
        <v>2127665</v>
      </c>
      <c r="J30" s="64" t="n">
        <v>48.52</v>
      </c>
      <c r="K30" s="76" t="n">
        <v>0</v>
      </c>
      <c r="L30" s="45" t="n">
        <v>0</v>
      </c>
      <c r="M30" s="45" t="n">
        <v>0.685</v>
      </c>
      <c r="N30" s="45" t="n">
        <v>0.176</v>
      </c>
      <c r="O30" s="21" t="s">
        <v>605</v>
      </c>
    </row>
    <row r="31" customFormat="false" ht="15" hidden="false" customHeight="false" outlineLevel="0" collapsed="false">
      <c r="A31" s="21" t="s">
        <v>668</v>
      </c>
      <c r="B31" s="16" t="s">
        <v>669</v>
      </c>
      <c r="C31" s="21" t="s">
        <v>356</v>
      </c>
      <c r="D31" s="21" t="s">
        <v>643</v>
      </c>
      <c r="E31" s="21" t="n">
        <v>181</v>
      </c>
      <c r="F31" s="28" t="n">
        <v>8563678</v>
      </c>
      <c r="G31" s="28" t="n">
        <f aca="false">F31*365/E31</f>
        <v>17269295.4143646</v>
      </c>
      <c r="H31" s="28" t="n">
        <v>156380</v>
      </c>
      <c r="I31" s="28" t="n">
        <v>3884721</v>
      </c>
      <c r="J31" s="64" t="n">
        <v>54.76</v>
      </c>
      <c r="K31" s="77" t="n">
        <v>0.186</v>
      </c>
      <c r="L31" s="45" t="n">
        <v>0</v>
      </c>
      <c r="M31" s="45" t="n">
        <v>0</v>
      </c>
      <c r="N31" s="45" t="n">
        <v>0.082</v>
      </c>
      <c r="O31" s="21" t="s">
        <v>613</v>
      </c>
    </row>
    <row r="32" customFormat="false" ht="15" hidden="false" customHeight="false" outlineLevel="0" collapsed="false">
      <c r="A32" s="21" t="s">
        <v>670</v>
      </c>
      <c r="B32" s="16" t="s">
        <v>671</v>
      </c>
      <c r="C32" s="21" t="s">
        <v>672</v>
      </c>
      <c r="D32" s="21" t="s">
        <v>643</v>
      </c>
      <c r="E32" s="21" t="n">
        <v>69</v>
      </c>
      <c r="F32" s="28" t="n">
        <v>3263896</v>
      </c>
      <c r="G32" s="28" t="n">
        <f aca="false">F32*365/E32</f>
        <v>17265536.8115942</v>
      </c>
      <c r="H32" s="28" t="n">
        <v>65707</v>
      </c>
      <c r="I32" s="28" t="n">
        <v>1471112</v>
      </c>
      <c r="J32" s="64" t="n">
        <v>49.67</v>
      </c>
      <c r="K32" s="76" t="n">
        <v>0</v>
      </c>
      <c r="L32" s="45" t="n">
        <v>0</v>
      </c>
      <c r="M32" s="45" t="n">
        <v>0.597</v>
      </c>
      <c r="N32" s="45" t="n">
        <v>0.103</v>
      </c>
      <c r="O32" s="20" t="s">
        <v>616</v>
      </c>
    </row>
    <row r="33" customFormat="false" ht="15" hidden="false" customHeight="false" outlineLevel="0" collapsed="false">
      <c r="A33" s="21" t="s">
        <v>673</v>
      </c>
      <c r="B33" s="16" t="s">
        <v>674</v>
      </c>
      <c r="C33" s="21" t="s">
        <v>342</v>
      </c>
      <c r="D33" s="21" t="s">
        <v>604</v>
      </c>
      <c r="E33" s="21" t="n">
        <v>181</v>
      </c>
      <c r="F33" s="28" t="n">
        <v>8483209</v>
      </c>
      <c r="G33" s="28" t="n">
        <f aca="false">F33*365/E33</f>
        <v>17107023.6740332</v>
      </c>
      <c r="H33" s="28" t="n">
        <v>166967</v>
      </c>
      <c r="I33" s="28" t="n">
        <v>3774634</v>
      </c>
      <c r="J33" s="64" t="n">
        <v>50.81</v>
      </c>
      <c r="K33" s="77" t="n">
        <v>0.18</v>
      </c>
      <c r="L33" s="45" t="n">
        <v>0</v>
      </c>
      <c r="M33" s="45" t="n">
        <v>0.253</v>
      </c>
      <c r="N33" s="45" t="n">
        <v>0.023</v>
      </c>
      <c r="O33" s="21" t="s">
        <v>605</v>
      </c>
    </row>
    <row r="34" customFormat="false" ht="15" hidden="false" customHeight="false" outlineLevel="0" collapsed="false">
      <c r="A34" s="21" t="s">
        <v>675</v>
      </c>
      <c r="B34" s="16" t="s">
        <v>676</v>
      </c>
      <c r="C34" s="21" t="s">
        <v>603</v>
      </c>
      <c r="D34" s="21" t="s">
        <v>608</v>
      </c>
      <c r="E34" s="21" t="n">
        <v>181</v>
      </c>
      <c r="F34" s="28" t="n">
        <v>8421901</v>
      </c>
      <c r="G34" s="28" t="n">
        <f aca="false">F34*365/E34</f>
        <v>16983391.519337</v>
      </c>
      <c r="H34" s="28" t="n">
        <v>76519</v>
      </c>
      <c r="I34" s="28" t="n">
        <v>4263083</v>
      </c>
      <c r="J34" s="64" t="n">
        <v>110.06</v>
      </c>
      <c r="K34" s="57" t="n">
        <v>-0.084</v>
      </c>
      <c r="L34" s="45" t="n">
        <v>0.015</v>
      </c>
      <c r="M34" s="45" t="n">
        <v>0.357</v>
      </c>
      <c r="N34" s="45" t="n">
        <v>0.559</v>
      </c>
      <c r="O34" s="21" t="s">
        <v>661</v>
      </c>
    </row>
    <row r="35" customFormat="false" ht="15" hidden="false" customHeight="false" outlineLevel="0" collapsed="false">
      <c r="A35" s="21" t="s">
        <v>677</v>
      </c>
      <c r="B35" s="16" t="s">
        <v>678</v>
      </c>
      <c r="C35" s="21" t="s">
        <v>603</v>
      </c>
      <c r="D35" s="21" t="s">
        <v>604</v>
      </c>
      <c r="E35" s="21" t="n">
        <v>181</v>
      </c>
      <c r="F35" s="28" t="n">
        <v>7821875</v>
      </c>
      <c r="G35" s="28" t="n">
        <f aca="false">F35*365/E35</f>
        <v>15773394.3370166</v>
      </c>
      <c r="H35" s="28" t="n">
        <v>165177</v>
      </c>
      <c r="I35" s="28" t="n">
        <v>3471225</v>
      </c>
      <c r="J35" s="64" t="n">
        <v>47.35</v>
      </c>
      <c r="K35" s="57" t="n">
        <v>-0.533</v>
      </c>
      <c r="L35" s="45" t="n">
        <v>0</v>
      </c>
      <c r="M35" s="45" t="n">
        <v>1</v>
      </c>
      <c r="N35" s="45" t="n">
        <v>0</v>
      </c>
      <c r="O35" s="21" t="s">
        <v>613</v>
      </c>
    </row>
    <row r="36" customFormat="false" ht="15" hidden="false" customHeight="false" outlineLevel="0" collapsed="false">
      <c r="A36" s="21" t="s">
        <v>679</v>
      </c>
      <c r="B36" s="16" t="s">
        <v>680</v>
      </c>
      <c r="C36" s="21" t="s">
        <v>603</v>
      </c>
      <c r="D36" s="21" t="s">
        <v>622</v>
      </c>
      <c r="E36" s="21" t="n">
        <v>181</v>
      </c>
      <c r="F36" s="28" t="n">
        <v>7731204</v>
      </c>
      <c r="G36" s="28" t="n">
        <f aca="false">F36*365/E36</f>
        <v>15590549.5027624</v>
      </c>
      <c r="H36" s="28" t="n">
        <v>168510</v>
      </c>
      <c r="I36" s="28" t="n">
        <v>3512113</v>
      </c>
      <c r="J36" s="64" t="n">
        <v>45.88</v>
      </c>
      <c r="K36" s="57" t="n">
        <v>-0.068</v>
      </c>
      <c r="L36" s="45" t="n">
        <v>0</v>
      </c>
      <c r="M36" s="45" t="n">
        <v>0.509</v>
      </c>
      <c r="N36" s="45" t="n">
        <v>0.115</v>
      </c>
      <c r="O36" s="21" t="s">
        <v>619</v>
      </c>
    </row>
    <row r="37" customFormat="false" ht="15" hidden="false" customHeight="false" outlineLevel="0" collapsed="false">
      <c r="A37" s="21" t="s">
        <v>681</v>
      </c>
      <c r="B37" s="16" t="s">
        <v>682</v>
      </c>
      <c r="C37" s="21" t="s">
        <v>342</v>
      </c>
      <c r="D37" s="21" t="s">
        <v>643</v>
      </c>
      <c r="E37" s="21" t="n">
        <v>26</v>
      </c>
      <c r="F37" s="28" t="n">
        <v>1063910</v>
      </c>
      <c r="G37" s="28" t="n">
        <f aca="false">F37*365/E37</f>
        <v>14935659.6153846</v>
      </c>
      <c r="H37" s="28" t="n">
        <v>31905</v>
      </c>
      <c r="I37" s="28" t="n">
        <v>486162</v>
      </c>
      <c r="J37" s="64" t="n">
        <v>33.35</v>
      </c>
      <c r="K37" s="76" t="n">
        <v>0</v>
      </c>
      <c r="L37" s="45" t="n">
        <v>0</v>
      </c>
      <c r="M37" s="45" t="n">
        <v>0.601</v>
      </c>
      <c r="N37" s="45" t="n">
        <v>0.114</v>
      </c>
      <c r="O37" s="21" t="s">
        <v>232</v>
      </c>
    </row>
    <row r="38" customFormat="false" ht="15" hidden="false" customHeight="false" outlineLevel="0" collapsed="false">
      <c r="A38" s="21" t="s">
        <v>683</v>
      </c>
      <c r="B38" s="16" t="s">
        <v>684</v>
      </c>
      <c r="C38" s="21" t="s">
        <v>345</v>
      </c>
      <c r="D38" s="21" t="s">
        <v>604</v>
      </c>
      <c r="E38" s="21" t="n">
        <v>181</v>
      </c>
      <c r="F38" s="28" t="n">
        <v>7305589</v>
      </c>
      <c r="G38" s="28" t="n">
        <f aca="false">F38*365/E38</f>
        <v>14732265.1104972</v>
      </c>
      <c r="H38" s="28" t="n">
        <v>169734</v>
      </c>
      <c r="I38" s="28" t="n">
        <v>3406904</v>
      </c>
      <c r="J38" s="64" t="n">
        <v>43.04</v>
      </c>
      <c r="K38" s="77" t="n">
        <v>0.083</v>
      </c>
      <c r="L38" s="45" t="n">
        <v>0.015</v>
      </c>
      <c r="M38" s="45" t="n">
        <v>0.459</v>
      </c>
      <c r="N38" s="45" t="n">
        <v>0.167</v>
      </c>
      <c r="O38" s="21" t="s">
        <v>605</v>
      </c>
    </row>
    <row r="39" customFormat="false" ht="15" hidden="false" customHeight="false" outlineLevel="0" collapsed="false">
      <c r="A39" s="21" t="s">
        <v>685</v>
      </c>
      <c r="B39" s="16" t="s">
        <v>686</v>
      </c>
      <c r="C39" s="21" t="s">
        <v>603</v>
      </c>
      <c r="D39" s="21" t="s">
        <v>608</v>
      </c>
      <c r="E39" s="21" t="n">
        <v>181</v>
      </c>
      <c r="F39" s="28" t="n">
        <v>6769350</v>
      </c>
      <c r="G39" s="28" t="n">
        <f aca="false">F39*365/E39</f>
        <v>13650899.1712707</v>
      </c>
      <c r="H39" s="28" t="n">
        <v>97200</v>
      </c>
      <c r="I39" s="28" t="n">
        <v>3076219</v>
      </c>
      <c r="J39" s="64" t="n">
        <v>69.64</v>
      </c>
      <c r="K39" s="57" t="n">
        <v>-0.126</v>
      </c>
      <c r="L39" s="45" t="n">
        <v>0.002</v>
      </c>
      <c r="M39" s="45" t="n">
        <v>0.497</v>
      </c>
      <c r="N39" s="45" t="n">
        <v>0.106</v>
      </c>
      <c r="O39" s="21" t="s">
        <v>605</v>
      </c>
    </row>
    <row r="40" customFormat="false" ht="15" hidden="false" customHeight="false" outlineLevel="0" collapsed="false">
      <c r="A40" s="21" t="s">
        <v>687</v>
      </c>
      <c r="B40" s="16" t="s">
        <v>688</v>
      </c>
      <c r="C40" s="21" t="s">
        <v>342</v>
      </c>
      <c r="D40" s="21" t="s">
        <v>604</v>
      </c>
      <c r="E40" s="21" t="n">
        <v>181</v>
      </c>
      <c r="F40" s="28" t="n">
        <v>6763759</v>
      </c>
      <c r="G40" s="28" t="n">
        <f aca="false">F40*365/E40</f>
        <v>13639624.5027624</v>
      </c>
      <c r="H40" s="28" t="n">
        <v>97406</v>
      </c>
      <c r="I40" s="28" t="n">
        <v>3314721</v>
      </c>
      <c r="J40" s="64" t="n">
        <v>69.44</v>
      </c>
      <c r="K40" s="45" t="n">
        <v>-0.044</v>
      </c>
      <c r="L40" s="45" t="n">
        <v>0</v>
      </c>
      <c r="M40" s="45" t="n">
        <v>1</v>
      </c>
      <c r="N40" s="45" t="n">
        <v>0.373</v>
      </c>
      <c r="O40" s="21" t="s">
        <v>605</v>
      </c>
    </row>
    <row r="41" customFormat="false" ht="15" hidden="false" customHeight="false" outlineLevel="0" collapsed="false">
      <c r="A41" s="21" t="s">
        <v>689</v>
      </c>
      <c r="B41" s="16" t="s">
        <v>690</v>
      </c>
      <c r="C41" s="21" t="s">
        <v>603</v>
      </c>
      <c r="D41" s="21" t="s">
        <v>604</v>
      </c>
      <c r="E41" s="21" t="n">
        <v>181</v>
      </c>
      <c r="F41" s="28" t="n">
        <v>6600956</v>
      </c>
      <c r="G41" s="28" t="n">
        <f aca="false">F41*365/E41</f>
        <v>13311320.1104972</v>
      </c>
      <c r="H41" s="28" t="n">
        <v>146007</v>
      </c>
      <c r="I41" s="28" t="n">
        <v>2925368</v>
      </c>
      <c r="J41" s="64" t="n">
        <v>45.21</v>
      </c>
      <c r="K41" s="57" t="n">
        <v>-0.121</v>
      </c>
      <c r="L41" s="45" t="n">
        <v>0</v>
      </c>
      <c r="M41" s="45" t="n">
        <v>1</v>
      </c>
      <c r="N41" s="45" t="n">
        <v>0</v>
      </c>
      <c r="O41" s="21" t="s">
        <v>605</v>
      </c>
    </row>
    <row r="42" customFormat="false" ht="15" hidden="false" customHeight="false" outlineLevel="0" collapsed="false">
      <c r="A42" s="21" t="s">
        <v>691</v>
      </c>
      <c r="B42" s="16" t="s">
        <v>692</v>
      </c>
      <c r="C42" s="21" t="s">
        <v>342</v>
      </c>
      <c r="D42" s="21" t="s">
        <v>643</v>
      </c>
      <c r="E42" s="21" t="n">
        <v>68</v>
      </c>
      <c r="F42" s="28" t="n">
        <v>2479043</v>
      </c>
      <c r="G42" s="28" t="n">
        <f aca="false">F42*365/E42</f>
        <v>13306627.8676471</v>
      </c>
      <c r="H42" s="28" t="n">
        <v>54370</v>
      </c>
      <c r="I42" s="28" t="n">
        <v>1114635</v>
      </c>
      <c r="J42" s="64" t="n">
        <v>45.6</v>
      </c>
      <c r="K42" s="76" t="n">
        <v>0</v>
      </c>
      <c r="L42" s="45" t="n">
        <v>0</v>
      </c>
      <c r="M42" s="45" t="n">
        <v>0.475</v>
      </c>
      <c r="N42" s="45" t="n">
        <v>0.056</v>
      </c>
      <c r="O42" s="20" t="s">
        <v>616</v>
      </c>
    </row>
    <row r="43" customFormat="false" ht="15" hidden="false" customHeight="false" outlineLevel="0" collapsed="false">
      <c r="A43" s="21" t="s">
        <v>693</v>
      </c>
      <c r="B43" s="16" t="s">
        <v>694</v>
      </c>
      <c r="C43" s="21" t="s">
        <v>612</v>
      </c>
      <c r="D43" s="21" t="s">
        <v>646</v>
      </c>
      <c r="E43" s="21" t="n">
        <v>181</v>
      </c>
      <c r="F43" s="28" t="n">
        <v>6302158</v>
      </c>
      <c r="G43" s="28" t="n">
        <f aca="false">F43*365/E43</f>
        <v>12708771.6574586</v>
      </c>
      <c r="H43" s="28" t="n">
        <v>123912</v>
      </c>
      <c r="I43" s="28" t="n">
        <v>2839338</v>
      </c>
      <c r="J43" s="64" t="n">
        <v>50.86</v>
      </c>
      <c r="K43" s="77" t="n">
        <v>0.082</v>
      </c>
      <c r="L43" s="45" t="n">
        <v>0.007</v>
      </c>
      <c r="M43" s="45" t="n">
        <v>0.307</v>
      </c>
      <c r="N43" s="45" t="n">
        <v>0.077</v>
      </c>
      <c r="O43" s="21" t="s">
        <v>661</v>
      </c>
    </row>
    <row r="44" customFormat="false" ht="15" hidden="false" customHeight="false" outlineLevel="0" collapsed="false">
      <c r="A44" s="21" t="s">
        <v>695</v>
      </c>
      <c r="B44" s="16" t="s">
        <v>696</v>
      </c>
      <c r="C44" s="21" t="s">
        <v>697</v>
      </c>
      <c r="D44" s="21" t="s">
        <v>604</v>
      </c>
      <c r="E44" s="21" t="n">
        <v>181</v>
      </c>
      <c r="F44" s="28" t="n">
        <v>6083371</v>
      </c>
      <c r="G44" s="28" t="n">
        <f aca="false">F44*365/E44</f>
        <v>12267571.3535912</v>
      </c>
      <c r="H44" s="28" t="n">
        <v>107035</v>
      </c>
      <c r="I44" s="28" t="n">
        <v>2759664</v>
      </c>
      <c r="J44" s="64" t="n">
        <v>56.84</v>
      </c>
      <c r="K44" s="77" t="n">
        <v>0.327</v>
      </c>
      <c r="L44" s="45" t="n">
        <v>0.003</v>
      </c>
      <c r="M44" s="45" t="n">
        <v>0.284</v>
      </c>
      <c r="N44" s="45" t="n">
        <v>0.066</v>
      </c>
      <c r="O44" s="20" t="s">
        <v>616</v>
      </c>
    </row>
    <row r="45" customFormat="false" ht="15" hidden="false" customHeight="false" outlineLevel="0" collapsed="false">
      <c r="A45" s="21" t="s">
        <v>698</v>
      </c>
      <c r="B45" s="16" t="s">
        <v>699</v>
      </c>
      <c r="C45" s="21" t="s">
        <v>700</v>
      </c>
      <c r="D45" s="21" t="s">
        <v>643</v>
      </c>
      <c r="E45" s="21" t="n">
        <v>181</v>
      </c>
      <c r="F45" s="28" t="n">
        <v>5976488</v>
      </c>
      <c r="G45" s="28" t="n">
        <f aca="false">F45*365/E45</f>
        <v>12052033.8121547</v>
      </c>
      <c r="H45" s="28" t="n">
        <v>79761</v>
      </c>
      <c r="I45" s="28" t="n">
        <v>2940822</v>
      </c>
      <c r="J45" s="64" t="n">
        <v>74.93</v>
      </c>
      <c r="K45" s="45" t="n">
        <v>-0.029</v>
      </c>
      <c r="L45" s="45" t="n">
        <v>0.002</v>
      </c>
      <c r="M45" s="45" t="n">
        <v>0.336</v>
      </c>
      <c r="N45" s="45" t="n">
        <v>0.392</v>
      </c>
      <c r="O45" s="20" t="s">
        <v>616</v>
      </c>
    </row>
    <row r="46" customFormat="false" ht="15" hidden="false" customHeight="false" outlineLevel="0" collapsed="false">
      <c r="A46" s="21" t="s">
        <v>701</v>
      </c>
      <c r="B46" s="16" t="s">
        <v>702</v>
      </c>
      <c r="C46" s="21" t="s">
        <v>603</v>
      </c>
      <c r="D46" s="21" t="s">
        <v>604</v>
      </c>
      <c r="E46" s="21" t="n">
        <v>181</v>
      </c>
      <c r="F46" s="28" t="n">
        <v>5721087</v>
      </c>
      <c r="G46" s="28" t="n">
        <f aca="false">F46*365/E46</f>
        <v>11536998.6464088</v>
      </c>
      <c r="H46" s="28" t="n">
        <v>106073</v>
      </c>
      <c r="I46" s="28" t="n">
        <v>2694118</v>
      </c>
      <c r="J46" s="64" t="n">
        <v>53.94</v>
      </c>
      <c r="K46" s="57" t="n">
        <v>-0.123</v>
      </c>
      <c r="L46" s="45" t="n">
        <v>0</v>
      </c>
      <c r="M46" s="45" t="n">
        <v>1</v>
      </c>
      <c r="N46" s="45" t="n">
        <v>0.236</v>
      </c>
      <c r="O46" s="21" t="s">
        <v>613</v>
      </c>
    </row>
    <row r="47" customFormat="false" ht="15" hidden="false" customHeight="false" outlineLevel="0" collapsed="false">
      <c r="A47" s="21" t="s">
        <v>703</v>
      </c>
      <c r="B47" s="16" t="s">
        <v>704</v>
      </c>
      <c r="C47" s="21" t="s">
        <v>342</v>
      </c>
      <c r="D47" s="21" t="s">
        <v>705</v>
      </c>
      <c r="E47" s="21" t="n">
        <v>181</v>
      </c>
      <c r="F47" s="28" t="n">
        <v>5714308</v>
      </c>
      <c r="G47" s="28" t="n">
        <f aca="false">F47*365/E47</f>
        <v>11523328.2872928</v>
      </c>
      <c r="H47" s="28" t="n">
        <v>117578</v>
      </c>
      <c r="I47" s="28" t="n">
        <v>2650896</v>
      </c>
      <c r="J47" s="64" t="n">
        <v>48.6</v>
      </c>
      <c r="K47" s="45" t="n">
        <v>-0.009</v>
      </c>
      <c r="L47" s="45" t="n">
        <v>0.007</v>
      </c>
      <c r="M47" s="45" t="n">
        <v>0.531</v>
      </c>
      <c r="N47" s="45" t="n">
        <v>0.184</v>
      </c>
      <c r="O47" s="21" t="s">
        <v>661</v>
      </c>
    </row>
    <row r="48" customFormat="false" ht="15" hidden="false" customHeight="false" outlineLevel="0" collapsed="false">
      <c r="A48" s="21" t="s">
        <v>706</v>
      </c>
      <c r="B48" s="16" t="s">
        <v>707</v>
      </c>
      <c r="C48" s="21" t="s">
        <v>356</v>
      </c>
      <c r="D48" s="21" t="s">
        <v>643</v>
      </c>
      <c r="E48" s="21" t="n">
        <v>181</v>
      </c>
      <c r="F48" s="28" t="n">
        <v>4846644</v>
      </c>
      <c r="G48" s="28" t="n">
        <f aca="false">F48*365/E48</f>
        <v>9773619.1160221</v>
      </c>
      <c r="H48" s="28" t="n">
        <v>84802</v>
      </c>
      <c r="I48" s="28" t="n">
        <v>2153145</v>
      </c>
      <c r="J48" s="64" t="n">
        <v>57.15</v>
      </c>
      <c r="K48" s="77" t="n">
        <v>0.064</v>
      </c>
      <c r="L48" s="45" t="n">
        <v>0</v>
      </c>
      <c r="M48" s="45" t="n">
        <v>0</v>
      </c>
      <c r="N48" s="45" t="n">
        <v>0</v>
      </c>
      <c r="O48" s="21" t="s">
        <v>605</v>
      </c>
    </row>
    <row r="49" customFormat="false" ht="15" hidden="false" customHeight="false" outlineLevel="0" collapsed="false">
      <c r="A49" s="21" t="s">
        <v>708</v>
      </c>
      <c r="B49" s="16" t="s">
        <v>709</v>
      </c>
      <c r="C49" s="21" t="s">
        <v>356</v>
      </c>
      <c r="D49" s="21" t="s">
        <v>646</v>
      </c>
      <c r="E49" s="21" t="n">
        <v>181</v>
      </c>
      <c r="F49" s="28" t="n">
        <v>4569369</v>
      </c>
      <c r="G49" s="28" t="n">
        <f aca="false">F49*365/E49</f>
        <v>9214473.39779006</v>
      </c>
      <c r="H49" s="28" t="n">
        <v>72735</v>
      </c>
      <c r="I49" s="28" t="n">
        <v>2133587</v>
      </c>
      <c r="J49" s="64" t="n">
        <v>62.82</v>
      </c>
      <c r="K49" s="77" t="n">
        <v>0.256</v>
      </c>
      <c r="L49" s="45" t="n">
        <v>0</v>
      </c>
      <c r="M49" s="45" t="n">
        <v>0.355</v>
      </c>
      <c r="N49" s="45" t="n">
        <v>0.201</v>
      </c>
      <c r="O49" s="21" t="s">
        <v>605</v>
      </c>
    </row>
    <row r="50" customFormat="false" ht="15" hidden="false" customHeight="false" outlineLevel="0" collapsed="false">
      <c r="A50" s="21" t="s">
        <v>710</v>
      </c>
      <c r="B50" s="16" t="s">
        <v>711</v>
      </c>
      <c r="C50" s="21" t="s">
        <v>603</v>
      </c>
      <c r="D50" s="21" t="s">
        <v>604</v>
      </c>
      <c r="E50" s="21" t="n">
        <v>181</v>
      </c>
      <c r="F50" s="28" t="n">
        <v>4331347</v>
      </c>
      <c r="G50" s="28" t="n">
        <f aca="false">F50*365/E50</f>
        <v>8734484.28176796</v>
      </c>
      <c r="H50" s="28" t="n">
        <v>82571</v>
      </c>
      <c r="I50" s="28" t="n">
        <v>1912969</v>
      </c>
      <c r="J50" s="64" t="n">
        <v>52.46</v>
      </c>
      <c r="K50" s="57" t="n">
        <v>-0.249</v>
      </c>
      <c r="L50" s="45" t="n">
        <v>0</v>
      </c>
      <c r="M50" s="45" t="n">
        <v>1</v>
      </c>
      <c r="N50" s="45" t="n">
        <v>0</v>
      </c>
      <c r="O50" s="21" t="s">
        <v>613</v>
      </c>
    </row>
    <row r="51" customFormat="false" ht="15" hidden="false" customHeight="false" outlineLevel="0" collapsed="false">
      <c r="A51" s="21" t="s">
        <v>712</v>
      </c>
      <c r="B51" s="16" t="s">
        <v>713</v>
      </c>
      <c r="C51" s="21" t="s">
        <v>603</v>
      </c>
      <c r="D51" s="21" t="s">
        <v>604</v>
      </c>
      <c r="E51" s="21" t="n">
        <v>56</v>
      </c>
      <c r="F51" s="28" t="n">
        <v>1285957</v>
      </c>
      <c r="G51" s="28" t="n">
        <f aca="false">F51*365/E51</f>
        <v>8381684.01785714</v>
      </c>
      <c r="H51" s="28" t="n">
        <v>25265</v>
      </c>
      <c r="I51" s="28" t="n">
        <v>568922</v>
      </c>
      <c r="J51" s="64" t="n">
        <v>50.9</v>
      </c>
      <c r="K51" s="76" t="n">
        <v>0</v>
      </c>
      <c r="L51" s="45" t="n">
        <v>0</v>
      </c>
      <c r="M51" s="45" t="n">
        <v>0.372</v>
      </c>
      <c r="N51" s="45" t="n">
        <v>0</v>
      </c>
      <c r="O51" s="21" t="s">
        <v>232</v>
      </c>
    </row>
    <row r="52" customFormat="false" ht="15" hidden="false" customHeight="false" outlineLevel="0" collapsed="false">
      <c r="A52" s="21" t="s">
        <v>714</v>
      </c>
      <c r="B52" s="16" t="s">
        <v>715</v>
      </c>
      <c r="C52" s="21" t="s">
        <v>612</v>
      </c>
      <c r="D52" s="21" t="s">
        <v>646</v>
      </c>
      <c r="E52" s="21" t="n">
        <v>181</v>
      </c>
      <c r="F52" s="28" t="n">
        <v>3783052</v>
      </c>
      <c r="G52" s="28" t="n">
        <f aca="false">F52*365/E52</f>
        <v>7628806.51933702</v>
      </c>
      <c r="H52" s="28" t="n">
        <v>82333</v>
      </c>
      <c r="I52" s="28" t="n">
        <v>1672588</v>
      </c>
      <c r="J52" s="64" t="n">
        <v>45.95</v>
      </c>
      <c r="K52" s="77" t="n">
        <v>0.137</v>
      </c>
      <c r="L52" s="45" t="n">
        <v>0.008</v>
      </c>
      <c r="M52" s="45" t="n">
        <v>0.335</v>
      </c>
      <c r="N52" s="45" t="n">
        <v>0.017</v>
      </c>
      <c r="O52" s="21" t="s">
        <v>619</v>
      </c>
    </row>
    <row r="53" customFormat="false" ht="15" hidden="false" customHeight="false" outlineLevel="0" collapsed="false">
      <c r="A53" s="21" t="s">
        <v>716</v>
      </c>
      <c r="B53" s="16" t="s">
        <v>717</v>
      </c>
      <c r="C53" s="21" t="s">
        <v>345</v>
      </c>
      <c r="D53" s="21" t="s">
        <v>604</v>
      </c>
      <c r="E53" s="21" t="n">
        <v>181</v>
      </c>
      <c r="F53" s="28" t="n">
        <v>3334226</v>
      </c>
      <c r="G53" s="28" t="n">
        <f aca="false">F53*365/E53</f>
        <v>6723715.41436464</v>
      </c>
      <c r="H53" s="28" t="n">
        <v>60202</v>
      </c>
      <c r="I53" s="28" t="n">
        <v>1601535</v>
      </c>
      <c r="J53" s="64" t="n">
        <v>55.38</v>
      </c>
      <c r="K53" s="45" t="n">
        <v>0.045</v>
      </c>
      <c r="L53" s="45" t="n">
        <v>0.015</v>
      </c>
      <c r="M53" s="45" t="n">
        <v>0.375</v>
      </c>
      <c r="N53" s="45" t="n">
        <v>0.292</v>
      </c>
      <c r="O53" s="21" t="s">
        <v>619</v>
      </c>
    </row>
    <row r="54" customFormat="false" ht="15" hidden="false" customHeight="false" outlineLevel="0" collapsed="false">
      <c r="A54" s="21" t="s">
        <v>718</v>
      </c>
      <c r="B54" s="16" t="s">
        <v>719</v>
      </c>
      <c r="C54" s="21" t="s">
        <v>347</v>
      </c>
      <c r="D54" s="21" t="s">
        <v>643</v>
      </c>
      <c r="E54" s="21" t="n">
        <v>181</v>
      </c>
      <c r="F54" s="28" t="n">
        <v>3179944</v>
      </c>
      <c r="G54" s="28" t="n">
        <f aca="false">F54*365/E54</f>
        <v>6412594.25414365</v>
      </c>
      <c r="H54" s="28" t="n">
        <v>59244</v>
      </c>
      <c r="I54" s="28" t="n">
        <v>1431054</v>
      </c>
      <c r="J54" s="64" t="n">
        <v>53.68</v>
      </c>
      <c r="K54" s="45" t="n">
        <v>-0.028</v>
      </c>
      <c r="L54" s="45" t="n">
        <v>0</v>
      </c>
      <c r="M54" s="45" t="n">
        <v>1</v>
      </c>
      <c r="N54" s="45" t="n">
        <v>0.077</v>
      </c>
      <c r="O54" s="21" t="s">
        <v>605</v>
      </c>
    </row>
    <row r="55" customFormat="false" ht="15" hidden="false" customHeight="false" outlineLevel="0" collapsed="false">
      <c r="A55" s="21" t="s">
        <v>720</v>
      </c>
      <c r="B55" s="16" t="s">
        <v>721</v>
      </c>
      <c r="C55" s="21" t="s">
        <v>342</v>
      </c>
      <c r="D55" s="21" t="s">
        <v>646</v>
      </c>
      <c r="E55" s="21" t="n">
        <v>181</v>
      </c>
      <c r="F55" s="28" t="n">
        <v>2708911</v>
      </c>
      <c r="G55" s="28" t="n">
        <f aca="false">F55*365/E55</f>
        <v>5462721.07734807</v>
      </c>
      <c r="H55" s="28" t="n">
        <v>50827</v>
      </c>
      <c r="I55" s="28" t="n">
        <v>1262094</v>
      </c>
      <c r="J55" s="64" t="n">
        <v>53.3</v>
      </c>
      <c r="K55" s="77" t="n">
        <v>0.188</v>
      </c>
      <c r="L55" s="45" t="n">
        <v>0.005</v>
      </c>
      <c r="M55" s="45" t="n">
        <v>0.408</v>
      </c>
      <c r="N55" s="45" t="n">
        <v>0.18</v>
      </c>
      <c r="O55" s="20" t="s">
        <v>616</v>
      </c>
    </row>
    <row r="56" customFormat="false" ht="15" hidden="false" customHeight="false" outlineLevel="0" collapsed="false">
      <c r="A56" s="21" t="s">
        <v>722</v>
      </c>
      <c r="B56" s="16" t="s">
        <v>723</v>
      </c>
      <c r="C56" s="21" t="s">
        <v>342</v>
      </c>
      <c r="D56" s="21" t="s">
        <v>604</v>
      </c>
      <c r="E56" s="21" t="n">
        <v>181</v>
      </c>
      <c r="F56" s="28" t="n">
        <v>2574779</v>
      </c>
      <c r="G56" s="28" t="n">
        <f aca="false">F56*365/E56</f>
        <v>5192233.89502762</v>
      </c>
      <c r="H56" s="28" t="n">
        <v>73820</v>
      </c>
      <c r="I56" s="28" t="n">
        <v>1204453</v>
      </c>
      <c r="J56" s="64" t="n">
        <v>34.88</v>
      </c>
      <c r="K56" s="77" t="n">
        <v>0.06</v>
      </c>
      <c r="L56" s="45" t="n">
        <v>0</v>
      </c>
      <c r="M56" s="45" t="n">
        <v>1</v>
      </c>
      <c r="N56" s="45" t="n">
        <v>0.194</v>
      </c>
      <c r="O56" s="21" t="s">
        <v>619</v>
      </c>
    </row>
    <row r="57" customFormat="false" ht="15" hidden="false" customHeight="false" outlineLevel="0" collapsed="false">
      <c r="A57" s="21" t="s">
        <v>724</v>
      </c>
      <c r="B57" s="16" t="s">
        <v>339</v>
      </c>
      <c r="C57" s="21" t="s">
        <v>340</v>
      </c>
      <c r="D57" s="21" t="s">
        <v>643</v>
      </c>
      <c r="E57" s="21" t="n">
        <v>39</v>
      </c>
      <c r="F57" s="28" t="n">
        <v>436617</v>
      </c>
      <c r="G57" s="28" t="n">
        <f aca="false">F57*365/E57</f>
        <v>4086287.30769231</v>
      </c>
      <c r="H57" s="28" t="n">
        <v>7649</v>
      </c>
      <c r="I57" s="28" t="n">
        <v>206212</v>
      </c>
      <c r="J57" s="64" t="n">
        <v>57.08</v>
      </c>
      <c r="K57" s="76" t="n">
        <v>0</v>
      </c>
      <c r="L57" s="45" t="n">
        <v>0</v>
      </c>
      <c r="M57" s="45" t="n">
        <v>0.4</v>
      </c>
      <c r="N57" s="45" t="n">
        <v>0.249</v>
      </c>
      <c r="O57" s="20" t="s">
        <v>616</v>
      </c>
    </row>
    <row r="58" customFormat="false" ht="15" hidden="false" customHeight="false" outlineLevel="0" collapsed="false">
      <c r="A58" s="21" t="s">
        <v>725</v>
      </c>
      <c r="B58" s="16" t="s">
        <v>726</v>
      </c>
      <c r="C58" s="21" t="s">
        <v>727</v>
      </c>
      <c r="D58" s="21" t="s">
        <v>643</v>
      </c>
      <c r="E58" s="21" t="n">
        <v>6</v>
      </c>
      <c r="F58" s="28" t="n">
        <v>46160</v>
      </c>
      <c r="G58" s="28" t="n">
        <f aca="false">F58*365/E58</f>
        <v>2808066.66666667</v>
      </c>
      <c r="H58" s="28" t="n">
        <v>924</v>
      </c>
      <c r="I58" s="28" t="n">
        <v>21693</v>
      </c>
      <c r="J58" s="64" t="n">
        <v>49.96</v>
      </c>
      <c r="K58" s="76" t="n">
        <v>0</v>
      </c>
      <c r="L58" s="45" t="n">
        <v>0</v>
      </c>
      <c r="M58" s="45" t="n">
        <v>0.505</v>
      </c>
      <c r="N58" s="45" t="n">
        <v>0.167</v>
      </c>
      <c r="O58" s="20" t="s">
        <v>616</v>
      </c>
    </row>
    <row r="59" customFormat="false" ht="15" hidden="false" customHeight="false" outlineLevel="0" collapsed="false">
      <c r="A59" s="78" t="s">
        <v>728</v>
      </c>
      <c r="B59" s="24" t="s">
        <v>119</v>
      </c>
      <c r="F59" s="79" t="n">
        <f aca="false">SUM(F4:F58)</f>
        <v>502415662</v>
      </c>
      <c r="G59" s="79" t="n">
        <f aca="false">SUM(G4:G58)</f>
        <v>1271395370.83428</v>
      </c>
      <c r="H59" s="79" t="n">
        <f aca="false">SUM(H4:H58)</f>
        <v>8824895</v>
      </c>
      <c r="I59" s="79" t="n">
        <f aca="false">SUM(I4:I58)</f>
        <v>219475297</v>
      </c>
    </row>
    <row r="61" customFormat="false" ht="30" hidden="false" customHeight="true" outlineLevel="0" collapsed="false">
      <c r="A61" s="80" t="s">
        <v>729</v>
      </c>
      <c r="B61" s="80"/>
      <c r="C61" s="80"/>
      <c r="D61" s="80"/>
      <c r="E61" s="80"/>
      <c r="F61" s="80"/>
      <c r="G61" s="80"/>
      <c r="H61" s="80"/>
      <c r="I61" s="80"/>
      <c r="J61" s="80"/>
      <c r="K61" s="80"/>
      <c r="L61" s="80"/>
      <c r="M61" s="80"/>
      <c r="N61" s="80"/>
      <c r="O61" s="80"/>
    </row>
  </sheetData>
  <mergeCells count="3">
    <mergeCell ref="A1:O1"/>
    <mergeCell ref="A2:O2"/>
    <mergeCell ref="A61:O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2026-07-31T14:18:34Z</dcterms:created>
  <dc:creator>openpyxl</dc:creator>
  <dc:description/>
  <dc:language>en-US</dc:language>
  <cp:lastModifiedBy/>
  <dcterms:modified xsi:type="dcterms:W3CDTF">2026-07-31T14:18:34Z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