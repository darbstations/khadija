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جاهزية الإطلاق" sheetId="9" state="visible" r:id="rId11"/>
    <sheet name="منفذ ١ — الوقود" sheetId="10" state="visible" r:id="rId12"/>
    <sheet name="تكلفة اللتر" sheetId="11" state="visible" r:id="rId13"/>
    <sheet name="الخطة التنفيذية" sheetId="12" state="visible" r:id="rId14"/>
    <sheet name="المستهدفات الربعية" sheetId="13" state="visible" r:id="rId15"/>
    <sheet name="المبادرات" sheetId="14" state="visible" r:id="rId16"/>
    <sheet name="المحطات"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<sst xmlns="http://schemas.openxmlformats.org/spreadsheetml/2006/main" count="1772" uniqueCount="1196">
  <si>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</si>
  <si>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</si>
  <si>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</si>
  <si>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</si>
  <si>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</si>
  <si>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</si>
  <si>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</si>
  <si>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</si>
  <si>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</si>
  <si>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</si>
  <si>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</si>
  <si>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</si>
  <si>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</si>
  <si>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</si>
  <si>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</si>
  <si>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</si>
  <si>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</si>
  <si>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١ — الوقود</t>
  </si>
  <si>
    <t xml:space="preserve">المنفذ الأول: المزيج والرافعات وتشخيص التراجع.</t>
  </si>
  <si>
    <t xml:space="preserve">دليل الألوان</t>
  </si>
  <si>
    <t xml:space="preserve">نموذج تكلفة اللتر لكل محطة — محرّكات محسوبة ومُدخلات مطلوبة.</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</si>
  <si>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</si>
  <si>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</si>
  <si>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</si>
  <si>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</si>
  <si>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</si>
  <si>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</si>
  <si>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</si>
  <si>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</si>
  <si>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التطبيقات والمنصات</t>
  </si>
  <si>
    <t xml:space="preserve">تصنيف تطبيق أفراد · منصة شركات · بطاقة.</t>
  </si>
  <si>
    <t xml:space="preserve">حالة المنفذ</t>
  </si>
  <si>
    <t xml:space="preserve">بيانات 55 محطة (النصف الأول 2026) لربط المنافذ بالمواقع.</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</si>
  <si>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</si>
  <si>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</si>
  <si>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</si>
  <si>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</si>
  <si>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</si>
  <si>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</si>
  <si>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</si>
  <si>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</si>
  <si>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</si>
  <si>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</si>
  <si>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</si>
  <si>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</si>
  <si>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</si>
  <si>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</si>
  <si>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</si>
  <si>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</si>
  <si>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</si>
  <si>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</si>
  <si>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</si>
  <si>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</si>
  <si>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</si>
  <si>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</si>
  <si>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</si>
  <si>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</si>
  <si>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</si>
  <si>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</si>
  <si>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</si>
  <si>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</si>
  <si>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</si>
  <si>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</si>
  <si>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</si>
  <si>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</si>
  <si>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</si>
  <si>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</si>
  <si>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</si>
  <si>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</si>
  <si>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</si>
  <si>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</si>
  <si>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</si>
  <si>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</si>
  <si>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</si>
  <si>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</si>
  <si>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</si>
  <si>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</si>
  <si>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</si>
  <si>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</si>
  <si>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</si>
  <si>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</si>
  <si>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</si>
  <si>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</si>
  <si>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</si>
  <si>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</si>
  <si>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</si>
  <si>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</si>
  <si>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</si>
  <si>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</si>
  <si>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</si>
  <si>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</si>
  <si>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</si>
  <si>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</si>
  <si>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</si>
  <si>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</si>
  <si>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</si>
  <si>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</si>
  <si>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</si>
  <si>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</si>
  <si>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</si>
  <si>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</si>
  <si>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</si>
  <si>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</si>
  <si>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</si>
  <si>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 — خارج النطاق</t>
  </si>
  <si>
    <t xml:space="preserve">—</t>
  </si>
  <si>
    <t xml:space="preserve">خارج نطاق البيع</t>
  </si>
  <si>
    <t xml:space="preserve">استضافة بنية تحتية لا بيع منتج</t>
  </si>
  <si>
    <t xml:space="preserve">يُعامل كتأجير موقع ضمن منفذ ٢ إن لزم</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</si>
  <si>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</si>
  <si>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</si>
  <si>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</si>
  <si>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</si>
  <si>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</si>
  <si>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</si>
  <si>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</si>
  <si>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</si>
  <si>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</si>
  <si>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</si>
  <si>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</si>
  <si>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</si>
  <si>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</si>
  <si>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</si>
  <si>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</si>
  <si>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</si>
  <si>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</si>
  <si>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</si>
  <si>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</si>
  <si>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</si>
  <si>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</si>
  <si>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</si>
  <si>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</si>
  <si>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</si>
  <si>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</si>
  <si>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</si>
  <si>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</si>
  <si>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</si>
  <si>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</si>
  <si>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</si>
  <si>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</si>
  <si>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</si>
  <si>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</si>
  <si>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</si>
  <si>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</si>
  <si>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</si>
  <si>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</si>
  <si>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</si>
  <si>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</si>
  <si>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</si>
  <si>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</si>
  <si>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</si>
  <si>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</si>
  <si>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</si>
  <si>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</si>
  <si>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</si>
  <si>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</si>
  <si>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</si>
  <si>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</si>
  <si>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</si>
  <si>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</si>
  <si>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</si>
  <si>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EVIQ</t>
  </si>
  <si>
    <t xml:space="preserve">بنية تحتية</t>
  </si>
  <si>
    <t xml:space="preserve">5,000+ شاحن في 1,000 موقع · شراكة صندوق الاستثمارات العامة والسعودية للكهرباء</t>
  </si>
  <si>
    <t xml:space="preserve">الشحن الكهربائي</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</si>
  <si>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</si>
  <si>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</si>
  <si>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</si>
  <si>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</si>
  <si>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</si>
  <si>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</si>
  <si>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</si>
  <si>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</si>
  <si>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</si>
  <si>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</si>
  <si>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</si>
  <si>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</si>
  <si>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</si>
  <si>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</si>
  <si>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</si>
  <si>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</si>
  <si>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</si>
  <si>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</si>
  <si>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</si>
  <si>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</si>
  <si>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</si>
  <si>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</si>
  <si>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</si>
  <si>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</si>
  <si>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</si>
  <si>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</si>
  <si>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</si>
  <si>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</si>
  <si>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</si>
  <si>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</si>
  <si>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</si>
  <si>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</si>
  <si>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</si>
  <si>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</si>
  <si>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</si>
  <si>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</si>
  <si>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</si>
  <si>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</si>
  <si>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</si>
  <si>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</si>
  <si>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</si>
  <si>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</si>
  <si>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</si>
  <si>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</si>
  <si>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</si>
  <si>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</si>
  <si>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</si>
  <si>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</si>
  <si>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</si>
  <si>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</si>
  <si>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</si>
  <si>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</si>
  <si>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</si>
  <si>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</si>
  <si>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</si>
  <si>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</si>
  <si>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</si>
  <si>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</si>
  <si>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</si>
  <si>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</si>
  <si>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</si>
  <si>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</si>
  <si>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</si>
  <si>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</si>
  <si>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</si>
  <si>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</si>
  <si>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</si>
  <si>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</si>
  <si>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</si>
  <si>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</si>
  <si>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</si>
  <si>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</si>
  <si>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</si>
  <si>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</si>
  <si>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</si>
  <si>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</si>
  <si>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</si>
  <si>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</si>
  <si>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</si>
  <si>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</si>
  <si>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</si>
  <si>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</si>
  <si>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</si>
  <si>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</si>
  <si>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</si>
  <si>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</si>
  <si>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</si>
  <si>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</si>
  <si>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</si>
  <si>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</si>
  <si>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</si>
  <si>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</si>
  <si>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</si>
  <si>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</si>
  <si>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</si>
  <si>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</si>
  <si>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</si>
  <si>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</si>
  <si>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</si>
  <si>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</si>
  <si>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</si>
  <si>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</si>
  <si>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</si>
  <si>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</si>
  <si>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</si>
  <si>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</si>
  <si>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</si>
  <si>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</si>
  <si>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</si>
  <si>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</si>
  <si>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</si>
  <si>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</si>
  <si>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</si>
  <si>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</si>
  <si>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</si>
  <si>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</si>
  <si>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</si>
  <si>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</si>
  <si>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</si>
  <si>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</si>
  <si>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</si>
  <si>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</si>
  <si>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</si>
  <si>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</si>
  <si>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</si>
  <si>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</si>
  <si>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</si>
  <si>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</si>
  <si>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</si>
  <si>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</si>
  <si>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</si>
  <si>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</si>
  <si>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</si>
  <si>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</si>
  <si>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</si>
  <si>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</si>
  <si>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</si>
  <si>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</si>
  <si>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</si>
  <si>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</si>
  <si>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</si>
  <si>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</si>
  <si>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</si>
  <si>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</si>
  <si>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</si>
  <si>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</si>
  <si>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</si>
  <si>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</si>
  <si>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</si>
  <si>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</si>
  <si>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</si>
  <si>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</si>
  <si>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</si>
  <si>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</si>
  <si>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</si>
  <si>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</si>
  <si>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</si>
  <si>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</si>
  <si>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</si>
  <si>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</si>
  <si>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</si>
  <si>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</si>
  <si>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</si>
  <si>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منفذ ٢ — العقار والتأجير</t>
  </si>
  <si>
    <t xml:space="preserve">أكبر فجوة × لا مسيطر · الأولوية الأولى · بيانات الربع الأول 2026</t>
  </si>
  <si>
    <t xml:space="preserve">⚠ تصحيح</t>
  </si>
  <si>
    <t xml:space="preserve">ملف الامتياز يحتوي صف «اجمالي محطات الربع الاول» مدمجاً مع صفوف المحطات. جمعه مع الصفوف ضاعف الأرقام. الصحيح: 128 وحدة و96 شاغرة — لا 256 و192. ونسبة الإشغال 25% لم تتغيّر، ولهذا مرّ الخطأ.</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</si>
  <si>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</si>
  <si>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</si>
  <si>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</si>
  <si>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</si>
  <si>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</si>
  <si>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</si>
  <si>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</si>
  <si>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</si>
  <si>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</si>
  <si>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</si>
  <si>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</si>
  <si>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</si>
  <si>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</si>
  <si>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</si>
  <si>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</si>
  <si>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</si>
  <si>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</si>
  <si>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</si>
  <si>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</si>
  <si>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</si>
  <si>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</si>
  <si>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</si>
  <si>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</si>
  <si>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</si>
  <si>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</si>
  <si>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</si>
  <si>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</si>
  <si>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</si>
  <si>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</si>
  <si>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</si>
  <si>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</si>
  <si>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</si>
  <si>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</si>
  <si>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</si>
  <si>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</si>
  <si>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</si>
  <si>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</si>
  <si>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</si>
  <si>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</si>
  <si>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</si>
  <si>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</si>
  <si>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</si>
  <si>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</si>
  <si>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</si>
  <si>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</si>
  <si>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</si>
  <si>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</si>
  <si>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</si>
  <si>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</si>
  <si>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</si>
  <si>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</si>
  <si>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</si>
  <si>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</si>
  <si>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</si>
  <si>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</si>
  <si>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القراءة</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</si>
  <si>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</si>
  <si>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</si>
  <si>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</si>
  <si>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</si>
  <si>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</si>
  <si>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</si>
  <si>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</si>
  <si>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</si>
  <si>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</si>
  <si>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</si>
  <si>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</si>
  <si>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</si>
  <si>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</si>
  <si>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</si>
  <si>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</si>
  <si>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</si>
  <si>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</si>
  <si>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</si>
  <si>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</si>
  <si>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</si>
  <si>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</si>
  <si>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</si>
  <si>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</si>
  <si>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الحقيقية</t>
  </si>
  <si>
    <t xml:space="preserve">20 محطة مفتوحة بلا أي نشاط تجاري (من 71 مفتوحة) + 96 وحدة شاغرة في الامتياز. وليست 73 محطة كما بدا أولاً — لأن 52 من الـ72 الخالية لم تفتح بعد.</t>
  </si>
  <si>
    <t xml:space="preserve">الفرصة الأكبر ليست علاجاً بل استباقاً</t>
  </si>
  <si>
    <t xml:space="preserve">52 محطة تحت الإنشاء بلا نشاط. التعاقد لها قبل الافتتاح أرخص وأسرع من ملء محطة عاملة — ويجنّبنا تكرار الفجوة نفسها بعد سنتين.</t>
  </si>
  <si>
    <t xml:space="preserve">62% من الشواغر غير مصنّفة</t>
  </si>
  <si>
    <t xml:space="preserve">60 من 96 وحدة شاغرة بلا نوع مسجَّل — وكلها في المحطات الأربع الأكبر شغوراً (الظبية 30 · خيبر بيشة 12 · طريق السلام 11 · الحزم 7). لا يمكن تسويق ما لم يُحصر.</t>
  </si>
  <si>
    <t xml:space="preserve">الظبية وحدها ربع المشكلة</t>
  </si>
  <si>
    <t xml:space="preserve">31 وحدة ووحدة واحدة مؤجّرة (3.2%). أكبر تجمّع وحدات لدينا وأقلّها إشغالاً — تستحق ملف تسويق مستقل قبل أي مبادرة شبكية.</t>
  </si>
  <si>
    <t xml:space="preserve">محفظة العلامات مفتّتة</t>
  </si>
  <si>
    <t xml:space="preserve">190 علامة مختلفة عبر خمس فئات — 67 علامة كافيه في 42 محطة وحدها. لا اتفاقيات إطارية ولا قوة تفاوضية ولا اتساق تجربة. الاستثناء: فريش واي في 17 محطة.</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</si>
  <si>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</si>
  <si>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</si>
  <si>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</si>
  <si>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</si>
  <si>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</si>
  <si>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</si>
  <si>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</si>
  <si>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</si>
  <si>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</si>
  <si>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</si>
  <si>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</si>
  <si>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</si>
  <si>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</si>
  <si>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</si>
  <si>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</si>
  <si>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</si>
  <si>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</si>
  <si>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</si>
  <si>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</si>
  <si>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</si>
  <si>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</si>
  <si>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</si>
  <si>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</si>
  <si>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</si>
  <si>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</si>
  <si>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</si>
  <si>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</si>
  <si>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</si>
  <si>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</si>
  <si>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</si>
  <si>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</si>
  <si>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</si>
  <si>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</si>
  <si>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</si>
  <si>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</si>
  <si>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</si>
  <si>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</si>
  <si>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</si>
  <si>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</si>
  <si>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</si>
  <si>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</si>
  <si>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</si>
  <si>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</si>
  <si>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</si>
  <si>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</si>
  <si>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</si>
  <si>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</si>
  <si>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</si>
  <si>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</si>
  <si>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</si>
  <si>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</si>
  <si>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</si>
  <si>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</si>
  <si>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</si>
  <si>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</si>
  <si>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</si>
  <si>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</si>
  <si>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</si>
  <si>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</si>
  <si>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</si>
  <si>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</si>
  <si>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</si>
  <si>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</si>
  <si>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</si>
  <si>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</si>
  <si>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</si>
  <si>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</si>
  <si>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</si>
  <si>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</si>
  <si>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</si>
  <si>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</si>
  <si>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</si>
  <si>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</si>
  <si>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</si>
  <si>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</si>
  <si>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</si>
  <si>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</si>
  <si>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</si>
  <si>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</si>
  <si>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</si>
  <si>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الزينة محفظة سلة لا محفظة وجهة — العميل لا يقصد المحطة لأجلها لكنه يشتريها إن كانت في طريقه. لذلك لا تشغيل ذاتي إلا في سريع الدوران من الكاشير.</t>
  </si>
  <si>
    <t xml:space="preserve">لماذا الآن رغم أنها بصفر</t>
  </si>
  <si>
    <t xml:space="preserve">لا سلسلة مسيطرة في الزينة — أضعف منافسة في كل المنافذ الاثني عشر. والفرصة تُلتقط عبر الوحدات الشاغرة نفسها: «زيوت» و«ورشة» و«خدمات سيارات» ظهرت صراحةً ضمن الوحدات الشاغرة في الامتياز.</t>
  </si>
  <si>
    <t xml:space="preserve">التقاطع مع منفذ ٢</t>
  </si>
  <si>
    <t xml:space="preserve">هذا المنفذ لا يحتاج استثماراً جديداً — يحتاج أن تُملأ وحدات شاغرة قائمة بالنشاط الصحيح. فهو عملياً مبادرة داخل منفذ العقار لا مشروعاً منفصلاً.</t>
  </si>
  <si>
    <t xml:space="preserve">الخطر الذي يجب ألا يُغفل</t>
  </si>
  <si>
    <t xml:space="preserve">بترو آب و Fleet Plus تبيعان الإطارات والبطاريات والزيوت للأسطول داخل محطاتنا دون عقد معنا. أي أن المنفذ يُستنزف قبل أن نفتحه.</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</si>
  <si>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</si>
  <si>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</si>
  <si>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</si>
  <si>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هو ما يحدد ما يمكن بيعه. تعبئة الوقود 4 دقائق لا تسمح إلا بقرار يُتخذ في ثوانٍ. والغسيل يفتح نافذة 20 دقيقة، وتغيير الزيت 45، والشحن الكهربائي 30، ومبيت الشاحنة ليلة كاملة. لذلك المنتجات التي تُطيل المكوث تُموّل المنتجات التي تحتاج مكوثاً — ونحن لا نبيع اللتر بل نبيع الزمن الذي يقضيه العميل عندنا.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</si>
  <si>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</si>
  <si>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</si>
  <si>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</si>
  <si>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</si>
  <si>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</si>
  <si>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</si>
  <si>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</si>
  <si>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</si>
  <si>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</si>
  <si>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</si>
  <si>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</si>
  <si>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</si>
  <si>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</si>
  <si>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</si>
  <si>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</si>
  <si>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</si>
  <si>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</si>
  <si>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</si>
  <si>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</si>
  <si>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</si>
  <si>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</si>
  <si>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</si>
  <si>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</si>
  <si>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</si>
  <si>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</si>
  <si>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</si>
  <si>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</si>
  <si>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</si>
  <si>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</si>
  <si>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</si>
  <si>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</si>
  <si>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</si>
  <si>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</si>
  <si>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</si>
  <si>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</si>
  <si>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</si>
  <si>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</si>
  <si>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</si>
  <si>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</si>
  <si>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</si>
  <si>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</si>
  <si>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</si>
  <si>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</si>
  <si>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</si>
  <si>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</si>
  <si>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</si>
  <si>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</si>
  <si>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</si>
  <si>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</si>
  <si>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</si>
  <si>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</si>
  <si>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</si>
  <si>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</si>
  <si>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</si>
  <si>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</si>
  <si>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</si>
  <si>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</si>
  <si>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</si>
  <si>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</si>
  <si>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</si>
  <si>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</si>
  <si>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</si>
  <si>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</si>
  <si>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</si>
  <si>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</si>
  <si>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</si>
  <si>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</si>
  <si>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</si>
  <si>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</si>
  <si>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</si>
  <si>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</si>
  <si>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</si>
  <si>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</si>
  <si>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</si>
  <si>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</si>
  <si>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</si>
  <si>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</si>
  <si>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</si>
  <si>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</si>
  <si>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</si>
  <si>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</si>
  <si>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</si>
  <si>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</si>
  <si>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</si>
  <si>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</si>
  <si>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</si>
  <si>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</si>
  <si>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</si>
  <si>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</si>
  <si>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</si>
  <si>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</si>
  <si>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</si>
  <si>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</si>
  <si>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</si>
  <si>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</si>
  <si>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</si>
  <si>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</si>
  <si>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</si>
  <si>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</si>
  <si>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</si>
  <si>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</si>
  <si>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</si>
  <si>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</si>
  <si>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</si>
  <si>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</si>
  <si>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</si>
  <si>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</si>
  <si>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</si>
  <si>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</si>
  <si>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</si>
  <si>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</si>
  <si>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</si>
  <si>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</si>
  <si>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</si>
  <si>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</si>
  <si>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</si>
  <si>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</si>
  <si>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</si>
  <si>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</si>
  <si>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</si>
  <si>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</si>
  <si>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</si>
  <si>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</si>
  <si>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</si>
  <si>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</si>
  <si>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</si>
  <si>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</si>
  <si>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</si>
  <si>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</si>
  <si>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</si>
  <si>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</si>
  <si>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</si>
  <si>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</si>
  <si>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</si>
  <si>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</si>
  <si>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</si>
  <si>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</si>
  <si>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</si>
  <si>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</si>
  <si>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</si>
  <si>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</si>
  <si>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</si>
  <si>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</si>
  <si>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</si>
  <si>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</si>
  <si>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</si>
  <si>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</si>
  <si>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ما يكشفه الترتيب</t>
  </si>
  <si>
    <t xml:space="preserve">منتجاتنا القوية كلها «سلة» تركب على زيارة الوقود (ماركت 51% · قهوة 49%). ومنتجات «الوجهة» التي تجلب زيارة مستقلة هي الأضعف: بنشر 14% · درايف ثرو صفر · شحن صفر · مواقف صفر. أي أننا نعيش على حركة الوقود ولا نصنع حركة.</t>
  </si>
  <si>
    <t xml:space="preserve">أطول مكوث هو أضعف موقفنا</t>
  </si>
  <si>
    <t xml:space="preserve">الزيت والصيانة أطول نافذة في المحطة (45 دقيقة) ونأخذ عنها إيجاراً فقط — الهامش للشريك. والشحن الكهربائي يفتح 30 دقيقة ولم يبدأ. والمواقف تفتح ليلة كاملة وغير مُستثمرة. نملك الزمن ولا نبيعه.</t>
  </si>
  <si>
    <t xml:space="preserve">أرخص مبادرة في الملف كله</t>
  </si>
  <si>
    <t xml:space="preserve">رفّ الإكسسوارات سريعة الدوران عند الكاشير: بلا مساحة ولا عقد ولا مستأجر — ويُختبر في محطة واحدة خلال أسابيع. صفر اليوم في 71 محطة مفتوحة.</t>
  </si>
  <si>
    <t xml:space="preserve">الفجوات المرقّمة</t>
  </si>
  <si>
    <t xml:space="preserve">61 محطة بلا إطارات · 66 بلا صراف · 70 بلا خزائن · 71 بلا إكسسوارات · 71 بلا شحن · 71 بلا مواقف · 355 موقعاً بلا إيراد إعلاني. وكل رقم منها وحدة تجارية شاغرة محتملة.</t>
  </si>
  <si>
    <t xml:space="preserve">الطبقة التي تجعل كل ما سبق قابلاً للقياس</t>
  </si>
  <si>
    <t xml:space="preserve">التطبيق ليس منتجاً بموقع — هو الطبقة التي تحوّل 22.5 مليون زيارة مجهولة إلى عميل معروف. وبدونه كل منتج أعلاه يُباع مرة واحدة لمجهول، ولا يمكن قياس أثر أي مبادرة.</t>
  </si>
  <si>
    <t xml:space="preserve">جاهزية الإطلاق — ما نبدأ به الآن وما يتأخر ولماذا</t>
  </si>
  <si>
    <t xml:space="preserve">أربع موجات · المُعطِّل الحقيقي لكل منتج · ومن يملك قرار رفعه</t>
  </si>
  <si>
    <t xml:space="preserve">قاعدة الترتيب</t>
  </si>
  <si>
    <t xml:space="preserve">ليس حسب حجم الفرصة بل حسب المُعطِّل: ما يحتاج قرارنا وحده يبدأ الآن · وما يحتاج فريقاً أو تعاقداً يليه · وما يحتاج تعديلاً إنشائياً أو طرفاً ثالثاً يتأخر · وما يحتاج بنية تقنية أو إعادة تفاوض عقود يأتي أخيراً. والموجة الأولى تموّل ما بعدها.</t>
  </si>
  <si>
    <t xml:space="preserve">المنتج / المبادرة</t>
  </si>
  <si>
    <t xml:space="preserve">ما نملكه اليوم</t>
  </si>
  <si>
    <t xml:space="preserve">المُعطِّل الحقيقي</t>
  </si>
  <si>
    <t xml:space="preserve">من يملك القرار</t>
  </si>
  <si>
    <t xml:space="preserve">رأس المال</t>
  </si>
  <si>
    <t xml:space="preserve">زمن الإطلاق</t>
  </si>
  <si>
    <t xml:space="preserve">الأثر المتوقع</t>
  </si>
  <si>
    <t xml:space="preserve">الـ52؟</t>
  </si>
  <si>
    <t xml:space="preserve">الموجة ١ — تبدأ الآن · قرارنا وحدنا · 0–3 أشهر</t>
  </si>
  <si>
    <t xml:space="preserve">حصر وتصنيف الشواغر</t>
  </si>
  <si>
    <t xml:space="preserve">96 وحدة شاغرة — 60 منها بلا نوع</t>
  </si>
  <si>
    <t xml:space="preserve">لا شيء يمنعه — عمل ميداني بحت</t>
  </si>
  <si>
    <t xml:space="preserve">نحن وحدنا</t>
  </si>
  <si>
    <t xml:space="preserve">لا يُذكر</t>
  </si>
  <si>
    <t xml:space="preserve">4–6 أسابيع</t>
  </si>
  <si>
    <t xml:space="preserve">شرط لكل مبادرة تأجير — ما لم يُحصر لا يُسوَّق</t>
  </si>
  <si>
    <t xml:space="preserve">رفّ إكسسوارات الكاشير</t>
  </si>
  <si>
    <t xml:space="preserve">71 محطة مفتوحة بكاشير قائم</t>
  </si>
  <si>
    <t xml:space="preserve">اختيار مورّد وتسعير — بلا مساحة ولا عقد إيجار</t>
  </si>
  <si>
    <t xml:space="preserve">منخفض جداً</t>
  </si>
  <si>
    <t xml:space="preserve">6–8 أسابيع</t>
  </si>
  <si>
    <t xml:space="preserve">يرفع سلة الزيارة فوراً · يُختبر في محطة واحدة</t>
  </si>
  <si>
    <t xml:space="preserve">نعم</t>
  </si>
  <si>
    <t xml:space="preserve">تسعير الوحدات المصنّفة</t>
  </si>
  <si>
    <t xml:space="preserve">36 وحدة شاغرة معروفة النوع</t>
  </si>
  <si>
    <t xml:space="preserve">غياب جدول أسعار وفريق تأجير</t>
  </si>
  <si>
    <t xml:space="preserve">منخفض</t>
  </si>
  <si>
    <t xml:space="preserve">8–12 أسبوعاً</t>
  </si>
  <si>
    <t xml:space="preserve">أول إيراد إيجاري إضافي</t>
  </si>
  <si>
    <t xml:space="preserve">ملف الظبية المستقل</t>
  </si>
  <si>
    <t xml:space="preserve">31 وحدة — وحدة واحدة مؤجّرة (3.2%)</t>
  </si>
  <si>
    <t xml:space="preserve">لا أحد يملكها كملف — تُعامل ضمن الشبكة</t>
  </si>
  <si>
    <t xml:space="preserve">ربع مشكلة الشغور في ملف واحد</t>
  </si>
  <si>
    <t xml:space="preserve">إدخال منتجات الموجات القادمة في تصميم الـ52</t>
  </si>
  <si>
    <t xml:space="preserve">52 محطة تحت الإنشاء لم تُسلَّم بعد</t>
  </si>
  <si>
    <t xml:space="preserve">نافذة تُغلق مع كل محطة تُسلَّم — القرار الآن أو لا</t>
  </si>
  <si>
    <t xml:space="preserve">نحن + المشاريع</t>
  </si>
  <si>
    <t xml:space="preserve">لا يُذكر الآن</t>
  </si>
  <si>
    <t xml:space="preserve">فوري</t>
  </si>
  <si>
    <t xml:space="preserve">يحوّل مبادرات الموجة ٣ إلى جاهزة عند الافتتاح</t>
  </si>
  <si>
    <t xml:space="preserve">★</t>
  </si>
  <si>
    <t xml:space="preserve">الموجة ٢ — تحتاج فريقاً أو تعاقداً · 3–9 أشهر</t>
  </si>
  <si>
    <t xml:space="preserve">الصرافات والخزائن الذكية</t>
  </si>
  <si>
    <t xml:space="preserve">66 محطة بلا صراف · 70 بلا خزائن · وصول 24 ساعة</t>
  </si>
  <si>
    <t xml:space="preserve">لا قائمة مواقع مبوّبة ولا مندوب يفاوض البنوك</t>
  </si>
  <si>
    <t xml:space="preserve">نحن + البنك/المشغّل</t>
  </si>
  <si>
    <t xml:space="preserve">صفر — الطرف الآخر يركّب</t>
  </si>
  <si>
    <t xml:space="preserve">3–5 أشهر</t>
  </si>
  <si>
    <t xml:space="preserve">إيراد ثابت بلا تشغيل · بيع موقع لا بيع منتج</t>
  </si>
  <si>
    <t xml:space="preserve">عقود الأساطيل المباشرة</t>
  </si>
  <si>
    <t xml:space="preserve">ديزل 19.3% · MK289 ديزلها 64% وتنمو 27%</t>
  </si>
  <si>
    <t xml:space="preserve">لا مندوب B2B ولا آلية ائتمان وفوترة</t>
  </si>
  <si>
    <t xml:space="preserve">نحن + المنشأة</t>
  </si>
  <si>
    <t xml:space="preserve">منخفض–متوسط</t>
  </si>
  <si>
    <t xml:space="preserve">4–6 أشهر</t>
  </si>
  <si>
    <t xml:space="preserve">تحويل حجم قائم بلا عقد إلى حجم متعاقَد</t>
  </si>
  <si>
    <t xml:space="preserve">اللوحات الإعلانية</t>
  </si>
  <si>
    <t xml:space="preserve">355 موقعاً على شرايين حركة</t>
  </si>
  <si>
    <t xml:space="preserve">تراخيص الإعلان الخارجي + اختيار نموذج (وكالة أم بيع مباشر)</t>
  </si>
  <si>
    <t xml:space="preserve">نحن + الوكالة + الجهة البلدية</t>
  </si>
  <si>
    <t xml:space="preserve">صفر في نموذج الوكالة</t>
  </si>
  <si>
    <t xml:space="preserve">4–8 أشهر</t>
  </si>
  <si>
    <t xml:space="preserve">إيراد من أصل مملوك معطّل تماماً</t>
  </si>
  <si>
    <t xml:space="preserve">اتفاقية إطارية للماركت</t>
  </si>
  <si>
    <t xml:space="preserve">فريش واي في 17 محطة — النموذج المثبت</t>
  </si>
  <si>
    <t xml:space="preserve">لا اتفاقية شبكية — كل فرع يُتفاوض عليه منفرداً</t>
  </si>
  <si>
    <t xml:space="preserve">نحن + السلسلة</t>
  </si>
  <si>
    <t xml:space="preserve">تحويل 190 علامة مفتّتة إلى محفظة قابلة للإدارة</t>
  </si>
  <si>
    <t xml:space="preserve">الانضمام لمنصة إنفاق كنقطة قبول</t>
  </si>
  <si>
    <t xml:space="preserve">محطات جاهزة · المنصة تملك 500 ألف مركبة</t>
  </si>
  <si>
    <t xml:space="preserve">قرار تجاري: عمولة المنصة مقابل تكلفة البيع المباشر</t>
  </si>
  <si>
    <t xml:space="preserve">نحن + المنصة</t>
  </si>
  <si>
    <t xml:space="preserve">3–6 أشهر</t>
  </si>
  <si>
    <t xml:space="preserve">حجم فوري — مقابل التنازل عن العميل والبيانات</t>
  </si>
  <si>
    <t xml:space="preserve">الموجة ٣ — تعديل إنشائي أو طرف ثالث · 9–18 شهراً</t>
  </si>
  <si>
    <t xml:space="preserve">61 محطة مفتوحة بلا خدمة إطارات</t>
  </si>
  <si>
    <t xml:space="preserve">لا ورش مجهزة في أغلبها — تحتاج بناءً ومعدات وفنيين</t>
  </si>
  <si>
    <t xml:space="preserve">نحن + الشريك</t>
  </si>
  <si>
    <t xml:space="preserve">متوسط–مرتفع</t>
  </si>
  <si>
    <t xml:space="preserve">9–15 شهراً</t>
  </si>
  <si>
    <t xml:space="preserve">أعلى سلة في القطاع · وأدنى اختراق عندنا (14%)</t>
  </si>
  <si>
    <t xml:space="preserve">★ نعم</t>
  </si>
  <si>
    <t xml:space="preserve">وحدات شاغرة تحتمل النشاط</t>
  </si>
  <si>
    <t xml:space="preserve">لا مستأجر متخصص ولا مساحة مهيّأة</t>
  </si>
  <si>
    <t xml:space="preserve">نحن + المتخصص</t>
  </si>
  <si>
    <t xml:space="preserve">منخفض (تأجير)</t>
  </si>
  <si>
    <t xml:space="preserve">9–12 شهراً</t>
  </si>
  <si>
    <t xml:space="preserve">منفذ بلا مسيطر — لكن سلة لا وجهة</t>
  </si>
  <si>
    <t xml:space="preserve">مواقف الشاحنات</t>
  </si>
  <si>
    <t xml:space="preserve">5,420 م² أرض غير مبنية</t>
  </si>
  <si>
    <t xml:space="preserve">تحتاج تجهيزاً: إنارة وأمن ودورات مياه — ورخصة</t>
  </si>
  <si>
    <t xml:space="preserve">نحن + الجهة التنظيمية</t>
  </si>
  <si>
    <t xml:space="preserve">متوسط</t>
  </si>
  <si>
    <t xml:space="preserve">9–18 شهراً</t>
  </si>
  <si>
    <t xml:space="preserve">أطول مكوث ممكن · يغذّي الديزل والأسطول مباشرة</t>
  </si>
  <si>
    <t xml:space="preserve">3 وحدات شاغرة مصنّفة درايف ثرو</t>
  </si>
  <si>
    <t xml:space="preserve">يحتاج مسار سيارات مستقل — تعديل إنشائي · وعلامة قوية تقبل</t>
  </si>
  <si>
    <t xml:space="preserve">نحن + وكيل الامتياز</t>
  </si>
  <si>
    <t xml:space="preserve">مرتفع</t>
  </si>
  <si>
    <t xml:space="preserve">12–18 شهراً</t>
  </si>
  <si>
    <t xml:space="preserve">المنتج الوحيد الذي يجلب زيارة لا تحتاج وقوداً</t>
  </si>
  <si>
    <t xml:space="preserve">★★ نعم</t>
  </si>
  <si>
    <t xml:space="preserve">علامات مطاعم قوية</t>
  </si>
  <si>
    <t xml:space="preserve">25 محطة بمطعم · ماكدونالدز في 7 وكنتاكي في 6</t>
  </si>
  <si>
    <t xml:space="preserve">القرار عند وكيل الامتياز لا عندنا ولا عند العلامة نفسها</t>
  </si>
  <si>
    <t xml:space="preserve">وكيل الامتياز</t>
  </si>
  <si>
    <t xml:space="preserve">يحوّل المحطة من سلة إلى وجهة</t>
  </si>
  <si>
    <t xml:space="preserve">الموجة ٤ — بنية تقنية أو عقود قائمة · 18 شهراً فأكثر</t>
  </si>
  <si>
    <t xml:space="preserve">قدرة كهربائية + قرار المشغّل (EVIQ) واختياره للمواقع</t>
  </si>
  <si>
    <t xml:space="preserve">EVIQ لا نحن</t>
  </si>
  <si>
    <t xml:space="preserve">صفر في نموذج الاستضافة</t>
  </si>
  <si>
    <t xml:space="preserve">12–24 شهراً</t>
  </si>
  <si>
    <t xml:space="preserve">المنتج ليس الشاحن بل نافذة الـ30 دقيقة التي يفتحها</t>
  </si>
  <si>
    <t xml:space="preserve">تحويل الزيوت من إيجار إلى نسبة</t>
  </si>
  <si>
    <t xml:space="preserve">28 محطة بخدمة زيوت وصيانة</t>
  </si>
  <si>
    <t xml:space="preserve">عقود قائمة — لا تُعدَّل إلا عند التجديد</t>
  </si>
  <si>
    <t xml:space="preserve">نحن + الشريك عند التجديد</t>
  </si>
  <si>
    <t xml:space="preserve">أطول نافذة مكوث (45 د) ونأخذ عنها إيجاراً فقط</t>
  </si>
  <si>
    <t xml:space="preserve">تطبيق قائم · 22.5 مليون زيارة سنوياً</t>
  </si>
  <si>
    <t xml:space="preserve">لا يبيع شيئاً لا يُباع بغيره · 62.6% نقد بلا احتكاك</t>
  </si>
  <si>
    <t xml:space="preserve">نحن + التقنية</t>
  </si>
  <si>
    <t xml:space="preserve">الطبقة التي تجعل كل ما سبق قابلاً للقياس — وشرط قياس أي مبادرة</t>
  </si>
  <si>
    <t xml:space="preserve">منصة إنفاق أساطيل خاصة</t>
  </si>
  <si>
    <t xml:space="preserve">شبكة محطات — لا منتج تقني</t>
  </si>
  <si>
    <t xml:space="preserve">منتج B2B كامل: ائتمان وفوترة وصلاحيات وشبكة قبول</t>
  </si>
  <si>
    <t xml:space="preserve">مرتفع جداً</t>
  </si>
  <si>
    <t xml:space="preserve">18–36 شهراً</t>
  </si>
  <si>
    <t xml:space="preserve">استعادة العميل والبيانات والهامش — أمام 10 آلاف عميل قائم لبترو آب</t>
  </si>
  <si>
    <t xml:space="preserve">الخلاصة العملية</t>
  </si>
  <si>
    <t xml:space="preserve">خمس مبادرات تبدأ خلال ثلاثة أشهر بلا رأس مال يُذكر ولا طرف ثالث: حصر الشواغر · رفّ الكاشير · تسعير الوحدات · ملف الظبية · وإدخال المنتجات القادمة في تصميم الـ52. وأربع أخرى تحتاج فريقاً أو تعاقداً فقط — لا بناءً.</t>
  </si>
  <si>
    <t xml:space="preserve">★ النافذة التي تُغلق</t>
  </si>
  <si>
    <t xml:space="preserve">خمسة منتجات مؤجَّلة لأنها تحتاج تعديلاً إنشائياً في محطات قائمة: درايف ثرو (مسار مستقل) · إطارات (ورشة) · مواقف (تجهيز أرض) · شحن (قدرة كهربائية). لكن 52 محطة تحت الإنشاء لم تُسلَّم بعد — ووضع هذه المتطلبات في تصميمها الآن يحوّلها من مبادرات 18 شهراً إلى منتجات جاهزة يوم الافتتاح. هذه أرخص قيمة في الملف كله، وتُفقد نهائياً مع كل محطة تُسلَّم.</t>
  </si>
  <si>
    <t xml:space="preserve">ما لا يعتمد علينا</t>
  </si>
  <si>
    <t xml:space="preserve">الشحن الكهربائي قراره عند EVIQ لا عندنا · وعلامات المطاعم القوية قرارها عند وكيل الامتياز لا عند العلامة نفسها. هذان لا يُخطَّط لهما بجدول زمني بل بفتح قناة تفاوض مبكرة ومتابعتها.</t>
  </si>
  <si>
    <t xml:space="preserve">التسلسل المنطقي</t>
  </si>
  <si>
    <t xml:space="preserve">الموجة الأولى تنتج إيراداً وبيانات بلا رأس مال، والموجة الثانية تبني الفريق والعلاقات، والثالثة تصرف رأس المال بعد أن ثبتت الجدوى. أما التطبيق — رغم أنه الأخير زمنياً — فهو شرط قياس كل ما قبله، ولذلك يبدأ العمل عليه بالتوازي لا بالتتابع.</t>
  </si>
  <si>
    <t xml:space="preserve">افتراضات يجب التحقق منها</t>
  </si>
  <si>
    <t xml:space="preserve">أزمنة الإطلاق تقديرية ومبنية على طبيعة كل عائق لا على خطة موارد معتمدة. وثلاثة مجاهيل تغيّر الترتيب: آجال عقود الزيوت القائمة · متطلبات ترخيص الإعلان الخارجي والمواقف · وحجم الفريق المتاح للتأجير والمبيعات B2B.</t>
  </si>
  <si>
    <t xml:space="preserve">100% من إيرادنا الموثّق · السعر مقنَّن فالرافعة ليست السعر · الأرقام مُصحَّحة</t>
  </si>
  <si>
    <t xml:space="preserve">⚠ تصحيحان</t>
  </si>
  <si>
    <t xml:space="preserve">١) أعمدة 91/95/الديزل هي حصص لترات لا حصص إيراد — تحقّقنا بمطابقة الإيراد÷اللترات بالأسعار المقننة. ٢) عمود volume خاطئ في ثلاث محطات (MK072 · MK029 · RY075) أعطى سعراً مستحيلاً حتى 7.04 ريال/لتر؛ صُحّح بـ avg_liters × visits فعاد للنطاق المعقول (2.15–2.21). الإيراد لم يتأثر — فكل استنتاجات النمو والتركّز قائمة.</t>
  </si>
  <si>
    <t xml:space="preserve">المؤشر</t>
  </si>
  <si>
    <t xml:space="preserve">قبل التصحيح</t>
  </si>
  <si>
    <t xml:space="preserve">بعد التصحيح</t>
  </si>
  <si>
    <t xml:space="preserve">الدلالة</t>
  </si>
  <si>
    <t xml:space="preserve">الإيراد السنوي المُطبَّع</t>
  </si>
  <si>
    <t xml:space="preserve">1.271 مليار</t>
  </si>
  <si>
    <t xml:space="preserve">لم يتأثر — الخطأ في اللترات لا الإيراد</t>
  </si>
  <si>
    <t xml:space="preserve">اللترات السنوية</t>
  </si>
  <si>
    <t xml:space="preserve">560.2 مليون</t>
  </si>
  <si>
    <t xml:space="preserve">588.4 مليون</t>
  </si>
  <si>
    <t xml:space="preserve">زيادة 28 مليون لتر كانت مفقودة</t>
  </si>
  <si>
    <t xml:space="preserve">ريال لكل لتر</t>
  </si>
  <si>
    <t xml:space="preserve">2.27</t>
  </si>
  <si>
    <t xml:space="preserve">2.16</t>
  </si>
  <si>
    <t xml:space="preserve">كان خارج نطاق الأسعار المقننة — والآن داخله</t>
  </si>
  <si>
    <t xml:space="preserve">لتر لكل زيارة</t>
  </si>
  <si>
    <t xml:space="preserve">24.9</t>
  </si>
  <si>
    <t xml:space="preserve">26.2</t>
  </si>
  <si>
    <t xml:space="preserve">سلة الوقود الحقيقية أكبر مما قُدّر</t>
  </si>
  <si>
    <t xml:space="preserve">ريال لكل زيارة</t>
  </si>
  <si>
    <t xml:space="preserve">56.9</t>
  </si>
  <si>
    <t xml:space="preserve">56.6</t>
  </si>
  <si>
    <t xml:space="preserve">لم يتأثر</t>
  </si>
  <si>
    <t xml:space="preserve">الزيارات السنوية</t>
  </si>
  <si>
    <t xml:space="preserve">22.47 مليون</t>
  </si>
  <si>
    <t xml:space="preserve">لم تتأثر</t>
  </si>
  <si>
    <t xml:space="preserve">المزيج — لترات مقابل إيراد</t>
  </si>
  <si>
    <t xml:space="preserve">اللترات (م)</t>
  </si>
  <si>
    <t xml:space="preserve">حصة اللترات</t>
  </si>
  <si>
    <t xml:space="preserve">السعر المقنَّن</t>
  </si>
  <si>
    <t xml:space="preserve">حصة الإيراد</t>
  </si>
  <si>
    <t xml:space="preserve">المنتج الأكبر حجماً — وعميله الأكثر حساسية للسعر</t>
  </si>
  <si>
    <t xml:space="preserve">حصته من الإيراد أعلى من حصته من اللترات — أعلى قيمة لكل لتر</t>
  </si>
  <si>
    <t xml:space="preserve">18.6% من اللترات لكن 10.5% من الإيراد — قصة حجم لا قصة إيراد · وهو بصمة الأسطول</t>
  </si>
  <si>
    <t xml:space="preserve">الأسعار المقننة مُدخلة يدوياً — تُحدَّث إن تغيّرت</t>
  </si>
  <si>
    <t xml:space="preserve">🔑 الصاعدة مقابل الهابطة — لا فرق في المنتج</t>
  </si>
  <si>
    <t xml:space="preserve">المجموعة</t>
  </si>
  <si>
    <t xml:space="preserve">الإيراد (م)</t>
  </si>
  <si>
    <t xml:space="preserve">لتر/زيارة</t>
  </si>
  <si>
    <t xml:space="preserve">حصة الديزل</t>
  </si>
  <si>
    <t xml:space="preserve">حصة 95</t>
  </si>
  <si>
    <t xml:space="preserve">صاعدة (+5% فأكثر)</t>
  </si>
  <si>
    <t xml:space="preserve">هابطة (−5% فأقل)</t>
  </si>
  <si>
    <t xml:space="preserve">بصمة الأسطول — أعلى حصة ديزل</t>
  </si>
  <si>
    <t xml:space="preserve">المحطة</t>
  </si>
  <si>
    <t xml:space="preserve">لتر/سنة (م)</t>
  </si>
  <si>
    <t xml:space="preserve">النمو</t>
  </si>
  <si>
    <t xml:space="preserve">MK289 طريق الليث - الفضيلة</t>
  </si>
  <si>
    <t xml:space="preserve">خط سفر</t>
  </si>
  <si>
    <t xml:space="preserve">MK014 خليص</t>
  </si>
  <si>
    <t xml:space="preserve">MK033 أبو وافي العمرة</t>
  </si>
  <si>
    <t xml:space="preserve">QS055 الدائري الشرقي</t>
  </si>
  <si>
    <t xml:space="preserve">غير مصنفة</t>
  </si>
  <si>
    <t xml:space="preserve">JA061 طريق صبيا</t>
  </si>
  <si>
    <t xml:space="preserve">حيوية</t>
  </si>
  <si>
    <t xml:space="preserve">MK054 طريق السيل</t>
  </si>
  <si>
    <t xml:space="preserve">MK004 عاصفة الصحراء</t>
  </si>
  <si>
    <t xml:space="preserve">MK210 الفلاح - فلسطين</t>
  </si>
  <si>
    <t xml:space="preserve">🔑 الاستنتاج الحاسم — التراجع ليس مشكلة منتج</t>
  </si>
  <si>
    <t xml:space="preserve">المحطات الصاعدة والهابطة متطابقة تقريباً في كل شيء يخص المنتج: لتر/زيارة (26.3 مقابل 27.0) · حصة الديزل (22.0% مقابل 21.6%) · حصة 95 (36.1% مقابل 35.3%). أي أن الفارق بينهما ليس في ما نبيعه ولا في نوع عميله. فالسبب خارج المحطة: المسار والمنافس والحركة. ونتيجته العملية أن أي مبادرة منتج أو عرض لن توقف نزيف مكة — العلاج في الموقع لا في الرف.</t>
  </si>
  <si>
    <t xml:space="preserve">السعر مقنَّن — فالرافعات أربع لا خمس</t>
  </si>
  <si>
    <t xml:space="preserve">لا نملك رافعة السعر. يبقى: ① عدد الزيارات (حركة ومسار) ② لتر لكل زيارة (سلة) ③ المزيج نحو 95 (إيراد أعلى لكل لتر) ④ عقود الأساطيل (تثبيت حجم قائم). وثلاث منها لا تُدار من المحطة بل من إدارة تجارية.</t>
  </si>
  <si>
    <t xml:space="preserve">الديزل قصة حجم لا قصة إيراد</t>
  </si>
  <si>
    <t xml:space="preserve">18.6% من اللترات و10.5% فقط من الإيراد. قيمته ليست في هامشه بل في أنه بصمة الأسطول: MK289 ديزلها 64.1% و43.7 لتر/زيارة وتنمو 27.3% — وهذه أرقام أسطول لا أفراد. وMK033 ديزلها 45.8% وتفقد 21.7%: حجم بهذا الحجم لا يتبخّر إلا إذا كان غير متعاقد فانتقل.</t>
  </si>
  <si>
    <t xml:space="preserve">ما لا تستطيع البيانات قوله</t>
  </si>
  <si>
    <t xml:space="preserve">نسبة النمو على الإيراد فقط — بلا بيانات زيارات للفترة السابقة. فلا نعرف هل التراجع في عدد الزيارات أم في لتر لكل زيارة. والفرق حاسم: تراجع الزيارات مشكلة مسار ومنافس، وتراجع اللترات لكل زيارة مشكلة تسعير منافس أو تحوّل في نوع العميل.</t>
  </si>
  <si>
    <t xml:space="preserve">نموذج تكلفة اللتر لكل محطة</t>
  </si>
  <si>
    <t xml:space="preserve">المحرّكات محسوبة من بيانات التوريد · الخانات الصفراء تُعبّأ فتُحسب التكلفة تلقائياً</t>
  </si>
  <si>
    <t xml:space="preserve">المعادلة</t>
  </si>
  <si>
    <t xml:space="preserve">تكلفة اللتر المسلَّم = سعر شراء المنتج + (أجرة الرحلة ÷ لترات الرحلة) + (التشغيل الشهري ÷ لترات الشهر) + كلفة رأس المال في المخزون + قيمة الفاقد</t>
  </si>
  <si>
    <t xml:space="preserve">ما تقوله البيانات</t>
  </si>
  <si>
    <t xml:space="preserve">كل رحلة حمولة كاملة (31,671–32,992 لتر · متوسط 32,500) — فلا يوجد هدر في حجم الحمولة ولا فرصة توفير فيه. التفاوت الحقيقي بين المحطات مصدره اثنان فقط: مسافة مصدر التوريد، ودوران الخزان الذي يحدد رأس المال المحتجز. و85.3% من التوريد يأتي من «شمال جدة» وحده.</t>
  </si>
  <si>
    <t xml:space="preserve">مُدخلات عامة</t>
  </si>
  <si>
    <t xml:space="preserve">أجرة الرحلة حسب مصدر التوريد (ريال/رحلة)</t>
  </si>
  <si>
    <t xml:space="preserve">سعر شراء 91 (ر/لتر)</t>
  </si>
  <si>
    <t xml:space="preserve">الأجرة</t>
  </si>
  <si>
    <t xml:space="preserve">سعر شراء 95 (ر/لتر)</t>
  </si>
  <si>
    <t xml:space="preserve">جنوب الرياض</t>
  </si>
  <si>
    <t xml:space="preserve">سعر شراء الديزل (ر/لتر)</t>
  </si>
  <si>
    <t xml:space="preserve">شمال الرياض</t>
  </si>
  <si>
    <t xml:space="preserve">كلفة رأس المال سنوياً %</t>
  </si>
  <si>
    <t xml:space="preserve">شمال جدة</t>
  </si>
  <si>
    <t xml:space="preserve">نسبة الفاقد %</t>
  </si>
  <si>
    <t xml:space="preserve">شمال جيزان</t>
  </si>
  <si>
    <t xml:space="preserve">التكلفة الشهرية للعامل (ريال)</t>
  </si>
  <si>
    <t xml:space="preserve">محطة ابها</t>
  </si>
  <si>
    <t xml:space="preserve">زيارات يخدمها العامل في اليوم</t>
  </si>
  <si>
    <t xml:space="preserve">محطة الجبيل</t>
  </si>
  <si>
    <t xml:space="preserve">🎯 هدف الربح (ريال/لتر)</t>
  </si>
  <si>
    <t xml:space="preserve">محطة القصيم</t>
  </si>
  <si>
    <t xml:space="preserve">محطة جازان</t>
  </si>
  <si>
    <t xml:space="preserve">مصدر التوريد</t>
  </si>
  <si>
    <t xml:space="preserve">لترات الفترة</t>
  </si>
  <si>
    <t xml:space="preserve">رحلات</t>
  </si>
  <si>
    <t xml:space="preserve">لتر/رحلة</t>
  </si>
  <si>
    <t xml:space="preserve">سعة الخزانات</t>
  </si>
  <si>
    <t xml:space="preserve">الدوران</t>
  </si>
  <si>
    <t xml:space="preserve">أيام مخزون</t>
  </si>
  <si>
    <t xml:space="preserve">أجرة الرحلة</t>
  </si>
  <si>
    <t xml:space="preserve">نقل/لتر</t>
  </si>
  <si>
    <t xml:space="preserve">زيارة/يوم</t>
  </si>
  <si>
    <t xml:space="preserve">عمال فعلي</t>
  </si>
  <si>
    <t xml:space="preserve">عمال مطلوب</t>
  </si>
  <si>
    <t xml:space="preserve">عمالة/لتر</t>
  </si>
  <si>
    <t xml:space="preserve">تشغيل آخر شهري</t>
  </si>
  <si>
    <t xml:space="preserve">تشغيل آخر/لتر</t>
  </si>
  <si>
    <t xml:space="preserve">رأس مال/لتر</t>
  </si>
  <si>
    <t xml:space="preserve">التكلفة/لتر</t>
  </si>
  <si>
    <t xml:space="preserve">سعر البيع/لتر</t>
  </si>
  <si>
    <t xml:space="preserve">الربح/لتر</t>
  </si>
  <si>
    <t xml:space="preserve">الفجوة عن الهدف</t>
  </si>
  <si>
    <t xml:space="preserve">النورية</t>
  </si>
  <si>
    <t xml:space="preserve">العوالي</t>
  </si>
  <si>
    <t xml:space="preserve">عاصفة الصحراء</t>
  </si>
  <si>
    <t xml:space="preserve">جنوب الحسينية</t>
  </si>
  <si>
    <t xml:space="preserve">العزيزية بن دهيش</t>
  </si>
  <si>
    <t xml:space="preserve">ليه</t>
  </si>
  <si>
    <t xml:space="preserve">القادسية</t>
  </si>
  <si>
    <t xml:space="preserve">النسيم جدة</t>
  </si>
  <si>
    <t xml:space="preserve">الحلقة الشرقية</t>
  </si>
  <si>
    <t xml:space="preserve">الخالدية مكة</t>
  </si>
  <si>
    <t xml:space="preserve">احلى مساء</t>
  </si>
  <si>
    <t xml:space="preserve">النوريه حي الفتح</t>
  </si>
  <si>
    <t xml:space="preserve">حي الفلاح</t>
  </si>
  <si>
    <t xml:space="preserve">جبل النور</t>
  </si>
  <si>
    <t xml:space="preserve">العنود</t>
  </si>
  <si>
    <t xml:space="preserve">الرصيفة</t>
  </si>
  <si>
    <t xml:space="preserve">جعرانه</t>
  </si>
  <si>
    <t xml:space="preserve">الردف</t>
  </si>
  <si>
    <t xml:space="preserve">ممشى الشوقية</t>
  </si>
  <si>
    <t xml:space="preserve">عرفات الشوقية</t>
  </si>
  <si>
    <t xml:space="preserve">دائري الطائف</t>
  </si>
  <si>
    <t xml:space="preserve">بطحاء قريش الدائري الرابع</t>
  </si>
  <si>
    <t xml:space="preserve">المسار</t>
  </si>
  <si>
    <t xml:space="preserve">خليص</t>
  </si>
  <si>
    <t xml:space="preserve">الحمراء</t>
  </si>
  <si>
    <t xml:space="preserve">كورنيش جيزان</t>
  </si>
  <si>
    <t xml:space="preserve">الجموم الكنيدري</t>
  </si>
  <si>
    <t xml:space="preserve">المعيصم</t>
  </si>
  <si>
    <t xml:space="preserve">الاجاويد</t>
  </si>
  <si>
    <t xml:space="preserve">مسارات صبيا</t>
  </si>
  <si>
    <t xml:space="preserve">الكر</t>
  </si>
  <si>
    <t xml:space="preserve">محطة طريق السيل</t>
  </si>
  <si>
    <t xml:space="preserve">الخرج غرناطة</t>
  </si>
  <si>
    <t xml:space="preserve">الفردوس</t>
  </si>
  <si>
    <t xml:space="preserve">الدائري الشرقي</t>
  </si>
  <si>
    <t xml:space="preserve">الجال</t>
  </si>
  <si>
    <t xml:space="preserve">طريق القاضي</t>
  </si>
  <si>
    <t xml:space="preserve">كورنيش الخبر</t>
  </si>
  <si>
    <t xml:space="preserve">خبت نخلان</t>
  </si>
  <si>
    <t xml:space="preserve">الخزامى الخرج</t>
  </si>
  <si>
    <t xml:space="preserve">عرفات الشرائع</t>
  </si>
  <si>
    <t xml:space="preserve">البيعه</t>
  </si>
  <si>
    <t xml:space="preserve">الكوثر</t>
  </si>
  <si>
    <t xml:space="preserve">مدخل محايل</t>
  </si>
  <si>
    <t xml:space="preserve">العريفي</t>
  </si>
  <si>
    <t xml:space="preserve">المودة</t>
  </si>
  <si>
    <t xml:space="preserve">القسوم</t>
  </si>
  <si>
    <t xml:space="preserve">مسارات صامطة</t>
  </si>
  <si>
    <t xml:space="preserve">الاطاولة القرى</t>
  </si>
  <si>
    <t xml:space="preserve">المركب</t>
  </si>
  <si>
    <t xml:space="preserve">الإجمالي / المتوسط</t>
  </si>
  <si>
    <t xml:space="preserve">ما نملكه وما ينقصنا</t>
  </si>
  <si>
    <t xml:space="preserve">محسوب من البيانات: اللترات · الرحلات · لتر لكل رحلة · سعة الخزانات · الدوران · أيام المخزون · مصدر التوريد. وينقصنا خمسة مُدخلات فقط لإكمال المعادلة: سعر شراء المنتج · أجرة الرحلة لكل مسار · التشغيل الشهري لكل محطة · كلفة رأس المال · نسبة الفاقد. كلها تُعبّأ في الخانات الصفراء أعلاه فتُحسب التكلفة لكل محطة تلقائياً.</t>
  </si>
  <si>
    <t xml:space="preserve">لماذا لا يوجد توفير في حجم الحمولة</t>
  </si>
  <si>
    <t xml:space="preserve">كل رحلة في الـ8,059 طلباً حمولة كاملة (31,671–32,992 لتر). أي أن أجرة الرحلة تُقسَّم على نفس العدد تقريباً في كل محطة — فتكلفة النقل للتر تتحدد بالمسافة وحدها لا بكفاءة التحميل. وهذه نتيجة مهمة: أي مبادرة «تحسين تحميل» بلا أثر.</t>
  </si>
  <si>
    <t xml:space="preserve">رأس المال المحتجز هو الفارق الحقيقي</t>
  </si>
  <si>
    <t xml:space="preserve">الدوران يتراوح من 73.8 مرة (النورية — 2.5 يوم مخزون) إلى 4.2 مرة (القسوم — 43.5 يوماً). ومحطة بخزانات 900 ألف لتر ودوران 16.9 تحتجز رأس مال أضعاف محطة بخزانات 224 ألفاً ودوران 51.7. هذا البند وحده قد يقلب ترتيب ربحية المحطات.</t>
  </si>
  <si>
    <t xml:space="preserve">تركّز مصدر التوريد</t>
  </si>
  <si>
    <t xml:space="preserve">85.3% من اللترات تأتي من «شمال جدة». هذا يبسّط التفاوض على أجرة النقل — لكنه يعني أيضاً أن أي انقطاع أو تغيّر سعري في هذا المصدر يمسّ أربعة أخماس الشبكة دفعة واحدة.</t>
  </si>
  <si>
    <t xml:space="preserve">العمالة — أكبر بند تشغيلي</t>
  </si>
  <si>
    <t xml:space="preserve">عمود «عمال فعلي» يُعبّأ من الموارد البشرية، و«عمال مطلوب» يُحسب تلقائياً من الزيارات اليومية مقسومة على إنتاجية العامل. الفارق بينهما هو ما يكشف المحطات الزائدة أو الناقصة عمالةً. وإن تُرك «الفعلي» فارغاً استُخدم «المطلوب» في حساب التكلفة. تنبيه: الشبكة لها ذروتان — الساعة 17 (30 محطة) والساعة 21 (13 محطة) — فجدولة الورديات على ذروة واحدة تترك الثانية مكشوفة.</t>
  </si>
  <si>
    <t xml:space="preserve">🎯 هدف الربح 15 هللة</t>
  </si>
  <si>
    <t xml:space="preserve">الهدف مُدخل في الخانة الصفراء، والنموذج يقارن به ربح كل محطة ويصدر حكماً. الربح = سعر البيع المرجّح (من مزيج المحطة بالأسعار المقننة) ناقص التكلفة الكاملة. وسعر الشراء يُرجّح بمزيج كل محطة أيضاً — فمحطة ديزلها 64% تشتري وتبيع بأسعار مختلفة تماماً عن محطة بنزينها 90%، ومقارنتهما بسعر واحد تعطي نتيجة خاطئة.</t>
  </si>
  <si>
    <t xml:space="preserve">الرافعات الخمس لسدّ الفجوة عن الهدف</t>
  </si>
  <si>
    <t xml:space="preserve">بترتيب حجمها في نموذجنا: ① النقل ~5.5 هللة (محكوم بالمسافة — قابل للتفاوض لا للإلغاء) ② الفاقد (~2 هللة عند 1.1% — لكن RY024 بـ26.9% وحدها فرصة كاملة) ③ التشغيل غير العمالة ④ العمالة ~1.3 هللة ⑤ رأس المال (ضئيل إلا في محطات المخزون البطيء). والرافعة السادسة الأكبر ليست تكلفة أصلاً: رفع اللترات يوزّع الثابت على قاعدة أكبر.</t>
  </si>
  <si>
    <t xml:space="preserve">تنبيه على النطاق</t>
  </si>
  <si>
    <t xml:space="preserve">بيانات التوريد تغطي 50 محطة فقط، والمبيعات 55، والشبكة 355. فنموذج التكلفة هذا يمثّل الجزء الموثّق لا الشبكة كاملة.</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</si>
  <si>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</si>
  <si>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</si>
  <si>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</si>
  <si>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</si>
  <si>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</si>
  <si>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</si>
  <si>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</si>
  <si>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</si>
  <si>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</si>
  <si>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</si>
  <si>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</si>
  <si>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</si>
  <si>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</si>
  <si>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</si>
  <si>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</si>
  <si>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</si>
  <si>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</si>
  <si>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</si>
  <si>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</si>
  <si>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</si>
  <si>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</si>
  <si>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</si>
  <si>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</si>
  <si>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</si>
  <si>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</si>
  <si>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</si>
  <si>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</si>
  <si>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</si>
  <si>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</si>
  <si>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</si>
  <si>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</si>
  <si>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</si>
  <si>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</si>
  <si>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</si>
  <si>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</si>
  <si>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</si>
  <si>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</si>
  <si>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</si>
  <si>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</si>
  <si>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</si>
  <si>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</si>
  <si>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</si>
  <si>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</si>
  <si>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</si>
  <si>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</si>
  <si>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</si>
  <si>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</si>
  <si>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</si>
  <si>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</si>
  <si>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</si>
  <si>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</si>
  <si>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</si>
  <si>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123</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</si>
  <si>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</si>
  <si>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</si>
  <si>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</si>
  <si>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</si>
  <si>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</si>
  <si>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</si>
  <si>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</si>
  <si>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</si>
  <si>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</si>
  <si>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</si>
  <si>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</si>
  <si>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</si>
  <si>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</si>
  <si>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</si>
  <si>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</si>
  <si>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</si>
  <si>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</si>
  <si>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</si>
  <si>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</si>
  <si>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</si>
  <si>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</si>
  <si>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</si>
  <si>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</si>
  <si>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</si>
  <si>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</si>
  <si>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</si>
  <si>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</si>
  <si>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</si>
  <si>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</si>
  <si>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</si>
  <si>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المنطقة</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</si>
  <si>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</si>
  <si>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</si>
  <si>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</si>
  <si>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</si>
  <si>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</si>
  <si>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</si>
  <si>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</si>
  <si>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التطبيق</t>
  </si>
  <si>
    <t xml:space="preserve">النقد</t>
  </si>
  <si>
    <t xml:space="preserve">الديزل</t>
  </si>
  <si>
    <t xml:space="preserve">نشاط تجاري</t>
  </si>
  <si>
    <t xml:space="preserve">MK007</t>
  </si>
  <si>
    <t xml:space="preserve">العمرة الجديدة</t>
  </si>
  <si>
    <t xml:space="preserve">مكة</t>
  </si>
  <si>
    <t xml:space="preserve">3 نشاط</t>
  </si>
  <si>
    <t xml:space="preserve">MK003</t>
  </si>
  <si>
    <t xml:space="preserve">5 نشاط</t>
  </si>
  <si>
    <t xml:space="preserve">MK004</t>
  </si>
  <si>
    <t xml:space="preserve">الطائف</t>
  </si>
  <si>
    <t xml:space="preserve">4 نشاط</t>
  </si>
  <si>
    <t xml:space="preserve">MK289</t>
  </si>
  <si>
    <t xml:space="preserve">طريق الليث - الفضيلة</t>
  </si>
  <si>
    <t xml:space="preserve">لا يوجد</t>
  </si>
  <si>
    <t xml:space="preserve">MK072</t>
  </si>
  <si>
    <t xml:space="preserve">العزيزية</t>
  </si>
  <si>
    <t xml:space="preserve">2 نشاط</t>
  </si>
  <si>
    <t xml:space="preserve">MK046</t>
  </si>
  <si>
    <t xml:space="preserve">الحليس - طريق الجنوب</t>
  </si>
  <si>
    <t xml:space="preserve">مختلط</t>
  </si>
  <si>
    <t xml:space="preserve">MK005</t>
  </si>
  <si>
    <t xml:space="preserve">الشيباني</t>
  </si>
  <si>
    <t xml:space="preserve">MK015</t>
  </si>
  <si>
    <t xml:space="preserve">النسيم</t>
  </si>
  <si>
    <t xml:space="preserve">MK047</t>
  </si>
  <si>
    <t xml:space="preserve">MK028</t>
  </si>
  <si>
    <t xml:space="preserve">أحلى مساء</t>
  </si>
  <si>
    <t xml:space="preserve">MK029</t>
  </si>
  <si>
    <t xml:space="preserve">الدائري الثالث - الذكرى</t>
  </si>
  <si>
    <t xml:space="preserve">MK033</t>
  </si>
  <si>
    <t xml:space="preserve">أبو وافي العمرة</t>
  </si>
  <si>
    <t xml:space="preserve">RY075</t>
  </si>
  <si>
    <t xml:space="preserve">الدائري الشمالي</t>
  </si>
  <si>
    <t xml:space="preserve">MK006</t>
  </si>
  <si>
    <t xml:space="preserve">جنوب الطائف</t>
  </si>
  <si>
    <t xml:space="preserve">MK001</t>
  </si>
  <si>
    <t xml:space="preserve">JA092</t>
  </si>
  <si>
    <t xml:space="preserve">الصفا - أحد المسارحة</t>
  </si>
  <si>
    <t xml:space="preserve">MK008</t>
  </si>
  <si>
    <t xml:space="preserve">الحسينية</t>
  </si>
  <si>
    <t xml:space="preserve">حي</t>
  </si>
  <si>
    <t xml:space="preserve">MK016</t>
  </si>
  <si>
    <t xml:space="preserve">MK210</t>
  </si>
  <si>
    <t xml:space="preserve">الفلاح - فلسطين</t>
  </si>
  <si>
    <t xml:space="preserve">MK017</t>
  </si>
  <si>
    <t xml:space="preserve">MK020</t>
  </si>
  <si>
    <t xml:space="preserve">MK063</t>
  </si>
  <si>
    <t xml:space="preserve">السواط - شهار</t>
  </si>
  <si>
    <t xml:space="preserve">MK064</t>
  </si>
  <si>
    <t xml:space="preserve">الجعرانة</t>
  </si>
  <si>
    <t xml:space="preserve">MK035</t>
  </si>
  <si>
    <t xml:space="preserve">الجمعية الوسام</t>
  </si>
  <si>
    <t xml:space="preserve">1 نشاط</t>
  </si>
  <si>
    <t xml:space="preserve">MK054</t>
  </si>
  <si>
    <t xml:space="preserve">طريق السيل</t>
  </si>
  <si>
    <t xml:space="preserve">MK022</t>
  </si>
  <si>
    <t xml:space="preserve">بطحاء قريش 1</t>
  </si>
  <si>
    <t xml:space="preserve">MK018</t>
  </si>
  <si>
    <t xml:space="preserve">الرصيفة المسار</t>
  </si>
  <si>
    <t xml:space="preserve">RY025</t>
  </si>
  <si>
    <t xml:space="preserve">الحمرا - طريق الملك عبدالله</t>
  </si>
  <si>
    <t xml:space="preserve">AS153</t>
  </si>
  <si>
    <t xml:space="preserve">عسير</t>
  </si>
  <si>
    <t xml:space="preserve">JA069</t>
  </si>
  <si>
    <t xml:space="preserve">MK014</t>
  </si>
  <si>
    <t xml:space="preserve">MK002</t>
  </si>
  <si>
    <t xml:space="preserve">MK068</t>
  </si>
  <si>
    <t xml:space="preserve">الجموم - الكنيدري</t>
  </si>
  <si>
    <t xml:space="preserve">JA348</t>
  </si>
  <si>
    <t xml:space="preserve">جنوب صبيا</t>
  </si>
  <si>
    <t xml:space="preserve">MK071</t>
  </si>
  <si>
    <t xml:space="preserve">الأجاويد</t>
  </si>
  <si>
    <t xml:space="preserve">MK084</t>
  </si>
  <si>
    <t xml:space="preserve">الكر النازل</t>
  </si>
  <si>
    <t xml:space="preserve">JA061</t>
  </si>
  <si>
    <t xml:space="preserve">طريق صبيا</t>
  </si>
  <si>
    <t xml:space="preserve">MK023</t>
  </si>
  <si>
    <t xml:space="preserve">بن درويش</t>
  </si>
  <si>
    <t xml:space="preserve">JA041</t>
  </si>
  <si>
    <t xml:space="preserve">القسوم - أحد المسارحة</t>
  </si>
  <si>
    <t xml:space="preserve">MK093</t>
  </si>
  <si>
    <t xml:space="preserve">الملك خالد</t>
  </si>
  <si>
    <t xml:space="preserve">EP051</t>
  </si>
  <si>
    <t xml:space="preserve">الشرقية</t>
  </si>
  <si>
    <t xml:space="preserve">QS055</t>
  </si>
  <si>
    <t xml:space="preserve">القصيم</t>
  </si>
  <si>
    <t xml:space="preserve">MK031</t>
  </si>
  <si>
    <t xml:space="preserve">بطحاء قريش 2</t>
  </si>
  <si>
    <t xml:space="preserve">JA053</t>
  </si>
  <si>
    <t xml:space="preserve">نائية</t>
  </si>
  <si>
    <t xml:space="preserve">RY024</t>
  </si>
  <si>
    <t xml:space="preserve">غرناطة - طريق الملك عبدالله</t>
  </si>
  <si>
    <t xml:space="preserve">RY042</t>
  </si>
  <si>
    <t xml:space="preserve">الناصفة</t>
  </si>
  <si>
    <t xml:space="preserve">MK019</t>
  </si>
  <si>
    <t xml:space="preserve">الشرايع</t>
  </si>
  <si>
    <t xml:space="preserve">MK323</t>
  </si>
  <si>
    <t xml:space="preserve">جبل ثور - جوهرة النسيم</t>
  </si>
  <si>
    <t xml:space="preserve">MK099</t>
  </si>
  <si>
    <t xml:space="preserve">البيعة</t>
  </si>
  <si>
    <t xml:space="preserve">MK100</t>
  </si>
  <si>
    <t xml:space="preserve">HA043</t>
  </si>
  <si>
    <t xml:space="preserve">JA056</t>
  </si>
  <si>
    <t xml:space="preserve">الروابي - المودة</t>
  </si>
  <si>
    <t xml:space="preserve">JA060</t>
  </si>
  <si>
    <t xml:space="preserve">صناعية صامطة</t>
  </si>
  <si>
    <t xml:space="preserve">MD009</t>
  </si>
  <si>
    <t xml:space="preserve">NJ219</t>
  </si>
  <si>
    <t xml:space="preserve">نجران</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</si>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</sst>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15">
    <numFmt numFmtId="164" formatCode="General"/>
    <numFmt numFmtId="165" formatCode="#,##0"/>
    <numFmt numFmtId="166" formatCode="0.00%"/>
    <numFmt numFmtId="167" formatCode="\+#,##0;\-#,##0;\-"/>
    <numFmt numFmtId="168" formatCode="0.0%"/>
    <numFmt numFmtId="169" formatCode="0%"/>
    <numFmt numFmtId="170" formatCode="#,##0.0"/>
    <numFmt numFmtId="171" formatCode="0.00"/>
    <numFmt numFmtId="172" formatCode="0.0"/>
    <numFmt numFmtId="173" formatCode="\+0.0%;\-0.0%;&quot;لا بيانات&quot;"/>
    <numFmt numFmtId="174" formatCode="0.000"/>
    <numFmt numFmtId="175" formatCode="0.0000"/>
    <numFmt numFmtId="176" formatCode="\+0.0000;\-0.0000"/>
    <numFmt numFmtId="177" formatCode="#,##0.00"/>
    <numFmt numFmtId="178" formatCode="yyyy\-mm\-dd"/>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b val="true"/>
      <sz val="11"/>
      <color rgb="FF1F3864"/>
      <name val="Arial"/>
      <family val="0"/>
      <charset val="1"/>
    </font>
    <font>
      <sz val="9"/>
      <color rgb="FF44546A"/>
      <name val="Arial"/>
      <family val="0"/>
      <charset val="1"/>
    </font>
    <font>
      <b val="true"/>
      <sz val="12"/>
      <color rgb="FFC00000"/>
      <name val="Arial"/>
      <family val="0"/>
      <charset val="1"/>
    </font>
    <font>
      <sz val="9"/>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73" fontId="7" fillId="4" borderId="1" xfId="0" applyFont="true" applyBorder="true" applyAlignment="true" applyProtection="false">
      <alignment horizontal="center" vertical="center" textRotation="0" wrapText="true" indent="0" shrinkToFit="false" readingOrder="2"/>
      <protection locked="true" hidden="false"/>
    </xf>
    <xf numFmtId="173" fontId="7" fillId="6" borderId="1" xfId="0" applyFont="true" applyBorder="true" applyAlignment="true" applyProtection="false">
      <alignment horizontal="center" vertical="center" textRotation="0" wrapText="true" indent="0" shrinkToFit="false" readingOrder="2"/>
      <protection locked="true" hidden="false"/>
    </xf>
    <xf numFmtId="173" fontId="7" fillId="8"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top" textRotation="0" wrapText="true" indent="0" shrinkToFit="false" readingOrder="2"/>
      <protection locked="true" hidden="false"/>
    </xf>
    <xf numFmtId="164" fontId="5" fillId="0" borderId="0" xfId="0" applyFont="true" applyBorder="true" applyAlignment="true" applyProtection="false">
      <alignment horizontal="right" vertical="top" textRotation="0" wrapText="true" indent="0" shrinkToFit="false" readingOrder="2"/>
      <protection locked="true" hidden="false"/>
    </xf>
    <xf numFmtId="174" fontId="8" fillId="2"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75" fontId="7" fillId="0" borderId="1" xfId="0" applyFont="true" applyBorder="true" applyAlignment="true" applyProtection="false">
      <alignment horizontal="center" vertical="center" textRotation="0" wrapText="true" indent="0" shrinkToFit="false" readingOrder="2"/>
      <protection locked="true" hidden="false"/>
    </xf>
    <xf numFmtId="165" fontId="7" fillId="8" borderId="1" xfId="0" applyFont="true" applyBorder="true" applyAlignment="true" applyProtection="false">
      <alignment horizontal="center" vertical="center" textRotation="0" wrapText="true" indent="0" shrinkToFit="false" readingOrder="2"/>
      <protection locked="true" hidden="false"/>
    </xf>
    <xf numFmtId="175" fontId="7" fillId="10" borderId="1" xfId="0" applyFont="true" applyBorder="true" applyAlignment="true" applyProtection="false">
      <alignment horizontal="center" vertical="center" textRotation="0" wrapText="true" indent="0" shrinkToFit="false" readingOrder="2"/>
      <protection locked="true" hidden="false"/>
    </xf>
    <xf numFmtId="176" fontId="7" fillId="0" borderId="1" xfId="0" applyFont="true" applyBorder="true" applyAlignment="true" applyProtection="false">
      <alignment horizontal="center" vertical="center" textRotation="0" wrapText="true" indent="0" shrinkToFit="false" readingOrder="2"/>
      <protection locked="true" hidden="false"/>
    </xf>
    <xf numFmtId="175" fontId="6" fillId="10"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77" fontId="7" fillId="0" borderId="1" xfId="0" applyFont="true" applyBorder="true" applyAlignment="true" applyProtection="false">
      <alignment horizontal="center" vertical="center" textRotation="0" wrapText="true" indent="0" shrinkToFit="false" readingOrder="2"/>
      <protection locked="true" hidden="false"/>
    </xf>
    <xf numFmtId="177"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77" fontId="9" fillId="0" borderId="1" xfId="0" applyFont="true" applyBorder="true" applyAlignment="true" applyProtection="false">
      <alignment horizontal="center" vertical="center" textRotation="0" wrapText="true" indent="0" shrinkToFit="false" readingOrder="2"/>
      <protection locked="true" hidden="false"/>
    </xf>
    <xf numFmtId="178"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78"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20"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9" t="s">
        <v>33</v>
      </c>
      <c r="C21" s="10" t="s">
        <v>34</v>
      </c>
    </row>
    <row r="22" customFormat="false" ht="15" hidden="false" customHeight="false" outlineLevel="0" collapsed="false">
      <c r="B22" s="11" t="s">
        <v>35</v>
      </c>
      <c r="C22" s="10" t="s">
        <v>36</v>
      </c>
    </row>
    <row r="23" customFormat="false" ht="15" hidden="false" customHeight="false" outlineLevel="0" collapsed="false">
      <c r="B23" s="12" t="s">
        <v>37</v>
      </c>
      <c r="C23" s="10" t="s">
        <v>38</v>
      </c>
    </row>
    <row r="24" customFormat="false" ht="15" hidden="false" customHeight="false" outlineLevel="0" collapsed="false">
      <c r="B24" s="13" t="s">
        <v>39</v>
      </c>
      <c r="C24" s="10" t="s">
        <v>40</v>
      </c>
    </row>
    <row r="25" customFormat="false" ht="15" hidden="false" customHeight="false" outlineLevel="0" collapsed="false">
      <c r="B25" s="14" t="s">
        <v>41</v>
      </c>
      <c r="C25" s="10" t="s">
        <v>42</v>
      </c>
    </row>
    <row r="27" customFormat="false" ht="45.75" hidden="false" customHeight="true" outlineLevel="0" collapsed="false">
      <c r="B27" s="3" t="s">
        <v>43</v>
      </c>
      <c r="C27" s="4" t="s">
        <v>44</v>
      </c>
    </row>
    <row r="28" customFormat="false" ht="31.5" hidden="false" customHeight="true" outlineLevel="0" collapsed="false">
      <c r="B28" s="3" t="s">
        <v>45</v>
      </c>
      <c r="C28" s="4" t="s">
        <v>46</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47</v>
      </c>
      <c r="B1" s="1"/>
      <c r="C1" s="1"/>
      <c r="D1" s="1"/>
      <c r="E1" s="1"/>
      <c r="F1" s="1"/>
      <c r="G1" s="1"/>
      <c r="H1" s="1"/>
      <c r="I1" s="1"/>
      <c r="J1" s="1"/>
      <c r="K1" s="1"/>
      <c r="L1" s="1"/>
    </row>
    <row r="2" customFormat="false" ht="18" hidden="false" customHeight="true" outlineLevel="0" collapsed="false">
      <c r="A2" s="2" t="s">
        <v>48</v>
      </c>
      <c r="B2" s="2"/>
      <c r="C2" s="2"/>
      <c r="D2" s="2"/>
      <c r="E2" s="2"/>
      <c r="F2" s="2"/>
      <c r="G2" s="2"/>
      <c r="H2" s="2"/>
      <c r="I2" s="2"/>
      <c r="J2" s="2"/>
      <c r="K2" s="2"/>
      <c r="L2" s="2"/>
    </row>
    <row r="3" customFormat="false" ht="31.5" hidden="false" customHeight="true" outlineLevel="0" collapsed="false">
      <c r="A3" s="15" t="s">
        <v>49</v>
      </c>
      <c r="B3" s="15" t="s">
        <v>50</v>
      </c>
      <c r="C3" s="15" t="s">
        <v>51</v>
      </c>
      <c r="D3" s="15" t="s">
        <v>52</v>
      </c>
      <c r="E3" s="15" t="s">
        <v>53</v>
      </c>
      <c r="F3" s="15" t="s">
        <v>54</v>
      </c>
      <c r="G3" s="15" t="s">
        <v>55</v>
      </c>
      <c r="H3" s="15" t="s">
        <v>56</v>
      </c>
      <c r="I3" s="15" t="s">
        <v>57</v>
      </c>
      <c r="J3" s="15" t="s">
        <v>58</v>
      </c>
      <c r="K3" s="15" t="s">
        <v>59</v>
      </c>
      <c r="L3" s="15" t="s">
        <v>60</v>
      </c>
    </row>
    <row r="4" customFormat="false" ht="33.75" hidden="false" customHeight="true" outlineLevel="0" collapsed="false">
      <c r="A4" s="16" t="n">
        <v>1</v>
      </c>
      <c r="B4" s="17" t="s">
        <v>61</v>
      </c>
      <c r="C4" s="18" t="s">
        <v>33</v>
      </c>
      <c r="D4" s="19" t="s">
        <v>35</v>
      </c>
      <c r="E4" s="20" t="s">
        <v>37</v>
      </c>
      <c r="F4" s="21" t="s">
        <v>51</v>
      </c>
      <c r="G4" s="16" t="s">
        <v>62</v>
      </c>
      <c r="H4" s="16" t="s">
        <v>63</v>
      </c>
      <c r="I4" s="16" t="s">
        <v>64</v>
      </c>
      <c r="J4" s="16" t="s">
        <v>65</v>
      </c>
      <c r="K4" s="16" t="s">
        <v>66</v>
      </c>
      <c r="L4" s="21"/>
    </row>
    <row r="5" customFormat="false" ht="33.75" hidden="false" customHeight="true" outlineLevel="0" collapsed="false">
      <c r="A5" s="16" t="n">
        <v>2</v>
      </c>
      <c r="B5" s="17" t="s">
        <v>67</v>
      </c>
      <c r="C5" s="22" t="s">
        <v>41</v>
      </c>
      <c r="D5" s="18" t="s">
        <v>33</v>
      </c>
      <c r="E5" s="23" t="s">
        <v>39</v>
      </c>
      <c r="F5" s="21" t="s">
        <v>53</v>
      </c>
      <c r="G5" s="16" t="s">
        <v>68</v>
      </c>
      <c r="H5" s="16" t="s">
        <v>69</v>
      </c>
      <c r="I5" s="16" t="s">
        <v>70</v>
      </c>
      <c r="J5" s="16" t="s">
        <v>71</v>
      </c>
      <c r="K5" s="16" t="s">
        <v>72</v>
      </c>
      <c r="L5" s="21" t="n">
        <v>1</v>
      </c>
    </row>
    <row r="6" customFormat="false" ht="33.75" hidden="false" customHeight="true" outlineLevel="0" collapsed="false">
      <c r="A6" s="16" t="n">
        <v>3</v>
      </c>
      <c r="B6" s="17" t="s">
        <v>73</v>
      </c>
      <c r="C6" s="18" t="s">
        <v>33</v>
      </c>
      <c r="D6" s="20" t="s">
        <v>37</v>
      </c>
      <c r="E6" s="20" t="s">
        <v>37</v>
      </c>
      <c r="F6" s="21" t="s">
        <v>52</v>
      </c>
      <c r="G6" s="16" t="s">
        <v>74</v>
      </c>
      <c r="H6" s="16" t="s">
        <v>75</v>
      </c>
      <c r="I6" s="16" t="s">
        <v>76</v>
      </c>
      <c r="J6" s="16" t="s">
        <v>77</v>
      </c>
      <c r="K6" s="16" t="s">
        <v>78</v>
      </c>
      <c r="L6" s="21" t="n">
        <v>4</v>
      </c>
    </row>
    <row r="7" customFormat="false" ht="33.75" hidden="false" customHeight="true" outlineLevel="0" collapsed="false">
      <c r="A7" s="16" t="n">
        <v>4</v>
      </c>
      <c r="B7" s="17" t="s">
        <v>79</v>
      </c>
      <c r="C7" s="20" t="s">
        <v>37</v>
      </c>
      <c r="D7" s="20" t="s">
        <v>37</v>
      </c>
      <c r="E7" s="22" t="s">
        <v>41</v>
      </c>
      <c r="F7" s="21" t="s">
        <v>51</v>
      </c>
      <c r="G7" s="16" t="s">
        <v>68</v>
      </c>
      <c r="H7" s="16" t="s">
        <v>80</v>
      </c>
      <c r="I7" s="16" t="s">
        <v>81</v>
      </c>
      <c r="J7" s="16" t="s">
        <v>82</v>
      </c>
      <c r="K7" s="16" t="s">
        <v>72</v>
      </c>
      <c r="L7" s="21"/>
    </row>
    <row r="8" customFormat="false" ht="33.75" hidden="false" customHeight="true" outlineLevel="0" collapsed="false">
      <c r="A8" s="16" t="n">
        <v>5</v>
      </c>
      <c r="B8" s="17" t="s">
        <v>83</v>
      </c>
      <c r="C8" s="19" t="s">
        <v>35</v>
      </c>
      <c r="D8" s="22" t="s">
        <v>41</v>
      </c>
      <c r="E8" s="23" t="s">
        <v>39</v>
      </c>
      <c r="F8" s="21" t="s">
        <v>53</v>
      </c>
      <c r="G8" s="16" t="s">
        <v>84</v>
      </c>
      <c r="H8" s="16" t="s">
        <v>85</v>
      </c>
      <c r="I8" s="16" t="s">
        <v>86</v>
      </c>
      <c r="J8" s="16" t="s">
        <v>87</v>
      </c>
      <c r="K8" s="16" t="s">
        <v>88</v>
      </c>
      <c r="L8" s="21" t="n">
        <v>6</v>
      </c>
    </row>
    <row r="9" customFormat="false" ht="33.75" hidden="false" customHeight="true" outlineLevel="0" collapsed="false">
      <c r="A9" s="16" t="n">
        <v>6</v>
      </c>
      <c r="B9" s="17" t="s">
        <v>89</v>
      </c>
      <c r="C9" s="22" t="s">
        <v>41</v>
      </c>
      <c r="D9" s="20" t="s">
        <v>37</v>
      </c>
      <c r="E9" s="20" t="s">
        <v>37</v>
      </c>
      <c r="F9" s="21" t="s">
        <v>53</v>
      </c>
      <c r="G9" s="16" t="s">
        <v>90</v>
      </c>
      <c r="H9" s="16" t="s">
        <v>91</v>
      </c>
      <c r="I9" s="16" t="s">
        <v>92</v>
      </c>
      <c r="J9" s="16" t="s">
        <v>93</v>
      </c>
      <c r="K9" s="16" t="s">
        <v>78</v>
      </c>
      <c r="L9" s="21" t="n">
        <v>3</v>
      </c>
    </row>
    <row r="10" customFormat="false" ht="33.75" hidden="false" customHeight="true" outlineLevel="0" collapsed="false">
      <c r="A10" s="16" t="n">
        <v>7</v>
      </c>
      <c r="B10" s="17" t="s">
        <v>94</v>
      </c>
      <c r="C10" s="22" t="s">
        <v>41</v>
      </c>
      <c r="D10" s="20" t="s">
        <v>37</v>
      </c>
      <c r="E10" s="20" t="s">
        <v>37</v>
      </c>
      <c r="F10" s="21" t="s">
        <v>95</v>
      </c>
      <c r="G10" s="16" t="s">
        <v>96</v>
      </c>
      <c r="H10" s="16" t="s">
        <v>97</v>
      </c>
      <c r="I10" s="16" t="s">
        <v>98</v>
      </c>
      <c r="J10" s="16" t="s">
        <v>99</v>
      </c>
      <c r="K10" s="16" t="s">
        <v>88</v>
      </c>
      <c r="L10" s="21" t="n">
        <v>2</v>
      </c>
    </row>
    <row r="11" customFormat="false" ht="33.75" hidden="false" customHeight="true" outlineLevel="0" collapsed="false">
      <c r="A11" s="16" t="n">
        <v>8</v>
      </c>
      <c r="B11" s="17" t="s">
        <v>100</v>
      </c>
      <c r="C11" s="22" t="s">
        <v>41</v>
      </c>
      <c r="D11" s="19" t="s">
        <v>35</v>
      </c>
      <c r="E11" s="22" t="s">
        <v>41</v>
      </c>
      <c r="F11" s="21" t="s">
        <v>52</v>
      </c>
      <c r="G11" s="16" t="s">
        <v>62</v>
      </c>
      <c r="H11" s="16" t="s">
        <v>101</v>
      </c>
      <c r="I11" s="16" t="s">
        <v>102</v>
      </c>
      <c r="J11" s="16" t="s">
        <v>103</v>
      </c>
      <c r="K11" s="16" t="s">
        <v>78</v>
      </c>
      <c r="L11" s="21" t="n">
        <v>5</v>
      </c>
    </row>
    <row r="12" customFormat="false" ht="33.75" hidden="false" customHeight="true" outlineLevel="0" collapsed="false">
      <c r="A12" s="16" t="n">
        <v>9</v>
      </c>
      <c r="B12" s="17" t="s">
        <v>104</v>
      </c>
      <c r="C12" s="22" t="s">
        <v>41</v>
      </c>
      <c r="D12" s="22" t="s">
        <v>41</v>
      </c>
      <c r="E12" s="22" t="s">
        <v>41</v>
      </c>
      <c r="F12" s="21" t="s">
        <v>105</v>
      </c>
      <c r="G12" s="16" t="s">
        <v>106</v>
      </c>
      <c r="H12" s="16" t="s">
        <v>107</v>
      </c>
      <c r="I12" s="16" t="s">
        <v>105</v>
      </c>
      <c r="J12" s="16" t="s">
        <v>108</v>
      </c>
      <c r="K12" s="16" t="s">
        <v>105</v>
      </c>
      <c r="L12" s="21"/>
    </row>
    <row r="13" customFormat="false" ht="33.75" hidden="false" customHeight="true" outlineLevel="0" collapsed="false">
      <c r="A13" s="16" t="n">
        <v>10</v>
      </c>
      <c r="B13" s="17" t="s">
        <v>109</v>
      </c>
      <c r="C13" s="22" t="s">
        <v>41</v>
      </c>
      <c r="D13" s="20" t="s">
        <v>37</v>
      </c>
      <c r="E13" s="22" t="s">
        <v>41</v>
      </c>
      <c r="F13" s="21" t="s">
        <v>52</v>
      </c>
      <c r="G13" s="16" t="s">
        <v>110</v>
      </c>
      <c r="H13" s="16" t="s">
        <v>111</v>
      </c>
      <c r="I13" s="16" t="s">
        <v>81</v>
      </c>
      <c r="J13" s="16" t="s">
        <v>112</v>
      </c>
      <c r="K13" s="16" t="s">
        <v>66</v>
      </c>
      <c r="L13" s="21"/>
    </row>
    <row r="14" customFormat="false" ht="33.75" hidden="false" customHeight="true" outlineLevel="0" collapsed="false">
      <c r="A14" s="16" t="n">
        <v>11</v>
      </c>
      <c r="B14" s="17" t="s">
        <v>113</v>
      </c>
      <c r="C14" s="22" t="s">
        <v>41</v>
      </c>
      <c r="D14" s="19" t="s">
        <v>35</v>
      </c>
      <c r="E14" s="22" t="s">
        <v>41</v>
      </c>
      <c r="F14" s="21" t="s">
        <v>52</v>
      </c>
      <c r="G14" s="16" t="s">
        <v>114</v>
      </c>
      <c r="H14" s="16" t="s">
        <v>115</v>
      </c>
      <c r="I14" s="16" t="s">
        <v>116</v>
      </c>
      <c r="J14" s="16" t="s">
        <v>117</v>
      </c>
      <c r="K14" s="16" t="s">
        <v>78</v>
      </c>
      <c r="L14" s="21"/>
    </row>
    <row r="15" customFormat="false" ht="33.75" hidden="false" customHeight="true" outlineLevel="0" collapsed="false">
      <c r="A15" s="16" t="n">
        <v>12</v>
      </c>
      <c r="B15" s="17" t="s">
        <v>118</v>
      </c>
      <c r="C15" s="22" t="s">
        <v>41</v>
      </c>
      <c r="D15" s="20" t="s">
        <v>37</v>
      </c>
      <c r="E15" s="22" t="s">
        <v>41</v>
      </c>
      <c r="F15" s="21" t="s">
        <v>52</v>
      </c>
      <c r="G15" s="16" t="s">
        <v>119</v>
      </c>
      <c r="H15" s="16" t="s">
        <v>120</v>
      </c>
      <c r="I15" s="16" t="s">
        <v>121</v>
      </c>
      <c r="J15" s="16" t="s">
        <v>122</v>
      </c>
      <c r="K15" s="16" t="s">
        <v>72</v>
      </c>
      <c r="L15" s="21"/>
    </row>
    <row r="16" customFormat="false" ht="15" hidden="false" customHeight="false" outlineLevel="0" collapsed="false">
      <c r="B16" s="24" t="s">
        <v>123</v>
      </c>
      <c r="C16" s="21" t="str">
        <f aca="false">COUNTIF(C4:C15,"قائم")&amp;" قائم / "&amp;COUNTIF(C4:C15,"غائب")&amp;" غائب"</f>
        <v>2 قائم / 1 غائب</v>
      </c>
      <c r="D16" s="21" t="str">
        <f aca="false">COUNTIF(D4:D15,"قائم")&amp;" قائم / "&amp;COUNTIF(D4:D15,"غائب")&amp;" غائب"</f>
        <v>1 قائم / 6 غائب</v>
      </c>
      <c r="E16" s="21" t="str">
        <f aca="false">COUNTIF(E4:E15,"قائم")&amp;" قائم / "&amp;COUNTIF(E4:E15,"غائب")&amp;" غائب"</f>
        <v>0 قائم / 4 غائب</v>
      </c>
    </row>
    <row r="18" customFormat="false" ht="15" hidden="false" customHeight="false" outlineLevel="0" collapsed="false">
      <c r="B18" s="25" t="s">
        <v>124</v>
      </c>
      <c r="C18" s="25"/>
      <c r="D18" s="25"/>
      <c r="E18" s="25"/>
      <c r="F18" s="25"/>
      <c r="G18" s="25"/>
      <c r="H18" s="25"/>
      <c r="I18" s="25"/>
      <c r="J18" s="25"/>
    </row>
    <row r="19" customFormat="false" ht="15" hidden="false" customHeight="false" outlineLevel="0" collapsed="false">
      <c r="B19" s="25" t="s">
        <v>125</v>
      </c>
      <c r="C19" s="25"/>
      <c r="D19" s="25"/>
      <c r="E19" s="25"/>
      <c r="F19" s="25"/>
      <c r="G19" s="25"/>
      <c r="H19" s="25"/>
      <c r="I19" s="25"/>
      <c r="J19" s="25"/>
    </row>
    <row r="20" customFormat="false" ht="15" hidden="false" customHeight="false" outlineLevel="0" collapsed="false">
      <c r="B20" s="25" t="s">
        <v>126</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127</v>
      </c>
      <c r="B1" s="1"/>
      <c r="C1" s="1"/>
      <c r="D1" s="1"/>
      <c r="E1" s="1"/>
      <c r="F1" s="1"/>
      <c r="G1" s="1"/>
      <c r="H1" s="1"/>
      <c r="I1" s="1"/>
    </row>
    <row r="2" customFormat="false" ht="18" hidden="false" customHeight="true" outlineLevel="0" collapsed="false">
      <c r="A2" s="2" t="s">
        <v>128</v>
      </c>
      <c r="B2" s="2"/>
      <c r="C2" s="2"/>
      <c r="D2" s="2"/>
      <c r="E2" s="2"/>
      <c r="F2" s="2"/>
      <c r="G2" s="2"/>
      <c r="H2" s="2"/>
      <c r="I2" s="2"/>
    </row>
    <row r="3" customFormat="false" ht="31.5" hidden="false" customHeight="true" outlineLevel="0" collapsed="false">
      <c r="A3" s="15" t="s">
        <v>49</v>
      </c>
      <c r="B3" s="15" t="s">
        <v>129</v>
      </c>
      <c r="C3" s="15" t="s">
        <v>130</v>
      </c>
      <c r="D3" s="15" t="s">
        <v>131</v>
      </c>
      <c r="E3" s="15" t="s">
        <v>132</v>
      </c>
      <c r="F3" s="15" t="s">
        <v>133</v>
      </c>
      <c r="G3" s="15" t="s">
        <v>134</v>
      </c>
      <c r="H3" s="15" t="s">
        <v>135</v>
      </c>
      <c r="I3" s="15" t="s">
        <v>45</v>
      </c>
    </row>
    <row r="4" customFormat="false" ht="61.5" hidden="false" customHeight="true" outlineLevel="0" collapsed="false">
      <c r="A4" s="21" t="n">
        <v>1</v>
      </c>
      <c r="B4" s="17" t="s">
        <v>62</v>
      </c>
      <c r="C4" s="16" t="s">
        <v>136</v>
      </c>
      <c r="D4" s="16" t="s">
        <v>137</v>
      </c>
      <c r="E4" s="16" t="s">
        <v>138</v>
      </c>
      <c r="F4" s="16" t="s">
        <v>139</v>
      </c>
      <c r="G4" s="16" t="s">
        <v>140</v>
      </c>
      <c r="H4" s="16" t="s">
        <v>141</v>
      </c>
      <c r="I4" s="16" t="s">
        <v>142</v>
      </c>
    </row>
    <row r="5" customFormat="false" ht="61.5" hidden="false" customHeight="true" outlineLevel="0" collapsed="false">
      <c r="A5" s="21" t="n">
        <v>2</v>
      </c>
      <c r="B5" s="17" t="s">
        <v>143</v>
      </c>
      <c r="C5" s="16" t="s">
        <v>144</v>
      </c>
      <c r="D5" s="16" t="s">
        <v>145</v>
      </c>
      <c r="E5" s="16" t="s">
        <v>146</v>
      </c>
      <c r="F5" s="16" t="s">
        <v>147</v>
      </c>
      <c r="G5" s="16" t="s">
        <v>148</v>
      </c>
      <c r="H5" s="16" t="s">
        <v>149</v>
      </c>
      <c r="I5" s="16" t="s">
        <v>150</v>
      </c>
    </row>
    <row r="6" customFormat="false" ht="61.5" hidden="false" customHeight="true" outlineLevel="0" collapsed="false">
      <c r="A6" s="21" t="n">
        <v>3</v>
      </c>
      <c r="B6" s="17" t="s">
        <v>74</v>
      </c>
      <c r="C6" s="16" t="s">
        <v>151</v>
      </c>
      <c r="D6" s="16" t="s">
        <v>75</v>
      </c>
      <c r="E6" s="16" t="s">
        <v>73</v>
      </c>
      <c r="F6" s="16" t="s">
        <v>152</v>
      </c>
      <c r="G6" s="16" t="s">
        <v>153</v>
      </c>
      <c r="H6" s="16" t="s">
        <v>154</v>
      </c>
      <c r="I6" s="16" t="s">
        <v>155</v>
      </c>
    </row>
    <row r="7" customFormat="false" ht="61.5" hidden="false" customHeight="true" outlineLevel="0" collapsed="false">
      <c r="A7" s="21" t="n">
        <v>4</v>
      </c>
      <c r="B7" s="17" t="s">
        <v>96</v>
      </c>
      <c r="C7" s="16" t="s">
        <v>156</v>
      </c>
      <c r="D7" s="16" t="s">
        <v>157</v>
      </c>
      <c r="E7" s="16" t="s">
        <v>94</v>
      </c>
      <c r="F7" s="16" t="s">
        <v>158</v>
      </c>
      <c r="G7" s="16" t="s">
        <v>159</v>
      </c>
      <c r="H7" s="16" t="s">
        <v>160</v>
      </c>
      <c r="I7" s="16" t="s">
        <v>155</v>
      </c>
    </row>
    <row r="8" customFormat="false" ht="61.5" hidden="false" customHeight="true" outlineLevel="0" collapsed="false">
      <c r="A8" s="21" t="n">
        <v>5</v>
      </c>
      <c r="B8" s="17" t="s">
        <v>161</v>
      </c>
      <c r="C8" s="16" t="s">
        <v>162</v>
      </c>
      <c r="D8" s="16" t="s">
        <v>163</v>
      </c>
      <c r="E8" s="16" t="s">
        <v>164</v>
      </c>
      <c r="F8" s="16" t="s">
        <v>165</v>
      </c>
      <c r="G8" s="16" t="s">
        <v>166</v>
      </c>
      <c r="H8" s="16" t="s">
        <v>167</v>
      </c>
      <c r="I8" s="16" t="s">
        <v>168</v>
      </c>
    </row>
    <row r="9" customFormat="false" ht="61.5" hidden="false" customHeight="true" outlineLevel="0" collapsed="false">
      <c r="A9" s="21" t="n">
        <v>6</v>
      </c>
      <c r="B9" s="17" t="s">
        <v>169</v>
      </c>
      <c r="C9" s="16" t="s">
        <v>136</v>
      </c>
      <c r="D9" s="16" t="s">
        <v>170</v>
      </c>
      <c r="E9" s="16" t="s">
        <v>171</v>
      </c>
      <c r="F9" s="16" t="s">
        <v>172</v>
      </c>
      <c r="G9" s="16" t="s">
        <v>173</v>
      </c>
      <c r="H9" s="16" t="s">
        <v>174</v>
      </c>
      <c r="I9" s="16" t="s">
        <v>175</v>
      </c>
    </row>
    <row r="10" customFormat="false" ht="61.5" hidden="false" customHeight="true" outlineLevel="0" collapsed="false">
      <c r="A10" s="21" t="n">
        <v>9</v>
      </c>
      <c r="B10" s="17" t="s">
        <v>176</v>
      </c>
      <c r="C10" s="16" t="s">
        <v>177</v>
      </c>
      <c r="D10" s="16" t="s">
        <v>178</v>
      </c>
      <c r="E10" s="16" t="s">
        <v>179</v>
      </c>
      <c r="F10" s="16" t="s">
        <v>180</v>
      </c>
      <c r="G10" s="16" t="s">
        <v>181</v>
      </c>
      <c r="H10" s="16" t="s">
        <v>182</v>
      </c>
      <c r="I10" s="16" t="s">
        <v>183</v>
      </c>
    </row>
    <row r="11" customFormat="false" ht="61.5" hidden="false" customHeight="true" outlineLevel="0" collapsed="false">
      <c r="A11" s="21" t="n">
        <v>10</v>
      </c>
      <c r="B11" s="17" t="s">
        <v>184</v>
      </c>
      <c r="C11" s="16" t="s">
        <v>185</v>
      </c>
      <c r="D11" s="16" t="s">
        <v>186</v>
      </c>
      <c r="E11" s="16" t="s">
        <v>187</v>
      </c>
      <c r="F11" s="16" t="s">
        <v>188</v>
      </c>
      <c r="G11" s="16" t="s">
        <v>189</v>
      </c>
      <c r="H11" s="16" t="s">
        <v>190</v>
      </c>
      <c r="I11" s="16" t="s">
        <v>191</v>
      </c>
    </row>
    <row r="12" customFormat="false" ht="61.5" hidden="false" customHeight="true" outlineLevel="0" collapsed="false">
      <c r="A12" s="21" t="n">
        <v>7</v>
      </c>
      <c r="B12" s="17" t="s">
        <v>192</v>
      </c>
      <c r="C12" s="16" t="s">
        <v>144</v>
      </c>
      <c r="D12" s="16" t="s">
        <v>193</v>
      </c>
      <c r="E12" s="16" t="s">
        <v>194</v>
      </c>
      <c r="F12" s="16" t="s">
        <v>195</v>
      </c>
      <c r="G12" s="16" t="s">
        <v>196</v>
      </c>
      <c r="H12" s="16" t="s">
        <v>197</v>
      </c>
      <c r="I12" s="16" t="s">
        <v>155</v>
      </c>
    </row>
    <row r="13" customFormat="false" ht="61.5" hidden="false" customHeight="true" outlineLevel="0" collapsed="false">
      <c r="A13" s="21" t="n">
        <v>8</v>
      </c>
      <c r="B13" s="17" t="s">
        <v>198</v>
      </c>
      <c r="C13" s="16" t="s">
        <v>199</v>
      </c>
      <c r="D13" s="16" t="s">
        <v>200</v>
      </c>
      <c r="E13" s="16" t="s">
        <v>201</v>
      </c>
      <c r="F13" s="16" t="s">
        <v>202</v>
      </c>
      <c r="G13" s="16" t="s">
        <v>203</v>
      </c>
      <c r="H13" s="16" t="s">
        <v>204</v>
      </c>
      <c r="I13" s="16" t="s">
        <v>205</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206</v>
      </c>
      <c r="B1" s="1"/>
      <c r="C1" s="1"/>
      <c r="D1" s="1"/>
      <c r="E1" s="1"/>
      <c r="F1" s="1"/>
      <c r="G1" s="1"/>
      <c r="H1" s="1"/>
      <c r="I1" s="1"/>
    </row>
    <row r="2" customFormat="false" ht="18" hidden="false" customHeight="true" outlineLevel="0" collapsed="false">
      <c r="A2" s="2" t="s">
        <v>207</v>
      </c>
      <c r="B2" s="2"/>
      <c r="C2" s="2"/>
      <c r="D2" s="2"/>
      <c r="E2" s="2"/>
      <c r="F2" s="2"/>
      <c r="G2" s="2"/>
      <c r="H2" s="2"/>
      <c r="I2" s="2"/>
    </row>
    <row r="3" customFormat="false" ht="15" hidden="false" customHeight="false" outlineLevel="0" collapsed="false">
      <c r="B3" s="3" t="s">
        <v>208</v>
      </c>
      <c r="C3" s="26" t="n">
        <v>7300</v>
      </c>
      <c r="D3" s="27" t="s">
        <v>209</v>
      </c>
      <c r="E3" s="28" t="n">
        <v>7600</v>
      </c>
      <c r="F3" s="27" t="s">
        <v>210</v>
      </c>
      <c r="H3" s="29" t="s">
        <v>211</v>
      </c>
    </row>
    <row r="4" customFormat="false" ht="31.5" hidden="false" customHeight="true" outlineLevel="0" collapsed="false">
      <c r="A4" s="15" t="s">
        <v>49</v>
      </c>
      <c r="B4" s="15" t="s">
        <v>212</v>
      </c>
      <c r="C4" s="15" t="s">
        <v>213</v>
      </c>
      <c r="D4" s="15" t="s">
        <v>214</v>
      </c>
      <c r="E4" s="15" t="s">
        <v>215</v>
      </c>
      <c r="F4" s="15" t="s">
        <v>216</v>
      </c>
      <c r="G4" s="15" t="s">
        <v>217</v>
      </c>
      <c r="H4" s="15" t="s">
        <v>218</v>
      </c>
      <c r="I4" s="15" t="s">
        <v>219</v>
      </c>
    </row>
    <row r="5" customFormat="false" ht="30" hidden="false" customHeight="true" outlineLevel="0" collapsed="false">
      <c r="A5" s="21" t="n">
        <v>1</v>
      </c>
      <c r="B5" s="24" t="s">
        <v>62</v>
      </c>
      <c r="C5" s="28" t="n">
        <v>1300</v>
      </c>
      <c r="D5" s="30" t="n">
        <f aca="false">IFERROR(C5/$E$3,"")</f>
        <v>0.171052631578947</v>
      </c>
      <c r="E5" s="28" t="n">
        <v>1383</v>
      </c>
      <c r="F5" s="30" t="n">
        <f aca="false">IFERROR(E5/$C$3,"")</f>
        <v>0.189452054794521</v>
      </c>
      <c r="G5" s="31" t="n">
        <f aca="false">IF(E5="","",E5-C5)</f>
        <v>83</v>
      </c>
      <c r="H5" s="18" t="s">
        <v>220</v>
      </c>
      <c r="I5" s="16" t="s">
        <v>221</v>
      </c>
    </row>
    <row r="6" customFormat="false" ht="30" hidden="false" customHeight="true" outlineLevel="0" collapsed="false">
      <c r="A6" s="21" t="n">
        <v>2</v>
      </c>
      <c r="B6" s="24" t="s">
        <v>169</v>
      </c>
      <c r="C6" s="28" t="n">
        <v>653</v>
      </c>
      <c r="D6" s="30" t="n">
        <f aca="false">IFERROR(C6/$E$3,"")</f>
        <v>0.085921052631579</v>
      </c>
      <c r="E6" s="28" t="n">
        <v>683</v>
      </c>
      <c r="F6" s="30" t="n">
        <f aca="false">IFERROR(E6/$C$3,"")</f>
        <v>0.0935616438356164</v>
      </c>
      <c r="G6" s="31" t="n">
        <f aca="false">IF(E6="","",E6-C6)</f>
        <v>30</v>
      </c>
      <c r="H6" s="19" t="s">
        <v>222</v>
      </c>
      <c r="I6" s="16" t="s">
        <v>223</v>
      </c>
    </row>
    <row r="7" customFormat="false" ht="30" hidden="false" customHeight="true" outlineLevel="0" collapsed="false">
      <c r="A7" s="21" t="n">
        <v>3</v>
      </c>
      <c r="B7" s="24" t="s">
        <v>224</v>
      </c>
      <c r="C7" s="28" t="n">
        <v>176</v>
      </c>
      <c r="D7" s="30" t="n">
        <f aca="false">IFERROR(C7/$E$3,"")</f>
        <v>0.0231578947368421</v>
      </c>
      <c r="E7" s="21"/>
      <c r="F7" s="30" t="n">
        <f aca="false">IFERROR(E7/$C$3,"")</f>
        <v>0</v>
      </c>
      <c r="G7" s="31" t="str">
        <f aca="false">IF(E7="","",E7-C7)</f>
        <v/>
      </c>
      <c r="H7" s="22" t="s">
        <v>225</v>
      </c>
      <c r="I7" s="16" t="s">
        <v>226</v>
      </c>
    </row>
    <row r="8" customFormat="false" ht="30" hidden="false" customHeight="true" outlineLevel="0" collapsed="false">
      <c r="A8" s="21" t="n">
        <v>4</v>
      </c>
      <c r="B8" s="24" t="s">
        <v>227</v>
      </c>
      <c r="C8" s="28" t="n">
        <v>173</v>
      </c>
      <c r="D8" s="30" t="n">
        <f aca="false">IFERROR(C8/$E$3,"")</f>
        <v>0.0227631578947368</v>
      </c>
      <c r="E8" s="21"/>
      <c r="F8" s="30" t="n">
        <f aca="false">IFERROR(E8/$C$3,"")</f>
        <v>0</v>
      </c>
      <c r="G8" s="31" t="str">
        <f aca="false">IF(E8="","",E8-C8)</f>
        <v/>
      </c>
      <c r="H8" s="22" t="s">
        <v>225</v>
      </c>
      <c r="I8" s="16" t="s">
        <v>226</v>
      </c>
    </row>
    <row r="9" customFormat="false" ht="30" hidden="false" customHeight="true" outlineLevel="0" collapsed="false">
      <c r="A9" s="21" t="n">
        <v>5</v>
      </c>
      <c r="B9" s="24" t="s">
        <v>228</v>
      </c>
      <c r="C9" s="28" t="n">
        <v>154</v>
      </c>
      <c r="D9" s="30" t="n">
        <f aca="false">IFERROR(C9/$E$3,"")</f>
        <v>0.0202631578947368</v>
      </c>
      <c r="E9" s="21"/>
      <c r="F9" s="30" t="n">
        <f aca="false">IFERROR(E9/$C$3,"")</f>
        <v>0</v>
      </c>
      <c r="G9" s="31" t="str">
        <f aca="false">IF(E9="","",E9-C9)</f>
        <v/>
      </c>
      <c r="H9" s="22" t="s">
        <v>225</v>
      </c>
      <c r="I9" s="16" t="s">
        <v>229</v>
      </c>
    </row>
    <row r="10" customFormat="false" ht="15" hidden="false" customHeight="false" outlineLevel="0" collapsed="false">
      <c r="A10" s="32"/>
      <c r="B10" s="33" t="s">
        <v>230</v>
      </c>
      <c r="C10" s="34" t="n">
        <f aca="false">SUM(C5:C9)</f>
        <v>2456</v>
      </c>
      <c r="D10" s="35" t="n">
        <f aca="false">IFERROR(C10/$E$3,"")</f>
        <v>0.323157894736842</v>
      </c>
      <c r="E10" s="32"/>
      <c r="F10" s="32"/>
      <c r="G10" s="32"/>
      <c r="H10" s="32"/>
      <c r="I10" s="36" t="s">
        <v>231</v>
      </c>
    </row>
    <row r="11" customFormat="false" ht="15" hidden="false" customHeight="false" outlineLevel="0" collapsed="false">
      <c r="A11" s="21"/>
      <c r="B11" s="24" t="s">
        <v>232</v>
      </c>
      <c r="C11" s="28" t="n">
        <f aca="false">$E$3-C10</f>
        <v>5144</v>
      </c>
      <c r="D11" s="30" t="n">
        <f aca="false">IFERROR(C11/$E$3,"")</f>
        <v>0.676842105263158</v>
      </c>
      <c r="E11" s="21"/>
      <c r="F11" s="21"/>
      <c r="G11" s="21"/>
      <c r="H11" s="21"/>
      <c r="I11" s="16" t="s">
        <v>233</v>
      </c>
    </row>
    <row r="13" customFormat="false" ht="15" hidden="false" customHeight="false" outlineLevel="0" collapsed="false">
      <c r="B13" s="37" t="s">
        <v>234</v>
      </c>
    </row>
    <row r="14" customFormat="false" ht="31.5" hidden="false" customHeight="true" outlineLevel="0" collapsed="false">
      <c r="A14" s="15" t="s">
        <v>49</v>
      </c>
      <c r="B14" s="15" t="s">
        <v>235</v>
      </c>
      <c r="C14" s="15" t="s">
        <v>236</v>
      </c>
      <c r="D14" s="15" t="s">
        <v>237</v>
      </c>
      <c r="E14" s="15" t="s">
        <v>105</v>
      </c>
      <c r="F14" s="15" t="s">
        <v>105</v>
      </c>
      <c r="G14" s="15" t="s">
        <v>105</v>
      </c>
      <c r="H14" s="15" t="s">
        <v>238</v>
      </c>
      <c r="I14" s="15" t="s">
        <v>219</v>
      </c>
    </row>
    <row r="15" customFormat="false" ht="25.5" hidden="false" customHeight="true" outlineLevel="0" collapsed="false">
      <c r="A15" s="21" t="n">
        <v>1</v>
      </c>
      <c r="B15" s="24" t="s">
        <v>239</v>
      </c>
      <c r="C15" s="28" t="n">
        <v>355</v>
      </c>
      <c r="D15" s="30" t="n">
        <f aca="false">C15/$C$3</f>
        <v>0.0486301369863014</v>
      </c>
      <c r="E15" s="21"/>
      <c r="F15" s="21"/>
      <c r="G15" s="21"/>
      <c r="H15" s="21" t="s">
        <v>240</v>
      </c>
      <c r="I15" s="16" t="s">
        <v>241</v>
      </c>
    </row>
    <row r="16" customFormat="false" ht="25.5" hidden="false" customHeight="true" outlineLevel="0" collapsed="false">
      <c r="A16" s="21" t="n">
        <v>2</v>
      </c>
      <c r="B16" s="24" t="s">
        <v>242</v>
      </c>
      <c r="C16" s="28" t="n">
        <v>126</v>
      </c>
      <c r="D16" s="30" t="n">
        <f aca="false">C16/$C$3</f>
        <v>0.0172602739726027</v>
      </c>
      <c r="E16" s="21"/>
      <c r="F16" s="21"/>
      <c r="G16" s="21"/>
      <c r="H16" s="21" t="s">
        <v>243</v>
      </c>
      <c r="I16" s="16" t="s">
        <v>244</v>
      </c>
    </row>
    <row r="17" customFormat="false" ht="25.5" hidden="false" customHeight="true" outlineLevel="0" collapsed="false">
      <c r="A17" s="19" t="n">
        <v>3</v>
      </c>
      <c r="B17" s="38" t="s">
        <v>245</v>
      </c>
      <c r="C17" s="39" t="n">
        <v>80</v>
      </c>
      <c r="D17" s="40" t="n">
        <f aca="false">C17/$C$3</f>
        <v>0.010958904109589</v>
      </c>
      <c r="E17" s="19"/>
      <c r="F17" s="19"/>
      <c r="G17" s="19"/>
      <c r="H17" s="19" t="s">
        <v>246</v>
      </c>
      <c r="I17" s="41" t="s">
        <v>247</v>
      </c>
    </row>
    <row r="19" customFormat="false" ht="31.5" hidden="false" customHeight="true" outlineLevel="0" collapsed="false">
      <c r="B19" s="42" t="s">
        <v>248</v>
      </c>
      <c r="C19" s="42"/>
      <c r="D19" s="42"/>
      <c r="E19" s="42"/>
      <c r="F19" s="42"/>
      <c r="G19" s="42"/>
      <c r="H19" s="42"/>
      <c r="I19" s="42"/>
    </row>
    <row r="20" customFormat="false" ht="31.5" hidden="false" customHeight="true" outlineLevel="0" collapsed="false">
      <c r="B20" s="43" t="s">
        <v>249</v>
      </c>
      <c r="C20" s="43"/>
      <c r="D20" s="43"/>
      <c r="E20" s="43"/>
      <c r="F20" s="43"/>
      <c r="G20" s="43"/>
      <c r="H20" s="43"/>
      <c r="I20" s="43"/>
    </row>
    <row r="21" customFormat="false" ht="31.5" hidden="false" customHeight="true" outlineLevel="0" collapsed="false">
      <c r="B21" s="43" t="s">
        <v>250</v>
      </c>
      <c r="C21" s="43"/>
      <c r="D21" s="43"/>
      <c r="E21" s="43"/>
      <c r="F21" s="43"/>
      <c r="G21" s="43"/>
      <c r="H21" s="43"/>
      <c r="I21" s="43"/>
    </row>
    <row r="22" customFormat="false" ht="31.5" hidden="false" customHeight="true" outlineLevel="0" collapsed="false">
      <c r="B22" s="42" t="s">
        <v>251</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252</v>
      </c>
      <c r="B1" s="1"/>
      <c r="C1" s="1"/>
      <c r="D1" s="1"/>
      <c r="E1" s="1"/>
      <c r="F1" s="1"/>
      <c r="G1" s="1"/>
      <c r="H1" s="1"/>
      <c r="I1" s="1"/>
      <c r="J1" s="1"/>
      <c r="K1" s="1"/>
      <c r="L1" s="1"/>
      <c r="M1" s="1"/>
    </row>
    <row r="2" customFormat="false" ht="18" hidden="false" customHeight="true" outlineLevel="0" collapsed="false">
      <c r="A2" s="2" t="s">
        <v>253</v>
      </c>
      <c r="B2" s="2"/>
      <c r="C2" s="2"/>
      <c r="D2" s="2"/>
      <c r="E2" s="2"/>
      <c r="F2" s="2"/>
      <c r="G2" s="2"/>
      <c r="H2" s="2"/>
      <c r="I2" s="2"/>
      <c r="J2" s="2"/>
      <c r="K2" s="2"/>
      <c r="L2" s="2"/>
      <c r="M2" s="2"/>
    </row>
    <row r="4" customFormat="false" ht="31.5" hidden="false" customHeight="true" outlineLevel="0" collapsed="false">
      <c r="A4" s="15" t="s">
        <v>49</v>
      </c>
      <c r="B4" s="15" t="s">
        <v>254</v>
      </c>
      <c r="C4" s="15" t="s">
        <v>255</v>
      </c>
      <c r="D4" s="15" t="s">
        <v>256</v>
      </c>
      <c r="E4" s="15" t="s">
        <v>257</v>
      </c>
      <c r="F4" s="15" t="s">
        <v>258</v>
      </c>
      <c r="G4" s="15" t="s">
        <v>259</v>
      </c>
      <c r="H4" s="15" t="s">
        <v>260</v>
      </c>
      <c r="I4" s="15" t="s">
        <v>261</v>
      </c>
      <c r="J4" s="15" t="s">
        <v>262</v>
      </c>
      <c r="K4" s="15" t="s">
        <v>263</v>
      </c>
      <c r="L4" s="15" t="s">
        <v>264</v>
      </c>
      <c r="M4" s="15" t="s">
        <v>265</v>
      </c>
    </row>
    <row r="5" customFormat="false" ht="55.5" hidden="false" customHeight="true" outlineLevel="0" collapsed="false">
      <c r="A5" s="21" t="n">
        <v>1</v>
      </c>
      <c r="B5" s="44" t="s">
        <v>169</v>
      </c>
      <c r="C5" s="16" t="s">
        <v>266</v>
      </c>
      <c r="D5" s="21" t="s">
        <v>267</v>
      </c>
      <c r="E5" s="16" t="s">
        <v>268</v>
      </c>
      <c r="F5" s="28" t="n">
        <v>683</v>
      </c>
      <c r="G5" s="28" t="n">
        <v>683</v>
      </c>
      <c r="H5" s="45" t="n">
        <f aca="false">IFERROR(G5/'حصص السوق'!$C$3,"")</f>
        <v>0.0935616438356164</v>
      </c>
      <c r="I5" s="16" t="s">
        <v>269</v>
      </c>
      <c r="J5" s="16" t="s">
        <v>225</v>
      </c>
      <c r="K5" s="16" t="s">
        <v>270</v>
      </c>
      <c r="L5" s="16" t="s">
        <v>271</v>
      </c>
      <c r="M5" s="16" t="s">
        <v>272</v>
      </c>
    </row>
    <row r="6" customFormat="false" ht="55.5" hidden="false" customHeight="true" outlineLevel="0" collapsed="false">
      <c r="A6" s="21" t="n">
        <v>2</v>
      </c>
      <c r="B6" s="44" t="s">
        <v>273</v>
      </c>
      <c r="C6" s="16" t="s">
        <v>274</v>
      </c>
      <c r="D6" s="21" t="s">
        <v>267</v>
      </c>
      <c r="E6" s="16" t="s">
        <v>275</v>
      </c>
      <c r="F6" s="28" t="n">
        <v>12</v>
      </c>
      <c r="G6" s="28" t="n">
        <v>12</v>
      </c>
      <c r="H6" s="45" t="n">
        <f aca="false">IFERROR(G6/'حصص السوق'!$C$3,"")</f>
        <v>0.00164383561643836</v>
      </c>
      <c r="I6" s="16" t="s">
        <v>276</v>
      </c>
      <c r="J6" s="16" t="s">
        <v>225</v>
      </c>
      <c r="K6" s="16" t="s">
        <v>277</v>
      </c>
      <c r="L6" s="16" t="s">
        <v>278</v>
      </c>
      <c r="M6" s="16" t="s">
        <v>279</v>
      </c>
    </row>
    <row r="7" customFormat="false" ht="55.5" hidden="false" customHeight="true" outlineLevel="0" collapsed="false">
      <c r="A7" s="21" t="n">
        <v>3</v>
      </c>
      <c r="B7" s="44" t="s">
        <v>228</v>
      </c>
      <c r="C7" s="16" t="s">
        <v>280</v>
      </c>
      <c r="D7" s="21" t="s">
        <v>267</v>
      </c>
      <c r="E7" s="16" t="s">
        <v>281</v>
      </c>
      <c r="F7" s="28" t="n">
        <v>154</v>
      </c>
      <c r="G7" s="28" t="n">
        <v>154</v>
      </c>
      <c r="H7" s="45" t="n">
        <f aca="false">IFERROR(G7/'حصص السوق'!$C$3,"")</f>
        <v>0.0210958904109589</v>
      </c>
      <c r="I7" s="16" t="s">
        <v>282</v>
      </c>
      <c r="J7" s="16" t="s">
        <v>225</v>
      </c>
      <c r="K7" s="16" t="s">
        <v>283</v>
      </c>
      <c r="L7" s="16" t="s">
        <v>284</v>
      </c>
      <c r="M7" s="16" t="s">
        <v>285</v>
      </c>
    </row>
    <row r="8" customFormat="false" ht="55.5" hidden="false" customHeight="true" outlineLevel="0" collapsed="false">
      <c r="A8" s="46" t="n">
        <v>4</v>
      </c>
      <c r="B8" s="36" t="s">
        <v>286</v>
      </c>
      <c r="C8" s="47" t="s">
        <v>287</v>
      </c>
      <c r="D8" s="46" t="s">
        <v>267</v>
      </c>
      <c r="E8" s="47" t="s">
        <v>288</v>
      </c>
      <c r="F8" s="48" t="n">
        <v>355</v>
      </c>
      <c r="G8" s="48" t="n">
        <v>355</v>
      </c>
      <c r="H8" s="49" t="n">
        <f aca="false">IFERROR(G8/'حصص السوق'!$C$3,"")</f>
        <v>0.0486301369863014</v>
      </c>
      <c r="I8" s="47" t="s">
        <v>289</v>
      </c>
      <c r="J8" s="47" t="s">
        <v>290</v>
      </c>
      <c r="K8" s="47" t="s">
        <v>291</v>
      </c>
      <c r="L8" s="47" t="s">
        <v>292</v>
      </c>
      <c r="M8" s="47" t="s">
        <v>105</v>
      </c>
    </row>
    <row r="9" customFormat="false" ht="55.5" hidden="false" customHeight="true" outlineLevel="0" collapsed="false">
      <c r="A9" s="21" t="n">
        <v>5</v>
      </c>
      <c r="B9" s="50" t="s">
        <v>293</v>
      </c>
      <c r="C9" s="16" t="s">
        <v>294</v>
      </c>
      <c r="D9" s="21" t="s">
        <v>52</v>
      </c>
      <c r="E9" s="16" t="s">
        <v>295</v>
      </c>
      <c r="F9" s="28" t="n">
        <v>0</v>
      </c>
      <c r="G9" s="28" t="n">
        <v>5000</v>
      </c>
      <c r="H9" s="45" t="n">
        <f aca="false">IFERROR(G9/'حصص السوق'!$C$3,"")</f>
        <v>0.684931506849315</v>
      </c>
      <c r="I9" s="16" t="s">
        <v>296</v>
      </c>
      <c r="J9" s="16" t="s">
        <v>297</v>
      </c>
      <c r="K9" s="16" t="s">
        <v>298</v>
      </c>
      <c r="L9" s="16" t="s">
        <v>148</v>
      </c>
      <c r="M9" s="16" t="s">
        <v>299</v>
      </c>
    </row>
    <row r="10" customFormat="false" ht="55.5" hidden="false" customHeight="true" outlineLevel="0" collapsed="false">
      <c r="A10" s="21" t="n">
        <v>6</v>
      </c>
      <c r="B10" s="50" t="s">
        <v>300</v>
      </c>
      <c r="C10" s="16" t="s">
        <v>301</v>
      </c>
      <c r="D10" s="21" t="s">
        <v>52</v>
      </c>
      <c r="E10" s="16" t="s">
        <v>295</v>
      </c>
      <c r="F10" s="28" t="n">
        <v>1790</v>
      </c>
      <c r="G10" s="28" t="n">
        <v>2500</v>
      </c>
      <c r="H10" s="45" t="n">
        <f aca="false">IFERROR(G10/'حصص السوق'!$C$3,"")</f>
        <v>0.342465753424658</v>
      </c>
      <c r="I10" s="16" t="s">
        <v>282</v>
      </c>
      <c r="J10" s="16" t="s">
        <v>225</v>
      </c>
      <c r="K10" s="16" t="s">
        <v>302</v>
      </c>
      <c r="L10" s="16" t="s">
        <v>303</v>
      </c>
      <c r="M10" s="16" t="s">
        <v>304</v>
      </c>
    </row>
    <row r="11" customFormat="false" ht="55.5" hidden="false" customHeight="true" outlineLevel="0" collapsed="false">
      <c r="A11" s="21" t="n">
        <v>7</v>
      </c>
      <c r="B11" s="50" t="s">
        <v>192</v>
      </c>
      <c r="C11" s="16" t="s">
        <v>305</v>
      </c>
      <c r="D11" s="21" t="s">
        <v>52</v>
      </c>
      <c r="E11" s="16" t="s">
        <v>306</v>
      </c>
      <c r="F11" s="28" t="n">
        <v>0</v>
      </c>
      <c r="G11" s="28" t="n">
        <v>5000</v>
      </c>
      <c r="H11" s="45" t="n">
        <f aca="false">IFERROR(G11/'حصص السوق'!$C$3,"")</f>
        <v>0.684931506849315</v>
      </c>
      <c r="I11" s="16" t="s">
        <v>282</v>
      </c>
      <c r="J11" s="16" t="s">
        <v>307</v>
      </c>
      <c r="K11" s="16" t="s">
        <v>308</v>
      </c>
      <c r="L11" s="16" t="s">
        <v>196</v>
      </c>
      <c r="M11" s="16" t="s">
        <v>309</v>
      </c>
    </row>
    <row r="12" customFormat="false" ht="55.5" hidden="false" customHeight="true" outlineLevel="0" collapsed="false">
      <c r="A12" s="21" t="n">
        <v>8</v>
      </c>
      <c r="B12" s="51" t="s">
        <v>310</v>
      </c>
      <c r="C12" s="16" t="s">
        <v>62</v>
      </c>
      <c r="D12" s="21" t="s">
        <v>52</v>
      </c>
      <c r="E12" s="16" t="s">
        <v>311</v>
      </c>
      <c r="F12" s="28" t="n">
        <v>1383</v>
      </c>
      <c r="G12" s="28" t="n">
        <v>1383</v>
      </c>
      <c r="H12" s="45" t="n">
        <f aca="false">IFERROR(G12/'حصص السوق'!$C$3,"")</f>
        <v>0.189452054794521</v>
      </c>
      <c r="I12" s="16" t="s">
        <v>282</v>
      </c>
      <c r="J12" s="16" t="s">
        <v>225</v>
      </c>
      <c r="K12" s="16" t="s">
        <v>312</v>
      </c>
      <c r="L12" s="16" t="s">
        <v>313</v>
      </c>
      <c r="M12" s="16" t="s">
        <v>314</v>
      </c>
    </row>
    <row r="13" customFormat="false" ht="55.5" hidden="false" customHeight="true" outlineLevel="0" collapsed="false">
      <c r="A13" s="21" t="n">
        <v>9</v>
      </c>
      <c r="B13" s="51" t="s">
        <v>315</v>
      </c>
      <c r="C13" s="16" t="s">
        <v>169</v>
      </c>
      <c r="D13" s="21" t="s">
        <v>52</v>
      </c>
      <c r="E13" s="16" t="s">
        <v>316</v>
      </c>
      <c r="F13" s="28" t="n">
        <v>683</v>
      </c>
      <c r="G13" s="28" t="n">
        <v>683</v>
      </c>
      <c r="H13" s="45" t="n">
        <f aca="false">IFERROR(G13/'حصص السوق'!$C$3,"")</f>
        <v>0.0935616438356164</v>
      </c>
      <c r="I13" s="16" t="s">
        <v>282</v>
      </c>
      <c r="J13" s="16" t="s">
        <v>225</v>
      </c>
      <c r="K13" s="16" t="s">
        <v>317</v>
      </c>
      <c r="L13" s="16" t="s">
        <v>318</v>
      </c>
      <c r="M13" s="16" t="s">
        <v>319</v>
      </c>
    </row>
    <row r="15" customFormat="false" ht="39.75" hidden="false" customHeight="true" outlineLevel="0" collapsed="false">
      <c r="B15" s="52" t="s">
        <v>320</v>
      </c>
      <c r="C15" s="53" t="s">
        <v>321</v>
      </c>
      <c r="D15" s="53"/>
      <c r="E15" s="53"/>
      <c r="F15" s="53"/>
      <c r="G15" s="53"/>
      <c r="H15" s="53"/>
      <c r="I15" s="53"/>
      <c r="J15" s="53"/>
      <c r="K15" s="53"/>
      <c r="L15" s="53"/>
      <c r="M15" s="53"/>
    </row>
    <row r="16" customFormat="false" ht="39.75" hidden="false" customHeight="true" outlineLevel="0" collapsed="false">
      <c r="B16" s="52" t="s">
        <v>322</v>
      </c>
      <c r="C16" s="53" t="s">
        <v>323</v>
      </c>
      <c r="D16" s="53"/>
      <c r="E16" s="53"/>
      <c r="F16" s="53"/>
      <c r="G16" s="53"/>
      <c r="H16" s="53"/>
      <c r="I16" s="53"/>
      <c r="J16" s="53"/>
      <c r="K16" s="53"/>
      <c r="L16" s="53"/>
      <c r="M16" s="53"/>
    </row>
    <row r="17" customFormat="false" ht="39.75" hidden="false" customHeight="true" outlineLevel="0" collapsed="false">
      <c r="B17" s="52" t="s">
        <v>324</v>
      </c>
      <c r="C17" s="53" t="s">
        <v>325</v>
      </c>
      <c r="D17" s="53"/>
      <c r="E17" s="53"/>
      <c r="F17" s="53"/>
      <c r="G17" s="53"/>
      <c r="H17" s="53"/>
      <c r="I17" s="53"/>
      <c r="J17" s="53"/>
      <c r="K17" s="53"/>
      <c r="L17" s="53"/>
      <c r="M17" s="53"/>
    </row>
    <row r="18" customFormat="false" ht="39.75" hidden="false" customHeight="true" outlineLevel="0" collapsed="false">
      <c r="B18" s="52" t="s">
        <v>326</v>
      </c>
      <c r="C18" s="53" t="s">
        <v>327</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328</v>
      </c>
      <c r="B1" s="1"/>
      <c r="C1" s="1"/>
      <c r="D1" s="1"/>
      <c r="E1" s="1"/>
      <c r="F1" s="1"/>
      <c r="G1" s="1"/>
      <c r="H1" s="1"/>
    </row>
    <row r="2" customFormat="false" ht="18" hidden="false" customHeight="true" outlineLevel="0" collapsed="false">
      <c r="A2" s="2" t="s">
        <v>329</v>
      </c>
      <c r="B2" s="2"/>
      <c r="C2" s="2"/>
      <c r="D2" s="2"/>
      <c r="E2" s="2"/>
      <c r="F2" s="2"/>
      <c r="G2" s="2"/>
      <c r="H2" s="2"/>
    </row>
    <row r="3" customFormat="false" ht="33.75" hidden="false" customHeight="true" outlineLevel="0" collapsed="false">
      <c r="B3" s="54" t="s">
        <v>330</v>
      </c>
      <c r="C3" s="55" t="s">
        <v>331</v>
      </c>
      <c r="D3" s="55"/>
      <c r="E3" s="55"/>
      <c r="F3" s="55"/>
      <c r="G3" s="55"/>
      <c r="H3" s="55"/>
    </row>
    <row r="4" customFormat="false" ht="31.5" hidden="false" customHeight="true" outlineLevel="0" collapsed="false">
      <c r="A4" s="15" t="s">
        <v>49</v>
      </c>
      <c r="B4" s="15" t="s">
        <v>332</v>
      </c>
      <c r="C4" s="15" t="s">
        <v>333</v>
      </c>
      <c r="D4" s="15" t="s">
        <v>334</v>
      </c>
      <c r="E4" s="15" t="s">
        <v>335</v>
      </c>
      <c r="F4" s="15" t="s">
        <v>336</v>
      </c>
      <c r="G4" s="15" t="s">
        <v>337</v>
      </c>
      <c r="H4" s="15" t="s">
        <v>338</v>
      </c>
    </row>
    <row r="5" customFormat="false" ht="21.75" hidden="false" customHeight="true" outlineLevel="0" collapsed="false">
      <c r="A5" s="21" t="n">
        <v>1</v>
      </c>
      <c r="B5" s="24" t="s">
        <v>339</v>
      </c>
      <c r="C5" s="21" t="s">
        <v>340</v>
      </c>
      <c r="D5" s="21" t="n">
        <v>31</v>
      </c>
      <c r="E5" s="21" t="n">
        <v>1</v>
      </c>
      <c r="F5" s="21" t="n">
        <f aca="false">D5-E5</f>
        <v>30</v>
      </c>
      <c r="G5" s="45" t="n">
        <f aca="false">IFERROR(E5/D5,"")</f>
        <v>0.032258064516129</v>
      </c>
      <c r="H5" s="56" t="s">
        <v>341</v>
      </c>
    </row>
    <row r="6" customFormat="false" ht="21.75" hidden="false" customHeight="true" outlineLevel="0" collapsed="false">
      <c r="A6" s="21" t="n">
        <v>2</v>
      </c>
      <c r="B6" s="24" t="s">
        <v>342</v>
      </c>
      <c r="C6" s="21" t="s">
        <v>343</v>
      </c>
      <c r="D6" s="21" t="n">
        <v>12</v>
      </c>
      <c r="E6" s="21" t="n">
        <v>0</v>
      </c>
      <c r="F6" s="21" t="n">
        <f aca="false">D6-E6</f>
        <v>12</v>
      </c>
      <c r="G6" s="57" t="n">
        <f aca="false">IFERROR(E6/D6,"")</f>
        <v>0</v>
      </c>
      <c r="H6" s="56" t="s">
        <v>341</v>
      </c>
    </row>
    <row r="7" customFormat="false" ht="21.75" hidden="false" customHeight="true" outlineLevel="0" collapsed="false">
      <c r="A7" s="21" t="n">
        <v>3</v>
      </c>
      <c r="B7" s="24" t="s">
        <v>344</v>
      </c>
      <c r="C7" s="21" t="s">
        <v>345</v>
      </c>
      <c r="D7" s="21" t="n">
        <v>11</v>
      </c>
      <c r="E7" s="21" t="n">
        <v>0</v>
      </c>
      <c r="F7" s="21" t="n">
        <f aca="false">D7-E7</f>
        <v>11</v>
      </c>
      <c r="G7" s="57" t="n">
        <f aca="false">IFERROR(E7/D7,"")</f>
        <v>0</v>
      </c>
      <c r="H7" s="56" t="s">
        <v>341</v>
      </c>
    </row>
    <row r="8" customFormat="false" ht="21.75" hidden="false" customHeight="true" outlineLevel="0" collapsed="false">
      <c r="A8" s="21" t="n">
        <v>4</v>
      </c>
      <c r="B8" s="24" t="s">
        <v>346</v>
      </c>
      <c r="C8" s="21" t="s">
        <v>347</v>
      </c>
      <c r="D8" s="21" t="n">
        <v>7</v>
      </c>
      <c r="E8" s="21" t="n">
        <v>0</v>
      </c>
      <c r="F8" s="21" t="n">
        <f aca="false">D8-E8</f>
        <v>7</v>
      </c>
      <c r="G8" s="57" t="n">
        <f aca="false">IFERROR(E8/D8,"")</f>
        <v>0</v>
      </c>
      <c r="H8" s="16" t="s">
        <v>348</v>
      </c>
    </row>
    <row r="9" customFormat="false" ht="21.75" hidden="false" customHeight="true" outlineLevel="0" collapsed="false">
      <c r="A9" s="21" t="n">
        <v>5</v>
      </c>
      <c r="B9" s="24" t="s">
        <v>349</v>
      </c>
      <c r="C9" s="21" t="s">
        <v>350</v>
      </c>
      <c r="D9" s="21" t="n">
        <v>7</v>
      </c>
      <c r="E9" s="21" t="n">
        <v>0</v>
      </c>
      <c r="F9" s="21" t="n">
        <f aca="false">D9-E9</f>
        <v>7</v>
      </c>
      <c r="G9" s="57" t="n">
        <f aca="false">IFERROR(E9/D9,"")</f>
        <v>0</v>
      </c>
      <c r="H9" s="56" t="s">
        <v>341</v>
      </c>
    </row>
    <row r="10" customFormat="false" ht="21.75" hidden="false" customHeight="true" outlineLevel="0" collapsed="false">
      <c r="A10" s="21" t="n">
        <v>6</v>
      </c>
      <c r="B10" s="24" t="s">
        <v>351</v>
      </c>
      <c r="C10" s="21" t="s">
        <v>352</v>
      </c>
      <c r="D10" s="21" t="n">
        <v>10</v>
      </c>
      <c r="E10" s="21" t="n">
        <v>5</v>
      </c>
      <c r="F10" s="21" t="n">
        <f aca="false">D10-E10</f>
        <v>5</v>
      </c>
      <c r="G10" s="45" t="n">
        <f aca="false">IFERROR(E10/D10,"")</f>
        <v>0.5</v>
      </c>
      <c r="H10" s="16" t="s">
        <v>353</v>
      </c>
    </row>
    <row r="11" customFormat="false" ht="21.75" hidden="false" customHeight="true" outlineLevel="0" collapsed="false">
      <c r="A11" s="21" t="n">
        <v>7</v>
      </c>
      <c r="B11" s="24" t="s">
        <v>354</v>
      </c>
      <c r="C11" s="21" t="s">
        <v>355</v>
      </c>
      <c r="D11" s="21" t="n">
        <v>7</v>
      </c>
      <c r="E11" s="21" t="n">
        <v>3</v>
      </c>
      <c r="F11" s="21" t="n">
        <f aca="false">D11-E11</f>
        <v>4</v>
      </c>
      <c r="G11" s="45" t="n">
        <f aca="false">IFERROR(E11/D11,"")</f>
        <v>0.428571428571429</v>
      </c>
      <c r="H11" s="16" t="s">
        <v>356</v>
      </c>
    </row>
    <row r="12" customFormat="false" ht="21.75" hidden="false" customHeight="true" outlineLevel="0" collapsed="false">
      <c r="A12" s="21" t="n">
        <v>8</v>
      </c>
      <c r="B12" s="24" t="s">
        <v>357</v>
      </c>
      <c r="C12" s="21" t="s">
        <v>358</v>
      </c>
      <c r="D12" s="21" t="n">
        <v>6</v>
      </c>
      <c r="E12" s="21" t="n">
        <v>3</v>
      </c>
      <c r="F12" s="21" t="n">
        <f aca="false">D12-E12</f>
        <v>3</v>
      </c>
      <c r="G12" s="45" t="n">
        <f aca="false">IFERROR(E12/D12,"")</f>
        <v>0.5</v>
      </c>
      <c r="H12" s="16" t="s">
        <v>359</v>
      </c>
    </row>
    <row r="13" customFormat="false" ht="21.75" hidden="false" customHeight="true" outlineLevel="0" collapsed="false">
      <c r="A13" s="21" t="n">
        <v>9</v>
      </c>
      <c r="B13" s="24" t="s">
        <v>360</v>
      </c>
      <c r="C13" s="21" t="s">
        <v>361</v>
      </c>
      <c r="D13" s="21" t="n">
        <v>11</v>
      </c>
      <c r="E13" s="21" t="n">
        <v>8</v>
      </c>
      <c r="F13" s="21" t="n">
        <f aca="false">D13-E13</f>
        <v>3</v>
      </c>
      <c r="G13" s="45" t="n">
        <f aca="false">IFERROR(E13/D13,"")</f>
        <v>0.727272727272727</v>
      </c>
      <c r="H13" s="16" t="s">
        <v>362</v>
      </c>
    </row>
    <row r="14" customFormat="false" ht="21.75" hidden="false" customHeight="true" outlineLevel="0" collapsed="false">
      <c r="A14" s="21" t="n">
        <v>10</v>
      </c>
      <c r="B14" s="24" t="s">
        <v>363</v>
      </c>
      <c r="C14" s="21" t="s">
        <v>350</v>
      </c>
      <c r="D14" s="21" t="n">
        <v>3</v>
      </c>
      <c r="E14" s="21" t="n">
        <v>0</v>
      </c>
      <c r="F14" s="21" t="n">
        <f aca="false">D14-E14</f>
        <v>3</v>
      </c>
      <c r="G14" s="57" t="n">
        <f aca="false">IFERROR(E14/D14,"")</f>
        <v>0</v>
      </c>
      <c r="H14" s="16" t="s">
        <v>364</v>
      </c>
    </row>
    <row r="15" customFormat="false" ht="21.75" hidden="false" customHeight="true" outlineLevel="0" collapsed="false">
      <c r="A15" s="21" t="n">
        <v>11</v>
      </c>
      <c r="B15" s="24" t="s">
        <v>365</v>
      </c>
      <c r="C15" s="21" t="s">
        <v>366</v>
      </c>
      <c r="D15" s="21" t="n">
        <v>2</v>
      </c>
      <c r="E15" s="21" t="n">
        <v>0</v>
      </c>
      <c r="F15" s="21" t="n">
        <f aca="false">D15-E15</f>
        <v>2</v>
      </c>
      <c r="G15" s="57" t="n">
        <f aca="false">IFERROR(E15/D15,"")</f>
        <v>0</v>
      </c>
      <c r="H15" s="16" t="s">
        <v>367</v>
      </c>
    </row>
    <row r="16" customFormat="false" ht="21.75" hidden="false" customHeight="true" outlineLevel="0" collapsed="false">
      <c r="A16" s="21" t="n">
        <v>12</v>
      </c>
      <c r="B16" s="24" t="s">
        <v>368</v>
      </c>
      <c r="C16" s="21" t="s">
        <v>369</v>
      </c>
      <c r="D16" s="21" t="n">
        <v>2</v>
      </c>
      <c r="E16" s="21" t="n">
        <v>0</v>
      </c>
      <c r="F16" s="21" t="n">
        <f aca="false">D16-E16</f>
        <v>2</v>
      </c>
      <c r="G16" s="57" t="n">
        <f aca="false">IFERROR(E16/D16,"")</f>
        <v>0</v>
      </c>
      <c r="H16" s="16" t="s">
        <v>370</v>
      </c>
    </row>
    <row r="17" customFormat="false" ht="21.75" hidden="false" customHeight="true" outlineLevel="0" collapsed="false">
      <c r="A17" s="21" t="n">
        <v>13</v>
      </c>
      <c r="B17" s="24" t="s">
        <v>371</v>
      </c>
      <c r="C17" s="21" t="s">
        <v>355</v>
      </c>
      <c r="D17" s="21" t="n">
        <v>3</v>
      </c>
      <c r="E17" s="21" t="n">
        <v>1</v>
      </c>
      <c r="F17" s="21" t="n">
        <f aca="false">D17-E17</f>
        <v>2</v>
      </c>
      <c r="G17" s="45" t="n">
        <f aca="false">IFERROR(E17/D17,"")</f>
        <v>0.333333333333333</v>
      </c>
      <c r="H17" s="16" t="s">
        <v>372</v>
      </c>
    </row>
    <row r="18" customFormat="false" ht="21.75" hidden="false" customHeight="true" outlineLevel="0" collapsed="false">
      <c r="A18" s="21" t="n">
        <v>14</v>
      </c>
      <c r="B18" s="24" t="s">
        <v>373</v>
      </c>
      <c r="C18" s="21" t="s">
        <v>374</v>
      </c>
      <c r="D18" s="21" t="n">
        <v>5</v>
      </c>
      <c r="E18" s="21" t="n">
        <v>4</v>
      </c>
      <c r="F18" s="21" t="n">
        <f aca="false">D18-E18</f>
        <v>1</v>
      </c>
      <c r="G18" s="45" t="n">
        <f aca="false">IFERROR(E18/D18,"")</f>
        <v>0.8</v>
      </c>
      <c r="H18" s="16" t="s">
        <v>375</v>
      </c>
    </row>
    <row r="19" customFormat="false" ht="21.75" hidden="false" customHeight="true" outlineLevel="0" collapsed="false">
      <c r="A19" s="21" t="n">
        <v>15</v>
      </c>
      <c r="B19" s="24" t="s">
        <v>376</v>
      </c>
      <c r="C19" s="21" t="s">
        <v>374</v>
      </c>
      <c r="D19" s="21" t="n">
        <v>8</v>
      </c>
      <c r="E19" s="21" t="n">
        <v>7</v>
      </c>
      <c r="F19" s="21" t="n">
        <f aca="false">D19-E19</f>
        <v>1</v>
      </c>
      <c r="G19" s="45" t="n">
        <f aca="false">IFERROR(E19/D19,"")</f>
        <v>0.875</v>
      </c>
      <c r="H19" s="16" t="s">
        <v>377</v>
      </c>
    </row>
    <row r="20" customFormat="false" ht="21.75" hidden="false" customHeight="true" outlineLevel="0" collapsed="false">
      <c r="A20" s="21" t="n">
        <v>16</v>
      </c>
      <c r="B20" s="24" t="s">
        <v>378</v>
      </c>
      <c r="C20" s="21" t="s">
        <v>350</v>
      </c>
      <c r="D20" s="21" t="n">
        <v>1</v>
      </c>
      <c r="E20" s="21" t="n">
        <v>0</v>
      </c>
      <c r="F20" s="21" t="n">
        <f aca="false">D20-E20</f>
        <v>1</v>
      </c>
      <c r="G20" s="57" t="n">
        <f aca="false">IFERROR(E20/D20,"")</f>
        <v>0</v>
      </c>
      <c r="H20" s="16" t="s">
        <v>377</v>
      </c>
    </row>
    <row r="21" customFormat="false" ht="21.75" hidden="false" customHeight="true" outlineLevel="0" collapsed="false">
      <c r="A21" s="21" t="n">
        <v>17</v>
      </c>
      <c r="B21" s="24" t="s">
        <v>379</v>
      </c>
      <c r="C21" s="21" t="s">
        <v>350</v>
      </c>
      <c r="D21" s="21" t="n">
        <v>1</v>
      </c>
      <c r="E21" s="21" t="n">
        <v>0</v>
      </c>
      <c r="F21" s="21" t="n">
        <f aca="false">D21-E21</f>
        <v>1</v>
      </c>
      <c r="G21" s="57" t="n">
        <f aca="false">IFERROR(E21/D21,"")</f>
        <v>0</v>
      </c>
      <c r="H21" s="16" t="s">
        <v>375</v>
      </c>
    </row>
    <row r="22" customFormat="false" ht="21.75" hidden="false" customHeight="true" outlineLevel="0" collapsed="false">
      <c r="A22" s="21" t="n">
        <v>18</v>
      </c>
      <c r="B22" s="24" t="s">
        <v>380</v>
      </c>
      <c r="C22" s="21" t="s">
        <v>350</v>
      </c>
      <c r="D22" s="21" t="n">
        <v>1</v>
      </c>
      <c r="E22" s="21" t="n">
        <v>0</v>
      </c>
      <c r="F22" s="21" t="n">
        <f aca="false">D22-E22</f>
        <v>1</v>
      </c>
      <c r="G22" s="57" t="n">
        <f aca="false">IFERROR(E22/D22,"")</f>
        <v>0</v>
      </c>
      <c r="H22" s="16" t="s">
        <v>381</v>
      </c>
    </row>
    <row r="23" customFormat="false" ht="15" hidden="false" customHeight="false" outlineLevel="0" collapsed="false">
      <c r="A23" s="32"/>
      <c r="B23" s="33" t="s">
        <v>123</v>
      </c>
      <c r="C23" s="32"/>
      <c r="D23" s="32" t="n">
        <f aca="false">SUM(D5:D22)</f>
        <v>128</v>
      </c>
      <c r="E23" s="32" t="n">
        <f aca="false">SUM(E5:E22)</f>
        <v>32</v>
      </c>
      <c r="F23" s="32" t="n">
        <f aca="false">SUM(F5:F22)</f>
        <v>96</v>
      </c>
      <c r="G23" s="58" t="n">
        <f aca="false">IFERROR(E23/D23,"")</f>
        <v>0.25</v>
      </c>
      <c r="H23" s="33"/>
    </row>
    <row r="25" customFormat="false" ht="15" hidden="false" customHeight="false" outlineLevel="0" collapsed="false">
      <c r="B25" s="37" t="s">
        <v>382</v>
      </c>
    </row>
    <row r="26" customFormat="false" ht="31.5" hidden="false" customHeight="true" outlineLevel="0" collapsed="false">
      <c r="A26" s="15" t="s">
        <v>49</v>
      </c>
      <c r="B26" s="15" t="s">
        <v>383</v>
      </c>
      <c r="C26" s="15" t="s">
        <v>384</v>
      </c>
      <c r="D26" s="15" t="s">
        <v>385</v>
      </c>
      <c r="E26" s="15" t="s">
        <v>386</v>
      </c>
      <c r="F26" s="15"/>
      <c r="G26" s="15"/>
      <c r="H26" s="15" t="s">
        <v>387</v>
      </c>
    </row>
    <row r="27" customFormat="false" ht="24" hidden="false" customHeight="true" outlineLevel="0" collapsed="false">
      <c r="A27" s="21" t="n">
        <v>1</v>
      </c>
      <c r="B27" s="24" t="s">
        <v>388</v>
      </c>
      <c r="C27" s="21" t="n">
        <v>71</v>
      </c>
      <c r="D27" s="21" t="n">
        <v>51</v>
      </c>
      <c r="E27" s="20" t="n">
        <v>20</v>
      </c>
      <c r="F27" s="21"/>
      <c r="G27" s="21"/>
      <c r="H27" s="16" t="s">
        <v>389</v>
      </c>
    </row>
    <row r="28" customFormat="false" ht="24" hidden="false" customHeight="true" outlineLevel="0" collapsed="false">
      <c r="A28" s="21" t="n">
        <v>2</v>
      </c>
      <c r="B28" s="24" t="s">
        <v>390</v>
      </c>
      <c r="C28" s="21" t="n">
        <v>52</v>
      </c>
      <c r="D28" s="21" t="n">
        <v>0</v>
      </c>
      <c r="E28" s="19" t="n">
        <v>52</v>
      </c>
      <c r="F28" s="21"/>
      <c r="G28" s="21"/>
      <c r="H28" s="16" t="s">
        <v>391</v>
      </c>
    </row>
    <row r="30" customFormat="false" ht="15" hidden="false" customHeight="false" outlineLevel="0" collapsed="false">
      <c r="B30" s="37" t="s">
        <v>392</v>
      </c>
    </row>
    <row r="31" customFormat="false" ht="31.5" hidden="false" customHeight="true" outlineLevel="0" collapsed="false">
      <c r="A31" s="15" t="s">
        <v>49</v>
      </c>
      <c r="B31" s="15" t="s">
        <v>256</v>
      </c>
      <c r="C31" s="15" t="s">
        <v>393</v>
      </c>
      <c r="D31" s="15" t="s">
        <v>394</v>
      </c>
      <c r="E31" s="15" t="s">
        <v>395</v>
      </c>
      <c r="F31" s="15" t="s">
        <v>396</v>
      </c>
      <c r="G31" s="15" t="s">
        <v>397</v>
      </c>
      <c r="H31" s="15" t="s">
        <v>387</v>
      </c>
    </row>
    <row r="32" customFormat="false" ht="24" hidden="false" customHeight="true" outlineLevel="0" collapsed="false">
      <c r="A32" s="21" t="n">
        <v>1</v>
      </c>
      <c r="B32" s="24" t="s">
        <v>398</v>
      </c>
      <c r="C32" s="21" t="n">
        <v>26</v>
      </c>
      <c r="D32" s="21" t="n">
        <v>48</v>
      </c>
      <c r="E32" s="6" t="s">
        <v>399</v>
      </c>
      <c r="F32" s="21" t="n">
        <v>7</v>
      </c>
      <c r="G32" s="59" t="n">
        <f aca="false">IFERROR(F32/C32,"")</f>
        <v>0.269230769230769</v>
      </c>
      <c r="H32" s="16" t="s">
        <v>400</v>
      </c>
    </row>
    <row r="33" customFormat="false" ht="24" hidden="false" customHeight="true" outlineLevel="0" collapsed="false">
      <c r="A33" s="21" t="n">
        <v>2</v>
      </c>
      <c r="B33" s="24" t="s">
        <v>401</v>
      </c>
      <c r="C33" s="21" t="n">
        <v>42</v>
      </c>
      <c r="D33" s="21" t="n">
        <v>67</v>
      </c>
      <c r="E33" s="6" t="s">
        <v>402</v>
      </c>
      <c r="F33" s="21" t="n">
        <v>12</v>
      </c>
      <c r="G33" s="59" t="n">
        <f aca="false">IFERROR(F33/C33,"")</f>
        <v>0.285714285714286</v>
      </c>
      <c r="H33" s="16" t="s">
        <v>400</v>
      </c>
    </row>
    <row r="34" customFormat="false" ht="24" hidden="false" customHeight="true" outlineLevel="0" collapsed="false">
      <c r="A34" s="21" t="n">
        <v>3</v>
      </c>
      <c r="B34" s="24" t="s">
        <v>403</v>
      </c>
      <c r="C34" s="21" t="n">
        <v>40</v>
      </c>
      <c r="D34" s="21" t="n">
        <v>23</v>
      </c>
      <c r="E34" s="6" t="s">
        <v>404</v>
      </c>
      <c r="F34" s="21" t="n">
        <v>17</v>
      </c>
      <c r="G34" s="60" t="n">
        <f aca="false">IFERROR(F34/C34,"")</f>
        <v>0.425</v>
      </c>
      <c r="H34" s="16" t="s">
        <v>405</v>
      </c>
    </row>
    <row r="35" customFormat="false" ht="24" hidden="false" customHeight="true" outlineLevel="0" collapsed="false">
      <c r="A35" s="21" t="n">
        <v>4</v>
      </c>
      <c r="B35" s="24" t="s">
        <v>406</v>
      </c>
      <c r="C35" s="21" t="n">
        <v>6</v>
      </c>
      <c r="D35" s="21" t="n">
        <v>6</v>
      </c>
      <c r="E35" s="6" t="s">
        <v>407</v>
      </c>
      <c r="F35" s="21" t="n">
        <v>1</v>
      </c>
      <c r="G35" s="59" t="n">
        <f aca="false">IFERROR(F35/C35,"")</f>
        <v>0.166666666666667</v>
      </c>
      <c r="H35" s="16" t="s">
        <v>408</v>
      </c>
    </row>
    <row r="36" customFormat="false" ht="24" hidden="false" customHeight="true" outlineLevel="0" collapsed="false">
      <c r="A36" s="21" t="n">
        <v>5</v>
      </c>
      <c r="B36" s="24" t="s">
        <v>409</v>
      </c>
      <c r="C36" s="21" t="n">
        <v>39</v>
      </c>
      <c r="D36" s="21" t="n">
        <v>46</v>
      </c>
      <c r="E36" s="6" t="s">
        <v>410</v>
      </c>
      <c r="F36" s="21" t="n">
        <v>11</v>
      </c>
      <c r="G36" s="59" t="n">
        <f aca="false">IFERROR(F36/C36,"")</f>
        <v>0.282051282051282</v>
      </c>
      <c r="H36" s="16" t="s">
        <v>400</v>
      </c>
    </row>
    <row r="38" customFormat="false" ht="33.75" hidden="false" customHeight="true" outlineLevel="0" collapsed="false">
      <c r="B38" s="54" t="s">
        <v>411</v>
      </c>
      <c r="C38" s="53" t="s">
        <v>412</v>
      </c>
      <c r="D38" s="53"/>
      <c r="E38" s="53"/>
      <c r="F38" s="53"/>
      <c r="G38" s="53"/>
      <c r="H38" s="53"/>
    </row>
    <row r="39" customFormat="false" ht="33.75" hidden="false" customHeight="true" outlineLevel="0" collapsed="false">
      <c r="B39" s="52" t="s">
        <v>413</v>
      </c>
      <c r="C39" s="53" t="s">
        <v>414</v>
      </c>
      <c r="D39" s="53"/>
      <c r="E39" s="53"/>
      <c r="F39" s="53"/>
      <c r="G39" s="53"/>
      <c r="H39" s="53"/>
    </row>
    <row r="40" customFormat="false" ht="33.75" hidden="false" customHeight="true" outlineLevel="0" collapsed="false">
      <c r="B40" s="54" t="s">
        <v>415</v>
      </c>
      <c r="C40" s="53" t="s">
        <v>416</v>
      </c>
      <c r="D40" s="53"/>
      <c r="E40" s="53"/>
      <c r="F40" s="53"/>
      <c r="G40" s="53"/>
      <c r="H40" s="53"/>
    </row>
    <row r="41" customFormat="false" ht="33.75" hidden="false" customHeight="true" outlineLevel="0" collapsed="false">
      <c r="B41" s="52" t="s">
        <v>417</v>
      </c>
      <c r="C41" s="53" t="s">
        <v>418</v>
      </c>
      <c r="D41" s="53"/>
      <c r="E41" s="53"/>
      <c r="F41" s="53"/>
      <c r="G41" s="53"/>
      <c r="H41" s="53"/>
    </row>
    <row r="42" customFormat="false" ht="33.75" hidden="false" customHeight="true" outlineLevel="0" collapsed="false">
      <c r="B42" s="52" t="s">
        <v>419</v>
      </c>
      <c r="C42" s="53" t="s">
        <v>420</v>
      </c>
      <c r="D42" s="53"/>
      <c r="E42" s="53"/>
      <c r="F42" s="53"/>
      <c r="G42" s="53"/>
      <c r="H42" s="53"/>
    </row>
  </sheetData>
  <mergeCells count="8">
    <mergeCell ref="A1:H1"/>
    <mergeCell ref="A2:H2"/>
    <mergeCell ref="C3:H3"/>
    <mergeCell ref="C38:H38"/>
    <mergeCell ref="C39:H39"/>
    <mergeCell ref="C40:H40"/>
    <mergeCell ref="C41:H41"/>
    <mergeCell ref="C42:H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421</v>
      </c>
      <c r="B1" s="1"/>
      <c r="C1" s="1"/>
      <c r="D1" s="1"/>
      <c r="E1" s="1"/>
      <c r="F1" s="1"/>
      <c r="G1" s="1"/>
    </row>
    <row r="2" customFormat="false" ht="18" hidden="false" customHeight="true" outlineLevel="0" collapsed="false">
      <c r="A2" s="2" t="s">
        <v>422</v>
      </c>
      <c r="B2" s="2"/>
      <c r="C2" s="2"/>
      <c r="D2" s="2"/>
      <c r="E2" s="2"/>
      <c r="F2" s="2"/>
      <c r="G2" s="2"/>
    </row>
    <row r="3" customFormat="false" ht="31.5" hidden="false" customHeight="true" outlineLevel="0" collapsed="false">
      <c r="A3" s="15" t="s">
        <v>49</v>
      </c>
      <c r="B3" s="15" t="s">
        <v>423</v>
      </c>
      <c r="C3" s="15" t="s">
        <v>424</v>
      </c>
      <c r="D3" s="15" t="s">
        <v>45</v>
      </c>
      <c r="E3" s="15"/>
      <c r="F3" s="15"/>
      <c r="G3" s="15" t="s">
        <v>425</v>
      </c>
    </row>
    <row r="4" customFormat="false" ht="24" hidden="false" customHeight="true" outlineLevel="0" collapsed="false">
      <c r="A4" s="21" t="n">
        <v>1</v>
      </c>
      <c r="B4" s="24" t="s">
        <v>426</v>
      </c>
      <c r="C4" s="21" t="s">
        <v>427</v>
      </c>
      <c r="D4" s="21" t="s">
        <v>428</v>
      </c>
      <c r="E4" s="21"/>
      <c r="F4" s="21"/>
      <c r="G4" s="16" t="s">
        <v>429</v>
      </c>
    </row>
    <row r="5" customFormat="false" ht="24" hidden="false" customHeight="true" outlineLevel="0" collapsed="false">
      <c r="A5" s="21" t="n">
        <v>2</v>
      </c>
      <c r="B5" s="24" t="s">
        <v>430</v>
      </c>
      <c r="C5" s="21" t="s">
        <v>431</v>
      </c>
      <c r="D5" s="21" t="s">
        <v>432</v>
      </c>
      <c r="E5" s="21"/>
      <c r="F5" s="21"/>
      <c r="G5" s="16" t="s">
        <v>433</v>
      </c>
    </row>
    <row r="6" customFormat="false" ht="24" hidden="false" customHeight="true" outlineLevel="0" collapsed="false">
      <c r="A6" s="21" t="n">
        <v>3</v>
      </c>
      <c r="B6" s="24" t="s">
        <v>434</v>
      </c>
      <c r="C6" s="21" t="s">
        <v>435</v>
      </c>
      <c r="D6" s="21" t="s">
        <v>436</v>
      </c>
      <c r="E6" s="21"/>
      <c r="F6" s="21"/>
      <c r="G6" s="16" t="s">
        <v>437</v>
      </c>
    </row>
    <row r="7" customFormat="false" ht="24" hidden="false" customHeight="true" outlineLevel="0" collapsed="false">
      <c r="A7" s="21" t="n">
        <v>4</v>
      </c>
      <c r="B7" s="24" t="s">
        <v>438</v>
      </c>
      <c r="C7" s="21" t="s">
        <v>439</v>
      </c>
      <c r="D7" s="21" t="s">
        <v>436</v>
      </c>
      <c r="E7" s="21"/>
      <c r="F7" s="21"/>
      <c r="G7" s="16" t="s">
        <v>440</v>
      </c>
    </row>
    <row r="9" customFormat="false" ht="15" hidden="false" customHeight="false" outlineLevel="0" collapsed="false">
      <c r="B9" s="37" t="s">
        <v>441</v>
      </c>
    </row>
    <row r="10" customFormat="false" ht="31.5" hidden="false" customHeight="true" outlineLevel="0" collapsed="false">
      <c r="A10" s="15" t="s">
        <v>49</v>
      </c>
      <c r="B10" s="15" t="s">
        <v>442</v>
      </c>
      <c r="C10" s="15" t="s">
        <v>130</v>
      </c>
      <c r="D10" s="15" t="s">
        <v>443</v>
      </c>
      <c r="E10" s="15" t="s">
        <v>444</v>
      </c>
      <c r="F10" s="15" t="s">
        <v>445</v>
      </c>
      <c r="G10" s="15" t="s">
        <v>387</v>
      </c>
    </row>
    <row r="11" customFormat="false" ht="33.75" hidden="false" customHeight="true" outlineLevel="0" collapsed="false">
      <c r="A11" s="21" t="n">
        <v>1</v>
      </c>
      <c r="B11" s="17" t="s">
        <v>446</v>
      </c>
      <c r="C11" s="21" t="s">
        <v>447</v>
      </c>
      <c r="D11" s="16" t="s">
        <v>448</v>
      </c>
      <c r="E11" s="16" t="s">
        <v>449</v>
      </c>
      <c r="F11" s="16" t="s">
        <v>450</v>
      </c>
      <c r="G11" s="16" t="s">
        <v>451</v>
      </c>
    </row>
    <row r="12" customFormat="false" ht="33.75" hidden="false" customHeight="true" outlineLevel="0" collapsed="false">
      <c r="A12" s="21" t="n">
        <v>2</v>
      </c>
      <c r="B12" s="17" t="s">
        <v>410</v>
      </c>
      <c r="C12" s="21" t="s">
        <v>151</v>
      </c>
      <c r="D12" s="16" t="s">
        <v>75</v>
      </c>
      <c r="E12" s="16" t="s">
        <v>452</v>
      </c>
      <c r="F12" s="16" t="s">
        <v>453</v>
      </c>
      <c r="G12" s="16" t="s">
        <v>454</v>
      </c>
    </row>
    <row r="13" customFormat="false" ht="33.75" hidden="false" customHeight="true" outlineLevel="0" collapsed="false">
      <c r="A13" s="21" t="n">
        <v>3</v>
      </c>
      <c r="B13" s="17" t="s">
        <v>455</v>
      </c>
      <c r="C13" s="21" t="s">
        <v>456</v>
      </c>
      <c r="D13" s="16" t="s">
        <v>457</v>
      </c>
      <c r="E13" s="16" t="s">
        <v>458</v>
      </c>
      <c r="F13" s="16" t="s">
        <v>459</v>
      </c>
      <c r="G13" s="16" t="s">
        <v>460</v>
      </c>
    </row>
    <row r="14" customFormat="false" ht="33.75" hidden="false" customHeight="true" outlineLevel="0" collapsed="false">
      <c r="A14" s="21" t="n">
        <v>4</v>
      </c>
      <c r="B14" s="17" t="s">
        <v>461</v>
      </c>
      <c r="C14" s="21" t="s">
        <v>462</v>
      </c>
      <c r="D14" s="16" t="s">
        <v>463</v>
      </c>
      <c r="E14" s="16" t="s">
        <v>464</v>
      </c>
      <c r="F14" s="16" t="s">
        <v>459</v>
      </c>
      <c r="G14" s="16" t="s">
        <v>465</v>
      </c>
    </row>
    <row r="15" customFormat="false" ht="33.75" hidden="false" customHeight="true" outlineLevel="0" collapsed="false">
      <c r="A15" s="21" t="n">
        <v>5</v>
      </c>
      <c r="B15" s="17" t="s">
        <v>466</v>
      </c>
      <c r="C15" s="21" t="s">
        <v>51</v>
      </c>
      <c r="D15" s="16" t="s">
        <v>467</v>
      </c>
      <c r="E15" s="16" t="s">
        <v>468</v>
      </c>
      <c r="F15" s="16" t="s">
        <v>459</v>
      </c>
      <c r="G15" s="16" t="s">
        <v>469</v>
      </c>
    </row>
    <row r="16" customFormat="false" ht="33.75" hidden="false" customHeight="true" outlineLevel="0" collapsed="false">
      <c r="A16" s="21" t="n">
        <v>6</v>
      </c>
      <c r="B16" s="17" t="s">
        <v>470</v>
      </c>
      <c r="C16" s="21" t="s">
        <v>471</v>
      </c>
      <c r="D16" s="16" t="s">
        <v>472</v>
      </c>
      <c r="E16" s="16" t="s">
        <v>473</v>
      </c>
      <c r="F16" s="16" t="s">
        <v>474</v>
      </c>
      <c r="G16" s="16" t="s">
        <v>475</v>
      </c>
    </row>
    <row r="18" customFormat="false" ht="15" hidden="false" customHeight="false" outlineLevel="0" collapsed="false">
      <c r="B18" s="37" t="s">
        <v>476</v>
      </c>
    </row>
    <row r="19" customFormat="false" ht="31.5" hidden="false" customHeight="true" outlineLevel="0" collapsed="false">
      <c r="A19" s="15" t="s">
        <v>49</v>
      </c>
      <c r="B19" s="15" t="s">
        <v>477</v>
      </c>
      <c r="C19" s="15" t="s">
        <v>478</v>
      </c>
      <c r="D19" s="15" t="s">
        <v>479</v>
      </c>
      <c r="E19" s="15" t="s">
        <v>480</v>
      </c>
      <c r="F19" s="15" t="s">
        <v>481</v>
      </c>
      <c r="G19" s="15" t="s">
        <v>482</v>
      </c>
    </row>
    <row r="20" customFormat="false" ht="39.75" hidden="false" customHeight="true" outlineLevel="0" collapsed="false">
      <c r="A20" s="21" t="n">
        <v>1</v>
      </c>
      <c r="B20" s="17" t="s">
        <v>483</v>
      </c>
      <c r="C20" s="16" t="s">
        <v>484</v>
      </c>
      <c r="D20" s="16" t="s">
        <v>485</v>
      </c>
      <c r="E20" s="16" t="s">
        <v>486</v>
      </c>
      <c r="F20" s="44" t="s">
        <v>487</v>
      </c>
      <c r="G20" s="16" t="s">
        <v>488</v>
      </c>
    </row>
    <row r="21" customFormat="false" ht="39.75" hidden="false" customHeight="true" outlineLevel="0" collapsed="false">
      <c r="A21" s="21" t="n">
        <v>2</v>
      </c>
      <c r="B21" s="17" t="s">
        <v>464</v>
      </c>
      <c r="C21" s="16" t="s">
        <v>489</v>
      </c>
      <c r="D21" s="16" t="s">
        <v>490</v>
      </c>
      <c r="E21" s="16" t="s">
        <v>491</v>
      </c>
      <c r="F21" s="44" t="s">
        <v>492</v>
      </c>
      <c r="G21" s="16" t="s">
        <v>493</v>
      </c>
    </row>
    <row r="22" customFormat="false" ht="39.75" hidden="false" customHeight="true" outlineLevel="0" collapsed="false">
      <c r="A22" s="21" t="n">
        <v>3</v>
      </c>
      <c r="B22" s="17" t="s">
        <v>494</v>
      </c>
      <c r="C22" s="16" t="s">
        <v>495</v>
      </c>
      <c r="D22" s="16" t="s">
        <v>496</v>
      </c>
      <c r="E22" s="16" t="s">
        <v>497</v>
      </c>
      <c r="F22" s="44" t="s">
        <v>498</v>
      </c>
      <c r="G22" s="16" t="s">
        <v>499</v>
      </c>
    </row>
    <row r="24" customFormat="false" ht="37.5" hidden="false" customHeight="true" outlineLevel="0" collapsed="false">
      <c r="B24" s="52" t="s">
        <v>500</v>
      </c>
      <c r="C24" s="53" t="s">
        <v>501</v>
      </c>
      <c r="D24" s="53"/>
      <c r="E24" s="53"/>
      <c r="F24" s="53"/>
      <c r="G24" s="53"/>
    </row>
    <row r="25" customFormat="false" ht="37.5" hidden="false" customHeight="true" outlineLevel="0" collapsed="false">
      <c r="B25" s="52" t="s">
        <v>502</v>
      </c>
      <c r="C25" s="53" t="s">
        <v>503</v>
      </c>
      <c r="D25" s="53"/>
      <c r="E25" s="53"/>
      <c r="F25" s="53"/>
      <c r="G25" s="53"/>
    </row>
    <row r="26" customFormat="false" ht="37.5" hidden="false" customHeight="true" outlineLevel="0" collapsed="false">
      <c r="B26" s="54" t="s">
        <v>504</v>
      </c>
      <c r="C26" s="53" t="s">
        <v>505</v>
      </c>
      <c r="D26" s="53"/>
      <c r="E26" s="53"/>
      <c r="F26" s="53"/>
      <c r="G26" s="53"/>
    </row>
    <row r="27" customFormat="false" ht="37.5" hidden="false" customHeight="true" outlineLevel="0" collapsed="false">
      <c r="B27" s="54" t="s">
        <v>506</v>
      </c>
      <c r="C27" s="53" t="s">
        <v>507</v>
      </c>
      <c r="D27" s="53"/>
      <c r="E27" s="53"/>
      <c r="F27" s="53"/>
      <c r="G27" s="53"/>
    </row>
  </sheetData>
  <mergeCells count="6">
    <mergeCell ref="A1:G1"/>
    <mergeCell ref="A2:G2"/>
    <mergeCell ref="C24:G24"/>
    <mergeCell ref="C25:G25"/>
    <mergeCell ref="C26:G26"/>
    <mergeCell ref="C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508</v>
      </c>
      <c r="B1" s="1"/>
      <c r="C1" s="1"/>
      <c r="D1" s="1"/>
      <c r="E1" s="1"/>
      <c r="F1" s="1"/>
      <c r="G1" s="1"/>
      <c r="H1" s="1"/>
      <c r="I1" s="1"/>
      <c r="J1" s="1"/>
      <c r="K1" s="1"/>
      <c r="L1" s="1"/>
    </row>
    <row r="2" customFormat="false" ht="18" hidden="false" customHeight="true" outlineLevel="0" collapsed="false">
      <c r="A2" s="2" t="s">
        <v>509</v>
      </c>
      <c r="B2" s="2"/>
      <c r="C2" s="2"/>
      <c r="D2" s="2"/>
      <c r="E2" s="2"/>
      <c r="F2" s="2"/>
      <c r="G2" s="2"/>
      <c r="H2" s="2"/>
      <c r="I2" s="2"/>
      <c r="J2" s="2"/>
      <c r="K2" s="2"/>
      <c r="L2" s="2"/>
    </row>
    <row r="3" customFormat="false" ht="45.75" hidden="false" customHeight="true" outlineLevel="0" collapsed="false">
      <c r="B3" s="52" t="s">
        <v>510</v>
      </c>
      <c r="C3" s="53" t="s">
        <v>511</v>
      </c>
      <c r="D3" s="53"/>
      <c r="E3" s="53"/>
      <c r="F3" s="53"/>
      <c r="G3" s="53"/>
      <c r="H3" s="53"/>
      <c r="I3" s="53"/>
      <c r="J3" s="53"/>
      <c r="K3" s="53"/>
      <c r="L3" s="53"/>
    </row>
    <row r="4" customFormat="false" ht="31.5" hidden="false" customHeight="true" outlineLevel="0" collapsed="false">
      <c r="A4" s="15" t="s">
        <v>49</v>
      </c>
      <c r="B4" s="15" t="s">
        <v>512</v>
      </c>
      <c r="C4" s="15" t="s">
        <v>513</v>
      </c>
      <c r="D4" s="15" t="s">
        <v>514</v>
      </c>
      <c r="E4" s="15" t="s">
        <v>515</v>
      </c>
      <c r="F4" s="15" t="s">
        <v>516</v>
      </c>
      <c r="G4" s="15" t="s">
        <v>517</v>
      </c>
      <c r="H4" s="15" t="s">
        <v>518</v>
      </c>
      <c r="I4" s="15" t="s">
        <v>519</v>
      </c>
      <c r="J4" s="15" t="s">
        <v>520</v>
      </c>
      <c r="K4" s="15" t="s">
        <v>521</v>
      </c>
      <c r="L4" s="15" t="s">
        <v>522</v>
      </c>
    </row>
    <row r="5" customFormat="false" ht="21.75" hidden="false" customHeight="true" outlineLevel="0" collapsed="false">
      <c r="A5" s="61" t="s">
        <v>523</v>
      </c>
      <c r="B5" s="61"/>
      <c r="C5" s="61"/>
      <c r="D5" s="61"/>
      <c r="E5" s="61"/>
      <c r="F5" s="61"/>
      <c r="G5" s="61"/>
      <c r="H5" s="61"/>
      <c r="I5" s="61"/>
      <c r="J5" s="61"/>
      <c r="K5" s="61"/>
      <c r="L5" s="61"/>
    </row>
    <row r="6" customFormat="false" ht="33.75" hidden="false" customHeight="true" outlineLevel="0" collapsed="false">
      <c r="A6" s="21" t="n">
        <v>1</v>
      </c>
      <c r="B6" s="17" t="s">
        <v>524</v>
      </c>
      <c r="C6" s="16" t="s">
        <v>525</v>
      </c>
      <c r="D6" s="16" t="s">
        <v>526</v>
      </c>
      <c r="E6" s="21" t="s">
        <v>527</v>
      </c>
      <c r="F6" s="23" t="s">
        <v>528</v>
      </c>
      <c r="G6" s="16" t="s">
        <v>529</v>
      </c>
      <c r="H6" s="16" t="s">
        <v>530</v>
      </c>
      <c r="I6" s="18" t="n">
        <v>71</v>
      </c>
      <c r="J6" s="21" t="s">
        <v>531</v>
      </c>
      <c r="K6" s="21" t="n">
        <f aca="false">IF(I6="","",71-I6)</f>
        <v>0</v>
      </c>
      <c r="L6" s="16" t="s">
        <v>532</v>
      </c>
    </row>
    <row r="7" customFormat="false" ht="33.75" hidden="false" customHeight="true" outlineLevel="0" collapsed="false">
      <c r="A7" s="21" t="n">
        <v>2</v>
      </c>
      <c r="B7" s="17" t="s">
        <v>533</v>
      </c>
      <c r="C7" s="16" t="s">
        <v>525</v>
      </c>
      <c r="D7" s="16" t="s">
        <v>526</v>
      </c>
      <c r="E7" s="21" t="s">
        <v>527</v>
      </c>
      <c r="F7" s="23" t="s">
        <v>528</v>
      </c>
      <c r="G7" s="16" t="s">
        <v>529</v>
      </c>
      <c r="H7" s="16" t="s">
        <v>530</v>
      </c>
      <c r="I7" s="18" t="n">
        <v>71</v>
      </c>
      <c r="J7" s="21" t="s">
        <v>534</v>
      </c>
      <c r="K7" s="21" t="n">
        <f aca="false">IF(I7="","",71-I7)</f>
        <v>0</v>
      </c>
      <c r="L7" s="16" t="s">
        <v>535</v>
      </c>
    </row>
    <row r="8" customFormat="false" ht="33.75" hidden="false" customHeight="true" outlineLevel="0" collapsed="false">
      <c r="A8" s="21" t="n">
        <v>3</v>
      </c>
      <c r="B8" s="17" t="s">
        <v>536</v>
      </c>
      <c r="C8" s="16" t="s">
        <v>525</v>
      </c>
      <c r="D8" s="16" t="s">
        <v>526</v>
      </c>
      <c r="E8" s="21" t="s">
        <v>537</v>
      </c>
      <c r="F8" s="23" t="s">
        <v>528</v>
      </c>
      <c r="G8" s="16" t="s">
        <v>538</v>
      </c>
      <c r="H8" s="16" t="s">
        <v>530</v>
      </c>
      <c r="I8" s="18" t="n">
        <v>71</v>
      </c>
      <c r="J8" s="21" t="s">
        <v>539</v>
      </c>
      <c r="K8" s="21" t="n">
        <f aca="false">IF(I8="","",71-I8)</f>
        <v>0</v>
      </c>
      <c r="L8" s="16" t="s">
        <v>540</v>
      </c>
    </row>
    <row r="9" customFormat="false" ht="21.75" hidden="false" customHeight="true" outlineLevel="0" collapsed="false">
      <c r="A9" s="61" t="s">
        <v>541</v>
      </c>
      <c r="B9" s="61"/>
      <c r="C9" s="61"/>
      <c r="D9" s="61"/>
      <c r="E9" s="61"/>
      <c r="F9" s="61"/>
      <c r="G9" s="61"/>
      <c r="H9" s="61"/>
      <c r="I9" s="61"/>
      <c r="J9" s="61"/>
      <c r="K9" s="61"/>
      <c r="L9" s="61"/>
    </row>
    <row r="10" customFormat="false" ht="33.75" hidden="false" customHeight="true" outlineLevel="0" collapsed="false">
      <c r="A10" s="21" t="n">
        <v>4</v>
      </c>
      <c r="B10" s="17" t="s">
        <v>542</v>
      </c>
      <c r="C10" s="16" t="s">
        <v>543</v>
      </c>
      <c r="D10" s="16" t="s">
        <v>544</v>
      </c>
      <c r="E10" s="21" t="s">
        <v>545</v>
      </c>
      <c r="F10" s="22" t="s">
        <v>546</v>
      </c>
      <c r="G10" s="16" t="s">
        <v>547</v>
      </c>
      <c r="H10" s="16" t="s">
        <v>548</v>
      </c>
      <c r="I10" s="20" t="n">
        <v>0</v>
      </c>
      <c r="J10" s="21" t="s">
        <v>81</v>
      </c>
      <c r="K10" s="21" t="n">
        <f aca="false">IF(I10="","",71-I10)</f>
        <v>71</v>
      </c>
      <c r="L10" s="16" t="s">
        <v>549</v>
      </c>
    </row>
    <row r="11" customFormat="false" ht="33.75" hidden="false" customHeight="true" outlineLevel="0" collapsed="false">
      <c r="A11" s="21" t="n">
        <v>5</v>
      </c>
      <c r="B11" s="17" t="s">
        <v>550</v>
      </c>
      <c r="C11" s="16" t="s">
        <v>551</v>
      </c>
      <c r="D11" s="16" t="s">
        <v>552</v>
      </c>
      <c r="E11" s="21" t="s">
        <v>553</v>
      </c>
      <c r="F11" s="22" t="s">
        <v>546</v>
      </c>
      <c r="G11" s="16" t="s">
        <v>554</v>
      </c>
      <c r="H11" s="16" t="s">
        <v>555</v>
      </c>
      <c r="I11" s="18" t="n">
        <v>36</v>
      </c>
      <c r="J11" s="21" t="s">
        <v>556</v>
      </c>
      <c r="K11" s="21" t="n">
        <f aca="false">IF(I11="","",71-I11)</f>
        <v>35</v>
      </c>
      <c r="L11" s="16" t="s">
        <v>557</v>
      </c>
    </row>
    <row r="12" customFormat="false" ht="33.75" hidden="false" customHeight="true" outlineLevel="0" collapsed="false">
      <c r="A12" s="21" t="n">
        <v>6</v>
      </c>
      <c r="B12" s="17" t="s">
        <v>558</v>
      </c>
      <c r="C12" s="16" t="s">
        <v>559</v>
      </c>
      <c r="D12" s="16" t="s">
        <v>560</v>
      </c>
      <c r="E12" s="21" t="s">
        <v>561</v>
      </c>
      <c r="F12" s="22" t="s">
        <v>546</v>
      </c>
      <c r="G12" s="16" t="s">
        <v>554</v>
      </c>
      <c r="H12" s="16" t="s">
        <v>555</v>
      </c>
      <c r="I12" s="19" t="n">
        <v>9</v>
      </c>
      <c r="J12" s="21" t="s">
        <v>562</v>
      </c>
      <c r="K12" s="21" t="n">
        <f aca="false">IF(I12="","",71-I12)</f>
        <v>62</v>
      </c>
      <c r="L12" s="16" t="s">
        <v>563</v>
      </c>
    </row>
    <row r="13" customFormat="false" ht="21.75" hidden="false" customHeight="true" outlineLevel="0" collapsed="false">
      <c r="A13" s="61" t="s">
        <v>564</v>
      </c>
      <c r="B13" s="61"/>
      <c r="C13" s="61"/>
      <c r="D13" s="61"/>
      <c r="E13" s="61"/>
      <c r="F13" s="61"/>
      <c r="G13" s="61"/>
      <c r="H13" s="61"/>
      <c r="I13" s="61"/>
      <c r="J13" s="61"/>
      <c r="K13" s="61"/>
      <c r="L13" s="61"/>
    </row>
    <row r="14" customFormat="false" ht="33.75" hidden="false" customHeight="true" outlineLevel="0" collapsed="false">
      <c r="A14" s="21" t="n">
        <v>7</v>
      </c>
      <c r="B14" s="17" t="s">
        <v>565</v>
      </c>
      <c r="C14" s="16" t="s">
        <v>551</v>
      </c>
      <c r="D14" s="16" t="s">
        <v>566</v>
      </c>
      <c r="E14" s="21" t="s">
        <v>567</v>
      </c>
      <c r="F14" s="21" t="s">
        <v>568</v>
      </c>
      <c r="G14" s="16" t="s">
        <v>569</v>
      </c>
      <c r="H14" s="16" t="s">
        <v>555</v>
      </c>
      <c r="I14" s="18" t="n">
        <v>35</v>
      </c>
      <c r="J14" s="21" t="s">
        <v>570</v>
      </c>
      <c r="K14" s="21" t="n">
        <f aca="false">IF(I14="","",71-I14)</f>
        <v>36</v>
      </c>
      <c r="L14" s="16" t="s">
        <v>571</v>
      </c>
    </row>
    <row r="15" customFormat="false" ht="33.75" hidden="false" customHeight="true" outlineLevel="0" collapsed="false">
      <c r="A15" s="21" t="n">
        <v>8</v>
      </c>
      <c r="B15" s="17" t="s">
        <v>377</v>
      </c>
      <c r="C15" s="16" t="s">
        <v>572</v>
      </c>
      <c r="D15" s="16" t="s">
        <v>526</v>
      </c>
      <c r="E15" s="21" t="s">
        <v>553</v>
      </c>
      <c r="F15" s="23" t="s">
        <v>528</v>
      </c>
      <c r="G15" s="16" t="s">
        <v>573</v>
      </c>
      <c r="H15" s="16" t="s">
        <v>574</v>
      </c>
      <c r="I15" s="20" t="n">
        <v>0</v>
      </c>
      <c r="J15" s="21" t="s">
        <v>575</v>
      </c>
      <c r="K15" s="21" t="n">
        <f aca="false">IF(I15="","",71-I15)</f>
        <v>71</v>
      </c>
      <c r="L15" s="16" t="s">
        <v>576</v>
      </c>
    </row>
    <row r="16" customFormat="false" ht="21.75" hidden="false" customHeight="true" outlineLevel="0" collapsed="false">
      <c r="A16" s="61" t="s">
        <v>577</v>
      </c>
      <c r="B16" s="61"/>
      <c r="C16" s="61"/>
      <c r="D16" s="61"/>
      <c r="E16" s="61"/>
      <c r="F16" s="61"/>
      <c r="G16" s="61"/>
      <c r="H16" s="61"/>
      <c r="I16" s="61"/>
      <c r="J16" s="61"/>
      <c r="K16" s="61"/>
      <c r="L16" s="61"/>
    </row>
    <row r="17" customFormat="false" ht="33.75" hidden="false" customHeight="true" outlineLevel="0" collapsed="false">
      <c r="A17" s="21" t="n">
        <v>9</v>
      </c>
      <c r="B17" s="17" t="s">
        <v>578</v>
      </c>
      <c r="C17" s="16" t="s">
        <v>551</v>
      </c>
      <c r="D17" s="16" t="s">
        <v>579</v>
      </c>
      <c r="E17" s="21" t="s">
        <v>580</v>
      </c>
      <c r="F17" s="23" t="s">
        <v>528</v>
      </c>
      <c r="G17" s="16" t="s">
        <v>581</v>
      </c>
      <c r="H17" s="16" t="s">
        <v>555</v>
      </c>
      <c r="I17" s="19" t="n">
        <v>25</v>
      </c>
      <c r="J17" s="21" t="s">
        <v>582</v>
      </c>
      <c r="K17" s="21" t="n">
        <f aca="false">IF(I17="","",71-I17)</f>
        <v>46</v>
      </c>
      <c r="L17" s="16" t="s">
        <v>583</v>
      </c>
    </row>
    <row r="18" customFormat="false" ht="33.75" hidden="false" customHeight="true" outlineLevel="0" collapsed="false">
      <c r="A18" s="21" t="n">
        <v>10</v>
      </c>
      <c r="B18" s="17" t="s">
        <v>584</v>
      </c>
      <c r="C18" s="16" t="s">
        <v>585</v>
      </c>
      <c r="D18" s="16" t="s">
        <v>586</v>
      </c>
      <c r="E18" s="21" t="s">
        <v>587</v>
      </c>
      <c r="F18" s="22" t="s">
        <v>546</v>
      </c>
      <c r="G18" s="16" t="s">
        <v>588</v>
      </c>
      <c r="H18" s="16" t="s">
        <v>589</v>
      </c>
      <c r="I18" s="19" t="n">
        <v>21</v>
      </c>
      <c r="J18" s="21" t="s">
        <v>590</v>
      </c>
      <c r="K18" s="21" t="n">
        <f aca="false">IF(I18="","",71-I18)</f>
        <v>50</v>
      </c>
      <c r="L18" s="16" t="s">
        <v>591</v>
      </c>
    </row>
    <row r="19" customFormat="false" ht="33.75" hidden="false" customHeight="true" outlineLevel="0" collapsed="false">
      <c r="A19" s="21" t="n">
        <v>11</v>
      </c>
      <c r="B19" s="17" t="s">
        <v>592</v>
      </c>
      <c r="C19" s="16" t="s">
        <v>593</v>
      </c>
      <c r="D19" s="16" t="s">
        <v>594</v>
      </c>
      <c r="E19" s="21" t="s">
        <v>595</v>
      </c>
      <c r="F19" s="23" t="s">
        <v>528</v>
      </c>
      <c r="G19" s="16" t="s">
        <v>596</v>
      </c>
      <c r="H19" s="16" t="s">
        <v>597</v>
      </c>
      <c r="I19" s="19" t="n">
        <v>28</v>
      </c>
      <c r="J19" s="21" t="s">
        <v>598</v>
      </c>
      <c r="K19" s="21" t="n">
        <f aca="false">IF(I19="","",71-I19)</f>
        <v>43</v>
      </c>
      <c r="L19" s="16" t="s">
        <v>599</v>
      </c>
    </row>
    <row r="20" customFormat="false" ht="33.75" hidden="false" customHeight="true" outlineLevel="0" collapsed="false">
      <c r="A20" s="21" t="n">
        <v>12</v>
      </c>
      <c r="B20" s="17" t="s">
        <v>600</v>
      </c>
      <c r="C20" s="16" t="s">
        <v>593</v>
      </c>
      <c r="D20" s="16" t="s">
        <v>601</v>
      </c>
      <c r="E20" s="21" t="s">
        <v>602</v>
      </c>
      <c r="F20" s="23" t="s">
        <v>528</v>
      </c>
      <c r="G20" s="16" t="s">
        <v>554</v>
      </c>
      <c r="H20" s="16" t="s">
        <v>555</v>
      </c>
      <c r="I20" s="19" t="n">
        <v>10</v>
      </c>
      <c r="J20" s="21" t="s">
        <v>603</v>
      </c>
      <c r="K20" s="21" t="n">
        <f aca="false">IF(I20="","",71-I20)</f>
        <v>61</v>
      </c>
      <c r="L20" s="16" t="s">
        <v>604</v>
      </c>
    </row>
    <row r="21" customFormat="false" ht="33.75" hidden="false" customHeight="true" outlineLevel="0" collapsed="false">
      <c r="A21" s="21" t="n">
        <v>13</v>
      </c>
      <c r="B21" s="17" t="s">
        <v>605</v>
      </c>
      <c r="C21" s="16" t="s">
        <v>551</v>
      </c>
      <c r="D21" s="16" t="s">
        <v>606</v>
      </c>
      <c r="E21" s="21" t="s">
        <v>607</v>
      </c>
      <c r="F21" s="23" t="s">
        <v>528</v>
      </c>
      <c r="G21" s="16" t="s">
        <v>547</v>
      </c>
      <c r="H21" s="16" t="s">
        <v>608</v>
      </c>
      <c r="I21" s="20" t="n">
        <v>0</v>
      </c>
      <c r="J21" s="21" t="s">
        <v>81</v>
      </c>
      <c r="K21" s="21" t="n">
        <f aca="false">IF(I21="","",71-I21)</f>
        <v>71</v>
      </c>
      <c r="L21" s="16" t="s">
        <v>609</v>
      </c>
    </row>
    <row r="22" customFormat="false" ht="21.75" hidden="false" customHeight="true" outlineLevel="0" collapsed="false">
      <c r="A22" s="61" t="s">
        <v>610</v>
      </c>
      <c r="B22" s="61"/>
      <c r="C22" s="61"/>
      <c r="D22" s="61"/>
      <c r="E22" s="61"/>
      <c r="F22" s="61"/>
      <c r="G22" s="61"/>
      <c r="H22" s="61"/>
      <c r="I22" s="61"/>
      <c r="J22" s="61"/>
      <c r="K22" s="61"/>
      <c r="L22" s="61"/>
    </row>
    <row r="23" customFormat="false" ht="33.75" hidden="false" customHeight="true" outlineLevel="0" collapsed="false">
      <c r="A23" s="21" t="n">
        <v>14</v>
      </c>
      <c r="B23" s="17" t="s">
        <v>611</v>
      </c>
      <c r="C23" s="16" t="s">
        <v>612</v>
      </c>
      <c r="D23" s="16" t="s">
        <v>613</v>
      </c>
      <c r="E23" s="21" t="s">
        <v>561</v>
      </c>
      <c r="F23" s="21" t="s">
        <v>614</v>
      </c>
      <c r="G23" s="16" t="s">
        <v>615</v>
      </c>
      <c r="H23" s="16" t="s">
        <v>616</v>
      </c>
      <c r="I23" s="19" t="n">
        <v>5</v>
      </c>
      <c r="J23" s="21" t="s">
        <v>617</v>
      </c>
      <c r="K23" s="21" t="n">
        <f aca="false">IF(I23="","",71-I23)</f>
        <v>66</v>
      </c>
      <c r="L23" s="16" t="s">
        <v>618</v>
      </c>
    </row>
    <row r="24" customFormat="false" ht="33.75" hidden="false" customHeight="true" outlineLevel="0" collapsed="false">
      <c r="A24" s="21" t="n">
        <v>15</v>
      </c>
      <c r="B24" s="17" t="s">
        <v>619</v>
      </c>
      <c r="C24" s="16" t="s">
        <v>612</v>
      </c>
      <c r="D24" s="16" t="s">
        <v>620</v>
      </c>
      <c r="E24" s="21" t="s">
        <v>621</v>
      </c>
      <c r="F24" s="21" t="s">
        <v>614</v>
      </c>
      <c r="G24" s="16" t="s">
        <v>622</v>
      </c>
      <c r="H24" s="16" t="s">
        <v>555</v>
      </c>
      <c r="I24" s="19" t="n">
        <v>1</v>
      </c>
      <c r="J24" s="21" t="s">
        <v>623</v>
      </c>
      <c r="K24" s="21" t="n">
        <f aca="false">IF(I24="","",71-I24)</f>
        <v>70</v>
      </c>
      <c r="L24" s="16" t="s">
        <v>624</v>
      </c>
    </row>
    <row r="25" customFormat="false" ht="33.75" hidden="false" customHeight="true" outlineLevel="0" collapsed="false">
      <c r="A25" s="21" t="n">
        <v>16</v>
      </c>
      <c r="B25" s="17" t="s">
        <v>625</v>
      </c>
      <c r="C25" s="16" t="s">
        <v>585</v>
      </c>
      <c r="D25" s="16" t="s">
        <v>526</v>
      </c>
      <c r="E25" s="21" t="s">
        <v>626</v>
      </c>
      <c r="F25" s="23" t="s">
        <v>528</v>
      </c>
      <c r="G25" s="16" t="s">
        <v>627</v>
      </c>
      <c r="H25" s="16" t="s">
        <v>628</v>
      </c>
      <c r="I25" s="20" t="n">
        <v>0</v>
      </c>
      <c r="J25" s="21" t="s">
        <v>81</v>
      </c>
      <c r="K25" s="21" t="n">
        <f aca="false">IF(I25="","",71-I25)</f>
        <v>71</v>
      </c>
      <c r="L25" s="16" t="s">
        <v>629</v>
      </c>
    </row>
    <row r="26" customFormat="false" ht="33.75" hidden="false" customHeight="true" outlineLevel="0" collapsed="false">
      <c r="A26" s="21" t="n">
        <v>17</v>
      </c>
      <c r="B26" s="17" t="s">
        <v>630</v>
      </c>
      <c r="C26" s="16" t="s">
        <v>631</v>
      </c>
      <c r="D26" s="16" t="s">
        <v>526</v>
      </c>
      <c r="E26" s="21" t="s">
        <v>632</v>
      </c>
      <c r="F26" s="23" t="s">
        <v>528</v>
      </c>
      <c r="G26" s="16" t="s">
        <v>633</v>
      </c>
      <c r="H26" s="16" t="s">
        <v>634</v>
      </c>
      <c r="I26" s="20" t="n">
        <v>0</v>
      </c>
      <c r="J26" s="21" t="s">
        <v>635</v>
      </c>
      <c r="K26" s="21" t="n">
        <f aca="false">IF(I26="","",71-I26)</f>
        <v>71</v>
      </c>
      <c r="L26" s="16" t="s">
        <v>636</v>
      </c>
    </row>
    <row r="27" customFormat="false" ht="33.75" hidden="false" customHeight="true" outlineLevel="0" collapsed="false">
      <c r="A27" s="21" t="n">
        <v>18</v>
      </c>
      <c r="B27" s="17" t="s">
        <v>637</v>
      </c>
      <c r="C27" s="16" t="s">
        <v>638</v>
      </c>
      <c r="D27" s="16" t="s">
        <v>639</v>
      </c>
      <c r="E27" s="21" t="s">
        <v>105</v>
      </c>
      <c r="F27" s="21" t="s">
        <v>41</v>
      </c>
      <c r="G27" s="16" t="s">
        <v>640</v>
      </c>
      <c r="H27" s="16" t="s">
        <v>641</v>
      </c>
      <c r="I27" s="20" t="n">
        <v>0</v>
      </c>
      <c r="J27" s="21" t="s">
        <v>642</v>
      </c>
      <c r="K27" s="62" t="s">
        <v>643</v>
      </c>
      <c r="L27" s="16" t="s">
        <v>644</v>
      </c>
    </row>
    <row r="28" customFormat="false" ht="21.75" hidden="false" customHeight="true" outlineLevel="0" collapsed="false">
      <c r="A28" s="61" t="s">
        <v>645</v>
      </c>
      <c r="B28" s="61"/>
      <c r="C28" s="61"/>
      <c r="D28" s="61"/>
      <c r="E28" s="61"/>
      <c r="F28" s="61"/>
      <c r="G28" s="61"/>
      <c r="H28" s="61"/>
      <c r="I28" s="61"/>
      <c r="J28" s="61"/>
      <c r="K28" s="61"/>
      <c r="L28" s="61"/>
    </row>
    <row r="29" customFormat="false" ht="33.75" hidden="false" customHeight="true" outlineLevel="0" collapsed="false">
      <c r="A29" s="21" t="n">
        <v>19</v>
      </c>
      <c r="B29" s="17" t="s">
        <v>646</v>
      </c>
      <c r="C29" s="16" t="s">
        <v>613</v>
      </c>
      <c r="D29" s="16" t="s">
        <v>647</v>
      </c>
      <c r="E29" s="21" t="s">
        <v>105</v>
      </c>
      <c r="F29" s="21" t="s">
        <v>648</v>
      </c>
      <c r="G29" s="16" t="s">
        <v>649</v>
      </c>
      <c r="H29" s="16" t="s">
        <v>650</v>
      </c>
      <c r="I29" s="20" t="n">
        <v>0</v>
      </c>
      <c r="J29" s="21" t="s">
        <v>651</v>
      </c>
      <c r="K29" s="62" t="s">
        <v>643</v>
      </c>
      <c r="L29" s="16" t="s">
        <v>652</v>
      </c>
    </row>
    <row r="30" customFormat="false" ht="33.75" hidden="false" customHeight="true" outlineLevel="0" collapsed="false">
      <c r="A30" s="21" t="n">
        <v>20</v>
      </c>
      <c r="B30" s="17" t="s">
        <v>653</v>
      </c>
      <c r="C30" s="16" t="s">
        <v>613</v>
      </c>
      <c r="D30" s="16" t="s">
        <v>654</v>
      </c>
      <c r="E30" s="21" t="s">
        <v>105</v>
      </c>
      <c r="F30" s="21" t="s">
        <v>648</v>
      </c>
      <c r="G30" s="16" t="s">
        <v>655</v>
      </c>
      <c r="H30" s="16" t="s">
        <v>656</v>
      </c>
      <c r="I30" s="20" t="n">
        <v>0</v>
      </c>
      <c r="J30" s="21" t="s">
        <v>657</v>
      </c>
      <c r="K30" s="62" t="s">
        <v>643</v>
      </c>
      <c r="L30" s="16" t="s">
        <v>658</v>
      </c>
    </row>
    <row r="32" customFormat="false" ht="39.75" hidden="false" customHeight="true" outlineLevel="0" collapsed="false">
      <c r="B32" s="54" t="s">
        <v>659</v>
      </c>
      <c r="C32" s="53" t="s">
        <v>660</v>
      </c>
      <c r="D32" s="53"/>
      <c r="E32" s="53"/>
      <c r="F32" s="53"/>
      <c r="G32" s="53"/>
      <c r="H32" s="53"/>
      <c r="I32" s="53"/>
      <c r="J32" s="53"/>
      <c r="K32" s="53"/>
      <c r="L32" s="53"/>
    </row>
    <row r="33" customFormat="false" ht="39.75" hidden="false" customHeight="true" outlineLevel="0" collapsed="false">
      <c r="B33" s="52" t="s">
        <v>661</v>
      </c>
      <c r="C33" s="53" t="s">
        <v>662</v>
      </c>
      <c r="D33" s="53"/>
      <c r="E33" s="53"/>
      <c r="F33" s="53"/>
      <c r="G33" s="53"/>
      <c r="H33" s="53"/>
      <c r="I33" s="53"/>
      <c r="J33" s="53"/>
      <c r="K33" s="53"/>
      <c r="L33" s="53"/>
    </row>
    <row r="34" customFormat="false" ht="39.75" hidden="false" customHeight="true" outlineLevel="0" collapsed="false">
      <c r="B34" s="52" t="s">
        <v>663</v>
      </c>
      <c r="C34" s="53" t="s">
        <v>664</v>
      </c>
      <c r="D34" s="53"/>
      <c r="E34" s="53"/>
      <c r="F34" s="53"/>
      <c r="G34" s="53"/>
      <c r="H34" s="53"/>
      <c r="I34" s="53"/>
      <c r="J34" s="53"/>
      <c r="K34" s="53"/>
      <c r="L34" s="53"/>
    </row>
    <row r="35" customFormat="false" ht="39.75" hidden="false" customHeight="true" outlineLevel="0" collapsed="false">
      <c r="B35" s="54" t="s">
        <v>665</v>
      </c>
      <c r="C35" s="53" t="s">
        <v>666</v>
      </c>
      <c r="D35" s="53"/>
      <c r="E35" s="53"/>
      <c r="F35" s="53"/>
      <c r="G35" s="53"/>
      <c r="H35" s="53"/>
      <c r="I35" s="53"/>
      <c r="J35" s="53"/>
      <c r="K35" s="53"/>
      <c r="L35" s="53"/>
    </row>
    <row r="36" customFormat="false" ht="39.75" hidden="false" customHeight="true" outlineLevel="0" collapsed="false">
      <c r="B36" s="52" t="s">
        <v>667</v>
      </c>
      <c r="C36" s="53" t="s">
        <v>668</v>
      </c>
      <c r="D36" s="53"/>
      <c r="E36" s="53"/>
      <c r="F36" s="53"/>
      <c r="G36" s="53"/>
      <c r="H36" s="53"/>
      <c r="I36" s="53"/>
      <c r="J36" s="53"/>
      <c r="K36" s="53"/>
      <c r="L36" s="53"/>
    </row>
  </sheetData>
  <mergeCells count="14">
    <mergeCell ref="A1:L1"/>
    <mergeCell ref="A2:L2"/>
    <mergeCell ref="C3:L3"/>
    <mergeCell ref="A5:L5"/>
    <mergeCell ref="A9:L9"/>
    <mergeCell ref="A13:L13"/>
    <mergeCell ref="A16:L16"/>
    <mergeCell ref="A22:L22"/>
    <mergeCell ref="A28:L28"/>
    <mergeCell ref="C32:L32"/>
    <mergeCell ref="C33:L33"/>
    <mergeCell ref="C34:L34"/>
    <mergeCell ref="C35:L35"/>
    <mergeCell ref="C36:L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26"/>
    <col collapsed="false" customWidth="true" hidden="false" outlineLevel="0" max="9" min="9" style="0" width="11"/>
  </cols>
  <sheetData>
    <row r="1" customFormat="false" ht="25.5" hidden="false" customHeight="true" outlineLevel="0" collapsed="false">
      <c r="A1" s="1" t="s">
        <v>669</v>
      </c>
      <c r="B1" s="1"/>
      <c r="C1" s="1"/>
      <c r="D1" s="1"/>
      <c r="E1" s="1"/>
      <c r="F1" s="1"/>
      <c r="G1" s="1"/>
      <c r="H1" s="1"/>
      <c r="I1" s="1"/>
    </row>
    <row r="2" customFormat="false" ht="18" hidden="false" customHeight="true" outlineLevel="0" collapsed="false">
      <c r="A2" s="2" t="s">
        <v>670</v>
      </c>
      <c r="B2" s="2"/>
      <c r="C2" s="2"/>
      <c r="D2" s="2"/>
      <c r="E2" s="2"/>
      <c r="F2" s="2"/>
      <c r="G2" s="2"/>
      <c r="H2" s="2"/>
      <c r="I2" s="2"/>
    </row>
    <row r="3" customFormat="false" ht="39.75" hidden="false" customHeight="true" outlineLevel="0" collapsed="false">
      <c r="B3" s="52" t="s">
        <v>671</v>
      </c>
      <c r="C3" s="53" t="s">
        <v>672</v>
      </c>
      <c r="D3" s="53"/>
      <c r="E3" s="53"/>
      <c r="F3" s="53"/>
      <c r="G3" s="53"/>
      <c r="H3" s="53"/>
      <c r="I3" s="53"/>
    </row>
    <row r="4" customFormat="false" ht="31.5" hidden="false" customHeight="true" outlineLevel="0" collapsed="false">
      <c r="A4" s="15" t="s">
        <v>49</v>
      </c>
      <c r="B4" s="15" t="s">
        <v>673</v>
      </c>
      <c r="C4" s="15" t="s">
        <v>674</v>
      </c>
      <c r="D4" s="15" t="s">
        <v>675</v>
      </c>
      <c r="E4" s="15" t="s">
        <v>676</v>
      </c>
      <c r="F4" s="15" t="s">
        <v>677</v>
      </c>
      <c r="G4" s="15" t="s">
        <v>678</v>
      </c>
      <c r="H4" s="15" t="s">
        <v>679</v>
      </c>
      <c r="I4" s="15" t="s">
        <v>680</v>
      </c>
    </row>
    <row r="5" customFormat="false" ht="21.75" hidden="false" customHeight="true" outlineLevel="0" collapsed="false">
      <c r="A5" s="63" t="s">
        <v>681</v>
      </c>
      <c r="B5" s="63"/>
      <c r="C5" s="63"/>
      <c r="D5" s="63"/>
      <c r="E5" s="63"/>
      <c r="F5" s="63"/>
      <c r="G5" s="63"/>
      <c r="H5" s="63"/>
      <c r="I5" s="63"/>
    </row>
    <row r="6" customFormat="false" ht="36" hidden="false" customHeight="true" outlineLevel="0" collapsed="false">
      <c r="A6" s="21" t="n">
        <v>1</v>
      </c>
      <c r="B6" s="17" t="s">
        <v>682</v>
      </c>
      <c r="C6" s="16" t="s">
        <v>683</v>
      </c>
      <c r="D6" s="16" t="s">
        <v>684</v>
      </c>
      <c r="E6" s="21" t="s">
        <v>685</v>
      </c>
      <c r="F6" s="21" t="s">
        <v>686</v>
      </c>
      <c r="G6" s="21" t="s">
        <v>687</v>
      </c>
      <c r="H6" s="16" t="s">
        <v>688</v>
      </c>
      <c r="I6" s="21" t="s">
        <v>105</v>
      </c>
    </row>
    <row r="7" customFormat="false" ht="36" hidden="false" customHeight="true" outlineLevel="0" collapsed="false">
      <c r="A7" s="21" t="n">
        <v>2</v>
      </c>
      <c r="B7" s="17" t="s">
        <v>689</v>
      </c>
      <c r="C7" s="16" t="s">
        <v>690</v>
      </c>
      <c r="D7" s="16" t="s">
        <v>691</v>
      </c>
      <c r="E7" s="21" t="s">
        <v>685</v>
      </c>
      <c r="F7" s="21" t="s">
        <v>692</v>
      </c>
      <c r="G7" s="21" t="s">
        <v>693</v>
      </c>
      <c r="H7" s="16" t="s">
        <v>694</v>
      </c>
      <c r="I7" s="21" t="s">
        <v>695</v>
      </c>
    </row>
    <row r="8" customFormat="false" ht="36" hidden="false" customHeight="true" outlineLevel="0" collapsed="false">
      <c r="A8" s="21" t="n">
        <v>3</v>
      </c>
      <c r="B8" s="17" t="s">
        <v>696</v>
      </c>
      <c r="C8" s="16" t="s">
        <v>697</v>
      </c>
      <c r="D8" s="16" t="s">
        <v>698</v>
      </c>
      <c r="E8" s="21" t="s">
        <v>685</v>
      </c>
      <c r="F8" s="21" t="s">
        <v>699</v>
      </c>
      <c r="G8" s="21" t="s">
        <v>700</v>
      </c>
      <c r="H8" s="16" t="s">
        <v>701</v>
      </c>
      <c r="I8" s="21" t="s">
        <v>105</v>
      </c>
    </row>
    <row r="9" customFormat="false" ht="36" hidden="false" customHeight="true" outlineLevel="0" collapsed="false">
      <c r="A9" s="21" t="n">
        <v>4</v>
      </c>
      <c r="B9" s="17" t="s">
        <v>702</v>
      </c>
      <c r="C9" s="16" t="s">
        <v>703</v>
      </c>
      <c r="D9" s="16" t="s">
        <v>704</v>
      </c>
      <c r="E9" s="21" t="s">
        <v>685</v>
      </c>
      <c r="F9" s="21" t="s">
        <v>699</v>
      </c>
      <c r="G9" s="21" t="s">
        <v>700</v>
      </c>
      <c r="H9" s="16" t="s">
        <v>705</v>
      </c>
      <c r="I9" s="21" t="s">
        <v>105</v>
      </c>
    </row>
    <row r="10" customFormat="false" ht="36" hidden="false" customHeight="true" outlineLevel="0" collapsed="false">
      <c r="A10" s="21" t="n">
        <v>5</v>
      </c>
      <c r="B10" s="17" t="s">
        <v>706</v>
      </c>
      <c r="C10" s="16" t="s">
        <v>707</v>
      </c>
      <c r="D10" s="16" t="s">
        <v>708</v>
      </c>
      <c r="E10" s="21" t="s">
        <v>709</v>
      </c>
      <c r="F10" s="21" t="s">
        <v>710</v>
      </c>
      <c r="G10" s="21" t="s">
        <v>711</v>
      </c>
      <c r="H10" s="16" t="s">
        <v>712</v>
      </c>
      <c r="I10" s="23" t="s">
        <v>713</v>
      </c>
    </row>
    <row r="11" customFormat="false" ht="21.75" hidden="false" customHeight="true" outlineLevel="0" collapsed="false">
      <c r="A11" s="64" t="s">
        <v>714</v>
      </c>
      <c r="B11" s="64"/>
      <c r="C11" s="64"/>
      <c r="D11" s="64"/>
      <c r="E11" s="64"/>
      <c r="F11" s="64"/>
      <c r="G11" s="64"/>
      <c r="H11" s="64"/>
      <c r="I11" s="64"/>
    </row>
    <row r="12" customFormat="false" ht="36" hidden="false" customHeight="true" outlineLevel="0" collapsed="false">
      <c r="A12" s="21" t="n">
        <v>6</v>
      </c>
      <c r="B12" s="17" t="s">
        <v>715</v>
      </c>
      <c r="C12" s="16" t="s">
        <v>716</v>
      </c>
      <c r="D12" s="16" t="s">
        <v>717</v>
      </c>
      <c r="E12" s="21" t="s">
        <v>718</v>
      </c>
      <c r="F12" s="21" t="s">
        <v>719</v>
      </c>
      <c r="G12" s="21" t="s">
        <v>720</v>
      </c>
      <c r="H12" s="16" t="s">
        <v>721</v>
      </c>
      <c r="I12" s="21" t="s">
        <v>695</v>
      </c>
    </row>
    <row r="13" customFormat="false" ht="36" hidden="false" customHeight="true" outlineLevel="0" collapsed="false">
      <c r="A13" s="21" t="n">
        <v>7</v>
      </c>
      <c r="B13" s="17" t="s">
        <v>722</v>
      </c>
      <c r="C13" s="16" t="s">
        <v>723</v>
      </c>
      <c r="D13" s="16" t="s">
        <v>724</v>
      </c>
      <c r="E13" s="21" t="s">
        <v>725</v>
      </c>
      <c r="F13" s="21" t="s">
        <v>726</v>
      </c>
      <c r="G13" s="21" t="s">
        <v>727</v>
      </c>
      <c r="H13" s="16" t="s">
        <v>728</v>
      </c>
      <c r="I13" s="21" t="s">
        <v>105</v>
      </c>
    </row>
    <row r="14" customFormat="false" ht="36" hidden="false" customHeight="true" outlineLevel="0" collapsed="false">
      <c r="A14" s="21" t="n">
        <v>8</v>
      </c>
      <c r="B14" s="17" t="s">
        <v>729</v>
      </c>
      <c r="C14" s="16" t="s">
        <v>730</v>
      </c>
      <c r="D14" s="16" t="s">
        <v>731</v>
      </c>
      <c r="E14" s="21" t="s">
        <v>732</v>
      </c>
      <c r="F14" s="21" t="s">
        <v>733</v>
      </c>
      <c r="G14" s="21" t="s">
        <v>734</v>
      </c>
      <c r="H14" s="16" t="s">
        <v>735</v>
      </c>
      <c r="I14" s="21" t="s">
        <v>695</v>
      </c>
    </row>
    <row r="15" customFormat="false" ht="36" hidden="false" customHeight="true" outlineLevel="0" collapsed="false">
      <c r="A15" s="21" t="n">
        <v>9</v>
      </c>
      <c r="B15" s="17" t="s">
        <v>736</v>
      </c>
      <c r="C15" s="16" t="s">
        <v>737</v>
      </c>
      <c r="D15" s="16" t="s">
        <v>738</v>
      </c>
      <c r="E15" s="21" t="s">
        <v>739</v>
      </c>
      <c r="F15" s="21" t="s">
        <v>686</v>
      </c>
      <c r="G15" s="21" t="s">
        <v>727</v>
      </c>
      <c r="H15" s="16" t="s">
        <v>740</v>
      </c>
      <c r="I15" s="21" t="s">
        <v>695</v>
      </c>
    </row>
    <row r="16" customFormat="false" ht="36" hidden="false" customHeight="true" outlineLevel="0" collapsed="false">
      <c r="A16" s="21" t="n">
        <v>10</v>
      </c>
      <c r="B16" s="17" t="s">
        <v>741</v>
      </c>
      <c r="C16" s="16" t="s">
        <v>742</v>
      </c>
      <c r="D16" s="16" t="s">
        <v>743</v>
      </c>
      <c r="E16" s="21" t="s">
        <v>744</v>
      </c>
      <c r="F16" s="21" t="s">
        <v>699</v>
      </c>
      <c r="G16" s="21" t="s">
        <v>745</v>
      </c>
      <c r="H16" s="16" t="s">
        <v>746</v>
      </c>
      <c r="I16" s="21" t="s">
        <v>105</v>
      </c>
    </row>
    <row r="17" customFormat="false" ht="21.75" hidden="false" customHeight="true" outlineLevel="0" collapsed="false">
      <c r="A17" s="65" t="s">
        <v>747</v>
      </c>
      <c r="B17" s="65"/>
      <c r="C17" s="65"/>
      <c r="D17" s="65"/>
      <c r="E17" s="65"/>
      <c r="F17" s="65"/>
      <c r="G17" s="65"/>
      <c r="H17" s="65"/>
      <c r="I17" s="65"/>
    </row>
    <row r="18" customFormat="false" ht="36" hidden="false" customHeight="true" outlineLevel="0" collapsed="false">
      <c r="A18" s="21" t="n">
        <v>11</v>
      </c>
      <c r="B18" s="17" t="s">
        <v>600</v>
      </c>
      <c r="C18" s="16" t="s">
        <v>748</v>
      </c>
      <c r="D18" s="16" t="s">
        <v>749</v>
      </c>
      <c r="E18" s="21" t="s">
        <v>750</v>
      </c>
      <c r="F18" s="21" t="s">
        <v>751</v>
      </c>
      <c r="G18" s="21" t="s">
        <v>752</v>
      </c>
      <c r="H18" s="16" t="s">
        <v>753</v>
      </c>
      <c r="I18" s="23" t="s">
        <v>754</v>
      </c>
    </row>
    <row r="19" customFormat="false" ht="36" hidden="false" customHeight="true" outlineLevel="0" collapsed="false">
      <c r="A19" s="21" t="n">
        <v>12</v>
      </c>
      <c r="B19" s="17" t="s">
        <v>605</v>
      </c>
      <c r="C19" s="16" t="s">
        <v>755</v>
      </c>
      <c r="D19" s="16" t="s">
        <v>756</v>
      </c>
      <c r="E19" s="21" t="s">
        <v>757</v>
      </c>
      <c r="F19" s="21" t="s">
        <v>758</v>
      </c>
      <c r="G19" s="21" t="s">
        <v>759</v>
      </c>
      <c r="H19" s="16" t="s">
        <v>760</v>
      </c>
      <c r="I19" s="21" t="s">
        <v>695</v>
      </c>
    </row>
    <row r="20" customFormat="false" ht="36" hidden="false" customHeight="true" outlineLevel="0" collapsed="false">
      <c r="A20" s="21" t="n">
        <v>13</v>
      </c>
      <c r="B20" s="17" t="s">
        <v>761</v>
      </c>
      <c r="C20" s="16" t="s">
        <v>762</v>
      </c>
      <c r="D20" s="16" t="s">
        <v>763</v>
      </c>
      <c r="E20" s="21" t="s">
        <v>764</v>
      </c>
      <c r="F20" s="21" t="s">
        <v>765</v>
      </c>
      <c r="G20" s="21" t="s">
        <v>766</v>
      </c>
      <c r="H20" s="16" t="s">
        <v>767</v>
      </c>
      <c r="I20" s="23" t="s">
        <v>754</v>
      </c>
    </row>
    <row r="21" customFormat="false" ht="36" hidden="false" customHeight="true" outlineLevel="0" collapsed="false">
      <c r="A21" s="21" t="n">
        <v>14</v>
      </c>
      <c r="B21" s="17" t="s">
        <v>377</v>
      </c>
      <c r="C21" s="16" t="s">
        <v>768</v>
      </c>
      <c r="D21" s="16" t="s">
        <v>769</v>
      </c>
      <c r="E21" s="21" t="s">
        <v>770</v>
      </c>
      <c r="F21" s="21" t="s">
        <v>771</v>
      </c>
      <c r="G21" s="21" t="s">
        <v>772</v>
      </c>
      <c r="H21" s="16" t="s">
        <v>773</v>
      </c>
      <c r="I21" s="23" t="s">
        <v>774</v>
      </c>
    </row>
    <row r="22" customFormat="false" ht="36" hidden="false" customHeight="true" outlineLevel="0" collapsed="false">
      <c r="A22" s="21" t="n">
        <v>15</v>
      </c>
      <c r="B22" s="17" t="s">
        <v>775</v>
      </c>
      <c r="C22" s="16" t="s">
        <v>776</v>
      </c>
      <c r="D22" s="16" t="s">
        <v>777</v>
      </c>
      <c r="E22" s="21" t="s">
        <v>778</v>
      </c>
      <c r="F22" s="21" t="s">
        <v>765</v>
      </c>
      <c r="G22" s="21" t="s">
        <v>772</v>
      </c>
      <c r="H22" s="16" t="s">
        <v>779</v>
      </c>
      <c r="I22" s="21" t="s">
        <v>695</v>
      </c>
    </row>
    <row r="23" customFormat="false" ht="21.75" hidden="false" customHeight="true" outlineLevel="0" collapsed="false">
      <c r="A23" s="66" t="s">
        <v>780</v>
      </c>
      <c r="B23" s="66"/>
      <c r="C23" s="66"/>
      <c r="D23" s="66"/>
      <c r="E23" s="66"/>
      <c r="F23" s="66"/>
      <c r="G23" s="66"/>
      <c r="H23" s="66"/>
      <c r="I23" s="66"/>
    </row>
    <row r="24" customFormat="false" ht="36" hidden="false" customHeight="true" outlineLevel="0" collapsed="false">
      <c r="A24" s="21" t="n">
        <v>16</v>
      </c>
      <c r="B24" s="17" t="s">
        <v>164</v>
      </c>
      <c r="C24" s="16" t="s">
        <v>730</v>
      </c>
      <c r="D24" s="16" t="s">
        <v>781</v>
      </c>
      <c r="E24" s="21" t="s">
        <v>782</v>
      </c>
      <c r="F24" s="21" t="s">
        <v>783</v>
      </c>
      <c r="G24" s="21" t="s">
        <v>784</v>
      </c>
      <c r="H24" s="16" t="s">
        <v>785</v>
      </c>
      <c r="I24" s="23" t="s">
        <v>774</v>
      </c>
    </row>
    <row r="25" customFormat="false" ht="36" hidden="false" customHeight="true" outlineLevel="0" collapsed="false">
      <c r="A25" s="21" t="n">
        <v>17</v>
      </c>
      <c r="B25" s="17" t="s">
        <v>786</v>
      </c>
      <c r="C25" s="16" t="s">
        <v>787</v>
      </c>
      <c r="D25" s="16" t="s">
        <v>788</v>
      </c>
      <c r="E25" s="21" t="s">
        <v>789</v>
      </c>
      <c r="F25" s="21" t="s">
        <v>686</v>
      </c>
      <c r="G25" s="21" t="s">
        <v>784</v>
      </c>
      <c r="H25" s="16" t="s">
        <v>790</v>
      </c>
      <c r="I25" s="21" t="s">
        <v>105</v>
      </c>
    </row>
    <row r="26" customFormat="false" ht="36" hidden="false" customHeight="true" outlineLevel="0" collapsed="false">
      <c r="A26" s="21" t="n">
        <v>18</v>
      </c>
      <c r="B26" s="17" t="s">
        <v>646</v>
      </c>
      <c r="C26" s="16" t="s">
        <v>791</v>
      </c>
      <c r="D26" s="16" t="s">
        <v>792</v>
      </c>
      <c r="E26" s="21" t="s">
        <v>793</v>
      </c>
      <c r="F26" s="21" t="s">
        <v>771</v>
      </c>
      <c r="G26" s="21" t="s">
        <v>784</v>
      </c>
      <c r="H26" s="16" t="s">
        <v>794</v>
      </c>
      <c r="I26" s="21" t="s">
        <v>695</v>
      </c>
    </row>
    <row r="27" customFormat="false" ht="36" hidden="false" customHeight="true" outlineLevel="0" collapsed="false">
      <c r="A27" s="21" t="n">
        <v>19</v>
      </c>
      <c r="B27" s="17" t="s">
        <v>795</v>
      </c>
      <c r="C27" s="16" t="s">
        <v>796</v>
      </c>
      <c r="D27" s="16" t="s">
        <v>797</v>
      </c>
      <c r="E27" s="21" t="s">
        <v>793</v>
      </c>
      <c r="F27" s="21" t="s">
        <v>798</v>
      </c>
      <c r="G27" s="21" t="s">
        <v>799</v>
      </c>
      <c r="H27" s="16" t="s">
        <v>800</v>
      </c>
      <c r="I27" s="21" t="s">
        <v>105</v>
      </c>
    </row>
    <row r="29" customFormat="false" ht="45.75" hidden="false" customHeight="true" outlineLevel="0" collapsed="false">
      <c r="B29" s="52" t="s">
        <v>801</v>
      </c>
      <c r="C29" s="53" t="s">
        <v>802</v>
      </c>
      <c r="D29" s="53"/>
      <c r="E29" s="53"/>
      <c r="F29" s="53"/>
      <c r="G29" s="53"/>
      <c r="H29" s="53"/>
      <c r="I29" s="53"/>
    </row>
    <row r="30" customFormat="false" ht="45.75" hidden="false" customHeight="true" outlineLevel="0" collapsed="false">
      <c r="B30" s="54" t="s">
        <v>803</v>
      </c>
      <c r="C30" s="53" t="s">
        <v>804</v>
      </c>
      <c r="D30" s="53"/>
      <c r="E30" s="53"/>
      <c r="F30" s="53"/>
      <c r="G30" s="53"/>
      <c r="H30" s="53"/>
      <c r="I30" s="53"/>
    </row>
    <row r="31" customFormat="false" ht="45.75" hidden="false" customHeight="true" outlineLevel="0" collapsed="false">
      <c r="B31" s="52" t="s">
        <v>805</v>
      </c>
      <c r="C31" s="53" t="s">
        <v>806</v>
      </c>
      <c r="D31" s="53"/>
      <c r="E31" s="53"/>
      <c r="F31" s="53"/>
      <c r="G31" s="53"/>
      <c r="H31" s="53"/>
      <c r="I31" s="53"/>
    </row>
    <row r="32" customFormat="false" ht="45.75" hidden="false" customHeight="true" outlineLevel="0" collapsed="false">
      <c r="B32" s="52" t="s">
        <v>807</v>
      </c>
      <c r="C32" s="53" t="s">
        <v>808</v>
      </c>
      <c r="D32" s="53"/>
      <c r="E32" s="53"/>
      <c r="F32" s="53"/>
      <c r="G32" s="53"/>
      <c r="H32" s="53"/>
      <c r="I32" s="53"/>
    </row>
    <row r="33" customFormat="false" ht="45.75" hidden="false" customHeight="true" outlineLevel="0" collapsed="false">
      <c r="B33" s="54" t="s">
        <v>809</v>
      </c>
      <c r="C33" s="53" t="s">
        <v>810</v>
      </c>
      <c r="D33" s="53"/>
      <c r="E33" s="53"/>
      <c r="F33" s="53"/>
      <c r="G33" s="53"/>
      <c r="H33" s="53"/>
      <c r="I33" s="53"/>
    </row>
  </sheetData>
  <mergeCells count="12">
    <mergeCell ref="A1:I1"/>
    <mergeCell ref="A2:I2"/>
    <mergeCell ref="C3:I3"/>
    <mergeCell ref="A5:I5"/>
    <mergeCell ref="A11:I11"/>
    <mergeCell ref="A17:I17"/>
    <mergeCell ref="A23:I23"/>
    <mergeCell ref="C29:I29"/>
    <mergeCell ref="C30:I30"/>
    <mergeCell ref="C31:I31"/>
    <mergeCell ref="C32:I32"/>
    <mergeCell ref="C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6"/>
    <col collapsed="false" customWidth="true" hidden="false" outlineLevel="0" max="7" min="7" style="0" width="40"/>
  </cols>
  <sheetData>
    <row r="1" customFormat="false" ht="25.5" hidden="false" customHeight="true" outlineLevel="0" collapsed="false">
      <c r="A1" s="1" t="s">
        <v>17</v>
      </c>
      <c r="B1" s="1"/>
      <c r="C1" s="1"/>
      <c r="D1" s="1"/>
      <c r="E1" s="1"/>
      <c r="F1" s="1"/>
      <c r="G1" s="1"/>
    </row>
    <row r="2" customFormat="false" ht="18" hidden="false" customHeight="true" outlineLevel="0" collapsed="false">
      <c r="A2" s="2" t="s">
        <v>811</v>
      </c>
      <c r="B2" s="2"/>
      <c r="C2" s="2"/>
      <c r="D2" s="2"/>
      <c r="E2" s="2"/>
      <c r="F2" s="2"/>
      <c r="G2" s="2"/>
    </row>
    <row r="3" customFormat="false" ht="45.75" hidden="false" customHeight="true" outlineLevel="0" collapsed="false">
      <c r="B3" s="54" t="s">
        <v>812</v>
      </c>
      <c r="C3" s="55" t="s">
        <v>813</v>
      </c>
      <c r="D3" s="55"/>
      <c r="E3" s="55"/>
      <c r="F3" s="55"/>
      <c r="G3" s="55"/>
    </row>
    <row r="4" customFormat="false" ht="31.5" hidden="false" customHeight="true" outlineLevel="0" collapsed="false">
      <c r="A4" s="15" t="s">
        <v>49</v>
      </c>
      <c r="B4" s="15" t="s">
        <v>814</v>
      </c>
      <c r="C4" s="15" t="s">
        <v>815</v>
      </c>
      <c r="D4" s="15" t="s">
        <v>816</v>
      </c>
      <c r="E4" s="15"/>
      <c r="F4" s="15"/>
      <c r="G4" s="15" t="s">
        <v>817</v>
      </c>
    </row>
    <row r="5" customFormat="false" ht="24" hidden="false" customHeight="true" outlineLevel="0" collapsed="false">
      <c r="A5" s="21" t="n">
        <v>1</v>
      </c>
      <c r="B5" s="24" t="s">
        <v>818</v>
      </c>
      <c r="C5" s="21" t="s">
        <v>819</v>
      </c>
      <c r="D5" s="67" t="s">
        <v>819</v>
      </c>
      <c r="E5" s="21"/>
      <c r="F5" s="21"/>
      <c r="G5" s="16" t="s">
        <v>820</v>
      </c>
    </row>
    <row r="6" customFormat="false" ht="24" hidden="false" customHeight="true" outlineLevel="0" collapsed="false">
      <c r="A6" s="21" t="n">
        <v>2</v>
      </c>
      <c r="B6" s="24" t="s">
        <v>821</v>
      </c>
      <c r="C6" s="21" t="s">
        <v>822</v>
      </c>
      <c r="D6" s="11" t="s">
        <v>823</v>
      </c>
      <c r="E6" s="21"/>
      <c r="F6" s="21"/>
      <c r="G6" s="16" t="s">
        <v>824</v>
      </c>
    </row>
    <row r="7" customFormat="false" ht="24" hidden="false" customHeight="true" outlineLevel="0" collapsed="false">
      <c r="A7" s="21" t="n">
        <v>3</v>
      </c>
      <c r="B7" s="24" t="s">
        <v>825</v>
      </c>
      <c r="C7" s="21" t="s">
        <v>826</v>
      </c>
      <c r="D7" s="11" t="s">
        <v>827</v>
      </c>
      <c r="E7" s="21"/>
      <c r="F7" s="21"/>
      <c r="G7" s="16" t="s">
        <v>828</v>
      </c>
    </row>
    <row r="8" customFormat="false" ht="24" hidden="false" customHeight="true" outlineLevel="0" collapsed="false">
      <c r="A8" s="21" t="n">
        <v>4</v>
      </c>
      <c r="B8" s="24" t="s">
        <v>829</v>
      </c>
      <c r="C8" s="21" t="s">
        <v>830</v>
      </c>
      <c r="D8" s="11" t="s">
        <v>831</v>
      </c>
      <c r="E8" s="21"/>
      <c r="F8" s="21"/>
      <c r="G8" s="16" t="s">
        <v>832</v>
      </c>
    </row>
    <row r="9" customFormat="false" ht="24" hidden="false" customHeight="true" outlineLevel="0" collapsed="false">
      <c r="A9" s="21" t="n">
        <v>5</v>
      </c>
      <c r="B9" s="24" t="s">
        <v>833</v>
      </c>
      <c r="C9" s="21" t="s">
        <v>834</v>
      </c>
      <c r="D9" s="67" t="s">
        <v>835</v>
      </c>
      <c r="E9" s="21"/>
      <c r="F9" s="21"/>
      <c r="G9" s="16" t="s">
        <v>836</v>
      </c>
    </row>
    <row r="10" customFormat="false" ht="24" hidden="false" customHeight="true" outlineLevel="0" collapsed="false">
      <c r="A10" s="21" t="n">
        <v>6</v>
      </c>
      <c r="B10" s="24" t="s">
        <v>837</v>
      </c>
      <c r="C10" s="21" t="s">
        <v>838</v>
      </c>
      <c r="D10" s="67" t="s">
        <v>838</v>
      </c>
      <c r="E10" s="21"/>
      <c r="F10" s="21"/>
      <c r="G10" s="16" t="s">
        <v>839</v>
      </c>
    </row>
    <row r="12" customFormat="false" ht="15" hidden="false" customHeight="false" outlineLevel="0" collapsed="false">
      <c r="B12" s="37" t="s">
        <v>840</v>
      </c>
    </row>
    <row r="13" customFormat="false" ht="31.5" hidden="false" customHeight="true" outlineLevel="0" collapsed="false">
      <c r="A13" s="15" t="s">
        <v>49</v>
      </c>
      <c r="B13" s="15" t="s">
        <v>512</v>
      </c>
      <c r="C13" s="15" t="s">
        <v>841</v>
      </c>
      <c r="D13" s="15" t="s">
        <v>842</v>
      </c>
      <c r="E13" s="15" t="s">
        <v>843</v>
      </c>
      <c r="F13" s="15" t="s">
        <v>844</v>
      </c>
      <c r="G13" s="15" t="s">
        <v>817</v>
      </c>
    </row>
    <row r="14" customFormat="false" ht="30" hidden="false" customHeight="true" outlineLevel="0" collapsed="false">
      <c r="A14" s="21" t="n">
        <v>1</v>
      </c>
      <c r="B14" s="24" t="s">
        <v>524</v>
      </c>
      <c r="C14" s="68" t="n">
        <v>258.8</v>
      </c>
      <c r="D14" s="45" t="n">
        <f aca="false">C14/SUM($C$14:$C$16)</f>
        <v>0.439911609722931</v>
      </c>
      <c r="E14" s="69" t="n">
        <v>2.18</v>
      </c>
      <c r="F14" s="45" t="n">
        <f aca="false">C14*E14/SUMPRODUCT($C$14:$C$16,$E$14:$E$16)</f>
        <v>0.469048333634014</v>
      </c>
      <c r="G14" s="16" t="s">
        <v>845</v>
      </c>
    </row>
    <row r="15" customFormat="false" ht="30" hidden="false" customHeight="true" outlineLevel="0" collapsed="false">
      <c r="A15" s="21" t="n">
        <v>2</v>
      </c>
      <c r="B15" s="24" t="s">
        <v>533</v>
      </c>
      <c r="C15" s="68" t="n">
        <v>220.1</v>
      </c>
      <c r="D15" s="45" t="n">
        <f aca="false">C15/SUM($C$14:$C$16)</f>
        <v>0.374128845826959</v>
      </c>
      <c r="E15" s="69" t="n">
        <v>2.33</v>
      </c>
      <c r="F15" s="45" t="n">
        <f aca="false">C15*E15/SUMPRODUCT($C$14:$C$16,$E$14:$E$16)</f>
        <v>0.426356408693852</v>
      </c>
      <c r="G15" s="16" t="s">
        <v>846</v>
      </c>
    </row>
    <row r="16" customFormat="false" ht="30" hidden="false" customHeight="true" outlineLevel="0" collapsed="false">
      <c r="A16" s="21" t="n">
        <v>3</v>
      </c>
      <c r="B16" s="24" t="s">
        <v>536</v>
      </c>
      <c r="C16" s="68" t="n">
        <v>109.4</v>
      </c>
      <c r="D16" s="45" t="n">
        <f aca="false">C16/SUM($C$14:$C$16)</f>
        <v>0.185959544450111</v>
      </c>
      <c r="E16" s="69" t="n">
        <v>1.15</v>
      </c>
      <c r="F16" s="45" t="n">
        <f aca="false">C16*E16/SUMPRODUCT($C$14:$C$16,$E$14:$E$16)</f>
        <v>0.104595257672134</v>
      </c>
      <c r="G16" s="16" t="s">
        <v>847</v>
      </c>
    </row>
    <row r="17" customFormat="false" ht="15" hidden="false" customHeight="false" outlineLevel="0" collapsed="false">
      <c r="B17" s="70" t="s">
        <v>848</v>
      </c>
    </row>
    <row r="19" customFormat="false" ht="15" hidden="false" customHeight="false" outlineLevel="0" collapsed="false">
      <c r="B19" s="71" t="s">
        <v>849</v>
      </c>
    </row>
    <row r="20" customFormat="false" ht="31.5" hidden="false" customHeight="true" outlineLevel="0" collapsed="false">
      <c r="A20" s="15" t="s">
        <v>49</v>
      </c>
      <c r="B20" s="15" t="s">
        <v>850</v>
      </c>
      <c r="C20" s="15" t="s">
        <v>393</v>
      </c>
      <c r="D20" s="15" t="s">
        <v>851</v>
      </c>
      <c r="E20" s="15" t="s">
        <v>852</v>
      </c>
      <c r="F20" s="15" t="s">
        <v>853</v>
      </c>
      <c r="G20" s="15" t="s">
        <v>854</v>
      </c>
    </row>
    <row r="21" customFormat="false" ht="24" hidden="false" customHeight="true" outlineLevel="0" collapsed="false">
      <c r="A21" s="21" t="n">
        <v>1</v>
      </c>
      <c r="B21" s="72" t="s">
        <v>855</v>
      </c>
      <c r="C21" s="21" t="n">
        <v>17</v>
      </c>
      <c r="D21" s="28" t="n">
        <v>317</v>
      </c>
      <c r="E21" s="73" t="n">
        <v>26.3</v>
      </c>
      <c r="F21" s="45" t="n">
        <v>0.219943516303586</v>
      </c>
      <c r="G21" s="45" t="n">
        <v>0.360581758313579</v>
      </c>
    </row>
    <row r="22" customFormat="false" ht="24" hidden="false" customHeight="true" outlineLevel="0" collapsed="false">
      <c r="A22" s="21" t="n">
        <v>2</v>
      </c>
      <c r="B22" s="74" t="s">
        <v>856</v>
      </c>
      <c r="C22" s="21" t="n">
        <v>13</v>
      </c>
      <c r="D22" s="28" t="n">
        <v>366</v>
      </c>
      <c r="E22" s="73" t="n">
        <v>27</v>
      </c>
      <c r="F22" s="45" t="n">
        <v>0.215566726270631</v>
      </c>
      <c r="G22" s="45" t="n">
        <v>0.352912921413901</v>
      </c>
    </row>
    <row r="24" customFormat="false" ht="15" hidden="false" customHeight="false" outlineLevel="0" collapsed="false">
      <c r="B24" s="37" t="s">
        <v>857</v>
      </c>
    </row>
    <row r="25" customFormat="false" ht="31.5" hidden="false" customHeight="true" outlineLevel="0" collapsed="false">
      <c r="A25" s="15" t="s">
        <v>49</v>
      </c>
      <c r="B25" s="15" t="s">
        <v>858</v>
      </c>
      <c r="C25" s="15" t="s">
        <v>853</v>
      </c>
      <c r="D25" s="15" t="s">
        <v>859</v>
      </c>
      <c r="E25" s="15" t="s">
        <v>852</v>
      </c>
      <c r="F25" s="15" t="s">
        <v>860</v>
      </c>
      <c r="G25" s="15" t="s">
        <v>387</v>
      </c>
    </row>
    <row r="26" customFormat="false" ht="21.75" hidden="false" customHeight="true" outlineLevel="0" collapsed="false">
      <c r="A26" s="21" t="n">
        <v>1</v>
      </c>
      <c r="B26" s="24" t="s">
        <v>861</v>
      </c>
      <c r="C26" s="45" t="n">
        <v>0.641</v>
      </c>
      <c r="D26" s="68" t="n">
        <v>30.2</v>
      </c>
      <c r="E26" s="73" t="n">
        <v>43.7</v>
      </c>
      <c r="F26" s="75" t="n">
        <v>0.273</v>
      </c>
      <c r="G26" s="16" t="s">
        <v>862</v>
      </c>
    </row>
    <row r="27" customFormat="false" ht="21.75" hidden="false" customHeight="true" outlineLevel="0" collapsed="false">
      <c r="A27" s="21" t="n">
        <v>2</v>
      </c>
      <c r="B27" s="24" t="s">
        <v>863</v>
      </c>
      <c r="C27" s="45" t="n">
        <v>0.559</v>
      </c>
      <c r="D27" s="68" t="n">
        <v>8.6</v>
      </c>
      <c r="E27" s="73" t="n">
        <v>55.7</v>
      </c>
      <c r="F27" s="76" t="n">
        <v>-0.084</v>
      </c>
      <c r="G27" s="16" t="s">
        <v>862</v>
      </c>
    </row>
    <row r="28" customFormat="false" ht="21.75" hidden="false" customHeight="true" outlineLevel="0" collapsed="false">
      <c r="A28" s="21" t="n">
        <v>3</v>
      </c>
      <c r="B28" s="24" t="s">
        <v>864</v>
      </c>
      <c r="C28" s="45" t="n">
        <v>0.458</v>
      </c>
      <c r="D28" s="68" t="n">
        <v>15.7</v>
      </c>
      <c r="E28" s="73" t="n">
        <v>31.3</v>
      </c>
      <c r="F28" s="76" t="n">
        <v>-0.217</v>
      </c>
      <c r="G28" s="16" t="s">
        <v>862</v>
      </c>
    </row>
    <row r="29" customFormat="false" ht="21.75" hidden="false" customHeight="true" outlineLevel="0" collapsed="false">
      <c r="A29" s="21" t="n">
        <v>4</v>
      </c>
      <c r="B29" s="24" t="s">
        <v>865</v>
      </c>
      <c r="C29" s="45" t="n">
        <v>0.392</v>
      </c>
      <c r="D29" s="68" t="n">
        <v>5.9</v>
      </c>
      <c r="E29" s="73" t="n">
        <v>36.9</v>
      </c>
      <c r="F29" s="77" t="n">
        <v>-0.029</v>
      </c>
      <c r="G29" s="16" t="s">
        <v>866</v>
      </c>
    </row>
    <row r="30" customFormat="false" ht="21.75" hidden="false" customHeight="true" outlineLevel="0" collapsed="false">
      <c r="A30" s="21" t="n">
        <v>5</v>
      </c>
      <c r="B30" s="24" t="s">
        <v>867</v>
      </c>
      <c r="C30" s="45" t="n">
        <v>0.373</v>
      </c>
      <c r="D30" s="68" t="n">
        <v>6.7</v>
      </c>
      <c r="E30" s="73" t="n">
        <v>34</v>
      </c>
      <c r="F30" s="77" t="n">
        <v>-0.044</v>
      </c>
      <c r="G30" s="16" t="s">
        <v>868</v>
      </c>
    </row>
    <row r="31" customFormat="false" ht="21.75" hidden="false" customHeight="true" outlineLevel="0" collapsed="false">
      <c r="A31" s="21" t="n">
        <v>6</v>
      </c>
      <c r="B31" s="24" t="s">
        <v>869</v>
      </c>
      <c r="C31" s="45" t="n">
        <v>0.349</v>
      </c>
      <c r="D31" s="68" t="n">
        <v>9.3</v>
      </c>
      <c r="E31" s="73" t="n">
        <v>37.5</v>
      </c>
      <c r="F31" s="77" t="n">
        <v>-0.033</v>
      </c>
      <c r="G31" s="16" t="s">
        <v>862</v>
      </c>
    </row>
    <row r="32" customFormat="false" ht="21.75" hidden="false" customHeight="true" outlineLevel="0" collapsed="false">
      <c r="A32" s="21" t="n">
        <v>7</v>
      </c>
      <c r="B32" s="24" t="s">
        <v>870</v>
      </c>
      <c r="C32" s="45" t="n">
        <v>0.344</v>
      </c>
      <c r="D32" s="68" t="n">
        <v>30</v>
      </c>
      <c r="E32" s="73" t="n">
        <v>38.4</v>
      </c>
      <c r="F32" s="77" t="n">
        <v>0</v>
      </c>
      <c r="G32" s="16" t="s">
        <v>868</v>
      </c>
    </row>
    <row r="33" customFormat="false" ht="21.75" hidden="false" customHeight="true" outlineLevel="0" collapsed="false">
      <c r="A33" s="21" t="n">
        <v>8</v>
      </c>
      <c r="B33" s="24" t="s">
        <v>871</v>
      </c>
      <c r="C33" s="45" t="n">
        <v>0.329</v>
      </c>
      <c r="D33" s="68" t="n">
        <v>11.7</v>
      </c>
      <c r="E33" s="73" t="n">
        <v>24.2</v>
      </c>
      <c r="F33" s="75" t="n">
        <v>0.068</v>
      </c>
      <c r="G33" s="16" t="s">
        <v>868</v>
      </c>
    </row>
    <row r="35" customFormat="false" ht="48" hidden="false" customHeight="true" outlineLevel="0" collapsed="false">
      <c r="B35" s="54" t="s">
        <v>872</v>
      </c>
      <c r="C35" s="53" t="s">
        <v>873</v>
      </c>
      <c r="D35" s="53"/>
      <c r="E35" s="53"/>
      <c r="F35" s="53"/>
      <c r="G35" s="53"/>
    </row>
    <row r="36" customFormat="false" ht="48" hidden="false" customHeight="true" outlineLevel="0" collapsed="false">
      <c r="B36" s="52" t="s">
        <v>874</v>
      </c>
      <c r="C36" s="53" t="s">
        <v>875</v>
      </c>
      <c r="D36" s="53"/>
      <c r="E36" s="53"/>
      <c r="F36" s="53"/>
      <c r="G36" s="53"/>
    </row>
    <row r="37" customFormat="false" ht="48" hidden="false" customHeight="true" outlineLevel="0" collapsed="false">
      <c r="B37" s="52" t="s">
        <v>876</v>
      </c>
      <c r="C37" s="53" t="s">
        <v>877</v>
      </c>
      <c r="D37" s="53"/>
      <c r="E37" s="53"/>
      <c r="F37" s="53"/>
      <c r="G37" s="53"/>
    </row>
    <row r="38" customFormat="false" ht="48" hidden="false" customHeight="true" outlineLevel="0" collapsed="false">
      <c r="B38" s="54" t="s">
        <v>878</v>
      </c>
      <c r="C38" s="53" t="s">
        <v>879</v>
      </c>
      <c r="D38" s="53"/>
      <c r="E38" s="53"/>
      <c r="F38" s="53"/>
      <c r="G38" s="53"/>
    </row>
  </sheetData>
  <mergeCells count="7">
    <mergeCell ref="A1:G1"/>
    <mergeCell ref="A2:G2"/>
    <mergeCell ref="C3:G3"/>
    <mergeCell ref="C35:G35"/>
    <mergeCell ref="C36:G36"/>
    <mergeCell ref="C37:G37"/>
    <mergeCell ref="C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3"/>
    <col collapsed="false" customWidth="true" hidden="false" outlineLevel="0" max="4" min="4" style="0" width="12"/>
    <col collapsed="false" customWidth="true" hidden="false" outlineLevel="0" max="5" min="5" style="0" width="8"/>
    <col collapsed="false" customWidth="true" hidden="false" outlineLevel="0" max="6" min="6" style="0" width="9"/>
    <col collapsed="false" customWidth="true" hidden="false" outlineLevel="0" max="7" min="7" style="0" width="11"/>
    <col collapsed="false" customWidth="true" hidden="false" outlineLevel="0" max="8" min="8" style="0" width="8"/>
    <col collapsed="false" customWidth="true" hidden="false" outlineLevel="0" max="9" min="9" style="0" width="9"/>
    <col collapsed="false" customWidth="true" hidden="false" outlineLevel="0" max="12" min="10" style="0" width="10"/>
    <col collapsed="false" customWidth="true" hidden="false" outlineLevel="0" max="17" min="13" style="0" width="11"/>
    <col collapsed="false" customWidth="true" hidden="false" outlineLevel="0" max="19" min="18" style="0" width="12"/>
    <col collapsed="false" customWidth="true" hidden="false" outlineLevel="0" max="22" min="20" style="0" width="11"/>
  </cols>
  <sheetData>
    <row r="1" customFormat="false" ht="25.5" hidden="false" customHeight="true" outlineLevel="0" collapsed="false">
      <c r="A1" s="1" t="s">
        <v>880</v>
      </c>
      <c r="B1" s="1"/>
      <c r="C1" s="1"/>
      <c r="D1" s="1"/>
      <c r="E1" s="1"/>
      <c r="F1" s="1"/>
      <c r="G1" s="1"/>
      <c r="H1" s="1"/>
      <c r="I1" s="1"/>
      <c r="J1" s="1"/>
      <c r="K1" s="1"/>
      <c r="L1" s="1"/>
      <c r="M1" s="1"/>
      <c r="N1" s="1"/>
      <c r="O1" s="1"/>
    </row>
    <row r="2" customFormat="false" ht="18" hidden="false" customHeight="true" outlineLevel="0" collapsed="false">
      <c r="A2" s="2" t="s">
        <v>881</v>
      </c>
      <c r="B2" s="2"/>
      <c r="C2" s="2"/>
      <c r="D2" s="2"/>
      <c r="E2" s="2"/>
      <c r="F2" s="2"/>
      <c r="G2" s="2"/>
      <c r="H2" s="2"/>
      <c r="I2" s="2"/>
      <c r="J2" s="2"/>
      <c r="K2" s="2"/>
      <c r="L2" s="2"/>
      <c r="M2" s="2"/>
      <c r="N2" s="2"/>
      <c r="O2" s="2"/>
    </row>
    <row r="3" customFormat="false" ht="30" hidden="false" customHeight="true" outlineLevel="0" collapsed="false">
      <c r="B3" s="78" t="s">
        <v>882</v>
      </c>
      <c r="C3" s="79" t="s">
        <v>883</v>
      </c>
      <c r="D3" s="79"/>
      <c r="E3" s="79"/>
      <c r="F3" s="79"/>
      <c r="G3" s="79"/>
      <c r="H3" s="79"/>
      <c r="I3" s="79"/>
      <c r="J3" s="79"/>
      <c r="K3" s="79"/>
      <c r="L3" s="79"/>
      <c r="M3" s="79"/>
      <c r="N3" s="79"/>
      <c r="O3" s="79"/>
      <c r="P3" s="79"/>
      <c r="Q3" s="79"/>
      <c r="R3" s="79"/>
      <c r="S3" s="79"/>
      <c r="T3" s="79"/>
      <c r="U3" s="79"/>
      <c r="V3" s="79"/>
    </row>
    <row r="4" customFormat="false" ht="33.75" hidden="false" customHeight="true" outlineLevel="0" collapsed="false">
      <c r="B4" s="3" t="s">
        <v>884</v>
      </c>
      <c r="C4" s="80" t="s">
        <v>885</v>
      </c>
      <c r="D4" s="80"/>
      <c r="E4" s="80"/>
      <c r="F4" s="80"/>
      <c r="G4" s="80"/>
      <c r="H4" s="80"/>
      <c r="I4" s="80"/>
      <c r="J4" s="80"/>
      <c r="K4" s="80"/>
      <c r="L4" s="80"/>
      <c r="M4" s="80"/>
      <c r="N4" s="80"/>
      <c r="O4" s="80"/>
      <c r="P4" s="80"/>
      <c r="Q4" s="80"/>
      <c r="R4" s="80"/>
      <c r="S4" s="80"/>
      <c r="T4" s="80"/>
      <c r="U4" s="80"/>
      <c r="V4" s="80"/>
    </row>
    <row r="6" customFormat="false" ht="15" hidden="false" customHeight="false" outlineLevel="0" collapsed="false">
      <c r="B6" s="78" t="s">
        <v>886</v>
      </c>
      <c r="E6" s="78" t="s">
        <v>887</v>
      </c>
    </row>
    <row r="7" customFormat="false" ht="15" hidden="false" customHeight="false" outlineLevel="0" collapsed="false">
      <c r="B7" s="10" t="s">
        <v>888</v>
      </c>
      <c r="C7" s="81"/>
      <c r="E7" s="15" t="s">
        <v>45</v>
      </c>
      <c r="F7" s="15" t="s">
        <v>889</v>
      </c>
    </row>
    <row r="8" customFormat="false" ht="15" hidden="false" customHeight="false" outlineLevel="0" collapsed="false">
      <c r="B8" s="10" t="s">
        <v>890</v>
      </c>
      <c r="C8" s="81"/>
      <c r="E8" s="82" t="s">
        <v>891</v>
      </c>
      <c r="F8" s="26"/>
    </row>
    <row r="9" customFormat="false" ht="15" hidden="false" customHeight="false" outlineLevel="0" collapsed="false">
      <c r="B9" s="10" t="s">
        <v>892</v>
      </c>
      <c r="C9" s="81"/>
      <c r="E9" s="82" t="s">
        <v>893</v>
      </c>
      <c r="F9" s="26"/>
    </row>
    <row r="10" customFormat="false" ht="15" hidden="false" customHeight="false" outlineLevel="0" collapsed="false">
      <c r="B10" s="10" t="s">
        <v>894</v>
      </c>
      <c r="C10" s="83"/>
      <c r="E10" s="82" t="s">
        <v>895</v>
      </c>
      <c r="F10" s="26"/>
    </row>
    <row r="11" customFormat="false" ht="15" hidden="false" customHeight="false" outlineLevel="0" collapsed="false">
      <c r="B11" s="10" t="s">
        <v>896</v>
      </c>
      <c r="C11" s="83"/>
      <c r="E11" s="82" t="s">
        <v>897</v>
      </c>
      <c r="F11" s="26"/>
    </row>
    <row r="12" customFormat="false" ht="15" hidden="false" customHeight="false" outlineLevel="0" collapsed="false">
      <c r="B12" s="10" t="s">
        <v>898</v>
      </c>
      <c r="C12" s="83"/>
      <c r="E12" s="82" t="s">
        <v>899</v>
      </c>
      <c r="F12" s="26"/>
    </row>
    <row r="13" customFormat="false" ht="15" hidden="false" customHeight="false" outlineLevel="0" collapsed="false">
      <c r="B13" s="10" t="s">
        <v>900</v>
      </c>
      <c r="C13" s="83"/>
      <c r="E13" s="82" t="s">
        <v>901</v>
      </c>
      <c r="F13" s="26"/>
    </row>
    <row r="14" customFormat="false" ht="15" hidden="false" customHeight="false" outlineLevel="0" collapsed="false">
      <c r="B14" s="10" t="s">
        <v>902</v>
      </c>
      <c r="C14" s="83"/>
      <c r="E14" s="82" t="s">
        <v>903</v>
      </c>
      <c r="F14" s="26"/>
    </row>
    <row r="15" customFormat="false" ht="15" hidden="false" customHeight="false" outlineLevel="0" collapsed="false">
      <c r="E15" s="82" t="s">
        <v>904</v>
      </c>
      <c r="F15" s="26"/>
    </row>
    <row r="17" customFormat="false" ht="31.5" hidden="false" customHeight="true" outlineLevel="0" collapsed="false">
      <c r="A17" s="15" t="s">
        <v>49</v>
      </c>
      <c r="B17" s="15" t="s">
        <v>858</v>
      </c>
      <c r="C17" s="15" t="s">
        <v>905</v>
      </c>
      <c r="D17" s="15" t="s">
        <v>906</v>
      </c>
      <c r="E17" s="15" t="s">
        <v>907</v>
      </c>
      <c r="F17" s="15" t="s">
        <v>908</v>
      </c>
      <c r="G17" s="15" t="s">
        <v>909</v>
      </c>
      <c r="H17" s="15" t="s">
        <v>910</v>
      </c>
      <c r="I17" s="15" t="s">
        <v>911</v>
      </c>
      <c r="J17" s="15" t="s">
        <v>912</v>
      </c>
      <c r="K17" s="15" t="s">
        <v>913</v>
      </c>
      <c r="L17" s="15" t="s">
        <v>914</v>
      </c>
      <c r="M17" s="15" t="s">
        <v>915</v>
      </c>
      <c r="N17" s="15" t="s">
        <v>916</v>
      </c>
      <c r="O17" s="15" t="s">
        <v>917</v>
      </c>
      <c r="P17" s="15" t="s">
        <v>918</v>
      </c>
      <c r="Q17" s="15" t="s">
        <v>919</v>
      </c>
      <c r="R17" s="15" t="s">
        <v>920</v>
      </c>
      <c r="S17" s="15" t="s">
        <v>921</v>
      </c>
      <c r="T17" s="15" t="s">
        <v>922</v>
      </c>
      <c r="U17" s="15" t="s">
        <v>923</v>
      </c>
      <c r="V17" s="15" t="s">
        <v>924</v>
      </c>
      <c r="W17" s="15" t="s">
        <v>500</v>
      </c>
    </row>
    <row r="18" customFormat="false" ht="19.5" hidden="false" customHeight="true" outlineLevel="0" collapsed="false">
      <c r="A18" s="21" t="n">
        <v>1</v>
      </c>
      <c r="B18" s="24" t="s">
        <v>925</v>
      </c>
      <c r="C18" s="82" t="s">
        <v>895</v>
      </c>
      <c r="D18" s="28" t="n">
        <v>23625487</v>
      </c>
      <c r="E18" s="21" t="n">
        <v>718</v>
      </c>
      <c r="F18" s="28" t="n">
        <f aca="false">IFERROR(D18/E18,"")</f>
        <v>32904.577994429</v>
      </c>
      <c r="G18" s="28" t="n">
        <v>320000</v>
      </c>
      <c r="H18" s="73" t="n">
        <f aca="false">IFERROR(D18/G18,"")</f>
        <v>73.829646875</v>
      </c>
      <c r="I18" s="73" t="n">
        <f aca="false">IFERROR(G18/(D18/181),"")</f>
        <v>2.45158967516733</v>
      </c>
      <c r="J18" s="28" t="n">
        <f aca="false">IFERROR(INDEX($F$8:$F$15,MATCH(C18,$E$8:$E$15,0)),"")</f>
        <v>0</v>
      </c>
      <c r="K18" s="84" t="n">
        <f aca="false">IFERROR(J18/F18,"")</f>
        <v>0</v>
      </c>
      <c r="L18" s="28" t="n">
        <v>4236</v>
      </c>
      <c r="M18" s="26"/>
      <c r="N18" s="85" t="str">
        <f aca="false">IFERROR(ROUNDUP(L18/$C$13,0),"")</f>
        <v/>
      </c>
      <c r="O18" s="84" t="str">
        <f aca="false">IFERROR(IF(M18="",N18,M18)*$C$12*181/30/D18,"")</f>
        <v/>
      </c>
      <c r="P18" s="26"/>
      <c r="Q18" s="84" t="n">
        <f aca="false">IFERROR(P18*181/30/D18,"")</f>
        <v>0</v>
      </c>
      <c r="R18" s="84" t="n">
        <f aca="false">IFERROR((G18/2)*(0.357*$C$7+0.362*$C$8+0.281*$C$9)*$C$10/(D18*365/181),"")</f>
        <v>0</v>
      </c>
      <c r="S18" s="86" t="str">
        <f aca="false">IFERROR((0.357*$C$7+0.362*$C$8+0.281*$C$9)/(1-$C$11)+K18+O18+Q18+R18,"")</f>
        <v/>
      </c>
      <c r="T18" s="84" t="n">
        <v>1.9449</v>
      </c>
      <c r="U18" s="86" t="str">
        <f aca="false">IFERROR(T18-S18,"")</f>
        <v/>
      </c>
      <c r="V18" s="87" t="str">
        <f aca="false">IFERROR(U18-$C$14,"")</f>
        <v/>
      </c>
      <c r="W18" s="21" t="str">
        <f aca="false">IF(U18="","",IF(U18&gt;=$C$14,"يحقق الهدف","دون الهدف"))</f>
        <v/>
      </c>
    </row>
    <row r="19" customFormat="false" ht="19.5" hidden="false" customHeight="true" outlineLevel="0" collapsed="false">
      <c r="A19" s="21" t="n">
        <v>2</v>
      </c>
      <c r="B19" s="24" t="s">
        <v>926</v>
      </c>
      <c r="C19" s="82" t="s">
        <v>895</v>
      </c>
      <c r="D19" s="28" t="n">
        <v>17584768</v>
      </c>
      <c r="E19" s="21" t="n">
        <v>533</v>
      </c>
      <c r="F19" s="28" t="n">
        <f aca="false">IFERROR(D19/E19,"")</f>
        <v>32992.0600375235</v>
      </c>
      <c r="G19" s="28" t="n">
        <v>480000</v>
      </c>
      <c r="H19" s="73" t="n">
        <f aca="false">IFERROR(D19/G19,"")</f>
        <v>36.6349333333333</v>
      </c>
      <c r="I19" s="73" t="n">
        <f aca="false">IFERROR(G19/(D19/181),"")</f>
        <v>4.94063953530692</v>
      </c>
      <c r="J19" s="28" t="n">
        <f aca="false">IFERROR(INDEX($F$8:$F$15,MATCH(C19,$E$8:$E$15,0)),"")</f>
        <v>0</v>
      </c>
      <c r="K19" s="84" t="n">
        <f aca="false">IFERROR(J19/F19,"")</f>
        <v>0</v>
      </c>
      <c r="L19" s="28" t="n">
        <v>3561</v>
      </c>
      <c r="M19" s="26"/>
      <c r="N19" s="85" t="str">
        <f aca="false">IFERROR(ROUNDUP(L19/$C$13,0),"")</f>
        <v/>
      </c>
      <c r="O19" s="84" t="str">
        <f aca="false">IFERROR(IF(M19="",N19,M19)*$C$12*181/30/D19,"")</f>
        <v/>
      </c>
      <c r="P19" s="26"/>
      <c r="Q19" s="84" t="n">
        <f aca="false">IFERROR(P19*181/30/D19,"")</f>
        <v>0</v>
      </c>
      <c r="R19" s="84" t="n">
        <f aca="false">IFERROR((G19/2)*(0.502*$C$7+0.498*$C$8+0*$C$9)*$C$10/(D19*365/181),"")</f>
        <v>0</v>
      </c>
      <c r="S19" s="86" t="str">
        <f aca="false">IFERROR((0.502*$C$7+0.498*$C$8+0*$C$9)/(1-$C$11)+K19+O19+Q19+R19,"")</f>
        <v/>
      </c>
      <c r="T19" s="84" t="n">
        <v>2.2547</v>
      </c>
      <c r="U19" s="86" t="str">
        <f aca="false">IFERROR(T19-S19,"")</f>
        <v/>
      </c>
      <c r="V19" s="87" t="str">
        <f aca="false">IFERROR(U19-$C$14,"")</f>
        <v/>
      </c>
      <c r="W19" s="21" t="str">
        <f aca="false">IF(U19="","",IF(U19&gt;=$C$14,"يحقق الهدف","دون الهدف"))</f>
        <v/>
      </c>
    </row>
    <row r="20" customFormat="false" ht="19.5" hidden="false" customHeight="true" outlineLevel="0" collapsed="false">
      <c r="A20" s="21" t="n">
        <v>3</v>
      </c>
      <c r="B20" s="24" t="s">
        <v>927</v>
      </c>
      <c r="C20" s="82" t="s">
        <v>895</v>
      </c>
      <c r="D20" s="28" t="n">
        <v>15251585</v>
      </c>
      <c r="E20" s="21" t="n">
        <v>469</v>
      </c>
      <c r="F20" s="28" t="n">
        <f aca="false">IFERROR(D20/E20,"")</f>
        <v>32519.3710021322</v>
      </c>
      <c r="G20" s="28" t="n">
        <v>900000</v>
      </c>
      <c r="H20" s="73" t="n">
        <f aca="false">IFERROR(D20/G20,"")</f>
        <v>16.9462055555556</v>
      </c>
      <c r="I20" s="73" t="n">
        <f aca="false">IFERROR(G20/(D20/181),"")</f>
        <v>10.68085710436</v>
      </c>
      <c r="J20" s="28" t="n">
        <f aca="false">IFERROR(INDEX($F$8:$F$15,MATCH(C20,$E$8:$E$15,0)),"")</f>
        <v>0</v>
      </c>
      <c r="K20" s="84" t="n">
        <f aca="false">IFERROR(J20/F20,"")</f>
        <v>0</v>
      </c>
      <c r="L20" s="28" t="n">
        <v>2137</v>
      </c>
      <c r="M20" s="26"/>
      <c r="N20" s="85" t="str">
        <f aca="false">IFERROR(ROUNDUP(L20/$C$13,0),"")</f>
        <v/>
      </c>
      <c r="O20" s="84" t="str">
        <f aca="false">IFERROR(IF(M20="",N20,M20)*$C$12*181/30/D20,"")</f>
        <v/>
      </c>
      <c r="P20" s="26"/>
      <c r="Q20" s="84" t="n">
        <f aca="false">IFERROR(P20*181/30/D20,"")</f>
        <v>0</v>
      </c>
      <c r="R20" s="84" t="n">
        <f aca="false">IFERROR((G20/2)*(0.344*$C$7+0.312*$C$8+0.344*$C$9)*$C$10/(D20*365/181),"")</f>
        <v>0</v>
      </c>
      <c r="S20" s="86" t="str">
        <f aca="false">IFERROR((0.344*$C$7+0.312*$C$8+0.344*$C$9)/(1-$C$11)+K20+O20+Q20+R20,"")</f>
        <v/>
      </c>
      <c r="T20" s="84" t="n">
        <v>1.8725</v>
      </c>
      <c r="U20" s="86" t="str">
        <f aca="false">IFERROR(T20-S20,"")</f>
        <v/>
      </c>
      <c r="V20" s="87" t="str">
        <f aca="false">IFERROR(U20-$C$14,"")</f>
        <v/>
      </c>
      <c r="W20" s="21" t="str">
        <f aca="false">IF(U20="","",IF(U20&gt;=$C$14,"يحقق الهدف","دون الهدف"))</f>
        <v/>
      </c>
    </row>
    <row r="21" customFormat="false" ht="19.5" hidden="false" customHeight="true" outlineLevel="0" collapsed="false">
      <c r="A21" s="21" t="n">
        <v>4</v>
      </c>
      <c r="B21" s="24" t="s">
        <v>928</v>
      </c>
      <c r="C21" s="82" t="s">
        <v>895</v>
      </c>
      <c r="D21" s="28" t="n">
        <v>11575025</v>
      </c>
      <c r="E21" s="21" t="n">
        <v>352</v>
      </c>
      <c r="F21" s="28" t="n">
        <f aca="false">IFERROR(D21/E21,"")</f>
        <v>32883.59375</v>
      </c>
      <c r="G21" s="28" t="n">
        <v>224000</v>
      </c>
      <c r="H21" s="73" t="n">
        <f aca="false">IFERROR(D21/G21,"")</f>
        <v>51.67421875</v>
      </c>
      <c r="I21" s="73" t="n">
        <f aca="false">IFERROR(G21/(D21/181),"")</f>
        <v>3.50271381703279</v>
      </c>
      <c r="J21" s="28" t="n">
        <f aca="false">IFERROR(INDEX($F$8:$F$15,MATCH(C21,$E$8:$E$15,0)),"")</f>
        <v>0</v>
      </c>
      <c r="K21" s="84" t="n">
        <f aca="false">IFERROR(J21/F21,"")</f>
        <v>0</v>
      </c>
      <c r="L21" s="28" t="n">
        <v>1643</v>
      </c>
      <c r="M21" s="26"/>
      <c r="N21" s="85" t="str">
        <f aca="false">IFERROR(ROUNDUP(L21/$C$13,0),"")</f>
        <v/>
      </c>
      <c r="O21" s="84" t="str">
        <f aca="false">IFERROR(IF(M21="",N21,M21)*$C$12*181/30/D21,"")</f>
        <v/>
      </c>
      <c r="P21" s="26"/>
      <c r="Q21" s="84" t="n">
        <f aca="false">IFERROR(P21*181/30/D21,"")</f>
        <v>0</v>
      </c>
      <c r="R21" s="84" t="n">
        <f aca="false">IFERROR((G21/2)*(0.587*$C$7+0.413*$C$8+0*$C$9)*$C$10/(D21*365/181),"")</f>
        <v>0</v>
      </c>
      <c r="S21" s="86" t="str">
        <f aca="false">IFERROR((0.587*$C$7+0.413*$C$8+0*$C$9)/(1-$C$11)+K21+O21+Q21+R21,"")</f>
        <v/>
      </c>
      <c r="T21" s="84" t="n">
        <v>2.242</v>
      </c>
      <c r="U21" s="86" t="str">
        <f aca="false">IFERROR(T21-S21,"")</f>
        <v/>
      </c>
      <c r="V21" s="87" t="str">
        <f aca="false">IFERROR(U21-$C$14,"")</f>
        <v/>
      </c>
      <c r="W21" s="21" t="str">
        <f aca="false">IF(U21="","",IF(U21&gt;=$C$14,"يحقق الهدف","دون الهدف"))</f>
        <v/>
      </c>
    </row>
    <row r="22" customFormat="false" ht="19.5" hidden="false" customHeight="true" outlineLevel="0" collapsed="false">
      <c r="A22" s="21" t="n">
        <v>5</v>
      </c>
      <c r="B22" s="24" t="s">
        <v>929</v>
      </c>
      <c r="C22" s="82" t="s">
        <v>895</v>
      </c>
      <c r="D22" s="28" t="n">
        <v>9562169</v>
      </c>
      <c r="E22" s="21" t="n">
        <v>292</v>
      </c>
      <c r="F22" s="28" t="n">
        <f aca="false">IFERROR(D22/E22,"")</f>
        <v>32747.154109589</v>
      </c>
      <c r="G22" s="28" t="n">
        <v>180000</v>
      </c>
      <c r="H22" s="73" t="n">
        <f aca="false">IFERROR(D22/G22,"")</f>
        <v>53.1231611111111</v>
      </c>
      <c r="I22" s="73" t="n">
        <f aca="false">IFERROR(G22/(D22/181),"")</f>
        <v>3.40717676083742</v>
      </c>
      <c r="J22" s="28" t="n">
        <f aca="false">IFERROR(INDEX($F$8:$F$15,MATCH(C22,$E$8:$E$15,0)),"")</f>
        <v>0</v>
      </c>
      <c r="K22" s="84" t="n">
        <f aca="false">IFERROR(J22/F22,"")</f>
        <v>0</v>
      </c>
      <c r="L22" s="28" t="n">
        <v>2359</v>
      </c>
      <c r="M22" s="26"/>
      <c r="N22" s="85" t="str">
        <f aca="false">IFERROR(ROUNDUP(L22/$C$13,0),"")</f>
        <v/>
      </c>
      <c r="O22" s="84" t="str">
        <f aca="false">IFERROR(IF(M22="",N22,M22)*$C$12*181/30/D22,"")</f>
        <v/>
      </c>
      <c r="P22" s="26"/>
      <c r="Q22" s="84" t="n">
        <f aca="false">IFERROR(P22*181/30/D22,"")</f>
        <v>0</v>
      </c>
      <c r="R22" s="84" t="n">
        <f aca="false">IFERROR((G22/2)*(0.635*$C$7+0.231*$C$8+0.134*$C$9)*$C$10/(D22*365/181),"")</f>
        <v>0</v>
      </c>
      <c r="S22" s="86" t="str">
        <f aca="false">IFERROR((0.635*$C$7+0.231*$C$8+0.134*$C$9)/(1-$C$11)+K22+O22+Q22+R22,"")</f>
        <v/>
      </c>
      <c r="T22" s="84" t="n">
        <v>2.0766</v>
      </c>
      <c r="U22" s="86" t="str">
        <f aca="false">IFERROR(T22-S22,"")</f>
        <v/>
      </c>
      <c r="V22" s="87" t="str">
        <f aca="false">IFERROR(U22-$C$14,"")</f>
        <v/>
      </c>
      <c r="W22" s="21" t="str">
        <f aca="false">IF(U22="","",IF(U22&gt;=$C$14,"يحقق الهدف","دون الهدف"))</f>
        <v/>
      </c>
    </row>
    <row r="23" customFormat="false" ht="19.5" hidden="false" customHeight="true" outlineLevel="0" collapsed="false">
      <c r="A23" s="21" t="n">
        <v>6</v>
      </c>
      <c r="B23" s="24" t="s">
        <v>930</v>
      </c>
      <c r="C23" s="82" t="s">
        <v>895</v>
      </c>
      <c r="D23" s="28" t="n">
        <v>9306605</v>
      </c>
      <c r="E23" s="21" t="n">
        <v>289</v>
      </c>
      <c r="F23" s="28" t="n">
        <f aca="false">IFERROR(D23/E23,"")</f>
        <v>32202.785467128</v>
      </c>
      <c r="G23" s="28" t="n">
        <v>200000</v>
      </c>
      <c r="H23" s="73" t="n">
        <f aca="false">IFERROR(D23/G23,"")</f>
        <v>46.533025</v>
      </c>
      <c r="I23" s="73" t="n">
        <f aca="false">IFERROR(G23/(D23/181),"")</f>
        <v>3.88971058726571</v>
      </c>
      <c r="J23" s="28" t="n">
        <f aca="false">IFERROR(INDEX($F$8:$F$15,MATCH(C23,$E$8:$E$15,0)),"")</f>
        <v>0</v>
      </c>
      <c r="K23" s="84" t="n">
        <f aca="false">IFERROR(J23/F23,"")</f>
        <v>0</v>
      </c>
      <c r="L23" s="28" t="n">
        <v>1694</v>
      </c>
      <c r="M23" s="26"/>
      <c r="N23" s="85" t="str">
        <f aca="false">IFERROR(ROUNDUP(L23/$C$13,0),"")</f>
        <v/>
      </c>
      <c r="O23" s="84" t="str">
        <f aca="false">IFERROR(IF(M23="",N23,M23)*$C$12*181/30/D23,"")</f>
        <v/>
      </c>
      <c r="P23" s="26"/>
      <c r="Q23" s="84" t="n">
        <f aca="false">IFERROR(P23*181/30/D23,"")</f>
        <v>0</v>
      </c>
      <c r="R23" s="84" t="n">
        <f aca="false">IFERROR((G23/2)*(0.381*$C$7+0.309*$C$8+0.309*$C$9)*$C$10/(D23*365/181),"")</f>
        <v>0</v>
      </c>
      <c r="S23" s="86" t="str">
        <f aca="false">IFERROR((0.381*$C$7+0.309*$C$8+0.309*$C$9)/(1-$C$11)+K23+O23+Q23+R23,"")</f>
        <v/>
      </c>
      <c r="T23" s="84" t="n">
        <v>1.9059</v>
      </c>
      <c r="U23" s="86" t="str">
        <f aca="false">IFERROR(T23-S23,"")</f>
        <v/>
      </c>
      <c r="V23" s="87" t="str">
        <f aca="false">IFERROR(U23-$C$14,"")</f>
        <v/>
      </c>
      <c r="W23" s="21" t="str">
        <f aca="false">IF(U23="","",IF(U23&gt;=$C$14,"يحقق الهدف","دون الهدف"))</f>
        <v/>
      </c>
    </row>
    <row r="24" customFormat="false" ht="19.5" hidden="false" customHeight="true" outlineLevel="0" collapsed="false">
      <c r="A24" s="21" t="n">
        <v>7</v>
      </c>
      <c r="B24" s="24" t="s">
        <v>931</v>
      </c>
      <c r="C24" s="82" t="s">
        <v>895</v>
      </c>
      <c r="D24" s="28" t="n">
        <v>8793398</v>
      </c>
      <c r="E24" s="21" t="n">
        <v>272</v>
      </c>
      <c r="F24" s="28" t="n">
        <f aca="false">IFERROR(D24/E24,"")</f>
        <v>32328.6691176471</v>
      </c>
      <c r="G24" s="28" t="n">
        <v>220000</v>
      </c>
      <c r="H24" s="73" t="n">
        <f aca="false">IFERROR(D24/G24,"")</f>
        <v>39.9699909090909</v>
      </c>
      <c r="I24" s="73" t="n">
        <f aca="false">IFERROR(G24/(D24/181),"")</f>
        <v>4.52839732717659</v>
      </c>
      <c r="J24" s="28" t="n">
        <f aca="false">IFERROR(INDEX($F$8:$F$15,MATCH(C24,$E$8:$E$15,0)),"")</f>
        <v>0</v>
      </c>
      <c r="K24" s="84" t="n">
        <f aca="false">IFERROR(J24/F24,"")</f>
        <v>0</v>
      </c>
      <c r="L24" s="28" t="n">
        <v>1702</v>
      </c>
      <c r="M24" s="26"/>
      <c r="N24" s="85" t="str">
        <f aca="false">IFERROR(ROUNDUP(L24/$C$13,0),"")</f>
        <v/>
      </c>
      <c r="O24" s="84" t="str">
        <f aca="false">IFERROR(IF(M24="",N24,M24)*$C$12*181/30/D24,"")</f>
        <v/>
      </c>
      <c r="P24" s="26"/>
      <c r="Q24" s="84" t="n">
        <f aca="false">IFERROR(P24*181/30/D24,"")</f>
        <v>0</v>
      </c>
      <c r="R24" s="84" t="n">
        <f aca="false">IFERROR((G24/2)*(0.354*$C$7+0.369*$C$8+0.277*$C$9)*$C$10/(D24*365/181),"")</f>
        <v>0</v>
      </c>
      <c r="S24" s="86" t="str">
        <f aca="false">IFERROR((0.354*$C$7+0.369*$C$8+0.277*$C$9)/(1-$C$11)+K24+O24+Q24+R24,"")</f>
        <v/>
      </c>
      <c r="T24" s="84" t="n">
        <v>1.95</v>
      </c>
      <c r="U24" s="86" t="str">
        <f aca="false">IFERROR(T24-S24,"")</f>
        <v/>
      </c>
      <c r="V24" s="87" t="str">
        <f aca="false">IFERROR(U24-$C$14,"")</f>
        <v/>
      </c>
      <c r="W24" s="21" t="str">
        <f aca="false">IF(U24="","",IF(U24&gt;=$C$14,"يحقق الهدف","دون الهدف"))</f>
        <v/>
      </c>
    </row>
    <row r="25" customFormat="false" ht="19.5" hidden="false" customHeight="true" outlineLevel="0" collapsed="false">
      <c r="A25" s="21" t="n">
        <v>8</v>
      </c>
      <c r="B25" s="24" t="s">
        <v>932</v>
      </c>
      <c r="C25" s="82" t="s">
        <v>895</v>
      </c>
      <c r="D25" s="28" t="n">
        <v>8606984</v>
      </c>
      <c r="E25" s="21" t="n">
        <v>263</v>
      </c>
      <c r="F25" s="28" t="n">
        <f aca="false">IFERROR(D25/E25,"")</f>
        <v>32726.174904943</v>
      </c>
      <c r="G25" s="28" t="n">
        <v>345000</v>
      </c>
      <c r="H25" s="73" t="n">
        <f aca="false">IFERROR(D25/G25,"")</f>
        <v>24.9477797101449</v>
      </c>
      <c r="I25" s="73" t="n">
        <f aca="false">IFERROR(G25/(D25/181),"")</f>
        <v>7.25515465115306</v>
      </c>
      <c r="J25" s="28" t="n">
        <f aca="false">IFERROR(INDEX($F$8:$F$15,MATCH(C25,$E$8:$E$15,0)),"")</f>
        <v>0</v>
      </c>
      <c r="K25" s="84" t="n">
        <f aca="false">IFERROR(J25/F25,"")</f>
        <v>0</v>
      </c>
      <c r="L25" s="28" t="n">
        <v>2041</v>
      </c>
      <c r="M25" s="26"/>
      <c r="N25" s="85" t="str">
        <f aca="false">IFERROR(ROUNDUP(L25/$C$13,0),"")</f>
        <v/>
      </c>
      <c r="O25" s="84" t="str">
        <f aca="false">IFERROR(IF(M25="",N25,M25)*$C$12*181/30/D25,"")</f>
        <v/>
      </c>
      <c r="P25" s="26"/>
      <c r="Q25" s="84" t="n">
        <f aca="false">IFERROR(P25*181/30/D25,"")</f>
        <v>0</v>
      </c>
      <c r="R25" s="84" t="n">
        <f aca="false">IFERROR((G25/2)*(0.56*$C$7+0.429*$C$8+0*$C$9)*$C$10/(D25*365/181),"")</f>
        <v>0</v>
      </c>
      <c r="S25" s="86" t="str">
        <f aca="false">IFERROR((0.56*$C$7+0.429*$C$8+0*$C$9)/(1-$C$11)+K25+O25+Q25+R25,"")</f>
        <v/>
      </c>
      <c r="T25" s="84" t="n">
        <v>2.2204</v>
      </c>
      <c r="U25" s="86" t="str">
        <f aca="false">IFERROR(T25-S25,"")</f>
        <v/>
      </c>
      <c r="V25" s="87" t="str">
        <f aca="false">IFERROR(U25-$C$14,"")</f>
        <v/>
      </c>
      <c r="W25" s="21" t="str">
        <f aca="false">IF(U25="","",IF(U25&gt;=$C$14,"يحقق الهدف","دون الهدف"))</f>
        <v/>
      </c>
    </row>
    <row r="26" customFormat="false" ht="19.5" hidden="false" customHeight="true" outlineLevel="0" collapsed="false">
      <c r="A26" s="21" t="n">
        <v>9</v>
      </c>
      <c r="B26" s="24" t="s">
        <v>933</v>
      </c>
      <c r="C26" s="82" t="s">
        <v>895</v>
      </c>
      <c r="D26" s="28" t="n">
        <v>8250690</v>
      </c>
      <c r="E26" s="21" t="n">
        <v>255</v>
      </c>
      <c r="F26" s="28" t="n">
        <f aca="false">IFERROR(D26/E26,"")</f>
        <v>32355.6470588235</v>
      </c>
      <c r="G26" s="28" t="n">
        <v>345000</v>
      </c>
      <c r="H26" s="73" t="n">
        <f aca="false">IFERROR(D26/G26,"")</f>
        <v>23.9150434782609</v>
      </c>
      <c r="I26" s="73" t="n">
        <f aca="false">IFERROR(G26/(D26/181),"")</f>
        <v>7.56845791079292</v>
      </c>
      <c r="J26" s="28" t="n">
        <f aca="false">IFERROR(INDEX($F$8:$F$15,MATCH(C26,$E$8:$E$15,0)),"")</f>
        <v>0</v>
      </c>
      <c r="K26" s="84" t="n">
        <f aca="false">IFERROR(J26/F26,"")</f>
        <v>0</v>
      </c>
      <c r="L26" s="28" t="n">
        <v>1726</v>
      </c>
      <c r="M26" s="26"/>
      <c r="N26" s="85" t="str">
        <f aca="false">IFERROR(ROUNDUP(L26/$C$13,0),"")</f>
        <v/>
      </c>
      <c r="O26" s="84" t="str">
        <f aca="false">IFERROR(IF(M26="",N26,M26)*$C$12*181/30/D26,"")</f>
        <v/>
      </c>
      <c r="P26" s="26"/>
      <c r="Q26" s="84" t="n">
        <f aca="false">IFERROR(P26*181/30/D26,"")</f>
        <v>0</v>
      </c>
      <c r="R26" s="84" t="n">
        <f aca="false">IFERROR((G26/2)*(0.526*$C$7+0.468*$C$8+0.006*$C$9)*$C$10/(D26*365/181),"")</f>
        <v>0</v>
      </c>
      <c r="S26" s="86" t="str">
        <f aca="false">IFERROR((0.526*$C$7+0.468*$C$8+0.006*$C$9)/(1-$C$11)+K26+O26+Q26+R26,"")</f>
        <v/>
      </c>
      <c r="T26" s="84" t="n">
        <v>2.244</v>
      </c>
      <c r="U26" s="86" t="str">
        <f aca="false">IFERROR(T26-S26,"")</f>
        <v/>
      </c>
      <c r="V26" s="87" t="str">
        <f aca="false">IFERROR(U26-$C$14,"")</f>
        <v/>
      </c>
      <c r="W26" s="21" t="str">
        <f aca="false">IF(U26="","",IF(U26&gt;=$C$14,"يحقق الهدف","دون الهدف"))</f>
        <v/>
      </c>
    </row>
    <row r="27" customFormat="false" ht="19.5" hidden="false" customHeight="true" outlineLevel="0" collapsed="false">
      <c r="A27" s="21" t="n">
        <v>10</v>
      </c>
      <c r="B27" s="24" t="s">
        <v>934</v>
      </c>
      <c r="C27" s="82" t="s">
        <v>895</v>
      </c>
      <c r="D27" s="28" t="n">
        <v>7959089</v>
      </c>
      <c r="E27" s="21" t="n">
        <v>243</v>
      </c>
      <c r="F27" s="28" t="n">
        <f aca="false">IFERROR(D27/E27,"")</f>
        <v>32753.4526748971</v>
      </c>
      <c r="G27" s="28" t="n">
        <v>240000</v>
      </c>
      <c r="H27" s="73" t="n">
        <f aca="false">IFERROR(D27/G27,"")</f>
        <v>33.1628708333333</v>
      </c>
      <c r="I27" s="73" t="n">
        <f aca="false">IFERROR(G27/(D27/181),"")</f>
        <v>5.45791107499866</v>
      </c>
      <c r="J27" s="28" t="n">
        <f aca="false">IFERROR(INDEX($F$8:$F$15,MATCH(C27,$E$8:$E$15,0)),"")</f>
        <v>0</v>
      </c>
      <c r="K27" s="84" t="n">
        <f aca="false">IFERROR(J27/F27,"")</f>
        <v>0</v>
      </c>
      <c r="L27" s="28" t="n">
        <v>1566</v>
      </c>
      <c r="M27" s="26"/>
      <c r="N27" s="85" t="str">
        <f aca="false">IFERROR(ROUNDUP(L27/$C$13,0),"")</f>
        <v/>
      </c>
      <c r="O27" s="84" t="str">
        <f aca="false">IFERROR(IF(M27="",N27,M27)*$C$12*181/30/D27,"")</f>
        <v/>
      </c>
      <c r="P27" s="26"/>
      <c r="Q27" s="84" t="n">
        <f aca="false">IFERROR(P27*181/30/D27,"")</f>
        <v>0</v>
      </c>
      <c r="R27" s="84" t="n">
        <f aca="false">IFERROR((G27/2)*(0.406*$C$7+0.364*$C$8+0.231*$C$9)*$C$10/(D27*365/181),"")</f>
        <v>0</v>
      </c>
      <c r="S27" s="86" t="str">
        <f aca="false">IFERROR((0.406*$C$7+0.364*$C$8+0.231*$C$9)/(1-$C$11)+K27+O27+Q27+R27,"")</f>
        <v/>
      </c>
      <c r="T27" s="84" t="n">
        <v>1.9989</v>
      </c>
      <c r="U27" s="86" t="str">
        <f aca="false">IFERROR(T27-S27,"")</f>
        <v/>
      </c>
      <c r="V27" s="87" t="str">
        <f aca="false">IFERROR(U27-$C$14,"")</f>
        <v/>
      </c>
      <c r="W27" s="21" t="str">
        <f aca="false">IF(U27="","",IF(U27&gt;=$C$14,"يحقق الهدف","دون الهدف"))</f>
        <v/>
      </c>
    </row>
    <row r="28" customFormat="false" ht="19.5" hidden="false" customHeight="true" outlineLevel="0" collapsed="false">
      <c r="A28" s="21" t="n">
        <v>11</v>
      </c>
      <c r="B28" s="24" t="s">
        <v>935</v>
      </c>
      <c r="C28" s="82" t="s">
        <v>895</v>
      </c>
      <c r="D28" s="28" t="n">
        <v>7830411</v>
      </c>
      <c r="E28" s="21" t="n">
        <v>242</v>
      </c>
      <c r="F28" s="28" t="n">
        <f aca="false">IFERROR(D28/E28,"")</f>
        <v>32357.0702479339</v>
      </c>
      <c r="G28" s="28" t="n">
        <v>220000</v>
      </c>
      <c r="H28" s="73" t="n">
        <f aca="false">IFERROR(D28/G28,"")</f>
        <v>35.5927772727273</v>
      </c>
      <c r="I28" s="73" t="n">
        <f aca="false">IFERROR(G28/(D28/181),"")</f>
        <v>5.08530139733406</v>
      </c>
      <c r="J28" s="28" t="n">
        <f aca="false">IFERROR(INDEX($F$8:$F$15,MATCH(C28,$E$8:$E$15,0)),"")</f>
        <v>0</v>
      </c>
      <c r="K28" s="84" t="n">
        <f aca="false">IFERROR(J28/F28,"")</f>
        <v>0</v>
      </c>
      <c r="L28" s="28" t="n">
        <v>1414</v>
      </c>
      <c r="M28" s="26"/>
      <c r="N28" s="85" t="str">
        <f aca="false">IFERROR(ROUNDUP(L28/$C$13,0),"")</f>
        <v/>
      </c>
      <c r="O28" s="84" t="str">
        <f aca="false">IFERROR(IF(M28="",N28,M28)*$C$12*181/30/D28,"")</f>
        <v/>
      </c>
      <c r="P28" s="26"/>
      <c r="Q28" s="84" t="n">
        <f aca="false">IFERROR(P28*181/30/D28,"")</f>
        <v>0</v>
      </c>
      <c r="R28" s="84" t="n">
        <f aca="false">IFERROR((G28/2)*(0.465*$C$7+0.453*$C$8+0.082*$C$9)*$C$10/(D28*365/181),"")</f>
        <v>0</v>
      </c>
      <c r="S28" s="86" t="str">
        <f aca="false">IFERROR((0.465*$C$7+0.453*$C$8+0.082*$C$9)/(1-$C$11)+K28+O28+Q28+R28,"")</f>
        <v/>
      </c>
      <c r="T28" s="84" t="n">
        <v>2.1635</v>
      </c>
      <c r="U28" s="86" t="str">
        <f aca="false">IFERROR(T28-S28,"")</f>
        <v/>
      </c>
      <c r="V28" s="87" t="str">
        <f aca="false">IFERROR(U28-$C$14,"")</f>
        <v/>
      </c>
      <c r="W28" s="21" t="str">
        <f aca="false">IF(U28="","",IF(U28&gt;=$C$14,"يحقق الهدف","دون الهدف"))</f>
        <v/>
      </c>
    </row>
    <row r="29" customFormat="false" ht="19.5" hidden="false" customHeight="true" outlineLevel="0" collapsed="false">
      <c r="A29" s="21" t="n">
        <v>12</v>
      </c>
      <c r="B29" s="24" t="s">
        <v>936</v>
      </c>
      <c r="C29" s="82" t="s">
        <v>895</v>
      </c>
      <c r="D29" s="28" t="n">
        <v>7765511</v>
      </c>
      <c r="E29" s="21" t="n">
        <v>240</v>
      </c>
      <c r="F29" s="28" t="n">
        <f aca="false">IFERROR(D29/E29,"")</f>
        <v>32356.2958333333</v>
      </c>
      <c r="G29" s="28" t="n">
        <v>400000</v>
      </c>
      <c r="H29" s="73" t="n">
        <f aca="false">IFERROR(D29/G29,"")</f>
        <v>19.4137775</v>
      </c>
      <c r="I29" s="73" t="n">
        <f aca="false">IFERROR(G29/(D29/181),"")</f>
        <v>9.32327569943562</v>
      </c>
      <c r="J29" s="28" t="n">
        <f aca="false">IFERROR(INDEX($F$8:$F$15,MATCH(C29,$E$8:$E$15,0)),"")</f>
        <v>0</v>
      </c>
      <c r="K29" s="84" t="n">
        <f aca="false">IFERROR(J29/F29,"")</f>
        <v>0</v>
      </c>
      <c r="L29" s="28" t="n">
        <v>1380</v>
      </c>
      <c r="M29" s="26"/>
      <c r="N29" s="85" t="str">
        <f aca="false">IFERROR(ROUNDUP(L29/$C$13,0),"")</f>
        <v/>
      </c>
      <c r="O29" s="84" t="str">
        <f aca="false">IFERROR(IF(M29="",N29,M29)*$C$12*181/30/D29,"")</f>
        <v/>
      </c>
      <c r="P29" s="26"/>
      <c r="Q29" s="84" t="n">
        <f aca="false">IFERROR(P29*181/30/D29,"")</f>
        <v>0</v>
      </c>
      <c r="R29" s="84" t="n">
        <f aca="false">IFERROR((G29/2)*(0.337*$C$7+0.206*$C$8+0.458*$C$9)*$C$10/(D29*365/181),"")</f>
        <v>0</v>
      </c>
      <c r="S29" s="86" t="str">
        <f aca="false">IFERROR((0.337*$C$7+0.206*$C$8+0.458*$C$9)/(1-$C$11)+K29+O29+Q29+R29,"")</f>
        <v/>
      </c>
      <c r="T29" s="84" t="n">
        <v>1.7413</v>
      </c>
      <c r="U29" s="86" t="str">
        <f aca="false">IFERROR(T29-S29,"")</f>
        <v/>
      </c>
      <c r="V29" s="87" t="str">
        <f aca="false">IFERROR(U29-$C$14,"")</f>
        <v/>
      </c>
      <c r="W29" s="21" t="str">
        <f aca="false">IF(U29="","",IF(U29&gt;=$C$14,"يحقق الهدف","دون الهدف"))</f>
        <v/>
      </c>
    </row>
    <row r="30" customFormat="false" ht="19.5" hidden="false" customHeight="true" outlineLevel="0" collapsed="false">
      <c r="A30" s="21" t="n">
        <v>13</v>
      </c>
      <c r="B30" s="24" t="s">
        <v>937</v>
      </c>
      <c r="C30" s="82" t="s">
        <v>893</v>
      </c>
      <c r="D30" s="28" t="n">
        <v>7125121</v>
      </c>
      <c r="E30" s="21" t="n">
        <v>223</v>
      </c>
      <c r="F30" s="28" t="n">
        <f aca="false">IFERROR(D30/E30,"")</f>
        <v>31951.2152466368</v>
      </c>
      <c r="G30" s="28" t="n">
        <v>240000</v>
      </c>
      <c r="H30" s="73" t="n">
        <f aca="false">IFERROR(D30/G30,"")</f>
        <v>29.6880041666667</v>
      </c>
      <c r="I30" s="73" t="n">
        <f aca="false">IFERROR(G30/(D30/181),"")</f>
        <v>6.09673856766783</v>
      </c>
      <c r="J30" s="28" t="n">
        <f aca="false">IFERROR(INDEX($F$8:$F$15,MATCH(C30,$E$8:$E$15,0)),"")</f>
        <v>0</v>
      </c>
      <c r="K30" s="84" t="n">
        <f aca="false">IFERROR(J30/F30,"")</f>
        <v>0</v>
      </c>
      <c r="L30" s="28" t="n">
        <v>1169</v>
      </c>
      <c r="M30" s="26"/>
      <c r="N30" s="85" t="str">
        <f aca="false">IFERROR(ROUNDUP(L30/$C$13,0),"")</f>
        <v/>
      </c>
      <c r="O30" s="84" t="str">
        <f aca="false">IFERROR(IF(M30="",N30,M30)*$C$12*181/30/D30,"")</f>
        <v/>
      </c>
      <c r="P30" s="26"/>
      <c r="Q30" s="84" t="n">
        <f aca="false">IFERROR(P30*181/30/D30,"")</f>
        <v>0</v>
      </c>
      <c r="R30" s="84" t="n">
        <f aca="false">IFERROR((G30/2)*(0.474*$C$7+0.451*$C$8+0.076*$C$9)*$C$10/(D30*365/181),"")</f>
        <v>0</v>
      </c>
      <c r="S30" s="86" t="str">
        <f aca="false">IFERROR((0.474*$C$7+0.451*$C$8+0.076*$C$9)/(1-$C$11)+K30+O30+Q30+R30,"")</f>
        <v/>
      </c>
      <c r="T30" s="84" t="n">
        <v>2.1716</v>
      </c>
      <c r="U30" s="86" t="str">
        <f aca="false">IFERROR(T30-S30,"")</f>
        <v/>
      </c>
      <c r="V30" s="87" t="str">
        <f aca="false">IFERROR(U30-$C$14,"")</f>
        <v/>
      </c>
      <c r="W30" s="21" t="str">
        <f aca="false">IF(U30="","",IF(U30&gt;=$C$14,"يحقق الهدف","دون الهدف"))</f>
        <v/>
      </c>
    </row>
    <row r="31" customFormat="false" ht="19.5" hidden="false" customHeight="true" outlineLevel="0" collapsed="false">
      <c r="A31" s="21" t="n">
        <v>14</v>
      </c>
      <c r="B31" s="24" t="s">
        <v>938</v>
      </c>
      <c r="C31" s="82" t="s">
        <v>895</v>
      </c>
      <c r="D31" s="28" t="n">
        <v>6676691</v>
      </c>
      <c r="E31" s="21" t="n">
        <v>207</v>
      </c>
      <c r="F31" s="28" t="n">
        <f aca="false">IFERROR(D31/E31,"")</f>
        <v>32254.5458937198</v>
      </c>
      <c r="G31" s="28" t="n">
        <v>240000</v>
      </c>
      <c r="H31" s="73" t="n">
        <f aca="false">IFERROR(D31/G31,"")</f>
        <v>27.8195458333333</v>
      </c>
      <c r="I31" s="73" t="n">
        <f aca="false">IFERROR(G31/(D31/181),"")</f>
        <v>6.50621692691784</v>
      </c>
      <c r="J31" s="28" t="n">
        <f aca="false">IFERROR(INDEX($F$8:$F$15,MATCH(C31,$E$8:$E$15,0)),"")</f>
        <v>0</v>
      </c>
      <c r="K31" s="84" t="n">
        <f aca="false">IFERROR(J31/F31,"")</f>
        <v>0</v>
      </c>
      <c r="L31" s="28" t="n">
        <v>1872</v>
      </c>
      <c r="M31" s="26"/>
      <c r="N31" s="85" t="str">
        <f aca="false">IFERROR(ROUNDUP(L31/$C$13,0),"")</f>
        <v/>
      </c>
      <c r="O31" s="84" t="str">
        <f aca="false">IFERROR(IF(M31="",N31,M31)*$C$12*181/30/D31,"")</f>
        <v/>
      </c>
      <c r="P31" s="26"/>
      <c r="Q31" s="84" t="n">
        <f aca="false">IFERROR(P31*181/30/D31,"")</f>
        <v>0</v>
      </c>
      <c r="R31" s="84" t="n">
        <f aca="false">IFERROR((G31/2)*(0.554*$C$7+0.446*$C$8+0*$C$9)*$C$10/(D31*365/181),"")</f>
        <v>0</v>
      </c>
      <c r="S31" s="86" t="str">
        <f aca="false">IFERROR((0.554*$C$7+0.446*$C$8+0*$C$9)/(1-$C$11)+K31+O31+Q31+R31,"")</f>
        <v/>
      </c>
      <c r="T31" s="84" t="n">
        <v>2.2469</v>
      </c>
      <c r="U31" s="86" t="str">
        <f aca="false">IFERROR(T31-S31,"")</f>
        <v/>
      </c>
      <c r="V31" s="87" t="str">
        <f aca="false">IFERROR(U31-$C$14,"")</f>
        <v/>
      </c>
      <c r="W31" s="21" t="str">
        <f aca="false">IF(U31="","",IF(U31&gt;=$C$14,"يحقق الهدف","دون الهدف"))</f>
        <v/>
      </c>
    </row>
    <row r="32" customFormat="false" ht="19.5" hidden="false" customHeight="true" outlineLevel="0" collapsed="false">
      <c r="A32" s="21" t="n">
        <v>15</v>
      </c>
      <c r="B32" s="24" t="s">
        <v>939</v>
      </c>
      <c r="C32" s="82" t="s">
        <v>895</v>
      </c>
      <c r="D32" s="28" t="n">
        <v>6566560</v>
      </c>
      <c r="E32" s="21" t="n">
        <v>203</v>
      </c>
      <c r="F32" s="28" t="n">
        <f aca="false">IFERROR(D32/E32,"")</f>
        <v>32347.5862068966</v>
      </c>
      <c r="G32" s="28" t="n">
        <v>240000</v>
      </c>
      <c r="H32" s="73" t="n">
        <f aca="false">IFERROR(D32/G32,"")</f>
        <v>27.3606666666667</v>
      </c>
      <c r="I32" s="73" t="n">
        <f aca="false">IFERROR(G32/(D32/181),"")</f>
        <v>6.61533588362857</v>
      </c>
      <c r="J32" s="28" t="n">
        <f aca="false">IFERROR(INDEX($F$8:$F$15,MATCH(C32,$E$8:$E$15,0)),"")</f>
        <v>0</v>
      </c>
      <c r="K32" s="84" t="n">
        <f aca="false">IFERROR(J32/F32,"")</f>
        <v>0</v>
      </c>
      <c r="L32" s="28" t="n">
        <v>1483</v>
      </c>
      <c r="M32" s="26"/>
      <c r="N32" s="85" t="str">
        <f aca="false">IFERROR(ROUNDUP(L32/$C$13,0),"")</f>
        <v/>
      </c>
      <c r="O32" s="84" t="str">
        <f aca="false">IFERROR(IF(M32="",N32,M32)*$C$12*181/30/D32,"")</f>
        <v/>
      </c>
      <c r="P32" s="26"/>
      <c r="Q32" s="84" t="n">
        <f aca="false">IFERROR(P32*181/30/D32,"")</f>
        <v>0</v>
      </c>
      <c r="R32" s="84" t="n">
        <f aca="false">IFERROR((G32/2)*(0.544*$C$7+0.456*$C$8+0*$C$9)*$C$10/(D32*365/181),"")</f>
        <v>0</v>
      </c>
      <c r="S32" s="86" t="str">
        <f aca="false">IFERROR((0.544*$C$7+0.456*$C$8+0*$C$9)/(1-$C$11)+K32+O32+Q32+R32,"")</f>
        <v/>
      </c>
      <c r="T32" s="84" t="n">
        <v>2.2484</v>
      </c>
      <c r="U32" s="86" t="str">
        <f aca="false">IFERROR(T32-S32,"")</f>
        <v/>
      </c>
      <c r="V32" s="87" t="str">
        <f aca="false">IFERROR(U32-$C$14,"")</f>
        <v/>
      </c>
      <c r="W32" s="21" t="str">
        <f aca="false">IF(U32="","",IF(U32&gt;=$C$14,"يحقق الهدف","دون الهدف"))</f>
        <v/>
      </c>
    </row>
    <row r="33" customFormat="false" ht="19.5" hidden="false" customHeight="true" outlineLevel="0" collapsed="false">
      <c r="A33" s="21" t="n">
        <v>16</v>
      </c>
      <c r="B33" s="24" t="s">
        <v>940</v>
      </c>
      <c r="C33" s="82" t="s">
        <v>895</v>
      </c>
      <c r="D33" s="28" t="n">
        <v>5608529</v>
      </c>
      <c r="E33" s="21" t="n">
        <v>170</v>
      </c>
      <c r="F33" s="28" t="n">
        <f aca="false">IFERROR(D33/E33,"")</f>
        <v>32991.3470588235</v>
      </c>
      <c r="G33" s="28" t="n">
        <v>345000</v>
      </c>
      <c r="H33" s="73" t="n">
        <f aca="false">IFERROR(D33/G33,"")</f>
        <v>16.2566057971015</v>
      </c>
      <c r="I33" s="73" t="n">
        <f aca="false">IFERROR(G33/(D33/181),"")</f>
        <v>11.1339354757727</v>
      </c>
      <c r="J33" s="28" t="n">
        <f aca="false">IFERROR(INDEX($F$8:$F$15,MATCH(C33,$E$8:$E$15,0)),"")</f>
        <v>0</v>
      </c>
      <c r="K33" s="84" t="n">
        <f aca="false">IFERROR(J33/F33,"")</f>
        <v>0</v>
      </c>
      <c r="L33" s="28" t="n">
        <v>1573</v>
      </c>
      <c r="M33" s="26"/>
      <c r="N33" s="85" t="str">
        <f aca="false">IFERROR(ROUNDUP(L33/$C$13,0),"")</f>
        <v/>
      </c>
      <c r="O33" s="84" t="str">
        <f aca="false">IFERROR(IF(M33="",N33,M33)*$C$12*181/30/D33,"")</f>
        <v/>
      </c>
      <c r="P33" s="26"/>
      <c r="Q33" s="84" t="n">
        <f aca="false">IFERROR(P33*181/30/D33,"")</f>
        <v>0</v>
      </c>
      <c r="R33" s="84" t="n">
        <f aca="false">IFERROR((G33/2)*(0.575*$C$7+0.425*$C$8+0*$C$9)*$C$10/(D33*365/181),"")</f>
        <v>0</v>
      </c>
      <c r="S33" s="86" t="str">
        <f aca="false">IFERROR((0.575*$C$7+0.425*$C$8+0*$C$9)/(1-$C$11)+K33+O33+Q33+R33,"")</f>
        <v/>
      </c>
      <c r="T33" s="84" t="n">
        <v>2.2437</v>
      </c>
      <c r="U33" s="86" t="str">
        <f aca="false">IFERROR(T33-S33,"")</f>
        <v/>
      </c>
      <c r="V33" s="87" t="str">
        <f aca="false">IFERROR(U33-$C$14,"")</f>
        <v/>
      </c>
      <c r="W33" s="21" t="str">
        <f aca="false">IF(U33="","",IF(U33&gt;=$C$14,"يحقق الهدف","دون الهدف"))</f>
        <v/>
      </c>
    </row>
    <row r="34" customFormat="false" ht="19.5" hidden="false" customHeight="true" outlineLevel="0" collapsed="false">
      <c r="A34" s="21" t="n">
        <v>17</v>
      </c>
      <c r="B34" s="24" t="s">
        <v>941</v>
      </c>
      <c r="C34" s="82" t="s">
        <v>895</v>
      </c>
      <c r="D34" s="28" t="n">
        <v>4948845</v>
      </c>
      <c r="E34" s="21" t="n">
        <v>153</v>
      </c>
      <c r="F34" s="28" t="n">
        <f aca="false">IFERROR(D34/E34,"")</f>
        <v>32345.3921568627</v>
      </c>
      <c r="G34" s="28" t="n">
        <v>200000</v>
      </c>
      <c r="H34" s="73" t="n">
        <f aca="false">IFERROR(D34/G34,"")</f>
        <v>24.744225</v>
      </c>
      <c r="I34" s="73" t="n">
        <f aca="false">IFERROR(G34/(D34/181),"")</f>
        <v>7.31483810869001</v>
      </c>
      <c r="J34" s="28" t="n">
        <f aca="false">IFERROR(INDEX($F$8:$F$15,MATCH(C34,$E$8:$E$15,0)),"")</f>
        <v>0</v>
      </c>
      <c r="K34" s="84" t="n">
        <f aca="false">IFERROR(J34/F34,"")</f>
        <v>0</v>
      </c>
      <c r="L34" s="28" t="n">
        <v>1112</v>
      </c>
      <c r="M34" s="26"/>
      <c r="N34" s="85" t="str">
        <f aca="false">IFERROR(ROUNDUP(L34/$C$13,0),"")</f>
        <v/>
      </c>
      <c r="O34" s="84" t="str">
        <f aca="false">IFERROR(IF(M34="",N34,M34)*$C$12*181/30/D34,"")</f>
        <v/>
      </c>
      <c r="P34" s="26"/>
      <c r="Q34" s="84" t="n">
        <f aca="false">IFERROR(P34*181/30/D34,"")</f>
        <v>0</v>
      </c>
      <c r="R34" s="84" t="n">
        <f aca="false">IFERROR((G34/2)*(0.372*$C$7+0.351*$C$8+0.276*$C$9)*$C$10/(D34*365/181),"")</f>
        <v>0</v>
      </c>
      <c r="S34" s="86" t="str">
        <f aca="false">IFERROR((0.372*$C$7+0.351*$C$8+0.276*$C$9)/(1-$C$11)+K34+O34+Q34+R34,"")</f>
        <v/>
      </c>
      <c r="T34" s="84" t="n">
        <v>1.9462</v>
      </c>
      <c r="U34" s="86" t="str">
        <f aca="false">IFERROR(T34-S34,"")</f>
        <v/>
      </c>
      <c r="V34" s="87" t="str">
        <f aca="false">IFERROR(U34-$C$14,"")</f>
        <v/>
      </c>
      <c r="W34" s="21" t="str">
        <f aca="false">IF(U34="","",IF(U34&gt;=$C$14,"يحقق الهدف","دون الهدف"))</f>
        <v/>
      </c>
    </row>
    <row r="35" customFormat="false" ht="19.5" hidden="false" customHeight="true" outlineLevel="0" collapsed="false">
      <c r="A35" s="21" t="n">
        <v>18</v>
      </c>
      <c r="B35" s="24" t="s">
        <v>942</v>
      </c>
      <c r="C35" s="82" t="s">
        <v>895</v>
      </c>
      <c r="D35" s="28" t="n">
        <v>4875502</v>
      </c>
      <c r="E35" s="21" t="n">
        <v>151</v>
      </c>
      <c r="F35" s="28" t="n">
        <f aca="false">IFERROR(D35/E35,"")</f>
        <v>32288.0927152318</v>
      </c>
      <c r="G35" s="28" t="n">
        <v>180000</v>
      </c>
      <c r="H35" s="73" t="n">
        <f aca="false">IFERROR(D35/G35,"")</f>
        <v>27.0861222222222</v>
      </c>
      <c r="I35" s="73" t="n">
        <f aca="false">IFERROR(G35/(D35/181),"")</f>
        <v>6.68238880837296</v>
      </c>
      <c r="J35" s="28" t="n">
        <f aca="false">IFERROR(INDEX($F$8:$F$15,MATCH(C35,$E$8:$E$15,0)),"")</f>
        <v>0</v>
      </c>
      <c r="K35" s="84" t="n">
        <f aca="false">IFERROR(J35/F35,"")</f>
        <v>0</v>
      </c>
      <c r="L35" s="28" t="n">
        <v>1144</v>
      </c>
      <c r="M35" s="26"/>
      <c r="N35" s="85" t="str">
        <f aca="false">IFERROR(ROUNDUP(L35/$C$13,0),"")</f>
        <v/>
      </c>
      <c r="O35" s="84" t="str">
        <f aca="false">IFERROR(IF(M35="",N35,M35)*$C$12*181/30/D35,"")</f>
        <v/>
      </c>
      <c r="P35" s="26"/>
      <c r="Q35" s="84" t="n">
        <f aca="false">IFERROR(P35*181/30/D35,"")</f>
        <v>0</v>
      </c>
      <c r="R35" s="84" t="n">
        <f aca="false">IFERROR((G35/2)*(0.461*$C$7+0.481*$C$8+0.058*$C$9)*$C$10/(D35*365/181),"")</f>
        <v>0</v>
      </c>
      <c r="S35" s="86" t="str">
        <f aca="false">IFERROR((0.461*$C$7+0.481*$C$8+0.058*$C$9)/(1-$C$11)+K35+O35+Q35+R35,"")</f>
        <v/>
      </c>
      <c r="T35" s="84" t="n">
        <v>2.1924</v>
      </c>
      <c r="U35" s="86" t="str">
        <f aca="false">IFERROR(T35-S35,"")</f>
        <v/>
      </c>
      <c r="V35" s="87" t="str">
        <f aca="false">IFERROR(U35-$C$14,"")</f>
        <v/>
      </c>
      <c r="W35" s="21" t="str">
        <f aca="false">IF(U35="","",IF(U35&gt;=$C$14,"يحقق الهدف","دون الهدف"))</f>
        <v/>
      </c>
    </row>
    <row r="36" customFormat="false" ht="19.5" hidden="false" customHeight="true" outlineLevel="0" collapsed="false">
      <c r="A36" s="21" t="n">
        <v>19</v>
      </c>
      <c r="B36" s="24" t="s">
        <v>943</v>
      </c>
      <c r="C36" s="82" t="s">
        <v>895</v>
      </c>
      <c r="D36" s="28" t="n">
        <v>4782806</v>
      </c>
      <c r="E36" s="21" t="n">
        <v>145</v>
      </c>
      <c r="F36" s="28" t="n">
        <f aca="false">IFERROR(D36/E36,"")</f>
        <v>32984.8689655172</v>
      </c>
      <c r="G36" s="28" t="n">
        <v>160000</v>
      </c>
      <c r="H36" s="73" t="n">
        <f aca="false">IFERROR(D36/G36,"")</f>
        <v>29.8925375</v>
      </c>
      <c r="I36" s="73" t="n">
        <f aca="false">IFERROR(G36/(D36/181),"")</f>
        <v>6.05502293005403</v>
      </c>
      <c r="J36" s="28" t="n">
        <f aca="false">IFERROR(INDEX($F$8:$F$15,MATCH(C36,$E$8:$E$15,0)),"")</f>
        <v>0</v>
      </c>
      <c r="K36" s="84" t="n">
        <f aca="false">IFERROR(J36/F36,"")</f>
        <v>0</v>
      </c>
      <c r="L36" s="28" t="n">
        <v>1363</v>
      </c>
      <c r="M36" s="26"/>
      <c r="N36" s="85" t="str">
        <f aca="false">IFERROR(ROUNDUP(L36/$C$13,0),"")</f>
        <v/>
      </c>
      <c r="O36" s="84" t="str">
        <f aca="false">IFERROR(IF(M36="",N36,M36)*$C$12*181/30/D36,"")</f>
        <v/>
      </c>
      <c r="P36" s="26"/>
      <c r="Q36" s="84" t="n">
        <f aca="false">IFERROR(P36*181/30/D36,"")</f>
        <v>0</v>
      </c>
      <c r="R36" s="84" t="n">
        <f aca="false">IFERROR((G36/2)*(0.522*$C$7+0.478*$C$8+0*$C$9)*$C$10/(D36*365/181),"")</f>
        <v>0</v>
      </c>
      <c r="S36" s="86" t="str">
        <f aca="false">IFERROR((0.522*$C$7+0.478*$C$8+0*$C$9)/(1-$C$11)+K36+O36+Q36+R36,"")</f>
        <v/>
      </c>
      <c r="T36" s="84" t="n">
        <v>2.2517</v>
      </c>
      <c r="U36" s="86" t="str">
        <f aca="false">IFERROR(T36-S36,"")</f>
        <v/>
      </c>
      <c r="V36" s="87" t="str">
        <f aca="false">IFERROR(U36-$C$14,"")</f>
        <v/>
      </c>
      <c r="W36" s="21" t="str">
        <f aca="false">IF(U36="","",IF(U36&gt;=$C$14,"يحقق الهدف","دون الهدف"))</f>
        <v/>
      </c>
    </row>
    <row r="37" customFormat="false" ht="19.5" hidden="false" customHeight="true" outlineLevel="0" collapsed="false">
      <c r="A37" s="21" t="n">
        <v>20</v>
      </c>
      <c r="B37" s="24" t="s">
        <v>944</v>
      </c>
      <c r="C37" s="82" t="s">
        <v>895</v>
      </c>
      <c r="D37" s="28" t="n">
        <v>4766773</v>
      </c>
      <c r="E37" s="21" t="n">
        <v>147</v>
      </c>
      <c r="F37" s="28" t="n">
        <f aca="false">IFERROR(D37/E37,"")</f>
        <v>32427.0272108844</v>
      </c>
      <c r="G37" s="28" t="n">
        <v>240000</v>
      </c>
      <c r="H37" s="73" t="n">
        <f aca="false">IFERROR(D37/G37,"")</f>
        <v>19.8615541666667</v>
      </c>
      <c r="I37" s="73" t="n">
        <f aca="false">IFERROR(G37/(D37/181),"")</f>
        <v>9.11308342142577</v>
      </c>
      <c r="J37" s="28" t="n">
        <f aca="false">IFERROR(INDEX($F$8:$F$15,MATCH(C37,$E$8:$E$15,0)),"")</f>
        <v>0</v>
      </c>
      <c r="K37" s="84" t="n">
        <f aca="false">IFERROR(J37/F37,"")</f>
        <v>0</v>
      </c>
      <c r="L37" s="28" t="n">
        <v>1290</v>
      </c>
      <c r="M37" s="26"/>
      <c r="N37" s="85" t="str">
        <f aca="false">IFERROR(ROUNDUP(L37/$C$13,0),"")</f>
        <v/>
      </c>
      <c r="O37" s="84" t="str">
        <f aca="false">IFERROR(IF(M37="",N37,M37)*$C$12*181/30/D37,"")</f>
        <v/>
      </c>
      <c r="P37" s="26"/>
      <c r="Q37" s="84" t="n">
        <f aca="false">IFERROR(P37*181/30/D37,"")</f>
        <v>0</v>
      </c>
      <c r="R37" s="84" t="n">
        <f aca="false">IFERROR((G37/2)*(0.517*$C$7+0.483*$C$8+0*$C$9)*$C$10/(D37*365/181),"")</f>
        <v>0</v>
      </c>
      <c r="S37" s="86" t="str">
        <f aca="false">IFERROR((0.517*$C$7+0.483*$C$8+0*$C$9)/(1-$C$11)+K37+O37+Q37+R37,"")</f>
        <v/>
      </c>
      <c r="T37" s="84" t="n">
        <v>2.2525</v>
      </c>
      <c r="U37" s="86" t="str">
        <f aca="false">IFERROR(T37-S37,"")</f>
        <v/>
      </c>
      <c r="V37" s="87" t="str">
        <f aca="false">IFERROR(U37-$C$14,"")</f>
        <v/>
      </c>
      <c r="W37" s="21" t="str">
        <f aca="false">IF(U37="","",IF(U37&gt;=$C$14,"يحقق الهدف","دون الهدف"))</f>
        <v/>
      </c>
    </row>
    <row r="38" customFormat="false" ht="19.5" hidden="false" customHeight="true" outlineLevel="0" collapsed="false">
      <c r="A38" s="21" t="n">
        <v>21</v>
      </c>
      <c r="B38" s="24" t="s">
        <v>945</v>
      </c>
      <c r="C38" s="82" t="s">
        <v>895</v>
      </c>
      <c r="D38" s="28" t="n">
        <v>4647620</v>
      </c>
      <c r="E38" s="21" t="n">
        <v>144</v>
      </c>
      <c r="F38" s="28" t="n">
        <f aca="false">IFERROR(D38/E38,"")</f>
        <v>32275.1388888889</v>
      </c>
      <c r="G38" s="28" t="n">
        <v>180000</v>
      </c>
      <c r="H38" s="73" t="n">
        <f aca="false">IFERROR(D38/G38,"")</f>
        <v>25.8201111111111</v>
      </c>
      <c r="I38" s="73" t="n">
        <f aca="false">IFERROR(G38/(D38/181),"")</f>
        <v>7.01003954712304</v>
      </c>
      <c r="J38" s="28" t="n">
        <f aca="false">IFERROR(INDEX($F$8:$F$15,MATCH(C38,$E$8:$E$15,0)),"")</f>
        <v>0</v>
      </c>
      <c r="K38" s="84" t="n">
        <f aca="false">IFERROR(J38/F38,"")</f>
        <v>0</v>
      </c>
      <c r="L38" s="28" t="n">
        <v>823</v>
      </c>
      <c r="M38" s="26"/>
      <c r="N38" s="85" t="str">
        <f aca="false">IFERROR(ROUNDUP(L38/$C$13,0),"")</f>
        <v/>
      </c>
      <c r="O38" s="84" t="str">
        <f aca="false">IFERROR(IF(M38="",N38,M38)*$C$12*181/30/D38,"")</f>
        <v/>
      </c>
      <c r="P38" s="26"/>
      <c r="Q38" s="84" t="n">
        <f aca="false">IFERROR(P38*181/30/D38,"")</f>
        <v>0</v>
      </c>
      <c r="R38" s="84" t="n">
        <f aca="false">IFERROR((G38/2)*(0.374*$C$7+0.356*$C$8+0.27*$C$9)*$C$10/(D38*365/181),"")</f>
        <v>0</v>
      </c>
      <c r="S38" s="86" t="str">
        <f aca="false">IFERROR((0.374*$C$7+0.356*$C$8+0.27*$C$9)/(1-$C$11)+K38+O38+Q38+R38,"")</f>
        <v/>
      </c>
      <c r="T38" s="84" t="n">
        <v>1.9553</v>
      </c>
      <c r="U38" s="86" t="str">
        <f aca="false">IFERROR(T38-S38,"")</f>
        <v/>
      </c>
      <c r="V38" s="87" t="str">
        <f aca="false">IFERROR(U38-$C$14,"")</f>
        <v/>
      </c>
      <c r="W38" s="21" t="str">
        <f aca="false">IF(U38="","",IF(U38&gt;=$C$14,"يحقق الهدف","دون الهدف"))</f>
        <v/>
      </c>
    </row>
    <row r="39" customFormat="false" ht="19.5" hidden="false" customHeight="true" outlineLevel="0" collapsed="false">
      <c r="A39" s="21" t="n">
        <v>22</v>
      </c>
      <c r="B39" s="24" t="s">
        <v>946</v>
      </c>
      <c r="C39" s="82" t="s">
        <v>895</v>
      </c>
      <c r="D39" s="28" t="n">
        <v>4584808</v>
      </c>
      <c r="E39" s="21" t="n">
        <v>142</v>
      </c>
      <c r="F39" s="28" t="n">
        <f aca="false">IFERROR(D39/E39,"")</f>
        <v>32287.3802816901</v>
      </c>
      <c r="G39" s="28" t="n">
        <v>240000</v>
      </c>
      <c r="H39" s="73" t="n">
        <f aca="false">IFERROR(D39/G39,"")</f>
        <v>19.1033666666667</v>
      </c>
      <c r="I39" s="73" t="n">
        <f aca="false">IFERROR(G39/(D39/181),"")</f>
        <v>9.47476971772864</v>
      </c>
      <c r="J39" s="28" t="n">
        <f aca="false">IFERROR(INDEX($F$8:$F$15,MATCH(C39,$E$8:$E$15,0)),"")</f>
        <v>0</v>
      </c>
      <c r="K39" s="84" t="n">
        <f aca="false">IFERROR(J39/F39,"")</f>
        <v>0</v>
      </c>
      <c r="L39" s="28" t="n">
        <v>816</v>
      </c>
      <c r="M39" s="26"/>
      <c r="N39" s="85" t="str">
        <f aca="false">IFERROR(ROUNDUP(L39/$C$13,0),"")</f>
        <v/>
      </c>
      <c r="O39" s="84" t="str">
        <f aca="false">IFERROR(IF(M39="",N39,M39)*$C$12*181/30/D39,"")</f>
        <v/>
      </c>
      <c r="P39" s="26"/>
      <c r="Q39" s="84" t="n">
        <f aca="false">IFERROR(P39*181/30/D39,"")</f>
        <v>0</v>
      </c>
      <c r="R39" s="84" t="n">
        <f aca="false">IFERROR((G39/2)*(0.364*$C$7+0.315*$C$8+0.321*$C$9)*$C$10/(D39*365/181),"")</f>
        <v>0</v>
      </c>
      <c r="S39" s="86" t="str">
        <f aca="false">IFERROR((0.364*$C$7+0.315*$C$8+0.321*$C$9)/(1-$C$11)+K39+O39+Q39+R39,"")</f>
        <v/>
      </c>
      <c r="T39" s="84" t="n">
        <v>1.8966</v>
      </c>
      <c r="U39" s="86" t="str">
        <f aca="false">IFERROR(T39-S39,"")</f>
        <v/>
      </c>
      <c r="V39" s="87" t="str">
        <f aca="false">IFERROR(U39-$C$14,"")</f>
        <v/>
      </c>
      <c r="W39" s="21" t="str">
        <f aca="false">IF(U39="","",IF(U39&gt;=$C$14,"يحقق الهدف","دون الهدف"))</f>
        <v/>
      </c>
    </row>
    <row r="40" customFormat="false" ht="19.5" hidden="false" customHeight="true" outlineLevel="0" collapsed="false">
      <c r="A40" s="21" t="n">
        <v>23</v>
      </c>
      <c r="B40" s="24" t="s">
        <v>947</v>
      </c>
      <c r="C40" s="82" t="s">
        <v>895</v>
      </c>
      <c r="D40" s="28" t="n">
        <v>4562218</v>
      </c>
      <c r="E40" s="21" t="n">
        <v>139</v>
      </c>
      <c r="F40" s="28" t="n">
        <f aca="false">IFERROR(D40/E40,"")</f>
        <v>32821.7122302158</v>
      </c>
      <c r="G40" s="28" t="n">
        <v>200000</v>
      </c>
      <c r="H40" s="73" t="n">
        <f aca="false">IFERROR(D40/G40,"")</f>
        <v>22.81109</v>
      </c>
      <c r="I40" s="73" t="n">
        <f aca="false">IFERROR(G40/(D40/181),"")</f>
        <v>7.93473700730653</v>
      </c>
      <c r="J40" s="28" t="n">
        <f aca="false">IFERROR(INDEX($F$8:$F$15,MATCH(C40,$E$8:$E$15,0)),"")</f>
        <v>0</v>
      </c>
      <c r="K40" s="84" t="n">
        <f aca="false">IFERROR(J40/F40,"")</f>
        <v>0</v>
      </c>
      <c r="L40" s="28" t="n">
        <v>1025</v>
      </c>
      <c r="M40" s="26"/>
      <c r="N40" s="85" t="str">
        <f aca="false">IFERROR(ROUNDUP(L40/$C$13,0),"")</f>
        <v/>
      </c>
      <c r="O40" s="84" t="str">
        <f aca="false">IFERROR(IF(M40="",N40,M40)*$C$12*181/30/D40,"")</f>
        <v/>
      </c>
      <c r="P40" s="26"/>
      <c r="Q40" s="84" t="n">
        <f aca="false">IFERROR(P40*181/30/D40,"")</f>
        <v>0</v>
      </c>
      <c r="R40" s="84" t="n">
        <f aca="false">IFERROR((G40/2)*(0.514*$C$7+0.31*$C$8+0.176*$C$9)*$C$10/(D40*365/181),"")</f>
        <v>0</v>
      </c>
      <c r="S40" s="86" t="str">
        <f aca="false">IFERROR((0.514*$C$7+0.31*$C$8+0.176*$C$9)/(1-$C$11)+K40+O40+Q40+R40,"")</f>
        <v/>
      </c>
      <c r="T40" s="84" t="n">
        <v>2.0452</v>
      </c>
      <c r="U40" s="86" t="str">
        <f aca="false">IFERROR(T40-S40,"")</f>
        <v/>
      </c>
      <c r="V40" s="87" t="str">
        <f aca="false">IFERROR(U40-$C$14,"")</f>
        <v/>
      </c>
      <c r="W40" s="21" t="str">
        <f aca="false">IF(U40="","",IF(U40&gt;=$C$14,"يحقق الهدف","دون الهدف"))</f>
        <v/>
      </c>
    </row>
    <row r="41" customFormat="false" ht="19.5" hidden="false" customHeight="true" outlineLevel="0" collapsed="false">
      <c r="A41" s="21" t="n">
        <v>24</v>
      </c>
      <c r="B41" s="24" t="s">
        <v>948</v>
      </c>
      <c r="C41" s="82" t="s">
        <v>895</v>
      </c>
      <c r="D41" s="28" t="n">
        <v>4330584</v>
      </c>
      <c r="E41" s="21" t="n">
        <v>135</v>
      </c>
      <c r="F41" s="28" t="n">
        <f aca="false">IFERROR(D41/E41,"")</f>
        <v>32078.4</v>
      </c>
      <c r="G41" s="28" t="n">
        <v>150000</v>
      </c>
      <c r="H41" s="73" t="n">
        <f aca="false">IFERROR(D41/G41,"")</f>
        <v>28.87056</v>
      </c>
      <c r="I41" s="73" t="n">
        <f aca="false">IFERROR(G41/(D41/181),"")</f>
        <v>6.26936228462489</v>
      </c>
      <c r="J41" s="28" t="n">
        <f aca="false">IFERROR(INDEX($F$8:$F$15,MATCH(C41,$E$8:$E$15,0)),"")</f>
        <v>0</v>
      </c>
      <c r="K41" s="84" t="n">
        <f aca="false">IFERROR(J41/F41,"")</f>
        <v>0</v>
      </c>
      <c r="L41" s="28" t="n">
        <v>423</v>
      </c>
      <c r="M41" s="26"/>
      <c r="N41" s="85" t="str">
        <f aca="false">IFERROR(ROUNDUP(L41/$C$13,0),"")</f>
        <v/>
      </c>
      <c r="O41" s="84" t="str">
        <f aca="false">IFERROR(IF(M41="",N41,M41)*$C$12*181/30/D41,"")</f>
        <v/>
      </c>
      <c r="P41" s="26"/>
      <c r="Q41" s="84" t="n">
        <f aca="false">IFERROR(P41*181/30/D41,"")</f>
        <v>0</v>
      </c>
      <c r="R41" s="84" t="n">
        <f aca="false">IFERROR((G41/2)*(0.243*$C$7+0.198*$C$8+0.559*$C$9)*$C$10/(D41*365/181),"")</f>
        <v>0</v>
      </c>
      <c r="S41" s="86" t="str">
        <f aca="false">IFERROR((0.243*$C$7+0.198*$C$8+0.559*$C$9)/(1-$C$11)+K41+O41+Q41+R41,"")</f>
        <v/>
      </c>
      <c r="T41" s="84" t="n">
        <v>1.6339</v>
      </c>
      <c r="U41" s="86" t="str">
        <f aca="false">IFERROR(T41-S41,"")</f>
        <v/>
      </c>
      <c r="V41" s="87" t="str">
        <f aca="false">IFERROR(U41-$C$14,"")</f>
        <v/>
      </c>
      <c r="W41" s="21" t="str">
        <f aca="false">IF(U41="","",IF(U41&gt;=$C$14,"يحقق الهدف","دون الهدف"))</f>
        <v/>
      </c>
    </row>
    <row r="42" customFormat="false" ht="19.5" hidden="false" customHeight="true" outlineLevel="0" collapsed="false">
      <c r="A42" s="21" t="n">
        <v>25</v>
      </c>
      <c r="B42" s="24" t="s">
        <v>949</v>
      </c>
      <c r="C42" s="82" t="s">
        <v>891</v>
      </c>
      <c r="D42" s="28" t="n">
        <v>3883057</v>
      </c>
      <c r="E42" s="21" t="n">
        <v>121</v>
      </c>
      <c r="F42" s="28" t="n">
        <f aca="false">IFERROR(D42/E42,"")</f>
        <v>32091.3801652893</v>
      </c>
      <c r="G42" s="28" t="n">
        <v>229000</v>
      </c>
      <c r="H42" s="73" t="n">
        <f aca="false">IFERROR(D42/G42,"")</f>
        <v>16.9565807860262</v>
      </c>
      <c r="I42" s="73" t="n">
        <f aca="false">IFERROR(G42/(D42/181),"")</f>
        <v>10.6743218036717</v>
      </c>
      <c r="J42" s="28" t="n">
        <f aca="false">IFERROR(INDEX($F$8:$F$15,MATCH(C42,$E$8:$E$15,0)),"")</f>
        <v>0</v>
      </c>
      <c r="K42" s="84" t="n">
        <f aca="false">IFERROR(J42/F42,"")</f>
        <v>0</v>
      </c>
      <c r="L42" s="28" t="n">
        <v>864</v>
      </c>
      <c r="M42" s="26"/>
      <c r="N42" s="85" t="str">
        <f aca="false">IFERROR(ROUNDUP(L42/$C$13,0),"")</f>
        <v/>
      </c>
      <c r="O42" s="84" t="str">
        <f aca="false">IFERROR(IF(M42="",N42,M42)*$C$12*181/30/D42,"")</f>
        <v/>
      </c>
      <c r="P42" s="26"/>
      <c r="Q42" s="84" t="n">
        <f aca="false">IFERROR(P42*181/30/D42,"")</f>
        <v>0</v>
      </c>
      <c r="R42" s="84" t="n">
        <f aca="false">IFERROR((G42/2)*(0.468*$C$7+0.45*$C$8+0.082*$C$9)*$C$10/(D42*365/181),"")</f>
        <v>0</v>
      </c>
      <c r="S42" s="86" t="str">
        <f aca="false">IFERROR((0.468*$C$7+0.45*$C$8+0.082*$C$9)/(1-$C$11)+K42+O42+Q42+R42,"")</f>
        <v/>
      </c>
      <c r="T42" s="84" t="n">
        <v>2.163</v>
      </c>
      <c r="U42" s="86" t="str">
        <f aca="false">IFERROR(T42-S42,"")</f>
        <v/>
      </c>
      <c r="V42" s="87" t="str">
        <f aca="false">IFERROR(U42-$C$14,"")</f>
        <v/>
      </c>
      <c r="W42" s="21" t="str">
        <f aca="false">IF(U42="","",IF(U42&gt;=$C$14,"يحقق الهدف","دون الهدف"))</f>
        <v/>
      </c>
    </row>
    <row r="43" customFormat="false" ht="19.5" hidden="false" customHeight="true" outlineLevel="0" collapsed="false">
      <c r="A43" s="21" t="n">
        <v>26</v>
      </c>
      <c r="B43" s="24" t="s">
        <v>950</v>
      </c>
      <c r="C43" s="82" t="s">
        <v>897</v>
      </c>
      <c r="D43" s="28" t="n">
        <v>3776097</v>
      </c>
      <c r="E43" s="21" t="n">
        <v>118</v>
      </c>
      <c r="F43" s="28" t="n">
        <f aca="false">IFERROR(D43/E43,"")</f>
        <v>32000.8220338983</v>
      </c>
      <c r="G43" s="28" t="n">
        <v>180000</v>
      </c>
      <c r="H43" s="73" t="n">
        <f aca="false">IFERROR(D43/G43,"")</f>
        <v>20.9783166666667</v>
      </c>
      <c r="I43" s="73" t="n">
        <f aca="false">IFERROR(G43/(D43/181),"")</f>
        <v>8.62795632633378</v>
      </c>
      <c r="J43" s="28" t="n">
        <f aca="false">IFERROR(INDEX($F$8:$F$15,MATCH(C43,$E$8:$E$15,0)),"")</f>
        <v>0</v>
      </c>
      <c r="K43" s="84" t="n">
        <f aca="false">IFERROR(J43/F43,"")</f>
        <v>0</v>
      </c>
      <c r="L43" s="28" t="n">
        <v>922</v>
      </c>
      <c r="M43" s="26"/>
      <c r="N43" s="85" t="str">
        <f aca="false">IFERROR(ROUNDUP(L43/$C$13,0),"")</f>
        <v/>
      </c>
      <c r="O43" s="84" t="str">
        <f aca="false">IFERROR(IF(M43="",N43,M43)*$C$12*181/30/D43,"")</f>
        <v/>
      </c>
      <c r="P43" s="26"/>
      <c r="Q43" s="84" t="n">
        <f aca="false">IFERROR(P43*181/30/D43,"")</f>
        <v>0</v>
      </c>
      <c r="R43" s="84" t="n">
        <f aca="false">IFERROR((G43/2)*(0.434*$C$7+0.544*$C$8+0.023*$C$9)*$C$10/(D43*365/181),"")</f>
        <v>0</v>
      </c>
      <c r="S43" s="86" t="str">
        <f aca="false">IFERROR((0.434*$C$7+0.544*$C$8+0.023*$C$9)/(1-$C$11)+K43+O43+Q43+R43,"")</f>
        <v/>
      </c>
      <c r="T43" s="84" t="n">
        <v>2.2401</v>
      </c>
      <c r="U43" s="86" t="str">
        <f aca="false">IFERROR(T43-S43,"")</f>
        <v/>
      </c>
      <c r="V43" s="87" t="str">
        <f aca="false">IFERROR(U43-$C$14,"")</f>
        <v/>
      </c>
      <c r="W43" s="21" t="str">
        <f aca="false">IF(U43="","",IF(U43&gt;=$C$14,"يحقق الهدف","دون الهدف"))</f>
        <v/>
      </c>
    </row>
    <row r="44" customFormat="false" ht="19.5" hidden="false" customHeight="true" outlineLevel="0" collapsed="false">
      <c r="A44" s="21" t="n">
        <v>27</v>
      </c>
      <c r="B44" s="24" t="s">
        <v>951</v>
      </c>
      <c r="C44" s="82" t="s">
        <v>895</v>
      </c>
      <c r="D44" s="28" t="n">
        <v>3564182</v>
      </c>
      <c r="E44" s="21" t="n">
        <v>111</v>
      </c>
      <c r="F44" s="28" t="n">
        <f aca="false">IFERROR(D44/E44,"")</f>
        <v>32109.7477477477</v>
      </c>
      <c r="G44" s="28" t="n">
        <v>180000</v>
      </c>
      <c r="H44" s="73" t="n">
        <f aca="false">IFERROR(D44/G44,"")</f>
        <v>19.8010111111111</v>
      </c>
      <c r="I44" s="73" t="n">
        <f aca="false">IFERROR(G44/(D44/181),"")</f>
        <v>9.14094734780659</v>
      </c>
      <c r="J44" s="28" t="n">
        <f aca="false">IFERROR(INDEX($F$8:$F$15,MATCH(C44,$E$8:$E$15,0)),"")</f>
        <v>0</v>
      </c>
      <c r="K44" s="84" t="n">
        <f aca="false">IFERROR(J44/F44,"")</f>
        <v>0</v>
      </c>
      <c r="L44" s="28" t="n">
        <v>931</v>
      </c>
      <c r="M44" s="26"/>
      <c r="N44" s="85" t="str">
        <f aca="false">IFERROR(ROUNDUP(L44/$C$13,0),"")</f>
        <v/>
      </c>
      <c r="O44" s="84" t="str">
        <f aca="false">IFERROR(IF(M44="",N44,M44)*$C$12*181/30/D44,"")</f>
        <v/>
      </c>
      <c r="P44" s="26"/>
      <c r="Q44" s="84" t="n">
        <f aca="false">IFERROR(P44*181/30/D44,"")</f>
        <v>0</v>
      </c>
      <c r="R44" s="84" t="n">
        <f aca="false">IFERROR((G44/2)*(0.416*$C$7+0.469*$C$8+0.115*$C$9)*$C$10/(D44*365/181),"")</f>
        <v>0</v>
      </c>
      <c r="S44" s="86" t="str">
        <f aca="false">IFERROR((0.416*$C$7+0.469*$C$8+0.115*$C$9)/(1-$C$11)+K44+O44+Q44+R44,"")</f>
        <v/>
      </c>
      <c r="T44" s="84" t="n">
        <v>2.1319</v>
      </c>
      <c r="U44" s="86" t="str">
        <f aca="false">IFERROR(T44-S44,"")</f>
        <v/>
      </c>
      <c r="V44" s="87" t="str">
        <f aca="false">IFERROR(U44-$C$14,"")</f>
        <v/>
      </c>
      <c r="W44" s="21" t="str">
        <f aca="false">IF(U44="","",IF(U44&gt;=$C$14,"يحقق الهدف","دون الهدف"))</f>
        <v/>
      </c>
    </row>
    <row r="45" customFormat="false" ht="19.5" hidden="false" customHeight="true" outlineLevel="0" collapsed="false">
      <c r="A45" s="21" t="n">
        <v>28</v>
      </c>
      <c r="B45" s="24" t="s">
        <v>952</v>
      </c>
      <c r="C45" s="82" t="s">
        <v>895</v>
      </c>
      <c r="D45" s="28" t="n">
        <v>3495941</v>
      </c>
      <c r="E45" s="21" t="n">
        <v>106</v>
      </c>
      <c r="F45" s="28" t="n">
        <f aca="false">IFERROR(D45/E45,"")</f>
        <v>32980.5754716981</v>
      </c>
      <c r="G45" s="28" t="n">
        <v>240000</v>
      </c>
      <c r="H45" s="73" t="n">
        <f aca="false">IFERROR(D45/G45,"")</f>
        <v>14.5664208333333</v>
      </c>
      <c r="I45" s="73" t="n">
        <f aca="false">IFERROR(G45/(D45/181),"")</f>
        <v>12.4258389944224</v>
      </c>
      <c r="J45" s="28" t="n">
        <f aca="false">IFERROR(INDEX($F$8:$F$15,MATCH(C45,$E$8:$E$15,0)),"")</f>
        <v>0</v>
      </c>
      <c r="K45" s="84" t="n">
        <f aca="false">IFERROR(J45/F45,"")</f>
        <v>0</v>
      </c>
      <c r="L45" s="28" t="n">
        <v>913</v>
      </c>
      <c r="M45" s="26"/>
      <c r="N45" s="85" t="str">
        <f aca="false">IFERROR(ROUNDUP(L45/$C$13,0),"")</f>
        <v/>
      </c>
      <c r="O45" s="84" t="str">
        <f aca="false">IFERROR(IF(M45="",N45,M45)*$C$12*181/30/D45,"")</f>
        <v/>
      </c>
      <c r="P45" s="26"/>
      <c r="Q45" s="84" t="n">
        <f aca="false">IFERROR(P45*181/30/D45,"")</f>
        <v>0</v>
      </c>
      <c r="R45" s="84" t="n">
        <f aca="false">IFERROR((G45/2)*(0.561*$C$7+0.439*$C$8+0*$C$9)*$C$10/(D45*365/181),"")</f>
        <v>0</v>
      </c>
      <c r="S45" s="86" t="str">
        <f aca="false">IFERROR((0.561*$C$7+0.439*$C$8+0*$C$9)/(1-$C$11)+K45+O45+Q45+R45,"")</f>
        <v/>
      </c>
      <c r="T45" s="84" t="n">
        <v>2.2458</v>
      </c>
      <c r="U45" s="86" t="str">
        <f aca="false">IFERROR(T45-S45,"")</f>
        <v/>
      </c>
      <c r="V45" s="87" t="str">
        <f aca="false">IFERROR(U45-$C$14,"")</f>
        <v/>
      </c>
      <c r="W45" s="21" t="str">
        <f aca="false">IF(U45="","",IF(U45&gt;=$C$14,"يحقق الهدف","دون الهدف"))</f>
        <v/>
      </c>
    </row>
    <row r="46" customFormat="false" ht="19.5" hidden="false" customHeight="true" outlineLevel="0" collapsed="false">
      <c r="A46" s="21" t="n">
        <v>29</v>
      </c>
      <c r="B46" s="24" t="s">
        <v>953</v>
      </c>
      <c r="C46" s="82" t="s">
        <v>895</v>
      </c>
      <c r="D46" s="28" t="n">
        <v>3361678</v>
      </c>
      <c r="E46" s="21" t="n">
        <v>103</v>
      </c>
      <c r="F46" s="28" t="n">
        <f aca="false">IFERROR(D46/E46,"")</f>
        <v>32637.6504854369</v>
      </c>
      <c r="G46" s="28" t="n">
        <v>160000</v>
      </c>
      <c r="H46" s="73" t="n">
        <f aca="false">IFERROR(D46/G46,"")</f>
        <v>21.0104875</v>
      </c>
      <c r="I46" s="73" t="n">
        <f aca="false">IFERROR(G46/(D46/181),"")</f>
        <v>8.61474537418516</v>
      </c>
      <c r="J46" s="28" t="n">
        <f aca="false">IFERROR(INDEX($F$8:$F$15,MATCH(C46,$E$8:$E$15,0)),"")</f>
        <v>0</v>
      </c>
      <c r="K46" s="84" t="n">
        <f aca="false">IFERROR(J46/F46,"")</f>
        <v>0</v>
      </c>
      <c r="L46" s="28" t="n">
        <v>938</v>
      </c>
      <c r="M46" s="26"/>
      <c r="N46" s="85" t="str">
        <f aca="false">IFERROR(ROUNDUP(L46/$C$13,0),"")</f>
        <v/>
      </c>
      <c r="O46" s="84" t="str">
        <f aca="false">IFERROR(IF(M46="",N46,M46)*$C$12*181/30/D46,"")</f>
        <v/>
      </c>
      <c r="P46" s="26"/>
      <c r="Q46" s="84" t="n">
        <f aca="false">IFERROR(P46*181/30/D46,"")</f>
        <v>0</v>
      </c>
      <c r="R46" s="84" t="n">
        <f aca="false">IFERROR((G46/2)*(0.523*$C$7+0.31*$C$8+0.167*$C$9)*$C$10/(D46*365/181),"")</f>
        <v>0</v>
      </c>
      <c r="S46" s="86" t="str">
        <f aca="false">IFERROR((0.523*$C$7+0.31*$C$8+0.167*$C$9)/(1-$C$11)+K46+O46+Q46+R46,"")</f>
        <v/>
      </c>
      <c r="T46" s="84" t="n">
        <v>2.0545</v>
      </c>
      <c r="U46" s="86" t="str">
        <f aca="false">IFERROR(T46-S46,"")</f>
        <v/>
      </c>
      <c r="V46" s="87" t="str">
        <f aca="false">IFERROR(U46-$C$14,"")</f>
        <v/>
      </c>
      <c r="W46" s="21" t="str">
        <f aca="false">IF(U46="","",IF(U46&gt;=$C$14,"يحقق الهدف","دون الهدف"))</f>
        <v/>
      </c>
    </row>
    <row r="47" customFormat="false" ht="19.5" hidden="false" customHeight="true" outlineLevel="0" collapsed="false">
      <c r="A47" s="21" t="n">
        <v>30</v>
      </c>
      <c r="B47" s="24" t="s">
        <v>954</v>
      </c>
      <c r="C47" s="82" t="s">
        <v>897</v>
      </c>
      <c r="D47" s="28" t="n">
        <v>3360765</v>
      </c>
      <c r="E47" s="21" t="n">
        <v>105</v>
      </c>
      <c r="F47" s="28" t="n">
        <f aca="false">IFERROR(D47/E47,"")</f>
        <v>32007.2857142857</v>
      </c>
      <c r="G47" s="28" t="n">
        <v>180000</v>
      </c>
      <c r="H47" s="73" t="n">
        <f aca="false">IFERROR(D47/G47,"")</f>
        <v>18.6709166666667</v>
      </c>
      <c r="I47" s="73" t="n">
        <f aca="false">IFERROR(G47/(D47/181),"")</f>
        <v>9.69422140494798</v>
      </c>
      <c r="J47" s="28" t="n">
        <f aca="false">IFERROR(INDEX($F$8:$F$15,MATCH(C47,$E$8:$E$15,0)),"")</f>
        <v>0</v>
      </c>
      <c r="K47" s="84" t="n">
        <f aca="false">IFERROR(J47/F47,"")</f>
        <v>0</v>
      </c>
      <c r="L47" s="28" t="n">
        <v>538</v>
      </c>
      <c r="M47" s="26"/>
      <c r="N47" s="85" t="str">
        <f aca="false">IFERROR(ROUNDUP(L47/$C$13,0),"")</f>
        <v/>
      </c>
      <c r="O47" s="84" t="str">
        <f aca="false">IFERROR(IF(M47="",N47,M47)*$C$12*181/30/D47,"")</f>
        <v/>
      </c>
      <c r="P47" s="26"/>
      <c r="Q47" s="84" t="n">
        <f aca="false">IFERROR(P47*181/30/D47,"")</f>
        <v>0</v>
      </c>
      <c r="R47" s="84" t="n">
        <f aca="false">IFERROR((G47/2)*(0.315*$C$7+0.312*$C$8+0.373*$C$9)*$C$10/(D47*365/181),"")</f>
        <v>0</v>
      </c>
      <c r="S47" s="86" t="str">
        <f aca="false">IFERROR((0.315*$C$7+0.312*$C$8+0.373*$C$9)/(1-$C$11)+K47+O47+Q47+R47,"")</f>
        <v/>
      </c>
      <c r="T47" s="84" t="n">
        <v>1.8426</v>
      </c>
      <c r="U47" s="86" t="str">
        <f aca="false">IFERROR(T47-S47,"")</f>
        <v/>
      </c>
      <c r="V47" s="87" t="str">
        <f aca="false">IFERROR(U47-$C$14,"")</f>
        <v/>
      </c>
      <c r="W47" s="21" t="str">
        <f aca="false">IF(U47="","",IF(U47&gt;=$C$14,"يحقق الهدف","دون الهدف"))</f>
        <v/>
      </c>
    </row>
    <row r="48" customFormat="false" ht="19.5" hidden="false" customHeight="true" outlineLevel="0" collapsed="false">
      <c r="A48" s="21" t="n">
        <v>31</v>
      </c>
      <c r="B48" s="24" t="s">
        <v>955</v>
      </c>
      <c r="C48" s="82" t="s">
        <v>895</v>
      </c>
      <c r="D48" s="28" t="n">
        <v>3100653</v>
      </c>
      <c r="E48" s="21" t="n">
        <v>94</v>
      </c>
      <c r="F48" s="28" t="n">
        <f aca="false">IFERROR(D48/E48,"")</f>
        <v>32985.670212766</v>
      </c>
      <c r="G48" s="28" t="n">
        <v>240000</v>
      </c>
      <c r="H48" s="73" t="n">
        <f aca="false">IFERROR(D48/G48,"")</f>
        <v>12.9193875</v>
      </c>
      <c r="I48" s="73" t="n">
        <f aca="false">IFERROR(G48/(D48/181),"")</f>
        <v>14.0099520971873</v>
      </c>
      <c r="J48" s="28" t="n">
        <f aca="false">IFERROR(INDEX($F$8:$F$15,MATCH(C48,$E$8:$E$15,0)),"")</f>
        <v>0</v>
      </c>
      <c r="K48" s="84" t="n">
        <f aca="false">IFERROR(J48/F48,"")</f>
        <v>0</v>
      </c>
      <c r="L48" s="28" t="n">
        <v>537</v>
      </c>
      <c r="M48" s="26"/>
      <c r="N48" s="85" t="str">
        <f aca="false">IFERROR(ROUNDUP(L48/$C$13,0),"")</f>
        <v/>
      </c>
      <c r="O48" s="84" t="str">
        <f aca="false">IFERROR(IF(M48="",N48,M48)*$C$12*181/30/D48,"")</f>
        <v/>
      </c>
      <c r="P48" s="26"/>
      <c r="Q48" s="84" t="n">
        <f aca="false">IFERROR(P48*181/30/D48,"")</f>
        <v>0</v>
      </c>
      <c r="R48" s="84" t="n">
        <f aca="false">IFERROR((G48/2)*(0.462*$C$7+0.432*$C$8+0.106*$C$9)*$C$10/(D48*365/181),"")</f>
        <v>0</v>
      </c>
      <c r="S48" s="86" t="str">
        <f aca="false">IFERROR((0.462*$C$7+0.432*$C$8+0.106*$C$9)/(1-$C$11)+K48+O48+Q48+R48,"")</f>
        <v/>
      </c>
      <c r="T48" s="84" t="n">
        <v>2.1356</v>
      </c>
      <c r="U48" s="86" t="str">
        <f aca="false">IFERROR(T48-S48,"")</f>
        <v/>
      </c>
      <c r="V48" s="87" t="str">
        <f aca="false">IFERROR(U48-$C$14,"")</f>
        <v/>
      </c>
      <c r="W48" s="21" t="str">
        <f aca="false">IF(U48="","",IF(U48&gt;=$C$14,"يحقق الهدف","دون الهدف"))</f>
        <v/>
      </c>
    </row>
    <row r="49" customFormat="false" ht="19.5" hidden="false" customHeight="true" outlineLevel="0" collapsed="false">
      <c r="A49" s="21" t="n">
        <v>32</v>
      </c>
      <c r="B49" s="24" t="s">
        <v>956</v>
      </c>
      <c r="C49" s="82" t="s">
        <v>895</v>
      </c>
      <c r="D49" s="28" t="n">
        <v>2986719</v>
      </c>
      <c r="E49" s="21" t="n">
        <v>93</v>
      </c>
      <c r="F49" s="28" t="n">
        <f aca="false">IFERROR(D49/E49,"")</f>
        <v>32115.2580645161</v>
      </c>
      <c r="G49" s="28" t="n">
        <v>465000</v>
      </c>
      <c r="H49" s="73" t="n">
        <f aca="false">IFERROR(D49/G49,"")</f>
        <v>6.42305161290323</v>
      </c>
      <c r="I49" s="73" t="n">
        <f aca="false">IFERROR(G49/(D49/181),"")</f>
        <v>28.1797517610462</v>
      </c>
      <c r="J49" s="28" t="n">
        <f aca="false">IFERROR(INDEX($F$8:$F$15,MATCH(C49,$E$8:$E$15,0)),"")</f>
        <v>0</v>
      </c>
      <c r="K49" s="84" t="n">
        <f aca="false">IFERROR(J49/F49,"")</f>
        <v>0</v>
      </c>
      <c r="L49" s="28" t="n">
        <v>680</v>
      </c>
      <c r="M49" s="26"/>
      <c r="N49" s="85" t="str">
        <f aca="false">IFERROR(ROUNDUP(L49/$C$13,0),"")</f>
        <v/>
      </c>
      <c r="O49" s="84" t="str">
        <f aca="false">IFERROR(IF(M49="",N49,M49)*$C$12*181/30/D49,"")</f>
        <v/>
      </c>
      <c r="P49" s="26"/>
      <c r="Q49" s="84" t="n">
        <f aca="false">IFERROR(P49*181/30/D49,"")</f>
        <v>0</v>
      </c>
      <c r="R49" s="84" t="n">
        <f aca="false">IFERROR((G49/2)*(0.35*$C$7+0.301*$C$8+0.349*$C$9)*$C$10/(D49*365/181),"")</f>
        <v>0</v>
      </c>
      <c r="S49" s="86" t="str">
        <f aca="false">IFERROR((0.35*$C$7+0.301*$C$8+0.349*$C$9)/(1-$C$11)+K49+O49+Q49+R49,"")</f>
        <v/>
      </c>
      <c r="T49" s="84" t="n">
        <v>1.8657</v>
      </c>
      <c r="U49" s="86" t="str">
        <f aca="false">IFERROR(T49-S49,"")</f>
        <v/>
      </c>
      <c r="V49" s="87" t="str">
        <f aca="false">IFERROR(U49-$C$14,"")</f>
        <v/>
      </c>
      <c r="W49" s="21" t="str">
        <f aca="false">IF(U49="","",IF(U49&gt;=$C$14,"يحقق الهدف","دون الهدف"))</f>
        <v/>
      </c>
    </row>
    <row r="50" customFormat="false" ht="19.5" hidden="false" customHeight="true" outlineLevel="0" collapsed="false">
      <c r="A50" s="21" t="n">
        <v>33</v>
      </c>
      <c r="B50" s="24" t="s">
        <v>957</v>
      </c>
      <c r="C50" s="82" t="s">
        <v>891</v>
      </c>
      <c r="D50" s="28" t="n">
        <v>2945367</v>
      </c>
      <c r="E50" s="21" t="n">
        <v>92</v>
      </c>
      <c r="F50" s="28" t="n">
        <f aca="false">IFERROR(D50/E50,"")</f>
        <v>32014.8586956522</v>
      </c>
      <c r="G50" s="28" t="n">
        <v>231000</v>
      </c>
      <c r="H50" s="73" t="n">
        <f aca="false">IFERROR(D50/G50,"")</f>
        <v>12.7505064935065</v>
      </c>
      <c r="I50" s="73" t="n">
        <f aca="false">IFERROR(G50/(D50/181),"")</f>
        <v>14.1955145148296</v>
      </c>
      <c r="J50" s="28" t="n">
        <f aca="false">IFERROR(INDEX($F$8:$F$15,MATCH(C50,$E$8:$E$15,0)),"")</f>
        <v>0</v>
      </c>
      <c r="K50" s="84" t="n">
        <f aca="false">IFERROR(J50/F50,"")</f>
        <v>0</v>
      </c>
      <c r="L50" s="28" t="n">
        <v>469</v>
      </c>
      <c r="M50" s="26"/>
      <c r="N50" s="85" t="str">
        <f aca="false">IFERROR(ROUNDUP(L50/$C$13,0),"")</f>
        <v/>
      </c>
      <c r="O50" s="84" t="str">
        <f aca="false">IFERROR(IF(M50="",N50,M50)*$C$12*181/30/D50,"")</f>
        <v/>
      </c>
      <c r="P50" s="26"/>
      <c r="Q50" s="84" t="n">
        <f aca="false">IFERROR(P50*181/30/D50,"")</f>
        <v>0</v>
      </c>
      <c r="R50" s="84" t="n">
        <f aca="false">IFERROR((G50/2)*(0.51*$C$7+0.49*$C$8+0*$C$9)*$C$10/(D50*365/181),"")</f>
        <v>0</v>
      </c>
      <c r="S50" s="86" t="str">
        <f aca="false">IFERROR((0.51*$C$7+0.49*$C$8+0*$C$9)/(1-$C$11)+K50+O50+Q50+R50,"")</f>
        <v/>
      </c>
      <c r="T50" s="84" t="n">
        <v>2.2535</v>
      </c>
      <c r="U50" s="86" t="str">
        <f aca="false">IFERROR(T50-S50,"")</f>
        <v/>
      </c>
      <c r="V50" s="87" t="str">
        <f aca="false">IFERROR(U50-$C$14,"")</f>
        <v/>
      </c>
      <c r="W50" s="21" t="str">
        <f aca="false">IF(U50="","",IF(U50&gt;=$C$14,"يحقق الهدف","دون الهدف"))</f>
        <v/>
      </c>
    </row>
    <row r="51" customFormat="false" ht="19.5" hidden="false" customHeight="true" outlineLevel="0" collapsed="false">
      <c r="A51" s="21" t="n">
        <v>34</v>
      </c>
      <c r="B51" s="24" t="s">
        <v>958</v>
      </c>
      <c r="C51" s="82" t="s">
        <v>895</v>
      </c>
      <c r="D51" s="28" t="n">
        <v>2932886</v>
      </c>
      <c r="E51" s="21" t="n">
        <v>89</v>
      </c>
      <c r="F51" s="28" t="n">
        <f aca="false">IFERROR(D51/E51,"")</f>
        <v>32953.7752808989</v>
      </c>
      <c r="G51" s="28" t="n">
        <v>240000</v>
      </c>
      <c r="H51" s="73" t="n">
        <f aca="false">IFERROR(D51/G51,"")</f>
        <v>12.2203583333333</v>
      </c>
      <c r="I51" s="73" t="n">
        <f aca="false">IFERROR(G51/(D51/181),"")</f>
        <v>14.811349639911</v>
      </c>
      <c r="J51" s="28" t="n">
        <f aca="false">IFERROR(INDEX($F$8:$F$15,MATCH(C51,$E$8:$E$15,0)),"")</f>
        <v>0</v>
      </c>
      <c r="K51" s="84" t="n">
        <f aca="false">IFERROR(J51/F51,"")</f>
        <v>0</v>
      </c>
      <c r="L51" s="28" t="n">
        <v>807</v>
      </c>
      <c r="M51" s="26"/>
      <c r="N51" s="85" t="str">
        <f aca="false">IFERROR(ROUNDUP(L51/$C$13,0),"")</f>
        <v/>
      </c>
      <c r="O51" s="84" t="str">
        <f aca="false">IFERROR(IF(M51="",N51,M51)*$C$12*181/30/D51,"")</f>
        <v/>
      </c>
      <c r="P51" s="26"/>
      <c r="Q51" s="84" t="n">
        <f aca="false">IFERROR(P51*181/30/D51,"")</f>
        <v>0</v>
      </c>
      <c r="R51" s="84" t="n">
        <f aca="false">IFERROR((G51/2)*(0.54*$C$7+0.46*$C$8+0*$C$9)*$C$10/(D51*365/181),"")</f>
        <v>0</v>
      </c>
      <c r="S51" s="86" t="str">
        <f aca="false">IFERROR((0.54*$C$7+0.46*$C$8+0*$C$9)/(1-$C$11)+K51+O51+Q51+R51,"")</f>
        <v/>
      </c>
      <c r="T51" s="84" t="n">
        <v>2.249</v>
      </c>
      <c r="U51" s="86" t="str">
        <f aca="false">IFERROR(T51-S51,"")</f>
        <v/>
      </c>
      <c r="V51" s="87" t="str">
        <f aca="false">IFERROR(U51-$C$14,"")</f>
        <v/>
      </c>
      <c r="W51" s="21" t="str">
        <f aca="false">IF(U51="","",IF(U51&gt;=$C$14,"يحقق الهدف","دون الهدف"))</f>
        <v/>
      </c>
    </row>
    <row r="52" customFormat="false" ht="19.5" hidden="false" customHeight="true" outlineLevel="0" collapsed="false">
      <c r="A52" s="21" t="n">
        <v>35</v>
      </c>
      <c r="B52" s="24" t="s">
        <v>959</v>
      </c>
      <c r="C52" s="82" t="s">
        <v>903</v>
      </c>
      <c r="D52" s="28" t="n">
        <v>2879227</v>
      </c>
      <c r="E52" s="21" t="n">
        <v>90</v>
      </c>
      <c r="F52" s="28" t="n">
        <f aca="false">IFERROR(D52/E52,"")</f>
        <v>31991.4111111111</v>
      </c>
      <c r="G52" s="28" t="n">
        <v>180000</v>
      </c>
      <c r="H52" s="73" t="n">
        <f aca="false">IFERROR(D52/G52,"")</f>
        <v>15.9957055555556</v>
      </c>
      <c r="I52" s="73" t="n">
        <f aca="false">IFERROR(G52/(D52/181),"")</f>
        <v>11.3155371215955</v>
      </c>
      <c r="J52" s="28" t="n">
        <f aca="false">IFERROR(INDEX($F$8:$F$15,MATCH(C52,$E$8:$E$15,0)),"")</f>
        <v>0</v>
      </c>
      <c r="K52" s="84" t="n">
        <f aca="false">IFERROR(J52/F52,"")</f>
        <v>0</v>
      </c>
      <c r="L52" s="28" t="n">
        <v>441</v>
      </c>
      <c r="M52" s="26"/>
      <c r="N52" s="85" t="str">
        <f aca="false">IFERROR(ROUNDUP(L52/$C$13,0),"")</f>
        <v/>
      </c>
      <c r="O52" s="84" t="str">
        <f aca="false">IFERROR(IF(M52="",N52,M52)*$C$12*181/30/D52,"")</f>
        <v/>
      </c>
      <c r="P52" s="26"/>
      <c r="Q52" s="84" t="n">
        <f aca="false">IFERROR(P52*181/30/D52,"")</f>
        <v>0</v>
      </c>
      <c r="R52" s="84" t="n">
        <f aca="false">IFERROR((G52/2)*(0.347*$C$7+0.26*$C$8+0.392*$C$9)*$C$10/(D52*365/181),"")</f>
        <v>0</v>
      </c>
      <c r="S52" s="86" t="str">
        <f aca="false">IFERROR((0.347*$C$7+0.26*$C$8+0.392*$C$9)/(1-$C$11)+K52+O52+Q52+R52,"")</f>
        <v/>
      </c>
      <c r="T52" s="84" t="n">
        <v>1.8131</v>
      </c>
      <c r="U52" s="86" t="str">
        <f aca="false">IFERROR(T52-S52,"")</f>
        <v/>
      </c>
      <c r="V52" s="87" t="str">
        <f aca="false">IFERROR(U52-$C$14,"")</f>
        <v/>
      </c>
      <c r="W52" s="21" t="str">
        <f aca="false">IF(U52="","",IF(U52&gt;=$C$14,"يحقق الهدف","دون الهدف"))</f>
        <v/>
      </c>
    </row>
    <row r="53" customFormat="false" ht="19.5" hidden="false" customHeight="true" outlineLevel="0" collapsed="false">
      <c r="A53" s="21" t="n">
        <v>36</v>
      </c>
      <c r="B53" s="24" t="s">
        <v>960</v>
      </c>
      <c r="C53" s="82" t="s">
        <v>895</v>
      </c>
      <c r="D53" s="28" t="n">
        <v>2863860</v>
      </c>
      <c r="E53" s="21" t="n">
        <v>89</v>
      </c>
      <c r="F53" s="28" t="n">
        <f aca="false">IFERROR(D53/E53,"")</f>
        <v>32178.202247191</v>
      </c>
      <c r="G53" s="28" t="n">
        <v>158000</v>
      </c>
      <c r="H53" s="73" t="n">
        <f aca="false">IFERROR(D53/G53,"")</f>
        <v>18.1256962025316</v>
      </c>
      <c r="I53" s="73" t="n">
        <f aca="false">IFERROR(G53/(D53/181),"")</f>
        <v>9.98582332935269</v>
      </c>
      <c r="J53" s="28" t="n">
        <f aca="false">IFERROR(INDEX($F$8:$F$15,MATCH(C53,$E$8:$E$15,0)),"")</f>
        <v>0</v>
      </c>
      <c r="K53" s="84" t="n">
        <f aca="false">IFERROR(J53/F53,"")</f>
        <v>0</v>
      </c>
      <c r="L53" s="28" t="n">
        <v>685</v>
      </c>
      <c r="M53" s="26"/>
      <c r="N53" s="85" t="str">
        <f aca="false">IFERROR(ROUNDUP(L53/$C$13,0),"")</f>
        <v/>
      </c>
      <c r="O53" s="84" t="str">
        <f aca="false">IFERROR(IF(M53="",N53,M53)*$C$12*181/30/D53,"")</f>
        <v/>
      </c>
      <c r="P53" s="26"/>
      <c r="Q53" s="84" t="n">
        <f aca="false">IFERROR(P53*181/30/D53,"")</f>
        <v>0</v>
      </c>
      <c r="R53" s="84" t="n">
        <f aca="false">IFERROR((G53/2)*(0.537*$C$7+0.386*$C$8+0.077*$C$9)*$C$10/(D53*365/181),"")</f>
        <v>0</v>
      </c>
      <c r="S53" s="86" t="str">
        <f aca="false">IFERROR((0.537*$C$7+0.386*$C$8+0.077*$C$9)/(1-$C$11)+K53+O53+Q53+R53,"")</f>
        <v/>
      </c>
      <c r="T53" s="84" t="n">
        <v>2.1586</v>
      </c>
      <c r="U53" s="86" t="str">
        <f aca="false">IFERROR(T53-S53,"")</f>
        <v/>
      </c>
      <c r="V53" s="87" t="str">
        <f aca="false">IFERROR(U53-$C$14,"")</f>
        <v/>
      </c>
      <c r="W53" s="21" t="str">
        <f aca="false">IF(U53="","",IF(U53&gt;=$C$14,"يحقق الهدف","دون الهدف"))</f>
        <v/>
      </c>
    </row>
    <row r="54" customFormat="false" ht="19.5" hidden="false" customHeight="true" outlineLevel="0" collapsed="false">
      <c r="A54" s="21" t="n">
        <v>37</v>
      </c>
      <c r="B54" s="24" t="s">
        <v>961</v>
      </c>
      <c r="C54" s="82" t="s">
        <v>895</v>
      </c>
      <c r="D54" s="28" t="n">
        <v>2752646</v>
      </c>
      <c r="E54" s="21" t="n">
        <v>84</v>
      </c>
      <c r="F54" s="28" t="n">
        <f aca="false">IFERROR(D54/E54,"")</f>
        <v>32769.5952380952</v>
      </c>
      <c r="G54" s="28" t="n">
        <v>200000</v>
      </c>
      <c r="H54" s="73" t="n">
        <f aca="false">IFERROR(D54/G54,"")</f>
        <v>13.76323</v>
      </c>
      <c r="I54" s="73" t="n">
        <f aca="false">IFERROR(G54/(D54/181),"")</f>
        <v>13.1509827271651</v>
      </c>
      <c r="J54" s="28" t="n">
        <f aca="false">IFERROR(INDEX($F$8:$F$15,MATCH(C54,$E$8:$E$15,0)),"")</f>
        <v>0</v>
      </c>
      <c r="K54" s="84" t="n">
        <f aca="false">IFERROR(J54/F54,"")</f>
        <v>0</v>
      </c>
      <c r="L54" s="28" t="n">
        <v>586</v>
      </c>
      <c r="M54" s="26"/>
      <c r="N54" s="85" t="str">
        <f aca="false">IFERROR(ROUNDUP(L54/$C$13,0),"")</f>
        <v/>
      </c>
      <c r="O54" s="84" t="str">
        <f aca="false">IFERROR(IF(M54="",N54,M54)*$C$12*181/30/D54,"")</f>
        <v/>
      </c>
      <c r="P54" s="26"/>
      <c r="Q54" s="84" t="n">
        <f aca="false">IFERROR(P54*181/30/D54,"")</f>
        <v>0</v>
      </c>
      <c r="R54" s="84" t="n">
        <f aca="false">IFERROR((G54/2)*(0.455*$C$7+0.31*$C$8+0.236*$C$9)*$C$10/(D54*365/181),"")</f>
        <v>0</v>
      </c>
      <c r="S54" s="86" t="str">
        <f aca="false">IFERROR((0.455*$C$7+0.31*$C$8+0.236*$C$9)/(1-$C$11)+K54+O54+Q54+R54,"")</f>
        <v/>
      </c>
      <c r="T54" s="84" t="n">
        <v>1.9856</v>
      </c>
      <c r="U54" s="86" t="str">
        <f aca="false">IFERROR(T54-S54,"")</f>
        <v/>
      </c>
      <c r="V54" s="87" t="str">
        <f aca="false">IFERROR(U54-$C$14,"")</f>
        <v/>
      </c>
      <c r="W54" s="21" t="str">
        <f aca="false">IF(U54="","",IF(U54&gt;=$C$14,"يحقق الهدف","دون الهدف"))</f>
        <v/>
      </c>
    </row>
    <row r="55" customFormat="false" ht="19.5" hidden="false" customHeight="true" outlineLevel="0" collapsed="false">
      <c r="A55" s="21" t="n">
        <v>38</v>
      </c>
      <c r="B55" s="24" t="s">
        <v>962</v>
      </c>
      <c r="C55" s="82" t="s">
        <v>901</v>
      </c>
      <c r="D55" s="28" t="n">
        <v>2723713</v>
      </c>
      <c r="E55" s="21" t="n">
        <v>86</v>
      </c>
      <c r="F55" s="28" t="n">
        <f aca="false">IFERROR(D55/E55,"")</f>
        <v>31671.0813953488</v>
      </c>
      <c r="G55" s="28" t="n">
        <v>180000</v>
      </c>
      <c r="H55" s="73" t="n">
        <f aca="false">IFERROR(D55/G55,"")</f>
        <v>15.1317388888889</v>
      </c>
      <c r="I55" s="73" t="n">
        <f aca="false">IFERROR(G55/(D55/181),"")</f>
        <v>11.9616126956107</v>
      </c>
      <c r="J55" s="28" t="n">
        <f aca="false">IFERROR(INDEX($F$8:$F$15,MATCH(C55,$E$8:$E$15,0)),"")</f>
        <v>0</v>
      </c>
      <c r="K55" s="84" t="n">
        <f aca="false">IFERROR(J55/F55,"")</f>
        <v>0</v>
      </c>
      <c r="L55" s="28" t="n">
        <v>591</v>
      </c>
      <c r="M55" s="26"/>
      <c r="N55" s="85" t="str">
        <f aca="false">IFERROR(ROUNDUP(L55/$C$13,0),"")</f>
        <v/>
      </c>
      <c r="O55" s="84" t="str">
        <f aca="false">IFERROR(IF(M55="",N55,M55)*$C$12*181/30/D55,"")</f>
        <v/>
      </c>
      <c r="P55" s="26"/>
      <c r="Q55" s="84" t="n">
        <f aca="false">IFERROR(P55*181/30/D55,"")</f>
        <v>0</v>
      </c>
      <c r="R55" s="84" t="n">
        <f aca="false">IFERROR((G55/2)*(0.538*$C$7+0.396*$C$8+0.066*$C$9)*$C$10/(D55*365/181),"")</f>
        <v>0</v>
      </c>
      <c r="S55" s="86" t="str">
        <f aca="false">IFERROR((0.538*$C$7+0.396*$C$8+0.066*$C$9)/(1-$C$11)+K55+O55+Q55+R55,"")</f>
        <v/>
      </c>
      <c r="T55" s="84" t="n">
        <v>2.1714</v>
      </c>
      <c r="U55" s="86" t="str">
        <f aca="false">IFERROR(T55-S55,"")</f>
        <v/>
      </c>
      <c r="V55" s="87" t="str">
        <f aca="false">IFERROR(U55-$C$14,"")</f>
        <v/>
      </c>
      <c r="W55" s="21" t="str">
        <f aca="false">IF(U55="","",IF(U55&gt;=$C$14,"يحقق الهدف","دون الهدف"))</f>
        <v/>
      </c>
    </row>
    <row r="56" customFormat="false" ht="19.5" hidden="false" customHeight="true" outlineLevel="0" collapsed="false">
      <c r="A56" s="21" t="n">
        <v>39</v>
      </c>
      <c r="B56" s="24" t="s">
        <v>963</v>
      </c>
      <c r="C56" s="82" t="s">
        <v>904</v>
      </c>
      <c r="D56" s="28" t="n">
        <v>2625098</v>
      </c>
      <c r="E56" s="21" t="n">
        <v>82</v>
      </c>
      <c r="F56" s="28" t="n">
        <f aca="false">IFERROR(D56/E56,"")</f>
        <v>32013.3902439024</v>
      </c>
      <c r="G56" s="28" t="n">
        <v>244000</v>
      </c>
      <c r="H56" s="73" t="n">
        <f aca="false">IFERROR(D56/G56,"")</f>
        <v>10.7585983606557</v>
      </c>
      <c r="I56" s="73" t="n">
        <f aca="false">IFERROR(G56/(D56/181),"")</f>
        <v>16.8237528656073</v>
      </c>
      <c r="J56" s="28" t="n">
        <f aca="false">IFERROR(INDEX($F$8:$F$15,MATCH(C56,$E$8:$E$15,0)),"")</f>
        <v>0</v>
      </c>
      <c r="K56" s="84" t="n">
        <f aca="false">IFERROR(J56/F56,"")</f>
        <v>0</v>
      </c>
      <c r="L56" s="28" t="n">
        <v>650</v>
      </c>
      <c r="M56" s="26"/>
      <c r="N56" s="85" t="str">
        <f aca="false">IFERROR(ROUNDUP(L56/$C$13,0),"")</f>
        <v/>
      </c>
      <c r="O56" s="84" t="str">
        <f aca="false">IFERROR(IF(M56="",N56,M56)*$C$12*181/30/D56,"")</f>
        <v/>
      </c>
      <c r="P56" s="26"/>
      <c r="Q56" s="84" t="n">
        <f aca="false">IFERROR(P56*181/30/D56,"")</f>
        <v>0</v>
      </c>
      <c r="R56" s="84" t="n">
        <f aca="false">IFERROR((G56/2)*(0.37*$C$7+0.446*$C$8+0.184*$C$9)*$C$10/(D56*365/181),"")</f>
        <v>0</v>
      </c>
      <c r="S56" s="86" t="str">
        <f aca="false">IFERROR((0.37*$C$7+0.446*$C$8+0.184*$C$9)/(1-$C$11)+K56+O56+Q56+R56,"")</f>
        <v/>
      </c>
      <c r="T56" s="84" t="n">
        <v>2.0574</v>
      </c>
      <c r="U56" s="86" t="str">
        <f aca="false">IFERROR(T56-S56,"")</f>
        <v/>
      </c>
      <c r="V56" s="87" t="str">
        <f aca="false">IFERROR(U56-$C$14,"")</f>
        <v/>
      </c>
      <c r="W56" s="21" t="str">
        <f aca="false">IF(U56="","",IF(U56&gt;=$C$14,"يحقق الهدف","دون الهدف"))</f>
        <v/>
      </c>
    </row>
    <row r="57" customFormat="false" ht="19.5" hidden="false" customHeight="true" outlineLevel="0" collapsed="false">
      <c r="A57" s="21" t="n">
        <v>40</v>
      </c>
      <c r="B57" s="24" t="s">
        <v>964</v>
      </c>
      <c r="C57" s="82" t="s">
        <v>893</v>
      </c>
      <c r="D57" s="28" t="n">
        <v>2176744</v>
      </c>
      <c r="E57" s="21" t="n">
        <v>68</v>
      </c>
      <c r="F57" s="28" t="n">
        <f aca="false">IFERROR(D57/E57,"")</f>
        <v>32010.9411764706</v>
      </c>
      <c r="G57" s="28" t="n">
        <v>225000</v>
      </c>
      <c r="H57" s="73" t="n">
        <f aca="false">IFERROR(D57/G57,"")</f>
        <v>9.67441777777778</v>
      </c>
      <c r="I57" s="73" t="n">
        <f aca="false">IFERROR(G57/(D57/181),"")</f>
        <v>18.7091362144561</v>
      </c>
      <c r="J57" s="28" t="n">
        <f aca="false">IFERROR(INDEX($F$8:$F$15,MATCH(C57,$E$8:$E$15,0)),"")</f>
        <v>0</v>
      </c>
      <c r="K57" s="84" t="n">
        <f aca="false">IFERROR(J57/F57,"")</f>
        <v>0</v>
      </c>
      <c r="L57" s="28" t="n">
        <v>402</v>
      </c>
      <c r="M57" s="26"/>
      <c r="N57" s="85" t="str">
        <f aca="false">IFERROR(ROUNDUP(L57/$C$13,0),"")</f>
        <v/>
      </c>
      <c r="O57" s="84" t="str">
        <f aca="false">IFERROR(IF(M57="",N57,M57)*$C$12*181/30/D57,"")</f>
        <v/>
      </c>
      <c r="P57" s="26"/>
      <c r="Q57" s="84" t="n">
        <f aca="false">IFERROR(P57*181/30/D57,"")</f>
        <v>0</v>
      </c>
      <c r="R57" s="84" t="n">
        <f aca="false">IFERROR((G57/2)*(0.394*$C$7+0.404*$C$8+0.201*$C$9)*$C$10/(D57*365/181),"")</f>
        <v>0</v>
      </c>
      <c r="S57" s="86" t="str">
        <f aca="false">IFERROR((0.394*$C$7+0.404*$C$8+0.201*$C$9)/(1-$C$11)+K57+O57+Q57+R57,"")</f>
        <v/>
      </c>
      <c r="T57" s="84" t="n">
        <v>2.0314</v>
      </c>
      <c r="U57" s="86" t="str">
        <f aca="false">IFERROR(T57-S57,"")</f>
        <v/>
      </c>
      <c r="V57" s="87" t="str">
        <f aca="false">IFERROR(U57-$C$14,"")</f>
        <v/>
      </c>
      <c r="W57" s="21" t="str">
        <f aca="false">IF(U57="","",IF(U57&gt;=$C$14,"يحقق الهدف","دون الهدف"))</f>
        <v/>
      </c>
    </row>
    <row r="58" customFormat="false" ht="19.5" hidden="false" customHeight="true" outlineLevel="0" collapsed="false">
      <c r="A58" s="21" t="n">
        <v>41</v>
      </c>
      <c r="B58" s="24" t="s">
        <v>965</v>
      </c>
      <c r="C58" s="82" t="s">
        <v>895</v>
      </c>
      <c r="D58" s="28" t="n">
        <v>1912923</v>
      </c>
      <c r="E58" s="21" t="n">
        <v>58</v>
      </c>
      <c r="F58" s="28" t="n">
        <f aca="false">IFERROR(D58/E58,"")</f>
        <v>32981.4310344828</v>
      </c>
      <c r="G58" s="28" t="n">
        <v>345000</v>
      </c>
      <c r="H58" s="73" t="n">
        <f aca="false">IFERROR(D58/G58,"")</f>
        <v>5.54470434782609</v>
      </c>
      <c r="I58" s="73" t="n">
        <f aca="false">IFERROR(G58/(D58/181),"")</f>
        <v>32.6437603604536</v>
      </c>
      <c r="J58" s="28" t="n">
        <f aca="false">IFERROR(INDEX($F$8:$F$15,MATCH(C58,$E$8:$E$15,0)),"")</f>
        <v>0</v>
      </c>
      <c r="K58" s="84" t="n">
        <f aca="false">IFERROR(J58/F58,"")</f>
        <v>0</v>
      </c>
      <c r="L58" s="28" t="n">
        <v>456</v>
      </c>
      <c r="M58" s="26"/>
      <c r="N58" s="85" t="str">
        <f aca="false">IFERROR(ROUNDUP(L58/$C$13,0),"")</f>
        <v/>
      </c>
      <c r="O58" s="84" t="str">
        <f aca="false">IFERROR(IF(M58="",N58,M58)*$C$12*181/30/D58,"")</f>
        <v/>
      </c>
      <c r="P58" s="26"/>
      <c r="Q58" s="84" t="n">
        <f aca="false">IFERROR(P58*181/30/D58,"")</f>
        <v>0</v>
      </c>
      <c r="R58" s="84" t="n">
        <f aca="false">IFERROR((G58/2)*(0.488*$C$7+0.512*$C$8+0*$C$9)*$C$10/(D58*365/181),"")</f>
        <v>0</v>
      </c>
      <c r="S58" s="86" t="str">
        <f aca="false">IFERROR((0.488*$C$7+0.512*$C$8+0*$C$9)/(1-$C$11)+K58+O58+Q58+R58,"")</f>
        <v/>
      </c>
      <c r="T58" s="84" t="n">
        <v>2.2568</v>
      </c>
      <c r="U58" s="86" t="str">
        <f aca="false">IFERROR(T58-S58,"")</f>
        <v/>
      </c>
      <c r="V58" s="87" t="str">
        <f aca="false">IFERROR(U58-$C$14,"")</f>
        <v/>
      </c>
      <c r="W58" s="21" t="str">
        <f aca="false">IF(U58="","",IF(U58&gt;=$C$14,"يحقق الهدف","دون الهدف"))</f>
        <v/>
      </c>
    </row>
    <row r="59" customFormat="false" ht="19.5" hidden="false" customHeight="true" outlineLevel="0" collapsed="false">
      <c r="A59" s="21" t="n">
        <v>42</v>
      </c>
      <c r="B59" s="24" t="s">
        <v>966</v>
      </c>
      <c r="C59" s="82" t="s">
        <v>895</v>
      </c>
      <c r="D59" s="28" t="n">
        <v>1676876</v>
      </c>
      <c r="E59" s="21" t="n">
        <v>52</v>
      </c>
      <c r="F59" s="28" t="n">
        <f aca="false">IFERROR(D59/E59,"")</f>
        <v>32247.6153846154</v>
      </c>
      <c r="G59" s="28" t="n">
        <v>180000</v>
      </c>
      <c r="H59" s="73" t="n">
        <f aca="false">IFERROR(D59/G59,"")</f>
        <v>9.31597777777778</v>
      </c>
      <c r="I59" s="73" t="n">
        <f aca="false">IFERROR(G59/(D59/181),"")</f>
        <v>19.4289858045556</v>
      </c>
      <c r="J59" s="28" t="n">
        <f aca="false">IFERROR(INDEX($F$8:$F$15,MATCH(C59,$E$8:$E$15,0)),"")</f>
        <v>0</v>
      </c>
      <c r="K59" s="84" t="n">
        <f aca="false">IFERROR(J59/F59,"")</f>
        <v>0</v>
      </c>
      <c r="L59" s="28" t="n">
        <v>455</v>
      </c>
      <c r="M59" s="26"/>
      <c r="N59" s="85" t="str">
        <f aca="false">IFERROR(ROUNDUP(L59/$C$13,0),"")</f>
        <v/>
      </c>
      <c r="O59" s="84" t="str">
        <f aca="false">IFERROR(IF(M59="",N59,M59)*$C$12*181/30/D59,"")</f>
        <v/>
      </c>
      <c r="P59" s="26"/>
      <c r="Q59" s="84" t="n">
        <f aca="false">IFERROR(P59*181/30/D59,"")</f>
        <v>0</v>
      </c>
      <c r="R59" s="84" t="n">
        <f aca="false">IFERROR((G59/2)*(0.511*$C$7+0.472*$C$8+0.017*$C$9)*$C$10/(D59*365/181),"")</f>
        <v>0</v>
      </c>
      <c r="S59" s="86" t="str">
        <f aca="false">IFERROR((0.511*$C$7+0.472*$C$8+0.017*$C$9)/(1-$C$11)+K59+O59+Q59+R59,"")</f>
        <v/>
      </c>
      <c r="T59" s="84" t="n">
        <v>2.2333</v>
      </c>
      <c r="U59" s="86" t="str">
        <f aca="false">IFERROR(T59-S59,"")</f>
        <v/>
      </c>
      <c r="V59" s="87" t="str">
        <f aca="false">IFERROR(U59-$C$14,"")</f>
        <v/>
      </c>
      <c r="W59" s="21" t="str">
        <f aca="false">IF(U59="","",IF(U59&gt;=$C$14,"يحقق الهدف","دون الهدف"))</f>
        <v/>
      </c>
    </row>
    <row r="60" customFormat="false" ht="19.5" hidden="false" customHeight="true" outlineLevel="0" collapsed="false">
      <c r="A60" s="21" t="n">
        <v>43</v>
      </c>
      <c r="B60" s="24" t="s">
        <v>967</v>
      </c>
      <c r="C60" s="82" t="s">
        <v>895</v>
      </c>
      <c r="D60" s="28" t="n">
        <v>1637983</v>
      </c>
      <c r="E60" s="21" t="n">
        <v>51</v>
      </c>
      <c r="F60" s="28" t="n">
        <f aca="false">IFERROR(D60/E60,"")</f>
        <v>32117.3137254902</v>
      </c>
      <c r="G60" s="28" t="n">
        <v>180000</v>
      </c>
      <c r="H60" s="73" t="n">
        <f aca="false">IFERROR(D60/G60,"")</f>
        <v>9.09990555555556</v>
      </c>
      <c r="I60" s="73" t="n">
        <f aca="false">IFERROR(G60/(D60/181),"")</f>
        <v>19.8903163219643</v>
      </c>
      <c r="J60" s="28" t="n">
        <f aca="false">IFERROR(INDEX($F$8:$F$15,MATCH(C60,$E$8:$E$15,0)),"")</f>
        <v>0</v>
      </c>
      <c r="K60" s="84" t="n">
        <f aca="false">IFERROR(J60/F60,"")</f>
        <v>0</v>
      </c>
      <c r="L60" s="28" t="n">
        <v>333</v>
      </c>
      <c r="M60" s="26"/>
      <c r="N60" s="85" t="str">
        <f aca="false">IFERROR(ROUNDUP(L60/$C$13,0),"")</f>
        <v/>
      </c>
      <c r="O60" s="84" t="str">
        <f aca="false">IFERROR(IF(M60="",N60,M60)*$C$12*181/30/D60,"")</f>
        <v/>
      </c>
      <c r="P60" s="26"/>
      <c r="Q60" s="84" t="n">
        <f aca="false">IFERROR(P60*181/30/D60,"")</f>
        <v>0</v>
      </c>
      <c r="R60" s="84" t="n">
        <f aca="false">IFERROR((G60/2)*(0.449*$C$7+0.259*$C$8+0.292*$C$9)*$C$10/(D60*365/181),"")</f>
        <v>0</v>
      </c>
      <c r="S60" s="86" t="str">
        <f aca="false">IFERROR((0.449*$C$7+0.259*$C$8+0.292*$C$9)/(1-$C$11)+K60+O60+Q60+R60,"")</f>
        <v/>
      </c>
      <c r="T60" s="84" t="n">
        <v>1.9181</v>
      </c>
      <c r="U60" s="86" t="str">
        <f aca="false">IFERROR(T60-S60,"")</f>
        <v/>
      </c>
      <c r="V60" s="87" t="str">
        <f aca="false">IFERROR(U60-$C$14,"")</f>
        <v/>
      </c>
      <c r="W60" s="21" t="str">
        <f aca="false">IF(U60="","",IF(U60&gt;=$C$14,"يحقق الهدف","دون الهدف"))</f>
        <v/>
      </c>
    </row>
    <row r="61" customFormat="false" ht="19.5" hidden="false" customHeight="true" outlineLevel="0" collapsed="false">
      <c r="A61" s="21" t="n">
        <v>44</v>
      </c>
      <c r="B61" s="24" t="s">
        <v>968</v>
      </c>
      <c r="C61" s="82" t="s">
        <v>897</v>
      </c>
      <c r="D61" s="28" t="n">
        <v>1600415</v>
      </c>
      <c r="E61" s="21" t="n">
        <v>50</v>
      </c>
      <c r="F61" s="28" t="n">
        <f aca="false">IFERROR(D61/E61,"")</f>
        <v>32008.3</v>
      </c>
      <c r="G61" s="28" t="n">
        <v>195000</v>
      </c>
      <c r="H61" s="73" t="n">
        <f aca="false">IFERROR(D61/G61,"")</f>
        <v>8.20725641025641</v>
      </c>
      <c r="I61" s="73" t="n">
        <f aca="false">IFERROR(G61/(D61/181),"")</f>
        <v>22.0536548332776</v>
      </c>
      <c r="J61" s="28" t="n">
        <f aca="false">IFERROR(INDEX($F$8:$F$15,MATCH(C61,$E$8:$E$15,0)),"")</f>
        <v>0</v>
      </c>
      <c r="K61" s="84" t="n">
        <f aca="false">IFERROR(J61/F61,"")</f>
        <v>0</v>
      </c>
      <c r="L61" s="28" t="n">
        <v>952</v>
      </c>
      <c r="M61" s="26"/>
      <c r="N61" s="85" t="str">
        <f aca="false">IFERROR(ROUNDUP(L61/$C$13,0),"")</f>
        <v/>
      </c>
      <c r="O61" s="84" t="str">
        <f aca="false">IFERROR(IF(M61="",N61,M61)*$C$12*181/30/D61,"")</f>
        <v/>
      </c>
      <c r="P61" s="26"/>
      <c r="Q61" s="84" t="n">
        <f aca="false">IFERROR(P61*181/30/D61,"")</f>
        <v>0</v>
      </c>
      <c r="R61" s="84" t="n">
        <f aca="false">IFERROR((G61/2)*(0.503*$C$7+0.394*$C$8+0.103*$C$9)*$C$10/(D61*365/181),"")</f>
        <v>0</v>
      </c>
      <c r="S61" s="86" t="str">
        <f aca="false">IFERROR((0.503*$C$7+0.394*$C$8+0.103*$C$9)/(1-$C$11)+K61+O61+Q61+R61,"")</f>
        <v/>
      </c>
      <c r="T61" s="84" t="n">
        <v>2.133</v>
      </c>
      <c r="U61" s="86" t="str">
        <f aca="false">IFERROR(T61-S61,"")</f>
        <v/>
      </c>
      <c r="V61" s="87" t="str">
        <f aca="false">IFERROR(U61-$C$14,"")</f>
        <v/>
      </c>
      <c r="W61" s="21" t="str">
        <f aca="false">IF(U61="","",IF(U61&gt;=$C$14,"يحقق الهدف","دون الهدف"))</f>
        <v/>
      </c>
    </row>
    <row r="62" customFormat="false" ht="19.5" hidden="false" customHeight="true" outlineLevel="0" collapsed="false">
      <c r="A62" s="21" t="n">
        <v>45</v>
      </c>
      <c r="B62" s="24" t="s">
        <v>969</v>
      </c>
      <c r="C62" s="82" t="s">
        <v>903</v>
      </c>
      <c r="D62" s="28" t="n">
        <v>1428185</v>
      </c>
      <c r="E62" s="21" t="n">
        <v>45</v>
      </c>
      <c r="F62" s="28" t="n">
        <f aca="false">IFERROR(D62/E62,"")</f>
        <v>31737.4444444444</v>
      </c>
      <c r="G62" s="28" t="n">
        <v>240000</v>
      </c>
      <c r="H62" s="73" t="n">
        <f aca="false">IFERROR(D62/G62,"")</f>
        <v>5.95077083333333</v>
      </c>
      <c r="I62" s="73" t="n">
        <f aca="false">IFERROR(G62/(D62/181),"")</f>
        <v>30.416227589563</v>
      </c>
      <c r="J62" s="28" t="n">
        <f aca="false">IFERROR(INDEX($F$8:$F$15,MATCH(C62,$E$8:$E$15,0)),"")</f>
        <v>0</v>
      </c>
      <c r="K62" s="84" t="n">
        <f aca="false">IFERROR(J62/F62,"")</f>
        <v>0</v>
      </c>
      <c r="L62" s="28" t="n">
        <v>327</v>
      </c>
      <c r="M62" s="26"/>
      <c r="N62" s="85" t="str">
        <f aca="false">IFERROR(ROUNDUP(L62/$C$13,0),"")</f>
        <v/>
      </c>
      <c r="O62" s="84" t="str">
        <f aca="false">IFERROR(IF(M62="",N62,M62)*$C$12*181/30/D62,"")</f>
        <v/>
      </c>
      <c r="P62" s="26"/>
      <c r="Q62" s="84" t="n">
        <f aca="false">IFERROR(P62*181/30/D62,"")</f>
        <v>0</v>
      </c>
      <c r="R62" s="84" t="n">
        <f aca="false">IFERROR((G62/2)*(0.576*$C$7+0.347*$C$8+0.077*$C$9)*$C$10/(D62*365/181),"")</f>
        <v>0</v>
      </c>
      <c r="S62" s="86" t="str">
        <f aca="false">IFERROR((0.576*$C$7+0.347*$C$8+0.077*$C$9)/(1-$C$11)+K62+O62+Q62+R62,"")</f>
        <v/>
      </c>
      <c r="T62" s="84" t="n">
        <v>2.1527</v>
      </c>
      <c r="U62" s="86" t="str">
        <f aca="false">IFERROR(T62-S62,"")</f>
        <v/>
      </c>
      <c r="V62" s="87" t="str">
        <f aca="false">IFERROR(U62-$C$14,"")</f>
        <v/>
      </c>
      <c r="W62" s="21" t="str">
        <f aca="false">IF(U62="","",IF(U62&gt;=$C$14,"يحقق الهدف","دون الهدف"))</f>
        <v/>
      </c>
    </row>
    <row r="63" customFormat="false" ht="19.5" hidden="false" customHeight="true" outlineLevel="0" collapsed="false">
      <c r="A63" s="21" t="n">
        <v>46</v>
      </c>
      <c r="B63" s="24" t="s">
        <v>970</v>
      </c>
      <c r="C63" s="82" t="s">
        <v>904</v>
      </c>
      <c r="D63" s="28" t="n">
        <v>1280084</v>
      </c>
      <c r="E63" s="21" t="n">
        <v>40</v>
      </c>
      <c r="F63" s="28" t="n">
        <f aca="false">IFERROR(D63/E63,"")</f>
        <v>32002.1</v>
      </c>
      <c r="G63" s="28" t="n">
        <v>240000</v>
      </c>
      <c r="H63" s="73" t="n">
        <f aca="false">IFERROR(D63/G63,"")</f>
        <v>5.33368333333333</v>
      </c>
      <c r="I63" s="73" t="n">
        <f aca="false">IFERROR(G63/(D63/181),"")</f>
        <v>33.9352729977095</v>
      </c>
      <c r="J63" s="28" t="n">
        <f aca="false">IFERROR(INDEX($F$8:$F$15,MATCH(C63,$E$8:$E$15,0)),"")</f>
        <v>0</v>
      </c>
      <c r="K63" s="84" t="n">
        <f aca="false">IFERROR(J63/F63,"")</f>
        <v>0</v>
      </c>
      <c r="L63" s="28" t="n">
        <v>281</v>
      </c>
      <c r="M63" s="26"/>
      <c r="N63" s="85" t="str">
        <f aca="false">IFERROR(ROUNDUP(L63/$C$13,0),"")</f>
        <v/>
      </c>
      <c r="O63" s="84" t="str">
        <f aca="false">IFERROR(IF(M63="",N63,M63)*$C$12*181/30/D63,"")</f>
        <v/>
      </c>
      <c r="P63" s="26"/>
      <c r="Q63" s="84" t="n">
        <f aca="false">IFERROR(P63*181/30/D63,"")</f>
        <v>0</v>
      </c>
      <c r="R63" s="84" t="n">
        <f aca="false">IFERROR((G63/2)*(0.427*$C$7+0.393*$C$8+0.18*$C$9)*$C$10/(D63*365/181),"")</f>
        <v>0</v>
      </c>
      <c r="S63" s="86" t="str">
        <f aca="false">IFERROR((0.427*$C$7+0.393*$C$8+0.18*$C$9)/(1-$C$11)+K63+O63+Q63+R63,"")</f>
        <v/>
      </c>
      <c r="T63" s="84" t="n">
        <v>2.0535</v>
      </c>
      <c r="U63" s="86" t="str">
        <f aca="false">IFERROR(T63-S63,"")</f>
        <v/>
      </c>
      <c r="V63" s="87" t="str">
        <f aca="false">IFERROR(U63-$C$14,"")</f>
        <v/>
      </c>
      <c r="W63" s="21" t="str">
        <f aca="false">IF(U63="","",IF(U63&gt;=$C$14,"يحقق الهدف","دون الهدف"))</f>
        <v/>
      </c>
    </row>
    <row r="64" customFormat="false" ht="19.5" hidden="false" customHeight="true" outlineLevel="0" collapsed="false">
      <c r="A64" s="21" t="n">
        <v>47</v>
      </c>
      <c r="B64" s="24" t="s">
        <v>971</v>
      </c>
      <c r="C64" s="82" t="s">
        <v>897</v>
      </c>
      <c r="D64" s="28" t="n">
        <v>1248285</v>
      </c>
      <c r="E64" s="21" t="n">
        <v>39</v>
      </c>
      <c r="F64" s="28" t="n">
        <f aca="false">IFERROR(D64/E64,"")</f>
        <v>32007.3076923077</v>
      </c>
      <c r="G64" s="28" t="n">
        <v>300000</v>
      </c>
      <c r="H64" s="73" t="n">
        <f aca="false">IFERROR(D64/G64,"")</f>
        <v>4.16095</v>
      </c>
      <c r="I64" s="73" t="n">
        <f aca="false">IFERROR(G64/(D64/181),"")</f>
        <v>43.4996815631046</v>
      </c>
      <c r="J64" s="28" t="n">
        <f aca="false">IFERROR(INDEX($F$8:$F$15,MATCH(C64,$E$8:$E$15,0)),"")</f>
        <v>0</v>
      </c>
      <c r="K64" s="84" t="n">
        <f aca="false">IFERROR(J64/F64,"")</f>
        <v>0</v>
      </c>
      <c r="L64" s="28" t="n">
        <v>800</v>
      </c>
      <c r="M64" s="26"/>
      <c r="N64" s="85" t="str">
        <f aca="false">IFERROR(ROUNDUP(L64/$C$13,0),"")</f>
        <v/>
      </c>
      <c r="O64" s="84" t="str">
        <f aca="false">IFERROR(IF(M64="",N64,M64)*$C$12*181/30/D64,"")</f>
        <v/>
      </c>
      <c r="P64" s="26"/>
      <c r="Q64" s="84" t="n">
        <f aca="false">IFERROR(P64*181/30/D64,"")</f>
        <v>0</v>
      </c>
      <c r="R64" s="84" t="n">
        <f aca="false">IFERROR((G64/2)*(0.447*$C$7+0.497*$C$8+0.056*$C$9)*$C$10/(D64*365/181),"")</f>
        <v>0</v>
      </c>
      <c r="S64" s="86" t="str">
        <f aca="false">IFERROR((0.447*$C$7+0.497*$C$8+0.056*$C$9)/(1-$C$11)+K64+O64+Q64+R64,"")</f>
        <v/>
      </c>
      <c r="T64" s="84" t="n">
        <v>2.1969</v>
      </c>
      <c r="U64" s="86" t="str">
        <f aca="false">IFERROR(T64-S64,"")</f>
        <v/>
      </c>
      <c r="V64" s="87" t="str">
        <f aca="false">IFERROR(U64-$C$14,"")</f>
        <v/>
      </c>
      <c r="W64" s="21" t="str">
        <f aca="false">IF(U64="","",IF(U64&gt;=$C$14,"يحقق الهدف","دون الهدف"))</f>
        <v/>
      </c>
    </row>
    <row r="65" customFormat="false" ht="19.5" hidden="false" customHeight="true" outlineLevel="0" collapsed="false">
      <c r="A65" s="21" t="n">
        <v>48</v>
      </c>
      <c r="B65" s="24" t="s">
        <v>972</v>
      </c>
      <c r="C65" s="82" t="s">
        <v>904</v>
      </c>
      <c r="D65" s="28" t="n">
        <v>1248165</v>
      </c>
      <c r="E65" s="21" t="n">
        <v>39</v>
      </c>
      <c r="F65" s="28" t="n">
        <f aca="false">IFERROR(D65/E65,"")</f>
        <v>32004.2307692308</v>
      </c>
      <c r="G65" s="28" t="n">
        <v>180000</v>
      </c>
      <c r="H65" s="73" t="n">
        <f aca="false">IFERROR(D65/G65,"")</f>
        <v>6.93425</v>
      </c>
      <c r="I65" s="73" t="n">
        <f aca="false">IFERROR(G65/(D65/181),"")</f>
        <v>26.1023182031222</v>
      </c>
      <c r="J65" s="28" t="n">
        <f aca="false">IFERROR(INDEX($F$8:$F$15,MATCH(C65,$E$8:$E$15,0)),"")</f>
        <v>0</v>
      </c>
      <c r="K65" s="84" t="n">
        <f aca="false">IFERROR(J65/F65,"")</f>
        <v>0</v>
      </c>
      <c r="L65" s="28" t="n">
        <v>408</v>
      </c>
      <c r="M65" s="26"/>
      <c r="N65" s="85" t="str">
        <f aca="false">IFERROR(ROUNDUP(L65/$C$13,0),"")</f>
        <v/>
      </c>
      <c r="O65" s="84" t="str">
        <f aca="false">IFERROR(IF(M65="",N65,M65)*$C$12*181/30/D65,"")</f>
        <v/>
      </c>
      <c r="P65" s="26"/>
      <c r="Q65" s="84" t="n">
        <f aca="false">IFERROR(P65*181/30/D65,"")</f>
        <v>0</v>
      </c>
      <c r="R65" s="84" t="n">
        <f aca="false">IFERROR((G65/2)*(0.459*$C$7+0.348*$C$8+0.194*$C$9)*$C$10/(D65*365/181),"")</f>
        <v>0</v>
      </c>
      <c r="S65" s="86" t="str">
        <f aca="false">IFERROR((0.459*$C$7+0.348*$C$8+0.194*$C$9)/(1-$C$11)+K65+O65+Q65+R65,"")</f>
        <v/>
      </c>
      <c r="T65" s="84" t="n">
        <v>2.0346</v>
      </c>
      <c r="U65" s="86" t="str">
        <f aca="false">IFERROR(T65-S65,"")</f>
        <v/>
      </c>
      <c r="V65" s="87" t="str">
        <f aca="false">IFERROR(U65-$C$14,"")</f>
        <v/>
      </c>
      <c r="W65" s="21" t="str">
        <f aca="false">IF(U65="","",IF(U65&gt;=$C$14,"يحقق الهدف","دون الهدف"))</f>
        <v/>
      </c>
    </row>
    <row r="66" customFormat="false" ht="19.5" hidden="false" customHeight="true" outlineLevel="0" collapsed="false">
      <c r="A66" s="21" t="n">
        <v>49</v>
      </c>
      <c r="B66" s="24" t="s">
        <v>973</v>
      </c>
      <c r="C66" s="82" t="s">
        <v>895</v>
      </c>
      <c r="D66" s="28" t="n">
        <v>768768</v>
      </c>
      <c r="E66" s="21" t="n">
        <v>24</v>
      </c>
      <c r="F66" s="28" t="n">
        <f aca="false">IFERROR(D66/E66,"")</f>
        <v>32032</v>
      </c>
      <c r="G66" s="28" t="n">
        <v>126000</v>
      </c>
      <c r="H66" s="73" t="n">
        <f aca="false">IFERROR(D66/G66,"")</f>
        <v>6.10133333333333</v>
      </c>
      <c r="I66" s="73" t="n">
        <f aca="false">IFERROR(G66/(D66/181),"")</f>
        <v>29.6656468531469</v>
      </c>
      <c r="J66" s="28" t="n">
        <f aca="false">IFERROR(INDEX($F$8:$F$15,MATCH(C66,$E$8:$E$15,0)),"")</f>
        <v>0</v>
      </c>
      <c r="K66" s="84" t="n">
        <f aca="false">IFERROR(J66/F66,"")</f>
        <v>0</v>
      </c>
      <c r="L66" s="21"/>
      <c r="M66" s="26"/>
      <c r="N66" s="28" t="str">
        <f aca="false">IFERROR(ROUNDUP(L66/$C$13,0),"")</f>
        <v/>
      </c>
      <c r="O66" s="84" t="str">
        <f aca="false">IFERROR(IF(M66="",N66,M66)*$C$12*181/30/D66,"")</f>
        <v/>
      </c>
      <c r="P66" s="26"/>
      <c r="Q66" s="84" t="n">
        <f aca="false">IFERROR(P66*181/30/D66,"")</f>
        <v>0</v>
      </c>
      <c r="R66" s="84" t="n">
        <f aca="false">IFERROR((G66/2)*$C$7*$C$10/(D66*365/181),"")</f>
        <v>0</v>
      </c>
      <c r="S66" s="86" t="str">
        <f aca="false">IFERROR($C$7/(1-$C$11)+K66+O66+Q66+R66,"")</f>
        <v/>
      </c>
      <c r="T66" s="21"/>
      <c r="U66" s="86" t="str">
        <f aca="false">IFERROR(T66-S66,"")</f>
        <v/>
      </c>
      <c r="V66" s="87" t="str">
        <f aca="false">IFERROR(U66-$C$14,"")</f>
        <v/>
      </c>
      <c r="W66" s="21" t="str">
        <f aca="false">IF(U66="","",IF(U66&gt;=$C$14,"يحقق الهدف","دون الهدف"))</f>
        <v/>
      </c>
    </row>
    <row r="67" customFormat="false" ht="19.5" hidden="false" customHeight="true" outlineLevel="0" collapsed="false">
      <c r="A67" s="21" t="n">
        <v>50</v>
      </c>
      <c r="B67" s="24" t="s">
        <v>974</v>
      </c>
      <c r="C67" s="82" t="s">
        <v>899</v>
      </c>
      <c r="D67" s="28" t="n">
        <v>96032</v>
      </c>
      <c r="E67" s="21" t="n">
        <v>3</v>
      </c>
      <c r="F67" s="28" t="n">
        <f aca="false">IFERROR(D67/E67,"")</f>
        <v>32010.6666666667</v>
      </c>
      <c r="G67" s="28" t="n">
        <v>195000</v>
      </c>
      <c r="H67" s="73" t="n">
        <f aca="false">IFERROR(D67/G67,"")</f>
        <v>0.492471794871795</v>
      </c>
      <c r="I67" s="73" t="n">
        <f aca="false">IFERROR(G67/(D67/181),"")</f>
        <v>367.533738753749</v>
      </c>
      <c r="J67" s="28" t="n">
        <f aca="false">IFERROR(INDEX($F$8:$F$15,MATCH(C67,$E$8:$E$15,0)),"")</f>
        <v>0</v>
      </c>
      <c r="K67" s="84" t="n">
        <f aca="false">IFERROR(J67/F67,"")</f>
        <v>0</v>
      </c>
      <c r="L67" s="28" t="n">
        <v>154</v>
      </c>
      <c r="M67" s="26"/>
      <c r="N67" s="85" t="str">
        <f aca="false">IFERROR(ROUNDUP(L67/$C$13,0),"")</f>
        <v/>
      </c>
      <c r="O67" s="84" t="str">
        <f aca="false">IFERROR(IF(M67="",N67,M67)*$C$12*181/30/D67,"")</f>
        <v/>
      </c>
      <c r="P67" s="26"/>
      <c r="Q67" s="84" t="n">
        <f aca="false">IFERROR(P67*181/30/D67,"")</f>
        <v>0</v>
      </c>
      <c r="R67" s="84" t="n">
        <f aca="false">IFERROR((G67/2)*(0.503*$C$7+0.33*$C$8+0.167*$C$9)*$C$10/(D67*365/181),"")</f>
        <v>0</v>
      </c>
      <c r="S67" s="86" t="str">
        <f aca="false">IFERROR((0.503*$C$7+0.33*$C$8+0.167*$C$9)/(1-$C$11)+K67+O67+Q67+R67,"")</f>
        <v/>
      </c>
      <c r="T67" s="84" t="n">
        <v>2.0575</v>
      </c>
      <c r="U67" s="86" t="str">
        <f aca="false">IFERROR(T67-S67,"")</f>
        <v/>
      </c>
      <c r="V67" s="87" t="str">
        <f aca="false">IFERROR(U67-$C$14,"")</f>
        <v/>
      </c>
      <c r="W67" s="21" t="str">
        <f aca="false">IF(U67="","",IF(U67&gt;=$C$14,"يحقق الهدف","دون الهدف"))</f>
        <v/>
      </c>
    </row>
    <row r="68" customFormat="false" ht="15" hidden="false" customHeight="false" outlineLevel="0" collapsed="false">
      <c r="A68" s="32"/>
      <c r="B68" s="33" t="s">
        <v>975</v>
      </c>
      <c r="C68" s="32"/>
      <c r="D68" s="34" t="n">
        <f aca="false">SUM(D18:D67)</f>
        <v>261914128</v>
      </c>
      <c r="E68" s="34" t="n">
        <f aca="false">SUM(E18:E67)</f>
        <v>8059</v>
      </c>
      <c r="F68" s="34" t="n">
        <f aca="false">IFERROR(D68/E68,"")</f>
        <v>32499.5815858047</v>
      </c>
      <c r="G68" s="34" t="n">
        <f aca="false">SUM(G18:G67)</f>
        <v>12402000</v>
      </c>
      <c r="H68" s="32"/>
      <c r="I68" s="32"/>
      <c r="J68" s="32"/>
      <c r="K68" s="32"/>
      <c r="L68" s="34" t="n">
        <f aca="false">SUM(L18:L67)</f>
        <v>54672</v>
      </c>
      <c r="M68" s="34" t="n">
        <f aca="false">SUM(M18:M67)</f>
        <v>0</v>
      </c>
      <c r="N68" s="34" t="n">
        <f aca="false">SUM(N18:N67)</f>
        <v>0</v>
      </c>
      <c r="O68" s="32"/>
      <c r="P68" s="32"/>
      <c r="Q68" s="32"/>
      <c r="R68" s="32"/>
      <c r="S68" s="88" t="n">
        <f aca="false">IFERROR(SUMPRODUCT(D18:D67,S18:S67)/D68,"")</f>
        <v>0</v>
      </c>
    </row>
    <row r="70" customFormat="false" ht="42" hidden="false" customHeight="true" outlineLevel="0" collapsed="false">
      <c r="B70" s="52" t="s">
        <v>976</v>
      </c>
      <c r="C70" s="53" t="s">
        <v>977</v>
      </c>
      <c r="D70" s="53"/>
      <c r="E70" s="53"/>
      <c r="F70" s="53"/>
      <c r="G70" s="53"/>
      <c r="H70" s="53"/>
      <c r="I70" s="53"/>
      <c r="J70" s="53"/>
      <c r="K70" s="53"/>
      <c r="L70" s="53"/>
      <c r="M70" s="53"/>
      <c r="N70" s="53"/>
      <c r="O70" s="53"/>
      <c r="P70" s="53"/>
      <c r="Q70" s="53"/>
      <c r="R70" s="53"/>
      <c r="S70" s="53"/>
      <c r="T70" s="53"/>
      <c r="U70" s="53"/>
      <c r="V70" s="53"/>
    </row>
    <row r="71" customFormat="false" ht="42" hidden="false" customHeight="true" outlineLevel="0" collapsed="false">
      <c r="B71" s="52" t="s">
        <v>978</v>
      </c>
      <c r="C71" s="53" t="s">
        <v>979</v>
      </c>
      <c r="D71" s="53"/>
      <c r="E71" s="53"/>
      <c r="F71" s="53"/>
      <c r="G71" s="53"/>
      <c r="H71" s="53"/>
      <c r="I71" s="53"/>
      <c r="J71" s="53"/>
      <c r="K71" s="53"/>
      <c r="L71" s="53"/>
      <c r="M71" s="53"/>
      <c r="N71" s="53"/>
      <c r="O71" s="53"/>
      <c r="P71" s="53"/>
      <c r="Q71" s="53"/>
      <c r="R71" s="53"/>
      <c r="S71" s="53"/>
      <c r="T71" s="53"/>
      <c r="U71" s="53"/>
      <c r="V71" s="53"/>
    </row>
    <row r="72" customFormat="false" ht="42" hidden="false" customHeight="true" outlineLevel="0" collapsed="false">
      <c r="B72" s="54" t="s">
        <v>980</v>
      </c>
      <c r="C72" s="53" t="s">
        <v>981</v>
      </c>
      <c r="D72" s="53"/>
      <c r="E72" s="53"/>
      <c r="F72" s="53"/>
      <c r="G72" s="53"/>
      <c r="H72" s="53"/>
      <c r="I72" s="53"/>
      <c r="J72" s="53"/>
      <c r="K72" s="53"/>
      <c r="L72" s="53"/>
      <c r="M72" s="53"/>
      <c r="N72" s="53"/>
      <c r="O72" s="53"/>
      <c r="P72" s="53"/>
      <c r="Q72" s="53"/>
      <c r="R72" s="53"/>
      <c r="S72" s="53"/>
      <c r="T72" s="53"/>
      <c r="U72" s="53"/>
      <c r="V72" s="53"/>
    </row>
    <row r="73" customFormat="false" ht="42" hidden="false" customHeight="true" outlineLevel="0" collapsed="false">
      <c r="B73" s="52" t="s">
        <v>982</v>
      </c>
      <c r="C73" s="53" t="s">
        <v>983</v>
      </c>
      <c r="D73" s="53"/>
      <c r="E73" s="53"/>
      <c r="F73" s="53"/>
      <c r="G73" s="53"/>
      <c r="H73" s="53"/>
      <c r="I73" s="53"/>
      <c r="J73" s="53"/>
      <c r="K73" s="53"/>
      <c r="L73" s="53"/>
      <c r="M73" s="53"/>
      <c r="N73" s="53"/>
      <c r="O73" s="53"/>
      <c r="P73" s="53"/>
      <c r="Q73" s="53"/>
      <c r="R73" s="53"/>
      <c r="S73" s="53"/>
      <c r="T73" s="53"/>
      <c r="U73" s="53"/>
      <c r="V73" s="53"/>
    </row>
    <row r="74" customFormat="false" ht="42" hidden="false" customHeight="true" outlineLevel="0" collapsed="false">
      <c r="B74" s="52" t="s">
        <v>984</v>
      </c>
      <c r="C74" s="53" t="s">
        <v>985</v>
      </c>
      <c r="D74" s="53"/>
      <c r="E74" s="53"/>
      <c r="F74" s="53"/>
      <c r="G74" s="53"/>
      <c r="H74" s="53"/>
      <c r="I74" s="53"/>
      <c r="J74" s="53"/>
      <c r="K74" s="53"/>
      <c r="L74" s="53"/>
      <c r="M74" s="53"/>
      <c r="N74" s="53"/>
      <c r="O74" s="53"/>
      <c r="P74" s="53"/>
      <c r="Q74" s="53"/>
      <c r="R74" s="53"/>
      <c r="S74" s="53"/>
      <c r="T74" s="53"/>
      <c r="U74" s="53"/>
      <c r="V74" s="53"/>
    </row>
    <row r="75" customFormat="false" ht="42" hidden="false" customHeight="true" outlineLevel="0" collapsed="false">
      <c r="B75" s="52" t="s">
        <v>986</v>
      </c>
      <c r="C75" s="53" t="s">
        <v>987</v>
      </c>
      <c r="D75" s="53"/>
      <c r="E75" s="53"/>
      <c r="F75" s="53"/>
      <c r="G75" s="53"/>
      <c r="H75" s="53"/>
      <c r="I75" s="53"/>
      <c r="J75" s="53"/>
      <c r="K75" s="53"/>
      <c r="L75" s="53"/>
      <c r="M75" s="53"/>
      <c r="N75" s="53"/>
      <c r="O75" s="53"/>
      <c r="P75" s="53"/>
      <c r="Q75" s="53"/>
      <c r="R75" s="53"/>
      <c r="S75" s="53"/>
      <c r="T75" s="53"/>
      <c r="U75" s="53"/>
      <c r="V75" s="53"/>
    </row>
    <row r="76" customFormat="false" ht="42" hidden="false" customHeight="true" outlineLevel="0" collapsed="false">
      <c r="B76" s="54" t="s">
        <v>988</v>
      </c>
      <c r="C76" s="53" t="s">
        <v>989</v>
      </c>
      <c r="D76" s="53"/>
      <c r="E76" s="53"/>
      <c r="F76" s="53"/>
      <c r="G76" s="53"/>
      <c r="H76" s="53"/>
      <c r="I76" s="53"/>
      <c r="J76" s="53"/>
      <c r="K76" s="53"/>
      <c r="L76" s="53"/>
      <c r="M76" s="53"/>
      <c r="N76" s="53"/>
      <c r="O76" s="53"/>
      <c r="P76" s="53"/>
      <c r="Q76" s="53"/>
      <c r="R76" s="53"/>
      <c r="S76" s="53"/>
      <c r="T76" s="53"/>
      <c r="U76" s="53"/>
      <c r="V76" s="53"/>
    </row>
    <row r="77" customFormat="false" ht="42" hidden="false" customHeight="true" outlineLevel="0" collapsed="false">
      <c r="B77" s="54" t="s">
        <v>990</v>
      </c>
      <c r="C77" s="53" t="s">
        <v>991</v>
      </c>
      <c r="D77" s="53"/>
      <c r="E77" s="53"/>
      <c r="F77" s="53"/>
      <c r="G77" s="53"/>
      <c r="H77" s="53"/>
      <c r="I77" s="53"/>
      <c r="J77" s="53"/>
      <c r="K77" s="53"/>
      <c r="L77" s="53"/>
      <c r="M77" s="53"/>
      <c r="N77" s="53"/>
      <c r="O77" s="53"/>
      <c r="P77" s="53"/>
      <c r="Q77" s="53"/>
      <c r="R77" s="53"/>
      <c r="S77" s="53"/>
      <c r="T77" s="53"/>
      <c r="U77" s="53"/>
      <c r="V77" s="53"/>
    </row>
  </sheetData>
  <mergeCells count="12">
    <mergeCell ref="A1:O1"/>
    <mergeCell ref="A2:O2"/>
    <mergeCell ref="C3:V3"/>
    <mergeCell ref="C4:V4"/>
    <mergeCell ref="C70:V70"/>
    <mergeCell ref="C71:V71"/>
    <mergeCell ref="C72:V72"/>
    <mergeCell ref="C73:V73"/>
    <mergeCell ref="C74:V74"/>
    <mergeCell ref="C75:V75"/>
    <mergeCell ref="C76:V76"/>
    <mergeCell ref="C77:V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992</v>
      </c>
      <c r="B1" s="1"/>
      <c r="C1" s="1"/>
      <c r="D1" s="1"/>
      <c r="E1" s="1"/>
      <c r="F1" s="1"/>
      <c r="G1" s="1"/>
      <c r="H1" s="1"/>
      <c r="I1" s="1"/>
      <c r="J1" s="1"/>
      <c r="K1" s="1"/>
      <c r="L1" s="1"/>
      <c r="M1" s="1"/>
      <c r="N1" s="1"/>
      <c r="O1" s="1"/>
    </row>
    <row r="2" customFormat="false" ht="18" hidden="false" customHeight="true" outlineLevel="0" collapsed="false">
      <c r="A2" s="2" t="s">
        <v>993</v>
      </c>
      <c r="B2" s="2"/>
      <c r="C2" s="2"/>
      <c r="D2" s="2"/>
      <c r="E2" s="2"/>
      <c r="F2" s="2"/>
      <c r="G2" s="2"/>
      <c r="H2" s="2"/>
      <c r="I2" s="2"/>
      <c r="J2" s="2"/>
      <c r="K2" s="2"/>
      <c r="L2" s="2"/>
      <c r="M2" s="2"/>
      <c r="N2" s="2"/>
      <c r="O2" s="2"/>
    </row>
    <row r="3" customFormat="false" ht="31.5" hidden="false" customHeight="true" outlineLevel="0" collapsed="false">
      <c r="A3" s="15" t="s">
        <v>49</v>
      </c>
      <c r="B3" s="15" t="s">
        <v>50</v>
      </c>
      <c r="C3" s="15" t="s">
        <v>54</v>
      </c>
      <c r="D3" s="15" t="s">
        <v>55</v>
      </c>
      <c r="E3" s="15" t="s">
        <v>994</v>
      </c>
      <c r="F3" s="15" t="s">
        <v>995</v>
      </c>
      <c r="G3" s="15" t="s">
        <v>996</v>
      </c>
      <c r="H3" s="15" t="s">
        <v>997</v>
      </c>
      <c r="I3" s="15" t="s">
        <v>58</v>
      </c>
      <c r="J3" s="15" t="s">
        <v>998</v>
      </c>
      <c r="K3" s="15" t="s">
        <v>999</v>
      </c>
      <c r="L3" s="15" t="s">
        <v>59</v>
      </c>
      <c r="M3" s="15" t="s">
        <v>1000</v>
      </c>
      <c r="N3" s="15" t="s">
        <v>1001</v>
      </c>
      <c r="O3" s="15" t="s">
        <v>383</v>
      </c>
    </row>
    <row r="4" customFormat="false" ht="30" hidden="false" customHeight="true" outlineLevel="0" collapsed="false">
      <c r="A4" s="89" t="s">
        <v>1002</v>
      </c>
      <c r="B4" s="90" t="s">
        <v>1003</v>
      </c>
      <c r="C4" s="89" t="s">
        <v>52</v>
      </c>
      <c r="D4" s="90" t="s">
        <v>1004</v>
      </c>
      <c r="E4" s="89" t="n">
        <v>6</v>
      </c>
      <c r="F4" s="89" t="s">
        <v>1005</v>
      </c>
      <c r="G4" s="90" t="s">
        <v>1006</v>
      </c>
      <c r="H4" s="89" t="n">
        <v>20</v>
      </c>
      <c r="I4" s="89" t="n">
        <f aca="false">IF(H4="","",H4-E4)</f>
        <v>14</v>
      </c>
      <c r="J4" s="91" t="n">
        <f aca="false">IFERROR(IF(H4="","",(H4-E4)/E4),"")</f>
        <v>2.33333333333333</v>
      </c>
      <c r="K4" s="90" t="s">
        <v>1007</v>
      </c>
      <c r="L4" s="89" t="s">
        <v>78</v>
      </c>
      <c r="M4" s="90" t="s">
        <v>1008</v>
      </c>
      <c r="N4" s="90" t="s">
        <v>1009</v>
      </c>
      <c r="O4" s="89" t="s">
        <v>1010</v>
      </c>
    </row>
    <row r="5" customFormat="false" ht="30" hidden="false" customHeight="true" outlineLevel="0" collapsed="false">
      <c r="A5" s="21" t="n">
        <v>1</v>
      </c>
      <c r="B5" s="17" t="s">
        <v>61</v>
      </c>
      <c r="C5" s="21" t="s">
        <v>51</v>
      </c>
      <c r="D5" s="16" t="s">
        <v>62</v>
      </c>
      <c r="E5" s="92" t="n">
        <v>1271</v>
      </c>
      <c r="F5" s="21" t="s">
        <v>1011</v>
      </c>
      <c r="G5" s="16" t="s">
        <v>1012</v>
      </c>
      <c r="H5" s="93"/>
      <c r="I5" s="92" t="str">
        <f aca="false">IF(H5="","",H5-E5)</f>
        <v/>
      </c>
      <c r="J5" s="45" t="str">
        <f aca="false">IFERROR(IF(H5="","",(H5-E5)/E5),"")</f>
        <v/>
      </c>
      <c r="K5" s="94"/>
      <c r="L5" s="21" t="s">
        <v>66</v>
      </c>
      <c r="M5" s="94"/>
      <c r="N5" s="16" t="s">
        <v>1013</v>
      </c>
      <c r="O5" s="95"/>
    </row>
    <row r="6" customFormat="false" ht="30" hidden="false" customHeight="true" outlineLevel="0" collapsed="false">
      <c r="A6" s="21" t="n">
        <v>2</v>
      </c>
      <c r="B6" s="17" t="s">
        <v>67</v>
      </c>
      <c r="C6" s="21" t="s">
        <v>53</v>
      </c>
      <c r="D6" s="16" t="s">
        <v>68</v>
      </c>
      <c r="E6" s="92" t="n">
        <v>25</v>
      </c>
      <c r="F6" s="21" t="s">
        <v>1014</v>
      </c>
      <c r="G6" s="16" t="s">
        <v>1015</v>
      </c>
      <c r="H6" s="93"/>
      <c r="I6" s="92" t="str">
        <f aca="false">IF(H6="","",H6-E6)</f>
        <v/>
      </c>
      <c r="J6" s="45" t="str">
        <f aca="false">IFERROR(IF(H6="","",(H6-E6)/E6),"")</f>
        <v/>
      </c>
      <c r="K6" s="94"/>
      <c r="L6" s="21" t="s">
        <v>72</v>
      </c>
      <c r="M6" s="94"/>
      <c r="N6" s="16" t="s">
        <v>1016</v>
      </c>
      <c r="O6" s="95"/>
    </row>
    <row r="7" customFormat="false" ht="30" hidden="false" customHeight="true" outlineLevel="0" collapsed="false">
      <c r="A7" s="21" t="n">
        <v>3</v>
      </c>
      <c r="B7" s="17" t="s">
        <v>73</v>
      </c>
      <c r="C7" s="21" t="s">
        <v>52</v>
      </c>
      <c r="D7" s="16" t="s">
        <v>74</v>
      </c>
      <c r="E7" s="92" t="n">
        <v>39</v>
      </c>
      <c r="F7" s="21" t="s">
        <v>1017</v>
      </c>
      <c r="G7" s="16" t="s">
        <v>1006</v>
      </c>
      <c r="H7" s="93"/>
      <c r="I7" s="92" t="str">
        <f aca="false">IF(H7="","",H7-E7)</f>
        <v/>
      </c>
      <c r="J7" s="45" t="str">
        <f aca="false">IFERROR(IF(H7="","",(H7-E7)/E7),"")</f>
        <v/>
      </c>
      <c r="K7" s="94"/>
      <c r="L7" s="21" t="s">
        <v>78</v>
      </c>
      <c r="M7" s="94"/>
      <c r="N7" s="16" t="s">
        <v>1018</v>
      </c>
      <c r="O7" s="95"/>
    </row>
    <row r="8" customFormat="false" ht="30" hidden="false" customHeight="true" outlineLevel="0" collapsed="false">
      <c r="A8" s="21" t="n">
        <v>4</v>
      </c>
      <c r="B8" s="17" t="s">
        <v>79</v>
      </c>
      <c r="C8" s="21" t="s">
        <v>51</v>
      </c>
      <c r="D8" s="16" t="s">
        <v>68</v>
      </c>
      <c r="E8" s="92" t="n">
        <v>0</v>
      </c>
      <c r="F8" s="21" t="s">
        <v>1019</v>
      </c>
      <c r="G8" s="16" t="s">
        <v>1020</v>
      </c>
      <c r="H8" s="93"/>
      <c r="I8" s="92" t="str">
        <f aca="false">IF(H8="","",H8-E8)</f>
        <v/>
      </c>
      <c r="J8" s="45" t="str">
        <f aca="false">IFERROR(IF(H8="","",(H8-E8)/E8),"")</f>
        <v/>
      </c>
      <c r="K8" s="94"/>
      <c r="L8" s="21" t="s">
        <v>72</v>
      </c>
      <c r="M8" s="94"/>
      <c r="N8" s="16" t="s">
        <v>1021</v>
      </c>
      <c r="O8" s="95"/>
    </row>
    <row r="9" customFormat="false" ht="30" hidden="false" customHeight="true" outlineLevel="0" collapsed="false">
      <c r="A9" s="21" t="n">
        <v>5</v>
      </c>
      <c r="B9" s="17" t="s">
        <v>1022</v>
      </c>
      <c r="C9" s="21" t="s">
        <v>53</v>
      </c>
      <c r="D9" s="16" t="s">
        <v>1023</v>
      </c>
      <c r="E9" s="92" t="n">
        <v>0.28</v>
      </c>
      <c r="F9" s="21" t="s">
        <v>1024</v>
      </c>
      <c r="G9" s="16" t="s">
        <v>1025</v>
      </c>
      <c r="H9" s="93"/>
      <c r="I9" s="92" t="str">
        <f aca="false">IF(H9="","",H9-E9)</f>
        <v/>
      </c>
      <c r="J9" s="45" t="str">
        <f aca="false">IFERROR(IF(H9="","",(H9-E9)/E9),"")</f>
        <v/>
      </c>
      <c r="K9" s="94"/>
      <c r="L9" s="21" t="s">
        <v>88</v>
      </c>
      <c r="M9" s="94"/>
      <c r="N9" s="16" t="s">
        <v>1026</v>
      </c>
      <c r="O9" s="95"/>
    </row>
    <row r="10" customFormat="false" ht="30" hidden="false" customHeight="true" outlineLevel="0" collapsed="false">
      <c r="A10" s="21" t="n">
        <v>6</v>
      </c>
      <c r="B10" s="17" t="s">
        <v>1027</v>
      </c>
      <c r="C10" s="21" t="s">
        <v>53</v>
      </c>
      <c r="D10" s="16" t="s">
        <v>293</v>
      </c>
      <c r="E10" s="92" t="n">
        <v>0</v>
      </c>
      <c r="F10" s="21" t="s">
        <v>1028</v>
      </c>
      <c r="G10" s="16" t="s">
        <v>1029</v>
      </c>
      <c r="H10" s="93"/>
      <c r="I10" s="92" t="str">
        <f aca="false">IF(H10="","",H10-E10)</f>
        <v/>
      </c>
      <c r="J10" s="45" t="str">
        <f aca="false">IFERROR(IF(H10="","",(H10-E10)/E10),"")</f>
        <v/>
      </c>
      <c r="K10" s="94"/>
      <c r="L10" s="21" t="s">
        <v>78</v>
      </c>
      <c r="M10" s="94"/>
      <c r="N10" s="16" t="s">
        <v>1030</v>
      </c>
      <c r="O10" s="95"/>
    </row>
    <row r="11" customFormat="false" ht="30" hidden="false" customHeight="true" outlineLevel="0" collapsed="false">
      <c r="A11" s="21" t="n">
        <v>7</v>
      </c>
      <c r="B11" s="17" t="s">
        <v>94</v>
      </c>
      <c r="C11" s="21" t="s">
        <v>95</v>
      </c>
      <c r="D11" s="16" t="s">
        <v>1031</v>
      </c>
      <c r="E11" s="92" t="n">
        <v>0</v>
      </c>
      <c r="F11" s="21" t="s">
        <v>1032</v>
      </c>
      <c r="G11" s="16" t="s">
        <v>1033</v>
      </c>
      <c r="H11" s="93"/>
      <c r="I11" s="92" t="str">
        <f aca="false">IF(H11="","",H11-E11)</f>
        <v/>
      </c>
      <c r="J11" s="45" t="str">
        <f aca="false">IFERROR(IF(H11="","",(H11-E11)/E11),"")</f>
        <v/>
      </c>
      <c r="K11" s="94"/>
      <c r="L11" s="21" t="s">
        <v>88</v>
      </c>
      <c r="M11" s="94"/>
      <c r="N11" s="16" t="s">
        <v>1034</v>
      </c>
      <c r="O11" s="95"/>
    </row>
    <row r="12" customFormat="false" ht="30" hidden="false" customHeight="true" outlineLevel="0" collapsed="false">
      <c r="A12" s="21" t="n">
        <v>8</v>
      </c>
      <c r="B12" s="17" t="s">
        <v>100</v>
      </c>
      <c r="C12" s="21" t="s">
        <v>52</v>
      </c>
      <c r="D12" s="16" t="s">
        <v>62</v>
      </c>
      <c r="E12" s="92" t="n">
        <v>31</v>
      </c>
      <c r="F12" s="21" t="s">
        <v>1035</v>
      </c>
      <c r="G12" s="16" t="s">
        <v>1036</v>
      </c>
      <c r="H12" s="93"/>
      <c r="I12" s="92" t="str">
        <f aca="false">IF(H12="","",H12-E12)</f>
        <v/>
      </c>
      <c r="J12" s="45" t="str">
        <f aca="false">IFERROR(IF(H12="","",(H12-E12)/E12),"")</f>
        <v/>
      </c>
      <c r="K12" s="94"/>
      <c r="L12" s="21" t="s">
        <v>78</v>
      </c>
      <c r="M12" s="94"/>
      <c r="N12" s="16" t="s">
        <v>1037</v>
      </c>
      <c r="O12" s="95"/>
    </row>
    <row r="13" customFormat="false" ht="30" hidden="false" customHeight="true" outlineLevel="0" collapsed="false">
      <c r="A13" s="21" t="n">
        <v>9</v>
      </c>
      <c r="B13" s="17" t="s">
        <v>164</v>
      </c>
      <c r="C13" s="21" t="s">
        <v>53</v>
      </c>
      <c r="D13" s="16" t="s">
        <v>161</v>
      </c>
      <c r="E13" s="92" t="n">
        <v>0</v>
      </c>
      <c r="F13" s="21" t="s">
        <v>1038</v>
      </c>
      <c r="G13" s="16" t="s">
        <v>1039</v>
      </c>
      <c r="H13" s="93"/>
      <c r="I13" s="92" t="str">
        <f aca="false">IF(H13="","",H13-E13)</f>
        <v/>
      </c>
      <c r="J13" s="45" t="str">
        <f aca="false">IFERROR(IF(H13="","",(H13-E13)/E13),"")</f>
        <v/>
      </c>
      <c r="K13" s="94"/>
      <c r="L13" s="21" t="s">
        <v>78</v>
      </c>
      <c r="M13" s="94"/>
      <c r="N13" s="16" t="s">
        <v>1040</v>
      </c>
      <c r="O13" s="95"/>
    </row>
    <row r="14" customFormat="false" ht="30" hidden="false" customHeight="true" outlineLevel="0" collapsed="false">
      <c r="A14" s="21" t="n">
        <v>10</v>
      </c>
      <c r="B14" s="17" t="s">
        <v>109</v>
      </c>
      <c r="C14" s="21" t="s">
        <v>52</v>
      </c>
      <c r="D14" s="16" t="s">
        <v>110</v>
      </c>
      <c r="E14" s="92" t="n">
        <v>0</v>
      </c>
      <c r="F14" s="21" t="s">
        <v>1041</v>
      </c>
      <c r="G14" s="16" t="s">
        <v>1042</v>
      </c>
      <c r="H14" s="93"/>
      <c r="I14" s="92" t="str">
        <f aca="false">IF(H14="","",H14-E14)</f>
        <v/>
      </c>
      <c r="J14" s="45" t="str">
        <f aca="false">IFERROR(IF(H14="","",(H14-E14)/E14),"")</f>
        <v/>
      </c>
      <c r="K14" s="94"/>
      <c r="L14" s="21" t="s">
        <v>66</v>
      </c>
      <c r="M14" s="94"/>
      <c r="N14" s="16" t="s">
        <v>1043</v>
      </c>
      <c r="O14" s="95"/>
    </row>
    <row r="15" customFormat="false" ht="30" hidden="false" customHeight="true" outlineLevel="0" collapsed="false">
      <c r="A15" s="21" t="n">
        <v>11</v>
      </c>
      <c r="B15" s="17" t="s">
        <v>113</v>
      </c>
      <c r="C15" s="21" t="s">
        <v>52</v>
      </c>
      <c r="D15" s="16" t="s">
        <v>1004</v>
      </c>
      <c r="E15" s="92" t="n">
        <v>6</v>
      </c>
      <c r="F15" s="21" t="s">
        <v>1032</v>
      </c>
      <c r="G15" s="16" t="s">
        <v>1044</v>
      </c>
      <c r="H15" s="93"/>
      <c r="I15" s="92" t="str">
        <f aca="false">IF(H15="","",H15-E15)</f>
        <v/>
      </c>
      <c r="J15" s="45" t="str">
        <f aca="false">IFERROR(IF(H15="","",(H15-E15)/E15),"")</f>
        <v/>
      </c>
      <c r="K15" s="94"/>
      <c r="L15" s="21" t="s">
        <v>78</v>
      </c>
      <c r="M15" s="94"/>
      <c r="N15" s="16" t="s">
        <v>1045</v>
      </c>
      <c r="O15" s="95"/>
    </row>
    <row r="16" customFormat="false" ht="30" hidden="false" customHeight="true" outlineLevel="0" collapsed="false">
      <c r="A16" s="21" t="n">
        <v>12</v>
      </c>
      <c r="B16" s="17" t="s">
        <v>118</v>
      </c>
      <c r="C16" s="21" t="s">
        <v>52</v>
      </c>
      <c r="D16" s="16" t="s">
        <v>1046</v>
      </c>
      <c r="E16" s="92" t="n">
        <v>0</v>
      </c>
      <c r="F16" s="21" t="s">
        <v>1047</v>
      </c>
      <c r="G16" s="16" t="s">
        <v>1048</v>
      </c>
      <c r="H16" s="93"/>
      <c r="I16" s="92" t="str">
        <f aca="false">IF(H16="","",H16-E16)</f>
        <v/>
      </c>
      <c r="J16" s="45" t="str">
        <f aca="false">IFERROR(IF(H16="","",(H16-E16)/E16),"")</f>
        <v/>
      </c>
      <c r="K16" s="94"/>
      <c r="L16" s="21" t="s">
        <v>72</v>
      </c>
      <c r="M16" s="94"/>
      <c r="N16" s="16" t="s">
        <v>1049</v>
      </c>
      <c r="O16" s="95"/>
    </row>
    <row r="18" customFormat="false" ht="33.75" hidden="false" customHeight="true" outlineLevel="0" collapsed="false">
      <c r="B18" s="3" t="s">
        <v>1050</v>
      </c>
      <c r="C18" s="96" t="s">
        <v>1051</v>
      </c>
      <c r="D18" s="96"/>
      <c r="E18" s="96"/>
      <c r="F18" s="96"/>
      <c r="G18" s="96"/>
      <c r="H18" s="96"/>
      <c r="I18" s="96"/>
      <c r="J18" s="96"/>
      <c r="K18" s="96"/>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1052</v>
      </c>
      <c r="B2" s="2"/>
      <c r="C2" s="2"/>
      <c r="D2" s="2"/>
      <c r="E2" s="2"/>
      <c r="F2" s="2"/>
      <c r="G2" s="2"/>
      <c r="H2" s="2"/>
      <c r="I2" s="2"/>
      <c r="J2" s="2"/>
      <c r="K2" s="2"/>
    </row>
    <row r="3" customFormat="false" ht="31.5" hidden="false" customHeight="true" outlineLevel="0" collapsed="false">
      <c r="A3" s="15" t="s">
        <v>49</v>
      </c>
      <c r="B3" s="15" t="s">
        <v>50</v>
      </c>
      <c r="C3" s="15" t="s">
        <v>1001</v>
      </c>
      <c r="D3" s="15" t="s">
        <v>994</v>
      </c>
      <c r="E3" s="15" t="s">
        <v>1053</v>
      </c>
      <c r="F3" s="15" t="s">
        <v>1054</v>
      </c>
      <c r="G3" s="15" t="s">
        <v>1055</v>
      </c>
      <c r="H3" s="15" t="s">
        <v>1056</v>
      </c>
      <c r="I3" s="15" t="s">
        <v>997</v>
      </c>
      <c r="J3" s="15" t="s">
        <v>1057</v>
      </c>
      <c r="K3" s="15" t="s">
        <v>1058</v>
      </c>
    </row>
    <row r="4" customFormat="false" ht="27.75" hidden="false" customHeight="true" outlineLevel="0" collapsed="false">
      <c r="A4" s="97" t="n">
        <v>1</v>
      </c>
      <c r="B4" s="17" t="s">
        <v>61</v>
      </c>
      <c r="C4" s="98" t="s">
        <v>1013</v>
      </c>
      <c r="D4" s="99" t="n">
        <f aca="false">'الخطة التنفيذية'!E5</f>
        <v>1271</v>
      </c>
      <c r="E4" s="93"/>
      <c r="F4" s="93"/>
      <c r="G4" s="93"/>
      <c r="H4" s="93"/>
      <c r="I4" s="99"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97" t="n">
        <v>2</v>
      </c>
      <c r="B5" s="17" t="s">
        <v>67</v>
      </c>
      <c r="C5" s="98" t="s">
        <v>1016</v>
      </c>
      <c r="D5" s="99" t="n">
        <f aca="false">'الخطة التنفيذية'!E6</f>
        <v>25</v>
      </c>
      <c r="E5" s="93"/>
      <c r="F5" s="93"/>
      <c r="G5" s="93"/>
      <c r="H5" s="93"/>
      <c r="I5" s="99"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97" t="n">
        <v>3</v>
      </c>
      <c r="B6" s="17" t="s">
        <v>73</v>
      </c>
      <c r="C6" s="98" t="s">
        <v>1018</v>
      </c>
      <c r="D6" s="99" t="n">
        <f aca="false">'الخطة التنفيذية'!E7</f>
        <v>39</v>
      </c>
      <c r="E6" s="93"/>
      <c r="F6" s="93"/>
      <c r="G6" s="93"/>
      <c r="H6" s="93"/>
      <c r="I6" s="99"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97" t="n">
        <v>4</v>
      </c>
      <c r="B7" s="17" t="s">
        <v>79</v>
      </c>
      <c r="C7" s="98" t="s">
        <v>1021</v>
      </c>
      <c r="D7" s="99" t="n">
        <f aca="false">'الخطة التنفيذية'!E8</f>
        <v>0</v>
      </c>
      <c r="E7" s="93"/>
      <c r="F7" s="93"/>
      <c r="G7" s="93"/>
      <c r="H7" s="93"/>
      <c r="I7" s="99"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97" t="n">
        <v>5</v>
      </c>
      <c r="B8" s="17" t="s">
        <v>1022</v>
      </c>
      <c r="C8" s="98" t="s">
        <v>1026</v>
      </c>
      <c r="D8" s="99" t="n">
        <f aca="false">'الخطة التنفيذية'!E9</f>
        <v>0.28</v>
      </c>
      <c r="E8" s="93"/>
      <c r="F8" s="93"/>
      <c r="G8" s="93"/>
      <c r="H8" s="93"/>
      <c r="I8" s="99"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97" t="n">
        <v>6</v>
      </c>
      <c r="B9" s="17" t="s">
        <v>1027</v>
      </c>
      <c r="C9" s="98" t="s">
        <v>1030</v>
      </c>
      <c r="D9" s="99" t="n">
        <f aca="false">'الخطة التنفيذية'!E10</f>
        <v>0</v>
      </c>
      <c r="E9" s="93"/>
      <c r="F9" s="93"/>
      <c r="G9" s="93"/>
      <c r="H9" s="93"/>
      <c r="I9" s="99"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97" t="n">
        <v>7</v>
      </c>
      <c r="B10" s="17" t="s">
        <v>94</v>
      </c>
      <c r="C10" s="98" t="s">
        <v>1034</v>
      </c>
      <c r="D10" s="99" t="n">
        <f aca="false">'الخطة التنفيذية'!E11</f>
        <v>0</v>
      </c>
      <c r="E10" s="93"/>
      <c r="F10" s="93"/>
      <c r="G10" s="93"/>
      <c r="H10" s="93"/>
      <c r="I10" s="99"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97" t="n">
        <v>8</v>
      </c>
      <c r="B11" s="17" t="s">
        <v>100</v>
      </c>
      <c r="C11" s="98" t="s">
        <v>1037</v>
      </c>
      <c r="D11" s="99" t="n">
        <f aca="false">'الخطة التنفيذية'!E12</f>
        <v>31</v>
      </c>
      <c r="E11" s="93"/>
      <c r="F11" s="93"/>
      <c r="G11" s="93"/>
      <c r="H11" s="93"/>
      <c r="I11" s="99"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97" t="n">
        <v>9</v>
      </c>
      <c r="B12" s="17" t="s">
        <v>164</v>
      </c>
      <c r="C12" s="98" t="s">
        <v>1040</v>
      </c>
      <c r="D12" s="99" t="n">
        <f aca="false">'الخطة التنفيذية'!E13</f>
        <v>0</v>
      </c>
      <c r="E12" s="93"/>
      <c r="F12" s="93"/>
      <c r="G12" s="93"/>
      <c r="H12" s="93"/>
      <c r="I12" s="99"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97" t="n">
        <v>10</v>
      </c>
      <c r="B13" s="17" t="s">
        <v>109</v>
      </c>
      <c r="C13" s="98" t="s">
        <v>1043</v>
      </c>
      <c r="D13" s="99" t="n">
        <f aca="false">'الخطة التنفيذية'!E14</f>
        <v>0</v>
      </c>
      <c r="E13" s="93"/>
      <c r="F13" s="93"/>
      <c r="G13" s="93"/>
      <c r="H13" s="93"/>
      <c r="I13" s="99"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97" t="n">
        <v>11</v>
      </c>
      <c r="B14" s="17" t="s">
        <v>113</v>
      </c>
      <c r="C14" s="98" t="s">
        <v>1045</v>
      </c>
      <c r="D14" s="99" t="n">
        <f aca="false">'الخطة التنفيذية'!E15</f>
        <v>6</v>
      </c>
      <c r="E14" s="93"/>
      <c r="F14" s="93"/>
      <c r="G14" s="93"/>
      <c r="H14" s="93"/>
      <c r="I14" s="99"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97" t="n">
        <v>12</v>
      </c>
      <c r="B15" s="17" t="s">
        <v>118</v>
      </c>
      <c r="C15" s="98" t="s">
        <v>1049</v>
      </c>
      <c r="D15" s="99" t="n">
        <f aca="false">'الخطة التنفيذية'!E16</f>
        <v>0</v>
      </c>
      <c r="E15" s="93"/>
      <c r="F15" s="93"/>
      <c r="G15" s="93"/>
      <c r="H15" s="93"/>
      <c r="I15" s="99"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1059</v>
      </c>
      <c r="B1" s="1"/>
      <c r="C1" s="1"/>
      <c r="D1" s="1"/>
      <c r="E1" s="1"/>
      <c r="F1" s="1"/>
      <c r="G1" s="1"/>
      <c r="H1" s="1"/>
      <c r="I1" s="1"/>
      <c r="J1" s="1"/>
      <c r="K1" s="1"/>
      <c r="L1" s="1"/>
      <c r="M1" s="1"/>
      <c r="N1" s="1"/>
    </row>
    <row r="2" customFormat="false" ht="18" hidden="false" customHeight="true" outlineLevel="0" collapsed="false">
      <c r="A2" s="2" t="s">
        <v>1060</v>
      </c>
      <c r="B2" s="2"/>
      <c r="C2" s="2"/>
      <c r="D2" s="2"/>
      <c r="E2" s="2"/>
      <c r="F2" s="2"/>
      <c r="G2" s="2"/>
      <c r="H2" s="2"/>
      <c r="I2" s="2"/>
      <c r="J2" s="2"/>
      <c r="K2" s="2"/>
      <c r="L2" s="2"/>
      <c r="M2" s="2"/>
      <c r="N2" s="2"/>
    </row>
    <row r="3" customFormat="false" ht="31.5" hidden="false" customHeight="true" outlineLevel="0" collapsed="false">
      <c r="A3" s="15" t="s">
        <v>49</v>
      </c>
      <c r="B3" s="15" t="s">
        <v>1061</v>
      </c>
      <c r="C3" s="15" t="s">
        <v>50</v>
      </c>
      <c r="D3" s="15" t="s">
        <v>1062</v>
      </c>
      <c r="E3" s="15" t="s">
        <v>59</v>
      </c>
      <c r="F3" s="15" t="s">
        <v>1000</v>
      </c>
      <c r="G3" s="15" t="s">
        <v>1063</v>
      </c>
      <c r="H3" s="15" t="s">
        <v>1064</v>
      </c>
      <c r="I3" s="15" t="s">
        <v>1065</v>
      </c>
      <c r="J3" s="15" t="s">
        <v>60</v>
      </c>
      <c r="K3" s="15" t="s">
        <v>1066</v>
      </c>
      <c r="L3" s="15" t="s">
        <v>679</v>
      </c>
      <c r="M3" s="15" t="s">
        <v>383</v>
      </c>
      <c r="N3" s="15" t="s">
        <v>1067</v>
      </c>
    </row>
    <row r="4" customFormat="false" ht="30" hidden="false" customHeight="true" outlineLevel="0" collapsed="false">
      <c r="A4" s="89" t="s">
        <v>1002</v>
      </c>
      <c r="B4" s="90" t="s">
        <v>1068</v>
      </c>
      <c r="C4" s="89" t="s">
        <v>67</v>
      </c>
      <c r="D4" s="89" t="s">
        <v>53</v>
      </c>
      <c r="E4" s="89" t="s">
        <v>72</v>
      </c>
      <c r="F4" s="89" t="s">
        <v>1008</v>
      </c>
      <c r="G4" s="100" t="n">
        <v>46235</v>
      </c>
      <c r="H4" s="100" t="n">
        <v>46326</v>
      </c>
      <c r="I4" s="89" t="n">
        <f aca="false">IF(OR(G4="",H4=""),"",H4-G4)</f>
        <v>91</v>
      </c>
      <c r="J4" s="89" t="n">
        <v>1</v>
      </c>
      <c r="K4" s="89" t="s">
        <v>1069</v>
      </c>
      <c r="L4" s="90" t="s">
        <v>1070</v>
      </c>
      <c r="M4" s="89" t="s">
        <v>1010</v>
      </c>
      <c r="N4" s="101" t="n">
        <v>0</v>
      </c>
    </row>
    <row r="5" customFormat="false" ht="25.5" hidden="false" customHeight="true" outlineLevel="0" collapsed="false">
      <c r="A5" s="97" t="n">
        <v>1</v>
      </c>
      <c r="B5" s="94"/>
      <c r="C5" s="95"/>
      <c r="D5" s="95"/>
      <c r="E5" s="95"/>
      <c r="F5" s="95"/>
      <c r="G5" s="102"/>
      <c r="H5" s="102"/>
      <c r="I5" s="21" t="str">
        <f aca="false">IF(OR(G5="",H5=""),"",H5-G5)</f>
        <v/>
      </c>
      <c r="J5" s="95"/>
      <c r="K5" s="95"/>
      <c r="L5" s="94"/>
      <c r="M5" s="95"/>
      <c r="N5" s="103"/>
    </row>
    <row r="6" customFormat="false" ht="25.5" hidden="false" customHeight="true" outlineLevel="0" collapsed="false">
      <c r="A6" s="97" t="n">
        <v>2</v>
      </c>
      <c r="B6" s="94"/>
      <c r="C6" s="95"/>
      <c r="D6" s="95"/>
      <c r="E6" s="95"/>
      <c r="F6" s="95"/>
      <c r="G6" s="102"/>
      <c r="H6" s="102"/>
      <c r="I6" s="21" t="str">
        <f aca="false">IF(OR(G6="",H6=""),"",H6-G6)</f>
        <v/>
      </c>
      <c r="J6" s="95"/>
      <c r="K6" s="95"/>
      <c r="L6" s="94"/>
      <c r="M6" s="95"/>
      <c r="N6" s="103"/>
    </row>
    <row r="7" customFormat="false" ht="25.5" hidden="false" customHeight="true" outlineLevel="0" collapsed="false">
      <c r="A7" s="97" t="n">
        <v>3</v>
      </c>
      <c r="B7" s="94"/>
      <c r="C7" s="95"/>
      <c r="D7" s="95"/>
      <c r="E7" s="95"/>
      <c r="F7" s="95"/>
      <c r="G7" s="102"/>
      <c r="H7" s="102"/>
      <c r="I7" s="21" t="str">
        <f aca="false">IF(OR(G7="",H7=""),"",H7-G7)</f>
        <v/>
      </c>
      <c r="J7" s="95"/>
      <c r="K7" s="95"/>
      <c r="L7" s="94"/>
      <c r="M7" s="95"/>
      <c r="N7" s="103"/>
    </row>
    <row r="8" customFormat="false" ht="25.5" hidden="false" customHeight="true" outlineLevel="0" collapsed="false">
      <c r="A8" s="97" t="n">
        <v>4</v>
      </c>
      <c r="B8" s="94"/>
      <c r="C8" s="95"/>
      <c r="D8" s="95"/>
      <c r="E8" s="95"/>
      <c r="F8" s="95"/>
      <c r="G8" s="102"/>
      <c r="H8" s="102"/>
      <c r="I8" s="21" t="str">
        <f aca="false">IF(OR(G8="",H8=""),"",H8-G8)</f>
        <v/>
      </c>
      <c r="J8" s="95"/>
      <c r="K8" s="95"/>
      <c r="L8" s="94"/>
      <c r="M8" s="95"/>
      <c r="N8" s="103"/>
    </row>
    <row r="9" customFormat="false" ht="25.5" hidden="false" customHeight="true" outlineLevel="0" collapsed="false">
      <c r="A9" s="97" t="n">
        <v>5</v>
      </c>
      <c r="B9" s="94"/>
      <c r="C9" s="95"/>
      <c r="D9" s="95"/>
      <c r="E9" s="95"/>
      <c r="F9" s="95"/>
      <c r="G9" s="102"/>
      <c r="H9" s="102"/>
      <c r="I9" s="21" t="str">
        <f aca="false">IF(OR(G9="",H9=""),"",H9-G9)</f>
        <v/>
      </c>
      <c r="J9" s="95"/>
      <c r="K9" s="95"/>
      <c r="L9" s="94"/>
      <c r="M9" s="95"/>
      <c r="N9" s="103"/>
    </row>
    <row r="10" customFormat="false" ht="25.5" hidden="false" customHeight="true" outlineLevel="0" collapsed="false">
      <c r="A10" s="97" t="n">
        <v>6</v>
      </c>
      <c r="B10" s="94"/>
      <c r="C10" s="95"/>
      <c r="D10" s="95"/>
      <c r="E10" s="95"/>
      <c r="F10" s="95"/>
      <c r="G10" s="102"/>
      <c r="H10" s="102"/>
      <c r="I10" s="21" t="str">
        <f aca="false">IF(OR(G10="",H10=""),"",H10-G10)</f>
        <v/>
      </c>
      <c r="J10" s="95"/>
      <c r="K10" s="95"/>
      <c r="L10" s="94"/>
      <c r="M10" s="95"/>
      <c r="N10" s="103"/>
    </row>
    <row r="11" customFormat="false" ht="25.5" hidden="false" customHeight="true" outlineLevel="0" collapsed="false">
      <c r="A11" s="97" t="n">
        <v>7</v>
      </c>
      <c r="B11" s="94"/>
      <c r="C11" s="95"/>
      <c r="D11" s="95"/>
      <c r="E11" s="95"/>
      <c r="F11" s="95"/>
      <c r="G11" s="102"/>
      <c r="H11" s="102"/>
      <c r="I11" s="21" t="str">
        <f aca="false">IF(OR(G11="",H11=""),"",H11-G11)</f>
        <v/>
      </c>
      <c r="J11" s="95"/>
      <c r="K11" s="95"/>
      <c r="L11" s="94"/>
      <c r="M11" s="95"/>
      <c r="N11" s="103"/>
    </row>
    <row r="12" customFormat="false" ht="25.5" hidden="false" customHeight="true" outlineLevel="0" collapsed="false">
      <c r="A12" s="97" t="n">
        <v>8</v>
      </c>
      <c r="B12" s="94"/>
      <c r="C12" s="95"/>
      <c r="D12" s="95"/>
      <c r="E12" s="95"/>
      <c r="F12" s="95"/>
      <c r="G12" s="102"/>
      <c r="H12" s="102"/>
      <c r="I12" s="21" t="str">
        <f aca="false">IF(OR(G12="",H12=""),"",H12-G12)</f>
        <v/>
      </c>
      <c r="J12" s="95"/>
      <c r="K12" s="95"/>
      <c r="L12" s="94"/>
      <c r="M12" s="95"/>
      <c r="N12" s="103"/>
    </row>
    <row r="13" customFormat="false" ht="25.5" hidden="false" customHeight="true" outlineLevel="0" collapsed="false">
      <c r="A13" s="97" t="n">
        <v>9</v>
      </c>
      <c r="B13" s="94"/>
      <c r="C13" s="95"/>
      <c r="D13" s="95"/>
      <c r="E13" s="95"/>
      <c r="F13" s="95"/>
      <c r="G13" s="102"/>
      <c r="H13" s="102"/>
      <c r="I13" s="21" t="str">
        <f aca="false">IF(OR(G13="",H13=""),"",H13-G13)</f>
        <v/>
      </c>
      <c r="J13" s="95"/>
      <c r="K13" s="95"/>
      <c r="L13" s="94"/>
      <c r="M13" s="95"/>
      <c r="N13" s="103"/>
    </row>
    <row r="14" customFormat="false" ht="25.5" hidden="false" customHeight="true" outlineLevel="0" collapsed="false">
      <c r="A14" s="97" t="n">
        <v>10</v>
      </c>
      <c r="B14" s="94"/>
      <c r="C14" s="95"/>
      <c r="D14" s="95"/>
      <c r="E14" s="95"/>
      <c r="F14" s="95"/>
      <c r="G14" s="102"/>
      <c r="H14" s="102"/>
      <c r="I14" s="21" t="str">
        <f aca="false">IF(OR(G14="",H14=""),"",H14-G14)</f>
        <v/>
      </c>
      <c r="J14" s="95"/>
      <c r="K14" s="95"/>
      <c r="L14" s="94"/>
      <c r="M14" s="95"/>
      <c r="N14" s="103"/>
    </row>
    <row r="15" customFormat="false" ht="25.5" hidden="false" customHeight="true" outlineLevel="0" collapsed="false">
      <c r="A15" s="97" t="n">
        <v>11</v>
      </c>
      <c r="B15" s="94"/>
      <c r="C15" s="95"/>
      <c r="D15" s="95"/>
      <c r="E15" s="95"/>
      <c r="F15" s="95"/>
      <c r="G15" s="102"/>
      <c r="H15" s="102"/>
      <c r="I15" s="21" t="str">
        <f aca="false">IF(OR(G15="",H15=""),"",H15-G15)</f>
        <v/>
      </c>
      <c r="J15" s="95"/>
      <c r="K15" s="95"/>
      <c r="L15" s="94"/>
      <c r="M15" s="95"/>
      <c r="N15" s="103"/>
    </row>
    <row r="16" customFormat="false" ht="25.5" hidden="false" customHeight="true" outlineLevel="0" collapsed="false">
      <c r="A16" s="97" t="n">
        <v>12</v>
      </c>
      <c r="B16" s="94"/>
      <c r="C16" s="95"/>
      <c r="D16" s="95"/>
      <c r="E16" s="95"/>
      <c r="F16" s="95"/>
      <c r="G16" s="102"/>
      <c r="H16" s="102"/>
      <c r="I16" s="21" t="str">
        <f aca="false">IF(OR(G16="",H16=""),"",H16-G16)</f>
        <v/>
      </c>
      <c r="J16" s="95"/>
      <c r="K16" s="95"/>
      <c r="L16" s="94"/>
      <c r="M16" s="95"/>
      <c r="N16" s="103"/>
    </row>
    <row r="17" customFormat="false" ht="25.5" hidden="false" customHeight="true" outlineLevel="0" collapsed="false">
      <c r="A17" s="97" t="n">
        <v>13</v>
      </c>
      <c r="B17" s="94"/>
      <c r="C17" s="95"/>
      <c r="D17" s="95"/>
      <c r="E17" s="95"/>
      <c r="F17" s="95"/>
      <c r="G17" s="102"/>
      <c r="H17" s="102"/>
      <c r="I17" s="21" t="str">
        <f aca="false">IF(OR(G17="",H17=""),"",H17-G17)</f>
        <v/>
      </c>
      <c r="J17" s="95"/>
      <c r="K17" s="95"/>
      <c r="L17" s="94"/>
      <c r="M17" s="95"/>
      <c r="N17" s="103"/>
    </row>
    <row r="18" customFormat="false" ht="25.5" hidden="false" customHeight="true" outlineLevel="0" collapsed="false">
      <c r="A18" s="97" t="n">
        <v>14</v>
      </c>
      <c r="B18" s="94"/>
      <c r="C18" s="95"/>
      <c r="D18" s="95"/>
      <c r="E18" s="95"/>
      <c r="F18" s="95"/>
      <c r="G18" s="102"/>
      <c r="H18" s="102"/>
      <c r="I18" s="21" t="str">
        <f aca="false">IF(OR(G18="",H18=""),"",H18-G18)</f>
        <v/>
      </c>
      <c r="J18" s="95"/>
      <c r="K18" s="95"/>
      <c r="L18" s="94"/>
      <c r="M18" s="95"/>
      <c r="N18" s="103"/>
    </row>
    <row r="19" customFormat="false" ht="25.5" hidden="false" customHeight="true" outlineLevel="0" collapsed="false">
      <c r="A19" s="97" t="n">
        <v>15</v>
      </c>
      <c r="B19" s="94"/>
      <c r="C19" s="95"/>
      <c r="D19" s="95"/>
      <c r="E19" s="95"/>
      <c r="F19" s="95"/>
      <c r="G19" s="102"/>
      <c r="H19" s="102"/>
      <c r="I19" s="21" t="str">
        <f aca="false">IF(OR(G19="",H19=""),"",H19-G19)</f>
        <v/>
      </c>
      <c r="J19" s="95"/>
      <c r="K19" s="95"/>
      <c r="L19" s="94"/>
      <c r="M19" s="95"/>
      <c r="N19" s="103"/>
    </row>
    <row r="20" customFormat="false" ht="25.5" hidden="false" customHeight="true" outlineLevel="0" collapsed="false">
      <c r="A20" s="97" t="n">
        <v>16</v>
      </c>
      <c r="B20" s="94"/>
      <c r="C20" s="95"/>
      <c r="D20" s="95"/>
      <c r="E20" s="95"/>
      <c r="F20" s="95"/>
      <c r="G20" s="102"/>
      <c r="H20" s="102"/>
      <c r="I20" s="21" t="str">
        <f aca="false">IF(OR(G20="",H20=""),"",H20-G20)</f>
        <v/>
      </c>
      <c r="J20" s="95"/>
      <c r="K20" s="95"/>
      <c r="L20" s="94"/>
      <c r="M20" s="95"/>
      <c r="N20" s="103"/>
    </row>
    <row r="21" customFormat="false" ht="25.5" hidden="false" customHeight="true" outlineLevel="0" collapsed="false">
      <c r="A21" s="97" t="n">
        <v>17</v>
      </c>
      <c r="B21" s="94"/>
      <c r="C21" s="95"/>
      <c r="D21" s="95"/>
      <c r="E21" s="95"/>
      <c r="F21" s="95"/>
      <c r="G21" s="102"/>
      <c r="H21" s="102"/>
      <c r="I21" s="21" t="str">
        <f aca="false">IF(OR(G21="",H21=""),"",H21-G21)</f>
        <v/>
      </c>
      <c r="J21" s="95"/>
      <c r="K21" s="95"/>
      <c r="L21" s="94"/>
      <c r="M21" s="95"/>
      <c r="N21" s="103"/>
    </row>
    <row r="22" customFormat="false" ht="25.5" hidden="false" customHeight="true" outlineLevel="0" collapsed="false">
      <c r="A22" s="97" t="n">
        <v>18</v>
      </c>
      <c r="B22" s="94"/>
      <c r="C22" s="95"/>
      <c r="D22" s="95"/>
      <c r="E22" s="95"/>
      <c r="F22" s="95"/>
      <c r="G22" s="102"/>
      <c r="H22" s="102"/>
      <c r="I22" s="21" t="str">
        <f aca="false">IF(OR(G22="",H22=""),"",H22-G22)</f>
        <v/>
      </c>
      <c r="J22" s="95"/>
      <c r="K22" s="95"/>
      <c r="L22" s="94"/>
      <c r="M22" s="95"/>
      <c r="N22" s="103"/>
    </row>
    <row r="23" customFormat="false" ht="25.5" hidden="false" customHeight="true" outlineLevel="0" collapsed="false">
      <c r="A23" s="97" t="n">
        <v>19</v>
      </c>
      <c r="B23" s="94"/>
      <c r="C23" s="95"/>
      <c r="D23" s="95"/>
      <c r="E23" s="95"/>
      <c r="F23" s="95"/>
      <c r="G23" s="102"/>
      <c r="H23" s="102"/>
      <c r="I23" s="21" t="str">
        <f aca="false">IF(OR(G23="",H23=""),"",H23-G23)</f>
        <v/>
      </c>
      <c r="J23" s="95"/>
      <c r="K23" s="95"/>
      <c r="L23" s="94"/>
      <c r="M23" s="95"/>
      <c r="N23" s="103"/>
    </row>
    <row r="24" customFormat="false" ht="25.5" hidden="false" customHeight="true" outlineLevel="0" collapsed="false">
      <c r="A24" s="97" t="n">
        <v>20</v>
      </c>
      <c r="B24" s="94"/>
      <c r="C24" s="95"/>
      <c r="D24" s="95"/>
      <c r="E24" s="95"/>
      <c r="F24" s="95"/>
      <c r="G24" s="102"/>
      <c r="H24" s="102"/>
      <c r="I24" s="21" t="str">
        <f aca="false">IF(OR(G24="",H24=""),"",H24-G24)</f>
        <v/>
      </c>
      <c r="J24" s="95"/>
      <c r="K24" s="95"/>
      <c r="L24" s="94"/>
      <c r="M24" s="95"/>
      <c r="N24" s="103"/>
    </row>
    <row r="25" customFormat="false" ht="25.5" hidden="false" customHeight="true" outlineLevel="0" collapsed="false">
      <c r="A25" s="97" t="n">
        <v>21</v>
      </c>
      <c r="B25" s="94"/>
      <c r="C25" s="95"/>
      <c r="D25" s="95"/>
      <c r="E25" s="95"/>
      <c r="F25" s="95"/>
      <c r="G25" s="102"/>
      <c r="H25" s="102"/>
      <c r="I25" s="21" t="str">
        <f aca="false">IF(OR(G25="",H25=""),"",H25-G25)</f>
        <v/>
      </c>
      <c r="J25" s="95"/>
      <c r="K25" s="95"/>
      <c r="L25" s="94"/>
      <c r="M25" s="95"/>
      <c r="N25" s="103"/>
    </row>
    <row r="26" customFormat="false" ht="25.5" hidden="false" customHeight="true" outlineLevel="0" collapsed="false">
      <c r="A26" s="97" t="n">
        <v>22</v>
      </c>
      <c r="B26" s="94"/>
      <c r="C26" s="95"/>
      <c r="D26" s="95"/>
      <c r="E26" s="95"/>
      <c r="F26" s="95"/>
      <c r="G26" s="102"/>
      <c r="H26" s="102"/>
      <c r="I26" s="21" t="str">
        <f aca="false">IF(OR(G26="",H26=""),"",H26-G26)</f>
        <v/>
      </c>
      <c r="J26" s="95"/>
      <c r="K26" s="95"/>
      <c r="L26" s="94"/>
      <c r="M26" s="95"/>
      <c r="N26" s="103"/>
    </row>
    <row r="27" customFormat="false" ht="25.5" hidden="false" customHeight="true" outlineLevel="0" collapsed="false">
      <c r="A27" s="97" t="n">
        <v>23</v>
      </c>
      <c r="B27" s="94"/>
      <c r="C27" s="95"/>
      <c r="D27" s="95"/>
      <c r="E27" s="95"/>
      <c r="F27" s="95"/>
      <c r="G27" s="102"/>
      <c r="H27" s="102"/>
      <c r="I27" s="21" t="str">
        <f aca="false">IF(OR(G27="",H27=""),"",H27-G27)</f>
        <v/>
      </c>
      <c r="J27" s="95"/>
      <c r="K27" s="95"/>
      <c r="L27" s="94"/>
      <c r="M27" s="95"/>
      <c r="N27" s="103"/>
    </row>
    <row r="28" customFormat="false" ht="25.5" hidden="false" customHeight="true" outlineLevel="0" collapsed="false">
      <c r="A28" s="97" t="n">
        <v>24</v>
      </c>
      <c r="B28" s="94"/>
      <c r="C28" s="95"/>
      <c r="D28" s="95"/>
      <c r="E28" s="95"/>
      <c r="F28" s="95"/>
      <c r="G28" s="102"/>
      <c r="H28" s="102"/>
      <c r="I28" s="21" t="str">
        <f aca="false">IF(OR(G28="",H28=""),"",H28-G28)</f>
        <v/>
      </c>
      <c r="J28" s="95"/>
      <c r="K28" s="95"/>
      <c r="L28" s="94"/>
      <c r="M28" s="95"/>
      <c r="N28" s="103"/>
    </row>
    <row r="30" customFormat="false" ht="15" hidden="false" customHeight="false" outlineLevel="0" collapsed="false">
      <c r="B30" s="24" t="s">
        <v>1071</v>
      </c>
      <c r="M30" s="21" t="str">
        <f aca="false">COUNTA(B5:B28)&amp;" مبادرة"</f>
        <v>0 مبادرة</v>
      </c>
      <c r="N30" s="5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1072</v>
      </c>
      <c r="B1" s="1"/>
      <c r="C1" s="1"/>
      <c r="D1" s="1"/>
      <c r="E1" s="1"/>
      <c r="F1" s="1"/>
      <c r="G1" s="1"/>
      <c r="H1" s="1"/>
      <c r="I1" s="1"/>
      <c r="J1" s="1"/>
      <c r="K1" s="1"/>
      <c r="L1" s="1"/>
      <c r="M1" s="1"/>
      <c r="N1" s="1"/>
      <c r="O1" s="1"/>
    </row>
    <row r="2" customFormat="false" ht="18" hidden="false" customHeight="true" outlineLevel="0" collapsed="false">
      <c r="A2" s="2" t="s">
        <v>1073</v>
      </c>
      <c r="B2" s="2"/>
      <c r="C2" s="2"/>
      <c r="D2" s="2"/>
      <c r="E2" s="2"/>
      <c r="F2" s="2"/>
      <c r="G2" s="2"/>
      <c r="H2" s="2"/>
      <c r="I2" s="2"/>
      <c r="J2" s="2"/>
      <c r="K2" s="2"/>
      <c r="L2" s="2"/>
      <c r="M2" s="2"/>
      <c r="N2" s="2"/>
      <c r="O2" s="2"/>
    </row>
    <row r="3" customFormat="false" ht="31.5" hidden="false" customHeight="true" outlineLevel="0" collapsed="false">
      <c r="A3" s="15" t="s">
        <v>1074</v>
      </c>
      <c r="B3" s="15" t="s">
        <v>858</v>
      </c>
      <c r="C3" s="15" t="s">
        <v>1075</v>
      </c>
      <c r="D3" s="15" t="s">
        <v>1076</v>
      </c>
      <c r="E3" s="15" t="s">
        <v>1077</v>
      </c>
      <c r="F3" s="15" t="s">
        <v>1078</v>
      </c>
      <c r="G3" s="15" t="s">
        <v>1079</v>
      </c>
      <c r="H3" s="15" t="s">
        <v>1080</v>
      </c>
      <c r="I3" s="15" t="s">
        <v>1081</v>
      </c>
      <c r="J3" s="15" t="s">
        <v>1082</v>
      </c>
      <c r="K3" s="15" t="s">
        <v>860</v>
      </c>
      <c r="L3" s="15" t="s">
        <v>1083</v>
      </c>
      <c r="M3" s="15" t="s">
        <v>1084</v>
      </c>
      <c r="N3" s="15" t="s">
        <v>1085</v>
      </c>
      <c r="O3" s="15" t="s">
        <v>1086</v>
      </c>
    </row>
    <row r="4" customFormat="false" ht="15" hidden="false" customHeight="false" outlineLevel="0" collapsed="false">
      <c r="A4" s="21" t="s">
        <v>1087</v>
      </c>
      <c r="B4" s="16" t="s">
        <v>1088</v>
      </c>
      <c r="C4" s="21" t="s">
        <v>1089</v>
      </c>
      <c r="D4" s="21" t="s">
        <v>868</v>
      </c>
      <c r="E4" s="21" t="n">
        <v>181</v>
      </c>
      <c r="F4" s="28" t="n">
        <v>49590690</v>
      </c>
      <c r="G4" s="28" t="n">
        <f aca="false">F4*365/E4</f>
        <v>100003325.138122</v>
      </c>
      <c r="H4" s="28" t="n">
        <v>766648</v>
      </c>
      <c r="I4" s="28" t="n">
        <v>23493282</v>
      </c>
      <c r="J4" s="92" t="n">
        <v>64.69</v>
      </c>
      <c r="K4" s="57" t="n">
        <v>-0.223</v>
      </c>
      <c r="L4" s="45" t="n">
        <v>0.006</v>
      </c>
      <c r="M4" s="45" t="n">
        <v>0.53</v>
      </c>
      <c r="N4" s="45" t="n">
        <v>0.281</v>
      </c>
      <c r="O4" s="21" t="s">
        <v>1090</v>
      </c>
    </row>
    <row r="5" customFormat="false" ht="15" hidden="false" customHeight="false" outlineLevel="0" collapsed="false">
      <c r="A5" s="21" t="s">
        <v>1091</v>
      </c>
      <c r="B5" s="16" t="s">
        <v>926</v>
      </c>
      <c r="C5" s="21" t="s">
        <v>1089</v>
      </c>
      <c r="D5" s="21" t="s">
        <v>862</v>
      </c>
      <c r="E5" s="21" t="n">
        <v>91</v>
      </c>
      <c r="F5" s="28" t="n">
        <v>20001382</v>
      </c>
      <c r="G5" s="28" t="n">
        <f aca="false">F5*365/E5</f>
        <v>80225323.4065934</v>
      </c>
      <c r="H5" s="28" t="n">
        <v>324068</v>
      </c>
      <c r="I5" s="28" t="n">
        <v>8841940</v>
      </c>
      <c r="J5" s="92" t="n">
        <v>61.72</v>
      </c>
      <c r="K5" s="104" t="n">
        <v>0</v>
      </c>
      <c r="L5" s="45" t="n">
        <v>0</v>
      </c>
      <c r="M5" s="45" t="n">
        <v>0.364</v>
      </c>
      <c r="N5" s="45" t="n">
        <v>0</v>
      </c>
      <c r="O5" s="21" t="s">
        <v>1092</v>
      </c>
    </row>
    <row r="6" customFormat="false" ht="15" hidden="false" customHeight="false" outlineLevel="0" collapsed="false">
      <c r="A6" s="21" t="s">
        <v>1093</v>
      </c>
      <c r="B6" s="16" t="s">
        <v>927</v>
      </c>
      <c r="C6" s="21" t="s">
        <v>1094</v>
      </c>
      <c r="D6" s="21" t="s">
        <v>868</v>
      </c>
      <c r="E6" s="21" t="n">
        <v>91</v>
      </c>
      <c r="F6" s="28" t="n">
        <v>15598002</v>
      </c>
      <c r="G6" s="28" t="n">
        <f aca="false">F6*365/E6</f>
        <v>62563414.6153846</v>
      </c>
      <c r="H6" s="28" t="n">
        <v>194466</v>
      </c>
      <c r="I6" s="28" t="n">
        <v>7467484</v>
      </c>
      <c r="J6" s="92" t="n">
        <v>80.21</v>
      </c>
      <c r="K6" s="104" t="n">
        <v>0</v>
      </c>
      <c r="L6" s="45" t="n">
        <v>0</v>
      </c>
      <c r="M6" s="45" t="n">
        <v>0.441</v>
      </c>
      <c r="N6" s="45" t="n">
        <v>0.344</v>
      </c>
      <c r="O6" s="21" t="s">
        <v>1095</v>
      </c>
    </row>
    <row r="7" customFormat="false" ht="15" hidden="false" customHeight="false" outlineLevel="0" collapsed="false">
      <c r="A7" s="21" t="s">
        <v>1096</v>
      </c>
      <c r="B7" s="16" t="s">
        <v>1097</v>
      </c>
      <c r="C7" s="21" t="s">
        <v>350</v>
      </c>
      <c r="D7" s="21" t="s">
        <v>862</v>
      </c>
      <c r="E7" s="21" t="n">
        <v>176</v>
      </c>
      <c r="F7" s="28" t="n">
        <v>28047704</v>
      </c>
      <c r="G7" s="28" t="n">
        <f aca="false">F7*365/E7</f>
        <v>58167113.4090909</v>
      </c>
      <c r="H7" s="28" t="n">
        <v>333050</v>
      </c>
      <c r="I7" s="28" t="n">
        <v>14552120</v>
      </c>
      <c r="J7" s="92" t="n">
        <v>84.21</v>
      </c>
      <c r="K7" s="105" t="n">
        <v>0.273</v>
      </c>
      <c r="L7" s="45" t="n">
        <v>0</v>
      </c>
      <c r="M7" s="45" t="n">
        <v>0.204</v>
      </c>
      <c r="N7" s="45" t="n">
        <v>0.641</v>
      </c>
      <c r="O7" s="20" t="s">
        <v>1098</v>
      </c>
    </row>
    <row r="8" customFormat="false" ht="15" hidden="false" customHeight="false" outlineLevel="0" collapsed="false">
      <c r="A8" s="21" t="s">
        <v>1099</v>
      </c>
      <c r="B8" s="16" t="s">
        <v>1100</v>
      </c>
      <c r="C8" s="21" t="s">
        <v>1089</v>
      </c>
      <c r="D8" s="21" t="s">
        <v>868</v>
      </c>
      <c r="E8" s="21" t="n">
        <v>180</v>
      </c>
      <c r="F8" s="28" t="n">
        <v>20528975</v>
      </c>
      <c r="G8" s="28" t="n">
        <f aca="false">F8*365/E8</f>
        <v>41628199.3055556</v>
      </c>
      <c r="H8" s="28" t="n">
        <v>424628</v>
      </c>
      <c r="I8" s="28" t="n">
        <v>2916708</v>
      </c>
      <c r="J8" s="92" t="n">
        <v>48.35</v>
      </c>
      <c r="K8" s="57" t="n">
        <v>-0.211</v>
      </c>
      <c r="L8" s="45" t="n">
        <v>0</v>
      </c>
      <c r="M8" s="45" t="n">
        <v>0.922</v>
      </c>
      <c r="N8" s="45" t="n">
        <v>0.134</v>
      </c>
      <c r="O8" s="21" t="s">
        <v>1101</v>
      </c>
    </row>
    <row r="9" customFormat="false" ht="15" hidden="false" customHeight="false" outlineLevel="0" collapsed="false">
      <c r="A9" s="21" t="s">
        <v>1102</v>
      </c>
      <c r="B9" s="16" t="s">
        <v>1103</v>
      </c>
      <c r="C9" s="21" t="s">
        <v>1094</v>
      </c>
      <c r="D9" s="21" t="s">
        <v>1104</v>
      </c>
      <c r="E9" s="21" t="n">
        <v>55</v>
      </c>
      <c r="F9" s="28" t="n">
        <v>6133992</v>
      </c>
      <c r="G9" s="28" t="n">
        <f aca="false">F9*365/E9</f>
        <v>40707401.4545455</v>
      </c>
      <c r="H9" s="28" t="n">
        <v>93189</v>
      </c>
      <c r="I9" s="28" t="n">
        <v>2916316</v>
      </c>
      <c r="J9" s="92" t="n">
        <v>65.82</v>
      </c>
      <c r="K9" s="104" t="n">
        <v>0</v>
      </c>
      <c r="L9" s="45" t="n">
        <v>0</v>
      </c>
      <c r="M9" s="45" t="n">
        <v>0.501</v>
      </c>
      <c r="N9" s="45" t="n">
        <v>0.309</v>
      </c>
      <c r="O9" s="21" t="s">
        <v>1090</v>
      </c>
    </row>
    <row r="10" customFormat="false" ht="15" hidden="false" customHeight="false" outlineLevel="0" collapsed="false">
      <c r="A10" s="21" t="s">
        <v>1105</v>
      </c>
      <c r="B10" s="16" t="s">
        <v>1106</v>
      </c>
      <c r="C10" s="21" t="s">
        <v>1094</v>
      </c>
      <c r="D10" s="21" t="s">
        <v>868</v>
      </c>
      <c r="E10" s="21" t="n">
        <v>63</v>
      </c>
      <c r="F10" s="28" t="n">
        <v>6430228</v>
      </c>
      <c r="G10" s="28" t="n">
        <f aca="false">F10*365/E10</f>
        <v>37254495.5555556</v>
      </c>
      <c r="H10" s="28" t="n">
        <v>108731</v>
      </c>
      <c r="I10" s="28" t="n">
        <v>2831981</v>
      </c>
      <c r="J10" s="92" t="n">
        <v>59.14</v>
      </c>
      <c r="K10" s="104" t="n">
        <v>0</v>
      </c>
      <c r="L10" s="45" t="n">
        <v>0</v>
      </c>
      <c r="M10" s="45" t="n">
        <v>0.318</v>
      </c>
      <c r="N10" s="45" t="n">
        <v>0.006</v>
      </c>
      <c r="O10" s="21" t="s">
        <v>1095</v>
      </c>
    </row>
    <row r="11" customFormat="false" ht="15" hidden="false" customHeight="false" outlineLevel="0" collapsed="false">
      <c r="A11" s="21" t="s">
        <v>1107</v>
      </c>
      <c r="B11" s="16" t="s">
        <v>1108</v>
      </c>
      <c r="C11" s="21" t="s">
        <v>350</v>
      </c>
      <c r="D11" s="21" t="s">
        <v>868</v>
      </c>
      <c r="E11" s="21" t="n">
        <v>65</v>
      </c>
      <c r="F11" s="28" t="n">
        <v>6610805</v>
      </c>
      <c r="G11" s="28" t="n">
        <f aca="false">F11*365/E11</f>
        <v>37122212.6923077</v>
      </c>
      <c r="H11" s="28" t="n">
        <v>132653</v>
      </c>
      <c r="I11" s="28" t="n">
        <v>2931550</v>
      </c>
      <c r="J11" s="92" t="n">
        <v>49.84</v>
      </c>
      <c r="K11" s="104" t="n">
        <v>0</v>
      </c>
      <c r="L11" s="45" t="n">
        <v>0</v>
      </c>
      <c r="M11" s="45" t="n">
        <v>0.436</v>
      </c>
      <c r="N11" s="45" t="n">
        <v>0</v>
      </c>
      <c r="O11" s="21" t="s">
        <v>1095</v>
      </c>
    </row>
    <row r="12" customFormat="false" ht="15" hidden="false" customHeight="false" outlineLevel="0" collapsed="false">
      <c r="A12" s="21" t="s">
        <v>1109</v>
      </c>
      <c r="B12" s="16" t="s">
        <v>931</v>
      </c>
      <c r="C12" s="21" t="s">
        <v>1089</v>
      </c>
      <c r="D12" s="21" t="s">
        <v>868</v>
      </c>
      <c r="E12" s="21" t="n">
        <v>181</v>
      </c>
      <c r="F12" s="28" t="n">
        <v>18281399</v>
      </c>
      <c r="G12" s="28" t="n">
        <f aca="false">F12*365/E12</f>
        <v>36865804.6132597</v>
      </c>
      <c r="H12" s="28" t="n">
        <v>308074</v>
      </c>
      <c r="I12" s="28" t="n">
        <v>8679738</v>
      </c>
      <c r="J12" s="92" t="n">
        <v>59.34</v>
      </c>
      <c r="K12" s="57" t="n">
        <v>-0.09</v>
      </c>
      <c r="L12" s="45" t="n">
        <v>0</v>
      </c>
      <c r="M12" s="45" t="n">
        <v>1</v>
      </c>
      <c r="N12" s="45" t="n">
        <v>0.277</v>
      </c>
      <c r="O12" s="21" t="s">
        <v>1095</v>
      </c>
    </row>
    <row r="13" customFormat="false" ht="15" hidden="false" customHeight="false" outlineLevel="0" collapsed="false">
      <c r="A13" s="21" t="s">
        <v>1110</v>
      </c>
      <c r="B13" s="16" t="s">
        <v>1111</v>
      </c>
      <c r="C13" s="21" t="s">
        <v>1094</v>
      </c>
      <c r="D13" s="21" t="s">
        <v>1104</v>
      </c>
      <c r="E13" s="21" t="n">
        <v>181</v>
      </c>
      <c r="F13" s="28" t="n">
        <v>17320811</v>
      </c>
      <c r="G13" s="28" t="n">
        <f aca="false">F13*365/E13</f>
        <v>34928707.2651934</v>
      </c>
      <c r="H13" s="28" t="n">
        <v>256011</v>
      </c>
      <c r="I13" s="28" t="n">
        <v>7729931</v>
      </c>
      <c r="J13" s="92" t="n">
        <v>67.66</v>
      </c>
      <c r="K13" s="57" t="n">
        <v>-0.119</v>
      </c>
      <c r="L13" s="45" t="n">
        <v>0</v>
      </c>
      <c r="M13" s="45" t="n">
        <v>1</v>
      </c>
      <c r="N13" s="45" t="n">
        <v>0.082</v>
      </c>
      <c r="O13" s="21" t="s">
        <v>1095</v>
      </c>
    </row>
    <row r="14" customFormat="false" ht="15" hidden="false" customHeight="false" outlineLevel="0" collapsed="false">
      <c r="A14" s="21" t="s">
        <v>1112</v>
      </c>
      <c r="B14" s="16" t="s">
        <v>1113</v>
      </c>
      <c r="C14" s="21" t="s">
        <v>1089</v>
      </c>
      <c r="D14" s="21" t="s">
        <v>868</v>
      </c>
      <c r="E14" s="21" t="n">
        <v>181</v>
      </c>
      <c r="F14" s="28" t="n">
        <v>16855372</v>
      </c>
      <c r="G14" s="28" t="n">
        <f aca="false">F14*365/E14</f>
        <v>33990114.8066298</v>
      </c>
      <c r="H14" s="28" t="n">
        <v>283446</v>
      </c>
      <c r="I14" s="28" t="n">
        <v>2676944</v>
      </c>
      <c r="J14" s="92" t="n">
        <v>59.47</v>
      </c>
      <c r="K14" s="45" t="n">
        <v>-0.034</v>
      </c>
      <c r="L14" s="45" t="n">
        <v>0.038</v>
      </c>
      <c r="M14" s="45" t="n">
        <v>0.488</v>
      </c>
      <c r="N14" s="45" t="n">
        <v>0.231</v>
      </c>
      <c r="O14" s="21" t="s">
        <v>1095</v>
      </c>
    </row>
    <row r="15" customFormat="false" ht="15" hidden="false" customHeight="false" outlineLevel="0" collapsed="false">
      <c r="A15" s="21" t="s">
        <v>1114</v>
      </c>
      <c r="B15" s="16" t="s">
        <v>1115</v>
      </c>
      <c r="C15" s="21" t="s">
        <v>1089</v>
      </c>
      <c r="D15" s="21" t="s">
        <v>862</v>
      </c>
      <c r="E15" s="21" t="n">
        <v>181</v>
      </c>
      <c r="F15" s="28" t="n">
        <v>15775248</v>
      </c>
      <c r="G15" s="28" t="n">
        <f aca="false">F15*365/E15</f>
        <v>31811964.198895</v>
      </c>
      <c r="H15" s="28" t="n">
        <v>249705</v>
      </c>
      <c r="I15" s="28" t="n">
        <v>7806709</v>
      </c>
      <c r="J15" s="92" t="n">
        <v>63.18</v>
      </c>
      <c r="K15" s="57" t="n">
        <v>-0.217</v>
      </c>
      <c r="L15" s="45" t="n">
        <v>0</v>
      </c>
      <c r="M15" s="45" t="n">
        <v>0.894</v>
      </c>
      <c r="N15" s="45" t="n">
        <v>0.458</v>
      </c>
      <c r="O15" s="21" t="s">
        <v>1101</v>
      </c>
    </row>
    <row r="16" customFormat="false" ht="15" hidden="false" customHeight="false" outlineLevel="0" collapsed="false">
      <c r="A16" s="21" t="s">
        <v>1116</v>
      </c>
      <c r="B16" s="16" t="s">
        <v>1117</v>
      </c>
      <c r="C16" s="21" t="s">
        <v>355</v>
      </c>
      <c r="D16" s="21" t="s">
        <v>868</v>
      </c>
      <c r="E16" s="21" t="n">
        <v>181</v>
      </c>
      <c r="F16" s="28" t="n">
        <v>15719285</v>
      </c>
      <c r="G16" s="28" t="n">
        <f aca="false">F16*365/E16</f>
        <v>31699110.6353591</v>
      </c>
      <c r="H16" s="28" t="n">
        <v>211558</v>
      </c>
      <c r="I16" s="28" t="n">
        <v>4791911</v>
      </c>
      <c r="J16" s="92" t="n">
        <v>74.3</v>
      </c>
      <c r="K16" s="105" t="n">
        <v>0.151</v>
      </c>
      <c r="L16" s="45" t="n">
        <v>0</v>
      </c>
      <c r="M16" s="45" t="n">
        <v>0.247</v>
      </c>
      <c r="N16" s="45" t="n">
        <v>0.076</v>
      </c>
      <c r="O16" s="21" t="s">
        <v>1095</v>
      </c>
    </row>
    <row r="17" customFormat="false" ht="15" hidden="false" customHeight="false" outlineLevel="0" collapsed="false">
      <c r="A17" s="21" t="s">
        <v>1118</v>
      </c>
      <c r="B17" s="16" t="s">
        <v>1119</v>
      </c>
      <c r="C17" s="21" t="s">
        <v>1094</v>
      </c>
      <c r="D17" s="21" t="s">
        <v>868</v>
      </c>
      <c r="E17" s="21" t="n">
        <v>57</v>
      </c>
      <c r="F17" s="28" t="n">
        <v>4714627</v>
      </c>
      <c r="G17" s="28" t="n">
        <f aca="false">F17*365/E17</f>
        <v>30190155.3508772</v>
      </c>
      <c r="H17" s="28" t="n">
        <v>84547</v>
      </c>
      <c r="I17" s="28" t="n">
        <v>2078856</v>
      </c>
      <c r="J17" s="92" t="n">
        <v>55.76</v>
      </c>
      <c r="K17" s="104" t="n">
        <v>0</v>
      </c>
      <c r="L17" s="45" t="n">
        <v>0</v>
      </c>
      <c r="M17" s="45" t="n">
        <v>0.432</v>
      </c>
      <c r="N17" s="45" t="n">
        <v>0</v>
      </c>
      <c r="O17" s="21" t="s">
        <v>1090</v>
      </c>
    </row>
    <row r="18" customFormat="false" ht="15" hidden="false" customHeight="false" outlineLevel="0" collapsed="false">
      <c r="A18" s="21" t="s">
        <v>1120</v>
      </c>
      <c r="B18" s="16" t="s">
        <v>938</v>
      </c>
      <c r="C18" s="21" t="s">
        <v>1089</v>
      </c>
      <c r="D18" s="21" t="s">
        <v>868</v>
      </c>
      <c r="E18" s="21" t="n">
        <v>181</v>
      </c>
      <c r="F18" s="28" t="n">
        <v>14811456</v>
      </c>
      <c r="G18" s="28" t="n">
        <f aca="false">F18*365/E18</f>
        <v>29868405.7458564</v>
      </c>
      <c r="H18" s="28" t="n">
        <v>338888</v>
      </c>
      <c r="I18" s="28" t="n">
        <v>6570004</v>
      </c>
      <c r="J18" s="92" t="n">
        <v>43.71</v>
      </c>
      <c r="K18" s="45" t="n">
        <v>-0.03</v>
      </c>
      <c r="L18" s="45" t="n">
        <v>0</v>
      </c>
      <c r="M18" s="45" t="n">
        <v>1</v>
      </c>
      <c r="N18" s="45" t="n">
        <v>0</v>
      </c>
      <c r="O18" s="21" t="s">
        <v>1090</v>
      </c>
    </row>
    <row r="19" customFormat="false" ht="15" hidden="false" customHeight="false" outlineLevel="0" collapsed="false">
      <c r="A19" s="21" t="s">
        <v>1121</v>
      </c>
      <c r="B19" s="16" t="s">
        <v>1122</v>
      </c>
      <c r="C19" s="21" t="s">
        <v>347</v>
      </c>
      <c r="D19" s="21" t="s">
        <v>866</v>
      </c>
      <c r="E19" s="21" t="n">
        <v>130</v>
      </c>
      <c r="F19" s="28" t="n">
        <v>9901510</v>
      </c>
      <c r="G19" s="28" t="n">
        <f aca="false">F19*365/E19</f>
        <v>27800393.4615385</v>
      </c>
      <c r="H19" s="28" t="n">
        <v>234974</v>
      </c>
      <c r="I19" s="28" t="n">
        <v>4445436</v>
      </c>
      <c r="J19" s="92" t="n">
        <v>42.14</v>
      </c>
      <c r="K19" s="105" t="n">
        <v>0.275</v>
      </c>
      <c r="L19" s="45" t="n">
        <v>0</v>
      </c>
      <c r="M19" s="45" t="n">
        <v>0.478</v>
      </c>
      <c r="N19" s="45" t="n">
        <v>0.048</v>
      </c>
      <c r="O19" s="20" t="s">
        <v>1098</v>
      </c>
    </row>
    <row r="20" customFormat="false" ht="15" hidden="false" customHeight="false" outlineLevel="0" collapsed="false">
      <c r="A20" s="21" t="s">
        <v>1123</v>
      </c>
      <c r="B20" s="16" t="s">
        <v>1124</v>
      </c>
      <c r="C20" s="21" t="s">
        <v>1089</v>
      </c>
      <c r="D20" s="21" t="s">
        <v>1125</v>
      </c>
      <c r="E20" s="21" t="n">
        <v>70</v>
      </c>
      <c r="F20" s="28" t="n">
        <v>5015246</v>
      </c>
      <c r="G20" s="28" t="n">
        <f aca="false">F20*365/E20</f>
        <v>26150925.5714286</v>
      </c>
      <c r="H20" s="28" t="n">
        <v>115020</v>
      </c>
      <c r="I20" s="28" t="n">
        <v>2229579</v>
      </c>
      <c r="J20" s="92" t="n">
        <v>43.6</v>
      </c>
      <c r="K20" s="104" t="n">
        <v>0</v>
      </c>
      <c r="L20" s="45" t="n">
        <v>0</v>
      </c>
      <c r="M20" s="45" t="n">
        <v>0.678</v>
      </c>
      <c r="N20" s="45" t="n">
        <v>0</v>
      </c>
      <c r="O20" s="21" t="s">
        <v>1092</v>
      </c>
    </row>
    <row r="21" customFormat="false" ht="15" hidden="false" customHeight="false" outlineLevel="0" collapsed="false">
      <c r="A21" s="21" t="s">
        <v>1126</v>
      </c>
      <c r="B21" s="16" t="s">
        <v>940</v>
      </c>
      <c r="C21" s="21" t="s">
        <v>1089</v>
      </c>
      <c r="D21" s="21" t="s">
        <v>868</v>
      </c>
      <c r="E21" s="21" t="n">
        <v>181</v>
      </c>
      <c r="F21" s="28" t="n">
        <v>12392502</v>
      </c>
      <c r="G21" s="28" t="n">
        <f aca="false">F21*365/E21</f>
        <v>24990404.5856354</v>
      </c>
      <c r="H21" s="28" t="n">
        <v>284756</v>
      </c>
      <c r="I21" s="28" t="n">
        <v>5504980</v>
      </c>
      <c r="J21" s="92" t="n">
        <v>43.52</v>
      </c>
      <c r="K21" s="57" t="n">
        <v>-0.112</v>
      </c>
      <c r="L21" s="45" t="n">
        <v>0</v>
      </c>
      <c r="M21" s="45" t="n">
        <v>1</v>
      </c>
      <c r="N21" s="45" t="n">
        <v>0</v>
      </c>
      <c r="O21" s="21" t="s">
        <v>1095</v>
      </c>
    </row>
    <row r="22" customFormat="false" ht="15" hidden="false" customHeight="false" outlineLevel="0" collapsed="false">
      <c r="A22" s="21" t="s">
        <v>1127</v>
      </c>
      <c r="B22" s="16" t="s">
        <v>1128</v>
      </c>
      <c r="C22" s="21" t="s">
        <v>350</v>
      </c>
      <c r="D22" s="21" t="s">
        <v>868</v>
      </c>
      <c r="E22" s="21" t="n">
        <v>147</v>
      </c>
      <c r="F22" s="28" t="n">
        <v>9737128</v>
      </c>
      <c r="G22" s="28" t="n">
        <f aca="false">F22*365/E22</f>
        <v>24177222.585034</v>
      </c>
      <c r="H22" s="28" t="n">
        <v>195205</v>
      </c>
      <c r="I22" s="28" t="n">
        <v>4722403</v>
      </c>
      <c r="J22" s="92" t="n">
        <v>49.88</v>
      </c>
      <c r="K22" s="105" t="n">
        <v>0.068</v>
      </c>
      <c r="L22" s="45" t="n">
        <v>0</v>
      </c>
      <c r="M22" s="45" t="n">
        <v>0.673</v>
      </c>
      <c r="N22" s="45" t="n">
        <v>0.329</v>
      </c>
      <c r="O22" s="21" t="s">
        <v>1101</v>
      </c>
    </row>
    <row r="23" customFormat="false" ht="15" hidden="false" customHeight="false" outlineLevel="0" collapsed="false">
      <c r="A23" s="21" t="s">
        <v>1129</v>
      </c>
      <c r="B23" s="16" t="s">
        <v>944</v>
      </c>
      <c r="C23" s="21" t="s">
        <v>1089</v>
      </c>
      <c r="D23" s="21" t="s">
        <v>868</v>
      </c>
      <c r="E23" s="21" t="n">
        <v>181</v>
      </c>
      <c r="F23" s="28" t="n">
        <v>11129389</v>
      </c>
      <c r="G23" s="28" t="n">
        <f aca="false">F23*365/E23</f>
        <v>22443243.0110497</v>
      </c>
      <c r="H23" s="28" t="n">
        <v>233425</v>
      </c>
      <c r="I23" s="28" t="n">
        <v>4924931</v>
      </c>
      <c r="J23" s="92" t="n">
        <v>47.68</v>
      </c>
      <c r="K23" s="105" t="n">
        <v>0.069</v>
      </c>
      <c r="L23" s="45" t="n">
        <v>0</v>
      </c>
      <c r="M23" s="45" t="n">
        <v>1</v>
      </c>
      <c r="N23" s="45" t="n">
        <v>0</v>
      </c>
      <c r="O23" s="21" t="s">
        <v>1095</v>
      </c>
    </row>
    <row r="24" customFormat="false" ht="15" hidden="false" customHeight="false" outlineLevel="0" collapsed="false">
      <c r="A24" s="21" t="s">
        <v>1130</v>
      </c>
      <c r="B24" s="16" t="s">
        <v>943</v>
      </c>
      <c r="C24" s="21" t="s">
        <v>1089</v>
      </c>
      <c r="D24" s="21" t="s">
        <v>868</v>
      </c>
      <c r="E24" s="21" t="n">
        <v>181</v>
      </c>
      <c r="F24" s="28" t="n">
        <v>10708429</v>
      </c>
      <c r="G24" s="28" t="n">
        <f aca="false">F24*365/E24</f>
        <v>21594345.7734807</v>
      </c>
      <c r="H24" s="28" t="n">
        <v>246641</v>
      </c>
      <c r="I24" s="28" t="n">
        <v>4740020</v>
      </c>
      <c r="J24" s="92" t="n">
        <v>43.42</v>
      </c>
      <c r="K24" s="45" t="n">
        <v>0.042</v>
      </c>
      <c r="L24" s="45" t="n">
        <v>0</v>
      </c>
      <c r="M24" s="45" t="n">
        <v>1</v>
      </c>
      <c r="N24" s="45" t="n">
        <v>0</v>
      </c>
      <c r="O24" s="21" t="s">
        <v>1095</v>
      </c>
    </row>
    <row r="25" customFormat="false" ht="15" hidden="false" customHeight="false" outlineLevel="0" collapsed="false">
      <c r="A25" s="21" t="s">
        <v>1131</v>
      </c>
      <c r="B25" s="16" t="s">
        <v>1132</v>
      </c>
      <c r="C25" s="21" t="s">
        <v>1094</v>
      </c>
      <c r="D25" s="21" t="s">
        <v>1104</v>
      </c>
      <c r="E25" s="21" t="n">
        <v>181</v>
      </c>
      <c r="F25" s="28" t="n">
        <v>10700092</v>
      </c>
      <c r="G25" s="28" t="n">
        <f aca="false">F25*365/E25</f>
        <v>21577533.5911602</v>
      </c>
      <c r="H25" s="28" t="n">
        <v>207031</v>
      </c>
      <c r="I25" s="28" t="n">
        <v>4771577</v>
      </c>
      <c r="J25" s="92" t="n">
        <v>51.68</v>
      </c>
      <c r="K25" s="105" t="n">
        <v>0.177</v>
      </c>
      <c r="L25" s="45" t="n">
        <v>0</v>
      </c>
      <c r="M25" s="45" t="n">
        <v>1</v>
      </c>
      <c r="N25" s="45" t="n">
        <v>0.058</v>
      </c>
      <c r="O25" s="21" t="s">
        <v>1090</v>
      </c>
    </row>
    <row r="26" customFormat="false" ht="15" hidden="false" customHeight="false" outlineLevel="0" collapsed="false">
      <c r="A26" s="21" t="s">
        <v>1133</v>
      </c>
      <c r="B26" s="16" t="s">
        <v>1134</v>
      </c>
      <c r="C26" s="21" t="s">
        <v>1089</v>
      </c>
      <c r="D26" s="21" t="s">
        <v>1125</v>
      </c>
      <c r="E26" s="21" t="n">
        <v>181</v>
      </c>
      <c r="F26" s="28" t="n">
        <v>10414834</v>
      </c>
      <c r="G26" s="28" t="n">
        <f aca="false">F26*365/E26</f>
        <v>21002289.5580111</v>
      </c>
      <c r="H26" s="28" t="n">
        <v>201217</v>
      </c>
      <c r="I26" s="28" t="n">
        <v>4933540</v>
      </c>
      <c r="J26" s="92" t="n">
        <v>51.76</v>
      </c>
      <c r="K26" s="45" t="n">
        <v>-0.033</v>
      </c>
      <c r="L26" s="45" t="n">
        <v>0</v>
      </c>
      <c r="M26" s="45" t="n">
        <v>0.634</v>
      </c>
      <c r="N26" s="45" t="n">
        <v>0.276</v>
      </c>
      <c r="O26" s="21" t="s">
        <v>1090</v>
      </c>
    </row>
    <row r="27" customFormat="false" ht="15" hidden="false" customHeight="false" outlineLevel="0" collapsed="false">
      <c r="A27" s="21" t="s">
        <v>1135</v>
      </c>
      <c r="B27" s="16" t="s">
        <v>1136</v>
      </c>
      <c r="C27" s="21" t="s">
        <v>1094</v>
      </c>
      <c r="D27" s="21" t="s">
        <v>1104</v>
      </c>
      <c r="E27" s="21" t="n">
        <v>181</v>
      </c>
      <c r="F27" s="28" t="n">
        <v>9869940</v>
      </c>
      <c r="G27" s="28" t="n">
        <f aca="false">F27*365/E27</f>
        <v>19903470.1657459</v>
      </c>
      <c r="H27" s="28" t="n">
        <v>148911</v>
      </c>
      <c r="I27" s="28" t="n">
        <v>4643058</v>
      </c>
      <c r="J27" s="92" t="n">
        <v>66.28</v>
      </c>
      <c r="K27" s="105" t="n">
        <v>0.083</v>
      </c>
      <c r="L27" s="45" t="n">
        <v>0</v>
      </c>
      <c r="M27" s="45" t="n">
        <v>1</v>
      </c>
      <c r="N27" s="45" t="n">
        <v>0.27</v>
      </c>
      <c r="O27" s="21" t="s">
        <v>1137</v>
      </c>
    </row>
    <row r="28" customFormat="false" ht="15" hidden="false" customHeight="false" outlineLevel="0" collapsed="false">
      <c r="A28" s="21" t="s">
        <v>1138</v>
      </c>
      <c r="B28" s="16" t="s">
        <v>1139</v>
      </c>
      <c r="C28" s="21" t="s">
        <v>1089</v>
      </c>
      <c r="D28" s="21" t="s">
        <v>862</v>
      </c>
      <c r="E28" s="21" t="n">
        <v>111</v>
      </c>
      <c r="F28" s="28" t="n">
        <v>5875411</v>
      </c>
      <c r="G28" s="28" t="n">
        <f aca="false">F28*365/E28</f>
        <v>19320045.1801802</v>
      </c>
      <c r="H28" s="28" t="n">
        <v>75507</v>
      </c>
      <c r="I28" s="28" t="n">
        <v>2834084</v>
      </c>
      <c r="J28" s="92" t="n">
        <v>77.81</v>
      </c>
      <c r="K28" s="104" t="n">
        <v>-0.033</v>
      </c>
      <c r="L28" s="45" t="n">
        <v>0</v>
      </c>
      <c r="M28" s="45" t="n">
        <v>0.493</v>
      </c>
      <c r="N28" s="45" t="n">
        <v>0.349</v>
      </c>
      <c r="O28" s="20" t="s">
        <v>1098</v>
      </c>
    </row>
    <row r="29" customFormat="false" ht="15" hidden="false" customHeight="false" outlineLevel="0" collapsed="false">
      <c r="A29" s="21" t="s">
        <v>1140</v>
      </c>
      <c r="B29" s="16" t="s">
        <v>1141</v>
      </c>
      <c r="C29" s="21" t="s">
        <v>1089</v>
      </c>
      <c r="D29" s="21" t="s">
        <v>1125</v>
      </c>
      <c r="E29" s="21" t="n">
        <v>181</v>
      </c>
      <c r="F29" s="28" t="n">
        <v>9512678</v>
      </c>
      <c r="G29" s="28" t="n">
        <f aca="false">F29*365/E29</f>
        <v>19183024.6961326</v>
      </c>
      <c r="H29" s="28" t="n">
        <v>147623</v>
      </c>
      <c r="I29" s="28" t="n">
        <v>4558563</v>
      </c>
      <c r="J29" s="92" t="n">
        <v>64.44</v>
      </c>
      <c r="K29" s="45" t="n">
        <v>-0.045</v>
      </c>
      <c r="L29" s="45" t="n">
        <v>0</v>
      </c>
      <c r="M29" s="45" t="n">
        <v>1</v>
      </c>
      <c r="N29" s="45" t="n">
        <v>0.321</v>
      </c>
      <c r="O29" s="21" t="s">
        <v>1090</v>
      </c>
    </row>
    <row r="30" customFormat="false" ht="15" hidden="false" customHeight="false" outlineLevel="0" collapsed="false">
      <c r="A30" s="21" t="s">
        <v>1142</v>
      </c>
      <c r="B30" s="16" t="s">
        <v>1143</v>
      </c>
      <c r="C30" s="21" t="s">
        <v>1089</v>
      </c>
      <c r="D30" s="21" t="s">
        <v>868</v>
      </c>
      <c r="E30" s="21" t="n">
        <v>92</v>
      </c>
      <c r="F30" s="28" t="n">
        <v>4575739</v>
      </c>
      <c r="G30" s="28" t="n">
        <f aca="false">F30*365/E30</f>
        <v>18153747.1195652</v>
      </c>
      <c r="H30" s="28" t="n">
        <v>94310</v>
      </c>
      <c r="I30" s="28" t="n">
        <v>2127665</v>
      </c>
      <c r="J30" s="92" t="n">
        <v>48.52</v>
      </c>
      <c r="K30" s="104" t="n">
        <v>0</v>
      </c>
      <c r="L30" s="45" t="n">
        <v>0</v>
      </c>
      <c r="M30" s="45" t="n">
        <v>0.685</v>
      </c>
      <c r="N30" s="45" t="n">
        <v>0.176</v>
      </c>
      <c r="O30" s="21" t="s">
        <v>1090</v>
      </c>
    </row>
    <row r="31" customFormat="false" ht="15" hidden="false" customHeight="false" outlineLevel="0" collapsed="false">
      <c r="A31" s="21" t="s">
        <v>1144</v>
      </c>
      <c r="B31" s="16" t="s">
        <v>1145</v>
      </c>
      <c r="C31" s="21" t="s">
        <v>361</v>
      </c>
      <c r="D31" s="21" t="s">
        <v>866</v>
      </c>
      <c r="E31" s="21" t="n">
        <v>181</v>
      </c>
      <c r="F31" s="28" t="n">
        <v>8563678</v>
      </c>
      <c r="G31" s="28" t="n">
        <f aca="false">F31*365/E31</f>
        <v>17269295.4143646</v>
      </c>
      <c r="H31" s="28" t="n">
        <v>156380</v>
      </c>
      <c r="I31" s="28" t="n">
        <v>3884721</v>
      </c>
      <c r="J31" s="92" t="n">
        <v>54.76</v>
      </c>
      <c r="K31" s="105" t="n">
        <v>0.186</v>
      </c>
      <c r="L31" s="45" t="n">
        <v>0</v>
      </c>
      <c r="M31" s="45" t="n">
        <v>0</v>
      </c>
      <c r="N31" s="45" t="n">
        <v>0.082</v>
      </c>
      <c r="O31" s="21" t="s">
        <v>1095</v>
      </c>
    </row>
    <row r="32" customFormat="false" ht="15" hidden="false" customHeight="false" outlineLevel="0" collapsed="false">
      <c r="A32" s="21" t="s">
        <v>1146</v>
      </c>
      <c r="B32" s="16" t="s">
        <v>968</v>
      </c>
      <c r="C32" s="21" t="s">
        <v>1147</v>
      </c>
      <c r="D32" s="21" t="s">
        <v>866</v>
      </c>
      <c r="E32" s="21" t="n">
        <v>69</v>
      </c>
      <c r="F32" s="28" t="n">
        <v>3263896</v>
      </c>
      <c r="G32" s="28" t="n">
        <f aca="false">F32*365/E32</f>
        <v>17265536.8115942</v>
      </c>
      <c r="H32" s="28" t="n">
        <v>65707</v>
      </c>
      <c r="I32" s="28" t="n">
        <v>1471112</v>
      </c>
      <c r="J32" s="92" t="n">
        <v>49.67</v>
      </c>
      <c r="K32" s="104" t="n">
        <v>0</v>
      </c>
      <c r="L32" s="45" t="n">
        <v>0</v>
      </c>
      <c r="M32" s="45" t="n">
        <v>0.597</v>
      </c>
      <c r="N32" s="45" t="n">
        <v>0.103</v>
      </c>
      <c r="O32" s="20" t="s">
        <v>1098</v>
      </c>
    </row>
    <row r="33" customFormat="false" ht="15" hidden="false" customHeight="false" outlineLevel="0" collapsed="false">
      <c r="A33" s="21" t="s">
        <v>1148</v>
      </c>
      <c r="B33" s="16" t="s">
        <v>950</v>
      </c>
      <c r="C33" s="21" t="s">
        <v>347</v>
      </c>
      <c r="D33" s="21" t="s">
        <v>868</v>
      </c>
      <c r="E33" s="21" t="n">
        <v>181</v>
      </c>
      <c r="F33" s="28" t="n">
        <v>8483209</v>
      </c>
      <c r="G33" s="28" t="n">
        <f aca="false">F33*365/E33</f>
        <v>17107023.6740332</v>
      </c>
      <c r="H33" s="28" t="n">
        <v>166967</v>
      </c>
      <c r="I33" s="28" t="n">
        <v>3774634</v>
      </c>
      <c r="J33" s="92" t="n">
        <v>50.81</v>
      </c>
      <c r="K33" s="105" t="n">
        <v>0.18</v>
      </c>
      <c r="L33" s="45" t="n">
        <v>0</v>
      </c>
      <c r="M33" s="45" t="n">
        <v>0.253</v>
      </c>
      <c r="N33" s="45" t="n">
        <v>0.023</v>
      </c>
      <c r="O33" s="21" t="s">
        <v>1090</v>
      </c>
    </row>
    <row r="34" customFormat="false" ht="15" hidden="false" customHeight="false" outlineLevel="0" collapsed="false">
      <c r="A34" s="21" t="s">
        <v>1149</v>
      </c>
      <c r="B34" s="16" t="s">
        <v>948</v>
      </c>
      <c r="C34" s="21" t="s">
        <v>1089</v>
      </c>
      <c r="D34" s="21" t="s">
        <v>862</v>
      </c>
      <c r="E34" s="21" t="n">
        <v>181</v>
      </c>
      <c r="F34" s="28" t="n">
        <v>8421901</v>
      </c>
      <c r="G34" s="28" t="n">
        <f aca="false">F34*365/E34</f>
        <v>16983391.519337</v>
      </c>
      <c r="H34" s="28" t="n">
        <v>76519</v>
      </c>
      <c r="I34" s="28" t="n">
        <v>4263083</v>
      </c>
      <c r="J34" s="92" t="n">
        <v>110.06</v>
      </c>
      <c r="K34" s="57" t="n">
        <v>-0.084</v>
      </c>
      <c r="L34" s="45" t="n">
        <v>0.015</v>
      </c>
      <c r="M34" s="45" t="n">
        <v>0.357</v>
      </c>
      <c r="N34" s="45" t="n">
        <v>0.559</v>
      </c>
      <c r="O34" s="21" t="s">
        <v>1137</v>
      </c>
    </row>
    <row r="35" customFormat="false" ht="15" hidden="false" customHeight="false" outlineLevel="0" collapsed="false">
      <c r="A35" s="21" t="s">
        <v>1150</v>
      </c>
      <c r="B35" s="16" t="s">
        <v>952</v>
      </c>
      <c r="C35" s="21" t="s">
        <v>1089</v>
      </c>
      <c r="D35" s="21" t="s">
        <v>868</v>
      </c>
      <c r="E35" s="21" t="n">
        <v>181</v>
      </c>
      <c r="F35" s="28" t="n">
        <v>7821875</v>
      </c>
      <c r="G35" s="28" t="n">
        <f aca="false">F35*365/E35</f>
        <v>15773394.3370166</v>
      </c>
      <c r="H35" s="28" t="n">
        <v>165177</v>
      </c>
      <c r="I35" s="28" t="n">
        <v>3471225</v>
      </c>
      <c r="J35" s="92" t="n">
        <v>47.35</v>
      </c>
      <c r="K35" s="57" t="n">
        <v>-0.533</v>
      </c>
      <c r="L35" s="45" t="n">
        <v>0</v>
      </c>
      <c r="M35" s="45" t="n">
        <v>1</v>
      </c>
      <c r="N35" s="45" t="n">
        <v>0</v>
      </c>
      <c r="O35" s="21" t="s">
        <v>1095</v>
      </c>
    </row>
    <row r="36" customFormat="false" ht="15" hidden="false" customHeight="false" outlineLevel="0" collapsed="false">
      <c r="A36" s="21" t="s">
        <v>1151</v>
      </c>
      <c r="B36" s="16" t="s">
        <v>1152</v>
      </c>
      <c r="C36" s="21" t="s">
        <v>1089</v>
      </c>
      <c r="D36" s="21" t="s">
        <v>1104</v>
      </c>
      <c r="E36" s="21" t="n">
        <v>181</v>
      </c>
      <c r="F36" s="28" t="n">
        <v>7731204</v>
      </c>
      <c r="G36" s="28" t="n">
        <f aca="false">F36*365/E36</f>
        <v>15590549.5027624</v>
      </c>
      <c r="H36" s="28" t="n">
        <v>168510</v>
      </c>
      <c r="I36" s="28" t="n">
        <v>3512113</v>
      </c>
      <c r="J36" s="92" t="n">
        <v>45.88</v>
      </c>
      <c r="K36" s="57" t="n">
        <v>-0.068</v>
      </c>
      <c r="L36" s="45" t="n">
        <v>0</v>
      </c>
      <c r="M36" s="45" t="n">
        <v>0.509</v>
      </c>
      <c r="N36" s="45" t="n">
        <v>0.115</v>
      </c>
      <c r="O36" s="21" t="s">
        <v>1101</v>
      </c>
    </row>
    <row r="37" customFormat="false" ht="15" hidden="false" customHeight="false" outlineLevel="0" collapsed="false">
      <c r="A37" s="21" t="s">
        <v>1153</v>
      </c>
      <c r="B37" s="16" t="s">
        <v>1154</v>
      </c>
      <c r="C37" s="21" t="s">
        <v>347</v>
      </c>
      <c r="D37" s="21" t="s">
        <v>866</v>
      </c>
      <c r="E37" s="21" t="n">
        <v>26</v>
      </c>
      <c r="F37" s="28" t="n">
        <v>1063910</v>
      </c>
      <c r="G37" s="28" t="n">
        <f aca="false">F37*365/E37</f>
        <v>14935659.6153846</v>
      </c>
      <c r="H37" s="28" t="n">
        <v>31905</v>
      </c>
      <c r="I37" s="28" t="n">
        <v>486162</v>
      </c>
      <c r="J37" s="92" t="n">
        <v>33.35</v>
      </c>
      <c r="K37" s="104" t="n">
        <v>0</v>
      </c>
      <c r="L37" s="45" t="n">
        <v>0</v>
      </c>
      <c r="M37" s="45" t="n">
        <v>0.601</v>
      </c>
      <c r="N37" s="45" t="n">
        <v>0.114</v>
      </c>
      <c r="O37" s="21" t="s">
        <v>105</v>
      </c>
    </row>
    <row r="38" customFormat="false" ht="15" hidden="false" customHeight="false" outlineLevel="0" collapsed="false">
      <c r="A38" s="21" t="s">
        <v>1155</v>
      </c>
      <c r="B38" s="16" t="s">
        <v>1156</v>
      </c>
      <c r="C38" s="21" t="s">
        <v>350</v>
      </c>
      <c r="D38" s="21" t="s">
        <v>868</v>
      </c>
      <c r="E38" s="21" t="n">
        <v>181</v>
      </c>
      <c r="F38" s="28" t="n">
        <v>7305589</v>
      </c>
      <c r="G38" s="28" t="n">
        <f aca="false">F38*365/E38</f>
        <v>14732265.1104972</v>
      </c>
      <c r="H38" s="28" t="n">
        <v>169734</v>
      </c>
      <c r="I38" s="28" t="n">
        <v>3406904</v>
      </c>
      <c r="J38" s="92" t="n">
        <v>43.04</v>
      </c>
      <c r="K38" s="105" t="n">
        <v>0.083</v>
      </c>
      <c r="L38" s="45" t="n">
        <v>0.015</v>
      </c>
      <c r="M38" s="45" t="n">
        <v>0.459</v>
      </c>
      <c r="N38" s="45" t="n">
        <v>0.167</v>
      </c>
      <c r="O38" s="21" t="s">
        <v>1090</v>
      </c>
    </row>
    <row r="39" customFormat="false" ht="15" hidden="false" customHeight="false" outlineLevel="0" collapsed="false">
      <c r="A39" s="21" t="s">
        <v>1157</v>
      </c>
      <c r="B39" s="16" t="s">
        <v>1158</v>
      </c>
      <c r="C39" s="21" t="s">
        <v>1089</v>
      </c>
      <c r="D39" s="21" t="s">
        <v>862</v>
      </c>
      <c r="E39" s="21" t="n">
        <v>181</v>
      </c>
      <c r="F39" s="28" t="n">
        <v>6769350</v>
      </c>
      <c r="G39" s="28" t="n">
        <f aca="false">F39*365/E39</f>
        <v>13650899.1712707</v>
      </c>
      <c r="H39" s="28" t="n">
        <v>97200</v>
      </c>
      <c r="I39" s="28" t="n">
        <v>3076219</v>
      </c>
      <c r="J39" s="92" t="n">
        <v>69.64</v>
      </c>
      <c r="K39" s="57" t="n">
        <v>-0.126</v>
      </c>
      <c r="L39" s="45" t="n">
        <v>0.002</v>
      </c>
      <c r="M39" s="45" t="n">
        <v>0.497</v>
      </c>
      <c r="N39" s="45" t="n">
        <v>0.106</v>
      </c>
      <c r="O39" s="21" t="s">
        <v>1090</v>
      </c>
    </row>
    <row r="40" customFormat="false" ht="15" hidden="false" customHeight="false" outlineLevel="0" collapsed="false">
      <c r="A40" s="21" t="s">
        <v>1159</v>
      </c>
      <c r="B40" s="16" t="s">
        <v>1160</v>
      </c>
      <c r="C40" s="21" t="s">
        <v>347</v>
      </c>
      <c r="D40" s="21" t="s">
        <v>868</v>
      </c>
      <c r="E40" s="21" t="n">
        <v>181</v>
      </c>
      <c r="F40" s="28" t="n">
        <v>6763759</v>
      </c>
      <c r="G40" s="28" t="n">
        <f aca="false">F40*365/E40</f>
        <v>13639624.5027624</v>
      </c>
      <c r="H40" s="28" t="n">
        <v>97406</v>
      </c>
      <c r="I40" s="28" t="n">
        <v>3314721</v>
      </c>
      <c r="J40" s="92" t="n">
        <v>69.44</v>
      </c>
      <c r="K40" s="45" t="n">
        <v>-0.044</v>
      </c>
      <c r="L40" s="45" t="n">
        <v>0</v>
      </c>
      <c r="M40" s="45" t="n">
        <v>1</v>
      </c>
      <c r="N40" s="45" t="n">
        <v>0.373</v>
      </c>
      <c r="O40" s="21" t="s">
        <v>1090</v>
      </c>
    </row>
    <row r="41" customFormat="false" ht="15" hidden="false" customHeight="false" outlineLevel="0" collapsed="false">
      <c r="A41" s="21" t="s">
        <v>1161</v>
      </c>
      <c r="B41" s="16" t="s">
        <v>1162</v>
      </c>
      <c r="C41" s="21" t="s">
        <v>1089</v>
      </c>
      <c r="D41" s="21" t="s">
        <v>868</v>
      </c>
      <c r="E41" s="21" t="n">
        <v>181</v>
      </c>
      <c r="F41" s="28" t="n">
        <v>6600956</v>
      </c>
      <c r="G41" s="28" t="n">
        <f aca="false">F41*365/E41</f>
        <v>13311320.1104972</v>
      </c>
      <c r="H41" s="28" t="n">
        <v>146007</v>
      </c>
      <c r="I41" s="28" t="n">
        <v>2925368</v>
      </c>
      <c r="J41" s="92" t="n">
        <v>45.21</v>
      </c>
      <c r="K41" s="57" t="n">
        <v>-0.121</v>
      </c>
      <c r="L41" s="45" t="n">
        <v>0</v>
      </c>
      <c r="M41" s="45" t="n">
        <v>1</v>
      </c>
      <c r="N41" s="45" t="n">
        <v>0</v>
      </c>
      <c r="O41" s="21" t="s">
        <v>1090</v>
      </c>
    </row>
    <row r="42" customFormat="false" ht="15" hidden="false" customHeight="false" outlineLevel="0" collapsed="false">
      <c r="A42" s="21" t="s">
        <v>1163</v>
      </c>
      <c r="B42" s="16" t="s">
        <v>1164</v>
      </c>
      <c r="C42" s="21" t="s">
        <v>347</v>
      </c>
      <c r="D42" s="21" t="s">
        <v>866</v>
      </c>
      <c r="E42" s="21" t="n">
        <v>68</v>
      </c>
      <c r="F42" s="28" t="n">
        <v>2479043</v>
      </c>
      <c r="G42" s="28" t="n">
        <f aca="false">F42*365/E42</f>
        <v>13306627.8676471</v>
      </c>
      <c r="H42" s="28" t="n">
        <v>54370</v>
      </c>
      <c r="I42" s="28" t="n">
        <v>1114635</v>
      </c>
      <c r="J42" s="92" t="n">
        <v>45.6</v>
      </c>
      <c r="K42" s="104" t="n">
        <v>0</v>
      </c>
      <c r="L42" s="45" t="n">
        <v>0</v>
      </c>
      <c r="M42" s="45" t="n">
        <v>0.475</v>
      </c>
      <c r="N42" s="45" t="n">
        <v>0.056</v>
      </c>
      <c r="O42" s="20" t="s">
        <v>1098</v>
      </c>
    </row>
    <row r="43" customFormat="false" ht="15" hidden="false" customHeight="false" outlineLevel="0" collapsed="false">
      <c r="A43" s="21" t="s">
        <v>1165</v>
      </c>
      <c r="B43" s="16" t="s">
        <v>1166</v>
      </c>
      <c r="C43" s="21" t="s">
        <v>1094</v>
      </c>
      <c r="D43" s="21" t="s">
        <v>1125</v>
      </c>
      <c r="E43" s="21" t="n">
        <v>181</v>
      </c>
      <c r="F43" s="28" t="n">
        <v>6302158</v>
      </c>
      <c r="G43" s="28" t="n">
        <f aca="false">F43*365/E43</f>
        <v>12708771.6574586</v>
      </c>
      <c r="H43" s="28" t="n">
        <v>123912</v>
      </c>
      <c r="I43" s="28" t="n">
        <v>2839338</v>
      </c>
      <c r="J43" s="92" t="n">
        <v>50.86</v>
      </c>
      <c r="K43" s="105" t="n">
        <v>0.082</v>
      </c>
      <c r="L43" s="45" t="n">
        <v>0.007</v>
      </c>
      <c r="M43" s="45" t="n">
        <v>0.307</v>
      </c>
      <c r="N43" s="45" t="n">
        <v>0.077</v>
      </c>
      <c r="O43" s="21" t="s">
        <v>1137</v>
      </c>
    </row>
    <row r="44" customFormat="false" ht="15" hidden="false" customHeight="false" outlineLevel="0" collapsed="false">
      <c r="A44" s="21" t="s">
        <v>1167</v>
      </c>
      <c r="B44" s="16" t="s">
        <v>962</v>
      </c>
      <c r="C44" s="21" t="s">
        <v>1168</v>
      </c>
      <c r="D44" s="21" t="s">
        <v>868</v>
      </c>
      <c r="E44" s="21" t="n">
        <v>181</v>
      </c>
      <c r="F44" s="28" t="n">
        <v>6083371</v>
      </c>
      <c r="G44" s="28" t="n">
        <f aca="false">F44*365/E44</f>
        <v>12267571.3535912</v>
      </c>
      <c r="H44" s="28" t="n">
        <v>107035</v>
      </c>
      <c r="I44" s="28" t="n">
        <v>2759664</v>
      </c>
      <c r="J44" s="92" t="n">
        <v>56.84</v>
      </c>
      <c r="K44" s="105" t="n">
        <v>0.327</v>
      </c>
      <c r="L44" s="45" t="n">
        <v>0.003</v>
      </c>
      <c r="M44" s="45" t="n">
        <v>0.284</v>
      </c>
      <c r="N44" s="45" t="n">
        <v>0.066</v>
      </c>
      <c r="O44" s="20" t="s">
        <v>1098</v>
      </c>
    </row>
    <row r="45" customFormat="false" ht="15" hidden="false" customHeight="false" outlineLevel="0" collapsed="false">
      <c r="A45" s="21" t="s">
        <v>1169</v>
      </c>
      <c r="B45" s="16" t="s">
        <v>959</v>
      </c>
      <c r="C45" s="21" t="s">
        <v>1170</v>
      </c>
      <c r="D45" s="21" t="s">
        <v>866</v>
      </c>
      <c r="E45" s="21" t="n">
        <v>181</v>
      </c>
      <c r="F45" s="28" t="n">
        <v>5976488</v>
      </c>
      <c r="G45" s="28" t="n">
        <f aca="false">F45*365/E45</f>
        <v>12052033.8121547</v>
      </c>
      <c r="H45" s="28" t="n">
        <v>79761</v>
      </c>
      <c r="I45" s="28" t="n">
        <v>2940822</v>
      </c>
      <c r="J45" s="92" t="n">
        <v>74.93</v>
      </c>
      <c r="K45" s="45" t="n">
        <v>-0.029</v>
      </c>
      <c r="L45" s="45" t="n">
        <v>0.002</v>
      </c>
      <c r="M45" s="45" t="n">
        <v>0.336</v>
      </c>
      <c r="N45" s="45" t="n">
        <v>0.392</v>
      </c>
      <c r="O45" s="20" t="s">
        <v>1098</v>
      </c>
    </row>
    <row r="46" customFormat="false" ht="15" hidden="false" customHeight="false" outlineLevel="0" collapsed="false">
      <c r="A46" s="21" t="s">
        <v>1171</v>
      </c>
      <c r="B46" s="16" t="s">
        <v>1172</v>
      </c>
      <c r="C46" s="21" t="s">
        <v>1089</v>
      </c>
      <c r="D46" s="21" t="s">
        <v>868</v>
      </c>
      <c r="E46" s="21" t="n">
        <v>181</v>
      </c>
      <c r="F46" s="28" t="n">
        <v>5721087</v>
      </c>
      <c r="G46" s="28" t="n">
        <f aca="false">F46*365/E46</f>
        <v>11536998.6464088</v>
      </c>
      <c r="H46" s="28" t="n">
        <v>106073</v>
      </c>
      <c r="I46" s="28" t="n">
        <v>2694118</v>
      </c>
      <c r="J46" s="92" t="n">
        <v>53.94</v>
      </c>
      <c r="K46" s="57" t="n">
        <v>-0.123</v>
      </c>
      <c r="L46" s="45" t="n">
        <v>0</v>
      </c>
      <c r="M46" s="45" t="n">
        <v>1</v>
      </c>
      <c r="N46" s="45" t="n">
        <v>0.236</v>
      </c>
      <c r="O46" s="21" t="s">
        <v>1095</v>
      </c>
    </row>
    <row r="47" customFormat="false" ht="15" hidden="false" customHeight="false" outlineLevel="0" collapsed="false">
      <c r="A47" s="21" t="s">
        <v>1173</v>
      </c>
      <c r="B47" s="16" t="s">
        <v>963</v>
      </c>
      <c r="C47" s="21" t="s">
        <v>347</v>
      </c>
      <c r="D47" s="21" t="s">
        <v>1174</v>
      </c>
      <c r="E47" s="21" t="n">
        <v>181</v>
      </c>
      <c r="F47" s="28" t="n">
        <v>5714308</v>
      </c>
      <c r="G47" s="28" t="n">
        <f aca="false">F47*365/E47</f>
        <v>11523328.2872928</v>
      </c>
      <c r="H47" s="28" t="n">
        <v>117578</v>
      </c>
      <c r="I47" s="28" t="n">
        <v>2650896</v>
      </c>
      <c r="J47" s="92" t="n">
        <v>48.6</v>
      </c>
      <c r="K47" s="45" t="n">
        <v>-0.009</v>
      </c>
      <c r="L47" s="45" t="n">
        <v>0.007</v>
      </c>
      <c r="M47" s="45" t="n">
        <v>0.531</v>
      </c>
      <c r="N47" s="45" t="n">
        <v>0.184</v>
      </c>
      <c r="O47" s="21" t="s">
        <v>1137</v>
      </c>
    </row>
    <row r="48" customFormat="false" ht="15" hidden="false" customHeight="false" outlineLevel="0" collapsed="false">
      <c r="A48" s="21" t="s">
        <v>1175</v>
      </c>
      <c r="B48" s="16" t="s">
        <v>1176</v>
      </c>
      <c r="C48" s="21" t="s">
        <v>361</v>
      </c>
      <c r="D48" s="21" t="s">
        <v>866</v>
      </c>
      <c r="E48" s="21" t="n">
        <v>181</v>
      </c>
      <c r="F48" s="28" t="n">
        <v>4846644</v>
      </c>
      <c r="G48" s="28" t="n">
        <f aca="false">F48*365/E48</f>
        <v>9773619.1160221</v>
      </c>
      <c r="H48" s="28" t="n">
        <v>84802</v>
      </c>
      <c r="I48" s="28" t="n">
        <v>2153145</v>
      </c>
      <c r="J48" s="92" t="n">
        <v>57.15</v>
      </c>
      <c r="K48" s="105" t="n">
        <v>0.064</v>
      </c>
      <c r="L48" s="45" t="n">
        <v>0</v>
      </c>
      <c r="M48" s="45" t="n">
        <v>0</v>
      </c>
      <c r="N48" s="45" t="n">
        <v>0</v>
      </c>
      <c r="O48" s="21" t="s">
        <v>1090</v>
      </c>
    </row>
    <row r="49" customFormat="false" ht="15" hidden="false" customHeight="false" outlineLevel="0" collapsed="false">
      <c r="A49" s="21" t="s">
        <v>1177</v>
      </c>
      <c r="B49" s="16" t="s">
        <v>1178</v>
      </c>
      <c r="C49" s="21" t="s">
        <v>361</v>
      </c>
      <c r="D49" s="21" t="s">
        <v>1125</v>
      </c>
      <c r="E49" s="21" t="n">
        <v>181</v>
      </c>
      <c r="F49" s="28" t="n">
        <v>4569369</v>
      </c>
      <c r="G49" s="28" t="n">
        <f aca="false">F49*365/E49</f>
        <v>9214473.39779006</v>
      </c>
      <c r="H49" s="28" t="n">
        <v>72735</v>
      </c>
      <c r="I49" s="28" t="n">
        <v>2133587</v>
      </c>
      <c r="J49" s="92" t="n">
        <v>62.82</v>
      </c>
      <c r="K49" s="105" t="n">
        <v>0.256</v>
      </c>
      <c r="L49" s="45" t="n">
        <v>0</v>
      </c>
      <c r="M49" s="45" t="n">
        <v>0.355</v>
      </c>
      <c r="N49" s="45" t="n">
        <v>0.201</v>
      </c>
      <c r="O49" s="21" t="s">
        <v>1090</v>
      </c>
    </row>
    <row r="50" customFormat="false" ht="15" hidden="false" customHeight="false" outlineLevel="0" collapsed="false">
      <c r="A50" s="21" t="s">
        <v>1179</v>
      </c>
      <c r="B50" s="16" t="s">
        <v>1180</v>
      </c>
      <c r="C50" s="21" t="s">
        <v>1089</v>
      </c>
      <c r="D50" s="21" t="s">
        <v>868</v>
      </c>
      <c r="E50" s="21" t="n">
        <v>181</v>
      </c>
      <c r="F50" s="28" t="n">
        <v>4331347</v>
      </c>
      <c r="G50" s="28" t="n">
        <f aca="false">F50*365/E50</f>
        <v>8734484.28176796</v>
      </c>
      <c r="H50" s="28" t="n">
        <v>82571</v>
      </c>
      <c r="I50" s="28" t="n">
        <v>1912969</v>
      </c>
      <c r="J50" s="92" t="n">
        <v>52.46</v>
      </c>
      <c r="K50" s="57" t="n">
        <v>-0.249</v>
      </c>
      <c r="L50" s="45" t="n">
        <v>0</v>
      </c>
      <c r="M50" s="45" t="n">
        <v>1</v>
      </c>
      <c r="N50" s="45" t="n">
        <v>0</v>
      </c>
      <c r="O50" s="21" t="s">
        <v>1095</v>
      </c>
    </row>
    <row r="51" customFormat="false" ht="15" hidden="false" customHeight="false" outlineLevel="0" collapsed="false">
      <c r="A51" s="21" t="s">
        <v>1181</v>
      </c>
      <c r="B51" s="16" t="s">
        <v>1182</v>
      </c>
      <c r="C51" s="21" t="s">
        <v>1089</v>
      </c>
      <c r="D51" s="21" t="s">
        <v>868</v>
      </c>
      <c r="E51" s="21" t="n">
        <v>56</v>
      </c>
      <c r="F51" s="28" t="n">
        <v>1285957</v>
      </c>
      <c r="G51" s="28" t="n">
        <f aca="false">F51*365/E51</f>
        <v>8381684.01785714</v>
      </c>
      <c r="H51" s="28" t="n">
        <v>25265</v>
      </c>
      <c r="I51" s="28" t="n">
        <v>568922</v>
      </c>
      <c r="J51" s="92" t="n">
        <v>50.9</v>
      </c>
      <c r="K51" s="104" t="n">
        <v>0</v>
      </c>
      <c r="L51" s="45" t="n">
        <v>0</v>
      </c>
      <c r="M51" s="45" t="n">
        <v>0.372</v>
      </c>
      <c r="N51" s="45" t="n">
        <v>0</v>
      </c>
      <c r="O51" s="21" t="s">
        <v>105</v>
      </c>
    </row>
    <row r="52" customFormat="false" ht="15" hidden="false" customHeight="false" outlineLevel="0" collapsed="false">
      <c r="A52" s="21" t="s">
        <v>1183</v>
      </c>
      <c r="B52" s="16" t="s">
        <v>1184</v>
      </c>
      <c r="C52" s="21" t="s">
        <v>1094</v>
      </c>
      <c r="D52" s="21" t="s">
        <v>1125</v>
      </c>
      <c r="E52" s="21" t="n">
        <v>181</v>
      </c>
      <c r="F52" s="28" t="n">
        <v>3783052</v>
      </c>
      <c r="G52" s="28" t="n">
        <f aca="false">F52*365/E52</f>
        <v>7628806.51933702</v>
      </c>
      <c r="H52" s="28" t="n">
        <v>82333</v>
      </c>
      <c r="I52" s="28" t="n">
        <v>1672588</v>
      </c>
      <c r="J52" s="92" t="n">
        <v>45.95</v>
      </c>
      <c r="K52" s="105" t="n">
        <v>0.137</v>
      </c>
      <c r="L52" s="45" t="n">
        <v>0.008</v>
      </c>
      <c r="M52" s="45" t="n">
        <v>0.335</v>
      </c>
      <c r="N52" s="45" t="n">
        <v>0.017</v>
      </c>
      <c r="O52" s="21" t="s">
        <v>1101</v>
      </c>
    </row>
    <row r="53" customFormat="false" ht="15" hidden="false" customHeight="false" outlineLevel="0" collapsed="false">
      <c r="A53" s="21" t="s">
        <v>1185</v>
      </c>
      <c r="B53" s="16" t="s">
        <v>967</v>
      </c>
      <c r="C53" s="21" t="s">
        <v>350</v>
      </c>
      <c r="D53" s="21" t="s">
        <v>868</v>
      </c>
      <c r="E53" s="21" t="n">
        <v>181</v>
      </c>
      <c r="F53" s="28" t="n">
        <v>3334226</v>
      </c>
      <c r="G53" s="28" t="n">
        <f aca="false">F53*365/E53</f>
        <v>6723715.41436464</v>
      </c>
      <c r="H53" s="28" t="n">
        <v>60202</v>
      </c>
      <c r="I53" s="28" t="n">
        <v>1601535</v>
      </c>
      <c r="J53" s="92" t="n">
        <v>55.38</v>
      </c>
      <c r="K53" s="45" t="n">
        <v>0.045</v>
      </c>
      <c r="L53" s="45" t="n">
        <v>0.015</v>
      </c>
      <c r="M53" s="45" t="n">
        <v>0.375</v>
      </c>
      <c r="N53" s="45" t="n">
        <v>0.292</v>
      </c>
      <c r="O53" s="21" t="s">
        <v>1101</v>
      </c>
    </row>
    <row r="54" customFormat="false" ht="15" hidden="false" customHeight="false" outlineLevel="0" collapsed="false">
      <c r="A54" s="21" t="s">
        <v>1186</v>
      </c>
      <c r="B54" s="16" t="s">
        <v>969</v>
      </c>
      <c r="C54" s="21" t="s">
        <v>352</v>
      </c>
      <c r="D54" s="21" t="s">
        <v>866</v>
      </c>
      <c r="E54" s="21" t="n">
        <v>181</v>
      </c>
      <c r="F54" s="28" t="n">
        <v>3179944</v>
      </c>
      <c r="G54" s="28" t="n">
        <f aca="false">F54*365/E54</f>
        <v>6412594.25414365</v>
      </c>
      <c r="H54" s="28" t="n">
        <v>59244</v>
      </c>
      <c r="I54" s="28" t="n">
        <v>1431054</v>
      </c>
      <c r="J54" s="92" t="n">
        <v>53.68</v>
      </c>
      <c r="K54" s="45" t="n">
        <v>-0.028</v>
      </c>
      <c r="L54" s="45" t="n">
        <v>0</v>
      </c>
      <c r="M54" s="45" t="n">
        <v>1</v>
      </c>
      <c r="N54" s="45" t="n">
        <v>0.077</v>
      </c>
      <c r="O54" s="21" t="s">
        <v>1090</v>
      </c>
    </row>
    <row r="55" customFormat="false" ht="15" hidden="false" customHeight="false" outlineLevel="0" collapsed="false">
      <c r="A55" s="21" t="s">
        <v>1187</v>
      </c>
      <c r="B55" s="16" t="s">
        <v>1188</v>
      </c>
      <c r="C55" s="21" t="s">
        <v>347</v>
      </c>
      <c r="D55" s="21" t="s">
        <v>1125</v>
      </c>
      <c r="E55" s="21" t="n">
        <v>181</v>
      </c>
      <c r="F55" s="28" t="n">
        <v>2708911</v>
      </c>
      <c r="G55" s="28" t="n">
        <f aca="false">F55*365/E55</f>
        <v>5462721.07734807</v>
      </c>
      <c r="H55" s="28" t="n">
        <v>50827</v>
      </c>
      <c r="I55" s="28" t="n">
        <v>1262094</v>
      </c>
      <c r="J55" s="92" t="n">
        <v>53.3</v>
      </c>
      <c r="K55" s="105" t="n">
        <v>0.188</v>
      </c>
      <c r="L55" s="45" t="n">
        <v>0.005</v>
      </c>
      <c r="M55" s="45" t="n">
        <v>0.408</v>
      </c>
      <c r="N55" s="45" t="n">
        <v>0.18</v>
      </c>
      <c r="O55" s="20" t="s">
        <v>1098</v>
      </c>
    </row>
    <row r="56" customFormat="false" ht="15" hidden="false" customHeight="false" outlineLevel="0" collapsed="false">
      <c r="A56" s="21" t="s">
        <v>1189</v>
      </c>
      <c r="B56" s="16" t="s">
        <v>1190</v>
      </c>
      <c r="C56" s="21" t="s">
        <v>347</v>
      </c>
      <c r="D56" s="21" t="s">
        <v>868</v>
      </c>
      <c r="E56" s="21" t="n">
        <v>181</v>
      </c>
      <c r="F56" s="28" t="n">
        <v>2574779</v>
      </c>
      <c r="G56" s="28" t="n">
        <f aca="false">F56*365/E56</f>
        <v>5192233.89502762</v>
      </c>
      <c r="H56" s="28" t="n">
        <v>73820</v>
      </c>
      <c r="I56" s="28" t="n">
        <v>1204453</v>
      </c>
      <c r="J56" s="92" t="n">
        <v>34.88</v>
      </c>
      <c r="K56" s="105" t="n">
        <v>0.06</v>
      </c>
      <c r="L56" s="45" t="n">
        <v>0</v>
      </c>
      <c r="M56" s="45" t="n">
        <v>1</v>
      </c>
      <c r="N56" s="45" t="n">
        <v>0.194</v>
      </c>
      <c r="O56" s="21" t="s">
        <v>1101</v>
      </c>
    </row>
    <row r="57" customFormat="false" ht="15" hidden="false" customHeight="false" outlineLevel="0" collapsed="false">
      <c r="A57" s="21" t="s">
        <v>1191</v>
      </c>
      <c r="B57" s="16" t="s">
        <v>344</v>
      </c>
      <c r="C57" s="21" t="s">
        <v>345</v>
      </c>
      <c r="D57" s="21" t="s">
        <v>866</v>
      </c>
      <c r="E57" s="21" t="n">
        <v>39</v>
      </c>
      <c r="F57" s="28" t="n">
        <v>436617</v>
      </c>
      <c r="G57" s="28" t="n">
        <f aca="false">F57*365/E57</f>
        <v>4086287.30769231</v>
      </c>
      <c r="H57" s="28" t="n">
        <v>7649</v>
      </c>
      <c r="I57" s="28" t="n">
        <v>206212</v>
      </c>
      <c r="J57" s="92" t="n">
        <v>57.08</v>
      </c>
      <c r="K57" s="104" t="n">
        <v>0</v>
      </c>
      <c r="L57" s="45" t="n">
        <v>0</v>
      </c>
      <c r="M57" s="45" t="n">
        <v>0.4</v>
      </c>
      <c r="N57" s="45" t="n">
        <v>0.249</v>
      </c>
      <c r="O57" s="20" t="s">
        <v>1098</v>
      </c>
    </row>
    <row r="58" customFormat="false" ht="15" hidden="false" customHeight="false" outlineLevel="0" collapsed="false">
      <c r="A58" s="21" t="s">
        <v>1192</v>
      </c>
      <c r="B58" s="16" t="s">
        <v>974</v>
      </c>
      <c r="C58" s="21" t="s">
        <v>1193</v>
      </c>
      <c r="D58" s="21" t="s">
        <v>866</v>
      </c>
      <c r="E58" s="21" t="n">
        <v>6</v>
      </c>
      <c r="F58" s="28" t="n">
        <v>46160</v>
      </c>
      <c r="G58" s="28" t="n">
        <f aca="false">F58*365/E58</f>
        <v>2808066.66666667</v>
      </c>
      <c r="H58" s="28" t="n">
        <v>924</v>
      </c>
      <c r="I58" s="28" t="n">
        <v>21693</v>
      </c>
      <c r="J58" s="92" t="n">
        <v>49.96</v>
      </c>
      <c r="K58" s="104" t="n">
        <v>0</v>
      </c>
      <c r="L58" s="45" t="n">
        <v>0</v>
      </c>
      <c r="M58" s="45" t="n">
        <v>0.505</v>
      </c>
      <c r="N58" s="45" t="n">
        <v>0.167</v>
      </c>
      <c r="O58" s="20" t="s">
        <v>1098</v>
      </c>
    </row>
    <row r="59" customFormat="false" ht="15" hidden="false" customHeight="false" outlineLevel="0" collapsed="false">
      <c r="A59" s="67" t="s">
        <v>1194</v>
      </c>
      <c r="B59" s="24" t="s">
        <v>123</v>
      </c>
      <c r="F59" s="106" t="n">
        <f aca="false">SUM(F4:F58)</f>
        <v>502415662</v>
      </c>
      <c r="G59" s="106" t="n">
        <f aca="false">SUM(G4:G58)</f>
        <v>1271395370.83428</v>
      </c>
      <c r="H59" s="106" t="n">
        <f aca="false">SUM(H4:H58)</f>
        <v>8824895</v>
      </c>
      <c r="I59" s="106" t="n">
        <f aca="false">SUM(I4:I58)</f>
        <v>219475297</v>
      </c>
    </row>
    <row r="61" customFormat="false" ht="30" hidden="false" customHeight="true" outlineLevel="0" collapsed="false">
      <c r="A61" s="107" t="s">
        <v>1195</v>
      </c>
      <c r="B61" s="107"/>
      <c r="C61" s="107"/>
      <c r="D61" s="107"/>
      <c r="E61" s="107"/>
      <c r="F61" s="107"/>
      <c r="G61" s="107"/>
      <c r="H61" s="107"/>
      <c r="I61" s="107"/>
      <c r="J61" s="107"/>
      <c r="K61" s="107"/>
      <c r="L61" s="107"/>
      <c r="M61" s="107"/>
      <c r="N61" s="107"/>
      <c r="O61" s="107"/>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2026-08-02T10:13:35Z</dcterms:created>
  <dc:creator>openpyxl</dc:creator>
  <dc:description/>
  <dc:language>en-US</dc:language>
  <cp:lastModifiedBy/>
  <dcterms:modified xsi:type="dcterms:W3CDTF">2026-08-02T10:13:35Z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