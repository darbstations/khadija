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الخطة التنفيذية" sheetId="6" state="visible" r:id="rId8"/>
    <sheet name="المستهدفات الربعية" sheetId="7" state="visible" r:id="rId9"/>
    <sheet name="المبادرات" sheetId="8" state="visible" r:id="rId10"/>
    <sheet name="المحطات"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<sst xmlns="http://schemas.openxmlformats.org/spreadsheetml/2006/main" count="902" uniqueCount="554">
  <si>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</si>
  <si>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</si>
  <si>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</si>
  <si>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</si>
  <si>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</si>
  <si>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</si>
  <si>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</si>
  <si>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</si>
  <si>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</si>
  <si>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</si>
  <si>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</si>
  <si>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</si>
  <si>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</si>
  <si>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</si>
  <si>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</si>
  <si>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المحطات</t>
  </si>
  <si>
    <t xml:space="preserve">بيانات 55 محطة (النصف الأول 2026) لربط المنافذ بالمواقع.</t>
  </si>
  <si>
    <t xml:space="preserve">دليل الألوان</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</si>
  <si>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</si>
  <si>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</si>
  <si>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</si>
  <si>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</si>
  <si>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</si>
  <si>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</si>
  <si>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</si>
  <si>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</si>
  <si>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حالة المنفذ</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</si>
  <si>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</si>
  <si>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</si>
  <si>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</si>
  <si>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</si>
  <si>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</si>
  <si>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</si>
  <si>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</si>
  <si>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</si>
  <si>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</si>
  <si>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</si>
  <si>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</si>
  <si>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</si>
  <si>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</si>
  <si>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</si>
  <si>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</si>
  <si>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</si>
  <si>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</si>
  <si>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</si>
  <si>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</si>
  <si>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</si>
  <si>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</si>
  <si>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</si>
  <si>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</si>
  <si>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</si>
  <si>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</si>
  <si>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</si>
  <si>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</si>
  <si>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</si>
  <si>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</si>
  <si>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</si>
  <si>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</si>
  <si>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</si>
  <si>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</si>
  <si>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</si>
  <si>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</si>
  <si>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</si>
  <si>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t>
  </si>
  <si>
    <t xml:space="preserve">إشغال 25% · 192 وحدة شاغرة · 73 محطة بلا نشاط</t>
  </si>
  <si>
    <t xml:space="preserve">75% من الوحدات شاغرة</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</si>
  <si>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</si>
  <si>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</si>
  <si>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</si>
  <si>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</si>
  <si>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</si>
  <si>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</si>
  <si>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</si>
  <si>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</si>
  <si>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</si>
  <si>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</si>
  <si>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</si>
  <si>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</si>
  <si>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</si>
  <si>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</si>
  <si>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</si>
  <si>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</si>
  <si>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</si>
  <si>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</si>
  <si>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</si>
  <si>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</si>
  <si>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</si>
  <si>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</si>
  <si>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</si>
  <si>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</si>
  <si>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</si>
  <si>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</si>
  <si>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</si>
  <si>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</si>
  <si>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</si>
  <si>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</si>
  <si>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</si>
  <si>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</si>
  <si>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t>
  </si>
  <si>
    <t xml:space="preserve">EVIQ</t>
  </si>
  <si>
    <t xml:space="preserve">5,000+ شاحن في 1,000 موقع · شراكة PIF والسعودية للكهرباء</t>
  </si>
  <si>
    <t xml:space="preserve">النافذة تُغلق</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</si>
  <si>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</si>
  <si>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</si>
  <si>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</si>
  <si>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</si>
  <si>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</si>
  <si>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</si>
  <si>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</si>
  <si>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</si>
  <si>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</si>
  <si>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</si>
  <si>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</si>
  <si>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</si>
  <si>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</si>
  <si>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</si>
  <si>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</si>
  <si>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</si>
  <si>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</si>
  <si>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</si>
  <si>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</si>
  <si>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</si>
  <si>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</si>
  <si>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</si>
  <si>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</si>
  <si>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</si>
  <si>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</si>
  <si>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</si>
  <si>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</si>
  <si>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</si>
  <si>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1,383 محطة · 18.95% حصة (Q2 2026) · +83 محطة في النصف الأول 2026 · ربح صافٍ 421.8 مليون ريال 2025 (+22%)</t>
  </si>
  <si>
    <t xml:space="preserve">الوقود · الامتياز والتوريد · الديزل بالجملة · البطاقات (واعي)</t>
  </si>
  <si>
    <t xml:space="preserve">الحجم والانتشار وسرعة ضمّ المستقلين · واعي يثبّت الأسطول بحاجز تقني</t>
  </si>
  <si>
    <t xml:space="preserve">أدواته محصورة في شبكته — واعي لا يعمل خارج محطات الدريس</t>
  </si>
  <si>
    <t xml:space="preserve">لا ننافسه على اللتر بل على الربح لكل زيارة — ونستحوذ على المنافذ التي لا يلعب فيها</t>
  </si>
  <si>
    <t xml:space="preserve">argaam.com — نتائج 2025 وحصص الربع الرابع</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</si>
  <si>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</si>
  <si>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</si>
  <si>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</si>
  <si>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</si>
  <si>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</si>
  <si>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</si>
  <si>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</si>
  <si>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</si>
  <si>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</si>
  <si>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</si>
  <si>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</si>
  <si>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</si>
  <si>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</si>
  <si>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</si>
  <si>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</si>
  <si>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</si>
  <si>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</si>
  <si>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</si>
  <si>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بنية تحتية</t>
  </si>
  <si>
    <t xml:space="preserve">5,000+ شاحن في 1,000 موقع · شراكة صندوق الاستثمارات العامة والسعودية للكهرباء</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</si>
  <si>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</si>
  <si>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</si>
  <si>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</si>
  <si>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</si>
  <si>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</si>
  <si>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~683 محطة (مُقدَّر Q1 2026) · 653 معلن Q4 2025 · +72 محطة 2024 · +81 محطة 2025 · +30 في Q1 2026 · هدف +100 سنوياً</t>
  </si>
  <si>
    <t xml:space="preserve">الوقود · البطاقات (كنترول) · تطبيق الأفراد · الامتياز</t>
  </si>
  <si>
    <t xml:space="preserve">الوحيد الذي يجمع تطبيق أفراد ناضجاً + كنترول للشركات · نقاط تُستبدل في مطاعم محطاته</t>
  </si>
  <si>
    <t xml:space="preserve">أصغر شبكة من الدريس · أدواته محصورة في شبكته</t>
  </si>
  <si>
    <t xml:space="preserve">نقلّده في ربط التطبيق بالمستأجرين — وهو ما يجعل النقاط ذات قيمة فعلية</t>
  </si>
  <si>
    <t xml:space="preserve">sasco.com.sa · argaam.com</t>
  </si>
  <si>
    <t xml:space="preserve">سيارة آب (SyarahApp)</t>
  </si>
  <si>
    <t xml:space="preserve">منصة وساطة + شبكة</t>
  </si>
  <si>
    <t xml:space="preserve">2,500+ محطة قبول · NFC · استُحوذ عليها يوليو 2026 من مجموعة تشغّل 1,790+ محطة</t>
  </si>
  <si>
    <t xml:space="preserve">منصات إنفاق الأساطيل · الوقود</t>
  </si>
  <si>
    <t xml:space="preserve">بعد الصفقة صارت منصة + شبكة معاً — نموذج الدريس بتقنية أحدث وشبكة قبول مفتوحة</t>
  </si>
  <si>
    <t xml:space="preserve">الجهة المستحوذة وقيمة الصفقة غير معلنتين · ورقم 1,790 غير موضّح الأساس</t>
  </si>
  <si>
    <t xml:space="preserve">متابعة عاجلة — لو صحّ الرقم فهو أكبر مشغّل في المملكة، وقد يغيّر ترتيب السوق كله</t>
  </si>
  <si>
    <t xml:space="preserve">dealroom.co · entarabi.com — يوليو 2026</t>
  </si>
  <si>
    <t xml:space="preserve">قوستيشن (GoStation)</t>
  </si>
  <si>
    <t xml:space="preserve">مشغّل صغير + تطبيق</t>
  </si>
  <si>
    <t xml:space="preserve">12 محطة · المنطقة الشرقية (الخبر) · شركة هلا السعودية للخدمات البترولية</t>
  </si>
  <si>
    <t xml:space="preserve">تطبيق الأفراد (محلياً)</t>
  </si>
  <si>
    <t xml:space="preserve">منتج رقمي ناضج: محفظة لكل مركبة · ولاء متدرج · توصيل وقود</t>
  </si>
  <si>
    <t xml:space="preserve">12 محطة — لا وزن سوقي (0.16%)</t>
  </si>
  <si>
    <t xml:space="preserve">ليس تهديداً حجمياً بل مرآة: 12 محطة ومنتجه الرقمي أنضج من منتجنا بـ355</t>
  </si>
  <si>
    <t xml:space="preserve">gostation.net · Google Play</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</si>
  <si>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</si>
  <si>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</si>
  <si>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</si>
  <si>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</si>
  <si>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</si>
  <si>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</si>
  <si>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</si>
  <si>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</si>
  <si>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</si>
  <si>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</si>
  <si>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</si>
  <si>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</si>
  <si>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</si>
  <si>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</si>
  <si>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حصص سوق محطات الوقود في المملكة</t>
  </si>
  <si>
    <t xml:space="preserve">الربع الثاني 2026 — نفس فترة بياناتنا · إجمالي السوق 7,300 محطة · المصدر: أرقام</t>
  </si>
  <si>
    <t xml:space="preserve">إجمالي محطات المملكة</t>
  </si>
  <si>
    <t xml:space="preserve">الربع الثاني 2026</t>
  </si>
  <si>
    <t xml:space="preserve">الربع الرابع 2025</t>
  </si>
  <si>
    <t xml:space="preserve">السوق انكمش 300 محطة — تركّز لا نمو</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</si>
  <si>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</si>
  <si>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</si>
  <si>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</si>
  <si>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</si>
  <si>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</si>
  <si>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</si>
  <si>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</si>
  <si>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</si>
  <si>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</si>
  <si>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1,300 (Q4 2025) ← 1,383 (Q2 2026) = +83 محطة في النصف الأول. تنبيه: مصدر صحفي ذكر +183 محطة في 6 أشهر ولا يتصالح مع سلسلة الأرباع — المعتمد هنا هو المحسوب من الحصص المعلنة</t>
  </si>
  <si>
    <t xml:space="preserve">مُقدَّر</t>
  </si>
  <si>
    <t xml:space="preserve">+30 محطة في الربع الأول 2026 · الرئيس التنفيذي (مايو 2026) يقول الشبكة ≈10% · هدف +100 سنوياً</t>
  </si>
  <si>
    <t xml:space="preserve">جي أويل</t>
  </si>
  <si>
    <t xml:space="preserve">غير معلن</t>
  </si>
  <si>
    <t xml:space="preserve">آخر رقم منشور: الربع الرابع 2025</t>
  </si>
  <si>
    <t xml:space="preserve">مزايا</t>
  </si>
  <si>
    <t xml:space="preserve">أرامكو</t>
  </si>
  <si>
    <t xml:space="preserve">عبر التسهيلات للتسويق · استحوذت على سهل لخدمات الوقود</t>
  </si>
  <si>
    <t xml:space="preserve">مجموع الشركات الرئيسية</t>
  </si>
  <si>
    <t xml:space="preserve">أرقام: 32.3% عبر 2,456 محطة في الربع الرابع 2025</t>
  </si>
  <si>
    <t xml:space="preserve">المستقلون والأفراد</t>
  </si>
  <si>
    <t xml:space="preserve">السوق القابل للضمّ عبر الامتياز — ملعب المنفذ رقم ٨</t>
  </si>
  <si>
    <t xml:space="preserve">أين نقف نحن — الربع الثاني 2026</t>
  </si>
  <si>
    <t xml:space="preserve">القياس</t>
  </si>
  <si>
    <t xml:space="preserve">عدد المحطات</t>
  </si>
  <si>
    <t xml:space="preserve">الحصة</t>
  </si>
  <si>
    <t xml:space="preserve">—</t>
  </si>
  <si>
    <t xml:space="preserve">الترتيب</t>
  </si>
  <si>
    <t xml:space="preserve">درب — اسمياً (كل المنظومة)</t>
  </si>
  <si>
    <t xml:space="preserve">الثالث</t>
  </si>
  <si>
    <t xml:space="preserve">أعلى من جي أويل ومزايا وأرامكو — لكنه رقم سجل لا رقم تشغيل</t>
  </si>
  <si>
    <t xml:space="preserve">درب — تحت الهوية (126)</t>
  </si>
  <si>
    <t xml:space="preserve">الخامس</t>
  </si>
  <si>
    <t xml:space="preserve">المحطات التي تحمل علامتنا فعلاً</t>
  </si>
  <si>
    <t xml:space="preserve">درب — مشغّلة بالكامل (80)</t>
  </si>
  <si>
    <t xml:space="preserve">السادس</t>
  </si>
  <si>
    <t xml:space="preserve">49 استثماري مشغّل + 31 امتياز مكتمل الهوية — الرقم الحقيقي</t>
  </si>
  <si>
    <t xml:space="preserve">في النصف الأول 2026 — نفس فترة بياناتنا بالضبط — أضافت الدريس 83 محطة ورفعت حصتها من 17.11% إلى 18.95%. ونحن في الفترة نفسها: ميزان صافٍ −43.8 مليون ريال.</t>
  </si>
  <si>
    <t xml:space="preserve">السوق انكمش من 7,600 إلى 7,300 محطة بينما كبر الكبار — أي أن المستقلين يخرجون ويُضَمّون. هذا يفتح نافذة المنفذ رقم ٨ (الامتياز) ويغلقها في آن.</t>
  </si>
  <si>
    <t xml:space="preserve">الفارق بين «355» و«80» هو الفارق بين المركز الثالث والسادس — وهو نفس الغموض في رقم «1,790 محطة» بصفقة سيارة آب. كل رقم شبكة هنا يجب أن يُسأل: مملوكة أم امتياز أم موردة؟</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</si>
  <si>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</si>
  <si>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</si>
  <si>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</si>
  <si>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</si>
  <si>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</si>
  <si>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</si>
  <si>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</si>
  <si>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</si>
  <si>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</si>
  <si>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</si>
  <si>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</si>
  <si>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</si>
  <si>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</si>
  <si>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</si>
  <si>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</si>
  <si>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</si>
  <si>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</si>
  <si>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</si>
  <si>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</si>
  <si>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</si>
  <si>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</si>
  <si>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قوستيشن</t>
  </si>
  <si>
    <t xml:space="preserve">هلا السعودية (مشغّل)</t>
  </si>
  <si>
    <t xml:space="preserve">محفظة + ولاء متدرج (برونزي→بلاتيني) + توصيل وقود</t>
  </si>
  <si>
    <t xml:space="preserve">المنطقة الشرقية — الخبر</t>
  </si>
  <si>
    <t xml:space="preserve">منتج رقمي ناضج: محفظة لكل مركبة + توصيل وقود + مستويات عضوية</t>
  </si>
  <si>
    <t xml:space="preserve">12 محطة فقط — لا وزن سوقي</t>
  </si>
  <si>
    <t xml:space="preserve">إشارة تحذير: 12 محطة ومنتجه الرقمي أنضج من منتجنا بـ355</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</si>
  <si>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</si>
  <si>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</si>
  <si>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</si>
  <si>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</si>
  <si>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</si>
  <si>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</si>
  <si>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</si>
  <si>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</si>
  <si>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</si>
  <si>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</si>
  <si>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</si>
  <si>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نملك الزيارة: 22.5 مليون زيارة سنوياً</t>
  </si>
  <si>
    <t xml:space="preserve">0.28% — التطبيق ميت عملياً · 62.6% نقد</t>
  </si>
  <si>
    <t xml:space="preserve">بترو آب</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</si>
  <si>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</si>
  <si>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</si>
  <si>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</si>
  <si>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</si>
  <si>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</si>
  <si>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الأخطر: مقبول في نحو ثلثي محطات المملكة ويحوّلنا إلى نقطة تنفيذ</t>
  </si>
  <si>
    <t xml:space="preserve">سيارة آب</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</si>
  <si>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</si>
  <si>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</si>
  <si>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</si>
  <si>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</si>
  <si>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</si>
  <si>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</si>
  <si>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5,000+ مزوّد خدمة</t>
  </si>
  <si>
    <t xml:space="preserve">حزمة موحّدة: وقود وإطارات وزيوت وبطاريات وغسيل</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</si>
  <si>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</si>
  <si>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</si>
  <si>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</si>
  <si>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</si>
  <si>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</si>
  <si>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</si>
  <si>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</si>
  <si>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</si>
  <si>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</si>
  <si>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</si>
  <si>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</si>
  <si>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 الذي يجب ألا يُخلط</t>
  </si>
  <si>
    <t xml:space="preserve">«واعي» بطاقة/شريحة لا تطبيق — قارئ RFID داخل فوهة المضخة يعرّف المركبة ويعبّئ آلياً. ومقارنته بتطبيق أفراد خطأ تصنيفي يقود إلى قرار خاطئ.</t>
  </si>
  <si>
    <t xml:space="preserve">النمط الحاسم</t>
  </si>
  <si>
    <t xml:space="preserve">المشغّلون (الدريس · ساسكو) بنوا أدوات محصورة في شبكاتهم — واعي يعمل في محطات الدريس فقط. أما المنصات المستقلة فبنت شبكات تتجاوز أي مشغّل: بترو آب مقبولة في نحو ثلثي محطات المملكة بلا أن تملك محطة واحدة. الأداة المحصورة تحمي حصة قائمة؛ والمنصة المفتوحة تأخذ حصة الجميع.</t>
  </si>
  <si>
    <t xml:space="preserve">ما تغيّر في يوليو 2026</t>
  </si>
  <si>
    <t xml:space="preserve">سيارة آب كانت منصة بلا أصول، وبعد الاستحواذ صارت منصة + شبكة معاً — أي نموذج الدريس لكن بتقنية أحدث وشبكة قبول مفتوحة. هذا يجعل نموذج «منصة تملك محطات» هو المسار الرابح، وهو بالضبط ما نملك مقوّماته ولا نستخدمه.</t>
  </si>
  <si>
    <t xml:space="preserve">الخلاصة لنا</t>
  </si>
  <si>
    <t xml:space="preserve">لسنا متأخرين في التطبيق فحسب — نحن في السباق الخطأ. منتجنا B2C دفع وولاء (0.28%)، والمعركة الفعلية B2B ضبط إنفاق. ومقارنة 0.28% بـ500 ألف مركبة مقارنة خاطئة من أساسها: السؤال الصحيح هو من يملك عقد الأسطول.</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</si>
  <si>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</si>
  <si>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</si>
  <si>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</si>
  <si>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</si>
  <si>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</si>
  <si>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</si>
  <si>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</si>
  <si>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</si>
  <si>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</si>
  <si>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</si>
  <si>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الحالة</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</si>
  <si>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</si>
  <si>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</si>
  <si>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</si>
  <si>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</si>
  <si>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</si>
  <si>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</si>
  <si>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</si>
  <si>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</si>
  <si>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</si>
  <si>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</si>
  <si>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</si>
  <si>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</si>
  <si>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</si>
  <si>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64 من 256</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</si>
  <si>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</si>
  <si>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</si>
  <si>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</si>
  <si>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</si>
  <si>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</si>
  <si>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</si>
  <si>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</si>
  <si>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</si>
  <si>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</si>
  <si>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</si>
  <si>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</si>
  <si>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</si>
  <si>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</si>
  <si>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</si>
  <si>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</si>
  <si>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</si>
  <si>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</si>
  <si>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</si>
  <si>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</si>
  <si>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</si>
  <si>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</si>
  <si>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</si>
  <si>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</si>
  <si>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</si>
  <si>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</si>
  <si>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</si>
  <si>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</si>
  <si>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</si>
  <si>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124</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</si>
  <si>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</si>
  <si>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</si>
  <si>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</si>
  <si>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</si>
  <si>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</si>
  <si>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</si>
  <si>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</si>
  <si>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</si>
  <si>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</si>
  <si>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</si>
  <si>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</si>
  <si>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</si>
  <si>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</si>
  <si>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</si>
  <si>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</si>
  <si>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</si>
  <si>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</si>
  <si>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</si>
  <si>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</si>
  <si>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</si>
  <si>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</si>
  <si>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</si>
  <si>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الأثر المتوقع</t>
  </si>
  <si>
    <t xml:space="preserve">الإنجاز</t>
  </si>
  <si>
    <t xml:space="preserve">‹مثال› حصر الوحدات الشاغرة الـ192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</si>
  <si>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</si>
  <si>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</si>
  <si>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</si>
  <si>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</si>
  <si>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</si>
  <si>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</si>
  <si>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المحطة</t>
  </si>
  <si>
    <t xml:space="preserve">المنطقة</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</si>
  <si>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</si>
  <si>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</si>
  <si>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</si>
  <si>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</si>
  <si>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</si>
  <si>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</si>
  <si>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</si>
  <si>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النمو</t>
  </si>
  <si>
    <t xml:space="preserve">التطبيق</t>
  </si>
  <si>
    <t xml:space="preserve">النقد</t>
  </si>
  <si>
    <t xml:space="preserve">الديزل</t>
  </si>
  <si>
    <t xml:space="preserve">نشاط تجاري</t>
  </si>
  <si>
    <t xml:space="preserve">MK007</t>
  </si>
  <si>
    <t xml:space="preserve">العمرة الجديدة</t>
  </si>
  <si>
    <t xml:space="preserve">مكة</t>
  </si>
  <si>
    <t xml:space="preserve">حيوية</t>
  </si>
  <si>
    <t xml:space="preserve">3 نشاط</t>
  </si>
  <si>
    <t xml:space="preserve">MK003</t>
  </si>
  <si>
    <t xml:space="preserve">العوالي</t>
  </si>
  <si>
    <t xml:space="preserve">خط سفر</t>
  </si>
  <si>
    <t xml:space="preserve">5 نشاط</t>
  </si>
  <si>
    <t xml:space="preserve">MK004</t>
  </si>
  <si>
    <t xml:space="preserve">عاصفة الصحراء</t>
  </si>
  <si>
    <t xml:space="preserve">الطائف</t>
  </si>
  <si>
    <t xml:space="preserve">4 نشاط</t>
  </si>
  <si>
    <t xml:space="preserve">MK289</t>
  </si>
  <si>
    <t xml:space="preserve">طريق الليث - الفضيلة</t>
  </si>
  <si>
    <t xml:space="preserve">جدة</t>
  </si>
  <si>
    <t xml:space="preserve">لا يوجد</t>
  </si>
  <si>
    <t xml:space="preserve">MK072</t>
  </si>
  <si>
    <t xml:space="preserve">العزيزية</t>
  </si>
  <si>
    <t xml:space="preserve">2 نشاط</t>
  </si>
  <si>
    <t xml:space="preserve">MK046</t>
  </si>
  <si>
    <t xml:space="preserve">الحليس - طريق الجنوب</t>
  </si>
  <si>
    <t xml:space="preserve">مختلط</t>
  </si>
  <si>
    <t xml:space="preserve">MK005</t>
  </si>
  <si>
    <t xml:space="preserve">الشيباني</t>
  </si>
  <si>
    <t xml:space="preserve">MK015</t>
  </si>
  <si>
    <t xml:space="preserve">النسيم</t>
  </si>
  <si>
    <t xml:space="preserve">MK047</t>
  </si>
  <si>
    <t xml:space="preserve">القادسية</t>
  </si>
  <si>
    <t xml:space="preserve">MK028</t>
  </si>
  <si>
    <t xml:space="preserve">أحلى مساء</t>
  </si>
  <si>
    <t xml:space="preserve">MK029</t>
  </si>
  <si>
    <t xml:space="preserve">الدائري الثالث - الذكرى</t>
  </si>
  <si>
    <t xml:space="preserve">MK033</t>
  </si>
  <si>
    <t xml:space="preserve">أبو وافي العمرة</t>
  </si>
  <si>
    <t xml:space="preserve">RY075</t>
  </si>
  <si>
    <t xml:space="preserve">الدائري الشمالي</t>
  </si>
  <si>
    <t xml:space="preserve">الرياض</t>
  </si>
  <si>
    <t xml:space="preserve">MK006</t>
  </si>
  <si>
    <t xml:space="preserve">جنوب الطائف</t>
  </si>
  <si>
    <t xml:space="preserve">MK001</t>
  </si>
  <si>
    <t xml:space="preserve">جبل النور</t>
  </si>
  <si>
    <t xml:space="preserve">JA092</t>
  </si>
  <si>
    <t xml:space="preserve">الصفا - أحد المسارحة</t>
  </si>
  <si>
    <t xml:space="preserve">جازان</t>
  </si>
  <si>
    <t xml:space="preserve">غير مصنفة</t>
  </si>
  <si>
    <t xml:space="preserve">MK008</t>
  </si>
  <si>
    <t xml:space="preserve">الحسينية</t>
  </si>
  <si>
    <t xml:space="preserve">حي</t>
  </si>
  <si>
    <t xml:space="preserve">MK016</t>
  </si>
  <si>
    <t xml:space="preserve">الرصيفة</t>
  </si>
  <si>
    <t xml:space="preserve">MK210</t>
  </si>
  <si>
    <t xml:space="preserve">الفلاح - فلسطين</t>
  </si>
  <si>
    <t xml:space="preserve">MK017</t>
  </si>
  <si>
    <t xml:space="preserve">عرفات الشوقية</t>
  </si>
  <si>
    <t xml:space="preserve">MK020</t>
  </si>
  <si>
    <t xml:space="preserve">ممشى الشوقية</t>
  </si>
  <si>
    <t xml:space="preserve">MK063</t>
  </si>
  <si>
    <t xml:space="preserve">السواط - شهار</t>
  </si>
  <si>
    <t xml:space="preserve">MK064</t>
  </si>
  <si>
    <t xml:space="preserve">الجعرانة</t>
  </si>
  <si>
    <t xml:space="preserve">MK035</t>
  </si>
  <si>
    <t xml:space="preserve">الجمعية الوسام</t>
  </si>
  <si>
    <t xml:space="preserve">1 نشاط</t>
  </si>
  <si>
    <t xml:space="preserve">MK054</t>
  </si>
  <si>
    <t xml:space="preserve">طريق السيل</t>
  </si>
  <si>
    <t xml:space="preserve">MK022</t>
  </si>
  <si>
    <t xml:space="preserve">بطحاء قريش 1</t>
  </si>
  <si>
    <t xml:space="preserve">MK018</t>
  </si>
  <si>
    <t xml:space="preserve">الرصيفة المسار</t>
  </si>
  <si>
    <t xml:space="preserve">RY025</t>
  </si>
  <si>
    <t xml:space="preserve">الحمرا - طريق الملك عبدالله</t>
  </si>
  <si>
    <t xml:space="preserve">الخرج</t>
  </si>
  <si>
    <t xml:space="preserve">AS153</t>
  </si>
  <si>
    <t xml:space="preserve">مدخل محايل</t>
  </si>
  <si>
    <t xml:space="preserve">عسير</t>
  </si>
  <si>
    <t xml:space="preserve">JA069</t>
  </si>
  <si>
    <t xml:space="preserve">كورنيش جيزان</t>
  </si>
  <si>
    <t xml:space="preserve">MK014</t>
  </si>
  <si>
    <t xml:space="preserve">خليص</t>
  </si>
  <si>
    <t xml:space="preserve">MK002</t>
  </si>
  <si>
    <t xml:space="preserve">المعيصم</t>
  </si>
  <si>
    <t xml:space="preserve">MK068</t>
  </si>
  <si>
    <t xml:space="preserve">الجموم - الكنيدري</t>
  </si>
  <si>
    <t xml:space="preserve">JA348</t>
  </si>
  <si>
    <t xml:space="preserve">جنوب صبيا</t>
  </si>
  <si>
    <t xml:space="preserve">MK071</t>
  </si>
  <si>
    <t xml:space="preserve">الأجاويد</t>
  </si>
  <si>
    <t xml:space="preserve">MK084</t>
  </si>
  <si>
    <t xml:space="preserve">الكر النازل</t>
  </si>
  <si>
    <t xml:space="preserve">JA061</t>
  </si>
  <si>
    <t xml:space="preserve">طريق صبيا</t>
  </si>
  <si>
    <t xml:space="preserve">MK023</t>
  </si>
  <si>
    <t xml:space="preserve">بن درويش</t>
  </si>
  <si>
    <t xml:space="preserve">JA041</t>
  </si>
  <si>
    <t xml:space="preserve">القسوم - أحد المسارحة</t>
  </si>
  <si>
    <t xml:space="preserve">MK093</t>
  </si>
  <si>
    <t xml:space="preserve">الملك خالد</t>
  </si>
  <si>
    <t xml:space="preserve">EP051</t>
  </si>
  <si>
    <t xml:space="preserve">كورنيش الخبر</t>
  </si>
  <si>
    <t xml:space="preserve">الشرقية</t>
  </si>
  <si>
    <t xml:space="preserve">QS055</t>
  </si>
  <si>
    <t xml:space="preserve">الدائري الشرقي</t>
  </si>
  <si>
    <t xml:space="preserve">القصيم</t>
  </si>
  <si>
    <t xml:space="preserve">MK031</t>
  </si>
  <si>
    <t xml:space="preserve">بطحاء قريش 2</t>
  </si>
  <si>
    <t xml:space="preserve">JA053</t>
  </si>
  <si>
    <t xml:space="preserve">خبت نخلان</t>
  </si>
  <si>
    <t xml:space="preserve">نائية</t>
  </si>
  <si>
    <t xml:space="preserve">RY024</t>
  </si>
  <si>
    <t xml:space="preserve">غرناطة - طريق الملك عبدالله</t>
  </si>
  <si>
    <t xml:space="preserve">RY042</t>
  </si>
  <si>
    <t xml:space="preserve">الناصفة</t>
  </si>
  <si>
    <t xml:space="preserve">MK019</t>
  </si>
  <si>
    <t xml:space="preserve">الشرايع</t>
  </si>
  <si>
    <t xml:space="preserve">MK323</t>
  </si>
  <si>
    <t xml:space="preserve">جبل ثور - جوهرة النسيم</t>
  </si>
  <si>
    <t xml:space="preserve">MK099</t>
  </si>
  <si>
    <t xml:space="preserve">البيعة</t>
  </si>
  <si>
    <t xml:space="preserve">MK100</t>
  </si>
  <si>
    <t xml:space="preserve">الكوثر</t>
  </si>
  <si>
    <t xml:space="preserve">HA043</t>
  </si>
  <si>
    <t xml:space="preserve">العريفي</t>
  </si>
  <si>
    <t xml:space="preserve">حائل</t>
  </si>
  <si>
    <t xml:space="preserve">JA056</t>
  </si>
  <si>
    <t xml:space="preserve">الروابي - المودة</t>
  </si>
  <si>
    <t xml:space="preserve">JA060</t>
  </si>
  <si>
    <t xml:space="preserve">صناعية صامطة</t>
  </si>
  <si>
    <t xml:space="preserve">MD009</t>
  </si>
  <si>
    <t xml:space="preserve">طريق السلام</t>
  </si>
  <si>
    <t xml:space="preserve">المدينة المنورة</t>
  </si>
  <si>
    <t xml:space="preserve">NJ219</t>
  </si>
  <si>
    <t xml:space="preserve">المركب</t>
  </si>
  <si>
    <t xml:space="preserve">نجران</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</si>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</sst>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8">
    <numFmt numFmtId="164" formatCode="General"/>
    <numFmt numFmtId="165" formatCode="#,##0"/>
    <numFmt numFmtId="166" formatCode="0.00%"/>
    <numFmt numFmtId="167" formatCode="\+#,##0;\-#,##0;\-"/>
    <numFmt numFmtId="168" formatCode="0.0%"/>
    <numFmt numFmtId="169" formatCode="#,##0.00"/>
    <numFmt numFmtId="170" formatCode="yyyy\-mm\-dd"/>
    <numFmt numFmtId="171" formatCode="0%"/>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sz val="9"/>
      <color rgb="FFC00000"/>
      <name val="Arial"/>
      <family val="0"/>
      <charset val="1"/>
    </font>
    <font>
      <b val="true"/>
      <sz val="12"/>
      <color rgb="FF1F3864"/>
      <name val="Arial"/>
      <family val="0"/>
      <charset val="1"/>
    </font>
    <font>
      <b val="true"/>
      <sz val="10"/>
      <color rgb="FFC00000"/>
      <name val="Arial"/>
      <family val="0"/>
      <charset val="1"/>
    </font>
    <font>
      <sz val="9"/>
      <color rgb="FF44546A"/>
      <name val="Arial"/>
      <family val="0"/>
      <charset val="1"/>
    </font>
    <font>
      <b val="true"/>
      <sz val="9"/>
      <color rgb="FFC00000"/>
      <name val="Arial"/>
      <family val="0"/>
      <charset val="1"/>
    </font>
  </fonts>
  <fills count="11">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BDD7EE"/>
      </patternFill>
    </fill>
    <fill>
      <patternFill patternType="solid">
        <fgColor rgb="FFFFE699"/>
        <bgColor rgb="FFF8CBAD"/>
      </patternFill>
    </fill>
    <fill>
      <patternFill patternType="solid">
        <fgColor rgb="FFF8CBAD"/>
        <bgColor rgb="FFFFE699"/>
      </patternFill>
    </fill>
    <fill>
      <patternFill patternType="solid">
        <fgColor rgb="FFBDD7EE"/>
        <bgColor rgb="FFD9E2F3"/>
      </patternFill>
    </fill>
    <fill>
      <patternFill patternType="solid">
        <fgColor rgb="FFE7E6E6"/>
        <bgColor rgb="FFD9E2F3"/>
      </patternFill>
    </fill>
    <fill>
      <patternFill patternType="solid">
        <fgColor rgb="FF1F3864"/>
        <bgColor rgb="FF333333"/>
      </patternFill>
    </fill>
    <fill>
      <patternFill patternType="solid">
        <fgColor rgb="FFD9E2F3"/>
        <bgColor rgb="FFE7E6E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true" applyAlignment="true" applyProtection="false">
      <alignment horizontal="right" vertical="top" textRotation="0" wrapText="tru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6"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69" fontId="9" fillId="0" borderId="1" xfId="0" applyFont="true" applyBorder="true" applyAlignment="true" applyProtection="false">
      <alignment horizontal="center" vertical="center" textRotation="0" wrapText="true" indent="0" shrinkToFit="false" readingOrder="2"/>
      <protection locked="true" hidden="false"/>
    </xf>
    <xf numFmtId="170" fontId="10" fillId="3" borderId="1" xfId="0" applyFont="true" applyBorder="true" applyAlignment="true" applyProtection="false">
      <alignment horizontal="center" vertical="center" textRotation="0" wrapText="true" indent="0" shrinkToFit="false" readingOrder="2"/>
      <protection locked="true" hidden="false"/>
    </xf>
    <xf numFmtId="171" fontId="10" fillId="3" borderId="1" xfId="0" applyFont="true" applyBorder="true" applyAlignment="true" applyProtection="false">
      <alignment horizontal="center" vertical="center" textRotation="0" wrapText="true" indent="0" shrinkToFit="false" readingOrder="2"/>
      <protection locked="true" hidden="false"/>
    </xf>
    <xf numFmtId="170" fontId="8" fillId="2"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71" fontId="7" fillId="0" borderId="1" xfId="0" applyFont="true" applyBorder="true" applyAlignment="true" applyProtection="false">
      <alignment horizontal="center" vertical="center"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9E2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E7E6E6"/>
      <rgbColor rgb="FFC6E0B4"/>
      <rgbColor rgb="FFFFE699"/>
      <rgbColor rgb="FF99CCFF"/>
      <rgbColor rgb="FFFF99CC"/>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4" customFormat="false" ht="15" hidden="false" customHeight="false" outlineLevel="0" collapsed="false">
      <c r="B14" s="3" t="s">
        <v>17</v>
      </c>
    </row>
    <row r="15" customFormat="false" ht="15" hidden="false" customHeight="false" outlineLevel="0" collapsed="false">
      <c r="B15" s="5" t="s">
        <v>18</v>
      </c>
      <c r="C15" s="6" t="s">
        <v>19</v>
      </c>
    </row>
    <row r="16" customFormat="false" ht="15" hidden="false" customHeight="false" outlineLevel="0" collapsed="false">
      <c r="B16" s="7" t="s">
        <v>20</v>
      </c>
      <c r="C16" s="6" t="s">
        <v>21</v>
      </c>
    </row>
    <row r="17" customFormat="false" ht="15" hidden="false" customHeight="false" outlineLevel="0" collapsed="false">
      <c r="B17" s="8" t="s">
        <v>22</v>
      </c>
      <c r="C17" s="6" t="s">
        <v>23</v>
      </c>
    </row>
    <row r="18" customFormat="false" ht="15" hidden="false" customHeight="false" outlineLevel="0" collapsed="false">
      <c r="B18" s="9" t="s">
        <v>24</v>
      </c>
      <c r="C18" s="6" t="s">
        <v>25</v>
      </c>
    </row>
    <row r="20" customFormat="false" ht="15" hidden="false" customHeight="false" outlineLevel="0" collapsed="false">
      <c r="B20" s="3" t="s">
        <v>26</v>
      </c>
    </row>
    <row r="21" customFormat="false" ht="15" hidden="false" customHeight="false" outlineLevel="0" collapsed="false">
      <c r="B21" s="10" t="s">
        <v>27</v>
      </c>
      <c r="C21" s="6" t="s">
        <v>28</v>
      </c>
    </row>
    <row r="22" customFormat="false" ht="15" hidden="false" customHeight="false" outlineLevel="0" collapsed="false">
      <c r="B22" s="11" t="s">
        <v>29</v>
      </c>
      <c r="C22" s="6" t="s">
        <v>30</v>
      </c>
    </row>
    <row r="23" customFormat="false" ht="15" hidden="false" customHeight="false" outlineLevel="0" collapsed="false">
      <c r="B23" s="12" t="s">
        <v>31</v>
      </c>
      <c r="C23" s="6" t="s">
        <v>32</v>
      </c>
    </row>
    <row r="24" customFormat="false" ht="15" hidden="false" customHeight="false" outlineLevel="0" collapsed="false">
      <c r="B24" s="13" t="s">
        <v>33</v>
      </c>
      <c r="C24" s="6" t="s">
        <v>34</v>
      </c>
    </row>
    <row r="25" customFormat="false" ht="15" hidden="false" customHeight="false" outlineLevel="0" collapsed="false">
      <c r="B25" s="14" t="s">
        <v>35</v>
      </c>
      <c r="C25" s="6" t="s">
        <v>36</v>
      </c>
    </row>
    <row r="27" customFormat="false" ht="45.75" hidden="false" customHeight="true" outlineLevel="0" collapsed="false">
      <c r="B27" s="3" t="s">
        <v>37</v>
      </c>
      <c r="C27" s="4" t="s">
        <v>38</v>
      </c>
    </row>
    <row r="28" customFormat="false" ht="31.5" hidden="false" customHeight="true" outlineLevel="0" collapsed="false">
      <c r="B28" s="3" t="s">
        <v>39</v>
      </c>
      <c r="C28" s="4" t="s">
        <v>40</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41</v>
      </c>
      <c r="B1" s="1"/>
      <c r="C1" s="1"/>
      <c r="D1" s="1"/>
      <c r="E1" s="1"/>
      <c r="F1" s="1"/>
      <c r="G1" s="1"/>
      <c r="H1" s="1"/>
      <c r="I1" s="1"/>
      <c r="J1" s="1"/>
      <c r="K1" s="1"/>
      <c r="L1" s="1"/>
    </row>
    <row r="2" customFormat="false" ht="18" hidden="false" customHeight="true" outlineLevel="0" collapsed="false">
      <c r="A2" s="2" t="s">
        <v>42</v>
      </c>
      <c r="B2" s="2"/>
      <c r="C2" s="2"/>
      <c r="D2" s="2"/>
      <c r="E2" s="2"/>
      <c r="F2" s="2"/>
      <c r="G2" s="2"/>
      <c r="H2" s="2"/>
      <c r="I2" s="2"/>
      <c r="J2" s="2"/>
      <c r="K2" s="2"/>
      <c r="L2" s="2"/>
    </row>
    <row r="3" customFormat="false" ht="31.5" hidden="false" customHeight="true" outlineLevel="0" collapsed="false">
      <c r="A3" s="15" t="s">
        <v>43</v>
      </c>
      <c r="B3" s="15" t="s">
        <v>44</v>
      </c>
      <c r="C3" s="15" t="s">
        <v>45</v>
      </c>
      <c r="D3" s="15" t="s">
        <v>46</v>
      </c>
      <c r="E3" s="15" t="s">
        <v>47</v>
      </c>
      <c r="F3" s="15" t="s">
        <v>48</v>
      </c>
      <c r="G3" s="15" t="s">
        <v>49</v>
      </c>
      <c r="H3" s="15" t="s">
        <v>50</v>
      </c>
      <c r="I3" s="15" t="s">
        <v>51</v>
      </c>
      <c r="J3" s="15" t="s">
        <v>52</v>
      </c>
      <c r="K3" s="15" t="s">
        <v>53</v>
      </c>
      <c r="L3" s="15" t="s">
        <v>54</v>
      </c>
    </row>
    <row r="4" customFormat="false" ht="33.75" hidden="false" customHeight="true" outlineLevel="0" collapsed="false">
      <c r="A4" s="16" t="n">
        <v>1</v>
      </c>
      <c r="B4" s="17" t="s">
        <v>55</v>
      </c>
      <c r="C4" s="18" t="s">
        <v>27</v>
      </c>
      <c r="D4" s="19" t="s">
        <v>29</v>
      </c>
      <c r="E4" s="20" t="s">
        <v>31</v>
      </c>
      <c r="F4" s="21" t="s">
        <v>45</v>
      </c>
      <c r="G4" s="16" t="s">
        <v>56</v>
      </c>
      <c r="H4" s="16" t="s">
        <v>57</v>
      </c>
      <c r="I4" s="16" t="s">
        <v>58</v>
      </c>
      <c r="J4" s="16" t="s">
        <v>59</v>
      </c>
      <c r="K4" s="16" t="s">
        <v>60</v>
      </c>
      <c r="L4" s="21"/>
    </row>
    <row r="5" customFormat="false" ht="33.75" hidden="false" customHeight="true" outlineLevel="0" collapsed="false">
      <c r="A5" s="16" t="n">
        <v>2</v>
      </c>
      <c r="B5" s="17" t="s">
        <v>61</v>
      </c>
      <c r="C5" s="22" t="s">
        <v>35</v>
      </c>
      <c r="D5" s="18" t="s">
        <v>27</v>
      </c>
      <c r="E5" s="23" t="s">
        <v>33</v>
      </c>
      <c r="F5" s="21" t="s">
        <v>47</v>
      </c>
      <c r="G5" s="16" t="s">
        <v>62</v>
      </c>
      <c r="H5" s="16" t="s">
        <v>63</v>
      </c>
      <c r="I5" s="16" t="s">
        <v>64</v>
      </c>
      <c r="J5" s="16" t="s">
        <v>65</v>
      </c>
      <c r="K5" s="16" t="s">
        <v>66</v>
      </c>
      <c r="L5" s="21" t="n">
        <v>1</v>
      </c>
    </row>
    <row r="6" customFormat="false" ht="33.75" hidden="false" customHeight="true" outlineLevel="0" collapsed="false">
      <c r="A6" s="16" t="n">
        <v>3</v>
      </c>
      <c r="B6" s="17" t="s">
        <v>67</v>
      </c>
      <c r="C6" s="18" t="s">
        <v>27</v>
      </c>
      <c r="D6" s="20" t="s">
        <v>31</v>
      </c>
      <c r="E6" s="20" t="s">
        <v>31</v>
      </c>
      <c r="F6" s="21" t="s">
        <v>46</v>
      </c>
      <c r="G6" s="16" t="s">
        <v>68</v>
      </c>
      <c r="H6" s="16" t="s">
        <v>69</v>
      </c>
      <c r="I6" s="16" t="s">
        <v>70</v>
      </c>
      <c r="J6" s="16" t="s">
        <v>71</v>
      </c>
      <c r="K6" s="16" t="s">
        <v>72</v>
      </c>
      <c r="L6" s="21" t="n">
        <v>4</v>
      </c>
    </row>
    <row r="7" customFormat="false" ht="33.75" hidden="false" customHeight="true" outlineLevel="0" collapsed="false">
      <c r="A7" s="16" t="n">
        <v>4</v>
      </c>
      <c r="B7" s="17" t="s">
        <v>73</v>
      </c>
      <c r="C7" s="20" t="s">
        <v>31</v>
      </c>
      <c r="D7" s="20" t="s">
        <v>31</v>
      </c>
      <c r="E7" s="22" t="s">
        <v>35</v>
      </c>
      <c r="F7" s="21" t="s">
        <v>45</v>
      </c>
      <c r="G7" s="16" t="s">
        <v>62</v>
      </c>
      <c r="H7" s="16" t="s">
        <v>74</v>
      </c>
      <c r="I7" s="16" t="s">
        <v>75</v>
      </c>
      <c r="J7" s="16" t="s">
        <v>76</v>
      </c>
      <c r="K7" s="16" t="s">
        <v>66</v>
      </c>
      <c r="L7" s="21"/>
    </row>
    <row r="8" customFormat="false" ht="33.75" hidden="false" customHeight="true" outlineLevel="0" collapsed="false">
      <c r="A8" s="16" t="n">
        <v>5</v>
      </c>
      <c r="B8" s="17" t="s">
        <v>77</v>
      </c>
      <c r="C8" s="19" t="s">
        <v>29</v>
      </c>
      <c r="D8" s="22" t="s">
        <v>35</v>
      </c>
      <c r="E8" s="23" t="s">
        <v>33</v>
      </c>
      <c r="F8" s="21" t="s">
        <v>47</v>
      </c>
      <c r="G8" s="16" t="s">
        <v>78</v>
      </c>
      <c r="H8" s="16" t="s">
        <v>79</v>
      </c>
      <c r="I8" s="16" t="s">
        <v>80</v>
      </c>
      <c r="J8" s="16" t="s">
        <v>81</v>
      </c>
      <c r="K8" s="16" t="s">
        <v>82</v>
      </c>
      <c r="L8" s="21" t="n">
        <v>6</v>
      </c>
    </row>
    <row r="9" customFormat="false" ht="33.75" hidden="false" customHeight="true" outlineLevel="0" collapsed="false">
      <c r="A9" s="16" t="n">
        <v>6</v>
      </c>
      <c r="B9" s="17" t="s">
        <v>83</v>
      </c>
      <c r="C9" s="22" t="s">
        <v>35</v>
      </c>
      <c r="D9" s="20" t="s">
        <v>31</v>
      </c>
      <c r="E9" s="20" t="s">
        <v>31</v>
      </c>
      <c r="F9" s="21" t="s">
        <v>47</v>
      </c>
      <c r="G9" s="16" t="s">
        <v>84</v>
      </c>
      <c r="H9" s="16" t="s">
        <v>85</v>
      </c>
      <c r="I9" s="16" t="s">
        <v>86</v>
      </c>
      <c r="J9" s="16" t="s">
        <v>87</v>
      </c>
      <c r="K9" s="16" t="s">
        <v>72</v>
      </c>
      <c r="L9" s="21" t="n">
        <v>3</v>
      </c>
    </row>
    <row r="10" customFormat="false" ht="33.75" hidden="false" customHeight="true" outlineLevel="0" collapsed="false">
      <c r="A10" s="16" t="n">
        <v>7</v>
      </c>
      <c r="B10" s="17" t="s">
        <v>88</v>
      </c>
      <c r="C10" s="22" t="s">
        <v>35</v>
      </c>
      <c r="D10" s="20" t="s">
        <v>31</v>
      </c>
      <c r="E10" s="20" t="s">
        <v>31</v>
      </c>
      <c r="F10" s="21" t="s">
        <v>89</v>
      </c>
      <c r="G10" s="16" t="s">
        <v>90</v>
      </c>
      <c r="H10" s="16" t="s">
        <v>91</v>
      </c>
      <c r="I10" s="16" t="s">
        <v>92</v>
      </c>
      <c r="J10" s="16" t="s">
        <v>93</v>
      </c>
      <c r="K10" s="16" t="s">
        <v>82</v>
      </c>
      <c r="L10" s="21" t="n">
        <v>2</v>
      </c>
    </row>
    <row r="11" customFormat="false" ht="33.75" hidden="false" customHeight="true" outlineLevel="0" collapsed="false">
      <c r="A11" s="16" t="n">
        <v>8</v>
      </c>
      <c r="B11" s="17" t="s">
        <v>94</v>
      </c>
      <c r="C11" s="22" t="s">
        <v>35</v>
      </c>
      <c r="D11" s="19" t="s">
        <v>29</v>
      </c>
      <c r="E11" s="22" t="s">
        <v>35</v>
      </c>
      <c r="F11" s="21" t="s">
        <v>46</v>
      </c>
      <c r="G11" s="16" t="s">
        <v>56</v>
      </c>
      <c r="H11" s="16" t="s">
        <v>95</v>
      </c>
      <c r="I11" s="16" t="s">
        <v>96</v>
      </c>
      <c r="J11" s="16" t="s">
        <v>97</v>
      </c>
      <c r="K11" s="16" t="s">
        <v>72</v>
      </c>
      <c r="L11" s="21" t="n">
        <v>5</v>
      </c>
    </row>
    <row r="12" customFormat="false" ht="33.75" hidden="false" customHeight="true" outlineLevel="0" collapsed="false">
      <c r="A12" s="16" t="n">
        <v>9</v>
      </c>
      <c r="B12" s="17" t="s">
        <v>98</v>
      </c>
      <c r="C12" s="20" t="s">
        <v>31</v>
      </c>
      <c r="D12" s="20" t="s">
        <v>31</v>
      </c>
      <c r="E12" s="23" t="s">
        <v>33</v>
      </c>
      <c r="F12" s="21" t="s">
        <v>47</v>
      </c>
      <c r="G12" s="16" t="s">
        <v>99</v>
      </c>
      <c r="H12" s="16" t="s">
        <v>100</v>
      </c>
      <c r="I12" s="16" t="s">
        <v>75</v>
      </c>
      <c r="J12" s="16" t="s">
        <v>101</v>
      </c>
      <c r="K12" s="16" t="s">
        <v>72</v>
      </c>
      <c r="L12" s="21" t="n">
        <v>7</v>
      </c>
    </row>
    <row r="13" customFormat="false" ht="33.75" hidden="false" customHeight="true" outlineLevel="0" collapsed="false">
      <c r="A13" s="16" t="n">
        <v>10</v>
      </c>
      <c r="B13" s="17" t="s">
        <v>102</v>
      </c>
      <c r="C13" s="22" t="s">
        <v>35</v>
      </c>
      <c r="D13" s="20" t="s">
        <v>31</v>
      </c>
      <c r="E13" s="22" t="s">
        <v>35</v>
      </c>
      <c r="F13" s="21" t="s">
        <v>46</v>
      </c>
      <c r="G13" s="16" t="s">
        <v>103</v>
      </c>
      <c r="H13" s="16" t="s">
        <v>104</v>
      </c>
      <c r="I13" s="16" t="s">
        <v>75</v>
      </c>
      <c r="J13" s="16" t="s">
        <v>105</v>
      </c>
      <c r="K13" s="16" t="s">
        <v>60</v>
      </c>
      <c r="L13" s="21"/>
    </row>
    <row r="14" customFormat="false" ht="33.75" hidden="false" customHeight="true" outlineLevel="0" collapsed="false">
      <c r="A14" s="16" t="n">
        <v>11</v>
      </c>
      <c r="B14" s="17" t="s">
        <v>106</v>
      </c>
      <c r="C14" s="22" t="s">
        <v>35</v>
      </c>
      <c r="D14" s="19" t="s">
        <v>29</v>
      </c>
      <c r="E14" s="22" t="s">
        <v>35</v>
      </c>
      <c r="F14" s="21" t="s">
        <v>46</v>
      </c>
      <c r="G14" s="16" t="s">
        <v>107</v>
      </c>
      <c r="H14" s="16" t="s">
        <v>108</v>
      </c>
      <c r="I14" s="16" t="s">
        <v>109</v>
      </c>
      <c r="J14" s="16" t="s">
        <v>110</v>
      </c>
      <c r="K14" s="16" t="s">
        <v>72</v>
      </c>
      <c r="L14" s="21"/>
    </row>
    <row r="15" customFormat="false" ht="33.75" hidden="false" customHeight="true" outlineLevel="0" collapsed="false">
      <c r="A15" s="16" t="n">
        <v>12</v>
      </c>
      <c r="B15" s="17" t="s">
        <v>111</v>
      </c>
      <c r="C15" s="22" t="s">
        <v>35</v>
      </c>
      <c r="D15" s="20" t="s">
        <v>31</v>
      </c>
      <c r="E15" s="22" t="s">
        <v>35</v>
      </c>
      <c r="F15" s="21" t="s">
        <v>46</v>
      </c>
      <c r="G15" s="16" t="s">
        <v>112</v>
      </c>
      <c r="H15" s="16" t="s">
        <v>113</v>
      </c>
      <c r="I15" s="16" t="s">
        <v>114</v>
      </c>
      <c r="J15" s="16" t="s">
        <v>115</v>
      </c>
      <c r="K15" s="16" t="s">
        <v>66</v>
      </c>
      <c r="L15" s="21"/>
    </row>
    <row r="16" customFormat="false" ht="15" hidden="false" customHeight="false" outlineLevel="0" collapsed="false">
      <c r="B16" s="24" t="s">
        <v>116</v>
      </c>
      <c r="C16" s="21" t="str">
        <f aca="false">COUNTIF(C4:C15,"قائم")&amp;" قائم / "&amp;COUNTIF(C4:C15,"غائب")&amp;" غائب"</f>
        <v>2 قائم / 2 غائب</v>
      </c>
      <c r="D16" s="21" t="str">
        <f aca="false">COUNTIF(D4:D15,"قائم")&amp;" قائم / "&amp;COUNTIF(D4:D15,"غائب")&amp;" غائب"</f>
        <v>1 قائم / 7 غائب</v>
      </c>
      <c r="E16" s="21" t="str">
        <f aca="false">COUNTIF(E4:E15,"قائم")&amp;" قائم / "&amp;COUNTIF(E4:E15,"غائب")&amp;" غائب"</f>
        <v>0 قائم / 4 غائب</v>
      </c>
    </row>
    <row r="18" customFormat="false" ht="15" hidden="false" customHeight="false" outlineLevel="0" collapsed="false">
      <c r="B18" s="25" t="s">
        <v>117</v>
      </c>
      <c r="C18" s="25"/>
      <c r="D18" s="25"/>
      <c r="E18" s="25"/>
      <c r="F18" s="25"/>
      <c r="G18" s="25"/>
      <c r="H18" s="25"/>
      <c r="I18" s="25"/>
      <c r="J18" s="25"/>
    </row>
    <row r="19" customFormat="false" ht="15" hidden="false" customHeight="false" outlineLevel="0" collapsed="false">
      <c r="B19" s="25" t="s">
        <v>118</v>
      </c>
      <c r="C19" s="25"/>
      <c r="D19" s="25"/>
      <c r="E19" s="25"/>
      <c r="F19" s="25"/>
      <c r="G19" s="25"/>
      <c r="H19" s="25"/>
      <c r="I19" s="25"/>
      <c r="J19" s="25"/>
    </row>
    <row r="20" customFormat="false" ht="15" hidden="false" customHeight="false" outlineLevel="0" collapsed="false">
      <c r="B20" s="25" t="s">
        <v>119</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120</v>
      </c>
      <c r="B1" s="1"/>
      <c r="C1" s="1"/>
      <c r="D1" s="1"/>
      <c r="E1" s="1"/>
      <c r="F1" s="1"/>
      <c r="G1" s="1"/>
      <c r="H1" s="1"/>
      <c r="I1" s="1"/>
    </row>
    <row r="2" customFormat="false" ht="18" hidden="false" customHeight="true" outlineLevel="0" collapsed="false">
      <c r="A2" s="2" t="s">
        <v>121</v>
      </c>
      <c r="B2" s="2"/>
      <c r="C2" s="2"/>
      <c r="D2" s="2"/>
      <c r="E2" s="2"/>
      <c r="F2" s="2"/>
      <c r="G2" s="2"/>
      <c r="H2" s="2"/>
      <c r="I2" s="2"/>
    </row>
    <row r="3" customFormat="false" ht="31.5" hidden="false" customHeight="true" outlineLevel="0" collapsed="false">
      <c r="A3" s="15" t="s">
        <v>43</v>
      </c>
      <c r="B3" s="15" t="s">
        <v>122</v>
      </c>
      <c r="C3" s="15" t="s">
        <v>123</v>
      </c>
      <c r="D3" s="15" t="s">
        <v>124</v>
      </c>
      <c r="E3" s="15" t="s">
        <v>125</v>
      </c>
      <c r="F3" s="15" t="s">
        <v>126</v>
      </c>
      <c r="G3" s="15" t="s">
        <v>127</v>
      </c>
      <c r="H3" s="15" t="s">
        <v>128</v>
      </c>
      <c r="I3" s="15" t="s">
        <v>39</v>
      </c>
    </row>
    <row r="4" customFormat="false" ht="61.5" hidden="false" customHeight="true" outlineLevel="0" collapsed="false">
      <c r="A4" s="21" t="n">
        <v>1</v>
      </c>
      <c r="B4" s="17" t="s">
        <v>56</v>
      </c>
      <c r="C4" s="16" t="s">
        <v>129</v>
      </c>
      <c r="D4" s="16" t="s">
        <v>130</v>
      </c>
      <c r="E4" s="16" t="s">
        <v>131</v>
      </c>
      <c r="F4" s="16" t="s">
        <v>132</v>
      </c>
      <c r="G4" s="16" t="s">
        <v>133</v>
      </c>
      <c r="H4" s="16" t="s">
        <v>134</v>
      </c>
      <c r="I4" s="16" t="s">
        <v>135</v>
      </c>
    </row>
    <row r="5" customFormat="false" ht="61.5" hidden="false" customHeight="true" outlineLevel="0" collapsed="false">
      <c r="A5" s="21" t="n">
        <v>2</v>
      </c>
      <c r="B5" s="17" t="s">
        <v>136</v>
      </c>
      <c r="C5" s="16" t="s">
        <v>137</v>
      </c>
      <c r="D5" s="16" t="s">
        <v>138</v>
      </c>
      <c r="E5" s="16" t="s">
        <v>139</v>
      </c>
      <c r="F5" s="16" t="s">
        <v>140</v>
      </c>
      <c r="G5" s="16" t="s">
        <v>141</v>
      </c>
      <c r="H5" s="16" t="s">
        <v>142</v>
      </c>
      <c r="I5" s="16" t="s">
        <v>143</v>
      </c>
    </row>
    <row r="6" customFormat="false" ht="61.5" hidden="false" customHeight="true" outlineLevel="0" collapsed="false">
      <c r="A6" s="21" t="n">
        <v>3</v>
      </c>
      <c r="B6" s="17" t="s">
        <v>68</v>
      </c>
      <c r="C6" s="16" t="s">
        <v>144</v>
      </c>
      <c r="D6" s="16" t="s">
        <v>69</v>
      </c>
      <c r="E6" s="16" t="s">
        <v>67</v>
      </c>
      <c r="F6" s="16" t="s">
        <v>145</v>
      </c>
      <c r="G6" s="16" t="s">
        <v>146</v>
      </c>
      <c r="H6" s="16" t="s">
        <v>147</v>
      </c>
      <c r="I6" s="16" t="s">
        <v>148</v>
      </c>
    </row>
    <row r="7" customFormat="false" ht="61.5" hidden="false" customHeight="true" outlineLevel="0" collapsed="false">
      <c r="A7" s="21" t="n">
        <v>4</v>
      </c>
      <c r="B7" s="17" t="s">
        <v>90</v>
      </c>
      <c r="C7" s="16" t="s">
        <v>149</v>
      </c>
      <c r="D7" s="16" t="s">
        <v>150</v>
      </c>
      <c r="E7" s="16" t="s">
        <v>88</v>
      </c>
      <c r="F7" s="16" t="s">
        <v>151</v>
      </c>
      <c r="G7" s="16" t="s">
        <v>152</v>
      </c>
      <c r="H7" s="16" t="s">
        <v>153</v>
      </c>
      <c r="I7" s="16" t="s">
        <v>148</v>
      </c>
    </row>
    <row r="8" customFormat="false" ht="61.5" hidden="false" customHeight="true" outlineLevel="0" collapsed="false">
      <c r="A8" s="21" t="n">
        <v>5</v>
      </c>
      <c r="B8" s="17" t="s">
        <v>99</v>
      </c>
      <c r="C8" s="16" t="s">
        <v>154</v>
      </c>
      <c r="D8" s="16" t="s">
        <v>155</v>
      </c>
      <c r="E8" s="16" t="s">
        <v>98</v>
      </c>
      <c r="F8" s="16" t="s">
        <v>156</v>
      </c>
      <c r="G8" s="16" t="s">
        <v>157</v>
      </c>
      <c r="H8" s="16" t="s">
        <v>158</v>
      </c>
      <c r="I8" s="16" t="s">
        <v>159</v>
      </c>
    </row>
    <row r="9" customFormat="false" ht="61.5" hidden="false" customHeight="true" outlineLevel="0" collapsed="false">
      <c r="A9" s="21" t="n">
        <v>6</v>
      </c>
      <c r="B9" s="17" t="s">
        <v>160</v>
      </c>
      <c r="C9" s="16" t="s">
        <v>129</v>
      </c>
      <c r="D9" s="16" t="s">
        <v>161</v>
      </c>
      <c r="E9" s="16" t="s">
        <v>162</v>
      </c>
      <c r="F9" s="16" t="s">
        <v>163</v>
      </c>
      <c r="G9" s="16" t="s">
        <v>164</v>
      </c>
      <c r="H9" s="16" t="s">
        <v>165</v>
      </c>
      <c r="I9" s="16" t="s">
        <v>166</v>
      </c>
    </row>
    <row r="10" customFormat="false" ht="61.5" hidden="false" customHeight="true" outlineLevel="0" collapsed="false">
      <c r="A10" s="21" t="n">
        <v>9</v>
      </c>
      <c r="B10" s="17" t="s">
        <v>167</v>
      </c>
      <c r="C10" s="16" t="s">
        <v>168</v>
      </c>
      <c r="D10" s="16" t="s">
        <v>169</v>
      </c>
      <c r="E10" s="16" t="s">
        <v>170</v>
      </c>
      <c r="F10" s="16" t="s">
        <v>171</v>
      </c>
      <c r="G10" s="16" t="s">
        <v>172</v>
      </c>
      <c r="H10" s="16" t="s">
        <v>173</v>
      </c>
      <c r="I10" s="16" t="s">
        <v>174</v>
      </c>
    </row>
    <row r="11" customFormat="false" ht="61.5" hidden="false" customHeight="true" outlineLevel="0" collapsed="false">
      <c r="A11" s="21" t="n">
        <v>10</v>
      </c>
      <c r="B11" s="17" t="s">
        <v>175</v>
      </c>
      <c r="C11" s="16" t="s">
        <v>176</v>
      </c>
      <c r="D11" s="16" t="s">
        <v>177</v>
      </c>
      <c r="E11" s="16" t="s">
        <v>178</v>
      </c>
      <c r="F11" s="16" t="s">
        <v>179</v>
      </c>
      <c r="G11" s="16" t="s">
        <v>180</v>
      </c>
      <c r="H11" s="16" t="s">
        <v>181</v>
      </c>
      <c r="I11" s="16" t="s">
        <v>182</v>
      </c>
    </row>
    <row r="12" customFormat="false" ht="61.5" hidden="false" customHeight="true" outlineLevel="0" collapsed="false">
      <c r="A12" s="21" t="n">
        <v>7</v>
      </c>
      <c r="B12" s="17" t="s">
        <v>183</v>
      </c>
      <c r="C12" s="16" t="s">
        <v>137</v>
      </c>
      <c r="D12" s="16" t="s">
        <v>184</v>
      </c>
      <c r="E12" s="16" t="s">
        <v>185</v>
      </c>
      <c r="F12" s="16" t="s">
        <v>186</v>
      </c>
      <c r="G12" s="16" t="s">
        <v>187</v>
      </c>
      <c r="H12" s="16" t="s">
        <v>188</v>
      </c>
      <c r="I12" s="16" t="s">
        <v>148</v>
      </c>
    </row>
    <row r="13" customFormat="false" ht="61.5" hidden="false" customHeight="true" outlineLevel="0" collapsed="false">
      <c r="A13" s="21" t="n">
        <v>8</v>
      </c>
      <c r="B13" s="17" t="s">
        <v>189</v>
      </c>
      <c r="C13" s="16" t="s">
        <v>190</v>
      </c>
      <c r="D13" s="16" t="s">
        <v>191</v>
      </c>
      <c r="E13" s="16" t="s">
        <v>192</v>
      </c>
      <c r="F13" s="16" t="s">
        <v>193</v>
      </c>
      <c r="G13" s="16" t="s">
        <v>194</v>
      </c>
      <c r="H13" s="16" t="s">
        <v>195</v>
      </c>
      <c r="I13" s="16" t="s">
        <v>196</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4"/>
  </cols>
  <sheetData>
    <row r="1" customFormat="false" ht="25.5" hidden="false" customHeight="true" outlineLevel="0" collapsed="false">
      <c r="A1" s="1" t="s">
        <v>197</v>
      </c>
      <c r="B1" s="1"/>
      <c r="C1" s="1"/>
      <c r="D1" s="1"/>
      <c r="E1" s="1"/>
      <c r="F1" s="1"/>
      <c r="G1" s="1"/>
      <c r="H1" s="1"/>
      <c r="I1" s="1"/>
    </row>
    <row r="2" customFormat="false" ht="18" hidden="false" customHeight="true" outlineLevel="0" collapsed="false">
      <c r="A2" s="2" t="s">
        <v>198</v>
      </c>
      <c r="B2" s="2"/>
      <c r="C2" s="2"/>
      <c r="D2" s="2"/>
      <c r="E2" s="2"/>
      <c r="F2" s="2"/>
      <c r="G2" s="2"/>
      <c r="H2" s="2"/>
      <c r="I2" s="2"/>
    </row>
    <row r="3" customFormat="false" ht="15" hidden="false" customHeight="false" outlineLevel="0" collapsed="false">
      <c r="B3" s="3" t="s">
        <v>199</v>
      </c>
      <c r="C3" s="26" t="n">
        <v>7300</v>
      </c>
      <c r="D3" s="27" t="s">
        <v>200</v>
      </c>
      <c r="E3" s="28" t="n">
        <v>7600</v>
      </c>
      <c r="F3" s="27" t="s">
        <v>201</v>
      </c>
      <c r="H3" s="29" t="s">
        <v>202</v>
      </c>
    </row>
    <row r="4" customFormat="false" ht="31.5" hidden="false" customHeight="true" outlineLevel="0" collapsed="false">
      <c r="A4" s="15" t="s">
        <v>43</v>
      </c>
      <c r="B4" s="15" t="s">
        <v>203</v>
      </c>
      <c r="C4" s="15" t="s">
        <v>204</v>
      </c>
      <c r="D4" s="15" t="s">
        <v>205</v>
      </c>
      <c r="E4" s="15" t="s">
        <v>206</v>
      </c>
      <c r="F4" s="15" t="s">
        <v>207</v>
      </c>
      <c r="G4" s="15" t="s">
        <v>208</v>
      </c>
      <c r="H4" s="15" t="s">
        <v>209</v>
      </c>
      <c r="I4" s="15" t="s">
        <v>210</v>
      </c>
    </row>
    <row r="5" customFormat="false" ht="30" hidden="false" customHeight="true" outlineLevel="0" collapsed="false">
      <c r="A5" s="21" t="n">
        <v>1</v>
      </c>
      <c r="B5" s="24" t="s">
        <v>56</v>
      </c>
      <c r="C5" s="28" t="n">
        <v>1300</v>
      </c>
      <c r="D5" s="30" t="n">
        <f aca="false">IFERROR(C5/$E$3,"")</f>
        <v>0.171052631578947</v>
      </c>
      <c r="E5" s="28" t="n">
        <v>1383</v>
      </c>
      <c r="F5" s="30" t="n">
        <f aca="false">IFERROR(E5/$C$3,"")</f>
        <v>0.189452054794521</v>
      </c>
      <c r="G5" s="31" t="n">
        <f aca="false">IF(E5="","",E5-C5)</f>
        <v>83</v>
      </c>
      <c r="H5" s="18" t="s">
        <v>211</v>
      </c>
      <c r="I5" s="16" t="s">
        <v>212</v>
      </c>
    </row>
    <row r="6" customFormat="false" ht="30" hidden="false" customHeight="true" outlineLevel="0" collapsed="false">
      <c r="A6" s="21" t="n">
        <v>2</v>
      </c>
      <c r="B6" s="24" t="s">
        <v>160</v>
      </c>
      <c r="C6" s="28" t="n">
        <v>653</v>
      </c>
      <c r="D6" s="30" t="n">
        <f aca="false">IFERROR(C6/$E$3,"")</f>
        <v>0.085921052631579</v>
      </c>
      <c r="E6" s="28" t="n">
        <v>683</v>
      </c>
      <c r="F6" s="30" t="n">
        <f aca="false">IFERROR(E6/$C$3,"")</f>
        <v>0.0935616438356164</v>
      </c>
      <c r="G6" s="31" t="n">
        <f aca="false">IF(E6="","",E6-C6)</f>
        <v>30</v>
      </c>
      <c r="H6" s="19" t="s">
        <v>213</v>
      </c>
      <c r="I6" s="16" t="s">
        <v>214</v>
      </c>
    </row>
    <row r="7" customFormat="false" ht="30" hidden="false" customHeight="true" outlineLevel="0" collapsed="false">
      <c r="A7" s="21" t="n">
        <v>3</v>
      </c>
      <c r="B7" s="24" t="s">
        <v>215</v>
      </c>
      <c r="C7" s="28" t="n">
        <v>176</v>
      </c>
      <c r="D7" s="30" t="n">
        <f aca="false">IFERROR(C7/$E$3,"")</f>
        <v>0.0231578947368421</v>
      </c>
      <c r="E7" s="21"/>
      <c r="F7" s="30" t="n">
        <f aca="false">IFERROR(E7/$C$3,"")</f>
        <v>0</v>
      </c>
      <c r="G7" s="31" t="str">
        <f aca="false">IF(E7="","",E7-C7)</f>
        <v/>
      </c>
      <c r="H7" s="22" t="s">
        <v>216</v>
      </c>
      <c r="I7" s="16" t="s">
        <v>217</v>
      </c>
    </row>
    <row r="8" customFormat="false" ht="30" hidden="false" customHeight="true" outlineLevel="0" collapsed="false">
      <c r="A8" s="21" t="n">
        <v>4</v>
      </c>
      <c r="B8" s="24" t="s">
        <v>218</v>
      </c>
      <c r="C8" s="28" t="n">
        <v>173</v>
      </c>
      <c r="D8" s="30" t="n">
        <f aca="false">IFERROR(C8/$E$3,"")</f>
        <v>0.0227631578947368</v>
      </c>
      <c r="E8" s="21"/>
      <c r="F8" s="30" t="n">
        <f aca="false">IFERROR(E8/$C$3,"")</f>
        <v>0</v>
      </c>
      <c r="G8" s="31" t="str">
        <f aca="false">IF(E8="","",E8-C8)</f>
        <v/>
      </c>
      <c r="H8" s="22" t="s">
        <v>216</v>
      </c>
      <c r="I8" s="16" t="s">
        <v>217</v>
      </c>
    </row>
    <row r="9" customFormat="false" ht="30" hidden="false" customHeight="true" outlineLevel="0" collapsed="false">
      <c r="A9" s="21" t="n">
        <v>5</v>
      </c>
      <c r="B9" s="24" t="s">
        <v>219</v>
      </c>
      <c r="C9" s="28" t="n">
        <v>154</v>
      </c>
      <c r="D9" s="30" t="n">
        <f aca="false">IFERROR(C9/$E$3,"")</f>
        <v>0.0202631578947368</v>
      </c>
      <c r="E9" s="21"/>
      <c r="F9" s="30" t="n">
        <f aca="false">IFERROR(E9/$C$3,"")</f>
        <v>0</v>
      </c>
      <c r="G9" s="31" t="str">
        <f aca="false">IF(E9="","",E9-C9)</f>
        <v/>
      </c>
      <c r="H9" s="22" t="s">
        <v>216</v>
      </c>
      <c r="I9" s="16" t="s">
        <v>220</v>
      </c>
    </row>
    <row r="10" customFormat="false" ht="15" hidden="false" customHeight="false" outlineLevel="0" collapsed="false">
      <c r="A10" s="32"/>
      <c r="B10" s="33" t="s">
        <v>221</v>
      </c>
      <c r="C10" s="34" t="n">
        <f aca="false">SUM(C5:C9)</f>
        <v>2456</v>
      </c>
      <c r="D10" s="35" t="n">
        <f aca="false">IFERROR(C10/$E$3,"")</f>
        <v>0.323157894736842</v>
      </c>
      <c r="E10" s="32"/>
      <c r="F10" s="32"/>
      <c r="G10" s="32"/>
      <c r="H10" s="32"/>
      <c r="I10" s="36" t="s">
        <v>222</v>
      </c>
    </row>
    <row r="11" customFormat="false" ht="15" hidden="false" customHeight="false" outlineLevel="0" collapsed="false">
      <c r="A11" s="21"/>
      <c r="B11" s="24" t="s">
        <v>223</v>
      </c>
      <c r="C11" s="28" t="n">
        <f aca="false">$E$3-C10</f>
        <v>5144</v>
      </c>
      <c r="D11" s="30" t="n">
        <f aca="false">IFERROR(C11/$E$3,"")</f>
        <v>0.676842105263158</v>
      </c>
      <c r="E11" s="21"/>
      <c r="F11" s="21"/>
      <c r="G11" s="21"/>
      <c r="H11" s="21"/>
      <c r="I11" s="16" t="s">
        <v>224</v>
      </c>
    </row>
    <row r="13" customFormat="false" ht="15" hidden="false" customHeight="false" outlineLevel="0" collapsed="false">
      <c r="B13" s="37" t="s">
        <v>225</v>
      </c>
    </row>
    <row r="14" customFormat="false" ht="31.5" hidden="false" customHeight="true" outlineLevel="0" collapsed="false">
      <c r="A14" s="15" t="s">
        <v>43</v>
      </c>
      <c r="B14" s="15" t="s">
        <v>226</v>
      </c>
      <c r="C14" s="15" t="s">
        <v>227</v>
      </c>
      <c r="D14" s="15" t="s">
        <v>228</v>
      </c>
      <c r="E14" s="15" t="s">
        <v>229</v>
      </c>
      <c r="F14" s="15" t="s">
        <v>229</v>
      </c>
      <c r="G14" s="15" t="s">
        <v>229</v>
      </c>
      <c r="H14" s="15" t="s">
        <v>230</v>
      </c>
      <c r="I14" s="15" t="s">
        <v>210</v>
      </c>
    </row>
    <row r="15" customFormat="false" ht="25.5" hidden="false" customHeight="true" outlineLevel="0" collapsed="false">
      <c r="A15" s="21" t="n">
        <v>1</v>
      </c>
      <c r="B15" s="24" t="s">
        <v>231</v>
      </c>
      <c r="C15" s="28" t="n">
        <v>355</v>
      </c>
      <c r="D15" s="30" t="n">
        <f aca="false">C15/$C$3</f>
        <v>0.0486301369863014</v>
      </c>
      <c r="E15" s="21"/>
      <c r="F15" s="21"/>
      <c r="G15" s="21"/>
      <c r="H15" s="21" t="s">
        <v>232</v>
      </c>
      <c r="I15" s="16" t="s">
        <v>233</v>
      </c>
    </row>
    <row r="16" customFormat="false" ht="25.5" hidden="false" customHeight="true" outlineLevel="0" collapsed="false">
      <c r="A16" s="21" t="n">
        <v>2</v>
      </c>
      <c r="B16" s="24" t="s">
        <v>234</v>
      </c>
      <c r="C16" s="28" t="n">
        <v>126</v>
      </c>
      <c r="D16" s="30" t="n">
        <f aca="false">C16/$C$3</f>
        <v>0.0172602739726027</v>
      </c>
      <c r="E16" s="21"/>
      <c r="F16" s="21"/>
      <c r="G16" s="21"/>
      <c r="H16" s="21" t="s">
        <v>235</v>
      </c>
      <c r="I16" s="16" t="s">
        <v>236</v>
      </c>
    </row>
    <row r="17" customFormat="false" ht="25.5" hidden="false" customHeight="true" outlineLevel="0" collapsed="false">
      <c r="A17" s="19" t="n">
        <v>3</v>
      </c>
      <c r="B17" s="38" t="s">
        <v>237</v>
      </c>
      <c r="C17" s="39" t="n">
        <v>80</v>
      </c>
      <c r="D17" s="40" t="n">
        <f aca="false">C17/$C$3</f>
        <v>0.010958904109589</v>
      </c>
      <c r="E17" s="19"/>
      <c r="F17" s="19"/>
      <c r="G17" s="19"/>
      <c r="H17" s="19" t="s">
        <v>238</v>
      </c>
      <c r="I17" s="41" t="s">
        <v>239</v>
      </c>
    </row>
    <row r="19" customFormat="false" ht="31.5" hidden="false" customHeight="true" outlineLevel="0" collapsed="false">
      <c r="B19" s="42" t="s">
        <v>240</v>
      </c>
      <c r="C19" s="42"/>
      <c r="D19" s="42"/>
      <c r="E19" s="42"/>
      <c r="F19" s="42"/>
      <c r="G19" s="42"/>
      <c r="H19" s="42"/>
      <c r="I19" s="42"/>
    </row>
    <row r="20" customFormat="false" ht="31.5" hidden="false" customHeight="true" outlineLevel="0" collapsed="false">
      <c r="B20" s="43" t="s">
        <v>241</v>
      </c>
      <c r="C20" s="43"/>
      <c r="D20" s="43"/>
      <c r="E20" s="43"/>
      <c r="F20" s="43"/>
      <c r="G20" s="43"/>
      <c r="H20" s="43"/>
      <c r="I20" s="43"/>
    </row>
    <row r="21" customFormat="false" ht="31.5" hidden="false" customHeight="true" outlineLevel="0" collapsed="false">
      <c r="B21" s="43" t="s">
        <v>242</v>
      </c>
      <c r="C21" s="43"/>
      <c r="D21" s="43"/>
      <c r="E21" s="43"/>
      <c r="F21" s="43"/>
      <c r="G21" s="43"/>
      <c r="H21" s="43"/>
      <c r="I21" s="43"/>
    </row>
  </sheetData>
  <mergeCells count="5">
    <mergeCell ref="A1:I1"/>
    <mergeCell ref="A2:I2"/>
    <mergeCell ref="B19:I19"/>
    <mergeCell ref="B20:I20"/>
    <mergeCell ref="B21:I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243</v>
      </c>
      <c r="B1" s="1"/>
      <c r="C1" s="1"/>
      <c r="D1" s="1"/>
      <c r="E1" s="1"/>
      <c r="F1" s="1"/>
      <c r="G1" s="1"/>
      <c r="H1" s="1"/>
      <c r="I1" s="1"/>
      <c r="J1" s="1"/>
      <c r="K1" s="1"/>
      <c r="L1" s="1"/>
      <c r="M1" s="1"/>
    </row>
    <row r="2" customFormat="false" ht="18" hidden="false" customHeight="true" outlineLevel="0" collapsed="false">
      <c r="A2" s="2" t="s">
        <v>244</v>
      </c>
      <c r="B2" s="2"/>
      <c r="C2" s="2"/>
      <c r="D2" s="2"/>
      <c r="E2" s="2"/>
      <c r="F2" s="2"/>
      <c r="G2" s="2"/>
      <c r="H2" s="2"/>
      <c r="I2" s="2"/>
      <c r="J2" s="2"/>
      <c r="K2" s="2"/>
      <c r="L2" s="2"/>
      <c r="M2" s="2"/>
    </row>
    <row r="4" customFormat="false" ht="31.5" hidden="false" customHeight="true" outlineLevel="0" collapsed="false">
      <c r="A4" s="15" t="s">
        <v>43</v>
      </c>
      <c r="B4" s="15" t="s">
        <v>245</v>
      </c>
      <c r="C4" s="15" t="s">
        <v>246</v>
      </c>
      <c r="D4" s="15" t="s">
        <v>247</v>
      </c>
      <c r="E4" s="15" t="s">
        <v>248</v>
      </c>
      <c r="F4" s="15" t="s">
        <v>249</v>
      </c>
      <c r="G4" s="15" t="s">
        <v>250</v>
      </c>
      <c r="H4" s="15" t="s">
        <v>251</v>
      </c>
      <c r="I4" s="15" t="s">
        <v>252</v>
      </c>
      <c r="J4" s="15" t="s">
        <v>253</v>
      </c>
      <c r="K4" s="15" t="s">
        <v>254</v>
      </c>
      <c r="L4" s="15" t="s">
        <v>255</v>
      </c>
      <c r="M4" s="15" t="s">
        <v>256</v>
      </c>
    </row>
    <row r="5" customFormat="false" ht="55.5" hidden="false" customHeight="true" outlineLevel="0" collapsed="false">
      <c r="A5" s="21" t="n">
        <v>1</v>
      </c>
      <c r="B5" s="44" t="s">
        <v>160</v>
      </c>
      <c r="C5" s="16" t="s">
        <v>257</v>
      </c>
      <c r="D5" s="21" t="s">
        <v>258</v>
      </c>
      <c r="E5" s="16" t="s">
        <v>259</v>
      </c>
      <c r="F5" s="28" t="n">
        <v>683</v>
      </c>
      <c r="G5" s="28" t="n">
        <v>683</v>
      </c>
      <c r="H5" s="45" t="n">
        <f aca="false">IFERROR(G5/'حصص السوق'!$C$3,"")</f>
        <v>0.0935616438356164</v>
      </c>
      <c r="I5" s="16" t="s">
        <v>260</v>
      </c>
      <c r="J5" s="16" t="s">
        <v>216</v>
      </c>
      <c r="K5" s="16" t="s">
        <v>261</v>
      </c>
      <c r="L5" s="16" t="s">
        <v>262</v>
      </c>
      <c r="M5" s="16" t="s">
        <v>263</v>
      </c>
    </row>
    <row r="6" customFormat="false" ht="55.5" hidden="false" customHeight="true" outlineLevel="0" collapsed="false">
      <c r="A6" s="21" t="n">
        <v>2</v>
      </c>
      <c r="B6" s="44" t="s">
        <v>264</v>
      </c>
      <c r="C6" s="16" t="s">
        <v>265</v>
      </c>
      <c r="D6" s="21" t="s">
        <v>258</v>
      </c>
      <c r="E6" s="16" t="s">
        <v>266</v>
      </c>
      <c r="F6" s="28" t="n">
        <v>12</v>
      </c>
      <c r="G6" s="28" t="n">
        <v>12</v>
      </c>
      <c r="H6" s="45" t="n">
        <f aca="false">IFERROR(G6/'حصص السوق'!$C$3,"")</f>
        <v>0.00164383561643836</v>
      </c>
      <c r="I6" s="16" t="s">
        <v>267</v>
      </c>
      <c r="J6" s="16" t="s">
        <v>216</v>
      </c>
      <c r="K6" s="16" t="s">
        <v>268</v>
      </c>
      <c r="L6" s="16" t="s">
        <v>269</v>
      </c>
      <c r="M6" s="16" t="s">
        <v>270</v>
      </c>
    </row>
    <row r="7" customFormat="false" ht="55.5" hidden="false" customHeight="true" outlineLevel="0" collapsed="false">
      <c r="A7" s="21" t="n">
        <v>3</v>
      </c>
      <c r="B7" s="44" t="s">
        <v>219</v>
      </c>
      <c r="C7" s="16" t="s">
        <v>271</v>
      </c>
      <c r="D7" s="21" t="s">
        <v>258</v>
      </c>
      <c r="E7" s="16" t="s">
        <v>272</v>
      </c>
      <c r="F7" s="28" t="n">
        <v>154</v>
      </c>
      <c r="G7" s="28" t="n">
        <v>154</v>
      </c>
      <c r="H7" s="45" t="n">
        <f aca="false">IFERROR(G7/'حصص السوق'!$C$3,"")</f>
        <v>0.0210958904109589</v>
      </c>
      <c r="I7" s="16" t="s">
        <v>273</v>
      </c>
      <c r="J7" s="16" t="s">
        <v>216</v>
      </c>
      <c r="K7" s="16" t="s">
        <v>274</v>
      </c>
      <c r="L7" s="16" t="s">
        <v>275</v>
      </c>
      <c r="M7" s="16" t="s">
        <v>276</v>
      </c>
    </row>
    <row r="8" customFormat="false" ht="55.5" hidden="false" customHeight="true" outlineLevel="0" collapsed="false">
      <c r="A8" s="46" t="n">
        <v>4</v>
      </c>
      <c r="B8" s="36" t="s">
        <v>277</v>
      </c>
      <c r="C8" s="47" t="s">
        <v>278</v>
      </c>
      <c r="D8" s="46" t="s">
        <v>258</v>
      </c>
      <c r="E8" s="47" t="s">
        <v>279</v>
      </c>
      <c r="F8" s="48" t="n">
        <v>355</v>
      </c>
      <c r="G8" s="48" t="n">
        <v>355</v>
      </c>
      <c r="H8" s="49" t="n">
        <f aca="false">IFERROR(G8/'حصص السوق'!$C$3,"")</f>
        <v>0.0486301369863014</v>
      </c>
      <c r="I8" s="47" t="s">
        <v>280</v>
      </c>
      <c r="J8" s="47" t="s">
        <v>281</v>
      </c>
      <c r="K8" s="47" t="s">
        <v>282</v>
      </c>
      <c r="L8" s="47" t="s">
        <v>283</v>
      </c>
      <c r="M8" s="47" t="s">
        <v>229</v>
      </c>
    </row>
    <row r="9" customFormat="false" ht="55.5" hidden="false" customHeight="true" outlineLevel="0" collapsed="false">
      <c r="A9" s="21" t="n">
        <v>5</v>
      </c>
      <c r="B9" s="50" t="s">
        <v>284</v>
      </c>
      <c r="C9" s="16" t="s">
        <v>285</v>
      </c>
      <c r="D9" s="21" t="s">
        <v>46</v>
      </c>
      <c r="E9" s="16" t="s">
        <v>286</v>
      </c>
      <c r="F9" s="28" t="n">
        <v>0</v>
      </c>
      <c r="G9" s="28" t="n">
        <v>5000</v>
      </c>
      <c r="H9" s="45" t="n">
        <f aca="false">IFERROR(G9/'حصص السوق'!$C$3,"")</f>
        <v>0.684931506849315</v>
      </c>
      <c r="I9" s="16" t="s">
        <v>287</v>
      </c>
      <c r="J9" s="16" t="s">
        <v>288</v>
      </c>
      <c r="K9" s="16" t="s">
        <v>289</v>
      </c>
      <c r="L9" s="16" t="s">
        <v>141</v>
      </c>
      <c r="M9" s="16" t="s">
        <v>290</v>
      </c>
    </row>
    <row r="10" customFormat="false" ht="55.5" hidden="false" customHeight="true" outlineLevel="0" collapsed="false">
      <c r="A10" s="21" t="n">
        <v>6</v>
      </c>
      <c r="B10" s="50" t="s">
        <v>291</v>
      </c>
      <c r="C10" s="16" t="s">
        <v>292</v>
      </c>
      <c r="D10" s="21" t="s">
        <v>46</v>
      </c>
      <c r="E10" s="16" t="s">
        <v>286</v>
      </c>
      <c r="F10" s="28" t="n">
        <v>1790</v>
      </c>
      <c r="G10" s="28" t="n">
        <v>2500</v>
      </c>
      <c r="H10" s="45" t="n">
        <f aca="false">IFERROR(G10/'حصص السوق'!$C$3,"")</f>
        <v>0.342465753424658</v>
      </c>
      <c r="I10" s="16" t="s">
        <v>273</v>
      </c>
      <c r="J10" s="16" t="s">
        <v>216</v>
      </c>
      <c r="K10" s="16" t="s">
        <v>293</v>
      </c>
      <c r="L10" s="16" t="s">
        <v>294</v>
      </c>
      <c r="M10" s="16" t="s">
        <v>295</v>
      </c>
    </row>
    <row r="11" customFormat="false" ht="55.5" hidden="false" customHeight="true" outlineLevel="0" collapsed="false">
      <c r="A11" s="21" t="n">
        <v>7</v>
      </c>
      <c r="B11" s="50" t="s">
        <v>183</v>
      </c>
      <c r="C11" s="16" t="s">
        <v>296</v>
      </c>
      <c r="D11" s="21" t="s">
        <v>46</v>
      </c>
      <c r="E11" s="16" t="s">
        <v>297</v>
      </c>
      <c r="F11" s="28" t="n">
        <v>0</v>
      </c>
      <c r="G11" s="28" t="n">
        <v>5000</v>
      </c>
      <c r="H11" s="45" t="n">
        <f aca="false">IFERROR(G11/'حصص السوق'!$C$3,"")</f>
        <v>0.684931506849315</v>
      </c>
      <c r="I11" s="16" t="s">
        <v>273</v>
      </c>
      <c r="J11" s="16" t="s">
        <v>298</v>
      </c>
      <c r="K11" s="16" t="s">
        <v>299</v>
      </c>
      <c r="L11" s="16" t="s">
        <v>187</v>
      </c>
      <c r="M11" s="16" t="s">
        <v>300</v>
      </c>
    </row>
    <row r="12" customFormat="false" ht="55.5" hidden="false" customHeight="true" outlineLevel="0" collapsed="false">
      <c r="A12" s="21" t="n">
        <v>8</v>
      </c>
      <c r="B12" s="51" t="s">
        <v>301</v>
      </c>
      <c r="C12" s="16" t="s">
        <v>56</v>
      </c>
      <c r="D12" s="21" t="s">
        <v>46</v>
      </c>
      <c r="E12" s="16" t="s">
        <v>302</v>
      </c>
      <c r="F12" s="28" t="n">
        <v>1383</v>
      </c>
      <c r="G12" s="28" t="n">
        <v>1383</v>
      </c>
      <c r="H12" s="45" t="n">
        <f aca="false">IFERROR(G12/'حصص السوق'!$C$3,"")</f>
        <v>0.189452054794521</v>
      </c>
      <c r="I12" s="16" t="s">
        <v>273</v>
      </c>
      <c r="J12" s="16" t="s">
        <v>216</v>
      </c>
      <c r="K12" s="16" t="s">
        <v>303</v>
      </c>
      <c r="L12" s="16" t="s">
        <v>304</v>
      </c>
      <c r="M12" s="16" t="s">
        <v>305</v>
      </c>
    </row>
    <row r="13" customFormat="false" ht="55.5" hidden="false" customHeight="true" outlineLevel="0" collapsed="false">
      <c r="A13" s="21" t="n">
        <v>9</v>
      </c>
      <c r="B13" s="51" t="s">
        <v>306</v>
      </c>
      <c r="C13" s="16" t="s">
        <v>160</v>
      </c>
      <c r="D13" s="21" t="s">
        <v>46</v>
      </c>
      <c r="E13" s="16" t="s">
        <v>307</v>
      </c>
      <c r="F13" s="28" t="n">
        <v>683</v>
      </c>
      <c r="G13" s="28" t="n">
        <v>683</v>
      </c>
      <c r="H13" s="45" t="n">
        <f aca="false">IFERROR(G13/'حصص السوق'!$C$3,"")</f>
        <v>0.0935616438356164</v>
      </c>
      <c r="I13" s="16" t="s">
        <v>273</v>
      </c>
      <c r="J13" s="16" t="s">
        <v>216</v>
      </c>
      <c r="K13" s="16" t="s">
        <v>308</v>
      </c>
      <c r="L13" s="16" t="s">
        <v>309</v>
      </c>
      <c r="M13" s="16" t="s">
        <v>310</v>
      </c>
    </row>
    <row r="15" customFormat="false" ht="39.75" hidden="false" customHeight="true" outlineLevel="0" collapsed="false">
      <c r="B15" s="52" t="s">
        <v>311</v>
      </c>
      <c r="C15" s="53" t="s">
        <v>312</v>
      </c>
      <c r="D15" s="53"/>
      <c r="E15" s="53"/>
      <c r="F15" s="53"/>
      <c r="G15" s="53"/>
      <c r="H15" s="53"/>
      <c r="I15" s="53"/>
      <c r="J15" s="53"/>
      <c r="K15" s="53"/>
      <c r="L15" s="53"/>
      <c r="M15" s="53"/>
    </row>
    <row r="16" customFormat="false" ht="39.75" hidden="false" customHeight="true" outlineLevel="0" collapsed="false">
      <c r="B16" s="52" t="s">
        <v>313</v>
      </c>
      <c r="C16" s="53" t="s">
        <v>314</v>
      </c>
      <c r="D16" s="53"/>
      <c r="E16" s="53"/>
      <c r="F16" s="53"/>
      <c r="G16" s="53"/>
      <c r="H16" s="53"/>
      <c r="I16" s="53"/>
      <c r="J16" s="53"/>
      <c r="K16" s="53"/>
      <c r="L16" s="53"/>
      <c r="M16" s="53"/>
    </row>
    <row r="17" customFormat="false" ht="39.75" hidden="false" customHeight="true" outlineLevel="0" collapsed="false">
      <c r="B17" s="52" t="s">
        <v>315</v>
      </c>
      <c r="C17" s="53" t="s">
        <v>316</v>
      </c>
      <c r="D17" s="53"/>
      <c r="E17" s="53"/>
      <c r="F17" s="53"/>
      <c r="G17" s="53"/>
      <c r="H17" s="53"/>
      <c r="I17" s="53"/>
      <c r="J17" s="53"/>
      <c r="K17" s="53"/>
      <c r="L17" s="53"/>
      <c r="M17" s="53"/>
    </row>
    <row r="18" customFormat="false" ht="39.75" hidden="false" customHeight="true" outlineLevel="0" collapsed="false">
      <c r="B18" s="52" t="s">
        <v>317</v>
      </c>
      <c r="C18" s="53" t="s">
        <v>318</v>
      </c>
      <c r="D18" s="53"/>
      <c r="E18" s="53"/>
      <c r="F18" s="53"/>
      <c r="G18" s="53"/>
      <c r="H18" s="53"/>
      <c r="I18" s="53"/>
      <c r="J18" s="53"/>
      <c r="K18" s="53"/>
      <c r="L18" s="53"/>
      <c r="M18" s="53"/>
    </row>
  </sheetData>
  <mergeCells count="6">
    <mergeCell ref="A1:M1"/>
    <mergeCell ref="A2:M2"/>
    <mergeCell ref="C15:M15"/>
    <mergeCell ref="C16:M16"/>
    <mergeCell ref="C17:M17"/>
    <mergeCell ref="C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319</v>
      </c>
      <c r="B1" s="1"/>
      <c r="C1" s="1"/>
      <c r="D1" s="1"/>
      <c r="E1" s="1"/>
      <c r="F1" s="1"/>
      <c r="G1" s="1"/>
      <c r="H1" s="1"/>
      <c r="I1" s="1"/>
      <c r="J1" s="1"/>
      <c r="K1" s="1"/>
      <c r="L1" s="1"/>
      <c r="M1" s="1"/>
      <c r="N1" s="1"/>
      <c r="O1" s="1"/>
    </row>
    <row r="2" customFormat="false" ht="18" hidden="false" customHeight="true" outlineLevel="0" collapsed="false">
      <c r="A2" s="2" t="s">
        <v>320</v>
      </c>
      <c r="B2" s="2"/>
      <c r="C2" s="2"/>
      <c r="D2" s="2"/>
      <c r="E2" s="2"/>
      <c r="F2" s="2"/>
      <c r="G2" s="2"/>
      <c r="H2" s="2"/>
      <c r="I2" s="2"/>
      <c r="J2" s="2"/>
      <c r="K2" s="2"/>
      <c r="L2" s="2"/>
      <c r="M2" s="2"/>
      <c r="N2" s="2"/>
      <c r="O2" s="2"/>
    </row>
    <row r="3" customFormat="false" ht="31.5" hidden="false" customHeight="true" outlineLevel="0" collapsed="false">
      <c r="A3" s="15" t="s">
        <v>43</v>
      </c>
      <c r="B3" s="15" t="s">
        <v>44</v>
      </c>
      <c r="C3" s="15" t="s">
        <v>48</v>
      </c>
      <c r="D3" s="15" t="s">
        <v>49</v>
      </c>
      <c r="E3" s="15" t="s">
        <v>321</v>
      </c>
      <c r="F3" s="15" t="s">
        <v>322</v>
      </c>
      <c r="G3" s="15" t="s">
        <v>323</v>
      </c>
      <c r="H3" s="15" t="s">
        <v>324</v>
      </c>
      <c r="I3" s="15" t="s">
        <v>52</v>
      </c>
      <c r="J3" s="15" t="s">
        <v>325</v>
      </c>
      <c r="K3" s="15" t="s">
        <v>326</v>
      </c>
      <c r="L3" s="15" t="s">
        <v>53</v>
      </c>
      <c r="M3" s="15" t="s">
        <v>327</v>
      </c>
      <c r="N3" s="15" t="s">
        <v>328</v>
      </c>
      <c r="O3" s="15" t="s">
        <v>329</v>
      </c>
    </row>
    <row r="4" customFormat="false" ht="30" hidden="false" customHeight="true" outlineLevel="0" collapsed="false">
      <c r="A4" s="54" t="s">
        <v>330</v>
      </c>
      <c r="B4" s="55" t="s">
        <v>331</v>
      </c>
      <c r="C4" s="54" t="s">
        <v>46</v>
      </c>
      <c r="D4" s="55" t="s">
        <v>332</v>
      </c>
      <c r="E4" s="54" t="n">
        <v>6</v>
      </c>
      <c r="F4" s="54" t="s">
        <v>333</v>
      </c>
      <c r="G4" s="55" t="s">
        <v>334</v>
      </c>
      <c r="H4" s="54" t="n">
        <v>20</v>
      </c>
      <c r="I4" s="54" t="n">
        <f aca="false">IF(H4="","",H4-E4)</f>
        <v>14</v>
      </c>
      <c r="J4" s="56" t="n">
        <f aca="false">IFERROR(IF(H4="","",(H4-E4)/E4),"")</f>
        <v>2.33333333333333</v>
      </c>
      <c r="K4" s="55" t="s">
        <v>335</v>
      </c>
      <c r="L4" s="54" t="s">
        <v>72</v>
      </c>
      <c r="M4" s="55" t="s">
        <v>336</v>
      </c>
      <c r="N4" s="55" t="s">
        <v>337</v>
      </c>
      <c r="O4" s="54" t="s">
        <v>338</v>
      </c>
    </row>
    <row r="5" customFormat="false" ht="30" hidden="false" customHeight="true" outlineLevel="0" collapsed="false">
      <c r="A5" s="21" t="n">
        <v>1</v>
      </c>
      <c r="B5" s="17" t="s">
        <v>55</v>
      </c>
      <c r="C5" s="21" t="s">
        <v>45</v>
      </c>
      <c r="D5" s="16" t="s">
        <v>56</v>
      </c>
      <c r="E5" s="57" t="n">
        <v>1271</v>
      </c>
      <c r="F5" s="21" t="s">
        <v>339</v>
      </c>
      <c r="G5" s="16" t="s">
        <v>340</v>
      </c>
      <c r="H5" s="58"/>
      <c r="I5" s="57" t="str">
        <f aca="false">IF(H5="","",H5-E5)</f>
        <v/>
      </c>
      <c r="J5" s="45" t="str">
        <f aca="false">IFERROR(IF(H5="","",(H5-E5)/E5),"")</f>
        <v/>
      </c>
      <c r="K5" s="59"/>
      <c r="L5" s="21" t="s">
        <v>60</v>
      </c>
      <c r="M5" s="59"/>
      <c r="N5" s="16" t="s">
        <v>341</v>
      </c>
      <c r="O5" s="60"/>
    </row>
    <row r="6" customFormat="false" ht="30" hidden="false" customHeight="true" outlineLevel="0" collapsed="false">
      <c r="A6" s="21" t="n">
        <v>2</v>
      </c>
      <c r="B6" s="17" t="s">
        <v>61</v>
      </c>
      <c r="C6" s="21" t="s">
        <v>47</v>
      </c>
      <c r="D6" s="16" t="s">
        <v>62</v>
      </c>
      <c r="E6" s="57" t="n">
        <v>25</v>
      </c>
      <c r="F6" s="21" t="s">
        <v>342</v>
      </c>
      <c r="G6" s="16" t="s">
        <v>343</v>
      </c>
      <c r="H6" s="58"/>
      <c r="I6" s="57" t="str">
        <f aca="false">IF(H6="","",H6-E6)</f>
        <v/>
      </c>
      <c r="J6" s="45" t="str">
        <f aca="false">IFERROR(IF(H6="","",(H6-E6)/E6),"")</f>
        <v/>
      </c>
      <c r="K6" s="59"/>
      <c r="L6" s="21" t="s">
        <v>66</v>
      </c>
      <c r="M6" s="59"/>
      <c r="N6" s="16" t="s">
        <v>344</v>
      </c>
      <c r="O6" s="60"/>
    </row>
    <row r="7" customFormat="false" ht="30" hidden="false" customHeight="true" outlineLevel="0" collapsed="false">
      <c r="A7" s="21" t="n">
        <v>3</v>
      </c>
      <c r="B7" s="17" t="s">
        <v>67</v>
      </c>
      <c r="C7" s="21" t="s">
        <v>46</v>
      </c>
      <c r="D7" s="16" t="s">
        <v>68</v>
      </c>
      <c r="E7" s="57" t="n">
        <v>39</v>
      </c>
      <c r="F7" s="21" t="s">
        <v>345</v>
      </c>
      <c r="G7" s="16" t="s">
        <v>334</v>
      </c>
      <c r="H7" s="58"/>
      <c r="I7" s="57" t="str">
        <f aca="false">IF(H7="","",H7-E7)</f>
        <v/>
      </c>
      <c r="J7" s="45" t="str">
        <f aca="false">IFERROR(IF(H7="","",(H7-E7)/E7),"")</f>
        <v/>
      </c>
      <c r="K7" s="59"/>
      <c r="L7" s="21" t="s">
        <v>72</v>
      </c>
      <c r="M7" s="59"/>
      <c r="N7" s="16" t="s">
        <v>346</v>
      </c>
      <c r="O7" s="60"/>
    </row>
    <row r="8" customFormat="false" ht="30" hidden="false" customHeight="true" outlineLevel="0" collapsed="false">
      <c r="A8" s="21" t="n">
        <v>4</v>
      </c>
      <c r="B8" s="17" t="s">
        <v>73</v>
      </c>
      <c r="C8" s="21" t="s">
        <v>45</v>
      </c>
      <c r="D8" s="16" t="s">
        <v>62</v>
      </c>
      <c r="E8" s="57" t="n">
        <v>0</v>
      </c>
      <c r="F8" s="21" t="s">
        <v>347</v>
      </c>
      <c r="G8" s="16" t="s">
        <v>348</v>
      </c>
      <c r="H8" s="58"/>
      <c r="I8" s="57" t="str">
        <f aca="false">IF(H8="","",H8-E8)</f>
        <v/>
      </c>
      <c r="J8" s="45" t="str">
        <f aca="false">IFERROR(IF(H8="","",(H8-E8)/E8),"")</f>
        <v/>
      </c>
      <c r="K8" s="59"/>
      <c r="L8" s="21" t="s">
        <v>66</v>
      </c>
      <c r="M8" s="59"/>
      <c r="N8" s="16" t="s">
        <v>349</v>
      </c>
      <c r="O8" s="60"/>
    </row>
    <row r="9" customFormat="false" ht="30" hidden="false" customHeight="true" outlineLevel="0" collapsed="false">
      <c r="A9" s="21" t="n">
        <v>5</v>
      </c>
      <c r="B9" s="17" t="s">
        <v>350</v>
      </c>
      <c r="C9" s="21" t="s">
        <v>47</v>
      </c>
      <c r="D9" s="16" t="s">
        <v>351</v>
      </c>
      <c r="E9" s="57" t="n">
        <v>0.28</v>
      </c>
      <c r="F9" s="21" t="s">
        <v>352</v>
      </c>
      <c r="G9" s="16" t="s">
        <v>353</v>
      </c>
      <c r="H9" s="58"/>
      <c r="I9" s="57" t="str">
        <f aca="false">IF(H9="","",H9-E9)</f>
        <v/>
      </c>
      <c r="J9" s="45" t="str">
        <f aca="false">IFERROR(IF(H9="","",(H9-E9)/E9),"")</f>
        <v/>
      </c>
      <c r="K9" s="59"/>
      <c r="L9" s="21" t="s">
        <v>82</v>
      </c>
      <c r="M9" s="59"/>
      <c r="N9" s="16" t="s">
        <v>354</v>
      </c>
      <c r="O9" s="60"/>
    </row>
    <row r="10" customFormat="false" ht="30" hidden="false" customHeight="true" outlineLevel="0" collapsed="false">
      <c r="A10" s="21" t="n">
        <v>6</v>
      </c>
      <c r="B10" s="17" t="s">
        <v>355</v>
      </c>
      <c r="C10" s="21" t="s">
        <v>47</v>
      </c>
      <c r="D10" s="16" t="s">
        <v>284</v>
      </c>
      <c r="E10" s="57" t="n">
        <v>0</v>
      </c>
      <c r="F10" s="21" t="s">
        <v>356</v>
      </c>
      <c r="G10" s="16" t="s">
        <v>357</v>
      </c>
      <c r="H10" s="58"/>
      <c r="I10" s="57" t="str">
        <f aca="false">IF(H10="","",H10-E10)</f>
        <v/>
      </c>
      <c r="J10" s="45" t="str">
        <f aca="false">IFERROR(IF(H10="","",(H10-E10)/E10),"")</f>
        <v/>
      </c>
      <c r="K10" s="59"/>
      <c r="L10" s="21" t="s">
        <v>72</v>
      </c>
      <c r="M10" s="59"/>
      <c r="N10" s="16" t="s">
        <v>358</v>
      </c>
      <c r="O10" s="60"/>
    </row>
    <row r="11" customFormat="false" ht="30" hidden="false" customHeight="true" outlineLevel="0" collapsed="false">
      <c r="A11" s="21" t="n">
        <v>7</v>
      </c>
      <c r="B11" s="17" t="s">
        <v>88</v>
      </c>
      <c r="C11" s="21" t="s">
        <v>89</v>
      </c>
      <c r="D11" s="16" t="s">
        <v>359</v>
      </c>
      <c r="E11" s="57" t="n">
        <v>0</v>
      </c>
      <c r="F11" s="21" t="s">
        <v>360</v>
      </c>
      <c r="G11" s="16" t="s">
        <v>361</v>
      </c>
      <c r="H11" s="58"/>
      <c r="I11" s="57" t="str">
        <f aca="false">IF(H11="","",H11-E11)</f>
        <v/>
      </c>
      <c r="J11" s="45" t="str">
        <f aca="false">IFERROR(IF(H11="","",(H11-E11)/E11),"")</f>
        <v/>
      </c>
      <c r="K11" s="59"/>
      <c r="L11" s="21" t="s">
        <v>82</v>
      </c>
      <c r="M11" s="59"/>
      <c r="N11" s="16" t="s">
        <v>362</v>
      </c>
      <c r="O11" s="60"/>
    </row>
    <row r="12" customFormat="false" ht="30" hidden="false" customHeight="true" outlineLevel="0" collapsed="false">
      <c r="A12" s="21" t="n">
        <v>8</v>
      </c>
      <c r="B12" s="17" t="s">
        <v>94</v>
      </c>
      <c r="C12" s="21" t="s">
        <v>46</v>
      </c>
      <c r="D12" s="16" t="s">
        <v>56</v>
      </c>
      <c r="E12" s="57" t="n">
        <v>31</v>
      </c>
      <c r="F12" s="21" t="s">
        <v>363</v>
      </c>
      <c r="G12" s="16" t="s">
        <v>364</v>
      </c>
      <c r="H12" s="58"/>
      <c r="I12" s="57" t="str">
        <f aca="false">IF(H12="","",H12-E12)</f>
        <v/>
      </c>
      <c r="J12" s="45" t="str">
        <f aca="false">IFERROR(IF(H12="","",(H12-E12)/E12),"")</f>
        <v/>
      </c>
      <c r="K12" s="59"/>
      <c r="L12" s="21" t="s">
        <v>72</v>
      </c>
      <c r="M12" s="59"/>
      <c r="N12" s="16" t="s">
        <v>365</v>
      </c>
      <c r="O12" s="60"/>
    </row>
    <row r="13" customFormat="false" ht="30" hidden="false" customHeight="true" outlineLevel="0" collapsed="false">
      <c r="A13" s="21" t="n">
        <v>9</v>
      </c>
      <c r="B13" s="17" t="s">
        <v>98</v>
      </c>
      <c r="C13" s="21" t="s">
        <v>47</v>
      </c>
      <c r="D13" s="16" t="s">
        <v>99</v>
      </c>
      <c r="E13" s="57" t="n">
        <v>0</v>
      </c>
      <c r="F13" s="21" t="s">
        <v>366</v>
      </c>
      <c r="G13" s="16" t="s">
        <v>367</v>
      </c>
      <c r="H13" s="58"/>
      <c r="I13" s="57" t="str">
        <f aca="false">IF(H13="","",H13-E13)</f>
        <v/>
      </c>
      <c r="J13" s="45" t="str">
        <f aca="false">IFERROR(IF(H13="","",(H13-E13)/E13),"")</f>
        <v/>
      </c>
      <c r="K13" s="59"/>
      <c r="L13" s="21" t="s">
        <v>72</v>
      </c>
      <c r="M13" s="59"/>
      <c r="N13" s="16" t="s">
        <v>368</v>
      </c>
      <c r="O13" s="60"/>
    </row>
    <row r="14" customFormat="false" ht="30" hidden="false" customHeight="true" outlineLevel="0" collapsed="false">
      <c r="A14" s="21" t="n">
        <v>10</v>
      </c>
      <c r="B14" s="17" t="s">
        <v>102</v>
      </c>
      <c r="C14" s="21" t="s">
        <v>46</v>
      </c>
      <c r="D14" s="16" t="s">
        <v>103</v>
      </c>
      <c r="E14" s="57" t="n">
        <v>0</v>
      </c>
      <c r="F14" s="21" t="s">
        <v>369</v>
      </c>
      <c r="G14" s="16" t="s">
        <v>370</v>
      </c>
      <c r="H14" s="58"/>
      <c r="I14" s="57" t="str">
        <f aca="false">IF(H14="","",H14-E14)</f>
        <v/>
      </c>
      <c r="J14" s="45" t="str">
        <f aca="false">IFERROR(IF(H14="","",(H14-E14)/E14),"")</f>
        <v/>
      </c>
      <c r="K14" s="59"/>
      <c r="L14" s="21" t="s">
        <v>60</v>
      </c>
      <c r="M14" s="59"/>
      <c r="N14" s="16" t="s">
        <v>371</v>
      </c>
      <c r="O14" s="60"/>
    </row>
    <row r="15" customFormat="false" ht="30" hidden="false" customHeight="true" outlineLevel="0" collapsed="false">
      <c r="A15" s="21" t="n">
        <v>11</v>
      </c>
      <c r="B15" s="17" t="s">
        <v>106</v>
      </c>
      <c r="C15" s="21" t="s">
        <v>46</v>
      </c>
      <c r="D15" s="16" t="s">
        <v>332</v>
      </c>
      <c r="E15" s="57" t="n">
        <v>6</v>
      </c>
      <c r="F15" s="21" t="s">
        <v>360</v>
      </c>
      <c r="G15" s="16" t="s">
        <v>372</v>
      </c>
      <c r="H15" s="58"/>
      <c r="I15" s="57" t="str">
        <f aca="false">IF(H15="","",H15-E15)</f>
        <v/>
      </c>
      <c r="J15" s="45" t="str">
        <f aca="false">IFERROR(IF(H15="","",(H15-E15)/E15),"")</f>
        <v/>
      </c>
      <c r="K15" s="59"/>
      <c r="L15" s="21" t="s">
        <v>72</v>
      </c>
      <c r="M15" s="59"/>
      <c r="N15" s="16" t="s">
        <v>373</v>
      </c>
      <c r="O15" s="60"/>
    </row>
    <row r="16" customFormat="false" ht="30" hidden="false" customHeight="true" outlineLevel="0" collapsed="false">
      <c r="A16" s="21" t="n">
        <v>12</v>
      </c>
      <c r="B16" s="17" t="s">
        <v>111</v>
      </c>
      <c r="C16" s="21" t="s">
        <v>46</v>
      </c>
      <c r="D16" s="16" t="s">
        <v>374</v>
      </c>
      <c r="E16" s="57" t="n">
        <v>0</v>
      </c>
      <c r="F16" s="21" t="s">
        <v>375</v>
      </c>
      <c r="G16" s="16" t="s">
        <v>376</v>
      </c>
      <c r="H16" s="58"/>
      <c r="I16" s="57" t="str">
        <f aca="false">IF(H16="","",H16-E16)</f>
        <v/>
      </c>
      <c r="J16" s="45" t="str">
        <f aca="false">IFERROR(IF(H16="","",(H16-E16)/E16),"")</f>
        <v/>
      </c>
      <c r="K16" s="59"/>
      <c r="L16" s="21" t="s">
        <v>66</v>
      </c>
      <c r="M16" s="59"/>
      <c r="N16" s="16" t="s">
        <v>377</v>
      </c>
      <c r="O16" s="60"/>
    </row>
    <row r="18" customFormat="false" ht="33.75" hidden="false" customHeight="true" outlineLevel="0" collapsed="false">
      <c r="B18" s="3" t="s">
        <v>378</v>
      </c>
      <c r="C18" s="61" t="s">
        <v>379</v>
      </c>
      <c r="D18" s="61"/>
      <c r="E18" s="61"/>
      <c r="F18" s="61"/>
      <c r="G18" s="61"/>
      <c r="H18" s="61"/>
      <c r="I18" s="61"/>
      <c r="J18" s="61"/>
      <c r="K18" s="61"/>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380</v>
      </c>
      <c r="B2" s="2"/>
      <c r="C2" s="2"/>
      <c r="D2" s="2"/>
      <c r="E2" s="2"/>
      <c r="F2" s="2"/>
      <c r="G2" s="2"/>
      <c r="H2" s="2"/>
      <c r="I2" s="2"/>
      <c r="J2" s="2"/>
      <c r="K2" s="2"/>
    </row>
    <row r="3" customFormat="false" ht="31.5" hidden="false" customHeight="true" outlineLevel="0" collapsed="false">
      <c r="A3" s="15" t="s">
        <v>43</v>
      </c>
      <c r="B3" s="15" t="s">
        <v>44</v>
      </c>
      <c r="C3" s="15" t="s">
        <v>328</v>
      </c>
      <c r="D3" s="15" t="s">
        <v>321</v>
      </c>
      <c r="E3" s="15" t="s">
        <v>381</v>
      </c>
      <c r="F3" s="15" t="s">
        <v>382</v>
      </c>
      <c r="G3" s="15" t="s">
        <v>383</v>
      </c>
      <c r="H3" s="15" t="s">
        <v>384</v>
      </c>
      <c r="I3" s="15" t="s">
        <v>324</v>
      </c>
      <c r="J3" s="15" t="s">
        <v>385</v>
      </c>
      <c r="K3" s="15" t="s">
        <v>386</v>
      </c>
    </row>
    <row r="4" customFormat="false" ht="27.75" hidden="false" customHeight="true" outlineLevel="0" collapsed="false">
      <c r="A4" s="62" t="n">
        <v>1</v>
      </c>
      <c r="B4" s="17" t="s">
        <v>55</v>
      </c>
      <c r="C4" s="63" t="s">
        <v>341</v>
      </c>
      <c r="D4" s="64" t="n">
        <f aca="false">'الخطة التنفيذية'!E5</f>
        <v>1271</v>
      </c>
      <c r="E4" s="58"/>
      <c r="F4" s="58"/>
      <c r="G4" s="58"/>
      <c r="H4" s="58"/>
      <c r="I4" s="64" t="str">
        <f aca="false">IF('الخطة التنفيذية'!H5="","",'الخطة التنفيذية'!H5)</f>
        <v/>
      </c>
      <c r="J4" s="21" t="str">
        <f aca="false">IF(H4="","",IF(H4=I4,"مطابق","مختلف"))</f>
        <v/>
      </c>
      <c r="K4" s="45" t="str">
        <f aca="false">IFERROR(IF(H4="","",(H4-D4)/D4),"")</f>
        <v/>
      </c>
    </row>
    <row r="5" customFormat="false" ht="27.75" hidden="false" customHeight="true" outlineLevel="0" collapsed="false">
      <c r="A5" s="62" t="n">
        <v>2</v>
      </c>
      <c r="B5" s="17" t="s">
        <v>61</v>
      </c>
      <c r="C5" s="63" t="s">
        <v>344</v>
      </c>
      <c r="D5" s="64" t="n">
        <f aca="false">'الخطة التنفيذية'!E6</f>
        <v>25</v>
      </c>
      <c r="E5" s="58"/>
      <c r="F5" s="58"/>
      <c r="G5" s="58"/>
      <c r="H5" s="58"/>
      <c r="I5" s="64" t="str">
        <f aca="false">IF('الخطة التنفيذية'!H6="","",'الخطة التنفيذية'!H6)</f>
        <v/>
      </c>
      <c r="J5" s="21" t="str">
        <f aca="false">IF(H5="","",IF(H5=I5,"مطابق","مختلف"))</f>
        <v/>
      </c>
      <c r="K5" s="45" t="str">
        <f aca="false">IFERROR(IF(H5="","",(H5-D5)/D5),"")</f>
        <v/>
      </c>
    </row>
    <row r="6" customFormat="false" ht="27.75" hidden="false" customHeight="true" outlineLevel="0" collapsed="false">
      <c r="A6" s="62" t="n">
        <v>3</v>
      </c>
      <c r="B6" s="17" t="s">
        <v>67</v>
      </c>
      <c r="C6" s="63" t="s">
        <v>346</v>
      </c>
      <c r="D6" s="64" t="n">
        <f aca="false">'الخطة التنفيذية'!E7</f>
        <v>39</v>
      </c>
      <c r="E6" s="58"/>
      <c r="F6" s="58"/>
      <c r="G6" s="58"/>
      <c r="H6" s="58"/>
      <c r="I6" s="64" t="str">
        <f aca="false">IF('الخطة التنفيذية'!H7="","",'الخطة التنفيذية'!H7)</f>
        <v/>
      </c>
      <c r="J6" s="21" t="str">
        <f aca="false">IF(H6="","",IF(H6=I6,"مطابق","مختلف"))</f>
        <v/>
      </c>
      <c r="K6" s="45" t="str">
        <f aca="false">IFERROR(IF(H6="","",(H6-D6)/D6),"")</f>
        <v/>
      </c>
    </row>
    <row r="7" customFormat="false" ht="27.75" hidden="false" customHeight="true" outlineLevel="0" collapsed="false">
      <c r="A7" s="62" t="n">
        <v>4</v>
      </c>
      <c r="B7" s="17" t="s">
        <v>73</v>
      </c>
      <c r="C7" s="63" t="s">
        <v>349</v>
      </c>
      <c r="D7" s="64" t="n">
        <f aca="false">'الخطة التنفيذية'!E8</f>
        <v>0</v>
      </c>
      <c r="E7" s="58"/>
      <c r="F7" s="58"/>
      <c r="G7" s="58"/>
      <c r="H7" s="58"/>
      <c r="I7" s="64" t="str">
        <f aca="false">IF('الخطة التنفيذية'!H8="","",'الخطة التنفيذية'!H8)</f>
        <v/>
      </c>
      <c r="J7" s="21" t="str">
        <f aca="false">IF(H7="","",IF(H7=I7,"مطابق","مختلف"))</f>
        <v/>
      </c>
      <c r="K7" s="45" t="str">
        <f aca="false">IFERROR(IF(H7="","",(H7-D7)/D7),"")</f>
        <v/>
      </c>
    </row>
    <row r="8" customFormat="false" ht="27.75" hidden="false" customHeight="true" outlineLevel="0" collapsed="false">
      <c r="A8" s="62" t="n">
        <v>5</v>
      </c>
      <c r="B8" s="17" t="s">
        <v>350</v>
      </c>
      <c r="C8" s="63" t="s">
        <v>354</v>
      </c>
      <c r="D8" s="64" t="n">
        <f aca="false">'الخطة التنفيذية'!E9</f>
        <v>0.28</v>
      </c>
      <c r="E8" s="58"/>
      <c r="F8" s="58"/>
      <c r="G8" s="58"/>
      <c r="H8" s="58"/>
      <c r="I8" s="64" t="str">
        <f aca="false">IF('الخطة التنفيذية'!H9="","",'الخطة التنفيذية'!H9)</f>
        <v/>
      </c>
      <c r="J8" s="21" t="str">
        <f aca="false">IF(H8="","",IF(H8=I8,"مطابق","مختلف"))</f>
        <v/>
      </c>
      <c r="K8" s="45" t="str">
        <f aca="false">IFERROR(IF(H8="","",(H8-D8)/D8),"")</f>
        <v/>
      </c>
    </row>
    <row r="9" customFormat="false" ht="27.75" hidden="false" customHeight="true" outlineLevel="0" collapsed="false">
      <c r="A9" s="62" t="n">
        <v>6</v>
      </c>
      <c r="B9" s="17" t="s">
        <v>355</v>
      </c>
      <c r="C9" s="63" t="s">
        <v>358</v>
      </c>
      <c r="D9" s="64" t="n">
        <f aca="false">'الخطة التنفيذية'!E10</f>
        <v>0</v>
      </c>
      <c r="E9" s="58"/>
      <c r="F9" s="58"/>
      <c r="G9" s="58"/>
      <c r="H9" s="58"/>
      <c r="I9" s="64" t="str">
        <f aca="false">IF('الخطة التنفيذية'!H10="","",'الخطة التنفيذية'!H10)</f>
        <v/>
      </c>
      <c r="J9" s="21" t="str">
        <f aca="false">IF(H9="","",IF(H9=I9,"مطابق","مختلف"))</f>
        <v/>
      </c>
      <c r="K9" s="45" t="str">
        <f aca="false">IFERROR(IF(H9="","",(H9-D9)/D9),"")</f>
        <v/>
      </c>
    </row>
    <row r="10" customFormat="false" ht="27.75" hidden="false" customHeight="true" outlineLevel="0" collapsed="false">
      <c r="A10" s="62" t="n">
        <v>7</v>
      </c>
      <c r="B10" s="17" t="s">
        <v>88</v>
      </c>
      <c r="C10" s="63" t="s">
        <v>362</v>
      </c>
      <c r="D10" s="64" t="n">
        <f aca="false">'الخطة التنفيذية'!E11</f>
        <v>0</v>
      </c>
      <c r="E10" s="58"/>
      <c r="F10" s="58"/>
      <c r="G10" s="58"/>
      <c r="H10" s="58"/>
      <c r="I10" s="64" t="str">
        <f aca="false">IF('الخطة التنفيذية'!H11="","",'الخطة التنفيذية'!H11)</f>
        <v/>
      </c>
      <c r="J10" s="21" t="str">
        <f aca="false">IF(H10="","",IF(H10=I10,"مطابق","مختلف"))</f>
        <v/>
      </c>
      <c r="K10" s="45" t="str">
        <f aca="false">IFERROR(IF(H10="","",(H10-D10)/D10),"")</f>
        <v/>
      </c>
    </row>
    <row r="11" customFormat="false" ht="27.75" hidden="false" customHeight="true" outlineLevel="0" collapsed="false">
      <c r="A11" s="62" t="n">
        <v>8</v>
      </c>
      <c r="B11" s="17" t="s">
        <v>94</v>
      </c>
      <c r="C11" s="63" t="s">
        <v>365</v>
      </c>
      <c r="D11" s="64" t="n">
        <f aca="false">'الخطة التنفيذية'!E12</f>
        <v>31</v>
      </c>
      <c r="E11" s="58"/>
      <c r="F11" s="58"/>
      <c r="G11" s="58"/>
      <c r="H11" s="58"/>
      <c r="I11" s="64" t="str">
        <f aca="false">IF('الخطة التنفيذية'!H12="","",'الخطة التنفيذية'!H12)</f>
        <v/>
      </c>
      <c r="J11" s="21" t="str">
        <f aca="false">IF(H11="","",IF(H11=I11,"مطابق","مختلف"))</f>
        <v/>
      </c>
      <c r="K11" s="45" t="str">
        <f aca="false">IFERROR(IF(H11="","",(H11-D11)/D11),"")</f>
        <v/>
      </c>
    </row>
    <row r="12" customFormat="false" ht="27.75" hidden="false" customHeight="true" outlineLevel="0" collapsed="false">
      <c r="A12" s="62" t="n">
        <v>9</v>
      </c>
      <c r="B12" s="17" t="s">
        <v>98</v>
      </c>
      <c r="C12" s="63" t="s">
        <v>368</v>
      </c>
      <c r="D12" s="64" t="n">
        <f aca="false">'الخطة التنفيذية'!E13</f>
        <v>0</v>
      </c>
      <c r="E12" s="58"/>
      <c r="F12" s="58"/>
      <c r="G12" s="58"/>
      <c r="H12" s="58"/>
      <c r="I12" s="64" t="str">
        <f aca="false">IF('الخطة التنفيذية'!H13="","",'الخطة التنفيذية'!H13)</f>
        <v/>
      </c>
      <c r="J12" s="21" t="str">
        <f aca="false">IF(H12="","",IF(H12=I12,"مطابق","مختلف"))</f>
        <v/>
      </c>
      <c r="K12" s="45" t="str">
        <f aca="false">IFERROR(IF(H12="","",(H12-D12)/D12),"")</f>
        <v/>
      </c>
    </row>
    <row r="13" customFormat="false" ht="27.75" hidden="false" customHeight="true" outlineLevel="0" collapsed="false">
      <c r="A13" s="62" t="n">
        <v>10</v>
      </c>
      <c r="B13" s="17" t="s">
        <v>102</v>
      </c>
      <c r="C13" s="63" t="s">
        <v>371</v>
      </c>
      <c r="D13" s="64" t="n">
        <f aca="false">'الخطة التنفيذية'!E14</f>
        <v>0</v>
      </c>
      <c r="E13" s="58"/>
      <c r="F13" s="58"/>
      <c r="G13" s="58"/>
      <c r="H13" s="58"/>
      <c r="I13" s="64" t="str">
        <f aca="false">IF('الخطة التنفيذية'!H14="","",'الخطة التنفيذية'!H14)</f>
        <v/>
      </c>
      <c r="J13" s="21" t="str">
        <f aca="false">IF(H13="","",IF(H13=I13,"مطابق","مختلف"))</f>
        <v/>
      </c>
      <c r="K13" s="45" t="str">
        <f aca="false">IFERROR(IF(H13="","",(H13-D13)/D13),"")</f>
        <v/>
      </c>
    </row>
    <row r="14" customFormat="false" ht="27.75" hidden="false" customHeight="true" outlineLevel="0" collapsed="false">
      <c r="A14" s="62" t="n">
        <v>11</v>
      </c>
      <c r="B14" s="17" t="s">
        <v>106</v>
      </c>
      <c r="C14" s="63" t="s">
        <v>373</v>
      </c>
      <c r="D14" s="64" t="n">
        <f aca="false">'الخطة التنفيذية'!E15</f>
        <v>6</v>
      </c>
      <c r="E14" s="58"/>
      <c r="F14" s="58"/>
      <c r="G14" s="58"/>
      <c r="H14" s="58"/>
      <c r="I14" s="64" t="str">
        <f aca="false">IF('الخطة التنفيذية'!H15="","",'الخطة التنفيذية'!H15)</f>
        <v/>
      </c>
      <c r="J14" s="21" t="str">
        <f aca="false">IF(H14="","",IF(H14=I14,"مطابق","مختلف"))</f>
        <v/>
      </c>
      <c r="K14" s="45" t="str">
        <f aca="false">IFERROR(IF(H14="","",(H14-D14)/D14),"")</f>
        <v/>
      </c>
    </row>
    <row r="15" customFormat="false" ht="27.75" hidden="false" customHeight="true" outlineLevel="0" collapsed="false">
      <c r="A15" s="62" t="n">
        <v>12</v>
      </c>
      <c r="B15" s="17" t="s">
        <v>111</v>
      </c>
      <c r="C15" s="63" t="s">
        <v>377</v>
      </c>
      <c r="D15" s="64" t="n">
        <f aca="false">'الخطة التنفيذية'!E16</f>
        <v>0</v>
      </c>
      <c r="E15" s="58"/>
      <c r="F15" s="58"/>
      <c r="G15" s="58"/>
      <c r="H15" s="58"/>
      <c r="I15" s="64" t="str">
        <f aca="false">IF('الخطة التنفيذية'!H16="","",'الخطة التنفيذية'!H16)</f>
        <v/>
      </c>
      <c r="J15" s="21" t="str">
        <f aca="false">IF(H15="","",IF(H15=I15,"مطابق","مختلف"))</f>
        <v/>
      </c>
      <c r="K15" s="45"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387</v>
      </c>
      <c r="B1" s="1"/>
      <c r="C1" s="1"/>
      <c r="D1" s="1"/>
      <c r="E1" s="1"/>
      <c r="F1" s="1"/>
      <c r="G1" s="1"/>
      <c r="H1" s="1"/>
      <c r="I1" s="1"/>
      <c r="J1" s="1"/>
      <c r="K1" s="1"/>
      <c r="L1" s="1"/>
      <c r="M1" s="1"/>
      <c r="N1" s="1"/>
    </row>
    <row r="2" customFormat="false" ht="18" hidden="false" customHeight="true" outlineLevel="0" collapsed="false">
      <c r="A2" s="2" t="s">
        <v>388</v>
      </c>
      <c r="B2" s="2"/>
      <c r="C2" s="2"/>
      <c r="D2" s="2"/>
      <c r="E2" s="2"/>
      <c r="F2" s="2"/>
      <c r="G2" s="2"/>
      <c r="H2" s="2"/>
      <c r="I2" s="2"/>
      <c r="J2" s="2"/>
      <c r="K2" s="2"/>
      <c r="L2" s="2"/>
      <c r="M2" s="2"/>
      <c r="N2" s="2"/>
    </row>
    <row r="3" customFormat="false" ht="31.5" hidden="false" customHeight="true" outlineLevel="0" collapsed="false">
      <c r="A3" s="15" t="s">
        <v>43</v>
      </c>
      <c r="B3" s="15" t="s">
        <v>389</v>
      </c>
      <c r="C3" s="15" t="s">
        <v>44</v>
      </c>
      <c r="D3" s="15" t="s">
        <v>390</v>
      </c>
      <c r="E3" s="15" t="s">
        <v>53</v>
      </c>
      <c r="F3" s="15" t="s">
        <v>327</v>
      </c>
      <c r="G3" s="15" t="s">
        <v>391</v>
      </c>
      <c r="H3" s="15" t="s">
        <v>392</v>
      </c>
      <c r="I3" s="15" t="s">
        <v>393</v>
      </c>
      <c r="J3" s="15" t="s">
        <v>54</v>
      </c>
      <c r="K3" s="15" t="s">
        <v>394</v>
      </c>
      <c r="L3" s="15" t="s">
        <v>395</v>
      </c>
      <c r="M3" s="15" t="s">
        <v>329</v>
      </c>
      <c r="N3" s="15" t="s">
        <v>396</v>
      </c>
    </row>
    <row r="4" customFormat="false" ht="30" hidden="false" customHeight="true" outlineLevel="0" collapsed="false">
      <c r="A4" s="54" t="s">
        <v>330</v>
      </c>
      <c r="B4" s="55" t="s">
        <v>397</v>
      </c>
      <c r="C4" s="54" t="s">
        <v>61</v>
      </c>
      <c r="D4" s="54" t="s">
        <v>47</v>
      </c>
      <c r="E4" s="54" t="s">
        <v>66</v>
      </c>
      <c r="F4" s="54" t="s">
        <v>336</v>
      </c>
      <c r="G4" s="65" t="n">
        <v>46235</v>
      </c>
      <c r="H4" s="65" t="n">
        <v>46326</v>
      </c>
      <c r="I4" s="54" t="n">
        <f aca="false">IF(OR(G4="",H4=""),"",H4-G4)</f>
        <v>91</v>
      </c>
      <c r="J4" s="54" t="n">
        <v>1</v>
      </c>
      <c r="K4" s="54" t="s">
        <v>398</v>
      </c>
      <c r="L4" s="55" t="s">
        <v>399</v>
      </c>
      <c r="M4" s="54" t="s">
        <v>338</v>
      </c>
      <c r="N4" s="66" t="n">
        <v>0</v>
      </c>
    </row>
    <row r="5" customFormat="false" ht="25.5" hidden="false" customHeight="true" outlineLevel="0" collapsed="false">
      <c r="A5" s="62" t="n">
        <v>1</v>
      </c>
      <c r="B5" s="59"/>
      <c r="C5" s="60"/>
      <c r="D5" s="60"/>
      <c r="E5" s="60"/>
      <c r="F5" s="60"/>
      <c r="G5" s="67"/>
      <c r="H5" s="67"/>
      <c r="I5" s="21" t="str">
        <f aca="false">IF(OR(G5="",H5=""),"",H5-G5)</f>
        <v/>
      </c>
      <c r="J5" s="60"/>
      <c r="K5" s="60"/>
      <c r="L5" s="59"/>
      <c r="M5" s="60"/>
      <c r="N5" s="68"/>
    </row>
    <row r="6" customFormat="false" ht="25.5" hidden="false" customHeight="true" outlineLevel="0" collapsed="false">
      <c r="A6" s="62" t="n">
        <v>2</v>
      </c>
      <c r="B6" s="59"/>
      <c r="C6" s="60"/>
      <c r="D6" s="60"/>
      <c r="E6" s="60"/>
      <c r="F6" s="60"/>
      <c r="G6" s="67"/>
      <c r="H6" s="67"/>
      <c r="I6" s="21" t="str">
        <f aca="false">IF(OR(G6="",H6=""),"",H6-G6)</f>
        <v/>
      </c>
      <c r="J6" s="60"/>
      <c r="K6" s="60"/>
      <c r="L6" s="59"/>
      <c r="M6" s="60"/>
      <c r="N6" s="68"/>
    </row>
    <row r="7" customFormat="false" ht="25.5" hidden="false" customHeight="true" outlineLevel="0" collapsed="false">
      <c r="A7" s="62" t="n">
        <v>3</v>
      </c>
      <c r="B7" s="59"/>
      <c r="C7" s="60"/>
      <c r="D7" s="60"/>
      <c r="E7" s="60"/>
      <c r="F7" s="60"/>
      <c r="G7" s="67"/>
      <c r="H7" s="67"/>
      <c r="I7" s="21" t="str">
        <f aca="false">IF(OR(G7="",H7=""),"",H7-G7)</f>
        <v/>
      </c>
      <c r="J7" s="60"/>
      <c r="K7" s="60"/>
      <c r="L7" s="59"/>
      <c r="M7" s="60"/>
      <c r="N7" s="68"/>
    </row>
    <row r="8" customFormat="false" ht="25.5" hidden="false" customHeight="true" outlineLevel="0" collapsed="false">
      <c r="A8" s="62" t="n">
        <v>4</v>
      </c>
      <c r="B8" s="59"/>
      <c r="C8" s="60"/>
      <c r="D8" s="60"/>
      <c r="E8" s="60"/>
      <c r="F8" s="60"/>
      <c r="G8" s="67"/>
      <c r="H8" s="67"/>
      <c r="I8" s="21" t="str">
        <f aca="false">IF(OR(G8="",H8=""),"",H8-G8)</f>
        <v/>
      </c>
      <c r="J8" s="60"/>
      <c r="K8" s="60"/>
      <c r="L8" s="59"/>
      <c r="M8" s="60"/>
      <c r="N8" s="68"/>
    </row>
    <row r="9" customFormat="false" ht="25.5" hidden="false" customHeight="true" outlineLevel="0" collapsed="false">
      <c r="A9" s="62" t="n">
        <v>5</v>
      </c>
      <c r="B9" s="59"/>
      <c r="C9" s="60"/>
      <c r="D9" s="60"/>
      <c r="E9" s="60"/>
      <c r="F9" s="60"/>
      <c r="G9" s="67"/>
      <c r="H9" s="67"/>
      <c r="I9" s="21" t="str">
        <f aca="false">IF(OR(G9="",H9=""),"",H9-G9)</f>
        <v/>
      </c>
      <c r="J9" s="60"/>
      <c r="K9" s="60"/>
      <c r="L9" s="59"/>
      <c r="M9" s="60"/>
      <c r="N9" s="68"/>
    </row>
    <row r="10" customFormat="false" ht="25.5" hidden="false" customHeight="true" outlineLevel="0" collapsed="false">
      <c r="A10" s="62" t="n">
        <v>6</v>
      </c>
      <c r="B10" s="59"/>
      <c r="C10" s="60"/>
      <c r="D10" s="60"/>
      <c r="E10" s="60"/>
      <c r="F10" s="60"/>
      <c r="G10" s="67"/>
      <c r="H10" s="67"/>
      <c r="I10" s="21" t="str">
        <f aca="false">IF(OR(G10="",H10=""),"",H10-G10)</f>
        <v/>
      </c>
      <c r="J10" s="60"/>
      <c r="K10" s="60"/>
      <c r="L10" s="59"/>
      <c r="M10" s="60"/>
      <c r="N10" s="68"/>
    </row>
    <row r="11" customFormat="false" ht="25.5" hidden="false" customHeight="true" outlineLevel="0" collapsed="false">
      <c r="A11" s="62" t="n">
        <v>7</v>
      </c>
      <c r="B11" s="59"/>
      <c r="C11" s="60"/>
      <c r="D11" s="60"/>
      <c r="E11" s="60"/>
      <c r="F11" s="60"/>
      <c r="G11" s="67"/>
      <c r="H11" s="67"/>
      <c r="I11" s="21" t="str">
        <f aca="false">IF(OR(G11="",H11=""),"",H11-G11)</f>
        <v/>
      </c>
      <c r="J11" s="60"/>
      <c r="K11" s="60"/>
      <c r="L11" s="59"/>
      <c r="M11" s="60"/>
      <c r="N11" s="68"/>
    </row>
    <row r="12" customFormat="false" ht="25.5" hidden="false" customHeight="true" outlineLevel="0" collapsed="false">
      <c r="A12" s="62" t="n">
        <v>8</v>
      </c>
      <c r="B12" s="59"/>
      <c r="C12" s="60"/>
      <c r="D12" s="60"/>
      <c r="E12" s="60"/>
      <c r="F12" s="60"/>
      <c r="G12" s="67"/>
      <c r="H12" s="67"/>
      <c r="I12" s="21" t="str">
        <f aca="false">IF(OR(G12="",H12=""),"",H12-G12)</f>
        <v/>
      </c>
      <c r="J12" s="60"/>
      <c r="K12" s="60"/>
      <c r="L12" s="59"/>
      <c r="M12" s="60"/>
      <c r="N12" s="68"/>
    </row>
    <row r="13" customFormat="false" ht="25.5" hidden="false" customHeight="true" outlineLevel="0" collapsed="false">
      <c r="A13" s="62" t="n">
        <v>9</v>
      </c>
      <c r="B13" s="59"/>
      <c r="C13" s="60"/>
      <c r="D13" s="60"/>
      <c r="E13" s="60"/>
      <c r="F13" s="60"/>
      <c r="G13" s="67"/>
      <c r="H13" s="67"/>
      <c r="I13" s="21" t="str">
        <f aca="false">IF(OR(G13="",H13=""),"",H13-G13)</f>
        <v/>
      </c>
      <c r="J13" s="60"/>
      <c r="K13" s="60"/>
      <c r="L13" s="59"/>
      <c r="M13" s="60"/>
      <c r="N13" s="68"/>
    </row>
    <row r="14" customFormat="false" ht="25.5" hidden="false" customHeight="true" outlineLevel="0" collapsed="false">
      <c r="A14" s="62" t="n">
        <v>10</v>
      </c>
      <c r="B14" s="59"/>
      <c r="C14" s="60"/>
      <c r="D14" s="60"/>
      <c r="E14" s="60"/>
      <c r="F14" s="60"/>
      <c r="G14" s="67"/>
      <c r="H14" s="67"/>
      <c r="I14" s="21" t="str">
        <f aca="false">IF(OR(G14="",H14=""),"",H14-G14)</f>
        <v/>
      </c>
      <c r="J14" s="60"/>
      <c r="K14" s="60"/>
      <c r="L14" s="59"/>
      <c r="M14" s="60"/>
      <c r="N14" s="68"/>
    </row>
    <row r="15" customFormat="false" ht="25.5" hidden="false" customHeight="true" outlineLevel="0" collapsed="false">
      <c r="A15" s="62" t="n">
        <v>11</v>
      </c>
      <c r="B15" s="59"/>
      <c r="C15" s="60"/>
      <c r="D15" s="60"/>
      <c r="E15" s="60"/>
      <c r="F15" s="60"/>
      <c r="G15" s="67"/>
      <c r="H15" s="67"/>
      <c r="I15" s="21" t="str">
        <f aca="false">IF(OR(G15="",H15=""),"",H15-G15)</f>
        <v/>
      </c>
      <c r="J15" s="60"/>
      <c r="K15" s="60"/>
      <c r="L15" s="59"/>
      <c r="M15" s="60"/>
      <c r="N15" s="68"/>
    </row>
    <row r="16" customFormat="false" ht="25.5" hidden="false" customHeight="true" outlineLevel="0" collapsed="false">
      <c r="A16" s="62" t="n">
        <v>12</v>
      </c>
      <c r="B16" s="59"/>
      <c r="C16" s="60"/>
      <c r="D16" s="60"/>
      <c r="E16" s="60"/>
      <c r="F16" s="60"/>
      <c r="G16" s="67"/>
      <c r="H16" s="67"/>
      <c r="I16" s="21" t="str">
        <f aca="false">IF(OR(G16="",H16=""),"",H16-G16)</f>
        <v/>
      </c>
      <c r="J16" s="60"/>
      <c r="K16" s="60"/>
      <c r="L16" s="59"/>
      <c r="M16" s="60"/>
      <c r="N16" s="68"/>
    </row>
    <row r="17" customFormat="false" ht="25.5" hidden="false" customHeight="true" outlineLevel="0" collapsed="false">
      <c r="A17" s="62" t="n">
        <v>13</v>
      </c>
      <c r="B17" s="59"/>
      <c r="C17" s="60"/>
      <c r="D17" s="60"/>
      <c r="E17" s="60"/>
      <c r="F17" s="60"/>
      <c r="G17" s="67"/>
      <c r="H17" s="67"/>
      <c r="I17" s="21" t="str">
        <f aca="false">IF(OR(G17="",H17=""),"",H17-G17)</f>
        <v/>
      </c>
      <c r="J17" s="60"/>
      <c r="K17" s="60"/>
      <c r="L17" s="59"/>
      <c r="M17" s="60"/>
      <c r="N17" s="68"/>
    </row>
    <row r="18" customFormat="false" ht="25.5" hidden="false" customHeight="true" outlineLevel="0" collapsed="false">
      <c r="A18" s="62" t="n">
        <v>14</v>
      </c>
      <c r="B18" s="59"/>
      <c r="C18" s="60"/>
      <c r="D18" s="60"/>
      <c r="E18" s="60"/>
      <c r="F18" s="60"/>
      <c r="G18" s="67"/>
      <c r="H18" s="67"/>
      <c r="I18" s="21" t="str">
        <f aca="false">IF(OR(G18="",H18=""),"",H18-G18)</f>
        <v/>
      </c>
      <c r="J18" s="60"/>
      <c r="K18" s="60"/>
      <c r="L18" s="59"/>
      <c r="M18" s="60"/>
      <c r="N18" s="68"/>
    </row>
    <row r="19" customFormat="false" ht="25.5" hidden="false" customHeight="true" outlineLevel="0" collapsed="false">
      <c r="A19" s="62" t="n">
        <v>15</v>
      </c>
      <c r="B19" s="59"/>
      <c r="C19" s="60"/>
      <c r="D19" s="60"/>
      <c r="E19" s="60"/>
      <c r="F19" s="60"/>
      <c r="G19" s="67"/>
      <c r="H19" s="67"/>
      <c r="I19" s="21" t="str">
        <f aca="false">IF(OR(G19="",H19=""),"",H19-G19)</f>
        <v/>
      </c>
      <c r="J19" s="60"/>
      <c r="K19" s="60"/>
      <c r="L19" s="59"/>
      <c r="M19" s="60"/>
      <c r="N19" s="68"/>
    </row>
    <row r="20" customFormat="false" ht="25.5" hidden="false" customHeight="true" outlineLevel="0" collapsed="false">
      <c r="A20" s="62" t="n">
        <v>16</v>
      </c>
      <c r="B20" s="59"/>
      <c r="C20" s="60"/>
      <c r="D20" s="60"/>
      <c r="E20" s="60"/>
      <c r="F20" s="60"/>
      <c r="G20" s="67"/>
      <c r="H20" s="67"/>
      <c r="I20" s="21" t="str">
        <f aca="false">IF(OR(G20="",H20=""),"",H20-G20)</f>
        <v/>
      </c>
      <c r="J20" s="60"/>
      <c r="K20" s="60"/>
      <c r="L20" s="59"/>
      <c r="M20" s="60"/>
      <c r="N20" s="68"/>
    </row>
    <row r="21" customFormat="false" ht="25.5" hidden="false" customHeight="true" outlineLevel="0" collapsed="false">
      <c r="A21" s="62" t="n">
        <v>17</v>
      </c>
      <c r="B21" s="59"/>
      <c r="C21" s="60"/>
      <c r="D21" s="60"/>
      <c r="E21" s="60"/>
      <c r="F21" s="60"/>
      <c r="G21" s="67"/>
      <c r="H21" s="67"/>
      <c r="I21" s="21" t="str">
        <f aca="false">IF(OR(G21="",H21=""),"",H21-G21)</f>
        <v/>
      </c>
      <c r="J21" s="60"/>
      <c r="K21" s="60"/>
      <c r="L21" s="59"/>
      <c r="M21" s="60"/>
      <c r="N21" s="68"/>
    </row>
    <row r="22" customFormat="false" ht="25.5" hidden="false" customHeight="true" outlineLevel="0" collapsed="false">
      <c r="A22" s="62" t="n">
        <v>18</v>
      </c>
      <c r="B22" s="59"/>
      <c r="C22" s="60"/>
      <c r="D22" s="60"/>
      <c r="E22" s="60"/>
      <c r="F22" s="60"/>
      <c r="G22" s="67"/>
      <c r="H22" s="67"/>
      <c r="I22" s="21" t="str">
        <f aca="false">IF(OR(G22="",H22=""),"",H22-G22)</f>
        <v/>
      </c>
      <c r="J22" s="60"/>
      <c r="K22" s="60"/>
      <c r="L22" s="59"/>
      <c r="M22" s="60"/>
      <c r="N22" s="68"/>
    </row>
    <row r="23" customFormat="false" ht="25.5" hidden="false" customHeight="true" outlineLevel="0" collapsed="false">
      <c r="A23" s="62" t="n">
        <v>19</v>
      </c>
      <c r="B23" s="59"/>
      <c r="C23" s="60"/>
      <c r="D23" s="60"/>
      <c r="E23" s="60"/>
      <c r="F23" s="60"/>
      <c r="G23" s="67"/>
      <c r="H23" s="67"/>
      <c r="I23" s="21" t="str">
        <f aca="false">IF(OR(G23="",H23=""),"",H23-G23)</f>
        <v/>
      </c>
      <c r="J23" s="60"/>
      <c r="K23" s="60"/>
      <c r="L23" s="59"/>
      <c r="M23" s="60"/>
      <c r="N23" s="68"/>
    </row>
    <row r="24" customFormat="false" ht="25.5" hidden="false" customHeight="true" outlineLevel="0" collapsed="false">
      <c r="A24" s="62" t="n">
        <v>20</v>
      </c>
      <c r="B24" s="59"/>
      <c r="C24" s="60"/>
      <c r="D24" s="60"/>
      <c r="E24" s="60"/>
      <c r="F24" s="60"/>
      <c r="G24" s="67"/>
      <c r="H24" s="67"/>
      <c r="I24" s="21" t="str">
        <f aca="false">IF(OR(G24="",H24=""),"",H24-G24)</f>
        <v/>
      </c>
      <c r="J24" s="60"/>
      <c r="K24" s="60"/>
      <c r="L24" s="59"/>
      <c r="M24" s="60"/>
      <c r="N24" s="68"/>
    </row>
    <row r="25" customFormat="false" ht="25.5" hidden="false" customHeight="true" outlineLevel="0" collapsed="false">
      <c r="A25" s="62" t="n">
        <v>21</v>
      </c>
      <c r="B25" s="59"/>
      <c r="C25" s="60"/>
      <c r="D25" s="60"/>
      <c r="E25" s="60"/>
      <c r="F25" s="60"/>
      <c r="G25" s="67"/>
      <c r="H25" s="67"/>
      <c r="I25" s="21" t="str">
        <f aca="false">IF(OR(G25="",H25=""),"",H25-G25)</f>
        <v/>
      </c>
      <c r="J25" s="60"/>
      <c r="K25" s="60"/>
      <c r="L25" s="59"/>
      <c r="M25" s="60"/>
      <c r="N25" s="68"/>
    </row>
    <row r="26" customFormat="false" ht="25.5" hidden="false" customHeight="true" outlineLevel="0" collapsed="false">
      <c r="A26" s="62" t="n">
        <v>22</v>
      </c>
      <c r="B26" s="59"/>
      <c r="C26" s="60"/>
      <c r="D26" s="60"/>
      <c r="E26" s="60"/>
      <c r="F26" s="60"/>
      <c r="G26" s="67"/>
      <c r="H26" s="67"/>
      <c r="I26" s="21" t="str">
        <f aca="false">IF(OR(G26="",H26=""),"",H26-G26)</f>
        <v/>
      </c>
      <c r="J26" s="60"/>
      <c r="K26" s="60"/>
      <c r="L26" s="59"/>
      <c r="M26" s="60"/>
      <c r="N26" s="68"/>
    </row>
    <row r="27" customFormat="false" ht="25.5" hidden="false" customHeight="true" outlineLevel="0" collapsed="false">
      <c r="A27" s="62" t="n">
        <v>23</v>
      </c>
      <c r="B27" s="59"/>
      <c r="C27" s="60"/>
      <c r="D27" s="60"/>
      <c r="E27" s="60"/>
      <c r="F27" s="60"/>
      <c r="G27" s="67"/>
      <c r="H27" s="67"/>
      <c r="I27" s="21" t="str">
        <f aca="false">IF(OR(G27="",H27=""),"",H27-G27)</f>
        <v/>
      </c>
      <c r="J27" s="60"/>
      <c r="K27" s="60"/>
      <c r="L27" s="59"/>
      <c r="M27" s="60"/>
      <c r="N27" s="68"/>
    </row>
    <row r="28" customFormat="false" ht="25.5" hidden="false" customHeight="true" outlineLevel="0" collapsed="false">
      <c r="A28" s="62" t="n">
        <v>24</v>
      </c>
      <c r="B28" s="59"/>
      <c r="C28" s="60"/>
      <c r="D28" s="60"/>
      <c r="E28" s="60"/>
      <c r="F28" s="60"/>
      <c r="G28" s="67"/>
      <c r="H28" s="67"/>
      <c r="I28" s="21" t="str">
        <f aca="false">IF(OR(G28="",H28=""),"",H28-G28)</f>
        <v/>
      </c>
      <c r="J28" s="60"/>
      <c r="K28" s="60"/>
      <c r="L28" s="59"/>
      <c r="M28" s="60"/>
      <c r="N28" s="68"/>
    </row>
    <row r="30" customFormat="false" ht="15" hidden="false" customHeight="false" outlineLevel="0" collapsed="false">
      <c r="B30" s="24" t="s">
        <v>400</v>
      </c>
      <c r="M30" s="21" t="str">
        <f aca="false">COUNTA(B5:B28)&amp;" مبادرة"</f>
        <v>0 مبادرة</v>
      </c>
      <c r="N30" s="69"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401</v>
      </c>
      <c r="B1" s="1"/>
      <c r="C1" s="1"/>
      <c r="D1" s="1"/>
      <c r="E1" s="1"/>
      <c r="F1" s="1"/>
      <c r="G1" s="1"/>
      <c r="H1" s="1"/>
      <c r="I1" s="1"/>
      <c r="J1" s="1"/>
      <c r="K1" s="1"/>
      <c r="L1" s="1"/>
      <c r="M1" s="1"/>
      <c r="N1" s="1"/>
      <c r="O1" s="1"/>
    </row>
    <row r="2" customFormat="false" ht="18" hidden="false" customHeight="true" outlineLevel="0" collapsed="false">
      <c r="A2" s="2" t="s">
        <v>402</v>
      </c>
      <c r="B2" s="2"/>
      <c r="C2" s="2"/>
      <c r="D2" s="2"/>
      <c r="E2" s="2"/>
      <c r="F2" s="2"/>
      <c r="G2" s="2"/>
      <c r="H2" s="2"/>
      <c r="I2" s="2"/>
      <c r="J2" s="2"/>
      <c r="K2" s="2"/>
      <c r="L2" s="2"/>
      <c r="M2" s="2"/>
      <c r="N2" s="2"/>
      <c r="O2" s="2"/>
    </row>
    <row r="3" customFormat="false" ht="31.5" hidden="false" customHeight="true" outlineLevel="0" collapsed="false">
      <c r="A3" s="15" t="s">
        <v>403</v>
      </c>
      <c r="B3" s="15" t="s">
        <v>404</v>
      </c>
      <c r="C3" s="15" t="s">
        <v>405</v>
      </c>
      <c r="D3" s="15" t="s">
        <v>406</v>
      </c>
      <c r="E3" s="15" t="s">
        <v>407</v>
      </c>
      <c r="F3" s="15" t="s">
        <v>408</v>
      </c>
      <c r="G3" s="15" t="s">
        <v>409</v>
      </c>
      <c r="H3" s="15" t="s">
        <v>410</v>
      </c>
      <c r="I3" s="15" t="s">
        <v>411</v>
      </c>
      <c r="J3" s="15" t="s">
        <v>412</v>
      </c>
      <c r="K3" s="15" t="s">
        <v>413</v>
      </c>
      <c r="L3" s="15" t="s">
        <v>414</v>
      </c>
      <c r="M3" s="15" t="s">
        <v>415</v>
      </c>
      <c r="N3" s="15" t="s">
        <v>416</v>
      </c>
      <c r="O3" s="15" t="s">
        <v>417</v>
      </c>
    </row>
    <row r="4" customFormat="false" ht="15" hidden="false" customHeight="false" outlineLevel="0" collapsed="false">
      <c r="A4" s="21" t="s">
        <v>418</v>
      </c>
      <c r="B4" s="16" t="s">
        <v>419</v>
      </c>
      <c r="C4" s="21" t="s">
        <v>420</v>
      </c>
      <c r="D4" s="21" t="s">
        <v>421</v>
      </c>
      <c r="E4" s="21" t="n">
        <v>181</v>
      </c>
      <c r="F4" s="28" t="n">
        <v>49590690</v>
      </c>
      <c r="G4" s="28" t="n">
        <f aca="false">F4*365/E4</f>
        <v>100003325.138122</v>
      </c>
      <c r="H4" s="28" t="n">
        <v>766648</v>
      </c>
      <c r="I4" s="28" t="n">
        <v>23493282</v>
      </c>
      <c r="J4" s="57" t="n">
        <v>64.69</v>
      </c>
      <c r="K4" s="70" t="n">
        <v>-0.223</v>
      </c>
      <c r="L4" s="45" t="n">
        <v>0.006</v>
      </c>
      <c r="M4" s="45" t="n">
        <v>0.53</v>
      </c>
      <c r="N4" s="45" t="n">
        <v>0.281</v>
      </c>
      <c r="O4" s="21" t="s">
        <v>422</v>
      </c>
    </row>
    <row r="5" customFormat="false" ht="15" hidden="false" customHeight="false" outlineLevel="0" collapsed="false">
      <c r="A5" s="21" t="s">
        <v>423</v>
      </c>
      <c r="B5" s="16" t="s">
        <v>424</v>
      </c>
      <c r="C5" s="21" t="s">
        <v>420</v>
      </c>
      <c r="D5" s="21" t="s">
        <v>425</v>
      </c>
      <c r="E5" s="21" t="n">
        <v>91</v>
      </c>
      <c r="F5" s="28" t="n">
        <v>20001382</v>
      </c>
      <c r="G5" s="28" t="n">
        <f aca="false">F5*365/E5</f>
        <v>80225323.4065934</v>
      </c>
      <c r="H5" s="28" t="n">
        <v>324068</v>
      </c>
      <c r="I5" s="28" t="n">
        <v>8841940</v>
      </c>
      <c r="J5" s="57" t="n">
        <v>61.72</v>
      </c>
      <c r="K5" s="71" t="n">
        <v>0</v>
      </c>
      <c r="L5" s="45" t="n">
        <v>0</v>
      </c>
      <c r="M5" s="45" t="n">
        <v>0.364</v>
      </c>
      <c r="N5" s="45" t="n">
        <v>0</v>
      </c>
      <c r="O5" s="21" t="s">
        <v>426</v>
      </c>
    </row>
    <row r="6" customFormat="false" ht="15" hidden="false" customHeight="false" outlineLevel="0" collapsed="false">
      <c r="A6" s="21" t="s">
        <v>427</v>
      </c>
      <c r="B6" s="16" t="s">
        <v>428</v>
      </c>
      <c r="C6" s="21" t="s">
        <v>429</v>
      </c>
      <c r="D6" s="21" t="s">
        <v>421</v>
      </c>
      <c r="E6" s="21" t="n">
        <v>91</v>
      </c>
      <c r="F6" s="28" t="n">
        <v>15598002</v>
      </c>
      <c r="G6" s="28" t="n">
        <f aca="false">F6*365/E6</f>
        <v>62563414.6153846</v>
      </c>
      <c r="H6" s="28" t="n">
        <v>194466</v>
      </c>
      <c r="I6" s="28" t="n">
        <v>7467484</v>
      </c>
      <c r="J6" s="57" t="n">
        <v>80.21</v>
      </c>
      <c r="K6" s="71" t="n">
        <v>0</v>
      </c>
      <c r="L6" s="45" t="n">
        <v>0</v>
      </c>
      <c r="M6" s="45" t="n">
        <v>0.441</v>
      </c>
      <c r="N6" s="45" t="n">
        <v>0.344</v>
      </c>
      <c r="O6" s="21" t="s">
        <v>430</v>
      </c>
    </row>
    <row r="7" customFormat="false" ht="15" hidden="false" customHeight="false" outlineLevel="0" collapsed="false">
      <c r="A7" s="21" t="s">
        <v>431</v>
      </c>
      <c r="B7" s="16" t="s">
        <v>432</v>
      </c>
      <c r="C7" s="21" t="s">
        <v>433</v>
      </c>
      <c r="D7" s="21" t="s">
        <v>425</v>
      </c>
      <c r="E7" s="21" t="n">
        <v>176</v>
      </c>
      <c r="F7" s="28" t="n">
        <v>28047704</v>
      </c>
      <c r="G7" s="28" t="n">
        <f aca="false">F7*365/E7</f>
        <v>58167113.4090909</v>
      </c>
      <c r="H7" s="28" t="n">
        <v>333050</v>
      </c>
      <c r="I7" s="28" t="n">
        <v>14552120</v>
      </c>
      <c r="J7" s="57" t="n">
        <v>84.21</v>
      </c>
      <c r="K7" s="72" t="n">
        <v>0.273</v>
      </c>
      <c r="L7" s="45" t="n">
        <v>0</v>
      </c>
      <c r="M7" s="45" t="n">
        <v>0.204</v>
      </c>
      <c r="N7" s="45" t="n">
        <v>0.641</v>
      </c>
      <c r="O7" s="20" t="s">
        <v>434</v>
      </c>
    </row>
    <row r="8" customFormat="false" ht="15" hidden="false" customHeight="false" outlineLevel="0" collapsed="false">
      <c r="A8" s="21" t="s">
        <v>435</v>
      </c>
      <c r="B8" s="16" t="s">
        <v>436</v>
      </c>
      <c r="C8" s="21" t="s">
        <v>420</v>
      </c>
      <c r="D8" s="21" t="s">
        <v>421</v>
      </c>
      <c r="E8" s="21" t="n">
        <v>180</v>
      </c>
      <c r="F8" s="28" t="n">
        <v>20528975</v>
      </c>
      <c r="G8" s="28" t="n">
        <f aca="false">F8*365/E8</f>
        <v>41628199.3055556</v>
      </c>
      <c r="H8" s="28" t="n">
        <v>424628</v>
      </c>
      <c r="I8" s="28" t="n">
        <v>2916708</v>
      </c>
      <c r="J8" s="57" t="n">
        <v>48.35</v>
      </c>
      <c r="K8" s="70" t="n">
        <v>-0.211</v>
      </c>
      <c r="L8" s="45" t="n">
        <v>0</v>
      </c>
      <c r="M8" s="45" t="n">
        <v>0.922</v>
      </c>
      <c r="N8" s="45" t="n">
        <v>0.134</v>
      </c>
      <c r="O8" s="21" t="s">
        <v>437</v>
      </c>
    </row>
    <row r="9" customFormat="false" ht="15" hidden="false" customHeight="false" outlineLevel="0" collapsed="false">
      <c r="A9" s="21" t="s">
        <v>438</v>
      </c>
      <c r="B9" s="16" t="s">
        <v>439</v>
      </c>
      <c r="C9" s="21" t="s">
        <v>429</v>
      </c>
      <c r="D9" s="21" t="s">
        <v>440</v>
      </c>
      <c r="E9" s="21" t="n">
        <v>55</v>
      </c>
      <c r="F9" s="28" t="n">
        <v>6133992</v>
      </c>
      <c r="G9" s="28" t="n">
        <f aca="false">F9*365/E9</f>
        <v>40707401.4545455</v>
      </c>
      <c r="H9" s="28" t="n">
        <v>93189</v>
      </c>
      <c r="I9" s="28" t="n">
        <v>2916316</v>
      </c>
      <c r="J9" s="57" t="n">
        <v>65.82</v>
      </c>
      <c r="K9" s="71" t="n">
        <v>0</v>
      </c>
      <c r="L9" s="45" t="n">
        <v>0</v>
      </c>
      <c r="M9" s="45" t="n">
        <v>0.501</v>
      </c>
      <c r="N9" s="45" t="n">
        <v>0.309</v>
      </c>
      <c r="O9" s="21" t="s">
        <v>422</v>
      </c>
    </row>
    <row r="10" customFormat="false" ht="15" hidden="false" customHeight="false" outlineLevel="0" collapsed="false">
      <c r="A10" s="21" t="s">
        <v>441</v>
      </c>
      <c r="B10" s="16" t="s">
        <v>442</v>
      </c>
      <c r="C10" s="21" t="s">
        <v>429</v>
      </c>
      <c r="D10" s="21" t="s">
        <v>421</v>
      </c>
      <c r="E10" s="21" t="n">
        <v>63</v>
      </c>
      <c r="F10" s="28" t="n">
        <v>6430228</v>
      </c>
      <c r="G10" s="28" t="n">
        <f aca="false">F10*365/E10</f>
        <v>37254495.5555556</v>
      </c>
      <c r="H10" s="28" t="n">
        <v>108731</v>
      </c>
      <c r="I10" s="28" t="n">
        <v>2831981</v>
      </c>
      <c r="J10" s="57" t="n">
        <v>59.14</v>
      </c>
      <c r="K10" s="71" t="n">
        <v>0</v>
      </c>
      <c r="L10" s="45" t="n">
        <v>0</v>
      </c>
      <c r="M10" s="45" t="n">
        <v>0.318</v>
      </c>
      <c r="N10" s="45" t="n">
        <v>0.006</v>
      </c>
      <c r="O10" s="21" t="s">
        <v>430</v>
      </c>
    </row>
    <row r="11" customFormat="false" ht="15" hidden="false" customHeight="false" outlineLevel="0" collapsed="false">
      <c r="A11" s="21" t="s">
        <v>443</v>
      </c>
      <c r="B11" s="16" t="s">
        <v>444</v>
      </c>
      <c r="C11" s="21" t="s">
        <v>433</v>
      </c>
      <c r="D11" s="21" t="s">
        <v>421</v>
      </c>
      <c r="E11" s="21" t="n">
        <v>65</v>
      </c>
      <c r="F11" s="28" t="n">
        <v>6610805</v>
      </c>
      <c r="G11" s="28" t="n">
        <f aca="false">F11*365/E11</f>
        <v>37122212.6923077</v>
      </c>
      <c r="H11" s="28" t="n">
        <v>132653</v>
      </c>
      <c r="I11" s="28" t="n">
        <v>2931550</v>
      </c>
      <c r="J11" s="57" t="n">
        <v>49.84</v>
      </c>
      <c r="K11" s="71" t="n">
        <v>0</v>
      </c>
      <c r="L11" s="45" t="n">
        <v>0</v>
      </c>
      <c r="M11" s="45" t="n">
        <v>0.436</v>
      </c>
      <c r="N11" s="45" t="n">
        <v>0</v>
      </c>
      <c r="O11" s="21" t="s">
        <v>430</v>
      </c>
    </row>
    <row r="12" customFormat="false" ht="15" hidden="false" customHeight="false" outlineLevel="0" collapsed="false">
      <c r="A12" s="21" t="s">
        <v>445</v>
      </c>
      <c r="B12" s="16" t="s">
        <v>446</v>
      </c>
      <c r="C12" s="21" t="s">
        <v>420</v>
      </c>
      <c r="D12" s="21" t="s">
        <v>421</v>
      </c>
      <c r="E12" s="21" t="n">
        <v>181</v>
      </c>
      <c r="F12" s="28" t="n">
        <v>18281399</v>
      </c>
      <c r="G12" s="28" t="n">
        <f aca="false">F12*365/E12</f>
        <v>36865804.6132597</v>
      </c>
      <c r="H12" s="28" t="n">
        <v>308074</v>
      </c>
      <c r="I12" s="28" t="n">
        <v>8679738</v>
      </c>
      <c r="J12" s="57" t="n">
        <v>59.34</v>
      </c>
      <c r="K12" s="70" t="n">
        <v>-0.09</v>
      </c>
      <c r="L12" s="45" t="n">
        <v>0</v>
      </c>
      <c r="M12" s="45" t="n">
        <v>1</v>
      </c>
      <c r="N12" s="45" t="n">
        <v>0.277</v>
      </c>
      <c r="O12" s="21" t="s">
        <v>430</v>
      </c>
    </row>
    <row r="13" customFormat="false" ht="15" hidden="false" customHeight="false" outlineLevel="0" collapsed="false">
      <c r="A13" s="21" t="s">
        <v>447</v>
      </c>
      <c r="B13" s="16" t="s">
        <v>448</v>
      </c>
      <c r="C13" s="21" t="s">
        <v>429</v>
      </c>
      <c r="D13" s="21" t="s">
        <v>440</v>
      </c>
      <c r="E13" s="21" t="n">
        <v>181</v>
      </c>
      <c r="F13" s="28" t="n">
        <v>17320811</v>
      </c>
      <c r="G13" s="28" t="n">
        <f aca="false">F13*365/E13</f>
        <v>34928707.2651934</v>
      </c>
      <c r="H13" s="28" t="n">
        <v>256011</v>
      </c>
      <c r="I13" s="28" t="n">
        <v>7729931</v>
      </c>
      <c r="J13" s="57" t="n">
        <v>67.66</v>
      </c>
      <c r="K13" s="70" t="n">
        <v>-0.119</v>
      </c>
      <c r="L13" s="45" t="n">
        <v>0</v>
      </c>
      <c r="M13" s="45" t="n">
        <v>1</v>
      </c>
      <c r="N13" s="45" t="n">
        <v>0.082</v>
      </c>
      <c r="O13" s="21" t="s">
        <v>430</v>
      </c>
    </row>
    <row r="14" customFormat="false" ht="15" hidden="false" customHeight="false" outlineLevel="0" collapsed="false">
      <c r="A14" s="21" t="s">
        <v>449</v>
      </c>
      <c r="B14" s="16" t="s">
        <v>450</v>
      </c>
      <c r="C14" s="21" t="s">
        <v>420</v>
      </c>
      <c r="D14" s="21" t="s">
        <v>421</v>
      </c>
      <c r="E14" s="21" t="n">
        <v>181</v>
      </c>
      <c r="F14" s="28" t="n">
        <v>16855372</v>
      </c>
      <c r="G14" s="28" t="n">
        <f aca="false">F14*365/E14</f>
        <v>33990114.8066298</v>
      </c>
      <c r="H14" s="28" t="n">
        <v>283446</v>
      </c>
      <c r="I14" s="28" t="n">
        <v>2676944</v>
      </c>
      <c r="J14" s="57" t="n">
        <v>59.47</v>
      </c>
      <c r="K14" s="45" t="n">
        <v>-0.034</v>
      </c>
      <c r="L14" s="45" t="n">
        <v>0.038</v>
      </c>
      <c r="M14" s="45" t="n">
        <v>0.488</v>
      </c>
      <c r="N14" s="45" t="n">
        <v>0.231</v>
      </c>
      <c r="O14" s="21" t="s">
        <v>430</v>
      </c>
    </row>
    <row r="15" customFormat="false" ht="15" hidden="false" customHeight="false" outlineLevel="0" collapsed="false">
      <c r="A15" s="21" t="s">
        <v>451</v>
      </c>
      <c r="B15" s="16" t="s">
        <v>452</v>
      </c>
      <c r="C15" s="21" t="s">
        <v>420</v>
      </c>
      <c r="D15" s="21" t="s">
        <v>425</v>
      </c>
      <c r="E15" s="21" t="n">
        <v>181</v>
      </c>
      <c r="F15" s="28" t="n">
        <v>15775248</v>
      </c>
      <c r="G15" s="28" t="n">
        <f aca="false">F15*365/E15</f>
        <v>31811964.198895</v>
      </c>
      <c r="H15" s="28" t="n">
        <v>249705</v>
      </c>
      <c r="I15" s="28" t="n">
        <v>7806709</v>
      </c>
      <c r="J15" s="57" t="n">
        <v>63.18</v>
      </c>
      <c r="K15" s="70" t="n">
        <v>-0.217</v>
      </c>
      <c r="L15" s="45" t="n">
        <v>0</v>
      </c>
      <c r="M15" s="45" t="n">
        <v>0.894</v>
      </c>
      <c r="N15" s="45" t="n">
        <v>0.458</v>
      </c>
      <c r="O15" s="21" t="s">
        <v>437</v>
      </c>
    </row>
    <row r="16" customFormat="false" ht="15" hidden="false" customHeight="false" outlineLevel="0" collapsed="false">
      <c r="A16" s="21" t="s">
        <v>453</v>
      </c>
      <c r="B16" s="16" t="s">
        <v>454</v>
      </c>
      <c r="C16" s="21" t="s">
        <v>455</v>
      </c>
      <c r="D16" s="21" t="s">
        <v>421</v>
      </c>
      <c r="E16" s="21" t="n">
        <v>181</v>
      </c>
      <c r="F16" s="28" t="n">
        <v>15719285</v>
      </c>
      <c r="G16" s="28" t="n">
        <f aca="false">F16*365/E16</f>
        <v>31699110.6353591</v>
      </c>
      <c r="H16" s="28" t="n">
        <v>211558</v>
      </c>
      <c r="I16" s="28" t="n">
        <v>4791911</v>
      </c>
      <c r="J16" s="57" t="n">
        <v>74.3</v>
      </c>
      <c r="K16" s="72" t="n">
        <v>0.151</v>
      </c>
      <c r="L16" s="45" t="n">
        <v>0</v>
      </c>
      <c r="M16" s="45" t="n">
        <v>0.247</v>
      </c>
      <c r="N16" s="45" t="n">
        <v>0.076</v>
      </c>
      <c r="O16" s="21" t="s">
        <v>430</v>
      </c>
    </row>
    <row r="17" customFormat="false" ht="15" hidden="false" customHeight="false" outlineLevel="0" collapsed="false">
      <c r="A17" s="21" t="s">
        <v>456</v>
      </c>
      <c r="B17" s="16" t="s">
        <v>457</v>
      </c>
      <c r="C17" s="21" t="s">
        <v>429</v>
      </c>
      <c r="D17" s="21" t="s">
        <v>421</v>
      </c>
      <c r="E17" s="21" t="n">
        <v>57</v>
      </c>
      <c r="F17" s="28" t="n">
        <v>4714627</v>
      </c>
      <c r="G17" s="28" t="n">
        <f aca="false">F17*365/E17</f>
        <v>30190155.3508772</v>
      </c>
      <c r="H17" s="28" t="n">
        <v>84547</v>
      </c>
      <c r="I17" s="28" t="n">
        <v>2078856</v>
      </c>
      <c r="J17" s="57" t="n">
        <v>55.76</v>
      </c>
      <c r="K17" s="71" t="n">
        <v>0</v>
      </c>
      <c r="L17" s="45" t="n">
        <v>0</v>
      </c>
      <c r="M17" s="45" t="n">
        <v>0.432</v>
      </c>
      <c r="N17" s="45" t="n">
        <v>0</v>
      </c>
      <c r="O17" s="21" t="s">
        <v>422</v>
      </c>
    </row>
    <row r="18" customFormat="false" ht="15" hidden="false" customHeight="false" outlineLevel="0" collapsed="false">
      <c r="A18" s="21" t="s">
        <v>458</v>
      </c>
      <c r="B18" s="16" t="s">
        <v>459</v>
      </c>
      <c r="C18" s="21" t="s">
        <v>420</v>
      </c>
      <c r="D18" s="21" t="s">
        <v>421</v>
      </c>
      <c r="E18" s="21" t="n">
        <v>181</v>
      </c>
      <c r="F18" s="28" t="n">
        <v>14811456</v>
      </c>
      <c r="G18" s="28" t="n">
        <f aca="false">F18*365/E18</f>
        <v>29868405.7458564</v>
      </c>
      <c r="H18" s="28" t="n">
        <v>338888</v>
      </c>
      <c r="I18" s="28" t="n">
        <v>6570004</v>
      </c>
      <c r="J18" s="57" t="n">
        <v>43.71</v>
      </c>
      <c r="K18" s="45" t="n">
        <v>-0.03</v>
      </c>
      <c r="L18" s="45" t="n">
        <v>0</v>
      </c>
      <c r="M18" s="45" t="n">
        <v>1</v>
      </c>
      <c r="N18" s="45" t="n">
        <v>0</v>
      </c>
      <c r="O18" s="21" t="s">
        <v>422</v>
      </c>
    </row>
    <row r="19" customFormat="false" ht="15" hidden="false" customHeight="false" outlineLevel="0" collapsed="false">
      <c r="A19" s="21" t="s">
        <v>460</v>
      </c>
      <c r="B19" s="16" t="s">
        <v>461</v>
      </c>
      <c r="C19" s="21" t="s">
        <v>462</v>
      </c>
      <c r="D19" s="21" t="s">
        <v>463</v>
      </c>
      <c r="E19" s="21" t="n">
        <v>130</v>
      </c>
      <c r="F19" s="28" t="n">
        <v>9901510</v>
      </c>
      <c r="G19" s="28" t="n">
        <f aca="false">F19*365/E19</f>
        <v>27800393.4615385</v>
      </c>
      <c r="H19" s="28" t="n">
        <v>234974</v>
      </c>
      <c r="I19" s="28" t="n">
        <v>4445436</v>
      </c>
      <c r="J19" s="57" t="n">
        <v>42.14</v>
      </c>
      <c r="K19" s="72" t="n">
        <v>0.275</v>
      </c>
      <c r="L19" s="45" t="n">
        <v>0</v>
      </c>
      <c r="M19" s="45" t="n">
        <v>0.478</v>
      </c>
      <c r="N19" s="45" t="n">
        <v>0.048</v>
      </c>
      <c r="O19" s="20" t="s">
        <v>434</v>
      </c>
    </row>
    <row r="20" customFormat="false" ht="15" hidden="false" customHeight="false" outlineLevel="0" collapsed="false">
      <c r="A20" s="21" t="s">
        <v>464</v>
      </c>
      <c r="B20" s="16" t="s">
        <v>465</v>
      </c>
      <c r="C20" s="21" t="s">
        <v>420</v>
      </c>
      <c r="D20" s="21" t="s">
        <v>466</v>
      </c>
      <c r="E20" s="21" t="n">
        <v>70</v>
      </c>
      <c r="F20" s="28" t="n">
        <v>5015246</v>
      </c>
      <c r="G20" s="28" t="n">
        <f aca="false">F20*365/E20</f>
        <v>26150925.5714286</v>
      </c>
      <c r="H20" s="28" t="n">
        <v>115020</v>
      </c>
      <c r="I20" s="28" t="n">
        <v>2229579</v>
      </c>
      <c r="J20" s="57" t="n">
        <v>43.6</v>
      </c>
      <c r="K20" s="71" t="n">
        <v>0</v>
      </c>
      <c r="L20" s="45" t="n">
        <v>0</v>
      </c>
      <c r="M20" s="45" t="n">
        <v>0.678</v>
      </c>
      <c r="N20" s="45" t="n">
        <v>0</v>
      </c>
      <c r="O20" s="21" t="s">
        <v>426</v>
      </c>
    </row>
    <row r="21" customFormat="false" ht="15" hidden="false" customHeight="false" outlineLevel="0" collapsed="false">
      <c r="A21" s="21" t="s">
        <v>467</v>
      </c>
      <c r="B21" s="16" t="s">
        <v>468</v>
      </c>
      <c r="C21" s="21" t="s">
        <v>420</v>
      </c>
      <c r="D21" s="21" t="s">
        <v>421</v>
      </c>
      <c r="E21" s="21" t="n">
        <v>181</v>
      </c>
      <c r="F21" s="28" t="n">
        <v>12392502</v>
      </c>
      <c r="G21" s="28" t="n">
        <f aca="false">F21*365/E21</f>
        <v>24990404.5856354</v>
      </c>
      <c r="H21" s="28" t="n">
        <v>284756</v>
      </c>
      <c r="I21" s="28" t="n">
        <v>5504980</v>
      </c>
      <c r="J21" s="57" t="n">
        <v>43.52</v>
      </c>
      <c r="K21" s="70" t="n">
        <v>-0.112</v>
      </c>
      <c r="L21" s="45" t="n">
        <v>0</v>
      </c>
      <c r="M21" s="45" t="n">
        <v>1</v>
      </c>
      <c r="N21" s="45" t="n">
        <v>0</v>
      </c>
      <c r="O21" s="21" t="s">
        <v>430</v>
      </c>
    </row>
    <row r="22" customFormat="false" ht="15" hidden="false" customHeight="false" outlineLevel="0" collapsed="false">
      <c r="A22" s="21" t="s">
        <v>469</v>
      </c>
      <c r="B22" s="16" t="s">
        <v>470</v>
      </c>
      <c r="C22" s="21" t="s">
        <v>433</v>
      </c>
      <c r="D22" s="21" t="s">
        <v>421</v>
      </c>
      <c r="E22" s="21" t="n">
        <v>147</v>
      </c>
      <c r="F22" s="28" t="n">
        <v>9737128</v>
      </c>
      <c r="G22" s="28" t="n">
        <f aca="false">F22*365/E22</f>
        <v>24177222.585034</v>
      </c>
      <c r="H22" s="28" t="n">
        <v>195205</v>
      </c>
      <c r="I22" s="28" t="n">
        <v>4722403</v>
      </c>
      <c r="J22" s="57" t="n">
        <v>49.88</v>
      </c>
      <c r="K22" s="72" t="n">
        <v>0.068</v>
      </c>
      <c r="L22" s="45" t="n">
        <v>0</v>
      </c>
      <c r="M22" s="45" t="n">
        <v>0.673</v>
      </c>
      <c r="N22" s="45" t="n">
        <v>0.329</v>
      </c>
      <c r="O22" s="21" t="s">
        <v>437</v>
      </c>
    </row>
    <row r="23" customFormat="false" ht="15" hidden="false" customHeight="false" outlineLevel="0" collapsed="false">
      <c r="A23" s="21" t="s">
        <v>471</v>
      </c>
      <c r="B23" s="16" t="s">
        <v>472</v>
      </c>
      <c r="C23" s="21" t="s">
        <v>420</v>
      </c>
      <c r="D23" s="21" t="s">
        <v>421</v>
      </c>
      <c r="E23" s="21" t="n">
        <v>181</v>
      </c>
      <c r="F23" s="28" t="n">
        <v>11129389</v>
      </c>
      <c r="G23" s="28" t="n">
        <f aca="false">F23*365/E23</f>
        <v>22443243.0110497</v>
      </c>
      <c r="H23" s="28" t="n">
        <v>233425</v>
      </c>
      <c r="I23" s="28" t="n">
        <v>4924931</v>
      </c>
      <c r="J23" s="57" t="n">
        <v>47.68</v>
      </c>
      <c r="K23" s="72" t="n">
        <v>0.069</v>
      </c>
      <c r="L23" s="45" t="n">
        <v>0</v>
      </c>
      <c r="M23" s="45" t="n">
        <v>1</v>
      </c>
      <c r="N23" s="45" t="n">
        <v>0</v>
      </c>
      <c r="O23" s="21" t="s">
        <v>430</v>
      </c>
    </row>
    <row r="24" customFormat="false" ht="15" hidden="false" customHeight="false" outlineLevel="0" collapsed="false">
      <c r="A24" s="21" t="s">
        <v>473</v>
      </c>
      <c r="B24" s="16" t="s">
        <v>474</v>
      </c>
      <c r="C24" s="21" t="s">
        <v>420</v>
      </c>
      <c r="D24" s="21" t="s">
        <v>421</v>
      </c>
      <c r="E24" s="21" t="n">
        <v>181</v>
      </c>
      <c r="F24" s="28" t="n">
        <v>10708429</v>
      </c>
      <c r="G24" s="28" t="n">
        <f aca="false">F24*365/E24</f>
        <v>21594345.7734807</v>
      </c>
      <c r="H24" s="28" t="n">
        <v>246641</v>
      </c>
      <c r="I24" s="28" t="n">
        <v>4740020</v>
      </c>
      <c r="J24" s="57" t="n">
        <v>43.42</v>
      </c>
      <c r="K24" s="45" t="n">
        <v>0.042</v>
      </c>
      <c r="L24" s="45" t="n">
        <v>0</v>
      </c>
      <c r="M24" s="45" t="n">
        <v>1</v>
      </c>
      <c r="N24" s="45" t="n">
        <v>0</v>
      </c>
      <c r="O24" s="21" t="s">
        <v>430</v>
      </c>
    </row>
    <row r="25" customFormat="false" ht="15" hidden="false" customHeight="false" outlineLevel="0" collapsed="false">
      <c r="A25" s="21" t="s">
        <v>475</v>
      </c>
      <c r="B25" s="16" t="s">
        <v>476</v>
      </c>
      <c r="C25" s="21" t="s">
        <v>429</v>
      </c>
      <c r="D25" s="21" t="s">
        <v>440</v>
      </c>
      <c r="E25" s="21" t="n">
        <v>181</v>
      </c>
      <c r="F25" s="28" t="n">
        <v>10700092</v>
      </c>
      <c r="G25" s="28" t="n">
        <f aca="false">F25*365/E25</f>
        <v>21577533.5911602</v>
      </c>
      <c r="H25" s="28" t="n">
        <v>207031</v>
      </c>
      <c r="I25" s="28" t="n">
        <v>4771577</v>
      </c>
      <c r="J25" s="57" t="n">
        <v>51.68</v>
      </c>
      <c r="K25" s="72" t="n">
        <v>0.177</v>
      </c>
      <c r="L25" s="45" t="n">
        <v>0</v>
      </c>
      <c r="M25" s="45" t="n">
        <v>1</v>
      </c>
      <c r="N25" s="45" t="n">
        <v>0.058</v>
      </c>
      <c r="O25" s="21" t="s">
        <v>422</v>
      </c>
    </row>
    <row r="26" customFormat="false" ht="15" hidden="false" customHeight="false" outlineLevel="0" collapsed="false">
      <c r="A26" s="21" t="s">
        <v>477</v>
      </c>
      <c r="B26" s="16" t="s">
        <v>478</v>
      </c>
      <c r="C26" s="21" t="s">
        <v>420</v>
      </c>
      <c r="D26" s="21" t="s">
        <v>466</v>
      </c>
      <c r="E26" s="21" t="n">
        <v>181</v>
      </c>
      <c r="F26" s="28" t="n">
        <v>10414834</v>
      </c>
      <c r="G26" s="28" t="n">
        <f aca="false">F26*365/E26</f>
        <v>21002289.5580111</v>
      </c>
      <c r="H26" s="28" t="n">
        <v>201217</v>
      </c>
      <c r="I26" s="28" t="n">
        <v>4933540</v>
      </c>
      <c r="J26" s="57" t="n">
        <v>51.76</v>
      </c>
      <c r="K26" s="45" t="n">
        <v>-0.033</v>
      </c>
      <c r="L26" s="45" t="n">
        <v>0</v>
      </c>
      <c r="M26" s="45" t="n">
        <v>0.634</v>
      </c>
      <c r="N26" s="45" t="n">
        <v>0.276</v>
      </c>
      <c r="O26" s="21" t="s">
        <v>422</v>
      </c>
    </row>
    <row r="27" customFormat="false" ht="15" hidden="false" customHeight="false" outlineLevel="0" collapsed="false">
      <c r="A27" s="21" t="s">
        <v>479</v>
      </c>
      <c r="B27" s="16" t="s">
        <v>480</v>
      </c>
      <c r="C27" s="21" t="s">
        <v>429</v>
      </c>
      <c r="D27" s="21" t="s">
        <v>440</v>
      </c>
      <c r="E27" s="21" t="n">
        <v>181</v>
      </c>
      <c r="F27" s="28" t="n">
        <v>9869940</v>
      </c>
      <c r="G27" s="28" t="n">
        <f aca="false">F27*365/E27</f>
        <v>19903470.1657459</v>
      </c>
      <c r="H27" s="28" t="n">
        <v>148911</v>
      </c>
      <c r="I27" s="28" t="n">
        <v>4643058</v>
      </c>
      <c r="J27" s="57" t="n">
        <v>66.28</v>
      </c>
      <c r="K27" s="72" t="n">
        <v>0.083</v>
      </c>
      <c r="L27" s="45" t="n">
        <v>0</v>
      </c>
      <c r="M27" s="45" t="n">
        <v>1</v>
      </c>
      <c r="N27" s="45" t="n">
        <v>0.27</v>
      </c>
      <c r="O27" s="21" t="s">
        <v>481</v>
      </c>
    </row>
    <row r="28" customFormat="false" ht="15" hidden="false" customHeight="false" outlineLevel="0" collapsed="false">
      <c r="A28" s="21" t="s">
        <v>482</v>
      </c>
      <c r="B28" s="16" t="s">
        <v>483</v>
      </c>
      <c r="C28" s="21" t="s">
        <v>420</v>
      </c>
      <c r="D28" s="21" t="s">
        <v>425</v>
      </c>
      <c r="E28" s="21" t="n">
        <v>111</v>
      </c>
      <c r="F28" s="28" t="n">
        <v>5875411</v>
      </c>
      <c r="G28" s="28" t="n">
        <f aca="false">F28*365/E28</f>
        <v>19320045.1801802</v>
      </c>
      <c r="H28" s="28" t="n">
        <v>75507</v>
      </c>
      <c r="I28" s="28" t="n">
        <v>2834084</v>
      </c>
      <c r="J28" s="57" t="n">
        <v>77.81</v>
      </c>
      <c r="K28" s="71" t="n">
        <v>-0.033</v>
      </c>
      <c r="L28" s="45" t="n">
        <v>0</v>
      </c>
      <c r="M28" s="45" t="n">
        <v>0.493</v>
      </c>
      <c r="N28" s="45" t="n">
        <v>0.349</v>
      </c>
      <c r="O28" s="20" t="s">
        <v>434</v>
      </c>
    </row>
    <row r="29" customFormat="false" ht="15" hidden="false" customHeight="false" outlineLevel="0" collapsed="false">
      <c r="A29" s="21" t="s">
        <v>484</v>
      </c>
      <c r="B29" s="16" t="s">
        <v>485</v>
      </c>
      <c r="C29" s="21" t="s">
        <v>420</v>
      </c>
      <c r="D29" s="21" t="s">
        <v>466</v>
      </c>
      <c r="E29" s="21" t="n">
        <v>181</v>
      </c>
      <c r="F29" s="28" t="n">
        <v>9512678</v>
      </c>
      <c r="G29" s="28" t="n">
        <f aca="false">F29*365/E29</f>
        <v>19183024.6961326</v>
      </c>
      <c r="H29" s="28" t="n">
        <v>147623</v>
      </c>
      <c r="I29" s="28" t="n">
        <v>4558563</v>
      </c>
      <c r="J29" s="57" t="n">
        <v>64.44</v>
      </c>
      <c r="K29" s="45" t="n">
        <v>-0.045</v>
      </c>
      <c r="L29" s="45" t="n">
        <v>0</v>
      </c>
      <c r="M29" s="45" t="n">
        <v>1</v>
      </c>
      <c r="N29" s="45" t="n">
        <v>0.321</v>
      </c>
      <c r="O29" s="21" t="s">
        <v>422</v>
      </c>
    </row>
    <row r="30" customFormat="false" ht="15" hidden="false" customHeight="false" outlineLevel="0" collapsed="false">
      <c r="A30" s="21" t="s">
        <v>486</v>
      </c>
      <c r="B30" s="16" t="s">
        <v>487</v>
      </c>
      <c r="C30" s="21" t="s">
        <v>420</v>
      </c>
      <c r="D30" s="21" t="s">
        <v>421</v>
      </c>
      <c r="E30" s="21" t="n">
        <v>92</v>
      </c>
      <c r="F30" s="28" t="n">
        <v>4575739</v>
      </c>
      <c r="G30" s="28" t="n">
        <f aca="false">F30*365/E30</f>
        <v>18153747.1195652</v>
      </c>
      <c r="H30" s="28" t="n">
        <v>94310</v>
      </c>
      <c r="I30" s="28" t="n">
        <v>2127665</v>
      </c>
      <c r="J30" s="57" t="n">
        <v>48.52</v>
      </c>
      <c r="K30" s="71" t="n">
        <v>0</v>
      </c>
      <c r="L30" s="45" t="n">
        <v>0</v>
      </c>
      <c r="M30" s="45" t="n">
        <v>0.685</v>
      </c>
      <c r="N30" s="45" t="n">
        <v>0.176</v>
      </c>
      <c r="O30" s="21" t="s">
        <v>422</v>
      </c>
    </row>
    <row r="31" customFormat="false" ht="15" hidden="false" customHeight="false" outlineLevel="0" collapsed="false">
      <c r="A31" s="21" t="s">
        <v>488</v>
      </c>
      <c r="B31" s="16" t="s">
        <v>489</v>
      </c>
      <c r="C31" s="21" t="s">
        <v>490</v>
      </c>
      <c r="D31" s="21" t="s">
        <v>463</v>
      </c>
      <c r="E31" s="21" t="n">
        <v>181</v>
      </c>
      <c r="F31" s="28" t="n">
        <v>8563678</v>
      </c>
      <c r="G31" s="28" t="n">
        <f aca="false">F31*365/E31</f>
        <v>17269295.4143646</v>
      </c>
      <c r="H31" s="28" t="n">
        <v>156380</v>
      </c>
      <c r="I31" s="28" t="n">
        <v>3884721</v>
      </c>
      <c r="J31" s="57" t="n">
        <v>54.76</v>
      </c>
      <c r="K31" s="72" t="n">
        <v>0.186</v>
      </c>
      <c r="L31" s="45" t="n">
        <v>0</v>
      </c>
      <c r="M31" s="45" t="n">
        <v>0</v>
      </c>
      <c r="N31" s="45" t="n">
        <v>0.082</v>
      </c>
      <c r="O31" s="21" t="s">
        <v>430</v>
      </c>
    </row>
    <row r="32" customFormat="false" ht="15" hidden="false" customHeight="false" outlineLevel="0" collapsed="false">
      <c r="A32" s="21" t="s">
        <v>491</v>
      </c>
      <c r="B32" s="16" t="s">
        <v>492</v>
      </c>
      <c r="C32" s="21" t="s">
        <v>493</v>
      </c>
      <c r="D32" s="21" t="s">
        <v>463</v>
      </c>
      <c r="E32" s="21" t="n">
        <v>69</v>
      </c>
      <c r="F32" s="28" t="n">
        <v>3263896</v>
      </c>
      <c r="G32" s="28" t="n">
        <f aca="false">F32*365/E32</f>
        <v>17265536.8115942</v>
      </c>
      <c r="H32" s="28" t="n">
        <v>65707</v>
      </c>
      <c r="I32" s="28" t="n">
        <v>1471112</v>
      </c>
      <c r="J32" s="57" t="n">
        <v>49.67</v>
      </c>
      <c r="K32" s="71" t="n">
        <v>0</v>
      </c>
      <c r="L32" s="45" t="n">
        <v>0</v>
      </c>
      <c r="M32" s="45" t="n">
        <v>0.597</v>
      </c>
      <c r="N32" s="45" t="n">
        <v>0.103</v>
      </c>
      <c r="O32" s="20" t="s">
        <v>434</v>
      </c>
    </row>
    <row r="33" customFormat="false" ht="15" hidden="false" customHeight="false" outlineLevel="0" collapsed="false">
      <c r="A33" s="21" t="s">
        <v>494</v>
      </c>
      <c r="B33" s="16" t="s">
        <v>495</v>
      </c>
      <c r="C33" s="21" t="s">
        <v>462</v>
      </c>
      <c r="D33" s="21" t="s">
        <v>421</v>
      </c>
      <c r="E33" s="21" t="n">
        <v>181</v>
      </c>
      <c r="F33" s="28" t="n">
        <v>8483209</v>
      </c>
      <c r="G33" s="28" t="n">
        <f aca="false">F33*365/E33</f>
        <v>17107023.6740332</v>
      </c>
      <c r="H33" s="28" t="n">
        <v>166967</v>
      </c>
      <c r="I33" s="28" t="n">
        <v>3774634</v>
      </c>
      <c r="J33" s="57" t="n">
        <v>50.81</v>
      </c>
      <c r="K33" s="72" t="n">
        <v>0.18</v>
      </c>
      <c r="L33" s="45" t="n">
        <v>0</v>
      </c>
      <c r="M33" s="45" t="n">
        <v>0.253</v>
      </c>
      <c r="N33" s="45" t="n">
        <v>0.023</v>
      </c>
      <c r="O33" s="21" t="s">
        <v>422</v>
      </c>
    </row>
    <row r="34" customFormat="false" ht="15" hidden="false" customHeight="false" outlineLevel="0" collapsed="false">
      <c r="A34" s="21" t="s">
        <v>496</v>
      </c>
      <c r="B34" s="16" t="s">
        <v>497</v>
      </c>
      <c r="C34" s="21" t="s">
        <v>420</v>
      </c>
      <c r="D34" s="21" t="s">
        <v>425</v>
      </c>
      <c r="E34" s="21" t="n">
        <v>181</v>
      </c>
      <c r="F34" s="28" t="n">
        <v>8421901</v>
      </c>
      <c r="G34" s="28" t="n">
        <f aca="false">F34*365/E34</f>
        <v>16983391.519337</v>
      </c>
      <c r="H34" s="28" t="n">
        <v>76519</v>
      </c>
      <c r="I34" s="28" t="n">
        <v>4263083</v>
      </c>
      <c r="J34" s="57" t="n">
        <v>110.06</v>
      </c>
      <c r="K34" s="70" t="n">
        <v>-0.084</v>
      </c>
      <c r="L34" s="45" t="n">
        <v>0.015</v>
      </c>
      <c r="M34" s="45" t="n">
        <v>0.357</v>
      </c>
      <c r="N34" s="45" t="n">
        <v>0.559</v>
      </c>
      <c r="O34" s="21" t="s">
        <v>481</v>
      </c>
    </row>
    <row r="35" customFormat="false" ht="15" hidden="false" customHeight="false" outlineLevel="0" collapsed="false">
      <c r="A35" s="21" t="s">
        <v>498</v>
      </c>
      <c r="B35" s="16" t="s">
        <v>499</v>
      </c>
      <c r="C35" s="21" t="s">
        <v>420</v>
      </c>
      <c r="D35" s="21" t="s">
        <v>421</v>
      </c>
      <c r="E35" s="21" t="n">
        <v>181</v>
      </c>
      <c r="F35" s="28" t="n">
        <v>7821875</v>
      </c>
      <c r="G35" s="28" t="n">
        <f aca="false">F35*365/E35</f>
        <v>15773394.3370166</v>
      </c>
      <c r="H35" s="28" t="n">
        <v>165177</v>
      </c>
      <c r="I35" s="28" t="n">
        <v>3471225</v>
      </c>
      <c r="J35" s="57" t="n">
        <v>47.35</v>
      </c>
      <c r="K35" s="70" t="n">
        <v>-0.533</v>
      </c>
      <c r="L35" s="45" t="n">
        <v>0</v>
      </c>
      <c r="M35" s="45" t="n">
        <v>1</v>
      </c>
      <c r="N35" s="45" t="n">
        <v>0</v>
      </c>
      <c r="O35" s="21" t="s">
        <v>430</v>
      </c>
    </row>
    <row r="36" customFormat="false" ht="15" hidden="false" customHeight="false" outlineLevel="0" collapsed="false">
      <c r="A36" s="21" t="s">
        <v>500</v>
      </c>
      <c r="B36" s="16" t="s">
        <v>501</v>
      </c>
      <c r="C36" s="21" t="s">
        <v>420</v>
      </c>
      <c r="D36" s="21" t="s">
        <v>440</v>
      </c>
      <c r="E36" s="21" t="n">
        <v>181</v>
      </c>
      <c r="F36" s="28" t="n">
        <v>7731204</v>
      </c>
      <c r="G36" s="28" t="n">
        <f aca="false">F36*365/E36</f>
        <v>15590549.5027624</v>
      </c>
      <c r="H36" s="28" t="n">
        <v>168510</v>
      </c>
      <c r="I36" s="28" t="n">
        <v>3512113</v>
      </c>
      <c r="J36" s="57" t="n">
        <v>45.88</v>
      </c>
      <c r="K36" s="70" t="n">
        <v>-0.068</v>
      </c>
      <c r="L36" s="45" t="n">
        <v>0</v>
      </c>
      <c r="M36" s="45" t="n">
        <v>0.509</v>
      </c>
      <c r="N36" s="45" t="n">
        <v>0.115</v>
      </c>
      <c r="O36" s="21" t="s">
        <v>437</v>
      </c>
    </row>
    <row r="37" customFormat="false" ht="15" hidden="false" customHeight="false" outlineLevel="0" collapsed="false">
      <c r="A37" s="21" t="s">
        <v>502</v>
      </c>
      <c r="B37" s="16" t="s">
        <v>503</v>
      </c>
      <c r="C37" s="21" t="s">
        <v>462</v>
      </c>
      <c r="D37" s="21" t="s">
        <v>463</v>
      </c>
      <c r="E37" s="21" t="n">
        <v>26</v>
      </c>
      <c r="F37" s="28" t="n">
        <v>1063910</v>
      </c>
      <c r="G37" s="28" t="n">
        <f aca="false">F37*365/E37</f>
        <v>14935659.6153846</v>
      </c>
      <c r="H37" s="28" t="n">
        <v>31905</v>
      </c>
      <c r="I37" s="28" t="n">
        <v>486162</v>
      </c>
      <c r="J37" s="57" t="n">
        <v>33.35</v>
      </c>
      <c r="K37" s="71" t="n">
        <v>0</v>
      </c>
      <c r="L37" s="45" t="n">
        <v>0</v>
      </c>
      <c r="M37" s="45" t="n">
        <v>0.601</v>
      </c>
      <c r="N37" s="45" t="n">
        <v>0.114</v>
      </c>
      <c r="O37" s="21" t="s">
        <v>229</v>
      </c>
    </row>
    <row r="38" customFormat="false" ht="15" hidden="false" customHeight="false" outlineLevel="0" collapsed="false">
      <c r="A38" s="21" t="s">
        <v>504</v>
      </c>
      <c r="B38" s="16" t="s">
        <v>505</v>
      </c>
      <c r="C38" s="21" t="s">
        <v>433</v>
      </c>
      <c r="D38" s="21" t="s">
        <v>421</v>
      </c>
      <c r="E38" s="21" t="n">
        <v>181</v>
      </c>
      <c r="F38" s="28" t="n">
        <v>7305589</v>
      </c>
      <c r="G38" s="28" t="n">
        <f aca="false">F38*365/E38</f>
        <v>14732265.1104972</v>
      </c>
      <c r="H38" s="28" t="n">
        <v>169734</v>
      </c>
      <c r="I38" s="28" t="n">
        <v>3406904</v>
      </c>
      <c r="J38" s="57" t="n">
        <v>43.04</v>
      </c>
      <c r="K38" s="72" t="n">
        <v>0.083</v>
      </c>
      <c r="L38" s="45" t="n">
        <v>0.015</v>
      </c>
      <c r="M38" s="45" t="n">
        <v>0.459</v>
      </c>
      <c r="N38" s="45" t="n">
        <v>0.167</v>
      </c>
      <c r="O38" s="21" t="s">
        <v>422</v>
      </c>
    </row>
    <row r="39" customFormat="false" ht="15" hidden="false" customHeight="false" outlineLevel="0" collapsed="false">
      <c r="A39" s="21" t="s">
        <v>506</v>
      </c>
      <c r="B39" s="16" t="s">
        <v>507</v>
      </c>
      <c r="C39" s="21" t="s">
        <v>420</v>
      </c>
      <c r="D39" s="21" t="s">
        <v>425</v>
      </c>
      <c r="E39" s="21" t="n">
        <v>181</v>
      </c>
      <c r="F39" s="28" t="n">
        <v>6769350</v>
      </c>
      <c r="G39" s="28" t="n">
        <f aca="false">F39*365/E39</f>
        <v>13650899.1712707</v>
      </c>
      <c r="H39" s="28" t="n">
        <v>97200</v>
      </c>
      <c r="I39" s="28" t="n">
        <v>3076219</v>
      </c>
      <c r="J39" s="57" t="n">
        <v>69.64</v>
      </c>
      <c r="K39" s="70" t="n">
        <v>-0.126</v>
      </c>
      <c r="L39" s="45" t="n">
        <v>0.002</v>
      </c>
      <c r="M39" s="45" t="n">
        <v>0.497</v>
      </c>
      <c r="N39" s="45" t="n">
        <v>0.106</v>
      </c>
      <c r="O39" s="21" t="s">
        <v>422</v>
      </c>
    </row>
    <row r="40" customFormat="false" ht="15" hidden="false" customHeight="false" outlineLevel="0" collapsed="false">
      <c r="A40" s="21" t="s">
        <v>508</v>
      </c>
      <c r="B40" s="16" t="s">
        <v>509</v>
      </c>
      <c r="C40" s="21" t="s">
        <v>462</v>
      </c>
      <c r="D40" s="21" t="s">
        <v>421</v>
      </c>
      <c r="E40" s="21" t="n">
        <v>181</v>
      </c>
      <c r="F40" s="28" t="n">
        <v>6763759</v>
      </c>
      <c r="G40" s="28" t="n">
        <f aca="false">F40*365/E40</f>
        <v>13639624.5027624</v>
      </c>
      <c r="H40" s="28" t="n">
        <v>97406</v>
      </c>
      <c r="I40" s="28" t="n">
        <v>3314721</v>
      </c>
      <c r="J40" s="57" t="n">
        <v>69.44</v>
      </c>
      <c r="K40" s="45" t="n">
        <v>-0.044</v>
      </c>
      <c r="L40" s="45" t="n">
        <v>0</v>
      </c>
      <c r="M40" s="45" t="n">
        <v>1</v>
      </c>
      <c r="N40" s="45" t="n">
        <v>0.373</v>
      </c>
      <c r="O40" s="21" t="s">
        <v>422</v>
      </c>
    </row>
    <row r="41" customFormat="false" ht="15" hidden="false" customHeight="false" outlineLevel="0" collapsed="false">
      <c r="A41" s="21" t="s">
        <v>510</v>
      </c>
      <c r="B41" s="16" t="s">
        <v>511</v>
      </c>
      <c r="C41" s="21" t="s">
        <v>420</v>
      </c>
      <c r="D41" s="21" t="s">
        <v>421</v>
      </c>
      <c r="E41" s="21" t="n">
        <v>181</v>
      </c>
      <c r="F41" s="28" t="n">
        <v>6600956</v>
      </c>
      <c r="G41" s="28" t="n">
        <f aca="false">F41*365/E41</f>
        <v>13311320.1104972</v>
      </c>
      <c r="H41" s="28" t="n">
        <v>146007</v>
      </c>
      <c r="I41" s="28" t="n">
        <v>2925368</v>
      </c>
      <c r="J41" s="57" t="n">
        <v>45.21</v>
      </c>
      <c r="K41" s="70" t="n">
        <v>-0.121</v>
      </c>
      <c r="L41" s="45" t="n">
        <v>0</v>
      </c>
      <c r="M41" s="45" t="n">
        <v>1</v>
      </c>
      <c r="N41" s="45" t="n">
        <v>0</v>
      </c>
      <c r="O41" s="21" t="s">
        <v>422</v>
      </c>
    </row>
    <row r="42" customFormat="false" ht="15" hidden="false" customHeight="false" outlineLevel="0" collapsed="false">
      <c r="A42" s="21" t="s">
        <v>512</v>
      </c>
      <c r="B42" s="16" t="s">
        <v>513</v>
      </c>
      <c r="C42" s="21" t="s">
        <v>462</v>
      </c>
      <c r="D42" s="21" t="s">
        <v>463</v>
      </c>
      <c r="E42" s="21" t="n">
        <v>68</v>
      </c>
      <c r="F42" s="28" t="n">
        <v>2479043</v>
      </c>
      <c r="G42" s="28" t="n">
        <f aca="false">F42*365/E42</f>
        <v>13306627.8676471</v>
      </c>
      <c r="H42" s="28" t="n">
        <v>54370</v>
      </c>
      <c r="I42" s="28" t="n">
        <v>1114635</v>
      </c>
      <c r="J42" s="57" t="n">
        <v>45.6</v>
      </c>
      <c r="K42" s="71" t="n">
        <v>0</v>
      </c>
      <c r="L42" s="45" t="n">
        <v>0</v>
      </c>
      <c r="M42" s="45" t="n">
        <v>0.475</v>
      </c>
      <c r="N42" s="45" t="n">
        <v>0.056</v>
      </c>
      <c r="O42" s="20" t="s">
        <v>434</v>
      </c>
    </row>
    <row r="43" customFormat="false" ht="15" hidden="false" customHeight="false" outlineLevel="0" collapsed="false">
      <c r="A43" s="21" t="s">
        <v>514</v>
      </c>
      <c r="B43" s="16" t="s">
        <v>515</v>
      </c>
      <c r="C43" s="21" t="s">
        <v>429</v>
      </c>
      <c r="D43" s="21" t="s">
        <v>466</v>
      </c>
      <c r="E43" s="21" t="n">
        <v>181</v>
      </c>
      <c r="F43" s="28" t="n">
        <v>6302158</v>
      </c>
      <c r="G43" s="28" t="n">
        <f aca="false">F43*365/E43</f>
        <v>12708771.6574586</v>
      </c>
      <c r="H43" s="28" t="n">
        <v>123912</v>
      </c>
      <c r="I43" s="28" t="n">
        <v>2839338</v>
      </c>
      <c r="J43" s="57" t="n">
        <v>50.86</v>
      </c>
      <c r="K43" s="72" t="n">
        <v>0.082</v>
      </c>
      <c r="L43" s="45" t="n">
        <v>0.007</v>
      </c>
      <c r="M43" s="45" t="n">
        <v>0.307</v>
      </c>
      <c r="N43" s="45" t="n">
        <v>0.077</v>
      </c>
      <c r="O43" s="21" t="s">
        <v>481</v>
      </c>
    </row>
    <row r="44" customFormat="false" ht="15" hidden="false" customHeight="false" outlineLevel="0" collapsed="false">
      <c r="A44" s="21" t="s">
        <v>516</v>
      </c>
      <c r="B44" s="16" t="s">
        <v>517</v>
      </c>
      <c r="C44" s="21" t="s">
        <v>518</v>
      </c>
      <c r="D44" s="21" t="s">
        <v>421</v>
      </c>
      <c r="E44" s="21" t="n">
        <v>181</v>
      </c>
      <c r="F44" s="28" t="n">
        <v>6083371</v>
      </c>
      <c r="G44" s="28" t="n">
        <f aca="false">F44*365/E44</f>
        <v>12267571.3535912</v>
      </c>
      <c r="H44" s="28" t="n">
        <v>107035</v>
      </c>
      <c r="I44" s="28" t="n">
        <v>2759664</v>
      </c>
      <c r="J44" s="57" t="n">
        <v>56.84</v>
      </c>
      <c r="K44" s="72" t="n">
        <v>0.327</v>
      </c>
      <c r="L44" s="45" t="n">
        <v>0.003</v>
      </c>
      <c r="M44" s="45" t="n">
        <v>0.284</v>
      </c>
      <c r="N44" s="45" t="n">
        <v>0.066</v>
      </c>
      <c r="O44" s="20" t="s">
        <v>434</v>
      </c>
    </row>
    <row r="45" customFormat="false" ht="15" hidden="false" customHeight="false" outlineLevel="0" collapsed="false">
      <c r="A45" s="21" t="s">
        <v>519</v>
      </c>
      <c r="B45" s="16" t="s">
        <v>520</v>
      </c>
      <c r="C45" s="21" t="s">
        <v>521</v>
      </c>
      <c r="D45" s="21" t="s">
        <v>463</v>
      </c>
      <c r="E45" s="21" t="n">
        <v>181</v>
      </c>
      <c r="F45" s="28" t="n">
        <v>5976488</v>
      </c>
      <c r="G45" s="28" t="n">
        <f aca="false">F45*365/E45</f>
        <v>12052033.8121547</v>
      </c>
      <c r="H45" s="28" t="n">
        <v>79761</v>
      </c>
      <c r="I45" s="28" t="n">
        <v>2940822</v>
      </c>
      <c r="J45" s="57" t="n">
        <v>74.93</v>
      </c>
      <c r="K45" s="45" t="n">
        <v>-0.029</v>
      </c>
      <c r="L45" s="45" t="n">
        <v>0.002</v>
      </c>
      <c r="M45" s="45" t="n">
        <v>0.336</v>
      </c>
      <c r="N45" s="45" t="n">
        <v>0.392</v>
      </c>
      <c r="O45" s="20" t="s">
        <v>434</v>
      </c>
    </row>
    <row r="46" customFormat="false" ht="15" hidden="false" customHeight="false" outlineLevel="0" collapsed="false">
      <c r="A46" s="21" t="s">
        <v>522</v>
      </c>
      <c r="B46" s="16" t="s">
        <v>523</v>
      </c>
      <c r="C46" s="21" t="s">
        <v>420</v>
      </c>
      <c r="D46" s="21" t="s">
        <v>421</v>
      </c>
      <c r="E46" s="21" t="n">
        <v>181</v>
      </c>
      <c r="F46" s="28" t="n">
        <v>5721087</v>
      </c>
      <c r="G46" s="28" t="n">
        <f aca="false">F46*365/E46</f>
        <v>11536998.6464088</v>
      </c>
      <c r="H46" s="28" t="n">
        <v>106073</v>
      </c>
      <c r="I46" s="28" t="n">
        <v>2694118</v>
      </c>
      <c r="J46" s="57" t="n">
        <v>53.94</v>
      </c>
      <c r="K46" s="70" t="n">
        <v>-0.123</v>
      </c>
      <c r="L46" s="45" t="n">
        <v>0</v>
      </c>
      <c r="M46" s="45" t="n">
        <v>1</v>
      </c>
      <c r="N46" s="45" t="n">
        <v>0.236</v>
      </c>
      <c r="O46" s="21" t="s">
        <v>430</v>
      </c>
    </row>
    <row r="47" customFormat="false" ht="15" hidden="false" customHeight="false" outlineLevel="0" collapsed="false">
      <c r="A47" s="21" t="s">
        <v>524</v>
      </c>
      <c r="B47" s="16" t="s">
        <v>525</v>
      </c>
      <c r="C47" s="21" t="s">
        <v>462</v>
      </c>
      <c r="D47" s="21" t="s">
        <v>526</v>
      </c>
      <c r="E47" s="21" t="n">
        <v>181</v>
      </c>
      <c r="F47" s="28" t="n">
        <v>5714308</v>
      </c>
      <c r="G47" s="28" t="n">
        <f aca="false">F47*365/E47</f>
        <v>11523328.2872928</v>
      </c>
      <c r="H47" s="28" t="n">
        <v>117578</v>
      </c>
      <c r="I47" s="28" t="n">
        <v>2650896</v>
      </c>
      <c r="J47" s="57" t="n">
        <v>48.6</v>
      </c>
      <c r="K47" s="45" t="n">
        <v>-0.009</v>
      </c>
      <c r="L47" s="45" t="n">
        <v>0.007</v>
      </c>
      <c r="M47" s="45" t="n">
        <v>0.531</v>
      </c>
      <c r="N47" s="45" t="n">
        <v>0.184</v>
      </c>
      <c r="O47" s="21" t="s">
        <v>481</v>
      </c>
    </row>
    <row r="48" customFormat="false" ht="15" hidden="false" customHeight="false" outlineLevel="0" collapsed="false">
      <c r="A48" s="21" t="s">
        <v>527</v>
      </c>
      <c r="B48" s="16" t="s">
        <v>528</v>
      </c>
      <c r="C48" s="21" t="s">
        <v>490</v>
      </c>
      <c r="D48" s="21" t="s">
        <v>463</v>
      </c>
      <c r="E48" s="21" t="n">
        <v>181</v>
      </c>
      <c r="F48" s="28" t="n">
        <v>4846644</v>
      </c>
      <c r="G48" s="28" t="n">
        <f aca="false">F48*365/E48</f>
        <v>9773619.1160221</v>
      </c>
      <c r="H48" s="28" t="n">
        <v>84802</v>
      </c>
      <c r="I48" s="28" t="n">
        <v>2153145</v>
      </c>
      <c r="J48" s="57" t="n">
        <v>57.15</v>
      </c>
      <c r="K48" s="72" t="n">
        <v>0.064</v>
      </c>
      <c r="L48" s="45" t="n">
        <v>0</v>
      </c>
      <c r="M48" s="45" t="n">
        <v>0</v>
      </c>
      <c r="N48" s="45" t="n">
        <v>0</v>
      </c>
      <c r="O48" s="21" t="s">
        <v>422</v>
      </c>
    </row>
    <row r="49" customFormat="false" ht="15" hidden="false" customHeight="false" outlineLevel="0" collapsed="false">
      <c r="A49" s="21" t="s">
        <v>529</v>
      </c>
      <c r="B49" s="16" t="s">
        <v>530</v>
      </c>
      <c r="C49" s="21" t="s">
        <v>490</v>
      </c>
      <c r="D49" s="21" t="s">
        <v>466</v>
      </c>
      <c r="E49" s="21" t="n">
        <v>181</v>
      </c>
      <c r="F49" s="28" t="n">
        <v>4569369</v>
      </c>
      <c r="G49" s="28" t="n">
        <f aca="false">F49*365/E49</f>
        <v>9214473.39779006</v>
      </c>
      <c r="H49" s="28" t="n">
        <v>72735</v>
      </c>
      <c r="I49" s="28" t="n">
        <v>2133587</v>
      </c>
      <c r="J49" s="57" t="n">
        <v>62.82</v>
      </c>
      <c r="K49" s="72" t="n">
        <v>0.256</v>
      </c>
      <c r="L49" s="45" t="n">
        <v>0</v>
      </c>
      <c r="M49" s="45" t="n">
        <v>0.355</v>
      </c>
      <c r="N49" s="45" t="n">
        <v>0.201</v>
      </c>
      <c r="O49" s="21" t="s">
        <v>422</v>
      </c>
    </row>
    <row r="50" customFormat="false" ht="15" hidden="false" customHeight="false" outlineLevel="0" collapsed="false">
      <c r="A50" s="21" t="s">
        <v>531</v>
      </c>
      <c r="B50" s="16" t="s">
        <v>532</v>
      </c>
      <c r="C50" s="21" t="s">
        <v>420</v>
      </c>
      <c r="D50" s="21" t="s">
        <v>421</v>
      </c>
      <c r="E50" s="21" t="n">
        <v>181</v>
      </c>
      <c r="F50" s="28" t="n">
        <v>4331347</v>
      </c>
      <c r="G50" s="28" t="n">
        <f aca="false">F50*365/E50</f>
        <v>8734484.28176796</v>
      </c>
      <c r="H50" s="28" t="n">
        <v>82571</v>
      </c>
      <c r="I50" s="28" t="n">
        <v>1912969</v>
      </c>
      <c r="J50" s="57" t="n">
        <v>52.46</v>
      </c>
      <c r="K50" s="70" t="n">
        <v>-0.249</v>
      </c>
      <c r="L50" s="45" t="n">
        <v>0</v>
      </c>
      <c r="M50" s="45" t="n">
        <v>1</v>
      </c>
      <c r="N50" s="45" t="n">
        <v>0</v>
      </c>
      <c r="O50" s="21" t="s">
        <v>430</v>
      </c>
    </row>
    <row r="51" customFormat="false" ht="15" hidden="false" customHeight="false" outlineLevel="0" collapsed="false">
      <c r="A51" s="21" t="s">
        <v>533</v>
      </c>
      <c r="B51" s="16" t="s">
        <v>534</v>
      </c>
      <c r="C51" s="21" t="s">
        <v>420</v>
      </c>
      <c r="D51" s="21" t="s">
        <v>421</v>
      </c>
      <c r="E51" s="21" t="n">
        <v>56</v>
      </c>
      <c r="F51" s="28" t="n">
        <v>1285957</v>
      </c>
      <c r="G51" s="28" t="n">
        <f aca="false">F51*365/E51</f>
        <v>8381684.01785714</v>
      </c>
      <c r="H51" s="28" t="n">
        <v>25265</v>
      </c>
      <c r="I51" s="28" t="n">
        <v>568922</v>
      </c>
      <c r="J51" s="57" t="n">
        <v>50.9</v>
      </c>
      <c r="K51" s="71" t="n">
        <v>0</v>
      </c>
      <c r="L51" s="45" t="n">
        <v>0</v>
      </c>
      <c r="M51" s="45" t="n">
        <v>0.372</v>
      </c>
      <c r="N51" s="45" t="n">
        <v>0</v>
      </c>
      <c r="O51" s="21" t="s">
        <v>229</v>
      </c>
    </row>
    <row r="52" customFormat="false" ht="15" hidden="false" customHeight="false" outlineLevel="0" collapsed="false">
      <c r="A52" s="21" t="s">
        <v>535</v>
      </c>
      <c r="B52" s="16" t="s">
        <v>536</v>
      </c>
      <c r="C52" s="21" t="s">
        <v>429</v>
      </c>
      <c r="D52" s="21" t="s">
        <v>466</v>
      </c>
      <c r="E52" s="21" t="n">
        <v>181</v>
      </c>
      <c r="F52" s="28" t="n">
        <v>3783052</v>
      </c>
      <c r="G52" s="28" t="n">
        <f aca="false">F52*365/E52</f>
        <v>7628806.51933702</v>
      </c>
      <c r="H52" s="28" t="n">
        <v>82333</v>
      </c>
      <c r="I52" s="28" t="n">
        <v>1672588</v>
      </c>
      <c r="J52" s="57" t="n">
        <v>45.95</v>
      </c>
      <c r="K52" s="72" t="n">
        <v>0.137</v>
      </c>
      <c r="L52" s="45" t="n">
        <v>0.008</v>
      </c>
      <c r="M52" s="45" t="n">
        <v>0.335</v>
      </c>
      <c r="N52" s="45" t="n">
        <v>0.017</v>
      </c>
      <c r="O52" s="21" t="s">
        <v>437</v>
      </c>
    </row>
    <row r="53" customFormat="false" ht="15" hidden="false" customHeight="false" outlineLevel="0" collapsed="false">
      <c r="A53" s="21" t="s">
        <v>537</v>
      </c>
      <c r="B53" s="16" t="s">
        <v>538</v>
      </c>
      <c r="C53" s="21" t="s">
        <v>433</v>
      </c>
      <c r="D53" s="21" t="s">
        <v>421</v>
      </c>
      <c r="E53" s="21" t="n">
        <v>181</v>
      </c>
      <c r="F53" s="28" t="n">
        <v>3334226</v>
      </c>
      <c r="G53" s="28" t="n">
        <f aca="false">F53*365/E53</f>
        <v>6723715.41436464</v>
      </c>
      <c r="H53" s="28" t="n">
        <v>60202</v>
      </c>
      <c r="I53" s="28" t="n">
        <v>1601535</v>
      </c>
      <c r="J53" s="57" t="n">
        <v>55.38</v>
      </c>
      <c r="K53" s="45" t="n">
        <v>0.045</v>
      </c>
      <c r="L53" s="45" t="n">
        <v>0.015</v>
      </c>
      <c r="M53" s="45" t="n">
        <v>0.375</v>
      </c>
      <c r="N53" s="45" t="n">
        <v>0.292</v>
      </c>
      <c r="O53" s="21" t="s">
        <v>437</v>
      </c>
    </row>
    <row r="54" customFormat="false" ht="15" hidden="false" customHeight="false" outlineLevel="0" collapsed="false">
      <c r="A54" s="21" t="s">
        <v>539</v>
      </c>
      <c r="B54" s="16" t="s">
        <v>540</v>
      </c>
      <c r="C54" s="21" t="s">
        <v>541</v>
      </c>
      <c r="D54" s="21" t="s">
        <v>463</v>
      </c>
      <c r="E54" s="21" t="n">
        <v>181</v>
      </c>
      <c r="F54" s="28" t="n">
        <v>3179944</v>
      </c>
      <c r="G54" s="28" t="n">
        <f aca="false">F54*365/E54</f>
        <v>6412594.25414365</v>
      </c>
      <c r="H54" s="28" t="n">
        <v>59244</v>
      </c>
      <c r="I54" s="28" t="n">
        <v>1431054</v>
      </c>
      <c r="J54" s="57" t="n">
        <v>53.68</v>
      </c>
      <c r="K54" s="45" t="n">
        <v>-0.028</v>
      </c>
      <c r="L54" s="45" t="n">
        <v>0</v>
      </c>
      <c r="M54" s="45" t="n">
        <v>1</v>
      </c>
      <c r="N54" s="45" t="n">
        <v>0.077</v>
      </c>
      <c r="O54" s="21" t="s">
        <v>422</v>
      </c>
    </row>
    <row r="55" customFormat="false" ht="15" hidden="false" customHeight="false" outlineLevel="0" collapsed="false">
      <c r="A55" s="21" t="s">
        <v>542</v>
      </c>
      <c r="B55" s="16" t="s">
        <v>543</v>
      </c>
      <c r="C55" s="21" t="s">
        <v>462</v>
      </c>
      <c r="D55" s="21" t="s">
        <v>466</v>
      </c>
      <c r="E55" s="21" t="n">
        <v>181</v>
      </c>
      <c r="F55" s="28" t="n">
        <v>2708911</v>
      </c>
      <c r="G55" s="28" t="n">
        <f aca="false">F55*365/E55</f>
        <v>5462721.07734807</v>
      </c>
      <c r="H55" s="28" t="n">
        <v>50827</v>
      </c>
      <c r="I55" s="28" t="n">
        <v>1262094</v>
      </c>
      <c r="J55" s="57" t="n">
        <v>53.3</v>
      </c>
      <c r="K55" s="72" t="n">
        <v>0.188</v>
      </c>
      <c r="L55" s="45" t="n">
        <v>0.005</v>
      </c>
      <c r="M55" s="45" t="n">
        <v>0.408</v>
      </c>
      <c r="N55" s="45" t="n">
        <v>0.18</v>
      </c>
      <c r="O55" s="20" t="s">
        <v>434</v>
      </c>
    </row>
    <row r="56" customFormat="false" ht="15" hidden="false" customHeight="false" outlineLevel="0" collapsed="false">
      <c r="A56" s="21" t="s">
        <v>544</v>
      </c>
      <c r="B56" s="16" t="s">
        <v>545</v>
      </c>
      <c r="C56" s="21" t="s">
        <v>462</v>
      </c>
      <c r="D56" s="21" t="s">
        <v>421</v>
      </c>
      <c r="E56" s="21" t="n">
        <v>181</v>
      </c>
      <c r="F56" s="28" t="n">
        <v>2574779</v>
      </c>
      <c r="G56" s="28" t="n">
        <f aca="false">F56*365/E56</f>
        <v>5192233.89502762</v>
      </c>
      <c r="H56" s="28" t="n">
        <v>73820</v>
      </c>
      <c r="I56" s="28" t="n">
        <v>1204453</v>
      </c>
      <c r="J56" s="57" t="n">
        <v>34.88</v>
      </c>
      <c r="K56" s="72" t="n">
        <v>0.06</v>
      </c>
      <c r="L56" s="45" t="n">
        <v>0</v>
      </c>
      <c r="M56" s="45" t="n">
        <v>1</v>
      </c>
      <c r="N56" s="45" t="n">
        <v>0.194</v>
      </c>
      <c r="O56" s="21" t="s">
        <v>437</v>
      </c>
    </row>
    <row r="57" customFormat="false" ht="15" hidden="false" customHeight="false" outlineLevel="0" collapsed="false">
      <c r="A57" s="21" t="s">
        <v>546</v>
      </c>
      <c r="B57" s="16" t="s">
        <v>547</v>
      </c>
      <c r="C57" s="21" t="s">
        <v>548</v>
      </c>
      <c r="D57" s="21" t="s">
        <v>463</v>
      </c>
      <c r="E57" s="21" t="n">
        <v>39</v>
      </c>
      <c r="F57" s="28" t="n">
        <v>436617</v>
      </c>
      <c r="G57" s="28" t="n">
        <f aca="false">F57*365/E57</f>
        <v>4086287.30769231</v>
      </c>
      <c r="H57" s="28" t="n">
        <v>7649</v>
      </c>
      <c r="I57" s="28" t="n">
        <v>206212</v>
      </c>
      <c r="J57" s="57" t="n">
        <v>57.08</v>
      </c>
      <c r="K57" s="71" t="n">
        <v>0</v>
      </c>
      <c r="L57" s="45" t="n">
        <v>0</v>
      </c>
      <c r="M57" s="45" t="n">
        <v>0.4</v>
      </c>
      <c r="N57" s="45" t="n">
        <v>0.249</v>
      </c>
      <c r="O57" s="20" t="s">
        <v>434</v>
      </c>
    </row>
    <row r="58" customFormat="false" ht="15" hidden="false" customHeight="false" outlineLevel="0" collapsed="false">
      <c r="A58" s="21" t="s">
        <v>549</v>
      </c>
      <c r="B58" s="16" t="s">
        <v>550</v>
      </c>
      <c r="C58" s="21" t="s">
        <v>551</v>
      </c>
      <c r="D58" s="21" t="s">
        <v>463</v>
      </c>
      <c r="E58" s="21" t="n">
        <v>6</v>
      </c>
      <c r="F58" s="28" t="n">
        <v>46160</v>
      </c>
      <c r="G58" s="28" t="n">
        <f aca="false">F58*365/E58</f>
        <v>2808066.66666667</v>
      </c>
      <c r="H58" s="28" t="n">
        <v>924</v>
      </c>
      <c r="I58" s="28" t="n">
        <v>21693</v>
      </c>
      <c r="J58" s="57" t="n">
        <v>49.96</v>
      </c>
      <c r="K58" s="71" t="n">
        <v>0</v>
      </c>
      <c r="L58" s="45" t="n">
        <v>0</v>
      </c>
      <c r="M58" s="45" t="n">
        <v>0.505</v>
      </c>
      <c r="N58" s="45" t="n">
        <v>0.167</v>
      </c>
      <c r="O58" s="20" t="s">
        <v>434</v>
      </c>
    </row>
    <row r="59" customFormat="false" ht="15" hidden="false" customHeight="false" outlineLevel="0" collapsed="false">
      <c r="A59" s="73" t="s">
        <v>552</v>
      </c>
      <c r="B59" s="24" t="s">
        <v>116</v>
      </c>
      <c r="F59" s="74" t="n">
        <f aca="false">SUM(F4:F58)</f>
        <v>502415662</v>
      </c>
      <c r="G59" s="74" t="n">
        <f aca="false">SUM(G4:G58)</f>
        <v>1271395370.83428</v>
      </c>
      <c r="H59" s="74" t="n">
        <f aca="false">SUM(H4:H58)</f>
        <v>8824895</v>
      </c>
      <c r="I59" s="74" t="n">
        <f aca="false">SUM(I4:I58)</f>
        <v>219475297</v>
      </c>
    </row>
    <row r="61" customFormat="false" ht="30" hidden="false" customHeight="true" outlineLevel="0" collapsed="false">
      <c r="A61" s="75" t="s">
        <v>553</v>
      </c>
      <c r="B61" s="75"/>
      <c r="C61" s="75"/>
      <c r="D61" s="75"/>
      <c r="E61" s="75"/>
      <c r="F61" s="75"/>
      <c r="G61" s="75"/>
      <c r="H61" s="75"/>
      <c r="I61" s="75"/>
      <c r="J61" s="75"/>
      <c r="K61" s="75"/>
      <c r="L61" s="75"/>
      <c r="M61" s="75"/>
      <c r="N61" s="75"/>
      <c r="O61" s="75"/>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2026-07-31T12:20:20Z</dcterms:created>
  <dc:creator>openpyxl</dc:creator>
  <dc:description/>
  <dc:language>en-US</dc:language>
  <cp:lastModifiedBy/>
  <dcterms:modified xsi:type="dcterms:W3CDTF">2026-07-31T12:20:20Z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