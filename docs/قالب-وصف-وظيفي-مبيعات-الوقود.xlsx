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وصف الوظيفي" sheetId="1" state="visible" r:id="rId3"/>
    <sheet name="مؤشرات الأداء" sheetId="2" state="visible" r:id="rId4"/>
    <sheet name="نموذج التقييم"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<sst xmlns="http://schemas.openxmlformats.org/spreadsheetml/2006/main" count="252" uniqueCount="206">
  <si>
    <t xml:space="preserve">الوصف الوظيفي — أخصائي مبيعات الوقود</t>
  </si>
  <si>
    <t xml:space="preserve">قالب عام قابل للتكييف على أي منطقة أو قناة — الخانات الصفراء تُعبَّأ</t>
  </si>
  <si>
    <t xml:space="preserve">① بيانات الوظيفة</t>
  </si>
  <si>
    <t xml:space="preserve">المسمى الوظيفي</t>
  </si>
  <si>
    <t xml:space="preserve">أخصائي مبيعات وقود</t>
  </si>
  <si>
    <t xml:space="preserve">الإدارة</t>
  </si>
  <si>
    <t xml:space="preserve">الإدارة التجارية</t>
  </si>
  <si>
    <t xml:space="preserve">القسم</t>
  </si>
  <si>
    <t xml:space="preserve">مبيعات الوقود — قناة الشركات</t>
  </si>
  <si>
    <t xml:space="preserve">يرفع إلى</t>
  </si>
  <si>
    <t xml:space="preserve">مدير مبيعات الوقود</t>
  </si>
  <si>
    <t xml:space="preserve">الموقع / النطاق</t>
  </si>
  <si>
    <t xml:space="preserve">الدرجة الوظيفية</t>
  </si>
  <si>
    <t xml:space="preserve">عدد المرؤوسين</t>
  </si>
  <si>
    <t xml:space="preserve">لا يوجد</t>
  </si>
  <si>
    <t xml:space="preserve">تاريخ الاعتماد</t>
  </si>
  <si>
    <t xml:space="preserve">② الغرض من الوظيفة</t>
  </si>
  <si>
    <t xml:space="preserve">تنمية حجم مبيعات الوقود للعملاء من المنشآت وأصحاب الأساطيل داخل النطاق المحدد، عبر التعاقد المباشر وتثبيت الحجم القائم، بما يحقق نمواً صافياً في الهامش لا مجرد تحويل حجم قائم إلى عقود مخفَّضة.</t>
  </si>
  <si>
    <t xml:space="preserve">③ المسؤوليات الرئيسية</t>
  </si>
  <si>
    <t xml:space="preserve">#</t>
  </si>
  <si>
    <t xml:space="preserve">المسؤولية</t>
  </si>
  <si>
    <t xml:space="preserve">الوصف</t>
  </si>
  <si>
    <t xml:space="preserve">المخرج المتوقع</t>
  </si>
  <si>
    <t xml:space="preserve">الدورية</t>
  </si>
  <si>
    <t xml:space="preserve">حصر السوق</t>
  </si>
  <si>
    <t xml:space="preserve">بناء قاعدة الأساطيل والمنشآت داخل النطاق وتصنيفها بالحجم والقطاع</t>
  </si>
  <si>
    <t xml:space="preserve">قاعدة عملاء محدَّثة بالحجم التقديري لكل أسطول</t>
  </si>
  <si>
    <t xml:space="preserve">شهرية</t>
  </si>
  <si>
    <t xml:space="preserve">الاستهداف</t>
  </si>
  <si>
    <t xml:space="preserve">ترتيب العملاء بالأولوية: من لا يشتري منّا أولاً ثم من يشتري بلا عقد</t>
  </si>
  <si>
    <t xml:space="preserve">قائمة أولويات ربعية معتمدة من المدير</t>
  </si>
  <si>
    <t xml:space="preserve">ربعية</t>
  </si>
  <si>
    <t xml:space="preserve">الزيارات الميدانية</t>
  </si>
  <si>
    <t xml:space="preserve">زيارة مقرات الأساطيل ومقابلة متخذ القرار لا موظف التشغيل</t>
  </si>
  <si>
    <t xml:space="preserve">تقرير زيارة لكل عميل يتضمن الحجم والمورّد الحالي</t>
  </si>
  <si>
    <t xml:space="preserve">أسبوعية</t>
  </si>
  <si>
    <t xml:space="preserve">بناء العرض</t>
  </si>
  <si>
    <t xml:space="preserve">إعداد عرض سعري يوازن بين الخصم الممنوح والتزام الحجم</t>
  </si>
  <si>
    <t xml:space="preserve">عرض موقّع يتضمن حجماً ملتزماً وخط أساس مرجعي</t>
  </si>
  <si>
    <t xml:space="preserve">لكل فرصة</t>
  </si>
  <si>
    <t xml:space="preserve">التعاقد</t>
  </si>
  <si>
    <t xml:space="preserve">إتمام العقد بالتنسيق مع الشؤون القانونية والائتمان</t>
  </si>
  <si>
    <t xml:space="preserve">عقد نافذ بحدود ائتمان ومدة وآلية فوترة</t>
  </si>
  <si>
    <t xml:space="preserve">التفعيل</t>
  </si>
  <si>
    <t xml:space="preserve">تسليم العميل لفريق التشغيل وضمان أول تعبئة خلال مدة محددة</t>
  </si>
  <si>
    <t xml:space="preserve">أول معاملة مسجّلة على العقد</t>
  </si>
  <si>
    <t xml:space="preserve">لكل عقد</t>
  </si>
  <si>
    <t xml:space="preserve">المتابعة والتنمية</t>
  </si>
  <si>
    <t xml:space="preserve">مراقبة حجم كل عقد مقابل التزامه ومعالجة الانحراف</t>
  </si>
  <si>
    <t xml:space="preserve">تقرير انحراف شهري لكل عقد وخطة معالجة</t>
  </si>
  <si>
    <t xml:space="preserve">التحصيل</t>
  </si>
  <si>
    <t xml:space="preserve">متابعة الفوترة والتحصيل ضمن المدة الائتمانية المعتمدة</t>
  </si>
  <si>
    <t xml:space="preserve">عمر ديون ضمن الحد المعتمد</t>
  </si>
  <si>
    <t xml:space="preserve">رصد المنافسة</t>
  </si>
  <si>
    <t xml:space="preserve">توثيق عروض المنافسين وأسعارهم وشروطهم داخل النطاق</t>
  </si>
  <si>
    <t xml:space="preserve">تقرير منافسة ربعي</t>
  </si>
  <si>
    <t xml:space="preserve">④ حدود الصلاحية</t>
  </si>
  <si>
    <t xml:space="preserve">البند</t>
  </si>
  <si>
    <t xml:space="preserve">الحد</t>
  </si>
  <si>
    <t xml:space="preserve">من يعتمد ما يتجاوزه</t>
  </si>
  <si>
    <t xml:space="preserve">الخصم الممنوح</t>
  </si>
  <si>
    <t xml:space="preserve">حتى الحد المعتمد لكل لتر</t>
  </si>
  <si>
    <t xml:space="preserve">مدة الائتمان</t>
  </si>
  <si>
    <t xml:space="preserve">حتى المدة المعتمدة</t>
  </si>
  <si>
    <t xml:space="preserve">الإدارة المالية</t>
  </si>
  <si>
    <t xml:space="preserve">سقف الائتمان لكل عميل</t>
  </si>
  <si>
    <t xml:space="preserve">حسب تصنيف العميل الائتماني</t>
  </si>
  <si>
    <t xml:space="preserve">لجنة الائتمان</t>
  </si>
  <si>
    <t xml:space="preserve">مدة العقد</t>
  </si>
  <si>
    <t xml:space="preserve">سنة قابلة للتجديد</t>
  </si>
  <si>
    <t xml:space="preserve">التسعير دون التكلفة</t>
  </si>
  <si>
    <t xml:space="preserve">غير مصرّح به إطلاقاً</t>
  </si>
  <si>
    <t xml:space="preserve">لا يُعتمد</t>
  </si>
  <si>
    <t xml:space="preserve">⑤ المؤهلات والجدارات</t>
  </si>
  <si>
    <t xml:space="preserve">الحد الأدنى</t>
  </si>
  <si>
    <t xml:space="preserve">المفضَّل</t>
  </si>
  <si>
    <t xml:space="preserve">المؤهل العلمي</t>
  </si>
  <si>
    <t xml:space="preserve">بكالوريوس إدارة أعمال أو تسويق أو ما يعادله</t>
  </si>
  <si>
    <t xml:space="preserve">دبلوم مبيعات أو تمويل</t>
  </si>
  <si>
    <t xml:space="preserve">سنوات الخبرة</t>
  </si>
  <si>
    <t xml:space="preserve">٣ سنوات في مبيعات الشركات</t>
  </si>
  <si>
    <t xml:space="preserve">خبرة في الوقود أو النقل أو اللوجستيات</t>
  </si>
  <si>
    <t xml:space="preserve">المعرفة الفنية</t>
  </si>
  <si>
    <t xml:space="preserve">احتساب الهامش لكل لتر وقراءة قائمة أسعار</t>
  </si>
  <si>
    <t xml:space="preserve">الإلمام بمنصات إدارة الأساطيل</t>
  </si>
  <si>
    <t xml:space="preserve">الأدوات</t>
  </si>
  <si>
    <t xml:space="preserve">إكسل ونظام إدارة علاقات العملاء</t>
  </si>
  <si>
    <t xml:space="preserve">تحليل بيانات المبيعات</t>
  </si>
  <si>
    <t xml:space="preserve">اللغة</t>
  </si>
  <si>
    <t xml:space="preserve">العربية بطلاقة</t>
  </si>
  <si>
    <t xml:space="preserve">الإنجليزية للتعامل مع الأساطيل الأجنبية</t>
  </si>
  <si>
    <t xml:space="preserve">الرخصة</t>
  </si>
  <si>
    <t xml:space="preserve">رخصة قيادة سارية</t>
  </si>
  <si>
    <t xml:space="preserve">—</t>
  </si>
  <si>
    <t xml:space="preserve">الجدارات السلوكية</t>
  </si>
  <si>
    <t xml:space="preserve">•  التفاوض: يوازن بين الخصم والتزام الحجم ولا يشتري العقد بالسعر</t>
  </si>
  <si>
    <t xml:space="preserve">•  الانضباط في المتابعة: العقد يبدأ عند التوقيع لا ينتهي عنده</t>
  </si>
  <si>
    <t xml:space="preserve">•  قراءة الرقم: يعرف أثر كل هللة خصم على هامش الشركة قبل أن يمنحها</t>
  </si>
  <si>
    <t xml:space="preserve">•  الاستقلالية الميدانية: يدير جدول زياراته بلا إشراف يومي</t>
  </si>
  <si>
    <t xml:space="preserve">ما يجعل شاغل الوظيفة فاشلاً ولو بلغ الحجم</t>
  </si>
  <si>
    <t xml:space="preserve">•  تحويل حجم قائم إلى عقود مخفَّضة — الشركة تخسر على كل لتر كانت تبيعه أصلاً</t>
  </si>
  <si>
    <t xml:space="preserve">•  بيع الخصم بلا التزام حجم مكتوب وخط أساس مرجعي</t>
  </si>
  <si>
    <t xml:space="preserve">•  ترك العقد بلا متابعة بعد التوقيع فينحرف الحجم دون معالجة</t>
  </si>
  <si>
    <t xml:space="preserve">•  تجاوز حدود الائتمان لإغلاق صفقة</t>
  </si>
  <si>
    <t xml:space="preserve">مؤشرات الأداء — أخصائي مبيعات الوقود</t>
  </si>
  <si>
    <t xml:space="preserve">ثلاث فئات: نتيجة · حركة · حماية — والأوزان تُعدَّل حسب مرحلة السوق</t>
  </si>
  <si>
    <t xml:space="preserve">المؤشر</t>
  </si>
  <si>
    <t xml:space="preserve">التعريف</t>
  </si>
  <si>
    <t xml:space="preserve">طريقة الحساب</t>
  </si>
  <si>
    <t xml:space="preserve">المصدر</t>
  </si>
  <si>
    <t xml:space="preserve">الاتجاه</t>
  </si>
  <si>
    <t xml:space="preserve">الوزن</t>
  </si>
  <si>
    <t xml:space="preserve">المستهدف</t>
  </si>
  <si>
    <t xml:space="preserve">لماذا هذا المؤشر</t>
  </si>
  <si>
    <t xml:space="preserve">الحجم المتعاقَد</t>
  </si>
  <si>
    <t xml:space="preserve">إجمالي اللترات المغطاة بعقود نافذة</t>
  </si>
  <si>
    <t xml:space="preserve">مجموع لترات العقود النشطة خلال الفترة</t>
  </si>
  <si>
    <t xml:space="preserve">نظام المبيعات</t>
  </si>
  <si>
    <t xml:space="preserve">أعلى أفضل</t>
  </si>
  <si>
    <t xml:space="preserve">الحجم القائم يُقاس ولا يُكافأ وحده</t>
  </si>
  <si>
    <t xml:space="preserve">الحجم الصافي المضاف</t>
  </si>
  <si>
    <t xml:space="preserve">اللترات فوق خط أساس العميل قبل التعاقد</t>
  </si>
  <si>
    <t xml:space="preserve">حجم الفترة ناقص خط الأساس المرجعي</t>
  </si>
  <si>
    <t xml:space="preserve">هذا وحده ما يخلق قيمة — الباقي إعادة تسمية</t>
  </si>
  <si>
    <t xml:space="preserve">هامش المساهمة المتحقق</t>
  </si>
  <si>
    <t xml:space="preserve">الهامش بعد الخصم الممنوح</t>
  </si>
  <si>
    <t xml:space="preserve">الحجم × (هامش اللتر ناقص الخصم)</t>
  </si>
  <si>
    <t xml:space="preserve">قائمة الدخل</t>
  </si>
  <si>
    <t xml:space="preserve">الحجم بلا هامش قد يكون خسارة</t>
  </si>
  <si>
    <t xml:space="preserve">عملاء جدد لم يشتروا منّا</t>
  </si>
  <si>
    <t xml:space="preserve">عقود مع أساطيل لم تكن تعبّئ لدينا</t>
  </si>
  <si>
    <t xml:space="preserve">عدد العقود التي خط أساسها صفر</t>
  </si>
  <si>
    <t xml:space="preserve">كل لتر منها ربح صافٍ بلا خصم على حجم قائم</t>
  </si>
  <si>
    <t xml:space="preserve">زيارات ميدانية مؤهَّلة</t>
  </si>
  <si>
    <t xml:space="preserve">زيارة لمتخذ قرار موثّقة بتقرير</t>
  </si>
  <si>
    <t xml:space="preserve">عدد الزيارات المسجّلة</t>
  </si>
  <si>
    <t xml:space="preserve">تقارير الزيارات</t>
  </si>
  <si>
    <t xml:space="preserve">المؤشر المبكر الوحيد الذي يسبق النتيجة بأشهر</t>
  </si>
  <si>
    <t xml:space="preserve">عروض مقدَّمة</t>
  </si>
  <si>
    <t xml:space="preserve">عرض سعري رسمي مسلَّم للعميل</t>
  </si>
  <si>
    <t xml:space="preserve">عدد العروض الصادرة</t>
  </si>
  <si>
    <t xml:space="preserve">يكشف اختناق القمع: زيارات بلا عروض تعني ضعف تأهيل</t>
  </si>
  <si>
    <t xml:space="preserve">معدل التحويل</t>
  </si>
  <si>
    <t xml:space="preserve">نسبة العروض التي تحولت إلى عقود</t>
  </si>
  <si>
    <t xml:space="preserve">عقود موقّعة ÷ عروض مقدَّمة</t>
  </si>
  <si>
    <t xml:space="preserve">يفصل جودة الاستهداف عن كثرة النشاط</t>
  </si>
  <si>
    <t xml:space="preserve">متوسط الخصم الممنوح</t>
  </si>
  <si>
    <t xml:space="preserve">الخصم الفعلي لكل لتر متعاقَد</t>
  </si>
  <si>
    <t xml:space="preserve">مجموع الخصم ÷ الحجم المتعاقَد</t>
  </si>
  <si>
    <t xml:space="preserve">أقل أفضل</t>
  </si>
  <si>
    <t xml:space="preserve">يمنع شراء الحجم بالسعر</t>
  </si>
  <si>
    <t xml:space="preserve">أيام التحصيل</t>
  </si>
  <si>
    <t xml:space="preserve">متوسط عمر الذمم المدينة</t>
  </si>
  <si>
    <t xml:space="preserve">الذمم × أيام الفترة ÷ المبيعات الآجلة</t>
  </si>
  <si>
    <t xml:space="preserve">البيع لا يكتمل إلا بالتحصيل</t>
  </si>
  <si>
    <t xml:space="preserve">ديون متأخرة فوق ٩٠ يوماً</t>
  </si>
  <si>
    <t xml:space="preserve">نسبة الذمم المتجاوزة للمدة</t>
  </si>
  <si>
    <t xml:space="preserve">ذمم +٩٠ يوم ÷ إجمالي الذمم</t>
  </si>
  <si>
    <t xml:space="preserve">مؤشر مبكر على تساهل في الائتمان</t>
  </si>
  <si>
    <t xml:space="preserve">معدل تجديد العقود</t>
  </si>
  <si>
    <t xml:space="preserve">نسبة العقود المجدَّدة عند انتهائها</t>
  </si>
  <si>
    <t xml:space="preserve">عقود مجدَّدة ÷ عقود مستحقة التجديد</t>
  </si>
  <si>
    <t xml:space="preserve">يكشف إن كان البيع لمرة واحدة أم علاقة</t>
  </si>
  <si>
    <t xml:space="preserve">مجموع الأوزان</t>
  </si>
  <si>
    <t xml:space="preserve">يجب أن يساوي ١٠٠٪ — يتلوّن بالأحمر إن اختلّ</t>
  </si>
  <si>
    <t xml:space="preserve">قواعد ضبط المؤشرات</t>
  </si>
  <si>
    <t xml:space="preserve">•  «الحجم الصافي المضاف» أعلى وزن — لأنه وحده يفرّق بين النمو وإعادة التسمية</t>
  </si>
  <si>
    <t xml:space="preserve">•  مؤشرات الحماية لا تُكافأ عند تحققها بل تُخصم عند اختلالها</t>
  </si>
  <si>
    <t xml:space="preserve">•  كل مستهدف يُشتق من خط أساس موثّق — لا من تقدير</t>
  </si>
  <si>
    <t xml:space="preserve">•  لا يُعتمد المؤشر ما لم يكن مصدره نظاماً لا تقريراً يدوياً</t>
  </si>
  <si>
    <t xml:space="preserve">الفخ الأساسي في مبيعات الوقود للشركات</t>
  </si>
  <si>
    <t xml:space="preserve">•  منح خصم على أسطول يشتري منّا أصلاً يعني خسارة على كل لتر كان يشتريه</t>
  </si>
  <si>
    <t xml:space="preserve">•  لذلك يشترط العقد نمواً فوق خط الأساس يغطي الخصم على الحجم القائم</t>
  </si>
  <si>
    <t xml:space="preserve">•  احسب نقطة التعادل: نسبة النمو المطلوبة = الخصم ÷ (هامش اللتر ناقص الخصم)</t>
  </si>
  <si>
    <t xml:space="preserve">نموذج التقييم الربعي</t>
  </si>
  <si>
    <t xml:space="preserve">عبّئ الفعلي فقط — النسبة والنقاط تُحتسب</t>
  </si>
  <si>
    <t xml:space="preserve">① بيانات التقييم</t>
  </si>
  <si>
    <t xml:space="preserve">اسم الموظف</t>
  </si>
  <si>
    <t xml:space="preserve">الفترة</t>
  </si>
  <si>
    <t xml:space="preserve">المقيِّم</t>
  </si>
  <si>
    <t xml:space="preserve">② الاحتساب</t>
  </si>
  <si>
    <t xml:space="preserve">الفعلي</t>
  </si>
  <si>
    <t xml:space="preserve">نسبة الإنجاز</t>
  </si>
  <si>
    <t xml:space="preserve">النقاط</t>
  </si>
  <si>
    <t xml:space="preserve">ملاحظة</t>
  </si>
  <si>
    <t xml:space="preserve">النتيجة النهائية</t>
  </si>
  <si>
    <t xml:space="preserve">③ سُلّم التقدير</t>
  </si>
  <si>
    <t xml:space="preserve">النتيجة</t>
  </si>
  <si>
    <t xml:space="preserve">التقدير</t>
  </si>
  <si>
    <t xml:space="preserve">الأثر</t>
  </si>
  <si>
    <t xml:space="preserve">١٠٠٪ فأعلى</t>
  </si>
  <si>
    <t xml:space="preserve">متجاوز</t>
  </si>
  <si>
    <t xml:space="preserve">يستحق الحافز الكامل ويُرشَّح للتطوير</t>
  </si>
  <si>
    <t xml:space="preserve">٨٥٪ – ٩٩٪</t>
  </si>
  <si>
    <t xml:space="preserve">مستوفٍ</t>
  </si>
  <si>
    <t xml:space="preserve">يستحق الحافز وفق النسبة المحققة</t>
  </si>
  <si>
    <t xml:space="preserve">٧٠٪ – ٨٤٪</t>
  </si>
  <si>
    <t xml:space="preserve">دون المستهدف</t>
  </si>
  <si>
    <t xml:space="preserve">خطة تحسين مكتوبة لربع واحد</t>
  </si>
  <si>
    <t xml:space="preserve">أقل من ٧٠٪</t>
  </si>
  <si>
    <t xml:space="preserve">غير مستوفٍ</t>
  </si>
  <si>
    <t xml:space="preserve">مراجعة الاستمرار في الدور</t>
  </si>
  <si>
    <t xml:space="preserve">ملاحظات على الاحتساب</t>
  </si>
  <si>
    <t xml:space="preserve">•  سقف الإنجاز ١٢٠٪ لكل مؤشر — يمنع أن يغطي مؤشر واحد استثنائي فشل البقية</t>
  </si>
  <si>
    <t xml:space="preserve">•  مؤشرات «أقل أفضل» تُحتسب بالمقلوب: المستهدف ÷ الفعلي</t>
  </si>
  <si>
    <t xml:space="preserve">•  لا تُصرف حوافز على نتيجة دون ٨٥٪ مهما بلغ مؤشر منفرد</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</si>
</sst>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2"/>
      <color rgb="FF1F3864"/>
      <name val="Arial"/>
      <family val="0"/>
      <charset val="1"/>
    </font>
    <font>
      <b val="true"/>
      <sz val="10"/>
      <name val="Arial"/>
      <family val="0"/>
      <charset val="1"/>
    </font>
    <font>
      <sz val="10"/>
      <color rgb="FF0000FF"/>
      <name val="Arial"/>
      <family val="0"/>
      <charset val="1"/>
    </font>
    <font>
      <sz val="11"/>
      <name val="Arial"/>
      <family val="0"/>
      <charset val="1"/>
    </font>
    <font>
      <b val="true"/>
      <sz val="10"/>
      <color rgb="FFFFFFFF"/>
      <name val="Arial"/>
      <family val="0"/>
      <charset val="1"/>
    </font>
    <font>
      <sz val="10"/>
      <name val="Arial"/>
      <family val="0"/>
      <charset val="1"/>
    </font>
    <font>
      <b val="true"/>
      <sz val="10"/>
      <color rgb="FF1F3864"/>
      <name val="Arial"/>
      <family val="0"/>
      <charset val="1"/>
    </font>
    <font>
      <b val="true"/>
      <sz val="10"/>
      <color rgb="FFC00000"/>
      <name val="Arial"/>
      <family val="0"/>
      <charset val="1"/>
    </font>
    <font>
      <sz val="9"/>
      <color rgb="FF44546A"/>
      <name val="Arial"/>
      <family val="0"/>
      <charset val="1"/>
    </font>
    <font>
      <sz val="10"/>
      <color rgb="FF008000"/>
      <name val="Arial"/>
      <family val="0"/>
      <charset val="1"/>
    </font>
  </fonts>
  <fills count="10">
    <fill>
      <patternFill patternType="none"/>
    </fill>
    <fill>
      <patternFill patternType="gray125"/>
    </fill>
    <fill>
      <patternFill patternType="solid">
        <fgColor rgb="FFDDEBF7"/>
        <bgColor rgb="FFD9E2F3"/>
      </patternFill>
    </fill>
    <fill>
      <patternFill patternType="solid">
        <fgColor rgb="FFFFFF00"/>
        <bgColor rgb="FFFFFF00"/>
      </patternFill>
    </fill>
    <fill>
      <patternFill patternType="solid">
        <fgColor rgb="FF1F3864"/>
        <bgColor rgb="FF333399"/>
      </patternFill>
    </fill>
    <fill>
      <patternFill patternType="solid">
        <fgColor rgb="FFF8CBAD"/>
        <bgColor rgb="FFFFE699"/>
      </patternFill>
    </fill>
    <fill>
      <patternFill patternType="solid">
        <fgColor rgb="FFC6E0B4"/>
        <bgColor rgb="FFD9E2F3"/>
      </patternFill>
    </fill>
    <fill>
      <patternFill patternType="solid">
        <fgColor rgb="FFD9E2F3"/>
        <bgColor rgb="FFDDEBF7"/>
      </patternFill>
    </fill>
    <fill>
      <patternFill patternType="solid">
        <fgColor rgb="FFFFE699"/>
        <bgColor rgb="FFF8CBAD"/>
      </patternFill>
    </fill>
    <fill>
      <patternFill patternType="solid">
        <fgColor rgb="FFF2F2F2"/>
        <bgColor rgb="FFDDEBF7"/>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2" borderId="1" xfId="0" applyFont="true" applyBorder="true" applyAlignment="true" applyProtection="false">
      <alignment horizontal="right" vertical="center" textRotation="0" wrapText="false" indent="0" shrinkToFit="false" readingOrder="2"/>
      <protection locked="true" hidden="false"/>
    </xf>
    <xf numFmtId="164" fontId="7" fillId="0" borderId="0" xfId="0" applyFont="true" applyBorder="false" applyAlignment="true" applyProtection="false">
      <alignment horizontal="right" vertical="center" textRotation="0" wrapText="false" indent="0" shrinkToFit="false" readingOrder="2"/>
      <protection locked="true" hidden="false"/>
    </xf>
    <xf numFmtId="164" fontId="8" fillId="3" borderId="2" xfId="0" applyFont="true" applyBorder="true" applyAlignment="true" applyProtection="false">
      <alignment horizontal="right" vertical="center" textRotation="0" wrapText="false" indent="0" shrinkToFit="false" readingOrder="2"/>
      <protection locked="true" hidden="false"/>
    </xf>
    <xf numFmtId="164" fontId="9" fillId="0" borderId="0" xfId="0" applyFont="true" applyBorder="true" applyAlignment="true" applyProtection="false">
      <alignment horizontal="right" vertical="top" textRotation="0" wrapText="true" indent="0" shrinkToFit="false" readingOrder="2"/>
      <protection locked="true" hidden="false"/>
    </xf>
    <xf numFmtId="164" fontId="10" fillId="4" borderId="2" xfId="0" applyFont="true" applyBorder="true" applyAlignment="true" applyProtection="false">
      <alignment horizontal="center" vertical="center" textRotation="0" wrapText="true" indent="0" shrinkToFit="false" readingOrder="2"/>
      <protection locked="true" hidden="false"/>
    </xf>
    <xf numFmtId="164" fontId="11" fillId="0" borderId="2" xfId="0" applyFont="true" applyBorder="true" applyAlignment="true" applyProtection="false">
      <alignment horizontal="center" vertical="center" textRotation="0" wrapText="true" indent="0" shrinkToFit="false" readingOrder="2"/>
      <protection locked="true" hidden="false"/>
    </xf>
    <xf numFmtId="164" fontId="7" fillId="0" borderId="2" xfId="0" applyFont="true" applyBorder="true" applyAlignment="true" applyProtection="false">
      <alignment horizontal="right" vertical="center" textRotation="0" wrapText="false" indent="0" shrinkToFit="false" readingOrder="2"/>
      <protection locked="true" hidden="false"/>
    </xf>
    <xf numFmtId="164" fontId="11" fillId="0" borderId="2" xfId="0" applyFont="true" applyBorder="true" applyAlignment="true" applyProtection="false">
      <alignment horizontal="right" vertical="top" textRotation="0" wrapText="true" indent="0" shrinkToFit="false" readingOrder="2"/>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right" vertical="center" textRotation="0" wrapText="false" indent="0" shrinkToFit="false" readingOrder="2"/>
      <protection locked="true" hidden="false"/>
    </xf>
    <xf numFmtId="164" fontId="11" fillId="5" borderId="2" xfId="0" applyFont="true" applyBorder="true" applyAlignment="true" applyProtection="false">
      <alignment horizontal="center" vertical="center" textRotation="0" wrapText="true" indent="0" shrinkToFit="false" readingOrder="2"/>
      <protection locked="true" hidden="false"/>
    </xf>
    <xf numFmtId="164" fontId="7" fillId="5" borderId="2" xfId="0" applyFont="true" applyBorder="true" applyAlignment="true" applyProtection="false">
      <alignment horizontal="right" vertical="center" textRotation="0" wrapText="false" indent="0" shrinkToFit="false" readingOrder="2"/>
      <protection locked="true" hidden="false"/>
    </xf>
    <xf numFmtId="164" fontId="11" fillId="5" borderId="2" xfId="0" applyFont="true" applyBorder="true" applyAlignment="true" applyProtection="false">
      <alignment horizontal="right" vertical="center" textRotation="0" wrapText="false" indent="0" shrinkToFit="false" readingOrder="2"/>
      <protection locked="true" hidden="false"/>
    </xf>
    <xf numFmtId="164" fontId="12" fillId="0" borderId="0" xfId="0" applyFont="true" applyBorder="false" applyAlignment="true" applyProtection="false">
      <alignment horizontal="right" vertical="center" textRotation="0" wrapText="false" indent="0" shrinkToFit="false" readingOrder="2"/>
      <protection locked="true" hidden="false"/>
    </xf>
    <xf numFmtId="164" fontId="11" fillId="0" borderId="0" xfId="0" applyFont="true" applyBorder="true" applyAlignment="true" applyProtection="false">
      <alignment horizontal="right" vertical="center" textRotation="0" wrapText="false" indent="0" shrinkToFit="false" readingOrder="2"/>
      <protection locked="true" hidden="false"/>
    </xf>
    <xf numFmtId="164" fontId="13" fillId="0" borderId="0" xfId="0" applyFont="true" applyBorder="false" applyAlignment="true" applyProtection="false">
      <alignment horizontal="right" vertical="center" textRotation="0" wrapText="false" indent="0" shrinkToFit="false" readingOrder="2"/>
      <protection locked="true" hidden="false"/>
    </xf>
    <xf numFmtId="164" fontId="7" fillId="6" borderId="2" xfId="0" applyFont="true" applyBorder="true" applyAlignment="true" applyProtection="false">
      <alignment horizontal="right" vertical="center" textRotation="0" wrapText="false" indent="0" shrinkToFit="false" readingOrder="2"/>
      <protection locked="true" hidden="false"/>
    </xf>
    <xf numFmtId="165" fontId="8" fillId="3" borderId="2" xfId="0" applyFont="true" applyBorder="true" applyAlignment="true" applyProtection="false">
      <alignment horizontal="center" vertical="center" textRotation="0" wrapText="true" indent="0" shrinkToFit="false" readingOrder="2"/>
      <protection locked="true" hidden="false"/>
    </xf>
    <xf numFmtId="164" fontId="8" fillId="3" borderId="2" xfId="0" applyFont="true" applyBorder="true" applyAlignment="true" applyProtection="false">
      <alignment horizontal="center" vertical="center" textRotation="0" wrapText="true" indent="0" shrinkToFit="false" readingOrder="2"/>
      <protection locked="true" hidden="false"/>
    </xf>
    <xf numFmtId="164" fontId="7" fillId="7" borderId="2" xfId="0" applyFont="true" applyBorder="true" applyAlignment="true" applyProtection="false">
      <alignment horizontal="right" vertical="center" textRotation="0" wrapText="false" indent="0" shrinkToFit="false" readingOrder="2"/>
      <protection locked="true" hidden="false"/>
    </xf>
    <xf numFmtId="164" fontId="7" fillId="8" borderId="2" xfId="0" applyFont="true" applyBorder="true" applyAlignment="true" applyProtection="false">
      <alignment horizontal="right" vertical="center" textRotation="0" wrapText="false" indent="0" shrinkToFit="false" readingOrder="2"/>
      <protection locked="true" hidden="false"/>
    </xf>
    <xf numFmtId="164" fontId="7" fillId="7" borderId="2" xfId="0" applyFont="true" applyBorder="true" applyAlignment="true" applyProtection="false">
      <alignment horizontal="center" vertical="center" textRotation="0" wrapText="true" indent="0" shrinkToFit="false" readingOrder="2"/>
      <protection locked="true" hidden="false"/>
    </xf>
    <xf numFmtId="165" fontId="7" fillId="7" borderId="2" xfId="0" applyFont="true" applyBorder="true" applyAlignment="true" applyProtection="false">
      <alignment horizontal="center" vertical="center" textRotation="0" wrapText="true" indent="0" shrinkToFit="false" readingOrder="2"/>
      <protection locked="true" hidden="false"/>
    </xf>
    <xf numFmtId="164" fontId="14" fillId="0" borderId="0" xfId="0" applyFont="true" applyBorder="false" applyAlignment="true" applyProtection="false">
      <alignment horizontal="right" vertical="center" textRotation="0" wrapText="fals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center" vertical="center" textRotation="0" wrapText="true" indent="0" shrinkToFit="false" readingOrder="2"/>
      <protection locked="true" hidden="false"/>
    </xf>
    <xf numFmtId="164" fontId="15" fillId="9" borderId="2" xfId="0" applyFont="true" applyBorder="true" applyAlignment="true" applyProtection="false">
      <alignment horizontal="center" vertical="center" textRotation="0" wrapText="true" indent="0" shrinkToFit="false" readingOrder="2"/>
      <protection locked="true" hidden="false"/>
    </xf>
    <xf numFmtId="165" fontId="15" fillId="9" borderId="2" xfId="0" applyFont="true" applyBorder="true" applyAlignment="true" applyProtection="false">
      <alignment horizontal="center" vertical="center" textRotation="0" wrapText="true" indent="0" shrinkToFit="false" readingOrder="2"/>
      <protection locked="true" hidden="false"/>
    </xf>
    <xf numFmtId="165" fontId="11" fillId="9" borderId="2" xfId="0" applyFont="true" applyBorder="true" applyAlignment="true" applyProtection="false">
      <alignment horizontal="center" vertical="center" textRotation="0" wrapText="true" indent="0" shrinkToFit="false" readingOrder="2"/>
      <protection locked="true" hidden="false"/>
    </xf>
    <xf numFmtId="166" fontId="11" fillId="9" borderId="2" xfId="0" applyFont="true" applyBorder="true" applyAlignment="true" applyProtection="false">
      <alignment horizontal="center" vertical="center" textRotation="0" wrapText="true" indent="0" shrinkToFit="false" readingOrder="2"/>
      <protection locked="true" hidden="false"/>
    </xf>
    <xf numFmtId="166" fontId="7" fillId="7" borderId="2" xfId="0" applyFont="true" applyBorder="true" applyAlignment="true" applyProtection="false">
      <alignment horizontal="center" vertical="center" textRotation="0" wrapText="true" indent="0" shrinkToFit="false" readingOrder="2"/>
      <protection locked="true" hidden="false"/>
    </xf>
    <xf numFmtId="164" fontId="7" fillId="6" borderId="2" xfId="0" applyFont="true" applyBorder="true" applyAlignment="true" applyProtection="false">
      <alignment horizontal="center" vertical="center" textRotation="0" wrapText="true" indent="0" shrinkToFit="false" readingOrder="2"/>
      <protection locked="true" hidden="false"/>
    </xf>
    <xf numFmtId="164" fontId="7" fillId="0" borderId="2" xfId="0" applyFont="true" applyBorder="true" applyAlignment="true" applyProtection="false">
      <alignment horizontal="center" vertical="center" textRotation="0" wrapText="true" indent="0" shrinkToFit="false" readingOrder="2"/>
      <protection locked="true" hidden="false"/>
    </xf>
    <xf numFmtId="164" fontId="7" fillId="5" borderId="2" xfId="0" applyFont="true" applyBorder="true" applyAlignment="true" applyProtection="false">
      <alignment horizontal="center" vertical="center"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C00000"/>
        <sz val="10"/>
      </font>
      <fill>
        <patternFill>
          <bgColor rgb="FFF8CBAD"/>
        </patternFill>
      </fill>
    </dxf>
    <dxf>
      <font>
        <name val="Arial"/>
        <charset val="1"/>
        <family val="0"/>
        <b val="1"/>
        <color rgb="FF375623"/>
        <sz val="10"/>
      </font>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4" min="3" style="0" width="34"/>
    <col collapsed="false" customWidth="true" hidden="false" outlineLevel="0" max="9" min="5" style="0" width="12"/>
    <col collapsed="false" customWidth="true" hidden="false" outlineLevel="0" max="10" min="10" style="0" width="20"/>
  </cols>
  <sheetData>
    <row r="1" customFormat="false" ht="25.5" hidden="false" customHeight="true" outlineLevel="0" collapsed="false">
      <c r="A1" s="1" t="s">
        <v>0</v>
      </c>
      <c r="B1" s="1"/>
      <c r="C1" s="1"/>
      <c r="D1" s="1"/>
      <c r="E1" s="1"/>
      <c r="F1" s="1"/>
      <c r="G1" s="1"/>
      <c r="H1" s="1"/>
      <c r="I1" s="1"/>
      <c r="J1" s="1"/>
    </row>
    <row r="2" customFormat="false" ht="18" hidden="false" customHeight="true" outlineLevel="0" collapsed="false">
      <c r="A2" s="2" t="s">
        <v>1</v>
      </c>
      <c r="B2" s="2"/>
      <c r="C2" s="2"/>
      <c r="D2" s="2"/>
      <c r="E2" s="2"/>
      <c r="F2" s="2"/>
      <c r="G2" s="2"/>
      <c r="H2" s="2"/>
      <c r="I2" s="2"/>
      <c r="J2" s="2"/>
    </row>
    <row r="3" customFormat="false" ht="21.75" hidden="false" customHeight="true" outlineLevel="0" collapsed="false">
      <c r="A3" s="3" t="s">
        <v>2</v>
      </c>
      <c r="B3" s="3"/>
      <c r="C3" s="3"/>
      <c r="D3" s="3"/>
      <c r="E3" s="3"/>
      <c r="F3" s="3"/>
      <c r="G3" s="3"/>
      <c r="H3" s="3"/>
      <c r="I3" s="3"/>
      <c r="J3" s="3"/>
    </row>
    <row r="4" customFormat="false" ht="15" hidden="false" customHeight="false" outlineLevel="0" collapsed="false">
      <c r="B4" s="4" t="s">
        <v>3</v>
      </c>
      <c r="C4" s="5" t="s">
        <v>4</v>
      </c>
    </row>
    <row r="5" customFormat="false" ht="15" hidden="false" customHeight="false" outlineLevel="0" collapsed="false">
      <c r="B5" s="4" t="s">
        <v>5</v>
      </c>
      <c r="C5" s="5" t="s">
        <v>6</v>
      </c>
    </row>
    <row r="6" customFormat="false" ht="15" hidden="false" customHeight="false" outlineLevel="0" collapsed="false">
      <c r="B6" s="4" t="s">
        <v>7</v>
      </c>
      <c r="C6" s="5" t="s">
        <v>8</v>
      </c>
    </row>
    <row r="7" customFormat="false" ht="15" hidden="false" customHeight="false" outlineLevel="0" collapsed="false">
      <c r="B7" s="4" t="s">
        <v>9</v>
      </c>
      <c r="C7" s="5" t="s">
        <v>10</v>
      </c>
    </row>
    <row r="8" customFormat="false" ht="15" hidden="false" customHeight="false" outlineLevel="0" collapsed="false">
      <c r="B8" s="4" t="s">
        <v>11</v>
      </c>
      <c r="C8" s="5"/>
    </row>
    <row r="9" customFormat="false" ht="15" hidden="false" customHeight="false" outlineLevel="0" collapsed="false">
      <c r="B9" s="4" t="s">
        <v>12</v>
      </c>
      <c r="C9" s="5"/>
    </row>
    <row r="10" customFormat="false" ht="15" hidden="false" customHeight="false" outlineLevel="0" collapsed="false">
      <c r="B10" s="4" t="s">
        <v>13</v>
      </c>
      <c r="C10" s="5" t="s">
        <v>14</v>
      </c>
    </row>
    <row r="11" customFormat="false" ht="15" hidden="false" customHeight="false" outlineLevel="0" collapsed="false">
      <c r="B11" s="4" t="s">
        <v>15</v>
      </c>
      <c r="C11" s="5"/>
    </row>
    <row r="13" customFormat="false" ht="21.75" hidden="false" customHeight="true" outlineLevel="0" collapsed="false">
      <c r="A13" s="3" t="s">
        <v>16</v>
      </c>
      <c r="B13" s="3"/>
      <c r="C13" s="3"/>
      <c r="D13" s="3"/>
      <c r="E13" s="3"/>
      <c r="F13" s="3"/>
      <c r="G13" s="3"/>
      <c r="H13" s="3"/>
      <c r="I13" s="3"/>
      <c r="J13" s="3"/>
    </row>
    <row r="14" customFormat="false" ht="19.5" hidden="false" customHeight="true" outlineLevel="0" collapsed="false">
      <c r="B14" s="6" t="s">
        <v>17</v>
      </c>
      <c r="C14" s="6"/>
      <c r="D14" s="6"/>
      <c r="E14" s="6"/>
      <c r="F14" s="6"/>
      <c r="G14" s="6"/>
      <c r="H14" s="6"/>
      <c r="I14" s="6"/>
      <c r="J14" s="6"/>
    </row>
    <row r="15" customFormat="false" ht="19.5" hidden="false" customHeight="true" outlineLevel="0" collapsed="false">
      <c r="B15" s="6"/>
      <c r="C15" s="6"/>
      <c r="D15" s="6"/>
      <c r="E15" s="6"/>
      <c r="F15" s="6"/>
      <c r="G15" s="6"/>
      <c r="H15" s="6"/>
      <c r="I15" s="6"/>
      <c r="J15" s="6"/>
    </row>
    <row r="17" customFormat="false" ht="21.75" hidden="false" customHeight="true" outlineLevel="0" collapsed="false">
      <c r="A17" s="3" t="s">
        <v>18</v>
      </c>
      <c r="B17" s="3"/>
      <c r="C17" s="3"/>
      <c r="D17" s="3"/>
      <c r="E17" s="3"/>
      <c r="F17" s="3"/>
      <c r="G17" s="3"/>
      <c r="H17" s="3"/>
      <c r="I17" s="3"/>
      <c r="J17" s="3"/>
    </row>
    <row r="18" customFormat="false" ht="30" hidden="false" customHeight="true" outlineLevel="0" collapsed="false">
      <c r="A18" s="7" t="s">
        <v>19</v>
      </c>
      <c r="B18" s="7" t="s">
        <v>20</v>
      </c>
      <c r="C18" s="7" t="s">
        <v>21</v>
      </c>
      <c r="D18" s="7" t="s">
        <v>22</v>
      </c>
      <c r="E18" s="7"/>
      <c r="F18" s="7"/>
      <c r="G18" s="7"/>
      <c r="H18" s="7"/>
      <c r="I18" s="7"/>
      <c r="J18" s="7" t="s">
        <v>23</v>
      </c>
    </row>
    <row r="19" customFormat="false" ht="30" hidden="false" customHeight="true" outlineLevel="0" collapsed="false">
      <c r="A19" s="8" t="n">
        <v>1</v>
      </c>
      <c r="B19" s="9" t="s">
        <v>24</v>
      </c>
      <c r="C19" s="10" t="s">
        <v>25</v>
      </c>
      <c r="D19" s="10" t="s">
        <v>26</v>
      </c>
      <c r="E19" s="11"/>
      <c r="F19" s="11"/>
      <c r="G19" s="11"/>
      <c r="H19" s="11"/>
      <c r="I19" s="11"/>
      <c r="J19" s="8" t="s">
        <v>27</v>
      </c>
    </row>
    <row r="20" customFormat="false" ht="30" hidden="false" customHeight="true" outlineLevel="0" collapsed="false">
      <c r="A20" s="8" t="n">
        <v>2</v>
      </c>
      <c r="B20" s="9" t="s">
        <v>28</v>
      </c>
      <c r="C20" s="10" t="s">
        <v>29</v>
      </c>
      <c r="D20" s="10" t="s">
        <v>30</v>
      </c>
      <c r="E20" s="11"/>
      <c r="F20" s="11"/>
      <c r="G20" s="11"/>
      <c r="H20" s="11"/>
      <c r="I20" s="11"/>
      <c r="J20" s="8" t="s">
        <v>31</v>
      </c>
    </row>
    <row r="21" customFormat="false" ht="30" hidden="false" customHeight="true" outlineLevel="0" collapsed="false">
      <c r="A21" s="8" t="n">
        <v>3</v>
      </c>
      <c r="B21" s="9" t="s">
        <v>32</v>
      </c>
      <c r="C21" s="10" t="s">
        <v>33</v>
      </c>
      <c r="D21" s="10" t="s">
        <v>34</v>
      </c>
      <c r="E21" s="11"/>
      <c r="F21" s="11"/>
      <c r="G21" s="11"/>
      <c r="H21" s="11"/>
      <c r="I21" s="11"/>
      <c r="J21" s="8" t="s">
        <v>35</v>
      </c>
    </row>
    <row r="22" customFormat="false" ht="30" hidden="false" customHeight="true" outlineLevel="0" collapsed="false">
      <c r="A22" s="8" t="n">
        <v>4</v>
      </c>
      <c r="B22" s="9" t="s">
        <v>36</v>
      </c>
      <c r="C22" s="10" t="s">
        <v>37</v>
      </c>
      <c r="D22" s="10" t="s">
        <v>38</v>
      </c>
      <c r="E22" s="11"/>
      <c r="F22" s="11"/>
      <c r="G22" s="11"/>
      <c r="H22" s="11"/>
      <c r="I22" s="11"/>
      <c r="J22" s="8" t="s">
        <v>39</v>
      </c>
    </row>
    <row r="23" customFormat="false" ht="30" hidden="false" customHeight="true" outlineLevel="0" collapsed="false">
      <c r="A23" s="8" t="n">
        <v>5</v>
      </c>
      <c r="B23" s="9" t="s">
        <v>40</v>
      </c>
      <c r="C23" s="10" t="s">
        <v>41</v>
      </c>
      <c r="D23" s="10" t="s">
        <v>42</v>
      </c>
      <c r="E23" s="11"/>
      <c r="F23" s="11"/>
      <c r="G23" s="11"/>
      <c r="H23" s="11"/>
      <c r="I23" s="11"/>
      <c r="J23" s="8" t="s">
        <v>39</v>
      </c>
    </row>
    <row r="24" customFormat="false" ht="30" hidden="false" customHeight="true" outlineLevel="0" collapsed="false">
      <c r="A24" s="8" t="n">
        <v>6</v>
      </c>
      <c r="B24" s="9" t="s">
        <v>43</v>
      </c>
      <c r="C24" s="10" t="s">
        <v>44</v>
      </c>
      <c r="D24" s="10" t="s">
        <v>45</v>
      </c>
      <c r="E24" s="11"/>
      <c r="F24" s="11"/>
      <c r="G24" s="11"/>
      <c r="H24" s="11"/>
      <c r="I24" s="11"/>
      <c r="J24" s="8" t="s">
        <v>46</v>
      </c>
    </row>
    <row r="25" customFormat="false" ht="30" hidden="false" customHeight="true" outlineLevel="0" collapsed="false">
      <c r="A25" s="8" t="n">
        <v>7</v>
      </c>
      <c r="B25" s="9" t="s">
        <v>47</v>
      </c>
      <c r="C25" s="10" t="s">
        <v>48</v>
      </c>
      <c r="D25" s="10" t="s">
        <v>49</v>
      </c>
      <c r="E25" s="11"/>
      <c r="F25" s="11"/>
      <c r="G25" s="11"/>
      <c r="H25" s="11"/>
      <c r="I25" s="11"/>
      <c r="J25" s="8" t="s">
        <v>27</v>
      </c>
    </row>
    <row r="26" customFormat="false" ht="30" hidden="false" customHeight="true" outlineLevel="0" collapsed="false">
      <c r="A26" s="8" t="n">
        <v>8</v>
      </c>
      <c r="B26" s="9" t="s">
        <v>50</v>
      </c>
      <c r="C26" s="10" t="s">
        <v>51</v>
      </c>
      <c r="D26" s="10" t="s">
        <v>52</v>
      </c>
      <c r="E26" s="11"/>
      <c r="F26" s="11"/>
      <c r="G26" s="11"/>
      <c r="H26" s="11"/>
      <c r="I26" s="11"/>
      <c r="J26" s="8" t="s">
        <v>27</v>
      </c>
    </row>
    <row r="27" customFormat="false" ht="30" hidden="false" customHeight="true" outlineLevel="0" collapsed="false">
      <c r="A27" s="8" t="n">
        <v>9</v>
      </c>
      <c r="B27" s="9" t="s">
        <v>53</v>
      </c>
      <c r="C27" s="10" t="s">
        <v>54</v>
      </c>
      <c r="D27" s="10" t="s">
        <v>55</v>
      </c>
      <c r="E27" s="11"/>
      <c r="F27" s="11"/>
      <c r="G27" s="11"/>
      <c r="H27" s="11"/>
      <c r="I27" s="11"/>
      <c r="J27" s="8" t="s">
        <v>31</v>
      </c>
    </row>
    <row r="29" customFormat="false" ht="21.75" hidden="false" customHeight="true" outlineLevel="0" collapsed="false">
      <c r="A29" s="3" t="s">
        <v>56</v>
      </c>
      <c r="B29" s="3"/>
      <c r="C29" s="3"/>
      <c r="D29" s="3"/>
      <c r="E29" s="3"/>
      <c r="F29" s="3"/>
      <c r="G29" s="3"/>
      <c r="H29" s="3"/>
      <c r="I29" s="3"/>
      <c r="J29" s="3"/>
    </row>
    <row r="30" customFormat="false" ht="30" hidden="false" customHeight="true" outlineLevel="0" collapsed="false">
      <c r="A30" s="7" t="s">
        <v>19</v>
      </c>
      <c r="B30" s="7" t="s">
        <v>57</v>
      </c>
      <c r="C30" s="7" t="s">
        <v>58</v>
      </c>
      <c r="D30" s="7" t="s">
        <v>59</v>
      </c>
      <c r="E30" s="7"/>
      <c r="F30" s="7"/>
      <c r="G30" s="7"/>
      <c r="H30" s="7"/>
      <c r="I30" s="7"/>
      <c r="J30" s="7"/>
    </row>
    <row r="31" customFormat="false" ht="19.5" hidden="false" customHeight="true" outlineLevel="0" collapsed="false">
      <c r="A31" s="8" t="n">
        <v>1</v>
      </c>
      <c r="B31" s="9" t="s">
        <v>60</v>
      </c>
      <c r="C31" s="12" t="s">
        <v>61</v>
      </c>
      <c r="D31" s="12" t="s">
        <v>10</v>
      </c>
      <c r="E31" s="11"/>
      <c r="F31" s="11"/>
      <c r="G31" s="11"/>
      <c r="H31" s="11"/>
      <c r="I31" s="11"/>
      <c r="J31" s="11"/>
    </row>
    <row r="32" customFormat="false" ht="19.5" hidden="false" customHeight="true" outlineLevel="0" collapsed="false">
      <c r="A32" s="8" t="n">
        <v>2</v>
      </c>
      <c r="B32" s="9" t="s">
        <v>62</v>
      </c>
      <c r="C32" s="12" t="s">
        <v>63</v>
      </c>
      <c r="D32" s="12" t="s">
        <v>64</v>
      </c>
      <c r="E32" s="11"/>
      <c r="F32" s="11"/>
      <c r="G32" s="11"/>
      <c r="H32" s="11"/>
      <c r="I32" s="11"/>
      <c r="J32" s="11"/>
    </row>
    <row r="33" customFormat="false" ht="19.5" hidden="false" customHeight="true" outlineLevel="0" collapsed="false">
      <c r="A33" s="8" t="n">
        <v>3</v>
      </c>
      <c r="B33" s="9" t="s">
        <v>65</v>
      </c>
      <c r="C33" s="12" t="s">
        <v>66</v>
      </c>
      <c r="D33" s="12" t="s">
        <v>67</v>
      </c>
      <c r="E33" s="11"/>
      <c r="F33" s="11"/>
      <c r="G33" s="11"/>
      <c r="H33" s="11"/>
      <c r="I33" s="11"/>
      <c r="J33" s="11"/>
    </row>
    <row r="34" customFormat="false" ht="19.5" hidden="false" customHeight="true" outlineLevel="0" collapsed="false">
      <c r="A34" s="8" t="n">
        <v>4</v>
      </c>
      <c r="B34" s="9" t="s">
        <v>68</v>
      </c>
      <c r="C34" s="12" t="s">
        <v>69</v>
      </c>
      <c r="D34" s="12" t="s">
        <v>10</v>
      </c>
      <c r="E34" s="11"/>
      <c r="F34" s="11"/>
      <c r="G34" s="11"/>
      <c r="H34" s="11"/>
      <c r="I34" s="11"/>
      <c r="J34" s="11"/>
    </row>
    <row r="35" customFormat="false" ht="19.5" hidden="false" customHeight="true" outlineLevel="0" collapsed="false">
      <c r="A35" s="13" t="n">
        <v>5</v>
      </c>
      <c r="B35" s="14" t="s">
        <v>70</v>
      </c>
      <c r="C35" s="15" t="s">
        <v>71</v>
      </c>
      <c r="D35" s="15" t="s">
        <v>72</v>
      </c>
      <c r="E35" s="11"/>
      <c r="F35" s="11"/>
      <c r="G35" s="11"/>
      <c r="H35" s="11"/>
      <c r="I35" s="11"/>
      <c r="J35" s="11"/>
    </row>
    <row r="37" customFormat="false" ht="21.75" hidden="false" customHeight="true" outlineLevel="0" collapsed="false">
      <c r="A37" s="3" t="s">
        <v>73</v>
      </c>
      <c r="B37" s="3"/>
      <c r="C37" s="3"/>
      <c r="D37" s="3"/>
      <c r="E37" s="3"/>
      <c r="F37" s="3"/>
      <c r="G37" s="3"/>
      <c r="H37" s="3"/>
      <c r="I37" s="3"/>
      <c r="J37" s="3"/>
    </row>
    <row r="38" customFormat="false" ht="30" hidden="false" customHeight="true" outlineLevel="0" collapsed="false">
      <c r="A38" s="7" t="s">
        <v>19</v>
      </c>
      <c r="B38" s="7" t="s">
        <v>57</v>
      </c>
      <c r="C38" s="7" t="s">
        <v>74</v>
      </c>
      <c r="D38" s="7" t="s">
        <v>75</v>
      </c>
      <c r="E38" s="7"/>
      <c r="F38" s="7"/>
      <c r="G38" s="7"/>
      <c r="H38" s="7"/>
      <c r="I38" s="7"/>
      <c r="J38" s="7"/>
    </row>
    <row r="39" customFormat="false" ht="21.75" hidden="false" customHeight="true" outlineLevel="0" collapsed="false">
      <c r="A39" s="8" t="n">
        <v>1</v>
      </c>
      <c r="B39" s="9" t="s">
        <v>76</v>
      </c>
      <c r="C39" s="10" t="s">
        <v>77</v>
      </c>
      <c r="D39" s="10" t="s">
        <v>78</v>
      </c>
      <c r="E39" s="11"/>
      <c r="F39" s="11"/>
      <c r="G39" s="11"/>
      <c r="H39" s="11"/>
      <c r="I39" s="11"/>
      <c r="J39" s="11"/>
    </row>
    <row r="40" customFormat="false" ht="21.75" hidden="false" customHeight="true" outlineLevel="0" collapsed="false">
      <c r="A40" s="8" t="n">
        <v>2</v>
      </c>
      <c r="B40" s="9" t="s">
        <v>79</v>
      </c>
      <c r="C40" s="10" t="s">
        <v>80</v>
      </c>
      <c r="D40" s="10" t="s">
        <v>81</v>
      </c>
      <c r="E40" s="11"/>
      <c r="F40" s="11"/>
      <c r="G40" s="11"/>
      <c r="H40" s="11"/>
      <c r="I40" s="11"/>
      <c r="J40" s="11"/>
    </row>
    <row r="41" customFormat="false" ht="21.75" hidden="false" customHeight="true" outlineLevel="0" collapsed="false">
      <c r="A41" s="8" t="n">
        <v>3</v>
      </c>
      <c r="B41" s="9" t="s">
        <v>82</v>
      </c>
      <c r="C41" s="10" t="s">
        <v>83</v>
      </c>
      <c r="D41" s="10" t="s">
        <v>84</v>
      </c>
      <c r="E41" s="11"/>
      <c r="F41" s="11"/>
      <c r="G41" s="11"/>
      <c r="H41" s="11"/>
      <c r="I41" s="11"/>
      <c r="J41" s="11"/>
    </row>
    <row r="42" customFormat="false" ht="21.75" hidden="false" customHeight="true" outlineLevel="0" collapsed="false">
      <c r="A42" s="8" t="n">
        <v>4</v>
      </c>
      <c r="B42" s="9" t="s">
        <v>85</v>
      </c>
      <c r="C42" s="10" t="s">
        <v>86</v>
      </c>
      <c r="D42" s="10" t="s">
        <v>87</v>
      </c>
      <c r="E42" s="11"/>
      <c r="F42" s="11"/>
      <c r="G42" s="11"/>
      <c r="H42" s="11"/>
      <c r="I42" s="11"/>
      <c r="J42" s="11"/>
    </row>
    <row r="43" customFormat="false" ht="21.75" hidden="false" customHeight="true" outlineLevel="0" collapsed="false">
      <c r="A43" s="8" t="n">
        <v>5</v>
      </c>
      <c r="B43" s="9" t="s">
        <v>88</v>
      </c>
      <c r="C43" s="10" t="s">
        <v>89</v>
      </c>
      <c r="D43" s="10" t="s">
        <v>90</v>
      </c>
      <c r="E43" s="11"/>
      <c r="F43" s="11"/>
      <c r="G43" s="11"/>
      <c r="H43" s="11"/>
      <c r="I43" s="11"/>
      <c r="J43" s="11"/>
    </row>
    <row r="44" customFormat="false" ht="21.75" hidden="false" customHeight="true" outlineLevel="0" collapsed="false">
      <c r="A44" s="8" t="n">
        <v>6</v>
      </c>
      <c r="B44" s="9" t="s">
        <v>91</v>
      </c>
      <c r="C44" s="10" t="s">
        <v>92</v>
      </c>
      <c r="D44" s="10" t="s">
        <v>93</v>
      </c>
      <c r="E44" s="11"/>
      <c r="F44" s="11"/>
      <c r="G44" s="11"/>
      <c r="H44" s="11"/>
      <c r="I44" s="11"/>
      <c r="J44" s="11"/>
    </row>
    <row r="46" customFormat="false" ht="15" hidden="false" customHeight="false" outlineLevel="0" collapsed="false">
      <c r="B46" s="16" t="s">
        <v>94</v>
      </c>
    </row>
    <row r="47" customFormat="false" ht="15.75" hidden="false" customHeight="true" outlineLevel="0" collapsed="false">
      <c r="C47" s="17" t="s">
        <v>95</v>
      </c>
      <c r="D47" s="17"/>
      <c r="E47" s="17"/>
      <c r="F47" s="17"/>
      <c r="G47" s="17"/>
      <c r="H47" s="17"/>
      <c r="I47" s="17"/>
      <c r="J47" s="17"/>
    </row>
    <row r="48" customFormat="false" ht="15.75" hidden="false" customHeight="true" outlineLevel="0" collapsed="false">
      <c r="C48" s="17" t="s">
        <v>96</v>
      </c>
      <c r="D48" s="17"/>
      <c r="E48" s="17"/>
      <c r="F48" s="17"/>
      <c r="G48" s="17"/>
      <c r="H48" s="17"/>
      <c r="I48" s="17"/>
      <c r="J48" s="17"/>
    </row>
    <row r="49" customFormat="false" ht="15.75" hidden="false" customHeight="true" outlineLevel="0" collapsed="false">
      <c r="C49" s="17" t="s">
        <v>97</v>
      </c>
      <c r="D49" s="17"/>
      <c r="E49" s="17"/>
      <c r="F49" s="17"/>
      <c r="G49" s="17"/>
      <c r="H49" s="17"/>
      <c r="I49" s="17"/>
      <c r="J49" s="17"/>
    </row>
    <row r="50" customFormat="false" ht="15.75" hidden="false" customHeight="true" outlineLevel="0" collapsed="false">
      <c r="C50" s="17" t="s">
        <v>98</v>
      </c>
      <c r="D50" s="17"/>
      <c r="E50" s="17"/>
      <c r="F50" s="17"/>
      <c r="G50" s="17"/>
      <c r="H50" s="17"/>
      <c r="I50" s="17"/>
      <c r="J50" s="17"/>
    </row>
    <row r="52" customFormat="false" ht="15" hidden="false" customHeight="false" outlineLevel="0" collapsed="false">
      <c r="B52" s="18" t="s">
        <v>99</v>
      </c>
    </row>
    <row r="53" customFormat="false" ht="15.75" hidden="false" customHeight="true" outlineLevel="0" collapsed="false">
      <c r="C53" s="17" t="s">
        <v>100</v>
      </c>
      <c r="D53" s="17"/>
      <c r="E53" s="17"/>
      <c r="F53" s="17"/>
      <c r="G53" s="17"/>
      <c r="H53" s="17"/>
      <c r="I53" s="17"/>
      <c r="J53" s="17"/>
    </row>
    <row r="54" customFormat="false" ht="15.75" hidden="false" customHeight="true" outlineLevel="0" collapsed="false">
      <c r="C54" s="17" t="s">
        <v>101</v>
      </c>
      <c r="D54" s="17"/>
      <c r="E54" s="17"/>
      <c r="F54" s="17"/>
      <c r="G54" s="17"/>
      <c r="H54" s="17"/>
      <c r="I54" s="17"/>
      <c r="J54" s="17"/>
    </row>
    <row r="55" customFormat="false" ht="15.75" hidden="false" customHeight="true" outlineLevel="0" collapsed="false">
      <c r="C55" s="17" t="s">
        <v>102</v>
      </c>
      <c r="D55" s="17"/>
      <c r="E55" s="17"/>
      <c r="F55" s="17"/>
      <c r="G55" s="17"/>
      <c r="H55" s="17"/>
      <c r="I55" s="17"/>
      <c r="J55" s="17"/>
    </row>
    <row r="56" customFormat="false" ht="15.75" hidden="false" customHeight="true" outlineLevel="0" collapsed="false">
      <c r="C56" s="17" t="s">
        <v>103</v>
      </c>
      <c r="D56" s="17"/>
      <c r="E56" s="17"/>
      <c r="F56" s="17"/>
      <c r="G56" s="17"/>
      <c r="H56" s="17"/>
      <c r="I56" s="17"/>
      <c r="J56" s="17"/>
    </row>
  </sheetData>
  <mergeCells count="16">
    <mergeCell ref="A1:J1"/>
    <mergeCell ref="A2:J2"/>
    <mergeCell ref="A3:J3"/>
    <mergeCell ref="A13:J13"/>
    <mergeCell ref="B14:J15"/>
    <mergeCell ref="A17:J17"/>
    <mergeCell ref="A29:J29"/>
    <mergeCell ref="A37:J37"/>
    <mergeCell ref="C47:J47"/>
    <mergeCell ref="C48:J48"/>
    <mergeCell ref="C49:J49"/>
    <mergeCell ref="C50:J50"/>
    <mergeCell ref="C53:J53"/>
    <mergeCell ref="C54:J54"/>
    <mergeCell ref="C55:J55"/>
    <mergeCell ref="C56:J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34"/>
    <col collapsed="false" customWidth="true" hidden="false" outlineLevel="0" max="4" min="4" style="0" width="30"/>
    <col collapsed="false" customWidth="true" hidden="false" outlineLevel="0" max="5" min="5" style="0" width="16"/>
    <col collapsed="false" customWidth="true" hidden="false" outlineLevel="0" max="6" min="6" style="0" width="9"/>
    <col collapsed="false" customWidth="true" hidden="false" outlineLevel="0" max="7" min="7" style="0" width="12"/>
    <col collapsed="false" customWidth="true" hidden="false" outlineLevel="0" max="8" min="8" style="0" width="13"/>
    <col collapsed="false" customWidth="true" hidden="false" outlineLevel="0" max="10" min="9" style="0" width="10"/>
    <col collapsed="false" customWidth="true" hidden="false" outlineLevel="0" max="11" min="11" style="0" width="26"/>
  </cols>
  <sheetData>
    <row r="1" customFormat="false" ht="25.5" hidden="false" customHeight="true" outlineLevel="0" collapsed="false">
      <c r="A1" s="1" t="s">
        <v>104</v>
      </c>
      <c r="B1" s="1"/>
      <c r="C1" s="1"/>
      <c r="D1" s="1"/>
      <c r="E1" s="1"/>
      <c r="F1" s="1"/>
      <c r="G1" s="1"/>
      <c r="H1" s="1"/>
      <c r="I1" s="1"/>
      <c r="J1" s="1"/>
      <c r="K1" s="1"/>
    </row>
    <row r="2" customFormat="false" ht="18" hidden="false" customHeight="true" outlineLevel="0" collapsed="false">
      <c r="A2" s="2" t="s">
        <v>105</v>
      </c>
      <c r="B2" s="2"/>
      <c r="C2" s="2"/>
      <c r="D2" s="2"/>
      <c r="E2" s="2"/>
      <c r="F2" s="2"/>
      <c r="G2" s="2"/>
      <c r="H2" s="2"/>
      <c r="I2" s="2"/>
      <c r="J2" s="2"/>
      <c r="K2" s="2"/>
    </row>
    <row r="3" customFormat="false" ht="30" hidden="false" customHeight="true" outlineLevel="0" collapsed="false">
      <c r="A3" s="7" t="s">
        <v>19</v>
      </c>
      <c r="B3" s="7" t="s">
        <v>106</v>
      </c>
      <c r="C3" s="7" t="s">
        <v>107</v>
      </c>
      <c r="D3" s="7" t="s">
        <v>108</v>
      </c>
      <c r="E3" s="7" t="s">
        <v>109</v>
      </c>
      <c r="F3" s="7" t="s">
        <v>110</v>
      </c>
      <c r="G3" s="7" t="s">
        <v>111</v>
      </c>
      <c r="H3" s="7" t="s">
        <v>112</v>
      </c>
      <c r="I3" s="7" t="s">
        <v>74</v>
      </c>
      <c r="J3" s="7" t="s">
        <v>23</v>
      </c>
      <c r="K3" s="7" t="s">
        <v>113</v>
      </c>
    </row>
    <row r="4" customFormat="false" ht="30" hidden="false" customHeight="true" outlineLevel="0" collapsed="false">
      <c r="A4" s="8" t="n">
        <v>1</v>
      </c>
      <c r="B4" s="19" t="s">
        <v>114</v>
      </c>
      <c r="C4" s="10" t="s">
        <v>115</v>
      </c>
      <c r="D4" s="10" t="s">
        <v>116</v>
      </c>
      <c r="E4" s="8" t="s">
        <v>117</v>
      </c>
      <c r="F4" s="8" t="s">
        <v>118</v>
      </c>
      <c r="G4" s="20" t="n">
        <v>0.15</v>
      </c>
      <c r="H4" s="21"/>
      <c r="I4" s="21"/>
      <c r="J4" s="8" t="s">
        <v>31</v>
      </c>
      <c r="K4" s="10" t="s">
        <v>119</v>
      </c>
    </row>
    <row r="5" customFormat="false" ht="30" hidden="false" customHeight="true" outlineLevel="0" collapsed="false">
      <c r="A5" s="8" t="n">
        <v>2</v>
      </c>
      <c r="B5" s="19" t="s">
        <v>120</v>
      </c>
      <c r="C5" s="10" t="s">
        <v>121</v>
      </c>
      <c r="D5" s="10" t="s">
        <v>122</v>
      </c>
      <c r="E5" s="8" t="s">
        <v>117</v>
      </c>
      <c r="F5" s="8" t="s">
        <v>118</v>
      </c>
      <c r="G5" s="20" t="n">
        <v>0.25</v>
      </c>
      <c r="H5" s="21"/>
      <c r="I5" s="21"/>
      <c r="J5" s="8" t="s">
        <v>31</v>
      </c>
      <c r="K5" s="10" t="s">
        <v>123</v>
      </c>
    </row>
    <row r="6" customFormat="false" ht="30" hidden="false" customHeight="true" outlineLevel="0" collapsed="false">
      <c r="A6" s="8" t="n">
        <v>3</v>
      </c>
      <c r="B6" s="19" t="s">
        <v>124</v>
      </c>
      <c r="C6" s="10" t="s">
        <v>125</v>
      </c>
      <c r="D6" s="10" t="s">
        <v>126</v>
      </c>
      <c r="E6" s="8" t="s">
        <v>127</v>
      </c>
      <c r="F6" s="8" t="s">
        <v>118</v>
      </c>
      <c r="G6" s="20" t="n">
        <v>0.15</v>
      </c>
      <c r="H6" s="21"/>
      <c r="I6" s="21"/>
      <c r="J6" s="8" t="s">
        <v>31</v>
      </c>
      <c r="K6" s="10" t="s">
        <v>128</v>
      </c>
    </row>
    <row r="7" customFormat="false" ht="30" hidden="false" customHeight="true" outlineLevel="0" collapsed="false">
      <c r="A7" s="8" t="n">
        <v>4</v>
      </c>
      <c r="B7" s="19" t="s">
        <v>129</v>
      </c>
      <c r="C7" s="10" t="s">
        <v>130</v>
      </c>
      <c r="D7" s="10" t="s">
        <v>131</v>
      </c>
      <c r="E7" s="8" t="s">
        <v>117</v>
      </c>
      <c r="F7" s="8" t="s">
        <v>118</v>
      </c>
      <c r="G7" s="20" t="n">
        <v>0.1</v>
      </c>
      <c r="H7" s="21"/>
      <c r="I7" s="21"/>
      <c r="J7" s="8" t="s">
        <v>31</v>
      </c>
      <c r="K7" s="10" t="s">
        <v>132</v>
      </c>
    </row>
    <row r="8" customFormat="false" ht="30" hidden="false" customHeight="true" outlineLevel="0" collapsed="false">
      <c r="A8" s="8" t="n">
        <v>5</v>
      </c>
      <c r="B8" s="22" t="s">
        <v>133</v>
      </c>
      <c r="C8" s="10" t="s">
        <v>134</v>
      </c>
      <c r="D8" s="10" t="s">
        <v>135</v>
      </c>
      <c r="E8" s="8" t="s">
        <v>136</v>
      </c>
      <c r="F8" s="8" t="s">
        <v>118</v>
      </c>
      <c r="G8" s="20" t="n">
        <v>0.05</v>
      </c>
      <c r="H8" s="21"/>
      <c r="I8" s="21"/>
      <c r="J8" s="8" t="s">
        <v>31</v>
      </c>
      <c r="K8" s="10" t="s">
        <v>137</v>
      </c>
    </row>
    <row r="9" customFormat="false" ht="30" hidden="false" customHeight="true" outlineLevel="0" collapsed="false">
      <c r="A9" s="8" t="n">
        <v>6</v>
      </c>
      <c r="B9" s="22" t="s">
        <v>138</v>
      </c>
      <c r="C9" s="10" t="s">
        <v>139</v>
      </c>
      <c r="D9" s="10" t="s">
        <v>140</v>
      </c>
      <c r="E9" s="8" t="s">
        <v>117</v>
      </c>
      <c r="F9" s="8" t="s">
        <v>118</v>
      </c>
      <c r="G9" s="20" t="n">
        <v>0.05</v>
      </c>
      <c r="H9" s="21"/>
      <c r="I9" s="21"/>
      <c r="J9" s="8" t="s">
        <v>31</v>
      </c>
      <c r="K9" s="10" t="s">
        <v>141</v>
      </c>
    </row>
    <row r="10" customFormat="false" ht="30" hidden="false" customHeight="true" outlineLevel="0" collapsed="false">
      <c r="A10" s="8" t="n">
        <v>7</v>
      </c>
      <c r="B10" s="22" t="s">
        <v>142</v>
      </c>
      <c r="C10" s="10" t="s">
        <v>143</v>
      </c>
      <c r="D10" s="10" t="s">
        <v>144</v>
      </c>
      <c r="E10" s="8" t="s">
        <v>117</v>
      </c>
      <c r="F10" s="8" t="s">
        <v>118</v>
      </c>
      <c r="G10" s="20" t="n">
        <v>0.08</v>
      </c>
      <c r="H10" s="21"/>
      <c r="I10" s="21"/>
      <c r="J10" s="8" t="s">
        <v>31</v>
      </c>
      <c r="K10" s="10" t="s">
        <v>145</v>
      </c>
    </row>
    <row r="11" customFormat="false" ht="30" hidden="false" customHeight="true" outlineLevel="0" collapsed="false">
      <c r="A11" s="8" t="n">
        <v>8</v>
      </c>
      <c r="B11" s="23" t="s">
        <v>146</v>
      </c>
      <c r="C11" s="10" t="s">
        <v>147</v>
      </c>
      <c r="D11" s="10" t="s">
        <v>148</v>
      </c>
      <c r="E11" s="8" t="s">
        <v>117</v>
      </c>
      <c r="F11" s="8" t="s">
        <v>149</v>
      </c>
      <c r="G11" s="20" t="n">
        <v>0.07</v>
      </c>
      <c r="H11" s="21"/>
      <c r="I11" s="21"/>
      <c r="J11" s="8" t="s">
        <v>31</v>
      </c>
      <c r="K11" s="10" t="s">
        <v>150</v>
      </c>
    </row>
    <row r="12" customFormat="false" ht="30" hidden="false" customHeight="true" outlineLevel="0" collapsed="false">
      <c r="A12" s="8" t="n">
        <v>9</v>
      </c>
      <c r="B12" s="23" t="s">
        <v>151</v>
      </c>
      <c r="C12" s="10" t="s">
        <v>152</v>
      </c>
      <c r="D12" s="10" t="s">
        <v>153</v>
      </c>
      <c r="E12" s="8" t="s">
        <v>64</v>
      </c>
      <c r="F12" s="8" t="s">
        <v>149</v>
      </c>
      <c r="G12" s="20" t="n">
        <v>0.05</v>
      </c>
      <c r="H12" s="21"/>
      <c r="I12" s="21"/>
      <c r="J12" s="8" t="s">
        <v>31</v>
      </c>
      <c r="K12" s="10" t="s">
        <v>154</v>
      </c>
    </row>
    <row r="13" customFormat="false" ht="30" hidden="false" customHeight="true" outlineLevel="0" collapsed="false">
      <c r="A13" s="8" t="n">
        <v>10</v>
      </c>
      <c r="B13" s="23" t="s">
        <v>155</v>
      </c>
      <c r="C13" s="10" t="s">
        <v>156</v>
      </c>
      <c r="D13" s="10" t="s">
        <v>157</v>
      </c>
      <c r="E13" s="8" t="s">
        <v>64</v>
      </c>
      <c r="F13" s="8" t="s">
        <v>149</v>
      </c>
      <c r="G13" s="20" t="n">
        <v>0.03</v>
      </c>
      <c r="H13" s="21"/>
      <c r="I13" s="21"/>
      <c r="J13" s="8" t="s">
        <v>31</v>
      </c>
      <c r="K13" s="10" t="s">
        <v>158</v>
      </c>
    </row>
    <row r="14" customFormat="false" ht="30" hidden="false" customHeight="true" outlineLevel="0" collapsed="false">
      <c r="A14" s="8" t="n">
        <v>11</v>
      </c>
      <c r="B14" s="23" t="s">
        <v>159</v>
      </c>
      <c r="C14" s="10" t="s">
        <v>160</v>
      </c>
      <c r="D14" s="10" t="s">
        <v>161</v>
      </c>
      <c r="E14" s="8" t="s">
        <v>117</v>
      </c>
      <c r="F14" s="8" t="s">
        <v>118</v>
      </c>
      <c r="G14" s="20" t="n">
        <v>0.02</v>
      </c>
      <c r="H14" s="21"/>
      <c r="I14" s="21"/>
      <c r="J14" s="8" t="s">
        <v>31</v>
      </c>
      <c r="K14" s="10" t="s">
        <v>162</v>
      </c>
    </row>
    <row r="15" customFormat="false" ht="15" hidden="false" customHeight="false" outlineLevel="0" collapsed="false">
      <c r="B15" s="24" t="s">
        <v>163</v>
      </c>
      <c r="G15" s="25" t="n">
        <f aca="false">SUM(G4:G14)</f>
        <v>1</v>
      </c>
      <c r="H15" s="26" t="s">
        <v>164</v>
      </c>
    </row>
    <row r="17" customFormat="false" ht="15" hidden="false" customHeight="false" outlineLevel="0" collapsed="false">
      <c r="B17" s="16" t="s">
        <v>165</v>
      </c>
    </row>
    <row r="18" customFormat="false" ht="15.75" hidden="false" customHeight="true" outlineLevel="0" collapsed="false">
      <c r="C18" s="17" t="s">
        <v>166</v>
      </c>
      <c r="D18" s="17"/>
      <c r="E18" s="17"/>
      <c r="F18" s="17"/>
      <c r="G18" s="17"/>
      <c r="H18" s="17"/>
      <c r="I18" s="17"/>
      <c r="J18" s="17"/>
      <c r="K18" s="17"/>
    </row>
    <row r="19" customFormat="false" ht="15.75" hidden="false" customHeight="true" outlineLevel="0" collapsed="false">
      <c r="C19" s="17" t="s">
        <v>167</v>
      </c>
      <c r="D19" s="17"/>
      <c r="E19" s="17"/>
      <c r="F19" s="17"/>
      <c r="G19" s="17"/>
      <c r="H19" s="17"/>
      <c r="I19" s="17"/>
      <c r="J19" s="17"/>
      <c r="K19" s="17"/>
    </row>
    <row r="20" customFormat="false" ht="15.75" hidden="false" customHeight="true" outlineLevel="0" collapsed="false">
      <c r="C20" s="17" t="s">
        <v>168</v>
      </c>
      <c r="D20" s="17"/>
      <c r="E20" s="17"/>
      <c r="F20" s="17"/>
      <c r="G20" s="17"/>
      <c r="H20" s="17"/>
      <c r="I20" s="17"/>
      <c r="J20" s="17"/>
      <c r="K20" s="17"/>
    </row>
    <row r="21" customFormat="false" ht="15.75" hidden="false" customHeight="true" outlineLevel="0" collapsed="false">
      <c r="C21" s="17" t="s">
        <v>169</v>
      </c>
      <c r="D21" s="17"/>
      <c r="E21" s="17"/>
      <c r="F21" s="17"/>
      <c r="G21" s="17"/>
      <c r="H21" s="17"/>
      <c r="I21" s="17"/>
      <c r="J21" s="17"/>
      <c r="K21" s="17"/>
    </row>
    <row r="23" customFormat="false" ht="15" hidden="false" customHeight="false" outlineLevel="0" collapsed="false">
      <c r="B23" s="18" t="s">
        <v>170</v>
      </c>
    </row>
    <row r="24" customFormat="false" ht="15.75" hidden="false" customHeight="true" outlineLevel="0" collapsed="false">
      <c r="C24" s="17" t="s">
        <v>171</v>
      </c>
      <c r="D24" s="17"/>
      <c r="E24" s="17"/>
      <c r="F24" s="17"/>
      <c r="G24" s="17"/>
      <c r="H24" s="17"/>
      <c r="I24" s="17"/>
      <c r="J24" s="17"/>
      <c r="K24" s="17"/>
    </row>
    <row r="25" customFormat="false" ht="15.75" hidden="false" customHeight="true" outlineLevel="0" collapsed="false">
      <c r="C25" s="17" t="s">
        <v>172</v>
      </c>
      <c r="D25" s="17"/>
      <c r="E25" s="17"/>
      <c r="F25" s="17"/>
      <c r="G25" s="17"/>
      <c r="H25" s="17"/>
      <c r="I25" s="17"/>
      <c r="J25" s="17"/>
      <c r="K25" s="17"/>
    </row>
    <row r="26" customFormat="false" ht="15.75" hidden="false" customHeight="true" outlineLevel="0" collapsed="false">
      <c r="C26" s="17" t="s">
        <v>173</v>
      </c>
      <c r="D26" s="17"/>
      <c r="E26" s="17"/>
      <c r="F26" s="17"/>
      <c r="G26" s="17"/>
      <c r="H26" s="17"/>
      <c r="I26" s="17"/>
      <c r="J26" s="17"/>
      <c r="K26" s="17"/>
    </row>
  </sheetData>
  <mergeCells count="9">
    <mergeCell ref="A1:K1"/>
    <mergeCell ref="A2:K2"/>
    <mergeCell ref="C18:K18"/>
    <mergeCell ref="C19:K19"/>
    <mergeCell ref="C20:K20"/>
    <mergeCell ref="C21:K21"/>
    <mergeCell ref="C24:K24"/>
    <mergeCell ref="C25:K25"/>
    <mergeCell ref="C26:K26"/>
  </mergeCells>
  <conditionalFormatting sqref="G15">
    <cfRule type="cellIs" priority="2" operator="notEqual" aboveAverage="0" equalAverage="0" bottom="0" percent="0" rank="0" text="" dxfId="0">
      <formula>1</formula>
    </cfRule>
  </conditionalFormatting>
  <dataValidations count="1">
    <dataValidation allowBlank="false" errorStyle="stop" operator="between" showDropDown="false" showErrorMessage="false" showInputMessage="false" sqref="F4:F14" type="list">
      <formula1>"أعلى أفضل,أقل أفضل"</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0"/>
    <col collapsed="false" customWidth="true" hidden="false" outlineLevel="0" max="6" min="4" style="0" width="13"/>
    <col collapsed="false" customWidth="true" hidden="false" outlineLevel="0" max="8" min="7" style="0" width="12"/>
    <col collapsed="false" customWidth="true" hidden="false" outlineLevel="0" max="9" min="9" style="0" width="30"/>
  </cols>
  <sheetData>
    <row r="1" customFormat="false" ht="25.5" hidden="false" customHeight="true" outlineLevel="0" collapsed="false">
      <c r="A1" s="1" t="s">
        <v>174</v>
      </c>
      <c r="B1" s="1"/>
      <c r="C1" s="1"/>
      <c r="D1" s="1"/>
      <c r="E1" s="1"/>
      <c r="F1" s="1"/>
      <c r="G1" s="1"/>
      <c r="H1" s="1"/>
      <c r="I1" s="1"/>
    </row>
    <row r="2" customFormat="false" ht="18" hidden="false" customHeight="true" outlineLevel="0" collapsed="false">
      <c r="A2" s="2" t="s">
        <v>175</v>
      </c>
      <c r="B2" s="2"/>
      <c r="C2" s="2"/>
      <c r="D2" s="2"/>
      <c r="E2" s="2"/>
      <c r="F2" s="2"/>
      <c r="G2" s="2"/>
      <c r="H2" s="2"/>
      <c r="I2" s="2"/>
    </row>
    <row r="3" customFormat="false" ht="21.75" hidden="false" customHeight="true" outlineLevel="0" collapsed="false">
      <c r="A3" s="3" t="s">
        <v>176</v>
      </c>
      <c r="B3" s="3"/>
      <c r="C3" s="3"/>
      <c r="D3" s="3"/>
      <c r="E3" s="3"/>
      <c r="F3" s="3"/>
      <c r="G3" s="3"/>
      <c r="H3" s="3"/>
      <c r="I3" s="3"/>
    </row>
    <row r="4" customFormat="false" ht="15" hidden="false" customHeight="false" outlineLevel="0" collapsed="false">
      <c r="B4" s="27" t="s">
        <v>177</v>
      </c>
      <c r="C4" s="21"/>
      <c r="D4" s="27" t="s">
        <v>178</v>
      </c>
      <c r="E4" s="21"/>
      <c r="F4" s="27" t="s">
        <v>179</v>
      </c>
      <c r="G4" s="21"/>
    </row>
    <row r="6" customFormat="false" ht="21.75" hidden="false" customHeight="true" outlineLevel="0" collapsed="false">
      <c r="A6" s="3" t="s">
        <v>180</v>
      </c>
      <c r="B6" s="3"/>
      <c r="C6" s="3"/>
      <c r="D6" s="3"/>
      <c r="E6" s="3"/>
      <c r="F6" s="3"/>
      <c r="G6" s="3"/>
      <c r="H6" s="3"/>
      <c r="I6" s="3"/>
    </row>
    <row r="7" customFormat="false" ht="30" hidden="false" customHeight="true" outlineLevel="0" collapsed="false">
      <c r="A7" s="7" t="s">
        <v>19</v>
      </c>
      <c r="B7" s="7" t="s">
        <v>106</v>
      </c>
      <c r="C7" s="7" t="s">
        <v>110</v>
      </c>
      <c r="D7" s="7" t="s">
        <v>111</v>
      </c>
      <c r="E7" s="7" t="s">
        <v>112</v>
      </c>
      <c r="F7" s="7" t="s">
        <v>181</v>
      </c>
      <c r="G7" s="7" t="s">
        <v>182</v>
      </c>
      <c r="H7" s="7" t="s">
        <v>183</v>
      </c>
      <c r="I7" s="7" t="s">
        <v>184</v>
      </c>
    </row>
    <row r="8" customFormat="false" ht="19.5" hidden="false" customHeight="true" outlineLevel="0" collapsed="false">
      <c r="A8" s="28" t="n">
        <v>1</v>
      </c>
      <c r="B8" s="29" t="str">
        <f aca="false">'مؤشرات الأداء'!B4</f>
        <v>الحجم المتعاقَد</v>
      </c>
      <c r="C8" s="29" t="str">
        <f aca="false">'مؤشرات الأداء'!F4</f>
        <v>أعلى أفضل</v>
      </c>
      <c r="D8" s="30" t="n">
        <f aca="false">'مؤشرات الأداء'!G4</f>
        <v>0.15</v>
      </c>
      <c r="E8" s="29" t="n">
        <f aca="false">'مؤشرات الأداء'!H4</f>
        <v>0</v>
      </c>
      <c r="F8" s="21"/>
      <c r="G8" s="31" t="str">
        <f aca="false">IFERROR(IF(OR($F8="",$E8=""),"",IF($C8="أقل أفضل",$E8/$F8,$F8/$E8)),"")</f>
        <v/>
      </c>
      <c r="H8" s="32" t="str">
        <f aca="false">IF($G8="","",MIN($G8,1.2)*$D8)</f>
        <v/>
      </c>
      <c r="I8" s="21"/>
    </row>
    <row r="9" customFormat="false" ht="19.5" hidden="false" customHeight="true" outlineLevel="0" collapsed="false">
      <c r="A9" s="28" t="n">
        <v>2</v>
      </c>
      <c r="B9" s="29" t="str">
        <f aca="false">'مؤشرات الأداء'!B5</f>
        <v>الحجم الصافي المضاف</v>
      </c>
      <c r="C9" s="29" t="str">
        <f aca="false">'مؤشرات الأداء'!F5</f>
        <v>أعلى أفضل</v>
      </c>
      <c r="D9" s="30" t="n">
        <f aca="false">'مؤشرات الأداء'!G5</f>
        <v>0.25</v>
      </c>
      <c r="E9" s="29" t="n">
        <f aca="false">'مؤشرات الأداء'!H5</f>
        <v>0</v>
      </c>
      <c r="F9" s="21"/>
      <c r="G9" s="31" t="str">
        <f aca="false">IFERROR(IF(OR($F9="",$E9=""),"",IF($C9="أقل أفضل",$E9/$F9,$F9/$E9)),"")</f>
        <v/>
      </c>
      <c r="H9" s="32" t="str">
        <f aca="false">IF($G9="","",MIN($G9,1.2)*$D9)</f>
        <v/>
      </c>
      <c r="I9" s="21"/>
    </row>
    <row r="10" customFormat="false" ht="19.5" hidden="false" customHeight="true" outlineLevel="0" collapsed="false">
      <c r="A10" s="28" t="n">
        <v>3</v>
      </c>
      <c r="B10" s="29" t="str">
        <f aca="false">'مؤشرات الأداء'!B6</f>
        <v>هامش المساهمة المتحقق</v>
      </c>
      <c r="C10" s="29" t="str">
        <f aca="false">'مؤشرات الأداء'!F6</f>
        <v>أعلى أفضل</v>
      </c>
      <c r="D10" s="30" t="n">
        <f aca="false">'مؤشرات الأداء'!G6</f>
        <v>0.15</v>
      </c>
      <c r="E10" s="29" t="n">
        <f aca="false">'مؤشرات الأداء'!H6</f>
        <v>0</v>
      </c>
      <c r="F10" s="21"/>
      <c r="G10" s="31" t="str">
        <f aca="false">IFERROR(IF(OR($F10="",$E10=""),"",IF($C10="أقل أفضل",$E10/$F10,$F10/$E10)),"")</f>
        <v/>
      </c>
      <c r="H10" s="32" t="str">
        <f aca="false">IF($G10="","",MIN($G10,1.2)*$D10)</f>
        <v/>
      </c>
      <c r="I10" s="21"/>
    </row>
    <row r="11" customFormat="false" ht="19.5" hidden="false" customHeight="true" outlineLevel="0" collapsed="false">
      <c r="A11" s="28" t="n">
        <v>4</v>
      </c>
      <c r="B11" s="29" t="str">
        <f aca="false">'مؤشرات الأداء'!B7</f>
        <v>عملاء جدد لم يشتروا منّا</v>
      </c>
      <c r="C11" s="29" t="str">
        <f aca="false">'مؤشرات الأداء'!F7</f>
        <v>أعلى أفضل</v>
      </c>
      <c r="D11" s="30" t="n">
        <f aca="false">'مؤشرات الأداء'!G7</f>
        <v>0.1</v>
      </c>
      <c r="E11" s="29" t="n">
        <f aca="false">'مؤشرات الأداء'!H7</f>
        <v>0</v>
      </c>
      <c r="F11" s="21"/>
      <c r="G11" s="31" t="str">
        <f aca="false">IFERROR(IF(OR($F11="",$E11=""),"",IF($C11="أقل أفضل",$E11/$F11,$F11/$E11)),"")</f>
        <v/>
      </c>
      <c r="H11" s="32" t="str">
        <f aca="false">IF($G11="","",MIN($G11,1.2)*$D11)</f>
        <v/>
      </c>
      <c r="I11" s="21"/>
    </row>
    <row r="12" customFormat="false" ht="19.5" hidden="false" customHeight="true" outlineLevel="0" collapsed="false">
      <c r="A12" s="28" t="n">
        <v>5</v>
      </c>
      <c r="B12" s="29" t="str">
        <f aca="false">'مؤشرات الأداء'!B8</f>
        <v>زيارات ميدانية مؤهَّلة</v>
      </c>
      <c r="C12" s="29" t="str">
        <f aca="false">'مؤشرات الأداء'!F8</f>
        <v>أعلى أفضل</v>
      </c>
      <c r="D12" s="30" t="n">
        <f aca="false">'مؤشرات الأداء'!G8</f>
        <v>0.05</v>
      </c>
      <c r="E12" s="29" t="n">
        <f aca="false">'مؤشرات الأداء'!H8</f>
        <v>0</v>
      </c>
      <c r="F12" s="21"/>
      <c r="G12" s="31" t="str">
        <f aca="false">IFERROR(IF(OR($F12="",$E12=""),"",IF($C12="أقل أفضل",$E12/$F12,$F12/$E12)),"")</f>
        <v/>
      </c>
      <c r="H12" s="32" t="str">
        <f aca="false">IF($G12="","",MIN($G12,1.2)*$D12)</f>
        <v/>
      </c>
      <c r="I12" s="21"/>
    </row>
    <row r="13" customFormat="false" ht="19.5" hidden="false" customHeight="true" outlineLevel="0" collapsed="false">
      <c r="A13" s="28" t="n">
        <v>6</v>
      </c>
      <c r="B13" s="29" t="str">
        <f aca="false">'مؤشرات الأداء'!B9</f>
        <v>عروض مقدَّمة</v>
      </c>
      <c r="C13" s="29" t="str">
        <f aca="false">'مؤشرات الأداء'!F9</f>
        <v>أعلى أفضل</v>
      </c>
      <c r="D13" s="30" t="n">
        <f aca="false">'مؤشرات الأداء'!G9</f>
        <v>0.05</v>
      </c>
      <c r="E13" s="29" t="n">
        <f aca="false">'مؤشرات الأداء'!H9</f>
        <v>0</v>
      </c>
      <c r="F13" s="21"/>
      <c r="G13" s="31" t="str">
        <f aca="false">IFERROR(IF(OR($F13="",$E13=""),"",IF($C13="أقل أفضل",$E13/$F13,$F13/$E13)),"")</f>
        <v/>
      </c>
      <c r="H13" s="32" t="str">
        <f aca="false">IF($G13="","",MIN($G13,1.2)*$D13)</f>
        <v/>
      </c>
      <c r="I13" s="21"/>
    </row>
    <row r="14" customFormat="false" ht="19.5" hidden="false" customHeight="true" outlineLevel="0" collapsed="false">
      <c r="A14" s="28" t="n">
        <v>7</v>
      </c>
      <c r="B14" s="29" t="str">
        <f aca="false">'مؤشرات الأداء'!B10</f>
        <v>معدل التحويل</v>
      </c>
      <c r="C14" s="29" t="str">
        <f aca="false">'مؤشرات الأداء'!F10</f>
        <v>أعلى أفضل</v>
      </c>
      <c r="D14" s="30" t="n">
        <f aca="false">'مؤشرات الأداء'!G10</f>
        <v>0.08</v>
      </c>
      <c r="E14" s="29" t="n">
        <f aca="false">'مؤشرات الأداء'!H10</f>
        <v>0</v>
      </c>
      <c r="F14" s="21"/>
      <c r="G14" s="31" t="str">
        <f aca="false">IFERROR(IF(OR($F14="",$E14=""),"",IF($C14="أقل أفضل",$E14/$F14,$F14/$E14)),"")</f>
        <v/>
      </c>
      <c r="H14" s="32" t="str">
        <f aca="false">IF($G14="","",MIN($G14,1.2)*$D14)</f>
        <v/>
      </c>
      <c r="I14" s="21"/>
    </row>
    <row r="15" customFormat="false" ht="19.5" hidden="false" customHeight="true" outlineLevel="0" collapsed="false">
      <c r="A15" s="28" t="n">
        <v>8</v>
      </c>
      <c r="B15" s="29" t="str">
        <f aca="false">'مؤشرات الأداء'!B11</f>
        <v>متوسط الخصم الممنوح</v>
      </c>
      <c r="C15" s="29" t="str">
        <f aca="false">'مؤشرات الأداء'!F11</f>
        <v>أقل أفضل</v>
      </c>
      <c r="D15" s="30" t="n">
        <f aca="false">'مؤشرات الأداء'!G11</f>
        <v>0.07</v>
      </c>
      <c r="E15" s="29" t="n">
        <f aca="false">'مؤشرات الأداء'!H11</f>
        <v>0</v>
      </c>
      <c r="F15" s="21"/>
      <c r="G15" s="31" t="str">
        <f aca="false">IFERROR(IF(OR($F15="",$E15=""),"",IF($C15="أقل أفضل",$E15/$F15,$F15/$E15)),"")</f>
        <v/>
      </c>
      <c r="H15" s="32" t="str">
        <f aca="false">IF($G15="","",MIN($G15,1.2)*$D15)</f>
        <v/>
      </c>
      <c r="I15" s="21"/>
    </row>
    <row r="16" customFormat="false" ht="19.5" hidden="false" customHeight="true" outlineLevel="0" collapsed="false">
      <c r="A16" s="28" t="n">
        <v>9</v>
      </c>
      <c r="B16" s="29" t="str">
        <f aca="false">'مؤشرات الأداء'!B12</f>
        <v>أيام التحصيل</v>
      </c>
      <c r="C16" s="29" t="str">
        <f aca="false">'مؤشرات الأداء'!F12</f>
        <v>أقل أفضل</v>
      </c>
      <c r="D16" s="30" t="n">
        <f aca="false">'مؤشرات الأداء'!G12</f>
        <v>0.05</v>
      </c>
      <c r="E16" s="29" t="n">
        <f aca="false">'مؤشرات الأداء'!H12</f>
        <v>0</v>
      </c>
      <c r="F16" s="21"/>
      <c r="G16" s="31" t="str">
        <f aca="false">IFERROR(IF(OR($F16="",$E16=""),"",IF($C16="أقل أفضل",$E16/$F16,$F16/$E16)),"")</f>
        <v/>
      </c>
      <c r="H16" s="32" t="str">
        <f aca="false">IF($G16="","",MIN($G16,1.2)*$D16)</f>
        <v/>
      </c>
      <c r="I16" s="21"/>
    </row>
    <row r="17" customFormat="false" ht="19.5" hidden="false" customHeight="true" outlineLevel="0" collapsed="false">
      <c r="A17" s="28" t="n">
        <v>10</v>
      </c>
      <c r="B17" s="29" t="str">
        <f aca="false">'مؤشرات الأداء'!B13</f>
        <v>ديون متأخرة فوق ٩٠ يوماً</v>
      </c>
      <c r="C17" s="29" t="str">
        <f aca="false">'مؤشرات الأداء'!F13</f>
        <v>أقل أفضل</v>
      </c>
      <c r="D17" s="30" t="n">
        <f aca="false">'مؤشرات الأداء'!G13</f>
        <v>0.03</v>
      </c>
      <c r="E17" s="29" t="n">
        <f aca="false">'مؤشرات الأداء'!H13</f>
        <v>0</v>
      </c>
      <c r="F17" s="21"/>
      <c r="G17" s="31" t="str">
        <f aca="false">IFERROR(IF(OR($F17="",$E17=""),"",IF($C17="أقل أفضل",$E17/$F17,$F17/$E17)),"")</f>
        <v/>
      </c>
      <c r="H17" s="32" t="str">
        <f aca="false">IF($G17="","",MIN($G17,1.2)*$D17)</f>
        <v/>
      </c>
      <c r="I17" s="21"/>
    </row>
    <row r="18" customFormat="false" ht="19.5" hidden="false" customHeight="true" outlineLevel="0" collapsed="false">
      <c r="A18" s="28" t="n">
        <v>11</v>
      </c>
      <c r="B18" s="29" t="str">
        <f aca="false">'مؤشرات الأداء'!B14</f>
        <v>معدل تجديد العقود</v>
      </c>
      <c r="C18" s="29" t="str">
        <f aca="false">'مؤشرات الأداء'!F14</f>
        <v>أعلى أفضل</v>
      </c>
      <c r="D18" s="30" t="n">
        <f aca="false">'مؤشرات الأداء'!G14</f>
        <v>0.02</v>
      </c>
      <c r="E18" s="29" t="n">
        <f aca="false">'مؤشرات الأداء'!H14</f>
        <v>0</v>
      </c>
      <c r="F18" s="21"/>
      <c r="G18" s="31" t="str">
        <f aca="false">IFERROR(IF(OR($F18="",$E18=""),"",IF($C18="أقل أفضل",$E18/$F18,$F18/$E18)),"")</f>
        <v/>
      </c>
      <c r="H18" s="32" t="str">
        <f aca="false">IF($G18="","",MIN($G18,1.2)*$D18)</f>
        <v/>
      </c>
      <c r="I18" s="21"/>
    </row>
    <row r="19" customFormat="false" ht="15" hidden="false" customHeight="false" outlineLevel="0" collapsed="false">
      <c r="A19" s="24"/>
      <c r="B19" s="24" t="s">
        <v>185</v>
      </c>
      <c r="C19" s="24"/>
      <c r="D19" s="25" t="n">
        <f aca="false">SUM(D8:D18)</f>
        <v>1</v>
      </c>
      <c r="E19" s="24"/>
      <c r="F19" s="24"/>
      <c r="G19" s="24"/>
      <c r="H19" s="33" t="n">
        <f aca="false">SUM(H8:H18)</f>
        <v>0</v>
      </c>
      <c r="I19" s="24"/>
    </row>
    <row r="21" customFormat="false" ht="21.75" hidden="false" customHeight="true" outlineLevel="0" collapsed="false">
      <c r="A21" s="3" t="s">
        <v>186</v>
      </c>
      <c r="B21" s="3"/>
      <c r="C21" s="3"/>
      <c r="D21" s="3"/>
      <c r="E21" s="3"/>
      <c r="F21" s="3"/>
      <c r="G21" s="3"/>
      <c r="H21" s="3"/>
      <c r="I21" s="3"/>
    </row>
    <row r="22" customFormat="false" ht="30" hidden="false" customHeight="true" outlineLevel="0" collapsed="false">
      <c r="A22" s="7" t="s">
        <v>19</v>
      </c>
      <c r="B22" s="7" t="s">
        <v>187</v>
      </c>
      <c r="C22" s="7" t="s">
        <v>188</v>
      </c>
      <c r="D22" s="7" t="s">
        <v>189</v>
      </c>
      <c r="E22" s="7"/>
      <c r="F22" s="7"/>
      <c r="G22" s="7"/>
      <c r="H22" s="7"/>
      <c r="I22" s="7"/>
    </row>
    <row r="23" customFormat="false" ht="19.5" hidden="false" customHeight="true" outlineLevel="0" collapsed="false">
      <c r="A23" s="8" t="n">
        <v>1</v>
      </c>
      <c r="B23" s="8" t="s">
        <v>190</v>
      </c>
      <c r="C23" s="34" t="s">
        <v>191</v>
      </c>
      <c r="D23" s="12" t="s">
        <v>192</v>
      </c>
      <c r="E23" s="11"/>
      <c r="F23" s="11"/>
      <c r="G23" s="11"/>
      <c r="H23" s="11"/>
      <c r="I23" s="11"/>
    </row>
    <row r="24" customFormat="false" ht="19.5" hidden="false" customHeight="true" outlineLevel="0" collapsed="false">
      <c r="A24" s="8" t="n">
        <v>2</v>
      </c>
      <c r="B24" s="8" t="s">
        <v>193</v>
      </c>
      <c r="C24" s="35" t="s">
        <v>194</v>
      </c>
      <c r="D24" s="12" t="s">
        <v>195</v>
      </c>
      <c r="E24" s="11"/>
      <c r="F24" s="11"/>
      <c r="G24" s="11"/>
      <c r="H24" s="11"/>
      <c r="I24" s="11"/>
    </row>
    <row r="25" customFormat="false" ht="19.5" hidden="false" customHeight="true" outlineLevel="0" collapsed="false">
      <c r="A25" s="8" t="n">
        <v>3</v>
      </c>
      <c r="B25" s="8" t="s">
        <v>196</v>
      </c>
      <c r="C25" s="35" t="s">
        <v>197</v>
      </c>
      <c r="D25" s="12" t="s">
        <v>198</v>
      </c>
      <c r="E25" s="11"/>
      <c r="F25" s="11"/>
      <c r="G25" s="11"/>
      <c r="H25" s="11"/>
      <c r="I25" s="11"/>
    </row>
    <row r="26" customFormat="false" ht="19.5" hidden="false" customHeight="true" outlineLevel="0" collapsed="false">
      <c r="A26" s="8" t="n">
        <v>4</v>
      </c>
      <c r="B26" s="8" t="s">
        <v>199</v>
      </c>
      <c r="C26" s="36" t="s">
        <v>200</v>
      </c>
      <c r="D26" s="12" t="s">
        <v>201</v>
      </c>
      <c r="E26" s="11"/>
      <c r="F26" s="11"/>
      <c r="G26" s="11"/>
      <c r="H26" s="11"/>
      <c r="I26" s="11"/>
    </row>
    <row r="28" customFormat="false" ht="15" hidden="false" customHeight="false" outlineLevel="0" collapsed="false">
      <c r="B28" s="16" t="s">
        <v>202</v>
      </c>
    </row>
    <row r="29" customFormat="false" ht="15.75" hidden="false" customHeight="true" outlineLevel="0" collapsed="false">
      <c r="C29" s="17" t="s">
        <v>203</v>
      </c>
      <c r="D29" s="17"/>
      <c r="E29" s="17"/>
      <c r="F29" s="17"/>
      <c r="G29" s="17"/>
      <c r="H29" s="17"/>
      <c r="I29" s="17"/>
    </row>
    <row r="30" customFormat="false" ht="15.75" hidden="false" customHeight="true" outlineLevel="0" collapsed="false">
      <c r="C30" s="17" t="s">
        <v>204</v>
      </c>
      <c r="D30" s="17"/>
      <c r="E30" s="17"/>
      <c r="F30" s="17"/>
      <c r="G30" s="17"/>
      <c r="H30" s="17"/>
      <c r="I30" s="17"/>
    </row>
    <row r="31" customFormat="false" ht="15.75" hidden="false" customHeight="true" outlineLevel="0" collapsed="false">
      <c r="C31" s="17" t="s">
        <v>205</v>
      </c>
      <c r="D31" s="17"/>
      <c r="E31" s="17"/>
      <c r="F31" s="17"/>
      <c r="G31" s="17"/>
      <c r="H31" s="17"/>
      <c r="I31" s="17"/>
    </row>
  </sheetData>
  <mergeCells count="8">
    <mergeCell ref="A1:I1"/>
    <mergeCell ref="A2:I2"/>
    <mergeCell ref="A3:I3"/>
    <mergeCell ref="A6:I6"/>
    <mergeCell ref="A21:I21"/>
    <mergeCell ref="C29:I29"/>
    <mergeCell ref="C30:I30"/>
    <mergeCell ref="C31:I31"/>
  </mergeCells>
  <conditionalFormatting sqref="G8:G18">
    <cfRule type="dataBar" priority="2">
      <dataBar showValue="1" minLength="10" maxLength="90">
        <cfvo type="num" val="0"/>
        <cfvo type="num" val="1.2"/>
        <color rgb="FF5B9BD5"/>
      </dataBar>
      <extLst>
        <ext xmlns:x14="http://schemas.microsoft.com/office/spreadsheetml/2009/9/main" uri="{B025F937-C7B1-47D3-B67F-A62EFF666E3E}">
          <x14:id>{CD80F6C6-7CBF-4AA8-8E39-449A23787D26}</x14:id>
        </ext>
      </extLst>
    </cfRule>
  </conditionalFormatting>
  <conditionalFormatting sqref="H19">
    <cfRule type="cellIs" priority="3" operator="greaterThanOrEqual" aboveAverage="0" equalAverage="0" bottom="0" percent="0" rank="0" text="" dxfId="1">
      <formula>1</formula>
    </cfRule>
    <cfRule type="cellIs" priority="4" operator="lessThan" aboveAverage="0" equalAverage="0" bottom="0" percent="0" rank="0" text="" dxfId="0">
      <formula>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CD80F6C6-7CBF-4AA8-8E39-449A23787D26}">
            <x14:dataBar minLength="10" maxLength="90" axisPosition="none" gradient="true">
              <x14:cfvo type="num">
                <xm:f>0</xm:f>
              </x14:cfvo>
              <x14:cfvo type="num">
                <xm:f>1.2</xm:f>
              </x14:cfvo>
              <x14:negativeFillColor rgb="FF5B9BD5"/>
              <x14:axisColor rgb="FF000000"/>
            </x14:dataBar>
          </x14:cfRule>
          <xm:sqref>G8:G18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2026-08-20T08:50:32Z</dcterms:created>
  <dc:creator>openpyxl</dc:creator>
  <dc:description/>
  <dc:language>en-US</dc:language>
  <cp:lastModifiedBy/>
  <dcterms:modified xsi:type="dcterms:W3CDTF">2026-08-20T08:50:32Z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