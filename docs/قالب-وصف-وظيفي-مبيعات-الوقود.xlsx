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وصف الوظيفي" sheetId="1" state="visible" r:id="rId3"/>
    <sheet name="مؤشرات الأداء" sheetId="2" state="visible" r:id="rId4"/>
    <sheet name="نموذج التقييم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<sst xmlns="http://schemas.openxmlformats.org/spreadsheetml/2006/main" count="254" uniqueCount="208">
  <si>
    <t xml:space="preserve">الوصف الوظيفي — أخصائي مبيعات الوقود</t>
  </si>
  <si>
    <t xml:space="preserve">قالب عام قابل للتكييف على أي منطقة أو قناة — الخانات الملوّنة تُعبَّأ</t>
  </si>
  <si>
    <t xml:space="preserve">① بيانات الوظيفة</t>
  </si>
  <si>
    <t xml:space="preserve">المسمى الوظيفي</t>
  </si>
  <si>
    <t xml:space="preserve">أخصائي مبيعات وقود</t>
  </si>
  <si>
    <t xml:space="preserve">الإدارة</t>
  </si>
  <si>
    <t xml:space="preserve">الإدارة التجارية</t>
  </si>
  <si>
    <t xml:space="preserve">القسم</t>
  </si>
  <si>
    <t xml:space="preserve">مبيعات الوقود — قناة الشركات</t>
  </si>
  <si>
    <t xml:space="preserve">يرفع إلى</t>
  </si>
  <si>
    <t xml:space="preserve">مدير مبيعات الوقود</t>
  </si>
  <si>
    <t xml:space="preserve">الموقع / النطاق</t>
  </si>
  <si>
    <t xml:space="preserve">الدرجة الوظيفية</t>
  </si>
  <si>
    <t xml:space="preserve">عدد المرؤوسين</t>
  </si>
  <si>
    <t xml:space="preserve">لا يوجد</t>
  </si>
  <si>
    <t xml:space="preserve">تاريخ الاعتماد</t>
  </si>
  <si>
    <t xml:space="preserve">② الغرض من الوظيفة</t>
  </si>
  <si>
    <t xml:space="preserve">تنمية حجم مبيعات الوقود للعملاء من المنشآت وأصحاب الأساطيل داخل النطاق المحدد،</t>
  </si>
  <si>
    <t xml:space="preserve">عبر التعاقد المباشر وتثبيت الحجم القائم بشرط نمو موثّق فوق خط الأساس،</t>
  </si>
  <si>
    <t xml:space="preserve">بما يحقق نمواً صافياً في الهامش لا مجرد تحويل حجم قائم إلى عقود مخفَّضة.</t>
  </si>
  <si>
    <t xml:space="preserve">③ المسؤوليات الرئيسية</t>
  </si>
  <si>
    <t xml:space="preserve">#</t>
  </si>
  <si>
    <t xml:space="preserve">المسؤولية</t>
  </si>
  <si>
    <t xml:space="preserve">الوصف</t>
  </si>
  <si>
    <t xml:space="preserve">المخرج المتوقع</t>
  </si>
  <si>
    <t xml:space="preserve">الدورية</t>
  </si>
  <si>
    <t xml:space="preserve">حصر السوق</t>
  </si>
  <si>
    <t xml:space="preserve">بناء قاعدة الأساطيل والمنشآت داخل النطاق وتصنيفها بالحجم والقطاع</t>
  </si>
  <si>
    <t xml:space="preserve">قاعدة عملاء محدَّثة بالحجم التقديري لكل أسطول</t>
  </si>
  <si>
    <t xml:space="preserve">شهرية</t>
  </si>
  <si>
    <t xml:space="preserve">الاستهداف</t>
  </si>
  <si>
    <t xml:space="preserve">ترتيب العملاء بالأولوية: من لا يشتري منّا أولاً ثم من يشتري بلا عقد</t>
  </si>
  <si>
    <t xml:space="preserve">قائمة أولويات ربعية معتمدة من المدير</t>
  </si>
  <si>
    <t xml:space="preserve">ربعية</t>
  </si>
  <si>
    <t xml:space="preserve">الزيارات الميدانية</t>
  </si>
  <si>
    <t xml:space="preserve">زيارة مقرات الأساطيل ومقابلة متخذ القرار لا موظف التشغيل</t>
  </si>
  <si>
    <t xml:space="preserve">تقرير زيارة لكل عميل يتضمن الحجم والمورّد الحالي</t>
  </si>
  <si>
    <t xml:space="preserve">أسبوعية</t>
  </si>
  <si>
    <t xml:space="preserve">بناء العرض</t>
  </si>
  <si>
    <t xml:space="preserve">إعداد عرض سعري يوازن بين الخصم الممنوح والتزام الحجم</t>
  </si>
  <si>
    <t xml:space="preserve">عرض موقّع يتضمن حجماً ملتزماً وخط أساس مرجعي</t>
  </si>
  <si>
    <t xml:space="preserve">لكل فرصة</t>
  </si>
  <si>
    <t xml:space="preserve">التعاقد</t>
  </si>
  <si>
    <t xml:space="preserve">إتمام العقد بالتنسيق مع الشؤون القانونية والائتمان</t>
  </si>
  <si>
    <t xml:space="preserve">عقد نافذ بحدود ائتمان ومدة وآلية فوترة</t>
  </si>
  <si>
    <t xml:space="preserve">التفعيل</t>
  </si>
  <si>
    <t xml:space="preserve">تسليم العميل لفريق التشغيل وضمان أول تعبئة خلال مدة محددة</t>
  </si>
  <si>
    <t xml:space="preserve">أول معاملة مسجّلة على العقد</t>
  </si>
  <si>
    <t xml:space="preserve">لكل عقد</t>
  </si>
  <si>
    <t xml:space="preserve">المتابعة والتنمية</t>
  </si>
  <si>
    <t xml:space="preserve">مراقبة حجم كل عقد مقابل التزامه ومعالجة الانحراف</t>
  </si>
  <si>
    <t xml:space="preserve">تقرير انحراف شهري لكل عقد وخطة معالجة</t>
  </si>
  <si>
    <t xml:space="preserve">التحصيل</t>
  </si>
  <si>
    <t xml:space="preserve">متابعة الفوترة والتحصيل ضمن المدة الائتمانية المعتمدة</t>
  </si>
  <si>
    <t xml:space="preserve">عمر ديون ضمن الحد المعتمد</t>
  </si>
  <si>
    <t xml:space="preserve">رصد المنافسة</t>
  </si>
  <si>
    <t xml:space="preserve">توثيق عروض المنافسين وأسعارهم وشروطهم داخل النطاق</t>
  </si>
  <si>
    <t xml:space="preserve">تقرير منافسة ربعي</t>
  </si>
  <si>
    <t xml:space="preserve">④ حدود الصلاحية</t>
  </si>
  <si>
    <t xml:space="preserve">البند</t>
  </si>
  <si>
    <t xml:space="preserve">الحد</t>
  </si>
  <si>
    <t xml:space="preserve">من يعتمد ما يتجاوزه</t>
  </si>
  <si>
    <t xml:space="preserve">الخصم الممنوح</t>
  </si>
  <si>
    <t xml:space="preserve">حتى الحد المعتمد لكل لتر</t>
  </si>
  <si>
    <t xml:space="preserve">مدة الائتمان</t>
  </si>
  <si>
    <t xml:space="preserve">حتى المدة المعتمدة</t>
  </si>
  <si>
    <t xml:space="preserve">الإدارة المالية</t>
  </si>
  <si>
    <t xml:space="preserve">سقف الائتمان لكل عميل</t>
  </si>
  <si>
    <t xml:space="preserve">حسب تصنيف العميل الائتماني</t>
  </si>
  <si>
    <t xml:space="preserve">لجنة الائتمان</t>
  </si>
  <si>
    <t xml:space="preserve">مدة العقد</t>
  </si>
  <si>
    <t xml:space="preserve">سنة قابلة للتجديد</t>
  </si>
  <si>
    <t xml:space="preserve">التسعير دون التكلفة</t>
  </si>
  <si>
    <t xml:space="preserve">غير مصرّح به إطلاقاً</t>
  </si>
  <si>
    <t xml:space="preserve">لا يُعتمد</t>
  </si>
  <si>
    <t xml:space="preserve">⑤ المؤهلات والجدارات</t>
  </si>
  <si>
    <t xml:space="preserve">الحد الأدنى</t>
  </si>
  <si>
    <t xml:space="preserve">المفضَّل</t>
  </si>
  <si>
    <t xml:space="preserve">المؤهل العلمي</t>
  </si>
  <si>
    <t xml:space="preserve">بكالوريوس إدارة أعمال أو تسويق أو ما يعادله</t>
  </si>
  <si>
    <t xml:space="preserve">دبلوم مبيعات أو تمويل</t>
  </si>
  <si>
    <t xml:space="preserve">سنوات الخبرة</t>
  </si>
  <si>
    <t xml:space="preserve">٣ سنوات في مبيعات الشركات</t>
  </si>
  <si>
    <t xml:space="preserve">خبرة في الوقود أو النقل أو اللوجستيات</t>
  </si>
  <si>
    <t xml:space="preserve">المعرفة الفنية</t>
  </si>
  <si>
    <t xml:space="preserve">احتساب الهامش لكل لتر وقراءة قائمة أسعار</t>
  </si>
  <si>
    <t xml:space="preserve">الإلمام بمنصات إدارة الأساطيل</t>
  </si>
  <si>
    <t xml:space="preserve">الأدوات</t>
  </si>
  <si>
    <t xml:space="preserve">إكسل ونظام إدارة علاقات العملاء</t>
  </si>
  <si>
    <t xml:space="preserve">تحليل بيانات المبيعات</t>
  </si>
  <si>
    <t xml:space="preserve">اللغة</t>
  </si>
  <si>
    <t xml:space="preserve">العربية بطلاقة</t>
  </si>
  <si>
    <t xml:space="preserve">الإنجليزية للتعامل مع الأساطيل الأجنبية</t>
  </si>
  <si>
    <t xml:space="preserve">الرخصة</t>
  </si>
  <si>
    <t xml:space="preserve">رخصة قيادة سارية</t>
  </si>
  <si>
    <t xml:space="preserve">—</t>
  </si>
  <si>
    <t xml:space="preserve">الجدارات السلوكية</t>
  </si>
  <si>
    <t xml:space="preserve">•  التفاوض: يوازن بين الخصم والتزام الحجم ولا يشتري العقد بالسعر</t>
  </si>
  <si>
    <t xml:space="preserve">•  الانضباط في المتابعة: العقد يبدأ عند التوقيع لا ينتهي عنده</t>
  </si>
  <si>
    <t xml:space="preserve">•  قراءة الرقم: يعرف أثر كل هللة خصم على هامش الشركة قبل أن يمنحها</t>
  </si>
  <si>
    <t xml:space="preserve">•  الاستقلالية الميدانية: يدير جدول زياراته بلا إشراف يومي</t>
  </si>
  <si>
    <t xml:space="preserve">ما يجعل شاغل الوظيفة فاشلاً ولو بلغ الحجم</t>
  </si>
  <si>
    <t xml:space="preserve">•  تحويل حجم قائم إلى عقود مخفَّضة — الشركة تخسر على كل لتر كانت تبيعه أصلاً</t>
  </si>
  <si>
    <t xml:space="preserve">•  بيع الخصم بلا التزام حجم مكتوب وخط أساس مرجعي</t>
  </si>
  <si>
    <t xml:space="preserve">•  ترك العقد بلا متابعة بعد التوقيع فينحرف الحجم دون معالجة</t>
  </si>
  <si>
    <t xml:space="preserve">•  تجاوز حدود الائتمان لإغلاق صفقة</t>
  </si>
  <si>
    <t xml:space="preserve">مؤشرات الأداء — أخصائي مبيعات الوقود</t>
  </si>
  <si>
    <t xml:space="preserve">ثلاث فئات: نتيجة · حركة · حماية — والأوزان تُعدَّل حسب مرحلة السوق</t>
  </si>
  <si>
    <t xml:space="preserve">المؤشر</t>
  </si>
  <si>
    <t xml:space="preserve">التعريف</t>
  </si>
  <si>
    <t xml:space="preserve">طريقة الحساب</t>
  </si>
  <si>
    <t xml:space="preserve">المصدر</t>
  </si>
  <si>
    <t xml:space="preserve">الاتجاه</t>
  </si>
  <si>
    <t xml:space="preserve">الوزن</t>
  </si>
  <si>
    <t xml:space="preserve">المستهدف</t>
  </si>
  <si>
    <t xml:space="preserve">لماذا هذا المؤشر</t>
  </si>
  <si>
    <t xml:space="preserve">الحجم المتعاقَد</t>
  </si>
  <si>
    <t xml:space="preserve">إجمالي اللترات المغطاة بعقود نافذة</t>
  </si>
  <si>
    <t xml:space="preserve">مجموع لترات العقود النشطة خلال الفترة</t>
  </si>
  <si>
    <t xml:space="preserve">نظام المبيعات</t>
  </si>
  <si>
    <t xml:space="preserve">أعلى أفضل</t>
  </si>
  <si>
    <t xml:space="preserve">الحجم القائم يُقاس ولا يُكافأ وحده</t>
  </si>
  <si>
    <t xml:space="preserve">الحجم الصافي المضاف</t>
  </si>
  <si>
    <t xml:space="preserve">اللترات فوق خط أساس العميل قبل التعاقد</t>
  </si>
  <si>
    <t xml:space="preserve">حجم الفترة ناقص خط الأساس المرجعي</t>
  </si>
  <si>
    <t xml:space="preserve">هذا وحده ما يخلق قيمة — الباقي إعادة تسمية</t>
  </si>
  <si>
    <t xml:space="preserve">هامش المساهمة المتحقق</t>
  </si>
  <si>
    <t xml:space="preserve">الهامش بعد الخصم الممنوح</t>
  </si>
  <si>
    <t xml:space="preserve">الحجم × (هامش اللتر ناقص الخصم)</t>
  </si>
  <si>
    <t xml:space="preserve">قائمة الدخل</t>
  </si>
  <si>
    <t xml:space="preserve">الحجم بلا هامش قد يكون خسارة</t>
  </si>
  <si>
    <t xml:space="preserve">عملاء جدد لم يشتروا منّا</t>
  </si>
  <si>
    <t xml:space="preserve">عقود مع أساطيل لم تكن تعبّئ لدينا</t>
  </si>
  <si>
    <t xml:space="preserve">عدد العقود التي خط أساسها صفر</t>
  </si>
  <si>
    <t xml:space="preserve">كل لتر منها ربح صافٍ بلا خصم على حجم قائم</t>
  </si>
  <si>
    <t xml:space="preserve">زيارات ميدانية مؤهَّلة</t>
  </si>
  <si>
    <t xml:space="preserve">زيارة لمتخذ قرار موثّقة بتقرير</t>
  </si>
  <si>
    <t xml:space="preserve">عدد الزيارات المسجّلة</t>
  </si>
  <si>
    <t xml:space="preserve">تقارير الزيارات</t>
  </si>
  <si>
    <t xml:space="preserve">المؤشر المبكر الوحيد الذي يسبق النتيجة بأشهر</t>
  </si>
  <si>
    <t xml:space="preserve">عروض مقدَّمة</t>
  </si>
  <si>
    <t xml:space="preserve">عرض سعري رسمي مسلَّم للعميل</t>
  </si>
  <si>
    <t xml:space="preserve">عدد العروض الصادرة</t>
  </si>
  <si>
    <t xml:space="preserve">يكشف اختناق القمع: زيارات بلا عروض تعني ضعف تأهيل</t>
  </si>
  <si>
    <t xml:space="preserve">معدل التحويل</t>
  </si>
  <si>
    <t xml:space="preserve">نسبة العروض التي تحولت إلى عقود</t>
  </si>
  <si>
    <t xml:space="preserve">عقود موقّعة ÷ عروض مقدَّمة</t>
  </si>
  <si>
    <t xml:space="preserve">يفصل جودة الاستهداف عن كثرة النشاط</t>
  </si>
  <si>
    <t xml:space="preserve">متوسط الخصم الممنوح</t>
  </si>
  <si>
    <t xml:space="preserve">الخصم الفعلي لكل لتر متعاقَد</t>
  </si>
  <si>
    <t xml:space="preserve">مجموع الخصم ÷ الحجم المتعاقَد</t>
  </si>
  <si>
    <t xml:space="preserve">أقل أفضل</t>
  </si>
  <si>
    <t xml:space="preserve">يمنع شراء الحجم بالسعر</t>
  </si>
  <si>
    <t xml:space="preserve">أيام التحصيل</t>
  </si>
  <si>
    <t xml:space="preserve">متوسط عمر الذمم المدينة</t>
  </si>
  <si>
    <t xml:space="preserve">الذمم × أيام الفترة ÷ المبيعات الآجلة</t>
  </si>
  <si>
    <t xml:space="preserve">البيع لا يكتمل إلا بالتحصيل</t>
  </si>
  <si>
    <t xml:space="preserve">ديون متأخرة فوق ٩٠ يوماً</t>
  </si>
  <si>
    <t xml:space="preserve">نسبة الذمم المتجاوزة للمدة</t>
  </si>
  <si>
    <t xml:space="preserve">ذمم +٩٠ يوم ÷ إجمالي الذمم</t>
  </si>
  <si>
    <t xml:space="preserve">مؤشر مبكر على تساهل في الائتمان</t>
  </si>
  <si>
    <t xml:space="preserve">معدل تجديد العقود</t>
  </si>
  <si>
    <t xml:space="preserve">نسبة العقود المجدَّدة عند انتهائها</t>
  </si>
  <si>
    <t xml:space="preserve">عقود مجدَّدة ÷ عقود مستحقة التجديد</t>
  </si>
  <si>
    <t xml:space="preserve">يكشف إن كان البيع لمرة واحدة أم علاقة</t>
  </si>
  <si>
    <t xml:space="preserve">مجموع الأوزان</t>
  </si>
  <si>
    <t xml:space="preserve">يجب أن يساوي ١٠٠٪ — يتلوّن بالأحمر إن اختلّ</t>
  </si>
  <si>
    <t xml:space="preserve">قواعد ضبط المؤشرات</t>
  </si>
  <si>
    <t xml:space="preserve">•  «الحجم الصافي المضاف» أعلى وزن — لأنه وحده يفرّق بين النمو وإعادة التسمية</t>
  </si>
  <si>
    <t xml:space="preserve">•  مؤشرات الحماية لا تُكافأ عند تحققها بل تُخصم عند اختلالها</t>
  </si>
  <si>
    <t xml:space="preserve">•  كل مستهدف يُشتق من خط أساس موثّق — لا من تقدير</t>
  </si>
  <si>
    <t xml:space="preserve">•  لا يُعتمد المؤشر ما لم يكن مصدره نظاماً لا تقريراً يدوياً</t>
  </si>
  <si>
    <t xml:space="preserve">الفخ الأساسي في مبيعات الوقود للشركات</t>
  </si>
  <si>
    <t xml:space="preserve">•  منح خصم على أسطول يشتري منّا أصلاً يعني خسارة على كل لتر كان يشتريه</t>
  </si>
  <si>
    <t xml:space="preserve">•  لذلك يشترط العقد نمواً فوق خط الأساس يغطي الخصم على الحجم القائم</t>
  </si>
  <si>
    <t xml:space="preserve">•  احسب نقطة التعادل: نسبة النمو المطلوبة = الخصم ÷ (هامش اللتر ناقص الخصم)</t>
  </si>
  <si>
    <t xml:space="preserve">نموذج التقييم الربعي</t>
  </si>
  <si>
    <t xml:space="preserve">عبّئ الفعلي فقط — النسبة والنقاط تُحتسب</t>
  </si>
  <si>
    <t xml:space="preserve">① بيانات التقييم</t>
  </si>
  <si>
    <t xml:space="preserve">اسم الموظف</t>
  </si>
  <si>
    <t xml:space="preserve">الفترة</t>
  </si>
  <si>
    <t xml:space="preserve">المقيِّم</t>
  </si>
  <si>
    <t xml:space="preserve">② الاحتساب</t>
  </si>
  <si>
    <t xml:space="preserve">الفعلي</t>
  </si>
  <si>
    <t xml:space="preserve">نسبة الإنجاز</t>
  </si>
  <si>
    <t xml:space="preserve">النقاط</t>
  </si>
  <si>
    <t xml:space="preserve">ملاحظة</t>
  </si>
  <si>
    <t xml:space="preserve">النتيجة النهائية</t>
  </si>
  <si>
    <t xml:space="preserve">③ سُلّم التقدير</t>
  </si>
  <si>
    <t xml:space="preserve">النتيجة</t>
  </si>
  <si>
    <t xml:space="preserve">التقدير</t>
  </si>
  <si>
    <t xml:space="preserve">الأثر</t>
  </si>
  <si>
    <t xml:space="preserve">١٠٠٪ فأعلى</t>
  </si>
  <si>
    <t xml:space="preserve">متجاوز</t>
  </si>
  <si>
    <t xml:space="preserve">يستحق الحافز الكامل ويُرشَّح للتطوير</t>
  </si>
  <si>
    <t xml:space="preserve">٨٥٪ – ٩٩٪</t>
  </si>
  <si>
    <t xml:space="preserve">مستوفٍ</t>
  </si>
  <si>
    <t xml:space="preserve">يستحق الحافز وفق النسبة المحققة</t>
  </si>
  <si>
    <t xml:space="preserve">٧٠٪ – ٨٤٪</t>
  </si>
  <si>
    <t xml:space="preserve">دون المستهدف</t>
  </si>
  <si>
    <t xml:space="preserve">خطة تحسين مكتوبة لربع واحد</t>
  </si>
  <si>
    <t xml:space="preserve">أقل من ٧٠٪</t>
  </si>
  <si>
    <t xml:space="preserve">غير مستوفٍ</t>
  </si>
  <si>
    <t xml:space="preserve">مراجعة الاستمرار في الدور</t>
  </si>
  <si>
    <t xml:space="preserve">ملاحظات على الاحتساب</t>
  </si>
  <si>
    <t xml:space="preserve">•  سقف الإنجاز ١٢٠٪ لكل مؤشر — يمنع أن يغطي مؤشر واحد استثنائي فشل البقية</t>
  </si>
  <si>
    <t xml:space="preserve">•  مؤشرات «أقل أفضل» تُحتسب بالمقلوب: المستهدف ÷ الفعلي</t>
  </si>
  <si>
    <t xml:space="preserve">•  لا تُصرف حوافز على نتيجة دون ٨٥٪ مهما بلغ مؤشر منفرد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</si>
</sst>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55565A"/>
      <name val="DIN Next Arabic"/>
      <family val="0"/>
      <charset val="1"/>
    </font>
    <font>
      <sz val="10"/>
      <color rgb="FF6E6A64"/>
      <name val="DIN Next Arabic"/>
      <family val="0"/>
      <charset val="1"/>
    </font>
    <font>
      <b val="true"/>
      <sz val="12"/>
      <color rgb="FFF5831F"/>
      <name val="DIN Next Arabic"/>
      <family val="0"/>
      <charset val="1"/>
    </font>
    <font>
      <b val="true"/>
      <sz val="10"/>
      <color rgb="FF3D3D3D"/>
      <name val="DIN Next Arabic"/>
      <family val="0"/>
      <charset val="1"/>
    </font>
    <font>
      <sz val="10"/>
      <color rgb="FF3E6E8E"/>
      <name val="DIN Next Arabic"/>
      <family val="0"/>
      <charset val="1"/>
    </font>
    <font>
      <sz val="11"/>
      <color rgb="FF3D3D3D"/>
      <name val="DIN Next Arabic"/>
      <family val="0"/>
      <charset val="1"/>
    </font>
    <font>
      <b val="true"/>
      <sz val="10"/>
      <color rgb="FFFFFFFF"/>
      <name val="DIN Next Arabic"/>
      <family val="0"/>
      <charset val="1"/>
    </font>
    <font>
      <sz val="10"/>
      <color rgb="FF3D3D3D"/>
      <name val="DIN Next Arabic"/>
      <family val="0"/>
      <charset val="1"/>
    </font>
    <font>
      <b val="true"/>
      <sz val="10"/>
      <color rgb="FF55565A"/>
      <name val="DIN Next Arabic"/>
      <family val="0"/>
      <charset val="1"/>
    </font>
    <font>
      <sz val="10"/>
      <name val="DIN Next Arabic"/>
      <family val="0"/>
      <charset val="1"/>
    </font>
    <font>
      <b val="true"/>
      <sz val="10"/>
      <color rgb="FFC00000"/>
      <name val="DIN Next Arabic"/>
      <family val="0"/>
      <charset val="1"/>
    </font>
    <font>
      <sz val="9"/>
      <color rgb="FF9B968E"/>
      <name val="DIN Next Arabic"/>
      <family val="0"/>
      <charset val="1"/>
    </font>
    <font>
      <sz val="10"/>
      <color rgb="FF2E8B6F"/>
      <name val="DIN Next Arabic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5831F"/>
        <bgColor rgb="FFFF6600"/>
      </patternFill>
    </fill>
    <fill>
      <patternFill patternType="solid">
        <fgColor rgb="FFFBEEE0"/>
        <bgColor rgb="FFF5F2ED"/>
      </patternFill>
    </fill>
    <fill>
      <patternFill patternType="solid">
        <fgColor rgb="FFFCE7C8"/>
        <bgColor rgb="FFFBEEE0"/>
      </patternFill>
    </fill>
    <fill>
      <patternFill patternType="solid">
        <fgColor rgb="FF55565A"/>
        <bgColor rgb="FF6E6A64"/>
      </patternFill>
    </fill>
    <fill>
      <patternFill patternType="solid">
        <fgColor rgb="FFF2DAD4"/>
        <bgColor rgb="FFE3DCD1"/>
      </patternFill>
    </fill>
    <fill>
      <patternFill patternType="solid">
        <fgColor rgb="FFD6E9E1"/>
        <bgColor rgb="FFEDE7DE"/>
      </patternFill>
    </fill>
    <fill>
      <patternFill patternType="solid">
        <fgColor rgb="FFEDE7DE"/>
        <bgColor rgb="FFFBEEE0"/>
      </patternFill>
    </fill>
    <fill>
      <patternFill patternType="solid">
        <fgColor rgb="FFF5F2ED"/>
        <bgColor rgb="FFFBEEE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E3DCD1"/>
      </left>
      <right/>
      <top style="thin">
        <color rgb="FFE3DCD1"/>
      </top>
      <bottom style="thin">
        <color rgb="FFE3DCD1"/>
      </bottom>
      <diagonal/>
    </border>
    <border diagonalUp="false" diagonalDown="false">
      <left style="thin">
        <color rgb="FFE3DCD1"/>
      </left>
      <right style="thin">
        <color rgb="FFE3DCD1"/>
      </right>
      <top style="thin">
        <color rgb="FFE3DCD1"/>
      </top>
      <bottom style="thin">
        <color rgb="FFE3DC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4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6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7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8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8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7" fillId="8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6" fillId="9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6" fillId="9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5" fontId="11" fillId="9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1" fillId="9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7" fillId="8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DIN Next Arabic"/>
        <charset val="1"/>
        <family val="0"/>
        <b val="1"/>
        <color rgb="FF9A3E2C"/>
        <sz val="10"/>
      </font>
      <fill>
        <patternFill>
          <bgColor rgb="FFF2DAD4"/>
        </patternFill>
      </fill>
    </dxf>
    <dxf>
      <font>
        <name val="DIN Next Arabic"/>
        <charset val="1"/>
        <family val="0"/>
        <b val="1"/>
        <color rgb="FF1F5E4A"/>
        <sz val="10"/>
      </font>
      <fill>
        <patternFill>
          <bgColor rgb="FFD6E9E1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E4A"/>
      <rgbColor rgb="FFC0C0C0"/>
      <rgbColor rgb="FF808080"/>
      <rgbColor rgb="FF9999FF"/>
      <rgbColor rgb="FF993366"/>
      <rgbColor rgb="FFFBEEE0"/>
      <rgbColor rgb="FFF5F2ED"/>
      <rgbColor rgb="FF660066"/>
      <rgbColor rgb="FFFF8080"/>
      <rgbColor rgb="FF0066CC"/>
      <rgbColor rgb="FFE3DCD1"/>
      <rgbColor rgb="FF000080"/>
      <rgbColor rgb="FFFF00FF"/>
      <rgbColor rgb="FFFFFF00"/>
      <rgbColor rgb="FF00FFFF"/>
      <rgbColor rgb="FF800080"/>
      <rgbColor rgb="FF800000"/>
      <rgbColor rgb="FF3E6E8E"/>
      <rgbColor rgb="FF0000FF"/>
      <rgbColor rgb="FF00CCFF"/>
      <rgbColor rgb="FFEDE7DE"/>
      <rgbColor rgb="FFD6E9E1"/>
      <rgbColor rgb="FFFCE7C8"/>
      <rgbColor rgb="FF99CCFF"/>
      <rgbColor rgb="FFFF99CC"/>
      <rgbColor rgb="FFCC99FF"/>
      <rgbColor rgb="FFF2DAD4"/>
      <rgbColor rgb="FF3366FF"/>
      <rgbColor rgb="FF33CCCC"/>
      <rgbColor rgb="FF99CC00"/>
      <rgbColor rgb="FFFFCC00"/>
      <rgbColor rgb="FFF5831F"/>
      <rgbColor rgb="FFFF6600"/>
      <rgbColor rgb="FF6E6A64"/>
      <rgbColor rgb="FF9B968E"/>
      <rgbColor rgb="FF003366"/>
      <rgbColor rgb="FF2E8B6F"/>
      <rgbColor rgb="FF003300"/>
      <rgbColor rgb="FF333300"/>
      <rgbColor rgb="FF9A3E2C"/>
      <rgbColor rgb="FF993366"/>
      <rgbColor rgb="FF55565A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9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4" min="3" style="0" width="34"/>
    <col collapsed="false" customWidth="true" hidden="false" outlineLevel="0" max="9" min="5" style="0" width="12"/>
    <col collapsed="false" customWidth="true" hidden="false" outlineLevel="0" max="10" min="10" style="0" width="2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</row>
    <row r="4" customFormat="false" ht="21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5" hidden="false" customHeight="false" outlineLevel="0" collapsed="false">
      <c r="B5" s="5" t="s">
        <v>3</v>
      </c>
      <c r="C5" s="6" t="s">
        <v>4</v>
      </c>
    </row>
    <row r="6" customFormat="false" ht="15" hidden="false" customHeight="false" outlineLevel="0" collapsed="false">
      <c r="B6" s="5" t="s">
        <v>5</v>
      </c>
      <c r="C6" s="6" t="s">
        <v>6</v>
      </c>
    </row>
    <row r="7" customFormat="false" ht="15" hidden="false" customHeight="false" outlineLevel="0" collapsed="false">
      <c r="B7" s="5" t="s">
        <v>7</v>
      </c>
      <c r="C7" s="6" t="s">
        <v>8</v>
      </c>
    </row>
    <row r="8" customFormat="false" ht="15" hidden="false" customHeight="false" outlineLevel="0" collapsed="false">
      <c r="B8" s="5" t="s">
        <v>9</v>
      </c>
      <c r="C8" s="6" t="s">
        <v>10</v>
      </c>
    </row>
    <row r="9" customFormat="false" ht="15" hidden="false" customHeight="false" outlineLevel="0" collapsed="false">
      <c r="B9" s="5" t="s">
        <v>11</v>
      </c>
      <c r="C9" s="6"/>
    </row>
    <row r="10" customFormat="false" ht="15" hidden="false" customHeight="false" outlineLevel="0" collapsed="false">
      <c r="B10" s="5" t="s">
        <v>12</v>
      </c>
      <c r="C10" s="6"/>
    </row>
    <row r="11" customFormat="false" ht="15" hidden="false" customHeight="false" outlineLevel="0" collapsed="false">
      <c r="B11" s="5" t="s">
        <v>13</v>
      </c>
      <c r="C11" s="6" t="s">
        <v>14</v>
      </c>
    </row>
    <row r="12" customFormat="false" ht="15" hidden="false" customHeight="false" outlineLevel="0" collapsed="false">
      <c r="B12" s="5" t="s">
        <v>15</v>
      </c>
      <c r="C12" s="6"/>
    </row>
    <row r="14" customFormat="false" ht="21.75" hidden="false" customHeight="true" outlineLevel="0" collapsed="false">
      <c r="A14" s="4" t="s">
        <v>16</v>
      </c>
      <c r="B14" s="4"/>
      <c r="C14" s="4"/>
      <c r="D14" s="4"/>
      <c r="E14" s="4"/>
      <c r="F14" s="4"/>
      <c r="G14" s="4"/>
      <c r="H14" s="4"/>
      <c r="I14" s="4"/>
      <c r="J14" s="4"/>
    </row>
    <row r="15" customFormat="false" ht="18" hidden="false" customHeight="true" outlineLevel="0" collapsed="false">
      <c r="B15" s="7" t="s">
        <v>17</v>
      </c>
      <c r="C15" s="7"/>
      <c r="D15" s="7"/>
      <c r="E15" s="7"/>
      <c r="F15" s="7"/>
      <c r="G15" s="7"/>
      <c r="H15" s="7"/>
      <c r="I15" s="7"/>
      <c r="J15" s="7"/>
    </row>
    <row r="16" customFormat="false" ht="18" hidden="false" customHeight="true" outlineLevel="0" collapsed="false">
      <c r="B16" s="7" t="s">
        <v>18</v>
      </c>
      <c r="C16" s="7"/>
      <c r="D16" s="7"/>
      <c r="E16" s="7"/>
      <c r="F16" s="7"/>
      <c r="G16" s="7"/>
      <c r="H16" s="7"/>
      <c r="I16" s="7"/>
      <c r="J16" s="7"/>
    </row>
    <row r="17" customFormat="false" ht="18" hidden="false" customHeight="true" outlineLevel="0" collapsed="false">
      <c r="B17" s="7" t="s">
        <v>19</v>
      </c>
      <c r="C17" s="7"/>
      <c r="D17" s="7"/>
      <c r="E17" s="7"/>
      <c r="F17" s="7"/>
      <c r="G17" s="7"/>
      <c r="H17" s="7"/>
      <c r="I17" s="7"/>
      <c r="J17" s="7"/>
    </row>
    <row r="20" customFormat="false" ht="21.75" hidden="false" customHeight="true" outlineLevel="0" collapsed="false">
      <c r="A20" s="4" t="s">
        <v>20</v>
      </c>
      <c r="B20" s="4"/>
      <c r="C20" s="4"/>
      <c r="D20" s="4"/>
      <c r="E20" s="4"/>
      <c r="F20" s="4"/>
      <c r="G20" s="4"/>
      <c r="H20" s="4"/>
      <c r="I20" s="4"/>
      <c r="J20" s="4"/>
    </row>
    <row r="21" customFormat="false" ht="30" hidden="false" customHeight="true" outlineLevel="0" collapsed="false">
      <c r="A21" s="8" t="s">
        <v>21</v>
      </c>
      <c r="B21" s="8" t="s">
        <v>22</v>
      </c>
      <c r="C21" s="8" t="s">
        <v>23</v>
      </c>
      <c r="D21" s="8" t="s">
        <v>24</v>
      </c>
      <c r="E21" s="8"/>
      <c r="F21" s="8"/>
      <c r="G21" s="8"/>
      <c r="H21" s="8"/>
      <c r="I21" s="8"/>
      <c r="J21" s="8" t="s">
        <v>25</v>
      </c>
    </row>
    <row r="22" customFormat="false" ht="30" hidden="false" customHeight="true" outlineLevel="0" collapsed="false">
      <c r="A22" s="9" t="n">
        <v>1</v>
      </c>
      <c r="B22" s="10" t="s">
        <v>26</v>
      </c>
      <c r="C22" s="11" t="s">
        <v>27</v>
      </c>
      <c r="D22" s="11" t="s">
        <v>28</v>
      </c>
      <c r="E22" s="12"/>
      <c r="F22" s="12"/>
      <c r="G22" s="12"/>
      <c r="H22" s="12"/>
      <c r="I22" s="12"/>
      <c r="J22" s="9" t="s">
        <v>29</v>
      </c>
    </row>
    <row r="23" customFormat="false" ht="30" hidden="false" customHeight="true" outlineLevel="0" collapsed="false">
      <c r="A23" s="9" t="n">
        <v>2</v>
      </c>
      <c r="B23" s="10" t="s">
        <v>30</v>
      </c>
      <c r="C23" s="11" t="s">
        <v>31</v>
      </c>
      <c r="D23" s="11" t="s">
        <v>32</v>
      </c>
      <c r="E23" s="12"/>
      <c r="F23" s="12"/>
      <c r="G23" s="12"/>
      <c r="H23" s="12"/>
      <c r="I23" s="12"/>
      <c r="J23" s="9" t="s">
        <v>33</v>
      </c>
    </row>
    <row r="24" customFormat="false" ht="30" hidden="false" customHeight="true" outlineLevel="0" collapsed="false">
      <c r="A24" s="9" t="n">
        <v>3</v>
      </c>
      <c r="B24" s="10" t="s">
        <v>34</v>
      </c>
      <c r="C24" s="11" t="s">
        <v>35</v>
      </c>
      <c r="D24" s="11" t="s">
        <v>36</v>
      </c>
      <c r="E24" s="12"/>
      <c r="F24" s="12"/>
      <c r="G24" s="12"/>
      <c r="H24" s="12"/>
      <c r="I24" s="12"/>
      <c r="J24" s="9" t="s">
        <v>37</v>
      </c>
    </row>
    <row r="25" customFormat="false" ht="30" hidden="false" customHeight="true" outlineLevel="0" collapsed="false">
      <c r="A25" s="9" t="n">
        <v>4</v>
      </c>
      <c r="B25" s="10" t="s">
        <v>38</v>
      </c>
      <c r="C25" s="11" t="s">
        <v>39</v>
      </c>
      <c r="D25" s="11" t="s">
        <v>40</v>
      </c>
      <c r="E25" s="12"/>
      <c r="F25" s="12"/>
      <c r="G25" s="12"/>
      <c r="H25" s="12"/>
      <c r="I25" s="12"/>
      <c r="J25" s="9" t="s">
        <v>41</v>
      </c>
    </row>
    <row r="26" customFormat="false" ht="30" hidden="false" customHeight="true" outlineLevel="0" collapsed="false">
      <c r="A26" s="9" t="n">
        <v>5</v>
      </c>
      <c r="B26" s="10" t="s">
        <v>42</v>
      </c>
      <c r="C26" s="11" t="s">
        <v>43</v>
      </c>
      <c r="D26" s="11" t="s">
        <v>44</v>
      </c>
      <c r="E26" s="12"/>
      <c r="F26" s="12"/>
      <c r="G26" s="12"/>
      <c r="H26" s="12"/>
      <c r="I26" s="12"/>
      <c r="J26" s="9" t="s">
        <v>41</v>
      </c>
    </row>
    <row r="27" customFormat="false" ht="30" hidden="false" customHeight="true" outlineLevel="0" collapsed="false">
      <c r="A27" s="9" t="n">
        <v>6</v>
      </c>
      <c r="B27" s="10" t="s">
        <v>45</v>
      </c>
      <c r="C27" s="11" t="s">
        <v>46</v>
      </c>
      <c r="D27" s="11" t="s">
        <v>47</v>
      </c>
      <c r="E27" s="12"/>
      <c r="F27" s="12"/>
      <c r="G27" s="12"/>
      <c r="H27" s="12"/>
      <c r="I27" s="12"/>
      <c r="J27" s="9" t="s">
        <v>48</v>
      </c>
    </row>
    <row r="28" customFormat="false" ht="30" hidden="false" customHeight="true" outlineLevel="0" collapsed="false">
      <c r="A28" s="9" t="n">
        <v>7</v>
      </c>
      <c r="B28" s="10" t="s">
        <v>49</v>
      </c>
      <c r="C28" s="11" t="s">
        <v>50</v>
      </c>
      <c r="D28" s="11" t="s">
        <v>51</v>
      </c>
      <c r="E28" s="12"/>
      <c r="F28" s="12"/>
      <c r="G28" s="12"/>
      <c r="H28" s="12"/>
      <c r="I28" s="12"/>
      <c r="J28" s="9" t="s">
        <v>29</v>
      </c>
    </row>
    <row r="29" customFormat="false" ht="30" hidden="false" customHeight="true" outlineLevel="0" collapsed="false">
      <c r="A29" s="9" t="n">
        <v>8</v>
      </c>
      <c r="B29" s="10" t="s">
        <v>52</v>
      </c>
      <c r="C29" s="11" t="s">
        <v>53</v>
      </c>
      <c r="D29" s="11" t="s">
        <v>54</v>
      </c>
      <c r="E29" s="12"/>
      <c r="F29" s="12"/>
      <c r="G29" s="12"/>
      <c r="H29" s="12"/>
      <c r="I29" s="12"/>
      <c r="J29" s="9" t="s">
        <v>29</v>
      </c>
    </row>
    <row r="30" customFormat="false" ht="30" hidden="false" customHeight="true" outlineLevel="0" collapsed="false">
      <c r="A30" s="9" t="n">
        <v>9</v>
      </c>
      <c r="B30" s="10" t="s">
        <v>55</v>
      </c>
      <c r="C30" s="11" t="s">
        <v>56</v>
      </c>
      <c r="D30" s="11" t="s">
        <v>57</v>
      </c>
      <c r="E30" s="12"/>
      <c r="F30" s="12"/>
      <c r="G30" s="12"/>
      <c r="H30" s="12"/>
      <c r="I30" s="12"/>
      <c r="J30" s="9" t="s">
        <v>33</v>
      </c>
    </row>
    <row r="32" customFormat="false" ht="21.75" hidden="false" customHeight="true" outlineLevel="0" collapsed="false">
      <c r="A32" s="4" t="s">
        <v>58</v>
      </c>
      <c r="B32" s="4"/>
      <c r="C32" s="4"/>
      <c r="D32" s="4"/>
      <c r="E32" s="4"/>
      <c r="F32" s="4"/>
      <c r="G32" s="4"/>
      <c r="H32" s="4"/>
      <c r="I32" s="4"/>
      <c r="J32" s="4"/>
    </row>
    <row r="33" customFormat="false" ht="30" hidden="false" customHeight="true" outlineLevel="0" collapsed="false">
      <c r="A33" s="8" t="s">
        <v>21</v>
      </c>
      <c r="B33" s="8" t="s">
        <v>59</v>
      </c>
      <c r="C33" s="8" t="s">
        <v>60</v>
      </c>
      <c r="D33" s="8" t="s">
        <v>61</v>
      </c>
      <c r="E33" s="8"/>
      <c r="F33" s="8"/>
      <c r="G33" s="8"/>
      <c r="H33" s="8"/>
      <c r="I33" s="8"/>
      <c r="J33" s="8"/>
    </row>
    <row r="34" customFormat="false" ht="19.5" hidden="false" customHeight="true" outlineLevel="0" collapsed="false">
      <c r="A34" s="9" t="n">
        <v>1</v>
      </c>
      <c r="B34" s="10" t="s">
        <v>62</v>
      </c>
      <c r="C34" s="13" t="s">
        <v>63</v>
      </c>
      <c r="D34" s="13" t="s">
        <v>10</v>
      </c>
      <c r="E34" s="12"/>
      <c r="F34" s="12"/>
      <c r="G34" s="12"/>
      <c r="H34" s="12"/>
      <c r="I34" s="12"/>
      <c r="J34" s="12"/>
    </row>
    <row r="35" customFormat="false" ht="19.5" hidden="false" customHeight="true" outlineLevel="0" collapsed="false">
      <c r="A35" s="9" t="n">
        <v>2</v>
      </c>
      <c r="B35" s="10" t="s">
        <v>64</v>
      </c>
      <c r="C35" s="13" t="s">
        <v>65</v>
      </c>
      <c r="D35" s="13" t="s">
        <v>66</v>
      </c>
      <c r="E35" s="12"/>
      <c r="F35" s="12"/>
      <c r="G35" s="12"/>
      <c r="H35" s="12"/>
      <c r="I35" s="12"/>
      <c r="J35" s="12"/>
    </row>
    <row r="36" customFormat="false" ht="19.5" hidden="false" customHeight="true" outlineLevel="0" collapsed="false">
      <c r="A36" s="9" t="n">
        <v>3</v>
      </c>
      <c r="B36" s="10" t="s">
        <v>67</v>
      </c>
      <c r="C36" s="13" t="s">
        <v>68</v>
      </c>
      <c r="D36" s="13" t="s">
        <v>69</v>
      </c>
      <c r="E36" s="12"/>
      <c r="F36" s="12"/>
      <c r="G36" s="12"/>
      <c r="H36" s="12"/>
      <c r="I36" s="12"/>
      <c r="J36" s="12"/>
    </row>
    <row r="37" customFormat="false" ht="19.5" hidden="false" customHeight="true" outlineLevel="0" collapsed="false">
      <c r="A37" s="9" t="n">
        <v>4</v>
      </c>
      <c r="B37" s="10" t="s">
        <v>70</v>
      </c>
      <c r="C37" s="13" t="s">
        <v>71</v>
      </c>
      <c r="D37" s="13" t="s">
        <v>10</v>
      </c>
      <c r="E37" s="12"/>
      <c r="F37" s="12"/>
      <c r="G37" s="12"/>
      <c r="H37" s="12"/>
      <c r="I37" s="12"/>
      <c r="J37" s="12"/>
    </row>
    <row r="38" customFormat="false" ht="19.5" hidden="false" customHeight="true" outlineLevel="0" collapsed="false">
      <c r="A38" s="14" t="n">
        <v>5</v>
      </c>
      <c r="B38" s="15" t="s">
        <v>72</v>
      </c>
      <c r="C38" s="16" t="s">
        <v>73</v>
      </c>
      <c r="D38" s="16" t="s">
        <v>74</v>
      </c>
      <c r="E38" s="12"/>
      <c r="F38" s="12"/>
      <c r="G38" s="12"/>
      <c r="H38" s="12"/>
      <c r="I38" s="12"/>
      <c r="J38" s="12"/>
    </row>
    <row r="40" customFormat="false" ht="21.75" hidden="false" customHeight="true" outlineLevel="0" collapsed="false">
      <c r="A40" s="4" t="s">
        <v>75</v>
      </c>
      <c r="B40" s="4"/>
      <c r="C40" s="4"/>
      <c r="D40" s="4"/>
      <c r="E40" s="4"/>
      <c r="F40" s="4"/>
      <c r="G40" s="4"/>
      <c r="H40" s="4"/>
      <c r="I40" s="4"/>
      <c r="J40" s="4"/>
    </row>
    <row r="41" customFormat="false" ht="30" hidden="false" customHeight="true" outlineLevel="0" collapsed="false">
      <c r="A41" s="8" t="s">
        <v>21</v>
      </c>
      <c r="B41" s="8" t="s">
        <v>59</v>
      </c>
      <c r="C41" s="8" t="s">
        <v>76</v>
      </c>
      <c r="D41" s="8" t="s">
        <v>77</v>
      </c>
      <c r="E41" s="8"/>
      <c r="F41" s="8"/>
      <c r="G41" s="8"/>
      <c r="H41" s="8"/>
      <c r="I41" s="8"/>
      <c r="J41" s="8"/>
    </row>
    <row r="42" customFormat="false" ht="21.75" hidden="false" customHeight="true" outlineLevel="0" collapsed="false">
      <c r="A42" s="9" t="n">
        <v>1</v>
      </c>
      <c r="B42" s="10" t="s">
        <v>78</v>
      </c>
      <c r="C42" s="11" t="s">
        <v>79</v>
      </c>
      <c r="D42" s="11" t="s">
        <v>80</v>
      </c>
      <c r="E42" s="12"/>
      <c r="F42" s="12"/>
      <c r="G42" s="12"/>
      <c r="H42" s="12"/>
      <c r="I42" s="12"/>
      <c r="J42" s="12"/>
    </row>
    <row r="43" customFormat="false" ht="21.75" hidden="false" customHeight="true" outlineLevel="0" collapsed="false">
      <c r="A43" s="9" t="n">
        <v>2</v>
      </c>
      <c r="B43" s="10" t="s">
        <v>81</v>
      </c>
      <c r="C43" s="11" t="s">
        <v>82</v>
      </c>
      <c r="D43" s="11" t="s">
        <v>83</v>
      </c>
      <c r="E43" s="12"/>
      <c r="F43" s="12"/>
      <c r="G43" s="12"/>
      <c r="H43" s="12"/>
      <c r="I43" s="12"/>
      <c r="J43" s="12"/>
    </row>
    <row r="44" customFormat="false" ht="21.75" hidden="false" customHeight="true" outlineLevel="0" collapsed="false">
      <c r="A44" s="9" t="n">
        <v>3</v>
      </c>
      <c r="B44" s="10" t="s">
        <v>84</v>
      </c>
      <c r="C44" s="11" t="s">
        <v>85</v>
      </c>
      <c r="D44" s="11" t="s">
        <v>86</v>
      </c>
      <c r="E44" s="12"/>
      <c r="F44" s="12"/>
      <c r="G44" s="12"/>
      <c r="H44" s="12"/>
      <c r="I44" s="12"/>
      <c r="J44" s="12"/>
    </row>
    <row r="45" customFormat="false" ht="21.75" hidden="false" customHeight="true" outlineLevel="0" collapsed="false">
      <c r="A45" s="9" t="n">
        <v>4</v>
      </c>
      <c r="B45" s="10" t="s">
        <v>87</v>
      </c>
      <c r="C45" s="11" t="s">
        <v>88</v>
      </c>
      <c r="D45" s="11" t="s">
        <v>89</v>
      </c>
      <c r="E45" s="12"/>
      <c r="F45" s="12"/>
      <c r="G45" s="12"/>
      <c r="H45" s="12"/>
      <c r="I45" s="12"/>
      <c r="J45" s="12"/>
    </row>
    <row r="46" customFormat="false" ht="21.75" hidden="false" customHeight="true" outlineLevel="0" collapsed="false">
      <c r="A46" s="9" t="n">
        <v>5</v>
      </c>
      <c r="B46" s="10" t="s">
        <v>90</v>
      </c>
      <c r="C46" s="11" t="s">
        <v>91</v>
      </c>
      <c r="D46" s="11" t="s">
        <v>92</v>
      </c>
      <c r="E46" s="12"/>
      <c r="F46" s="12"/>
      <c r="G46" s="12"/>
      <c r="H46" s="12"/>
      <c r="I46" s="12"/>
      <c r="J46" s="12"/>
    </row>
    <row r="47" customFormat="false" ht="21.75" hidden="false" customHeight="true" outlineLevel="0" collapsed="false">
      <c r="A47" s="9" t="n">
        <v>6</v>
      </c>
      <c r="B47" s="10" t="s">
        <v>93</v>
      </c>
      <c r="C47" s="11" t="s">
        <v>94</v>
      </c>
      <c r="D47" s="11" t="s">
        <v>95</v>
      </c>
      <c r="E47" s="12"/>
      <c r="F47" s="12"/>
      <c r="G47" s="12"/>
      <c r="H47" s="12"/>
      <c r="I47" s="12"/>
      <c r="J47" s="12"/>
    </row>
    <row r="49" customFormat="false" ht="15" hidden="false" customHeight="false" outlineLevel="0" collapsed="false">
      <c r="B49" s="17" t="s">
        <v>96</v>
      </c>
    </row>
    <row r="50" customFormat="false" ht="15.75" hidden="false" customHeight="true" outlineLevel="0" collapsed="false">
      <c r="C50" s="18" t="s">
        <v>97</v>
      </c>
      <c r="D50" s="18"/>
      <c r="E50" s="18"/>
      <c r="F50" s="18"/>
      <c r="G50" s="18"/>
      <c r="H50" s="18"/>
      <c r="I50" s="18"/>
      <c r="J50" s="18"/>
    </row>
    <row r="51" customFormat="false" ht="15.75" hidden="false" customHeight="true" outlineLevel="0" collapsed="false">
      <c r="C51" s="18" t="s">
        <v>98</v>
      </c>
      <c r="D51" s="18"/>
      <c r="E51" s="18"/>
      <c r="F51" s="18"/>
      <c r="G51" s="18"/>
      <c r="H51" s="18"/>
      <c r="I51" s="18"/>
      <c r="J51" s="18"/>
    </row>
    <row r="52" customFormat="false" ht="15.75" hidden="false" customHeight="true" outlineLevel="0" collapsed="false">
      <c r="C52" s="18" t="s">
        <v>99</v>
      </c>
      <c r="D52" s="18"/>
      <c r="E52" s="18"/>
      <c r="F52" s="18"/>
      <c r="G52" s="18"/>
      <c r="H52" s="18"/>
      <c r="I52" s="18"/>
      <c r="J52" s="18"/>
    </row>
    <row r="53" customFormat="false" ht="15.75" hidden="false" customHeight="true" outlineLevel="0" collapsed="false">
      <c r="C53" s="18" t="s">
        <v>100</v>
      </c>
      <c r="D53" s="18"/>
      <c r="E53" s="18"/>
      <c r="F53" s="18"/>
      <c r="G53" s="18"/>
      <c r="H53" s="18"/>
      <c r="I53" s="18"/>
      <c r="J53" s="18"/>
    </row>
    <row r="55" customFormat="false" ht="15" hidden="false" customHeight="false" outlineLevel="0" collapsed="false">
      <c r="B55" s="19" t="s">
        <v>101</v>
      </c>
    </row>
    <row r="56" customFormat="false" ht="15.75" hidden="false" customHeight="true" outlineLevel="0" collapsed="false">
      <c r="C56" s="18" t="s">
        <v>102</v>
      </c>
      <c r="D56" s="18"/>
      <c r="E56" s="18"/>
      <c r="F56" s="18"/>
      <c r="G56" s="18"/>
      <c r="H56" s="18"/>
      <c r="I56" s="18"/>
      <c r="J56" s="18"/>
    </row>
    <row r="57" customFormat="false" ht="15.75" hidden="false" customHeight="true" outlineLevel="0" collapsed="false">
      <c r="C57" s="18" t="s">
        <v>103</v>
      </c>
      <c r="D57" s="18"/>
      <c r="E57" s="18"/>
      <c r="F57" s="18"/>
      <c r="G57" s="18"/>
      <c r="H57" s="18"/>
      <c r="I57" s="18"/>
      <c r="J57" s="18"/>
    </row>
    <row r="58" customFormat="false" ht="15.75" hidden="false" customHeight="true" outlineLevel="0" collapsed="false">
      <c r="C58" s="18" t="s">
        <v>104</v>
      </c>
      <c r="D58" s="18"/>
      <c r="E58" s="18"/>
      <c r="F58" s="18"/>
      <c r="G58" s="18"/>
      <c r="H58" s="18"/>
      <c r="I58" s="18"/>
      <c r="J58" s="18"/>
    </row>
    <row r="59" customFormat="false" ht="15.75" hidden="false" customHeight="true" outlineLevel="0" collapsed="false">
      <c r="C59" s="18" t="s">
        <v>105</v>
      </c>
      <c r="D59" s="18"/>
      <c r="E59" s="18"/>
      <c r="F59" s="18"/>
      <c r="G59" s="18"/>
      <c r="H59" s="18"/>
      <c r="I59" s="18"/>
      <c r="J59" s="18"/>
    </row>
  </sheetData>
  <mergeCells count="18">
    <mergeCell ref="A1:J1"/>
    <mergeCell ref="A2:J2"/>
    <mergeCell ref="A4:J4"/>
    <mergeCell ref="A14:J14"/>
    <mergeCell ref="B15:J15"/>
    <mergeCell ref="B16:J16"/>
    <mergeCell ref="B17:J17"/>
    <mergeCell ref="A20:J20"/>
    <mergeCell ref="A32:J32"/>
    <mergeCell ref="A40:J40"/>
    <mergeCell ref="C50:J50"/>
    <mergeCell ref="C51:J51"/>
    <mergeCell ref="C52:J52"/>
    <mergeCell ref="C53:J53"/>
    <mergeCell ref="C56:J56"/>
    <mergeCell ref="C57:J57"/>
    <mergeCell ref="C58:J58"/>
    <mergeCell ref="C59:J59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0"/>
    <col collapsed="false" customWidth="true" hidden="false" outlineLevel="0" max="11" min="11" style="0" width="26"/>
  </cols>
  <sheetData>
    <row r="1" customFormat="false" ht="25.5" hidden="false" customHeight="true" outlineLevel="0" collapsed="false">
      <c r="A1" s="1" t="s">
        <v>106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0" hidden="false" customHeight="true" outlineLevel="0" collapsed="false">
      <c r="A4" s="8" t="s">
        <v>21</v>
      </c>
      <c r="B4" s="8" t="s">
        <v>108</v>
      </c>
      <c r="C4" s="8" t="s">
        <v>109</v>
      </c>
      <c r="D4" s="8" t="s">
        <v>110</v>
      </c>
      <c r="E4" s="8" t="s">
        <v>111</v>
      </c>
      <c r="F4" s="8" t="s">
        <v>112</v>
      </c>
      <c r="G4" s="8" t="s">
        <v>113</v>
      </c>
      <c r="H4" s="8" t="s">
        <v>114</v>
      </c>
      <c r="I4" s="8" t="s">
        <v>76</v>
      </c>
      <c r="J4" s="8" t="s">
        <v>25</v>
      </c>
      <c r="K4" s="8" t="s">
        <v>115</v>
      </c>
    </row>
    <row r="5" customFormat="false" ht="30" hidden="false" customHeight="true" outlineLevel="0" collapsed="false">
      <c r="A5" s="9" t="n">
        <v>1</v>
      </c>
      <c r="B5" s="20" t="s">
        <v>116</v>
      </c>
      <c r="C5" s="11" t="s">
        <v>117</v>
      </c>
      <c r="D5" s="11" t="s">
        <v>118</v>
      </c>
      <c r="E5" s="9" t="s">
        <v>119</v>
      </c>
      <c r="F5" s="9" t="s">
        <v>120</v>
      </c>
      <c r="G5" s="21" t="n">
        <v>0.15</v>
      </c>
      <c r="H5" s="22"/>
      <c r="I5" s="22"/>
      <c r="J5" s="9" t="s">
        <v>33</v>
      </c>
      <c r="K5" s="11" t="s">
        <v>121</v>
      </c>
    </row>
    <row r="6" customFormat="false" ht="30" hidden="false" customHeight="true" outlineLevel="0" collapsed="false">
      <c r="A6" s="9" t="n">
        <v>2</v>
      </c>
      <c r="B6" s="20" t="s">
        <v>122</v>
      </c>
      <c r="C6" s="11" t="s">
        <v>123</v>
      </c>
      <c r="D6" s="11" t="s">
        <v>124</v>
      </c>
      <c r="E6" s="9" t="s">
        <v>119</v>
      </c>
      <c r="F6" s="9" t="s">
        <v>120</v>
      </c>
      <c r="G6" s="21" t="n">
        <v>0.25</v>
      </c>
      <c r="H6" s="22"/>
      <c r="I6" s="22"/>
      <c r="J6" s="9" t="s">
        <v>33</v>
      </c>
      <c r="K6" s="11" t="s">
        <v>125</v>
      </c>
    </row>
    <row r="7" customFormat="false" ht="30" hidden="false" customHeight="true" outlineLevel="0" collapsed="false">
      <c r="A7" s="9" t="n">
        <v>3</v>
      </c>
      <c r="B7" s="20" t="s">
        <v>126</v>
      </c>
      <c r="C7" s="11" t="s">
        <v>127</v>
      </c>
      <c r="D7" s="11" t="s">
        <v>128</v>
      </c>
      <c r="E7" s="9" t="s">
        <v>129</v>
      </c>
      <c r="F7" s="9" t="s">
        <v>120</v>
      </c>
      <c r="G7" s="21" t="n">
        <v>0.15</v>
      </c>
      <c r="H7" s="22"/>
      <c r="I7" s="22"/>
      <c r="J7" s="9" t="s">
        <v>33</v>
      </c>
      <c r="K7" s="11" t="s">
        <v>130</v>
      </c>
    </row>
    <row r="8" customFormat="false" ht="30" hidden="false" customHeight="true" outlineLevel="0" collapsed="false">
      <c r="A8" s="9" t="n">
        <v>4</v>
      </c>
      <c r="B8" s="20" t="s">
        <v>131</v>
      </c>
      <c r="C8" s="11" t="s">
        <v>132</v>
      </c>
      <c r="D8" s="11" t="s">
        <v>133</v>
      </c>
      <c r="E8" s="9" t="s">
        <v>119</v>
      </c>
      <c r="F8" s="9" t="s">
        <v>120</v>
      </c>
      <c r="G8" s="21" t="n">
        <v>0.1</v>
      </c>
      <c r="H8" s="22"/>
      <c r="I8" s="22"/>
      <c r="J8" s="9" t="s">
        <v>33</v>
      </c>
      <c r="K8" s="11" t="s">
        <v>134</v>
      </c>
    </row>
    <row r="9" customFormat="false" ht="30" hidden="false" customHeight="true" outlineLevel="0" collapsed="false">
      <c r="A9" s="9" t="n">
        <v>5</v>
      </c>
      <c r="B9" s="23" t="s">
        <v>135</v>
      </c>
      <c r="C9" s="11" t="s">
        <v>136</v>
      </c>
      <c r="D9" s="11" t="s">
        <v>137</v>
      </c>
      <c r="E9" s="9" t="s">
        <v>138</v>
      </c>
      <c r="F9" s="9" t="s">
        <v>120</v>
      </c>
      <c r="G9" s="21" t="n">
        <v>0.05</v>
      </c>
      <c r="H9" s="22"/>
      <c r="I9" s="22"/>
      <c r="J9" s="9" t="s">
        <v>33</v>
      </c>
      <c r="K9" s="11" t="s">
        <v>139</v>
      </c>
    </row>
    <row r="10" customFormat="false" ht="30" hidden="false" customHeight="true" outlineLevel="0" collapsed="false">
      <c r="A10" s="9" t="n">
        <v>6</v>
      </c>
      <c r="B10" s="23" t="s">
        <v>140</v>
      </c>
      <c r="C10" s="11" t="s">
        <v>141</v>
      </c>
      <c r="D10" s="11" t="s">
        <v>142</v>
      </c>
      <c r="E10" s="9" t="s">
        <v>119</v>
      </c>
      <c r="F10" s="9" t="s">
        <v>120</v>
      </c>
      <c r="G10" s="21" t="n">
        <v>0.05</v>
      </c>
      <c r="H10" s="22"/>
      <c r="I10" s="22"/>
      <c r="J10" s="9" t="s">
        <v>33</v>
      </c>
      <c r="K10" s="11" t="s">
        <v>143</v>
      </c>
    </row>
    <row r="11" customFormat="false" ht="30" hidden="false" customHeight="true" outlineLevel="0" collapsed="false">
      <c r="A11" s="9" t="n">
        <v>7</v>
      </c>
      <c r="B11" s="23" t="s">
        <v>144</v>
      </c>
      <c r="C11" s="11" t="s">
        <v>145</v>
      </c>
      <c r="D11" s="11" t="s">
        <v>146</v>
      </c>
      <c r="E11" s="9" t="s">
        <v>119</v>
      </c>
      <c r="F11" s="9" t="s">
        <v>120</v>
      </c>
      <c r="G11" s="21" t="n">
        <v>0.08</v>
      </c>
      <c r="H11" s="22"/>
      <c r="I11" s="22"/>
      <c r="J11" s="9" t="s">
        <v>33</v>
      </c>
      <c r="K11" s="11" t="s">
        <v>147</v>
      </c>
    </row>
    <row r="12" customFormat="false" ht="30" hidden="false" customHeight="true" outlineLevel="0" collapsed="false">
      <c r="A12" s="9" t="n">
        <v>8</v>
      </c>
      <c r="B12" s="24" t="s">
        <v>148</v>
      </c>
      <c r="C12" s="11" t="s">
        <v>149</v>
      </c>
      <c r="D12" s="11" t="s">
        <v>150</v>
      </c>
      <c r="E12" s="9" t="s">
        <v>119</v>
      </c>
      <c r="F12" s="9" t="s">
        <v>151</v>
      </c>
      <c r="G12" s="21" t="n">
        <v>0.07</v>
      </c>
      <c r="H12" s="22"/>
      <c r="I12" s="22"/>
      <c r="J12" s="9" t="s">
        <v>33</v>
      </c>
      <c r="K12" s="11" t="s">
        <v>152</v>
      </c>
    </row>
    <row r="13" customFormat="false" ht="30" hidden="false" customHeight="true" outlineLevel="0" collapsed="false">
      <c r="A13" s="9" t="n">
        <v>9</v>
      </c>
      <c r="B13" s="24" t="s">
        <v>153</v>
      </c>
      <c r="C13" s="11" t="s">
        <v>154</v>
      </c>
      <c r="D13" s="11" t="s">
        <v>155</v>
      </c>
      <c r="E13" s="9" t="s">
        <v>66</v>
      </c>
      <c r="F13" s="9" t="s">
        <v>151</v>
      </c>
      <c r="G13" s="21" t="n">
        <v>0.05</v>
      </c>
      <c r="H13" s="22"/>
      <c r="I13" s="22"/>
      <c r="J13" s="9" t="s">
        <v>33</v>
      </c>
      <c r="K13" s="11" t="s">
        <v>156</v>
      </c>
    </row>
    <row r="14" customFormat="false" ht="30" hidden="false" customHeight="true" outlineLevel="0" collapsed="false">
      <c r="A14" s="9" t="n">
        <v>10</v>
      </c>
      <c r="B14" s="24" t="s">
        <v>157</v>
      </c>
      <c r="C14" s="11" t="s">
        <v>158</v>
      </c>
      <c r="D14" s="11" t="s">
        <v>159</v>
      </c>
      <c r="E14" s="9" t="s">
        <v>66</v>
      </c>
      <c r="F14" s="9" t="s">
        <v>151</v>
      </c>
      <c r="G14" s="21" t="n">
        <v>0.03</v>
      </c>
      <c r="H14" s="22"/>
      <c r="I14" s="22"/>
      <c r="J14" s="9" t="s">
        <v>33</v>
      </c>
      <c r="K14" s="11" t="s">
        <v>160</v>
      </c>
    </row>
    <row r="15" customFormat="false" ht="30" hidden="false" customHeight="true" outlineLevel="0" collapsed="false">
      <c r="A15" s="9" t="n">
        <v>11</v>
      </c>
      <c r="B15" s="24" t="s">
        <v>161</v>
      </c>
      <c r="C15" s="11" t="s">
        <v>162</v>
      </c>
      <c r="D15" s="11" t="s">
        <v>163</v>
      </c>
      <c r="E15" s="9" t="s">
        <v>119</v>
      </c>
      <c r="F15" s="9" t="s">
        <v>120</v>
      </c>
      <c r="G15" s="21" t="n">
        <v>0.02</v>
      </c>
      <c r="H15" s="22"/>
      <c r="I15" s="22"/>
      <c r="J15" s="9" t="s">
        <v>33</v>
      </c>
      <c r="K15" s="11" t="s">
        <v>164</v>
      </c>
    </row>
    <row r="16" customFormat="false" ht="15" hidden="false" customHeight="false" outlineLevel="0" collapsed="false">
      <c r="B16" s="25" t="s">
        <v>165</v>
      </c>
      <c r="G16" s="26" t="n">
        <f aca="false">SUM(G5:G15)</f>
        <v>1</v>
      </c>
      <c r="H16" s="27" t="s">
        <v>166</v>
      </c>
    </row>
    <row r="18" customFormat="false" ht="15" hidden="false" customHeight="false" outlineLevel="0" collapsed="false">
      <c r="B18" s="17" t="s">
        <v>167</v>
      </c>
    </row>
    <row r="19" customFormat="false" ht="15.75" hidden="false" customHeight="true" outlineLevel="0" collapsed="false">
      <c r="C19" s="18" t="s">
        <v>168</v>
      </c>
      <c r="D19" s="18"/>
      <c r="E19" s="18"/>
      <c r="F19" s="18"/>
      <c r="G19" s="18"/>
      <c r="H19" s="18"/>
      <c r="I19" s="18"/>
      <c r="J19" s="18"/>
      <c r="K19" s="18"/>
    </row>
    <row r="20" customFormat="false" ht="15.75" hidden="false" customHeight="true" outlineLevel="0" collapsed="false">
      <c r="C20" s="18" t="s">
        <v>169</v>
      </c>
      <c r="D20" s="18"/>
      <c r="E20" s="18"/>
      <c r="F20" s="18"/>
      <c r="G20" s="18"/>
      <c r="H20" s="18"/>
      <c r="I20" s="18"/>
      <c r="J20" s="18"/>
      <c r="K20" s="18"/>
    </row>
    <row r="21" customFormat="false" ht="15.75" hidden="false" customHeight="true" outlineLevel="0" collapsed="false">
      <c r="C21" s="18" t="s">
        <v>170</v>
      </c>
      <c r="D21" s="18"/>
      <c r="E21" s="18"/>
      <c r="F21" s="18"/>
      <c r="G21" s="18"/>
      <c r="H21" s="18"/>
      <c r="I21" s="18"/>
      <c r="J21" s="18"/>
      <c r="K21" s="18"/>
    </row>
    <row r="22" customFormat="false" ht="15.75" hidden="false" customHeight="true" outlineLevel="0" collapsed="false">
      <c r="C22" s="18" t="s">
        <v>171</v>
      </c>
      <c r="D22" s="18"/>
      <c r="E22" s="18"/>
      <c r="F22" s="18"/>
      <c r="G22" s="18"/>
      <c r="H22" s="18"/>
      <c r="I22" s="18"/>
      <c r="J22" s="18"/>
      <c r="K22" s="18"/>
    </row>
    <row r="24" customFormat="false" ht="15" hidden="false" customHeight="false" outlineLevel="0" collapsed="false">
      <c r="B24" s="19" t="s">
        <v>172</v>
      </c>
    </row>
    <row r="25" customFormat="false" ht="15.75" hidden="false" customHeight="true" outlineLevel="0" collapsed="false">
      <c r="C25" s="18" t="s">
        <v>173</v>
      </c>
      <c r="D25" s="18"/>
      <c r="E25" s="18"/>
      <c r="F25" s="18"/>
      <c r="G25" s="18"/>
      <c r="H25" s="18"/>
      <c r="I25" s="18"/>
      <c r="J25" s="18"/>
      <c r="K25" s="18"/>
    </row>
    <row r="26" customFormat="false" ht="15.75" hidden="false" customHeight="true" outlineLevel="0" collapsed="false">
      <c r="C26" s="18" t="s">
        <v>174</v>
      </c>
      <c r="D26" s="18"/>
      <c r="E26" s="18"/>
      <c r="F26" s="18"/>
      <c r="G26" s="18"/>
      <c r="H26" s="18"/>
      <c r="I26" s="18"/>
      <c r="J26" s="18"/>
      <c r="K26" s="18"/>
    </row>
    <row r="27" customFormat="false" ht="15.75" hidden="false" customHeight="true" outlineLevel="0" collapsed="false">
      <c r="C27" s="18" t="s">
        <v>175</v>
      </c>
      <c r="D27" s="18"/>
      <c r="E27" s="18"/>
      <c r="F27" s="18"/>
      <c r="G27" s="18"/>
      <c r="H27" s="18"/>
      <c r="I27" s="18"/>
      <c r="J27" s="18"/>
      <c r="K27" s="18"/>
    </row>
  </sheetData>
  <mergeCells count="9">
    <mergeCell ref="A1:K1"/>
    <mergeCell ref="A2:K2"/>
    <mergeCell ref="C19:K19"/>
    <mergeCell ref="C20:K20"/>
    <mergeCell ref="C21:K21"/>
    <mergeCell ref="C22:K22"/>
    <mergeCell ref="C25:K25"/>
    <mergeCell ref="C26:K26"/>
    <mergeCell ref="C27:K27"/>
  </mergeCells>
  <conditionalFormatting sqref="G16">
    <cfRule type="cellIs" priority="2" operator="notEqual" aboveAverage="0" equalAverage="0" bottom="0" percent="0" rank="0" text="" dxfId="0">
      <formula>1</formula>
    </cfRule>
  </conditionalFormatting>
  <dataValidations count="1">
    <dataValidation allowBlank="false" errorStyle="stop" operator="between" showDropDown="false" showErrorMessage="false" showInputMessage="false" sqref="F5:F15" type="list">
      <formula1>"أعلى أفضل,أقل أفضل"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6" min="4" style="0" width="13"/>
    <col collapsed="false" customWidth="true" hidden="false" outlineLevel="0" max="8" min="7" style="0" width="12"/>
    <col collapsed="false" customWidth="true" hidden="false" outlineLevel="0" max="9" min="9" style="0" width="30"/>
  </cols>
  <sheetData>
    <row r="1" customFormat="false" ht="25.5" hidden="false" customHeight="true" outlineLevel="0" collapsed="false">
      <c r="A1" s="1" t="s">
        <v>176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177</v>
      </c>
      <c r="B2" s="2"/>
      <c r="C2" s="2"/>
      <c r="D2" s="2"/>
      <c r="E2" s="2"/>
      <c r="F2" s="2"/>
      <c r="G2" s="2"/>
      <c r="H2" s="2"/>
      <c r="I2" s="2"/>
    </row>
    <row r="3" customFormat="false" ht="3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</row>
    <row r="4" customFormat="false" ht="21.75" hidden="false" customHeight="true" outlineLevel="0" collapsed="false">
      <c r="A4" s="4" t="s">
        <v>178</v>
      </c>
      <c r="B4" s="4"/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B5" s="28" t="s">
        <v>179</v>
      </c>
      <c r="C5" s="22"/>
      <c r="D5" s="28" t="s">
        <v>180</v>
      </c>
      <c r="E5" s="22"/>
      <c r="F5" s="28" t="s">
        <v>181</v>
      </c>
      <c r="G5" s="22"/>
    </row>
    <row r="7" customFormat="false" ht="21.75" hidden="false" customHeight="true" outlineLevel="0" collapsed="false">
      <c r="A7" s="4" t="s">
        <v>182</v>
      </c>
      <c r="B7" s="4"/>
      <c r="C7" s="4"/>
      <c r="D7" s="4"/>
      <c r="E7" s="4"/>
      <c r="F7" s="4"/>
      <c r="G7" s="4"/>
      <c r="H7" s="4"/>
      <c r="I7" s="4"/>
    </row>
    <row r="8" customFormat="false" ht="30" hidden="false" customHeight="true" outlineLevel="0" collapsed="false">
      <c r="A8" s="8" t="s">
        <v>21</v>
      </c>
      <c r="B8" s="8" t="s">
        <v>108</v>
      </c>
      <c r="C8" s="8" t="s">
        <v>112</v>
      </c>
      <c r="D8" s="8" t="s">
        <v>113</v>
      </c>
      <c r="E8" s="8" t="s">
        <v>114</v>
      </c>
      <c r="F8" s="8" t="s">
        <v>183</v>
      </c>
      <c r="G8" s="8" t="s">
        <v>184</v>
      </c>
      <c r="H8" s="8" t="s">
        <v>185</v>
      </c>
      <c r="I8" s="8" t="s">
        <v>186</v>
      </c>
    </row>
    <row r="9" customFormat="false" ht="19.5" hidden="false" customHeight="true" outlineLevel="0" collapsed="false">
      <c r="A9" s="29" t="n">
        <v>1</v>
      </c>
      <c r="B9" s="30" t="str">
        <f aca="false">'مؤشرات الأداء'!B5</f>
        <v>الحجم المتعاقَد</v>
      </c>
      <c r="C9" s="30" t="str">
        <f aca="false">'مؤشرات الأداء'!F5</f>
        <v>أعلى أفضل</v>
      </c>
      <c r="D9" s="31" t="n">
        <f aca="false">'مؤشرات الأداء'!G5</f>
        <v>0.15</v>
      </c>
      <c r="E9" s="30" t="n">
        <f aca="false">'مؤشرات الأداء'!H5</f>
        <v>0</v>
      </c>
      <c r="F9" s="22"/>
      <c r="G9" s="32" t="str">
        <f aca="false">IFERROR(IF(OR($F9="",$E9=""),"",IF($C9="أقل أفضل",$E9/$F9,$F9/$E9)),"")</f>
        <v/>
      </c>
      <c r="H9" s="33" t="str">
        <f aca="false">IF($G9="","",MIN($G9,1.2)*$D9)</f>
        <v/>
      </c>
      <c r="I9" s="22"/>
    </row>
    <row r="10" customFormat="false" ht="19.5" hidden="false" customHeight="true" outlineLevel="0" collapsed="false">
      <c r="A10" s="29" t="n">
        <v>2</v>
      </c>
      <c r="B10" s="30" t="str">
        <f aca="false">'مؤشرات الأداء'!B6</f>
        <v>الحجم الصافي المضاف</v>
      </c>
      <c r="C10" s="30" t="str">
        <f aca="false">'مؤشرات الأداء'!F6</f>
        <v>أعلى أفضل</v>
      </c>
      <c r="D10" s="31" t="n">
        <f aca="false">'مؤشرات الأداء'!G6</f>
        <v>0.25</v>
      </c>
      <c r="E10" s="30" t="n">
        <f aca="false">'مؤشرات الأداء'!H6</f>
        <v>0</v>
      </c>
      <c r="F10" s="22"/>
      <c r="G10" s="32" t="str">
        <f aca="false">IFERROR(IF(OR($F10="",$E10=""),"",IF($C10="أقل أفضل",$E10/$F10,$F10/$E10)),"")</f>
        <v/>
      </c>
      <c r="H10" s="33" t="str">
        <f aca="false">IF($G10="","",MIN($G10,1.2)*$D10)</f>
        <v/>
      </c>
      <c r="I10" s="22"/>
    </row>
    <row r="11" customFormat="false" ht="19.5" hidden="false" customHeight="true" outlineLevel="0" collapsed="false">
      <c r="A11" s="29" t="n">
        <v>3</v>
      </c>
      <c r="B11" s="30" t="str">
        <f aca="false">'مؤشرات الأداء'!B7</f>
        <v>هامش المساهمة المتحقق</v>
      </c>
      <c r="C11" s="30" t="str">
        <f aca="false">'مؤشرات الأداء'!F7</f>
        <v>أعلى أفضل</v>
      </c>
      <c r="D11" s="31" t="n">
        <f aca="false">'مؤشرات الأداء'!G7</f>
        <v>0.15</v>
      </c>
      <c r="E11" s="30" t="n">
        <f aca="false">'مؤشرات الأداء'!H7</f>
        <v>0</v>
      </c>
      <c r="F11" s="22"/>
      <c r="G11" s="32" t="str">
        <f aca="false">IFERROR(IF(OR($F11="",$E11=""),"",IF($C11="أقل أفضل",$E11/$F11,$F11/$E11)),"")</f>
        <v/>
      </c>
      <c r="H11" s="33" t="str">
        <f aca="false">IF($G11="","",MIN($G11,1.2)*$D11)</f>
        <v/>
      </c>
      <c r="I11" s="22"/>
    </row>
    <row r="12" customFormat="false" ht="19.5" hidden="false" customHeight="true" outlineLevel="0" collapsed="false">
      <c r="A12" s="29" t="n">
        <v>4</v>
      </c>
      <c r="B12" s="30" t="str">
        <f aca="false">'مؤشرات الأداء'!B8</f>
        <v>عملاء جدد لم يشتروا منّا</v>
      </c>
      <c r="C12" s="30" t="str">
        <f aca="false">'مؤشرات الأداء'!F8</f>
        <v>أعلى أفضل</v>
      </c>
      <c r="D12" s="31" t="n">
        <f aca="false">'مؤشرات الأداء'!G8</f>
        <v>0.1</v>
      </c>
      <c r="E12" s="30" t="n">
        <f aca="false">'مؤشرات الأداء'!H8</f>
        <v>0</v>
      </c>
      <c r="F12" s="22"/>
      <c r="G12" s="32" t="str">
        <f aca="false">IFERROR(IF(OR($F12="",$E12=""),"",IF($C12="أقل أفضل",$E12/$F12,$F12/$E12)),"")</f>
        <v/>
      </c>
      <c r="H12" s="33" t="str">
        <f aca="false">IF($G12="","",MIN($G12,1.2)*$D12)</f>
        <v/>
      </c>
      <c r="I12" s="22"/>
    </row>
    <row r="13" customFormat="false" ht="19.5" hidden="false" customHeight="true" outlineLevel="0" collapsed="false">
      <c r="A13" s="29" t="n">
        <v>5</v>
      </c>
      <c r="B13" s="30" t="str">
        <f aca="false">'مؤشرات الأداء'!B9</f>
        <v>زيارات ميدانية مؤهَّلة</v>
      </c>
      <c r="C13" s="30" t="str">
        <f aca="false">'مؤشرات الأداء'!F9</f>
        <v>أعلى أفضل</v>
      </c>
      <c r="D13" s="31" t="n">
        <f aca="false">'مؤشرات الأداء'!G9</f>
        <v>0.05</v>
      </c>
      <c r="E13" s="30" t="n">
        <f aca="false">'مؤشرات الأداء'!H9</f>
        <v>0</v>
      </c>
      <c r="F13" s="22"/>
      <c r="G13" s="32" t="str">
        <f aca="false">IFERROR(IF(OR($F13="",$E13=""),"",IF($C13="أقل أفضل",$E13/$F13,$F13/$E13)),"")</f>
        <v/>
      </c>
      <c r="H13" s="33" t="str">
        <f aca="false">IF($G13="","",MIN($G13,1.2)*$D13)</f>
        <v/>
      </c>
      <c r="I13" s="22"/>
    </row>
    <row r="14" customFormat="false" ht="19.5" hidden="false" customHeight="true" outlineLevel="0" collapsed="false">
      <c r="A14" s="29" t="n">
        <v>6</v>
      </c>
      <c r="B14" s="30" t="str">
        <f aca="false">'مؤشرات الأداء'!B10</f>
        <v>عروض مقدَّمة</v>
      </c>
      <c r="C14" s="30" t="str">
        <f aca="false">'مؤشرات الأداء'!F10</f>
        <v>أعلى أفضل</v>
      </c>
      <c r="D14" s="31" t="n">
        <f aca="false">'مؤشرات الأداء'!G10</f>
        <v>0.05</v>
      </c>
      <c r="E14" s="30" t="n">
        <f aca="false">'مؤشرات الأداء'!H10</f>
        <v>0</v>
      </c>
      <c r="F14" s="22"/>
      <c r="G14" s="32" t="str">
        <f aca="false">IFERROR(IF(OR($F14="",$E14=""),"",IF($C14="أقل أفضل",$E14/$F14,$F14/$E14)),"")</f>
        <v/>
      </c>
      <c r="H14" s="33" t="str">
        <f aca="false">IF($G14="","",MIN($G14,1.2)*$D14)</f>
        <v/>
      </c>
      <c r="I14" s="22"/>
    </row>
    <row r="15" customFormat="false" ht="19.5" hidden="false" customHeight="true" outlineLevel="0" collapsed="false">
      <c r="A15" s="29" t="n">
        <v>7</v>
      </c>
      <c r="B15" s="30" t="str">
        <f aca="false">'مؤشرات الأداء'!B11</f>
        <v>معدل التحويل</v>
      </c>
      <c r="C15" s="30" t="str">
        <f aca="false">'مؤشرات الأداء'!F11</f>
        <v>أعلى أفضل</v>
      </c>
      <c r="D15" s="31" t="n">
        <f aca="false">'مؤشرات الأداء'!G11</f>
        <v>0.08</v>
      </c>
      <c r="E15" s="30" t="n">
        <f aca="false">'مؤشرات الأداء'!H11</f>
        <v>0</v>
      </c>
      <c r="F15" s="22"/>
      <c r="G15" s="32" t="str">
        <f aca="false">IFERROR(IF(OR($F15="",$E15=""),"",IF($C15="أقل أفضل",$E15/$F15,$F15/$E15)),"")</f>
        <v/>
      </c>
      <c r="H15" s="33" t="str">
        <f aca="false">IF($G15="","",MIN($G15,1.2)*$D15)</f>
        <v/>
      </c>
      <c r="I15" s="22"/>
    </row>
    <row r="16" customFormat="false" ht="19.5" hidden="false" customHeight="true" outlineLevel="0" collapsed="false">
      <c r="A16" s="29" t="n">
        <v>8</v>
      </c>
      <c r="B16" s="30" t="str">
        <f aca="false">'مؤشرات الأداء'!B12</f>
        <v>متوسط الخصم الممنوح</v>
      </c>
      <c r="C16" s="30" t="str">
        <f aca="false">'مؤشرات الأداء'!F12</f>
        <v>أقل أفضل</v>
      </c>
      <c r="D16" s="31" t="n">
        <f aca="false">'مؤشرات الأداء'!G12</f>
        <v>0.07</v>
      </c>
      <c r="E16" s="30" t="n">
        <f aca="false">'مؤشرات الأداء'!H12</f>
        <v>0</v>
      </c>
      <c r="F16" s="22"/>
      <c r="G16" s="32" t="str">
        <f aca="false">IFERROR(IF(OR($F16="",$E16=""),"",IF($C16="أقل أفضل",$E16/$F16,$F16/$E16)),"")</f>
        <v/>
      </c>
      <c r="H16" s="33" t="str">
        <f aca="false">IF($G16="","",MIN($G16,1.2)*$D16)</f>
        <v/>
      </c>
      <c r="I16" s="22"/>
    </row>
    <row r="17" customFormat="false" ht="19.5" hidden="false" customHeight="true" outlineLevel="0" collapsed="false">
      <c r="A17" s="29" t="n">
        <v>9</v>
      </c>
      <c r="B17" s="30" t="str">
        <f aca="false">'مؤشرات الأداء'!B13</f>
        <v>أيام التحصيل</v>
      </c>
      <c r="C17" s="30" t="str">
        <f aca="false">'مؤشرات الأداء'!F13</f>
        <v>أقل أفضل</v>
      </c>
      <c r="D17" s="31" t="n">
        <f aca="false">'مؤشرات الأداء'!G13</f>
        <v>0.05</v>
      </c>
      <c r="E17" s="30" t="n">
        <f aca="false">'مؤشرات الأداء'!H13</f>
        <v>0</v>
      </c>
      <c r="F17" s="22"/>
      <c r="G17" s="32" t="str">
        <f aca="false">IFERROR(IF(OR($F17="",$E17=""),"",IF($C17="أقل أفضل",$E17/$F17,$F17/$E17)),"")</f>
        <v/>
      </c>
      <c r="H17" s="33" t="str">
        <f aca="false">IF($G17="","",MIN($G17,1.2)*$D17)</f>
        <v/>
      </c>
      <c r="I17" s="22"/>
    </row>
    <row r="18" customFormat="false" ht="19.5" hidden="false" customHeight="true" outlineLevel="0" collapsed="false">
      <c r="A18" s="29" t="n">
        <v>10</v>
      </c>
      <c r="B18" s="30" t="str">
        <f aca="false">'مؤشرات الأداء'!B14</f>
        <v>ديون متأخرة فوق ٩٠ يوماً</v>
      </c>
      <c r="C18" s="30" t="str">
        <f aca="false">'مؤشرات الأداء'!F14</f>
        <v>أقل أفضل</v>
      </c>
      <c r="D18" s="31" t="n">
        <f aca="false">'مؤشرات الأداء'!G14</f>
        <v>0.03</v>
      </c>
      <c r="E18" s="30" t="n">
        <f aca="false">'مؤشرات الأداء'!H14</f>
        <v>0</v>
      </c>
      <c r="F18" s="22"/>
      <c r="G18" s="32" t="str">
        <f aca="false">IFERROR(IF(OR($F18="",$E18=""),"",IF($C18="أقل أفضل",$E18/$F18,$F18/$E18)),"")</f>
        <v/>
      </c>
      <c r="H18" s="33" t="str">
        <f aca="false">IF($G18="","",MIN($G18,1.2)*$D18)</f>
        <v/>
      </c>
      <c r="I18" s="22"/>
    </row>
    <row r="19" customFormat="false" ht="19.5" hidden="false" customHeight="true" outlineLevel="0" collapsed="false">
      <c r="A19" s="29" t="n">
        <v>11</v>
      </c>
      <c r="B19" s="30" t="str">
        <f aca="false">'مؤشرات الأداء'!B15</f>
        <v>معدل تجديد العقود</v>
      </c>
      <c r="C19" s="30" t="str">
        <f aca="false">'مؤشرات الأداء'!F15</f>
        <v>أعلى أفضل</v>
      </c>
      <c r="D19" s="31" t="n">
        <f aca="false">'مؤشرات الأداء'!G15</f>
        <v>0.02</v>
      </c>
      <c r="E19" s="30" t="n">
        <f aca="false">'مؤشرات الأداء'!H15</f>
        <v>0</v>
      </c>
      <c r="F19" s="22"/>
      <c r="G19" s="32" t="str">
        <f aca="false">IFERROR(IF(OR($F19="",$E19=""),"",IF($C19="أقل أفضل",$E19/$F19,$F19/$E19)),"")</f>
        <v/>
      </c>
      <c r="H19" s="33" t="str">
        <f aca="false">IF($G19="","",MIN($G19,1.2)*$D19)</f>
        <v/>
      </c>
      <c r="I19" s="22"/>
    </row>
    <row r="20" customFormat="false" ht="15" hidden="false" customHeight="false" outlineLevel="0" collapsed="false">
      <c r="A20" s="25"/>
      <c r="B20" s="25" t="s">
        <v>187</v>
      </c>
      <c r="C20" s="25"/>
      <c r="D20" s="26" t="n">
        <f aca="false">SUM(D9:D19)</f>
        <v>1</v>
      </c>
      <c r="E20" s="25"/>
      <c r="F20" s="25"/>
      <c r="G20" s="25"/>
      <c r="H20" s="34" t="n">
        <f aca="false">SUM(H9:H19)</f>
        <v>0</v>
      </c>
      <c r="I20" s="25"/>
    </row>
    <row r="22" customFormat="false" ht="21.75" hidden="false" customHeight="true" outlineLevel="0" collapsed="false">
      <c r="A22" s="4" t="s">
        <v>188</v>
      </c>
      <c r="B22" s="4"/>
      <c r="C22" s="4"/>
      <c r="D22" s="4"/>
      <c r="E22" s="4"/>
      <c r="F22" s="4"/>
      <c r="G22" s="4"/>
      <c r="H22" s="4"/>
      <c r="I22" s="4"/>
    </row>
    <row r="23" customFormat="false" ht="30" hidden="false" customHeight="true" outlineLevel="0" collapsed="false">
      <c r="A23" s="8" t="s">
        <v>21</v>
      </c>
      <c r="B23" s="8" t="s">
        <v>189</v>
      </c>
      <c r="C23" s="8" t="s">
        <v>190</v>
      </c>
      <c r="D23" s="8" t="s">
        <v>191</v>
      </c>
      <c r="E23" s="8"/>
      <c r="F23" s="8"/>
      <c r="G23" s="8"/>
      <c r="H23" s="8"/>
      <c r="I23" s="8"/>
    </row>
    <row r="24" customFormat="false" ht="19.5" hidden="false" customHeight="true" outlineLevel="0" collapsed="false">
      <c r="A24" s="9" t="n">
        <v>1</v>
      </c>
      <c r="B24" s="9" t="s">
        <v>192</v>
      </c>
      <c r="C24" s="35" t="s">
        <v>193</v>
      </c>
      <c r="D24" s="13" t="s">
        <v>194</v>
      </c>
      <c r="E24" s="12"/>
      <c r="F24" s="12"/>
      <c r="G24" s="12"/>
      <c r="H24" s="12"/>
      <c r="I24" s="12"/>
    </row>
    <row r="25" customFormat="false" ht="19.5" hidden="false" customHeight="true" outlineLevel="0" collapsed="false">
      <c r="A25" s="9" t="n">
        <v>2</v>
      </c>
      <c r="B25" s="9" t="s">
        <v>195</v>
      </c>
      <c r="C25" s="36" t="s">
        <v>196</v>
      </c>
      <c r="D25" s="13" t="s">
        <v>197</v>
      </c>
      <c r="E25" s="12"/>
      <c r="F25" s="12"/>
      <c r="G25" s="12"/>
      <c r="H25" s="12"/>
      <c r="I25" s="12"/>
    </row>
    <row r="26" customFormat="false" ht="19.5" hidden="false" customHeight="true" outlineLevel="0" collapsed="false">
      <c r="A26" s="9" t="n">
        <v>3</v>
      </c>
      <c r="B26" s="9" t="s">
        <v>198</v>
      </c>
      <c r="C26" s="36" t="s">
        <v>199</v>
      </c>
      <c r="D26" s="13" t="s">
        <v>200</v>
      </c>
      <c r="E26" s="12"/>
      <c r="F26" s="12"/>
      <c r="G26" s="12"/>
      <c r="H26" s="12"/>
      <c r="I26" s="12"/>
    </row>
    <row r="27" customFormat="false" ht="19.5" hidden="false" customHeight="true" outlineLevel="0" collapsed="false">
      <c r="A27" s="9" t="n">
        <v>4</v>
      </c>
      <c r="B27" s="9" t="s">
        <v>201</v>
      </c>
      <c r="C27" s="37" t="s">
        <v>202</v>
      </c>
      <c r="D27" s="13" t="s">
        <v>203</v>
      </c>
      <c r="E27" s="12"/>
      <c r="F27" s="12"/>
      <c r="G27" s="12"/>
      <c r="H27" s="12"/>
      <c r="I27" s="12"/>
    </row>
    <row r="29" customFormat="false" ht="15" hidden="false" customHeight="false" outlineLevel="0" collapsed="false">
      <c r="B29" s="17" t="s">
        <v>204</v>
      </c>
    </row>
    <row r="30" customFormat="false" ht="15.75" hidden="false" customHeight="true" outlineLevel="0" collapsed="false">
      <c r="C30" s="18" t="s">
        <v>205</v>
      </c>
      <c r="D30" s="18"/>
      <c r="E30" s="18"/>
      <c r="F30" s="18"/>
      <c r="G30" s="18"/>
      <c r="H30" s="18"/>
      <c r="I30" s="18"/>
    </row>
    <row r="31" customFormat="false" ht="15.75" hidden="false" customHeight="true" outlineLevel="0" collapsed="false">
      <c r="C31" s="18" t="s">
        <v>206</v>
      </c>
      <c r="D31" s="18"/>
      <c r="E31" s="18"/>
      <c r="F31" s="18"/>
      <c r="G31" s="18"/>
      <c r="H31" s="18"/>
      <c r="I31" s="18"/>
    </row>
    <row r="32" customFormat="false" ht="15.75" hidden="false" customHeight="true" outlineLevel="0" collapsed="false">
      <c r="C32" s="18" t="s">
        <v>207</v>
      </c>
      <c r="D32" s="18"/>
      <c r="E32" s="18"/>
      <c r="F32" s="18"/>
      <c r="G32" s="18"/>
      <c r="H32" s="18"/>
      <c r="I32" s="18"/>
    </row>
  </sheetData>
  <mergeCells count="8">
    <mergeCell ref="A1:I1"/>
    <mergeCell ref="A2:I2"/>
    <mergeCell ref="A4:I4"/>
    <mergeCell ref="A7:I7"/>
    <mergeCell ref="A22:I22"/>
    <mergeCell ref="C30:I30"/>
    <mergeCell ref="C31:I31"/>
    <mergeCell ref="C32:I32"/>
  </mergeCells>
  <conditionalFormatting sqref="G9:G19">
    <cfRule type="dataBar" priority="2">
      <dataBar showValue="1" minLength="10" maxLength="90">
        <cfvo type="num" val="0"/>
        <cfvo type="num" val="1.2"/>
        <color rgb="FFF5831F"/>
      </dataBar>
      <extLst>
        <ext xmlns:x14="http://schemas.microsoft.com/office/spreadsheetml/2009/9/main" uri="{B025F937-C7B1-47D3-B67F-A62EFF666E3E}">
          <x14:id>{ACE74320-A1C3-465E-9FF3-B7D980AB33C0}</x14:id>
        </ext>
      </extLst>
    </cfRule>
  </conditionalFormatting>
  <conditionalFormatting sqref="H20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0">
      <formula>0.7</formula>
    </cfRule>
  </conditionalFormatting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E74320-A1C3-465E-9FF3-B7D980AB33C0}">
            <x14:dataBar minLength="10" maxLength="90" axisPosition="none" gradient="true">
              <x14:cfvo type="num">
                <xm:f>0</xm:f>
              </x14:cfvo>
              <x14:cfvo type="num">
                <xm:f>1.2</xm:f>
              </x14:cfvo>
              <x14:negativeFillColor rgb="FFF5831F"/>
              <x14:axisColor rgb="FF000000"/>
            </x14:dataBar>
          </x14:cfRule>
          <xm:sqref>G9:G19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2026-08-20T11:36:31Z</dcterms:created>
  <dc:creator>openpyxl</dc:creator>
  <dc:description/>
  <dc:language>en-US</dc:language>
  <cp:lastModifiedBy/>
  <dcterms:modified xsi:type="dcterms:W3CDTF">2026-08-20T11:36:31Z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