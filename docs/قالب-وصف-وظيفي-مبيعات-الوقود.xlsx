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وصف الوظيفي" sheetId="1" state="visible" r:id="rId1"/>
    <sheet xmlns:r="http://schemas.openxmlformats.org/officeDocument/2006/relationships" name="مؤشرات الأداء" sheetId="2" state="visible" r:id="rId2"/>
    <sheet xmlns:r="http://schemas.openxmlformats.org/officeDocument/2006/relationships" name="نموذج التقيي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DIN Next Arabic"/>
      <b val="1"/>
      <color rgb="0055565A"/>
      <sz val="16"/>
    </font>
    <font>
      <name val="DIN Next Arabic"/>
      <color rgb="006E6A64"/>
      <sz val="10"/>
    </font>
    <font>
      <name val="DIN Next Arabic"/>
      <b val="1"/>
      <color rgb="00F5831F"/>
      <sz val="12"/>
    </font>
    <font>
      <name val="DIN Next Arabic"/>
      <b val="1"/>
      <color rgb="003D3D3D"/>
      <sz val="10"/>
    </font>
    <font>
      <name val="DIN Next Arabic"/>
      <color rgb="003E6E8E"/>
      <sz val="10"/>
    </font>
    <font>
      <name val="DIN Next Arabic"/>
      <color rgb="003D3D3D"/>
      <sz val="11"/>
    </font>
    <font>
      <name val="DIN Next Arabic"/>
      <b val="1"/>
      <color rgb="00FFFFFF"/>
      <sz val="10"/>
    </font>
    <font>
      <name val="DIN Next Arabic"/>
      <color rgb="003D3D3D"/>
      <sz val="10"/>
    </font>
    <font>
      <name val="DIN Next Arabic"/>
      <b val="1"/>
      <color rgb="0055565A"/>
      <sz val="10"/>
    </font>
    <font>
      <name val="DIN Next Arabic"/>
      <sz val="10"/>
    </font>
    <font>
      <name val="DIN Next Arabic"/>
      <b val="1"/>
      <color rgb="00C00000"/>
      <sz val="10"/>
    </font>
    <font>
      <name val="DIN Next Arabic"/>
      <color rgb="009B968E"/>
      <sz val="9"/>
    </font>
    <font>
      <name val="DIN Next Arabic"/>
      <color rgb="002E8B6F"/>
      <sz val="10"/>
    </font>
  </fonts>
  <fills count="10">
    <fill>
      <patternFill/>
    </fill>
    <fill>
      <patternFill patternType="gray125"/>
    </fill>
    <fill>
      <patternFill patternType="solid">
        <fgColor rgb="00F5831F"/>
      </patternFill>
    </fill>
    <fill>
      <patternFill patternType="solid">
        <fgColor rgb="00FBEEE0"/>
      </patternFill>
    </fill>
    <fill>
      <patternFill patternType="solid">
        <fgColor rgb="00FCE7C8"/>
      </patternFill>
    </fill>
    <fill>
      <patternFill patternType="solid">
        <fgColor rgb="0055565A"/>
      </patternFill>
    </fill>
    <fill>
      <patternFill patternType="solid">
        <fgColor rgb="00F2DAD4"/>
      </patternFill>
    </fill>
    <fill>
      <patternFill patternType="solid">
        <fgColor rgb="00D6E9E1"/>
      </patternFill>
    </fill>
    <fill>
      <patternFill patternType="solid">
        <fgColor rgb="00EDE7DE"/>
      </patternFill>
    </fill>
    <fill>
      <patternFill patternType="solid">
        <fgColor rgb="00F5F2ED"/>
      </patternFill>
    </fill>
  </fills>
  <borders count="2">
    <border>
      <left/>
      <right/>
      <top/>
      <bottom/>
      <diagonal/>
    </border>
    <border>
      <left style="thin">
        <color rgb="00E3DCD1"/>
      </left>
      <right style="thin">
        <color rgb="00E3DCD1"/>
      </right>
      <top style="thin">
        <color rgb="00E3DCD1"/>
      </top>
      <bottom style="thin">
        <color rgb="00E3DCD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0" borderId="0" applyAlignment="1" pivotButton="0" quotePrefix="0" xfId="0">
      <alignment horizontal="right" vertical="center" readingOrder="2"/>
    </xf>
    <xf numFmtId="0" fontId="5" fillId="4" borderId="1" applyAlignment="1" pivotButton="0" quotePrefix="0" xfId="0">
      <alignment horizontal="right" vertical="center" readingOrder="2"/>
    </xf>
    <xf numFmtId="0" fontId="6" fillId="0" borderId="0" applyAlignment="1" pivotButton="0" quotePrefix="0" xfId="0">
      <alignment horizontal="right" vertical="center" readingOrder="2"/>
    </xf>
    <xf numFmtId="0" fontId="7" fillId="5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readingOrder="2"/>
    </xf>
    <xf numFmtId="0" fontId="8" fillId="0" borderId="1" applyAlignment="1" pivotButton="0" quotePrefix="0" xfId="0">
      <alignment horizontal="right" vertical="top" wrapText="1" readingOrder="2"/>
    </xf>
    <xf numFmtId="0" fontId="8" fillId="0" borderId="1" pivotButton="0" quotePrefix="0" xfId="0"/>
    <xf numFmtId="0" fontId="8" fillId="0" borderId="1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right" vertical="center" readingOrder="2"/>
    </xf>
    <xf numFmtId="0" fontId="9" fillId="0" borderId="0" applyAlignment="1" pivotButton="0" quotePrefix="0" xfId="0">
      <alignment horizontal="right" vertical="center" readingOrder="2"/>
    </xf>
    <xf numFmtId="0" fontId="10" fillId="0" borderId="0" applyAlignment="1" pivotButton="0" quotePrefix="0" xfId="0">
      <alignment horizontal="right" vertical="center" readingOrder="2"/>
    </xf>
    <xf numFmtId="0" fontId="11" fillId="0" borderId="0" applyAlignment="1" pivotButton="0" quotePrefix="0" xfId="0">
      <alignment horizontal="right" vertical="center" readingOrder="2"/>
    </xf>
    <xf numFmtId="0" fontId="4" fillId="7" borderId="1" applyAlignment="1" pivotButton="0" quotePrefix="0" xfId="0">
      <alignment horizontal="right" vertical="center" readingOrder="2"/>
    </xf>
    <xf numFmtId="9" fontId="5" fillId="4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center" vertical="center" wrapText="1" readingOrder="2"/>
    </xf>
    <xf numFmtId="0" fontId="4" fillId="8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4" fillId="8" borderId="1" applyAlignment="1" pivotButton="0" quotePrefix="0" xfId="0">
      <alignment horizontal="center" vertical="center" wrapText="1" readingOrder="2"/>
    </xf>
    <xf numFmtId="9" fontId="4" fillId="8" borderId="1" applyAlignment="1" pivotButton="0" quotePrefix="0" xfId="0">
      <alignment horizontal="center" vertical="center" wrapText="1" readingOrder="2"/>
    </xf>
    <xf numFmtId="0" fontId="12" fillId="0" borderId="0" applyAlignment="1" pivotButton="0" quotePrefix="0" xfId="0">
      <alignment horizontal="right" vertical="center" readingOrder="2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 readingOrder="2"/>
    </xf>
    <xf numFmtId="0" fontId="13" fillId="9" borderId="1" applyAlignment="1" pivotButton="0" quotePrefix="0" xfId="0">
      <alignment horizontal="center" vertical="center" wrapText="1" readingOrder="2"/>
    </xf>
    <xf numFmtId="9" fontId="13" fillId="9" borderId="1" applyAlignment="1" pivotButton="0" quotePrefix="0" xfId="0">
      <alignment horizontal="center" vertical="center" wrapText="1" readingOrder="2"/>
    </xf>
    <xf numFmtId="9" fontId="8" fillId="9" borderId="1" applyAlignment="1" pivotButton="0" quotePrefix="0" xfId="0">
      <alignment horizontal="center" vertical="center" wrapText="1" readingOrder="2"/>
    </xf>
    <xf numFmtId="164" fontId="8" fillId="9" borderId="1" applyAlignment="1" pivotButton="0" quotePrefix="0" xfId="0">
      <alignment horizontal="center" vertical="center" wrapText="1" readingOrder="2"/>
    </xf>
    <xf numFmtId="164" fontId="4" fillId="8" borderId="1" applyAlignment="1" pivotButton="0" quotePrefix="0" xfId="0">
      <alignment horizontal="center" vertical="center" wrapText="1" readingOrder="2"/>
    </xf>
    <xf numFmtId="0" fontId="4" fillId="7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dxfs count="2">
    <dxf>
      <font>
        <name val="DIN Next Arabic"/>
        <b val="1"/>
        <color rgb="009A3E2C"/>
        <sz val="10"/>
      </font>
      <fill>
        <patternFill patternType="solid">
          <fgColor rgb="00F2DAD4"/>
        </patternFill>
      </fill>
    </dxf>
    <dxf>
      <font>
        <name val="DIN Next Arabic"/>
        <b val="1"/>
        <color rgb="001F5E4A"/>
        <sz val="10"/>
      </font>
      <fill>
        <patternFill patternType="solid">
          <fgColor rgb="00D6E9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الوصف الوظيفي — أخصائي مبيعات الوقود</t>
        </is>
      </c>
    </row>
    <row r="2" ht="16" customHeight="1">
      <c r="A2" s="2" t="inlineStr">
        <is>
          <t>قالب عام قابل للتكييف على أي منطقة أو قناة — الخانات الملوّنة تُعبَّأ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" customHeight="1">
      <c r="A4" s="4" t="inlineStr">
        <is>
          <t>① بيانات الوظيفة</t>
        </is>
      </c>
    </row>
    <row r="5">
      <c r="B5" s="5" t="inlineStr">
        <is>
          <t>المسمى الوظيفي</t>
        </is>
      </c>
      <c r="C5" s="6" t="inlineStr">
        <is>
          <t>أخصائي مبيعات وقود</t>
        </is>
      </c>
    </row>
    <row r="6">
      <c r="B6" s="5" t="inlineStr">
        <is>
          <t>الإدارة</t>
        </is>
      </c>
      <c r="C6" s="6" t="inlineStr">
        <is>
          <t>الإدارة التجارية</t>
        </is>
      </c>
    </row>
    <row r="7">
      <c r="B7" s="5" t="inlineStr">
        <is>
          <t>القسم</t>
        </is>
      </c>
      <c r="C7" s="6" t="inlineStr">
        <is>
          <t>مبيعات الوقود — قناة الشركات</t>
        </is>
      </c>
    </row>
    <row r="8">
      <c r="B8" s="5" t="inlineStr">
        <is>
          <t>يرفع إلى</t>
        </is>
      </c>
      <c r="C8" s="6" t="inlineStr">
        <is>
          <t>مدير مبيعات الوقود</t>
        </is>
      </c>
    </row>
    <row r="9">
      <c r="B9" s="5" t="inlineStr">
        <is>
          <t>الموقع / النطاق</t>
        </is>
      </c>
      <c r="C9" s="6" t="n"/>
    </row>
    <row r="10">
      <c r="B10" s="5" t="inlineStr">
        <is>
          <t>الدرجة الوظيفية</t>
        </is>
      </c>
      <c r="C10" s="6" t="n"/>
    </row>
    <row r="11">
      <c r="B11" s="5" t="inlineStr">
        <is>
          <t>عدد المرؤوسين</t>
        </is>
      </c>
      <c r="C11" s="6" t="inlineStr">
        <is>
          <t>لا يوجد</t>
        </is>
      </c>
    </row>
    <row r="12">
      <c r="B12" s="5" t="inlineStr">
        <is>
          <t>تاريخ الاعتماد</t>
        </is>
      </c>
      <c r="C12" s="6" t="n"/>
    </row>
    <row r="14" ht="22" customHeight="1">
      <c r="A14" s="4" t="inlineStr">
        <is>
          <t>② الغرض من الوظيفة</t>
        </is>
      </c>
    </row>
    <row r="15" ht="18" customHeight="1">
      <c r="B15" s="7" t="inlineStr">
        <is>
          <t>تنمية حجم مبيعات الوقود للعملاء من المنشآت وأصحاب الأساطيل داخل النطاق المحدد،</t>
        </is>
      </c>
    </row>
    <row r="16" ht="18" customHeight="1">
      <c r="B16" s="7" t="inlineStr">
        <is>
          <t>عبر التعاقد المباشر وتثبيت الحجم القائم بشرط نمو موثّق فوق خط الأساس،</t>
        </is>
      </c>
    </row>
    <row r="17" ht="18" customHeight="1">
      <c r="B17" s="7" t="inlineStr">
        <is>
          <t>بما يحقق نمواً صافياً في الهامش لا مجرد تحويل حجم قائم إلى عقود مخفَّضة.</t>
        </is>
      </c>
    </row>
    <row r="20" ht="22" customHeight="1">
      <c r="A20" s="4" t="inlineStr">
        <is>
          <t>③ المسؤوليات الرئيسية</t>
        </is>
      </c>
    </row>
    <row r="21" ht="30" customHeight="1">
      <c r="A21" s="8" t="inlineStr">
        <is>
          <t>#</t>
        </is>
      </c>
      <c r="B21" s="8" t="inlineStr">
        <is>
          <t>المسؤولية</t>
        </is>
      </c>
      <c r="C21" s="8" t="inlineStr">
        <is>
          <t>الوصف</t>
        </is>
      </c>
      <c r="D21" s="8" t="inlineStr">
        <is>
          <t>المخرج المتوقع</t>
        </is>
      </c>
      <c r="E21" s="8" t="inlineStr"/>
      <c r="F21" s="8" t="inlineStr"/>
      <c r="G21" s="8" t="inlineStr"/>
      <c r="H21" s="8" t="inlineStr"/>
      <c r="I21" s="8" t="inlineStr"/>
      <c r="J21" s="8" t="inlineStr">
        <is>
          <t>الدورية</t>
        </is>
      </c>
    </row>
    <row r="22" ht="30" customHeight="1">
      <c r="A22" s="9" t="n">
        <v>1</v>
      </c>
      <c r="B22" s="10" t="inlineStr">
        <is>
          <t>حصر السوق</t>
        </is>
      </c>
      <c r="C22" s="11" t="inlineStr">
        <is>
          <t>بناء قاعدة الأساطيل والمنشآت داخل النطاق وتصنيفها بالحجم والقطاع</t>
        </is>
      </c>
      <c r="D22" s="11" t="inlineStr">
        <is>
          <t>قاعدة عملاء محدَّثة بالحجم التقديري لكل أسطول</t>
        </is>
      </c>
      <c r="E22" s="12" t="n"/>
      <c r="F22" s="12" t="n"/>
      <c r="G22" s="12" t="n"/>
      <c r="H22" s="12" t="n"/>
      <c r="I22" s="12" t="n"/>
      <c r="J22" s="9" t="inlineStr">
        <is>
          <t>شهرية</t>
        </is>
      </c>
    </row>
    <row r="23" ht="30" customHeight="1">
      <c r="A23" s="9" t="n">
        <v>2</v>
      </c>
      <c r="B23" s="10" t="inlineStr">
        <is>
          <t>الاستهداف</t>
        </is>
      </c>
      <c r="C23" s="11" t="inlineStr">
        <is>
          <t>ترتيب العملاء بالأولوية: من لا يشتري منّا أولاً ثم من يشتري بلا عقد</t>
        </is>
      </c>
      <c r="D23" s="11" t="inlineStr">
        <is>
          <t>قائمة أولويات ربعية معتمدة من المدير</t>
        </is>
      </c>
      <c r="E23" s="12" t="n"/>
      <c r="F23" s="12" t="n"/>
      <c r="G23" s="12" t="n"/>
      <c r="H23" s="12" t="n"/>
      <c r="I23" s="12" t="n"/>
      <c r="J23" s="9" t="inlineStr">
        <is>
          <t>ربعية</t>
        </is>
      </c>
    </row>
    <row r="24" ht="30" customHeight="1">
      <c r="A24" s="9" t="n">
        <v>3</v>
      </c>
      <c r="B24" s="10" t="inlineStr">
        <is>
          <t>الزيارات الميدانية</t>
        </is>
      </c>
      <c r="C24" s="11" t="inlineStr">
        <is>
          <t>زيارة مقرات الأساطيل ومقابلة متخذ القرار لا موظف التشغيل</t>
        </is>
      </c>
      <c r="D24" s="11" t="inlineStr">
        <is>
          <t>تقرير زيارة لكل عميل يتضمن الحجم والمورّد الحالي</t>
        </is>
      </c>
      <c r="E24" s="12" t="n"/>
      <c r="F24" s="12" t="n"/>
      <c r="G24" s="12" t="n"/>
      <c r="H24" s="12" t="n"/>
      <c r="I24" s="12" t="n"/>
      <c r="J24" s="9" t="inlineStr">
        <is>
          <t>أسبوعية</t>
        </is>
      </c>
    </row>
    <row r="25" ht="30" customHeight="1">
      <c r="A25" s="9" t="n">
        <v>4</v>
      </c>
      <c r="B25" s="10" t="inlineStr">
        <is>
          <t>بناء العرض</t>
        </is>
      </c>
      <c r="C25" s="11" t="inlineStr">
        <is>
          <t>إعداد عرض سعري يوازن بين الخصم الممنوح والتزام الحجم</t>
        </is>
      </c>
      <c r="D25" s="11" t="inlineStr">
        <is>
          <t>عرض موقّع يتضمن حجماً ملتزماً وخط أساس مرجعي</t>
        </is>
      </c>
      <c r="E25" s="12" t="n"/>
      <c r="F25" s="12" t="n"/>
      <c r="G25" s="12" t="n"/>
      <c r="H25" s="12" t="n"/>
      <c r="I25" s="12" t="n"/>
      <c r="J25" s="9" t="inlineStr">
        <is>
          <t>لكل فرصة</t>
        </is>
      </c>
    </row>
    <row r="26" ht="30" customHeight="1">
      <c r="A26" s="9" t="n">
        <v>5</v>
      </c>
      <c r="B26" s="10" t="inlineStr">
        <is>
          <t>التعاقد</t>
        </is>
      </c>
      <c r="C26" s="11" t="inlineStr">
        <is>
          <t>إتمام العقد بالتنسيق مع الشؤون القانونية والائتمان</t>
        </is>
      </c>
      <c r="D26" s="11" t="inlineStr">
        <is>
          <t>عقد نافذ بحدود ائتمان ومدة وآلية فوترة</t>
        </is>
      </c>
      <c r="E26" s="12" t="n"/>
      <c r="F26" s="12" t="n"/>
      <c r="G26" s="12" t="n"/>
      <c r="H26" s="12" t="n"/>
      <c r="I26" s="12" t="n"/>
      <c r="J26" s="9" t="inlineStr">
        <is>
          <t>لكل فرصة</t>
        </is>
      </c>
    </row>
    <row r="27" ht="30" customHeight="1">
      <c r="A27" s="9" t="n">
        <v>6</v>
      </c>
      <c r="B27" s="10" t="inlineStr">
        <is>
          <t>التفعيل</t>
        </is>
      </c>
      <c r="C27" s="11" t="inlineStr">
        <is>
          <t>تسليم العميل لفريق التشغيل وضمان أول تعبئة خلال مدة محددة</t>
        </is>
      </c>
      <c r="D27" s="11" t="inlineStr">
        <is>
          <t>أول معاملة مسجّلة على العقد</t>
        </is>
      </c>
      <c r="E27" s="12" t="n"/>
      <c r="F27" s="12" t="n"/>
      <c r="G27" s="12" t="n"/>
      <c r="H27" s="12" t="n"/>
      <c r="I27" s="12" t="n"/>
      <c r="J27" s="9" t="inlineStr">
        <is>
          <t>لكل عقد</t>
        </is>
      </c>
    </row>
    <row r="28" ht="30" customHeight="1">
      <c r="A28" s="9" t="n">
        <v>7</v>
      </c>
      <c r="B28" s="10" t="inlineStr">
        <is>
          <t>المتابعة والتنمية</t>
        </is>
      </c>
      <c r="C28" s="11" t="inlineStr">
        <is>
          <t>مراقبة حجم كل عقد مقابل التزامه ومعالجة الانحراف</t>
        </is>
      </c>
      <c r="D28" s="11" t="inlineStr">
        <is>
          <t>تقرير انحراف شهري لكل عقد وخطة معالجة</t>
        </is>
      </c>
      <c r="E28" s="12" t="n"/>
      <c r="F28" s="12" t="n"/>
      <c r="G28" s="12" t="n"/>
      <c r="H28" s="12" t="n"/>
      <c r="I28" s="12" t="n"/>
      <c r="J28" s="9" t="inlineStr">
        <is>
          <t>شهرية</t>
        </is>
      </c>
    </row>
    <row r="29" ht="30" customHeight="1">
      <c r="A29" s="9" t="n">
        <v>8</v>
      </c>
      <c r="B29" s="10" t="inlineStr">
        <is>
          <t>التحصيل</t>
        </is>
      </c>
      <c r="C29" s="11" t="inlineStr">
        <is>
          <t>متابعة الفوترة والتحصيل ضمن المدة الائتمانية المعتمدة</t>
        </is>
      </c>
      <c r="D29" s="11" t="inlineStr">
        <is>
          <t>عمر ديون ضمن الحد المعتمد</t>
        </is>
      </c>
      <c r="E29" s="12" t="n"/>
      <c r="F29" s="12" t="n"/>
      <c r="G29" s="12" t="n"/>
      <c r="H29" s="12" t="n"/>
      <c r="I29" s="12" t="n"/>
      <c r="J29" s="9" t="inlineStr">
        <is>
          <t>شهرية</t>
        </is>
      </c>
    </row>
    <row r="30" ht="30" customHeight="1">
      <c r="A30" s="9" t="n">
        <v>9</v>
      </c>
      <c r="B30" s="10" t="inlineStr">
        <is>
          <t>رصد المنافسة</t>
        </is>
      </c>
      <c r="C30" s="11" t="inlineStr">
        <is>
          <t>توثيق عروض المنافسين وأسعارهم وشروطهم داخل النطاق</t>
        </is>
      </c>
      <c r="D30" s="11" t="inlineStr">
        <is>
          <t>تقرير منافسة ربعي</t>
        </is>
      </c>
      <c r="E30" s="12" t="n"/>
      <c r="F30" s="12" t="n"/>
      <c r="G30" s="12" t="n"/>
      <c r="H30" s="12" t="n"/>
      <c r="I30" s="12" t="n"/>
      <c r="J30" s="9" t="inlineStr">
        <is>
          <t>ربعية</t>
        </is>
      </c>
    </row>
    <row r="32" ht="22" customHeight="1">
      <c r="A32" s="4" t="inlineStr">
        <is>
          <t>④ حدود الصلاحية</t>
        </is>
      </c>
    </row>
    <row r="33" ht="30" customHeight="1">
      <c r="A33" s="8" t="inlineStr">
        <is>
          <t>#</t>
        </is>
      </c>
      <c r="B33" s="8" t="inlineStr">
        <is>
          <t>البند</t>
        </is>
      </c>
      <c r="C33" s="8" t="inlineStr">
        <is>
          <t>الحد</t>
        </is>
      </c>
      <c r="D33" s="8" t="inlineStr">
        <is>
          <t>من يعتمد ما يتجاوزه</t>
        </is>
      </c>
      <c r="E33" s="8" t="inlineStr"/>
      <c r="F33" s="8" t="inlineStr"/>
      <c r="G33" s="8" t="inlineStr"/>
      <c r="H33" s="8" t="inlineStr"/>
      <c r="I33" s="8" t="inlineStr"/>
      <c r="J33" s="8" t="inlineStr"/>
    </row>
    <row r="34" ht="20" customHeight="1">
      <c r="A34" s="9" t="n">
        <v>1</v>
      </c>
      <c r="B34" s="10" t="inlineStr">
        <is>
          <t>الخصم الممنوح</t>
        </is>
      </c>
      <c r="C34" s="13" t="inlineStr">
        <is>
          <t>حتى الحد المعتمد لكل لتر</t>
        </is>
      </c>
      <c r="D34" s="13" t="inlineStr">
        <is>
          <t>مدير مبيعات الوقود</t>
        </is>
      </c>
      <c r="E34" s="12" t="n"/>
      <c r="F34" s="12" t="n"/>
      <c r="G34" s="12" t="n"/>
      <c r="H34" s="12" t="n"/>
      <c r="I34" s="12" t="n"/>
      <c r="J34" s="12" t="n"/>
    </row>
    <row r="35" ht="20" customHeight="1">
      <c r="A35" s="9" t="n">
        <v>2</v>
      </c>
      <c r="B35" s="10" t="inlineStr">
        <is>
          <t>مدة الائتمان</t>
        </is>
      </c>
      <c r="C35" s="13" t="inlineStr">
        <is>
          <t>حتى المدة المعتمدة</t>
        </is>
      </c>
      <c r="D35" s="13" t="inlineStr">
        <is>
          <t>الإدارة المالية</t>
        </is>
      </c>
      <c r="E35" s="12" t="n"/>
      <c r="F35" s="12" t="n"/>
      <c r="G35" s="12" t="n"/>
      <c r="H35" s="12" t="n"/>
      <c r="I35" s="12" t="n"/>
      <c r="J35" s="12" t="n"/>
    </row>
    <row r="36" ht="20" customHeight="1">
      <c r="A36" s="9" t="n">
        <v>3</v>
      </c>
      <c r="B36" s="10" t="inlineStr">
        <is>
          <t>سقف الائتمان لكل عميل</t>
        </is>
      </c>
      <c r="C36" s="13" t="inlineStr">
        <is>
          <t>حسب تصنيف العميل الائتماني</t>
        </is>
      </c>
      <c r="D36" s="13" t="inlineStr">
        <is>
          <t>لجنة الائتمان</t>
        </is>
      </c>
      <c r="E36" s="12" t="n"/>
      <c r="F36" s="12" t="n"/>
      <c r="G36" s="12" t="n"/>
      <c r="H36" s="12" t="n"/>
      <c r="I36" s="12" t="n"/>
      <c r="J36" s="12" t="n"/>
    </row>
    <row r="37" ht="20" customHeight="1">
      <c r="A37" s="9" t="n">
        <v>4</v>
      </c>
      <c r="B37" s="10" t="inlineStr">
        <is>
          <t>مدة العقد</t>
        </is>
      </c>
      <c r="C37" s="13" t="inlineStr">
        <is>
          <t>سنة قابلة للتجديد</t>
        </is>
      </c>
      <c r="D37" s="13" t="inlineStr">
        <is>
          <t>مدير مبيعات الوقود</t>
        </is>
      </c>
      <c r="E37" s="12" t="n"/>
      <c r="F37" s="12" t="n"/>
      <c r="G37" s="12" t="n"/>
      <c r="H37" s="12" t="n"/>
      <c r="I37" s="12" t="n"/>
      <c r="J37" s="12" t="n"/>
    </row>
    <row r="38" ht="20" customHeight="1">
      <c r="A38" s="14" t="n">
        <v>5</v>
      </c>
      <c r="B38" s="15" t="inlineStr">
        <is>
          <t>التسعير دون التكلفة</t>
        </is>
      </c>
      <c r="C38" s="16" t="inlineStr">
        <is>
          <t>غير مصرّح به إطلاقاً</t>
        </is>
      </c>
      <c r="D38" s="16" t="inlineStr">
        <is>
          <t>لا يُعتمد</t>
        </is>
      </c>
      <c r="E38" s="12" t="n"/>
      <c r="F38" s="12" t="n"/>
      <c r="G38" s="12" t="n"/>
      <c r="H38" s="12" t="n"/>
      <c r="I38" s="12" t="n"/>
      <c r="J38" s="12" t="n"/>
    </row>
    <row r="40" ht="22" customHeight="1">
      <c r="A40" s="4" t="inlineStr">
        <is>
          <t>⑤ المؤهلات والجدارات</t>
        </is>
      </c>
    </row>
    <row r="41" ht="30" customHeight="1">
      <c r="A41" s="8" t="inlineStr">
        <is>
          <t>#</t>
        </is>
      </c>
      <c r="B41" s="8" t="inlineStr">
        <is>
          <t>البند</t>
        </is>
      </c>
      <c r="C41" s="8" t="inlineStr">
        <is>
          <t>الحد الأدنى</t>
        </is>
      </c>
      <c r="D41" s="8" t="inlineStr">
        <is>
          <t>المفضَّل</t>
        </is>
      </c>
      <c r="E41" s="8" t="inlineStr"/>
      <c r="F41" s="8" t="inlineStr"/>
      <c r="G41" s="8" t="inlineStr"/>
      <c r="H41" s="8" t="inlineStr"/>
      <c r="I41" s="8" t="inlineStr"/>
      <c r="J41" s="8" t="inlineStr"/>
    </row>
    <row r="42" ht="22" customHeight="1">
      <c r="A42" s="9" t="n">
        <v>1</v>
      </c>
      <c r="B42" s="10" t="inlineStr">
        <is>
          <t>المؤهل العلمي</t>
        </is>
      </c>
      <c r="C42" s="11" t="inlineStr">
        <is>
          <t>بكالوريوس إدارة أعمال أو تسويق أو ما يعادله</t>
        </is>
      </c>
      <c r="D42" s="11" t="inlineStr">
        <is>
          <t>دبلوم مبيعات أو تمويل</t>
        </is>
      </c>
      <c r="E42" s="12" t="n"/>
      <c r="F42" s="12" t="n"/>
      <c r="G42" s="12" t="n"/>
      <c r="H42" s="12" t="n"/>
      <c r="I42" s="12" t="n"/>
      <c r="J42" s="12" t="n"/>
    </row>
    <row r="43" ht="22" customHeight="1">
      <c r="A43" s="9" t="n">
        <v>2</v>
      </c>
      <c r="B43" s="10" t="inlineStr">
        <is>
          <t>سنوات الخبرة</t>
        </is>
      </c>
      <c r="C43" s="11" t="inlineStr">
        <is>
          <t>٣ سنوات في مبيعات الشركات</t>
        </is>
      </c>
      <c r="D43" s="11" t="inlineStr">
        <is>
          <t>خبرة في الوقود أو النقل أو اللوجستيات</t>
        </is>
      </c>
      <c r="E43" s="12" t="n"/>
      <c r="F43" s="12" t="n"/>
      <c r="G43" s="12" t="n"/>
      <c r="H43" s="12" t="n"/>
      <c r="I43" s="12" t="n"/>
      <c r="J43" s="12" t="n"/>
    </row>
    <row r="44" ht="22" customHeight="1">
      <c r="A44" s="9" t="n">
        <v>3</v>
      </c>
      <c r="B44" s="10" t="inlineStr">
        <is>
          <t>المعرفة الفنية</t>
        </is>
      </c>
      <c r="C44" s="11" t="inlineStr">
        <is>
          <t>احتساب الهامش لكل لتر وقراءة قائمة أسعار</t>
        </is>
      </c>
      <c r="D44" s="11" t="inlineStr">
        <is>
          <t>الإلمام بمنصات إدارة الأساطيل</t>
        </is>
      </c>
      <c r="E44" s="12" t="n"/>
      <c r="F44" s="12" t="n"/>
      <c r="G44" s="12" t="n"/>
      <c r="H44" s="12" t="n"/>
      <c r="I44" s="12" t="n"/>
      <c r="J44" s="12" t="n"/>
    </row>
    <row r="45" ht="22" customHeight="1">
      <c r="A45" s="9" t="n">
        <v>4</v>
      </c>
      <c r="B45" s="10" t="inlineStr">
        <is>
          <t>الأدوات</t>
        </is>
      </c>
      <c r="C45" s="11" t="inlineStr">
        <is>
          <t>إكسل ونظام إدارة علاقات العملاء</t>
        </is>
      </c>
      <c r="D45" s="11" t="inlineStr">
        <is>
          <t>تحليل بيانات المبيعات</t>
        </is>
      </c>
      <c r="E45" s="12" t="n"/>
      <c r="F45" s="12" t="n"/>
      <c r="G45" s="12" t="n"/>
      <c r="H45" s="12" t="n"/>
      <c r="I45" s="12" t="n"/>
      <c r="J45" s="12" t="n"/>
    </row>
    <row r="46" ht="22" customHeight="1">
      <c r="A46" s="9" t="n">
        <v>5</v>
      </c>
      <c r="B46" s="10" t="inlineStr">
        <is>
          <t>اللغة</t>
        </is>
      </c>
      <c r="C46" s="11" t="inlineStr">
        <is>
          <t>العربية بطلاقة</t>
        </is>
      </c>
      <c r="D46" s="11" t="inlineStr">
        <is>
          <t>الإنجليزية للتعامل مع الأساطيل الأجنبية</t>
        </is>
      </c>
      <c r="E46" s="12" t="n"/>
      <c r="F46" s="12" t="n"/>
      <c r="G46" s="12" t="n"/>
      <c r="H46" s="12" t="n"/>
      <c r="I46" s="12" t="n"/>
      <c r="J46" s="12" t="n"/>
    </row>
    <row r="47" ht="22" customHeight="1">
      <c r="A47" s="9" t="n">
        <v>6</v>
      </c>
      <c r="B47" s="10" t="inlineStr">
        <is>
          <t>الرخصة</t>
        </is>
      </c>
      <c r="C47" s="11" t="inlineStr">
        <is>
          <t>رخصة قيادة سارية</t>
        </is>
      </c>
      <c r="D47" s="11" t="inlineStr">
        <is>
          <t>—</t>
        </is>
      </c>
      <c r="E47" s="12" t="n"/>
      <c r="F47" s="12" t="n"/>
      <c r="G47" s="12" t="n"/>
      <c r="H47" s="12" t="n"/>
      <c r="I47" s="12" t="n"/>
      <c r="J47" s="12" t="n"/>
    </row>
    <row r="49">
      <c r="B49" s="17" t="inlineStr">
        <is>
          <t>الجدارات السلوكية</t>
        </is>
      </c>
    </row>
    <row r="50" ht="16" customHeight="1">
      <c r="C50" s="18" t="inlineStr">
        <is>
          <t>•  التفاوض: يوازن بين الخصم والتزام الحجم ولا يشتري العقد بالسعر</t>
        </is>
      </c>
    </row>
    <row r="51" ht="16" customHeight="1">
      <c r="C51" s="18" t="inlineStr">
        <is>
          <t>•  الانضباط في المتابعة: العقد يبدأ عند التوقيع لا ينتهي عنده</t>
        </is>
      </c>
    </row>
    <row r="52" ht="16" customHeight="1">
      <c r="C52" s="18" t="inlineStr">
        <is>
          <t>•  قراءة الرقم: يعرف أثر كل هللة خصم على هامش الشركة قبل أن يمنحها</t>
        </is>
      </c>
    </row>
    <row r="53" ht="16" customHeight="1">
      <c r="C53" s="18" t="inlineStr">
        <is>
          <t>•  الاستقلالية الميدانية: يدير جدول زياراته بلا إشراف يومي</t>
        </is>
      </c>
    </row>
    <row r="55">
      <c r="B55" s="19" t="inlineStr">
        <is>
          <t>ما يجعل شاغل الوظيفة فاشلاً ولو بلغ الحجم</t>
        </is>
      </c>
    </row>
    <row r="56" ht="16" customHeight="1">
      <c r="C56" s="18" t="inlineStr">
        <is>
          <t>•  تحويل حجم قائم إلى عقود مخفَّضة — الشركة تخسر على كل لتر كانت تبيعه أصلاً</t>
        </is>
      </c>
    </row>
    <row r="57" ht="16" customHeight="1">
      <c r="C57" s="18" t="inlineStr">
        <is>
          <t>•  بيع الخصم بلا التزام حجم مكتوب وخط أساس مرجعي</t>
        </is>
      </c>
    </row>
    <row r="58" ht="16" customHeight="1">
      <c r="C58" s="18" t="inlineStr">
        <is>
          <t>•  ترك العقد بلا متابعة بعد التوقيع فينحرف الحجم دون معالجة</t>
        </is>
      </c>
    </row>
    <row r="59" ht="16" customHeight="1">
      <c r="C59" s="18" t="inlineStr">
        <is>
          <t>•  تجاوز حدود الائتمان لإغلاق صفقة</t>
        </is>
      </c>
    </row>
  </sheetData>
  <mergeCells count="18">
    <mergeCell ref="B15:J15"/>
    <mergeCell ref="A1:J1"/>
    <mergeCell ref="C56:J56"/>
    <mergeCell ref="A32:J32"/>
    <mergeCell ref="A14:J14"/>
    <mergeCell ref="C52:J52"/>
    <mergeCell ref="C59:J59"/>
    <mergeCell ref="A40:J40"/>
    <mergeCell ref="C51:J51"/>
    <mergeCell ref="C58:J58"/>
    <mergeCell ref="B17:J17"/>
    <mergeCell ref="C50:J50"/>
    <mergeCell ref="A4:J4"/>
    <mergeCell ref="A20:J20"/>
    <mergeCell ref="C57:J57"/>
    <mergeCell ref="A2:J2"/>
    <mergeCell ref="C53:J53"/>
    <mergeCell ref="B16:J16"/>
  </mergeCells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30" customWidth="1" min="4" max="4"/>
    <col width="16" customWidth="1" min="5" max="5"/>
    <col width="9" customWidth="1" min="6" max="6"/>
    <col width="12" customWidth="1" min="7" max="7"/>
    <col width="13" customWidth="1" min="8" max="8"/>
    <col width="10" customWidth="1" min="9" max="9"/>
    <col width="10" customWidth="1" min="10" max="10"/>
    <col width="26" customWidth="1" min="11" max="11"/>
  </cols>
  <sheetData>
    <row r="1" ht="26" customHeight="1">
      <c r="A1" s="1" t="inlineStr">
        <is>
          <t>مؤشرات الأداء — أخصائي مبيعات الوقود</t>
        </is>
      </c>
    </row>
    <row r="2" ht="16" customHeight="1">
      <c r="A2" s="2" t="inlineStr">
        <is>
          <t>ثلاث فئات: نتيجة · حركة · حماية — والأوزان تُعدَّل حسب مرحلة السوق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8" t="inlineStr">
        <is>
          <t>#</t>
        </is>
      </c>
      <c r="B4" s="8" t="inlineStr">
        <is>
          <t>المؤشر</t>
        </is>
      </c>
      <c r="C4" s="8" t="inlineStr">
        <is>
          <t>التعريف</t>
        </is>
      </c>
      <c r="D4" s="8" t="inlineStr">
        <is>
          <t>طريقة الحساب</t>
        </is>
      </c>
      <c r="E4" s="8" t="inlineStr">
        <is>
          <t>المصدر</t>
        </is>
      </c>
      <c r="F4" s="8" t="inlineStr">
        <is>
          <t>الاتجاه</t>
        </is>
      </c>
      <c r="G4" s="8" t="inlineStr">
        <is>
          <t>الوزن</t>
        </is>
      </c>
      <c r="H4" s="8" t="inlineStr">
        <is>
          <t>المستهدف</t>
        </is>
      </c>
      <c r="I4" s="8" t="inlineStr">
        <is>
          <t>الحد الأدنى</t>
        </is>
      </c>
      <c r="J4" s="8" t="inlineStr">
        <is>
          <t>الدورية</t>
        </is>
      </c>
      <c r="K4" s="8" t="inlineStr">
        <is>
          <t>لماذا هذا المؤشر</t>
        </is>
      </c>
    </row>
    <row r="5" ht="30" customHeight="1">
      <c r="A5" s="9" t="n">
        <v>1</v>
      </c>
      <c r="B5" s="20" t="inlineStr">
        <is>
          <t>الحجم المتعاقَد</t>
        </is>
      </c>
      <c r="C5" s="11" t="inlineStr">
        <is>
          <t>إجمالي اللترات المغطاة بعقود نافذة</t>
        </is>
      </c>
      <c r="D5" s="11" t="inlineStr">
        <is>
          <t>مجموع لترات العقود النشطة خلال الفترة</t>
        </is>
      </c>
      <c r="E5" s="9" t="inlineStr">
        <is>
          <t>نظام المبيعات</t>
        </is>
      </c>
      <c r="F5" s="9" t="inlineStr">
        <is>
          <t>أعلى أفضل</t>
        </is>
      </c>
      <c r="G5" s="21" t="n">
        <v>0.15</v>
      </c>
      <c r="H5" s="22" t="n"/>
      <c r="I5" s="22" t="n"/>
      <c r="J5" s="9" t="inlineStr">
        <is>
          <t>ربعية</t>
        </is>
      </c>
      <c r="K5" s="11" t="inlineStr">
        <is>
          <t>الحجم القائم يُقاس ولا يُكافأ وحده</t>
        </is>
      </c>
    </row>
    <row r="6" ht="30" customHeight="1">
      <c r="A6" s="9" t="n">
        <v>2</v>
      </c>
      <c r="B6" s="20" t="inlineStr">
        <is>
          <t>الحجم الصافي المضاف</t>
        </is>
      </c>
      <c r="C6" s="11" t="inlineStr">
        <is>
          <t>اللترات فوق خط أساس العميل قبل التعاقد</t>
        </is>
      </c>
      <c r="D6" s="11" t="inlineStr">
        <is>
          <t>حجم الفترة ناقص خط الأساس المرجعي</t>
        </is>
      </c>
      <c r="E6" s="9" t="inlineStr">
        <is>
          <t>نظام المبيعات</t>
        </is>
      </c>
      <c r="F6" s="9" t="inlineStr">
        <is>
          <t>أعلى أفضل</t>
        </is>
      </c>
      <c r="G6" s="21" t="n">
        <v>0.25</v>
      </c>
      <c r="H6" s="22" t="n"/>
      <c r="I6" s="22" t="n"/>
      <c r="J6" s="9" t="inlineStr">
        <is>
          <t>ربعية</t>
        </is>
      </c>
      <c r="K6" s="11" t="inlineStr">
        <is>
          <t>هذا وحده ما يخلق قيمة — الباقي إعادة تسمية</t>
        </is>
      </c>
    </row>
    <row r="7" ht="30" customHeight="1">
      <c r="A7" s="9" t="n">
        <v>3</v>
      </c>
      <c r="B7" s="20" t="inlineStr">
        <is>
          <t>هامش المساهمة المتحقق</t>
        </is>
      </c>
      <c r="C7" s="11" t="inlineStr">
        <is>
          <t>الهامش بعد الخصم الممنوح</t>
        </is>
      </c>
      <c r="D7" s="11" t="inlineStr">
        <is>
          <t>الحجم × (هامش اللتر ناقص الخصم)</t>
        </is>
      </c>
      <c r="E7" s="9" t="inlineStr">
        <is>
          <t>قائمة الدخل</t>
        </is>
      </c>
      <c r="F7" s="9" t="inlineStr">
        <is>
          <t>أعلى أفضل</t>
        </is>
      </c>
      <c r="G7" s="21" t="n">
        <v>0.15</v>
      </c>
      <c r="H7" s="22" t="n"/>
      <c r="I7" s="22" t="n"/>
      <c r="J7" s="9" t="inlineStr">
        <is>
          <t>ربعية</t>
        </is>
      </c>
      <c r="K7" s="11" t="inlineStr">
        <is>
          <t>الحجم بلا هامش قد يكون خسارة</t>
        </is>
      </c>
    </row>
    <row r="8" ht="30" customHeight="1">
      <c r="A8" s="9" t="n">
        <v>4</v>
      </c>
      <c r="B8" s="20" t="inlineStr">
        <is>
          <t>عملاء جدد لم يشتروا منّا</t>
        </is>
      </c>
      <c r="C8" s="11" t="inlineStr">
        <is>
          <t>عقود مع أساطيل لم تكن تعبّئ لدينا</t>
        </is>
      </c>
      <c r="D8" s="11" t="inlineStr">
        <is>
          <t>عدد العقود التي خط أساسها صفر</t>
        </is>
      </c>
      <c r="E8" s="9" t="inlineStr">
        <is>
          <t>نظام المبيعات</t>
        </is>
      </c>
      <c r="F8" s="9" t="inlineStr">
        <is>
          <t>أعلى أفضل</t>
        </is>
      </c>
      <c r="G8" s="21" t="n">
        <v>0.1</v>
      </c>
      <c r="H8" s="22" t="n"/>
      <c r="I8" s="22" t="n"/>
      <c r="J8" s="9" t="inlineStr">
        <is>
          <t>ربعية</t>
        </is>
      </c>
      <c r="K8" s="11" t="inlineStr">
        <is>
          <t>كل لتر منها ربح صافٍ بلا خصم على حجم قائم</t>
        </is>
      </c>
    </row>
    <row r="9" ht="30" customHeight="1">
      <c r="A9" s="9" t="n">
        <v>5</v>
      </c>
      <c r="B9" s="23" t="inlineStr">
        <is>
          <t>زيارات ميدانية مؤهَّلة</t>
        </is>
      </c>
      <c r="C9" s="11" t="inlineStr">
        <is>
          <t>زيارة لمتخذ قرار موثّقة بتقرير</t>
        </is>
      </c>
      <c r="D9" s="11" t="inlineStr">
        <is>
          <t>عدد الزيارات المسجّلة</t>
        </is>
      </c>
      <c r="E9" s="9" t="inlineStr">
        <is>
          <t>تقارير الزيارات</t>
        </is>
      </c>
      <c r="F9" s="9" t="inlineStr">
        <is>
          <t>أعلى أفضل</t>
        </is>
      </c>
      <c r="G9" s="21" t="n">
        <v>0.05</v>
      </c>
      <c r="H9" s="22" t="n"/>
      <c r="I9" s="22" t="n"/>
      <c r="J9" s="9" t="inlineStr">
        <is>
          <t>ربعية</t>
        </is>
      </c>
      <c r="K9" s="11" t="inlineStr">
        <is>
          <t>المؤشر المبكر الوحيد الذي يسبق النتيجة بأشهر</t>
        </is>
      </c>
    </row>
    <row r="10" ht="30" customHeight="1">
      <c r="A10" s="9" t="n">
        <v>6</v>
      </c>
      <c r="B10" s="23" t="inlineStr">
        <is>
          <t>عروض مقدَّمة</t>
        </is>
      </c>
      <c r="C10" s="11" t="inlineStr">
        <is>
          <t>عرض سعري رسمي مسلَّم للعميل</t>
        </is>
      </c>
      <c r="D10" s="11" t="inlineStr">
        <is>
          <t>عدد العروض الصادرة</t>
        </is>
      </c>
      <c r="E10" s="9" t="inlineStr">
        <is>
          <t>نظام المبيعات</t>
        </is>
      </c>
      <c r="F10" s="9" t="inlineStr">
        <is>
          <t>أعلى أفضل</t>
        </is>
      </c>
      <c r="G10" s="21" t="n">
        <v>0.05</v>
      </c>
      <c r="H10" s="22" t="n"/>
      <c r="I10" s="22" t="n"/>
      <c r="J10" s="9" t="inlineStr">
        <is>
          <t>ربعية</t>
        </is>
      </c>
      <c r="K10" s="11" t="inlineStr">
        <is>
          <t>يكشف اختناق القمع: زيارات بلا عروض تعني ضعف تأهيل</t>
        </is>
      </c>
    </row>
    <row r="11" ht="30" customHeight="1">
      <c r="A11" s="9" t="n">
        <v>7</v>
      </c>
      <c r="B11" s="23" t="inlineStr">
        <is>
          <t>معدل التحويل</t>
        </is>
      </c>
      <c r="C11" s="11" t="inlineStr">
        <is>
          <t>نسبة العروض التي تحولت إلى عقود</t>
        </is>
      </c>
      <c r="D11" s="11" t="inlineStr">
        <is>
          <t>عقود موقّعة ÷ عروض مقدَّمة</t>
        </is>
      </c>
      <c r="E11" s="9" t="inlineStr">
        <is>
          <t>نظام المبيعات</t>
        </is>
      </c>
      <c r="F11" s="9" t="inlineStr">
        <is>
          <t>أعلى أفضل</t>
        </is>
      </c>
      <c r="G11" s="21" t="n">
        <v>0.08</v>
      </c>
      <c r="H11" s="22" t="n"/>
      <c r="I11" s="22" t="n"/>
      <c r="J11" s="9" t="inlineStr">
        <is>
          <t>ربعية</t>
        </is>
      </c>
      <c r="K11" s="11" t="inlineStr">
        <is>
          <t>يفصل جودة الاستهداف عن كثرة النشاط</t>
        </is>
      </c>
    </row>
    <row r="12" ht="30" customHeight="1">
      <c r="A12" s="9" t="n">
        <v>8</v>
      </c>
      <c r="B12" s="24" t="inlineStr">
        <is>
          <t>متوسط الخصم الممنوح</t>
        </is>
      </c>
      <c r="C12" s="11" t="inlineStr">
        <is>
          <t>الخصم الفعلي لكل لتر متعاقَد</t>
        </is>
      </c>
      <c r="D12" s="11" t="inlineStr">
        <is>
          <t>مجموع الخصم ÷ الحجم المتعاقَد</t>
        </is>
      </c>
      <c r="E12" s="9" t="inlineStr">
        <is>
          <t>نظام المبيعات</t>
        </is>
      </c>
      <c r="F12" s="9" t="inlineStr">
        <is>
          <t>أقل أفضل</t>
        </is>
      </c>
      <c r="G12" s="21" t="n">
        <v>0.07000000000000001</v>
      </c>
      <c r="H12" s="22" t="n"/>
      <c r="I12" s="22" t="n"/>
      <c r="J12" s="9" t="inlineStr">
        <is>
          <t>ربعية</t>
        </is>
      </c>
      <c r="K12" s="11" t="inlineStr">
        <is>
          <t>يمنع شراء الحجم بالسعر</t>
        </is>
      </c>
    </row>
    <row r="13" ht="30" customHeight="1">
      <c r="A13" s="9" t="n">
        <v>9</v>
      </c>
      <c r="B13" s="24" t="inlineStr">
        <is>
          <t>أيام التحصيل</t>
        </is>
      </c>
      <c r="C13" s="11" t="inlineStr">
        <is>
          <t>متوسط عمر الذمم المدينة</t>
        </is>
      </c>
      <c r="D13" s="11" t="inlineStr">
        <is>
          <t>الذمم × أيام الفترة ÷ المبيعات الآجلة</t>
        </is>
      </c>
      <c r="E13" s="9" t="inlineStr">
        <is>
          <t>الإدارة المالية</t>
        </is>
      </c>
      <c r="F13" s="9" t="inlineStr">
        <is>
          <t>أقل أفضل</t>
        </is>
      </c>
      <c r="G13" s="21" t="n">
        <v>0.05</v>
      </c>
      <c r="H13" s="22" t="n"/>
      <c r="I13" s="22" t="n"/>
      <c r="J13" s="9" t="inlineStr">
        <is>
          <t>ربعية</t>
        </is>
      </c>
      <c r="K13" s="11" t="inlineStr">
        <is>
          <t>البيع لا يكتمل إلا بالتحصيل</t>
        </is>
      </c>
    </row>
    <row r="14" ht="30" customHeight="1">
      <c r="A14" s="9" t="n">
        <v>10</v>
      </c>
      <c r="B14" s="24" t="inlineStr">
        <is>
          <t>ديون متأخرة فوق ٩٠ يوماً</t>
        </is>
      </c>
      <c r="C14" s="11" t="inlineStr">
        <is>
          <t>نسبة الذمم المتجاوزة للمدة</t>
        </is>
      </c>
      <c r="D14" s="11" t="inlineStr">
        <is>
          <t>ذمم +٩٠ يوم ÷ إجمالي الذمم</t>
        </is>
      </c>
      <c r="E14" s="9" t="inlineStr">
        <is>
          <t>الإدارة المالية</t>
        </is>
      </c>
      <c r="F14" s="9" t="inlineStr">
        <is>
          <t>أقل أفضل</t>
        </is>
      </c>
      <c r="G14" s="21" t="n">
        <v>0.03</v>
      </c>
      <c r="H14" s="22" t="n"/>
      <c r="I14" s="22" t="n"/>
      <c r="J14" s="9" t="inlineStr">
        <is>
          <t>ربعية</t>
        </is>
      </c>
      <c r="K14" s="11" t="inlineStr">
        <is>
          <t>مؤشر مبكر على تساهل في الائتمان</t>
        </is>
      </c>
    </row>
    <row r="15" ht="30" customHeight="1">
      <c r="A15" s="9" t="n">
        <v>11</v>
      </c>
      <c r="B15" s="24" t="inlineStr">
        <is>
          <t>معدل تجديد العقود</t>
        </is>
      </c>
      <c r="C15" s="11" t="inlineStr">
        <is>
          <t>نسبة العقود المجدَّدة عند انتهائها</t>
        </is>
      </c>
      <c r="D15" s="11" t="inlineStr">
        <is>
          <t>عقود مجدَّدة ÷ عقود مستحقة التجديد</t>
        </is>
      </c>
      <c r="E15" s="9" t="inlineStr">
        <is>
          <t>نظام المبيعات</t>
        </is>
      </c>
      <c r="F15" s="9" t="inlineStr">
        <is>
          <t>أعلى أفضل</t>
        </is>
      </c>
      <c r="G15" s="21" t="n">
        <v>0.02</v>
      </c>
      <c r="H15" s="22" t="n"/>
      <c r="I15" s="22" t="n"/>
      <c r="J15" s="9" t="inlineStr">
        <is>
          <t>ربعية</t>
        </is>
      </c>
      <c r="K15" s="11" t="inlineStr">
        <is>
          <t>يكشف إن كان البيع لمرة واحدة أم علاقة</t>
        </is>
      </c>
    </row>
    <row r="16">
      <c r="B16" s="25" t="inlineStr">
        <is>
          <t>مجموع الأوزان</t>
        </is>
      </c>
      <c r="G16" s="26">
        <f>SUM(G5:G15)</f>
        <v/>
      </c>
      <c r="H16" s="27" t="inlineStr">
        <is>
          <t>يجب أن يساوي ١٠٠٪ — يتلوّن بالأحمر إن اختلّ</t>
        </is>
      </c>
    </row>
    <row r="18">
      <c r="B18" s="17" t="inlineStr">
        <is>
          <t>قواعد ضبط المؤشرات</t>
        </is>
      </c>
    </row>
    <row r="19" ht="16" customHeight="1">
      <c r="C19" s="18" t="inlineStr">
        <is>
          <t>•  «الحجم الصافي المضاف» أعلى وزن — لأنه وحده يفرّق بين النمو وإعادة التسمية</t>
        </is>
      </c>
    </row>
    <row r="20" ht="16" customHeight="1">
      <c r="C20" s="18" t="inlineStr">
        <is>
          <t>•  مؤشرات الحماية لا تُكافأ عند تحققها بل تُخصم عند اختلالها</t>
        </is>
      </c>
    </row>
    <row r="21" ht="16" customHeight="1">
      <c r="C21" s="18" t="inlineStr">
        <is>
          <t>•  كل مستهدف يُشتق من خط أساس موثّق — لا من تقدير</t>
        </is>
      </c>
    </row>
    <row r="22" ht="16" customHeight="1">
      <c r="C22" s="18" t="inlineStr">
        <is>
          <t>•  لا يُعتمد المؤشر ما لم يكن مصدره نظاماً لا تقريراً يدوياً</t>
        </is>
      </c>
    </row>
    <row r="24">
      <c r="B24" s="19" t="inlineStr">
        <is>
          <t>الفخ الأساسي في مبيعات الوقود للشركات</t>
        </is>
      </c>
    </row>
    <row r="25" ht="16" customHeight="1">
      <c r="C25" s="18" t="inlineStr">
        <is>
          <t>•  منح خصم على أسطول يشتري منّا أصلاً يعني خسارة على كل لتر كان يشتريه</t>
        </is>
      </c>
    </row>
    <row r="26" ht="16" customHeight="1">
      <c r="C26" s="18" t="inlineStr">
        <is>
          <t>•  لذلك يشترط العقد نمواً فوق خط الأساس يغطي الخصم على الحجم القائم</t>
        </is>
      </c>
    </row>
    <row r="27" ht="16" customHeight="1">
      <c r="C27" s="18" t="inlineStr">
        <is>
          <t>•  احسب نقطة التعادل: نسبة النمو المطلوبة = الخصم ÷ (هامش اللتر ناقص الخصم)</t>
        </is>
      </c>
    </row>
  </sheetData>
  <mergeCells count="9">
    <mergeCell ref="C21:K21"/>
    <mergeCell ref="C25:K25"/>
    <mergeCell ref="C27:K27"/>
    <mergeCell ref="C19:K19"/>
    <mergeCell ref="C20:K20"/>
    <mergeCell ref="A2:K2"/>
    <mergeCell ref="C22:K22"/>
    <mergeCell ref="C26:K26"/>
    <mergeCell ref="A1:K1"/>
  </mergeCells>
  <conditionalFormatting sqref="G16">
    <cfRule type="cellIs" priority="1" operator="notEqual" dxfId="0">
      <formula>1</formula>
    </cfRule>
  </conditionalFormatting>
  <dataValidations count="1">
    <dataValidation sqref="F5 F6 F7 F8 F9 F10 F11 F12 F13 F14 F15" showDropDown="0" showInputMessage="0" showErrorMessage="0" allowBlank="0" type="list">
      <formula1>"أعلى أفضل,أقل أفضل"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30" customWidth="1" min="9" max="9"/>
  </cols>
  <sheetData>
    <row r="1" ht="26" customHeight="1">
      <c r="A1" s="1" t="inlineStr">
        <is>
          <t>نموذج التقييم الربعي</t>
        </is>
      </c>
    </row>
    <row r="2" ht="16" customHeight="1">
      <c r="A2" s="2" t="inlineStr">
        <is>
          <t>عبّئ الفعلي فقط — النسبة والنقاط تُحتسب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" customHeight="1">
      <c r="A4" s="4" t="inlineStr">
        <is>
          <t>① بيانات التقييم</t>
        </is>
      </c>
    </row>
    <row r="5">
      <c r="B5" s="28" t="inlineStr">
        <is>
          <t>اسم الموظف</t>
        </is>
      </c>
      <c r="C5" s="22" t="n"/>
      <c r="D5" s="28" t="inlineStr">
        <is>
          <t>الفترة</t>
        </is>
      </c>
      <c r="E5" s="22" t="n"/>
      <c r="F5" s="28" t="inlineStr">
        <is>
          <t>المقيِّم</t>
        </is>
      </c>
      <c r="G5" s="22" t="n"/>
    </row>
    <row r="7" ht="22" customHeight="1">
      <c r="A7" s="4" t="inlineStr">
        <is>
          <t>② الاحتساب</t>
        </is>
      </c>
    </row>
    <row r="8" ht="30" customHeight="1">
      <c r="A8" s="8" t="inlineStr">
        <is>
          <t>#</t>
        </is>
      </c>
      <c r="B8" s="8" t="inlineStr">
        <is>
          <t>المؤشر</t>
        </is>
      </c>
      <c r="C8" s="8" t="inlineStr">
        <is>
          <t>الاتجاه</t>
        </is>
      </c>
      <c r="D8" s="8" t="inlineStr">
        <is>
          <t>الوزن</t>
        </is>
      </c>
      <c r="E8" s="8" t="inlineStr">
        <is>
          <t>المستهدف</t>
        </is>
      </c>
      <c r="F8" s="8" t="inlineStr">
        <is>
          <t>الفعلي</t>
        </is>
      </c>
      <c r="G8" s="8" t="inlineStr">
        <is>
          <t>نسبة الإنجاز</t>
        </is>
      </c>
      <c r="H8" s="8" t="inlineStr">
        <is>
          <t>النقاط</t>
        </is>
      </c>
      <c r="I8" s="8" t="inlineStr">
        <is>
          <t>ملاحظة</t>
        </is>
      </c>
    </row>
    <row r="9" ht="20" customHeight="1">
      <c r="A9" s="29" t="n">
        <v>1</v>
      </c>
      <c r="B9" s="30">
        <f>'مؤشرات الأداء'!B5</f>
        <v/>
      </c>
      <c r="C9" s="30">
        <f>'مؤشرات الأداء'!F5</f>
        <v/>
      </c>
      <c r="D9" s="31">
        <f>'مؤشرات الأداء'!G5</f>
        <v/>
      </c>
      <c r="E9" s="30">
        <f>'مؤشرات الأداء'!H5</f>
        <v/>
      </c>
      <c r="F9" s="22" t="n"/>
      <c r="G9" s="32">
        <f>IFERROR(IF(OR($F9="",$E9=""),"",IF($C9="أقل أفضل",$E9/$F9,$F9/$E9)),"")</f>
        <v/>
      </c>
      <c r="H9" s="33">
        <f>IF($G9="","",MIN($G9,1.2)*$D9)</f>
        <v/>
      </c>
      <c r="I9" s="22" t="n"/>
    </row>
    <row r="10" ht="20" customHeight="1">
      <c r="A10" s="29" t="n">
        <v>2</v>
      </c>
      <c r="B10" s="30">
        <f>'مؤشرات الأداء'!B6</f>
        <v/>
      </c>
      <c r="C10" s="30">
        <f>'مؤشرات الأداء'!F6</f>
        <v/>
      </c>
      <c r="D10" s="31">
        <f>'مؤشرات الأداء'!G6</f>
        <v/>
      </c>
      <c r="E10" s="30">
        <f>'مؤشرات الأداء'!H6</f>
        <v/>
      </c>
      <c r="F10" s="22" t="n"/>
      <c r="G10" s="32">
        <f>IFERROR(IF(OR($F10="",$E10=""),"",IF($C10="أقل أفضل",$E10/$F10,$F10/$E10)),"")</f>
        <v/>
      </c>
      <c r="H10" s="33">
        <f>IF($G10="","",MIN($G10,1.2)*$D10)</f>
        <v/>
      </c>
      <c r="I10" s="22" t="n"/>
    </row>
    <row r="11" ht="20" customHeight="1">
      <c r="A11" s="29" t="n">
        <v>3</v>
      </c>
      <c r="B11" s="30">
        <f>'مؤشرات الأداء'!B7</f>
        <v/>
      </c>
      <c r="C11" s="30">
        <f>'مؤشرات الأداء'!F7</f>
        <v/>
      </c>
      <c r="D11" s="31">
        <f>'مؤشرات الأداء'!G7</f>
        <v/>
      </c>
      <c r="E11" s="30">
        <f>'مؤشرات الأداء'!H7</f>
        <v/>
      </c>
      <c r="F11" s="22" t="n"/>
      <c r="G11" s="32">
        <f>IFERROR(IF(OR($F11="",$E11=""),"",IF($C11="أقل أفضل",$E11/$F11,$F11/$E11)),"")</f>
        <v/>
      </c>
      <c r="H11" s="33">
        <f>IF($G11="","",MIN($G11,1.2)*$D11)</f>
        <v/>
      </c>
      <c r="I11" s="22" t="n"/>
    </row>
    <row r="12" ht="20" customHeight="1">
      <c r="A12" s="29" t="n">
        <v>4</v>
      </c>
      <c r="B12" s="30">
        <f>'مؤشرات الأداء'!B8</f>
        <v/>
      </c>
      <c r="C12" s="30">
        <f>'مؤشرات الأداء'!F8</f>
        <v/>
      </c>
      <c r="D12" s="31">
        <f>'مؤشرات الأداء'!G8</f>
        <v/>
      </c>
      <c r="E12" s="30">
        <f>'مؤشرات الأداء'!H8</f>
        <v/>
      </c>
      <c r="F12" s="22" t="n"/>
      <c r="G12" s="32">
        <f>IFERROR(IF(OR($F12="",$E12=""),"",IF($C12="أقل أفضل",$E12/$F12,$F12/$E12)),"")</f>
        <v/>
      </c>
      <c r="H12" s="33">
        <f>IF($G12="","",MIN($G12,1.2)*$D12)</f>
        <v/>
      </c>
      <c r="I12" s="22" t="n"/>
    </row>
    <row r="13" ht="20" customHeight="1">
      <c r="A13" s="29" t="n">
        <v>5</v>
      </c>
      <c r="B13" s="30">
        <f>'مؤشرات الأداء'!B9</f>
        <v/>
      </c>
      <c r="C13" s="30">
        <f>'مؤشرات الأداء'!F9</f>
        <v/>
      </c>
      <c r="D13" s="31">
        <f>'مؤشرات الأداء'!G9</f>
        <v/>
      </c>
      <c r="E13" s="30">
        <f>'مؤشرات الأداء'!H9</f>
        <v/>
      </c>
      <c r="F13" s="22" t="n"/>
      <c r="G13" s="32">
        <f>IFERROR(IF(OR($F13="",$E13=""),"",IF($C13="أقل أفضل",$E13/$F13,$F13/$E13)),"")</f>
        <v/>
      </c>
      <c r="H13" s="33">
        <f>IF($G13="","",MIN($G13,1.2)*$D13)</f>
        <v/>
      </c>
      <c r="I13" s="22" t="n"/>
    </row>
    <row r="14" ht="20" customHeight="1">
      <c r="A14" s="29" t="n">
        <v>6</v>
      </c>
      <c r="B14" s="30">
        <f>'مؤشرات الأداء'!B10</f>
        <v/>
      </c>
      <c r="C14" s="30">
        <f>'مؤشرات الأداء'!F10</f>
        <v/>
      </c>
      <c r="D14" s="31">
        <f>'مؤشرات الأداء'!G10</f>
        <v/>
      </c>
      <c r="E14" s="30">
        <f>'مؤشرات الأداء'!H10</f>
        <v/>
      </c>
      <c r="F14" s="22" t="n"/>
      <c r="G14" s="32">
        <f>IFERROR(IF(OR($F14="",$E14=""),"",IF($C14="أقل أفضل",$E14/$F14,$F14/$E14)),"")</f>
        <v/>
      </c>
      <c r="H14" s="33">
        <f>IF($G14="","",MIN($G14,1.2)*$D14)</f>
        <v/>
      </c>
      <c r="I14" s="22" t="n"/>
    </row>
    <row r="15" ht="20" customHeight="1">
      <c r="A15" s="29" t="n">
        <v>7</v>
      </c>
      <c r="B15" s="30">
        <f>'مؤشرات الأداء'!B11</f>
        <v/>
      </c>
      <c r="C15" s="30">
        <f>'مؤشرات الأداء'!F11</f>
        <v/>
      </c>
      <c r="D15" s="31">
        <f>'مؤشرات الأداء'!G11</f>
        <v/>
      </c>
      <c r="E15" s="30">
        <f>'مؤشرات الأداء'!H11</f>
        <v/>
      </c>
      <c r="F15" s="22" t="n"/>
      <c r="G15" s="32">
        <f>IFERROR(IF(OR($F15="",$E15=""),"",IF($C15="أقل أفضل",$E15/$F15,$F15/$E15)),"")</f>
        <v/>
      </c>
      <c r="H15" s="33">
        <f>IF($G15="","",MIN($G15,1.2)*$D15)</f>
        <v/>
      </c>
      <c r="I15" s="22" t="n"/>
    </row>
    <row r="16" ht="20" customHeight="1">
      <c r="A16" s="29" t="n">
        <v>8</v>
      </c>
      <c r="B16" s="30">
        <f>'مؤشرات الأداء'!B12</f>
        <v/>
      </c>
      <c r="C16" s="30">
        <f>'مؤشرات الأداء'!F12</f>
        <v/>
      </c>
      <c r="D16" s="31">
        <f>'مؤشرات الأداء'!G12</f>
        <v/>
      </c>
      <c r="E16" s="30">
        <f>'مؤشرات الأداء'!H12</f>
        <v/>
      </c>
      <c r="F16" s="22" t="n"/>
      <c r="G16" s="32">
        <f>IFERROR(IF(OR($F16="",$E16=""),"",IF($C16="أقل أفضل",$E16/$F16,$F16/$E16)),"")</f>
        <v/>
      </c>
      <c r="H16" s="33">
        <f>IF($G16="","",MIN($G16,1.2)*$D16)</f>
        <v/>
      </c>
      <c r="I16" s="22" t="n"/>
    </row>
    <row r="17" ht="20" customHeight="1">
      <c r="A17" s="29" t="n">
        <v>9</v>
      </c>
      <c r="B17" s="30">
        <f>'مؤشرات الأداء'!B13</f>
        <v/>
      </c>
      <c r="C17" s="30">
        <f>'مؤشرات الأداء'!F13</f>
        <v/>
      </c>
      <c r="D17" s="31">
        <f>'مؤشرات الأداء'!G13</f>
        <v/>
      </c>
      <c r="E17" s="30">
        <f>'مؤشرات الأداء'!H13</f>
        <v/>
      </c>
      <c r="F17" s="22" t="n"/>
      <c r="G17" s="32">
        <f>IFERROR(IF(OR($F17="",$E17=""),"",IF($C17="أقل أفضل",$E17/$F17,$F17/$E17)),"")</f>
        <v/>
      </c>
      <c r="H17" s="33">
        <f>IF($G17="","",MIN($G17,1.2)*$D17)</f>
        <v/>
      </c>
      <c r="I17" s="22" t="n"/>
    </row>
    <row r="18" ht="20" customHeight="1">
      <c r="A18" s="29" t="n">
        <v>10</v>
      </c>
      <c r="B18" s="30">
        <f>'مؤشرات الأداء'!B14</f>
        <v/>
      </c>
      <c r="C18" s="30">
        <f>'مؤشرات الأداء'!F14</f>
        <v/>
      </c>
      <c r="D18" s="31">
        <f>'مؤشرات الأداء'!G14</f>
        <v/>
      </c>
      <c r="E18" s="30">
        <f>'مؤشرات الأداء'!H14</f>
        <v/>
      </c>
      <c r="F18" s="22" t="n"/>
      <c r="G18" s="32">
        <f>IFERROR(IF(OR($F18="",$E18=""),"",IF($C18="أقل أفضل",$E18/$F18,$F18/$E18)),"")</f>
        <v/>
      </c>
      <c r="H18" s="33">
        <f>IF($G18="","",MIN($G18,1.2)*$D18)</f>
        <v/>
      </c>
      <c r="I18" s="22" t="n"/>
    </row>
    <row r="19" ht="20" customHeight="1">
      <c r="A19" s="29" t="n">
        <v>11</v>
      </c>
      <c r="B19" s="30">
        <f>'مؤشرات الأداء'!B15</f>
        <v/>
      </c>
      <c r="C19" s="30">
        <f>'مؤشرات الأداء'!F15</f>
        <v/>
      </c>
      <c r="D19" s="31">
        <f>'مؤشرات الأداء'!G15</f>
        <v/>
      </c>
      <c r="E19" s="30">
        <f>'مؤشرات الأداء'!H15</f>
        <v/>
      </c>
      <c r="F19" s="22" t="n"/>
      <c r="G19" s="32">
        <f>IFERROR(IF(OR($F19="",$E19=""),"",IF($C19="أقل أفضل",$E19/$F19,$F19/$E19)),"")</f>
        <v/>
      </c>
      <c r="H19" s="33">
        <f>IF($G19="","",MIN($G19,1.2)*$D19)</f>
        <v/>
      </c>
      <c r="I19" s="22" t="n"/>
    </row>
    <row r="20">
      <c r="A20" s="25" t="n"/>
      <c r="B20" s="25" t="inlineStr">
        <is>
          <t>النتيجة النهائية</t>
        </is>
      </c>
      <c r="C20" s="25" t="n"/>
      <c r="D20" s="26">
        <f>SUM(D9:D19)</f>
        <v/>
      </c>
      <c r="E20" s="25" t="n"/>
      <c r="F20" s="25" t="n"/>
      <c r="G20" s="25" t="n"/>
      <c r="H20" s="34">
        <f>SUM(H9:H19)</f>
        <v/>
      </c>
      <c r="I20" s="25" t="n"/>
    </row>
    <row r="22" ht="22" customHeight="1">
      <c r="A22" s="4" t="inlineStr">
        <is>
          <t>③ سُلّم التقدير</t>
        </is>
      </c>
    </row>
    <row r="23" ht="30" customHeight="1">
      <c r="A23" s="8" t="inlineStr">
        <is>
          <t>#</t>
        </is>
      </c>
      <c r="B23" s="8" t="inlineStr">
        <is>
          <t>النتيجة</t>
        </is>
      </c>
      <c r="C23" s="8" t="inlineStr">
        <is>
          <t>التقدير</t>
        </is>
      </c>
      <c r="D23" s="8" t="inlineStr">
        <is>
          <t>الأثر</t>
        </is>
      </c>
      <c r="E23" s="8" t="inlineStr"/>
      <c r="F23" s="8" t="inlineStr"/>
      <c r="G23" s="8" t="inlineStr"/>
      <c r="H23" s="8" t="inlineStr"/>
      <c r="I23" s="8" t="inlineStr"/>
    </row>
    <row r="24" ht="20" customHeight="1">
      <c r="A24" s="9" t="n">
        <v>1</v>
      </c>
      <c r="B24" s="9" t="inlineStr">
        <is>
          <t>١٠٠٪ فأعلى</t>
        </is>
      </c>
      <c r="C24" s="35" t="inlineStr">
        <is>
          <t>متجاوز</t>
        </is>
      </c>
      <c r="D24" s="13" t="inlineStr">
        <is>
          <t>يستحق الحافز الكامل ويُرشَّح للتطوير</t>
        </is>
      </c>
      <c r="E24" s="12" t="n"/>
      <c r="F24" s="12" t="n"/>
      <c r="G24" s="12" t="n"/>
      <c r="H24" s="12" t="n"/>
      <c r="I24" s="12" t="n"/>
    </row>
    <row r="25" ht="20" customHeight="1">
      <c r="A25" s="9" t="n">
        <v>2</v>
      </c>
      <c r="B25" s="9" t="inlineStr">
        <is>
          <t>٨٥٪ – ٩٩٪</t>
        </is>
      </c>
      <c r="C25" s="36" t="inlineStr">
        <is>
          <t>مستوفٍ</t>
        </is>
      </c>
      <c r="D25" s="13" t="inlineStr">
        <is>
          <t>يستحق الحافز وفق النسبة المحققة</t>
        </is>
      </c>
      <c r="E25" s="12" t="n"/>
      <c r="F25" s="12" t="n"/>
      <c r="G25" s="12" t="n"/>
      <c r="H25" s="12" t="n"/>
      <c r="I25" s="12" t="n"/>
    </row>
    <row r="26" ht="20" customHeight="1">
      <c r="A26" s="9" t="n">
        <v>3</v>
      </c>
      <c r="B26" s="9" t="inlineStr">
        <is>
          <t>٧٠٪ – ٨٤٪</t>
        </is>
      </c>
      <c r="C26" s="36" t="inlineStr">
        <is>
          <t>دون المستهدف</t>
        </is>
      </c>
      <c r="D26" s="13" t="inlineStr">
        <is>
          <t>خطة تحسين مكتوبة لربع واحد</t>
        </is>
      </c>
      <c r="E26" s="12" t="n"/>
      <c r="F26" s="12" t="n"/>
      <c r="G26" s="12" t="n"/>
      <c r="H26" s="12" t="n"/>
      <c r="I26" s="12" t="n"/>
    </row>
    <row r="27" ht="20" customHeight="1">
      <c r="A27" s="9" t="n">
        <v>4</v>
      </c>
      <c r="B27" s="9" t="inlineStr">
        <is>
          <t>أقل من ٧٠٪</t>
        </is>
      </c>
      <c r="C27" s="37" t="inlineStr">
        <is>
          <t>غير مستوفٍ</t>
        </is>
      </c>
      <c r="D27" s="13" t="inlineStr">
        <is>
          <t>مراجعة الاستمرار في الدور</t>
        </is>
      </c>
      <c r="E27" s="12" t="n"/>
      <c r="F27" s="12" t="n"/>
      <c r="G27" s="12" t="n"/>
      <c r="H27" s="12" t="n"/>
      <c r="I27" s="12" t="n"/>
    </row>
    <row r="29">
      <c r="B29" s="17" t="inlineStr">
        <is>
          <t>ملاحظات على الاحتساب</t>
        </is>
      </c>
    </row>
    <row r="30" ht="16" customHeight="1">
      <c r="C30" s="18" t="inlineStr">
        <is>
          <t>•  سقف الإنجاز ١٢٠٪ لكل مؤشر — يمنع أن يغطي مؤشر واحد استثنائي فشل البقية</t>
        </is>
      </c>
    </row>
    <row r="31" ht="16" customHeight="1">
      <c r="C31" s="18" t="inlineStr">
        <is>
          <t>•  مؤشرات «أقل أفضل» تُحتسب بالمقلوب: المستهدف ÷ الفعلي</t>
        </is>
      </c>
    </row>
    <row r="32" ht="16" customHeight="1">
      <c r="C32" s="18" t="inlineStr">
        <is>
          <t>•  لا تُصرف حوافز على نتيجة دون ٨٥٪ مهما بلغ مؤشر منفرد</t>
        </is>
      </c>
    </row>
  </sheetData>
  <mergeCells count="8">
    <mergeCell ref="A7:I7"/>
    <mergeCell ref="C31:I31"/>
    <mergeCell ref="A2:I2"/>
    <mergeCell ref="A1:I1"/>
    <mergeCell ref="C32:I32"/>
    <mergeCell ref="C30:I30"/>
    <mergeCell ref="A22:I22"/>
    <mergeCell ref="A4:I4"/>
  </mergeCells>
  <conditionalFormatting sqref="G9:G19">
    <cfRule type="dataBar" priority="1">
      <dataBar>
        <cfvo type="num" val="0"/>
        <cfvo type="num" val="1.2"/>
        <color rgb="00F5831F"/>
      </dataBar>
    </cfRule>
  </conditionalFormatting>
  <conditionalFormatting sqref="H20">
    <cfRule type="cellIs" priority="2" operator="greaterThanOrEqual" dxfId="1">
      <formula>1</formula>
    </cfRule>
    <cfRule type="cellIs" priority="3" operator="lessThan" dxfId="0">
      <formula>0.7</formula>
    </cfRule>
  </conditionalFormatting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2026-08-24T10:33:39Z</dcterms:created>
  <dcterms:modified xmlns:dcterms="http://purl.org/dc/terms/" xmlns:xsi="http://www.w3.org/2001/XMLSchema-instance" xsi:type="dcterms:W3CDTF">2026-08-24T10:33:39Z</dcterms:modified>
</cp:coreProperties>
</file>