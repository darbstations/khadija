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وحة الحافز" sheetId="1" state="visible" r:id="rId1"/>
    <sheet xmlns:r="http://schemas.openxmlformats.org/officeDocument/2006/relationships" name="الاحتساب" sheetId="2" state="visible" r:id="rId2"/>
    <sheet xmlns:r="http://schemas.openxmlformats.org/officeDocument/2006/relationships" name="المبيعات اليومية" sheetId="3" state="visible" r:id="rId3"/>
    <sheet xmlns:r="http://schemas.openxmlformats.org/officeDocument/2006/relationships" name="المستهدف" sheetId="4" state="visible" r:id="rId4"/>
    <sheet xmlns:r="http://schemas.openxmlformats.org/officeDocument/2006/relationships" name="بطاقة الأداء" sheetId="5" state="visible" r:id="rId5"/>
    <sheet xmlns:r="http://schemas.openxmlformats.org/officeDocument/2006/relationships" name="المنهجية" sheetId="6" state="visible" r:id="rId6"/>
    <sheet xmlns:r="http://schemas.openxmlformats.org/officeDocument/2006/relationships" name="مراجعة المل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%"/>
    <numFmt numFmtId="166" formatCode="#,##0.00;[Red]-#,##0.00"/>
  </numFmts>
  <fonts count="10">
    <font>
      <name val="Calibri"/>
      <family val="2"/>
      <color theme="1"/>
      <sz val="11"/>
      <scheme val="minor"/>
    </font>
    <font>
      <name val="DIN Next Arabic"/>
      <b val="1"/>
      <color rgb="0055565A"/>
      <sz val="16"/>
    </font>
    <font>
      <name val="DIN Next Arabic"/>
      <color rgb="006E6A64"/>
      <sz val="10"/>
    </font>
    <font>
      <name val="DIN Next Arabic"/>
      <b val="1"/>
      <color rgb="00F5831F"/>
      <sz val="12"/>
    </font>
    <font>
      <name val="DIN Next Arabic"/>
      <b val="1"/>
      <color rgb="00FFFFFF"/>
      <sz val="10"/>
    </font>
    <font>
      <name val="DIN Next Arabic"/>
      <color rgb="003D3D3D"/>
      <sz val="10"/>
    </font>
    <font>
      <name val="DIN Next Arabic"/>
      <b val="1"/>
      <color rgb="003D3D3D"/>
      <sz val="10"/>
    </font>
    <font>
      <name val="DIN Next Arabic"/>
      <b val="1"/>
      <color rgb="00C0503A"/>
      <sz val="10"/>
    </font>
    <font>
      <name val="DIN Next Arabic"/>
      <b val="1"/>
      <color rgb="002E8B6F"/>
      <sz val="10"/>
    </font>
    <font>
      <name val="DIN Next Arabic"/>
      <color rgb="009B968E"/>
      <sz val="9"/>
    </font>
  </fonts>
  <fills count="9">
    <fill>
      <patternFill/>
    </fill>
    <fill>
      <patternFill patternType="gray125"/>
    </fill>
    <fill>
      <patternFill patternType="solid">
        <fgColor rgb="00FBEEE0"/>
      </patternFill>
    </fill>
    <fill>
      <patternFill patternType="solid">
        <fgColor rgb="0055565A"/>
      </patternFill>
    </fill>
    <fill>
      <patternFill patternType="solid">
        <fgColor rgb="00F5F2ED"/>
      </patternFill>
    </fill>
    <fill>
      <patternFill patternType="solid">
        <fgColor rgb="00F2DAD4"/>
      </patternFill>
    </fill>
    <fill>
      <patternFill patternType="solid">
        <fgColor rgb="00D6E9E1"/>
      </patternFill>
    </fill>
    <fill>
      <patternFill patternType="solid">
        <fgColor rgb="00FCE7C8"/>
      </patternFill>
    </fill>
    <fill>
      <patternFill patternType="solid">
        <fgColor rgb="00EDE7DE"/>
      </patternFill>
    </fill>
  </fills>
  <borders count="2">
    <border>
      <left/>
      <right/>
      <top/>
      <bottom/>
      <diagonal/>
    </border>
    <border>
      <left style="thin">
        <color rgb="00E3DCD1"/>
      </left>
      <right style="thin">
        <color rgb="00E3DCD1"/>
      </right>
      <top style="thin">
        <color rgb="00E3DCD1"/>
      </top>
      <bottom style="thin">
        <color rgb="00E3DCD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right" vertical="center" readingOrder="2"/>
    </xf>
    <xf numFmtId="0" fontId="2" fillId="0" borderId="0" applyAlignment="1" pivotButton="0" quotePrefix="0" xfId="0">
      <alignment horizontal="right" vertical="center" readingOrder="2"/>
    </xf>
    <xf numFmtId="0" fontId="3" fillId="2" borderId="1" applyAlignment="1" pivotButton="0" quotePrefix="0" xfId="0">
      <alignment horizontal="right" vertical="center" readingOrder="2"/>
    </xf>
    <xf numFmtId="0" fontId="4" fillId="3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center" vertical="center" wrapText="1" readingOrder="2"/>
    </xf>
    <xf numFmtId="0" fontId="6" fillId="0" borderId="1" applyAlignment="1" pivotButton="0" quotePrefix="0" xfId="0">
      <alignment horizontal="right" vertical="center" readingOrder="2"/>
    </xf>
    <xf numFmtId="164" fontId="5" fillId="0" borderId="1" applyAlignment="1" pivotButton="0" quotePrefix="0" xfId="0">
      <alignment horizontal="center" vertical="center" wrapText="1" readingOrder="2"/>
    </xf>
    <xf numFmtId="164" fontId="5" fillId="4" borderId="1" applyAlignment="1" pivotButton="0" quotePrefix="0" xfId="0">
      <alignment horizontal="center" vertical="center" wrapText="1" readingOrder="2"/>
    </xf>
    <xf numFmtId="164" fontId="6" fillId="0" borderId="1" applyAlignment="1" pivotButton="0" quotePrefix="0" xfId="0">
      <alignment horizontal="center" vertical="center" wrapText="1" readingOrder="2"/>
    </xf>
    <xf numFmtId="165" fontId="6" fillId="4" borderId="1" applyAlignment="1" pivotButton="0" quotePrefix="0" xfId="0">
      <alignment horizontal="center" vertical="center" wrapText="1" readingOrder="2"/>
    </xf>
    <xf numFmtId="0" fontId="6" fillId="0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right" vertical="top" wrapText="1" readingOrder="2"/>
    </xf>
    <xf numFmtId="165" fontId="7" fillId="5" borderId="1" applyAlignment="1" pivotButton="0" quotePrefix="0" xfId="0">
      <alignment horizontal="center" vertical="center" wrapText="1" readingOrder="2"/>
    </xf>
    <xf numFmtId="165" fontId="8" fillId="6" borderId="1" applyAlignment="1" pivotButton="0" quotePrefix="0" xfId="0">
      <alignment horizontal="center" vertical="center" wrapText="1" readingOrder="2"/>
    </xf>
    <xf numFmtId="165" fontId="6" fillId="0" borderId="1" applyAlignment="1" pivotButton="0" quotePrefix="0" xfId="0">
      <alignment horizontal="center" vertical="center" wrapText="1" readingOrder="2"/>
    </xf>
    <xf numFmtId="0" fontId="9" fillId="0" borderId="0" applyAlignment="1" pivotButton="0" quotePrefix="0" xfId="0">
      <alignment horizontal="right" vertical="center" readingOrder="2"/>
    </xf>
    <xf numFmtId="0" fontId="6" fillId="7" borderId="1" applyAlignment="1" pivotButton="0" quotePrefix="0" xfId="0">
      <alignment horizontal="center" vertical="center" wrapText="1" readingOrder="2"/>
    </xf>
    <xf numFmtId="165" fontId="6" fillId="7" borderId="1" applyAlignment="1" pivotButton="0" quotePrefix="0" xfId="0">
      <alignment horizontal="center" vertical="center" wrapText="1" readingOrder="2"/>
    </xf>
    <xf numFmtId="164" fontId="6" fillId="4" borderId="1" applyAlignment="1" pivotButton="0" quotePrefix="0" xfId="0">
      <alignment horizontal="center" vertical="center" wrapText="1" readingOrder="2"/>
    </xf>
    <xf numFmtId="166" fontId="5" fillId="4" borderId="1" applyAlignment="1" pivotButton="0" quotePrefix="0" xfId="0">
      <alignment horizontal="center" vertical="center" wrapText="1" readingOrder="2"/>
    </xf>
    <xf numFmtId="166" fontId="6" fillId="4" borderId="1" applyAlignment="1" pivotButton="0" quotePrefix="0" xfId="0">
      <alignment horizontal="center" vertical="center" wrapText="1" readingOrder="2"/>
    </xf>
    <xf numFmtId="9" fontId="5" fillId="0" borderId="1" applyAlignment="1" pivotButton="0" quotePrefix="0" xfId="0">
      <alignment horizontal="center" vertical="center" wrapText="1" readingOrder="2"/>
    </xf>
    <xf numFmtId="166" fontId="5" fillId="0" borderId="1" applyAlignment="1" pivotButton="0" quotePrefix="0" xfId="0">
      <alignment horizontal="center" vertical="center" wrapText="1" readingOrder="2"/>
    </xf>
    <xf numFmtId="0" fontId="5" fillId="8" borderId="1" applyAlignment="1" pivotButton="0" quotePrefix="0" xfId="0">
      <alignment horizontal="center" vertical="center" wrapText="1" readingOrder="2"/>
    </xf>
    <xf numFmtId="0" fontId="6" fillId="8" borderId="1" applyAlignment="1" pivotButton="0" quotePrefix="0" xfId="0">
      <alignment horizontal="center" vertical="center" wrapText="1" readingOrder="2"/>
    </xf>
    <xf numFmtId="164" fontId="6" fillId="8" borderId="1" applyAlignment="1" pivotButton="0" quotePrefix="0" xfId="0">
      <alignment horizontal="center" vertical="center" wrapText="1" readingOrder="2"/>
    </xf>
    <xf numFmtId="165" fontId="6" fillId="8" borderId="1" applyAlignment="1" pivotButton="0" quotePrefix="0" xfId="0">
      <alignment horizontal="center" vertical="center" wrapText="1" readingOrder="2"/>
    </xf>
    <xf numFmtId="9" fontId="5" fillId="7" borderId="1" applyAlignment="1" pivotButton="0" quotePrefix="0" xfId="0">
      <alignment horizontal="center" vertical="center" wrapText="1" readingOrder="2"/>
    </xf>
    <xf numFmtId="0" fontId="5" fillId="7" borderId="1" applyAlignment="1" pivotButton="0" quotePrefix="0" xfId="0">
      <alignment horizontal="center" vertical="center" wrapText="1" readingOrder="2"/>
    </xf>
    <xf numFmtId="4" fontId="5" fillId="7" borderId="1" applyAlignment="1" pivotButton="0" quotePrefix="0" xfId="0">
      <alignment horizontal="center" vertical="center" wrapText="1" readingOrder="2"/>
    </xf>
    <xf numFmtId="0" fontId="6" fillId="8" borderId="1" applyAlignment="1" pivotButton="0" quotePrefix="0" xfId="0">
      <alignment horizontal="right" vertical="center" readingOrder="2"/>
    </xf>
    <xf numFmtId="9" fontId="6" fillId="8" borderId="1" applyAlignment="1" pivotButton="0" quotePrefix="0" xfId="0">
      <alignment horizontal="center" vertical="center" wrapText="1" readingOrder="2"/>
    </xf>
    <xf numFmtId="0" fontId="5" fillId="5" borderId="1" applyAlignment="1" pivotButton="0" quotePrefix="0" xfId="0">
      <alignment horizontal="right" vertical="top" wrapText="1" readingOrder="2"/>
    </xf>
    <xf numFmtId="0" fontId="5" fillId="6" borderId="1" applyAlignment="1" pivotButton="0" quotePrefix="0" xfId="0">
      <alignment horizontal="right" vertical="top" wrapText="1" readingOrder="2"/>
    </xf>
    <xf numFmtId="0" fontId="5" fillId="7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dxfs count="4">
    <dxf>
      <font>
        <name val="DIN Next Arabic"/>
        <b val="1"/>
        <color rgb="002E8B6F"/>
      </font>
      <fill>
        <patternFill patternType="solid">
          <fgColor rgb="00D6E9E1"/>
        </patternFill>
      </fill>
    </dxf>
    <dxf>
      <font>
        <name val="DIN Next Arabic"/>
        <b val="1"/>
        <color rgb="00C0503A"/>
      </font>
      <fill>
        <patternFill patternType="solid">
          <fgColor rgb="00F2DAD4"/>
        </patternFill>
      </fill>
    </dxf>
    <dxf>
      <fill>
        <patternFill patternType="solid">
          <fgColor rgb="00F2DAD4"/>
        </patternFill>
      </fill>
    </dxf>
    <dxf>
      <fill>
        <patternFill patternType="solid">
          <fgColor rgb="00D6E9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9" customWidth="1" min="3" max="3"/>
    <col width="8" customWidth="1" min="4" max="4"/>
    <col width="13" customWidth="1" min="5" max="5"/>
    <col width="13" customWidth="1" min="6" max="6"/>
    <col width="8" customWidth="1" min="7" max="7"/>
    <col width="13" customWidth="1" min="8" max="8"/>
    <col width="12" customWidth="1" min="9" max="9"/>
    <col width="12" customWidth="1" min="10" max="10"/>
    <col width="30" customWidth="1" min="11" max="11"/>
  </cols>
  <sheetData>
    <row r="1" ht="26" customHeight="1">
      <c r="A1" s="1" t="inlineStr">
        <is>
          <t>حافز المحطات — سبتمبر ٢٠٢٦</t>
        </is>
      </c>
    </row>
    <row r="2" ht="16" customHeight="1">
      <c r="A2" s="2" t="inlineStr">
        <is>
          <t>النسبة تُقاس على الأيام التي وصلت بياناتها (١٩ يوماً من ٣٠) — لا على الشهر كاملاً</t>
        </is>
      </c>
    </row>
    <row r="3" ht="22" customHeight="1">
      <c r="A3" s="3" t="inlineStr">
        <is>
          <t>① النتيجة — ولكل محطة سطر واحد</t>
        </is>
      </c>
    </row>
    <row r="4" ht="30" customHeight="1">
      <c r="A4" s="4" t="inlineStr">
        <is>
          <t>#</t>
        </is>
      </c>
      <c r="B4" s="4" t="inlineStr">
        <is>
          <t>المحطة</t>
        </is>
      </c>
      <c r="C4" s="4" t="inlineStr">
        <is>
          <t>الكود</t>
        </is>
      </c>
      <c r="D4" s="4" t="inlineStr">
        <is>
          <t>الطاقم</t>
        </is>
      </c>
      <c r="E4" s="4" t="inlineStr">
        <is>
          <t>ميزانية الشهر</t>
        </is>
      </c>
      <c r="F4" s="4" t="inlineStr">
        <is>
          <t>ميزانية ١٩ يوماً</t>
        </is>
      </c>
      <c r="G4" s="4" t="inlineStr">
        <is>
          <t>الفعلي</t>
        </is>
      </c>
      <c r="H4" s="4" t="inlineStr">
        <is>
          <t>التحقيق</t>
        </is>
      </c>
      <c r="I4" s="4" t="inlineStr">
        <is>
          <t>الشريحة</t>
        </is>
      </c>
      <c r="J4" s="4" t="inlineStr">
        <is>
          <t>وعاء الحافز</t>
        </is>
      </c>
      <c r="K4" s="4" t="inlineStr">
        <is>
          <t>القراءة</t>
        </is>
      </c>
    </row>
    <row r="5" ht="20" customHeight="1">
      <c r="A5" s="5" t="n">
        <v>1</v>
      </c>
      <c r="B5" s="6" t="inlineStr">
        <is>
          <t>عرفات الشرائع</t>
        </is>
      </c>
      <c r="C5" s="5" t="inlineStr">
        <is>
          <t>MK019</t>
        </is>
      </c>
      <c r="D5" s="5" t="n">
        <v>5</v>
      </c>
      <c r="E5" s="7" t="n">
        <v>281329.3212</v>
      </c>
      <c r="F5" s="8">
        <f>E5/الاحتساب!$C$5*الاحتساب!$C$6</f>
        <v/>
      </c>
      <c r="G5" s="9" t="n">
        <v>164778.08</v>
      </c>
      <c r="H5" s="10">
        <f>IFERROR(G5/F5,0)</f>
        <v/>
      </c>
      <c r="I5" s="11" t="inlineStr">
        <is>
          <t>٨٥٪ إلى ٩٩٪</t>
        </is>
      </c>
      <c r="J5" s="9" t="n">
        <v>1000</v>
      </c>
      <c r="K5" s="12" t="inlineStr">
        <is>
          <t>يُصرف</t>
        </is>
      </c>
    </row>
    <row r="6" ht="20" customHeight="1">
      <c r="A6" s="5" t="n">
        <v>2</v>
      </c>
      <c r="B6" s="6" t="inlineStr">
        <is>
          <t>العزيزية بن دهيش</t>
        </is>
      </c>
      <c r="C6" s="5" t="inlineStr">
        <is>
          <t>MK072</t>
        </is>
      </c>
      <c r="D6" s="5" t="n">
        <v>15</v>
      </c>
      <c r="E6" s="7" t="n">
        <v>1854185.4734</v>
      </c>
      <c r="F6" s="8">
        <f>E6/الاحتساب!$C$5*الاحتساب!$C$6</f>
        <v/>
      </c>
      <c r="G6" s="9" t="n">
        <v>1093070.17</v>
      </c>
      <c r="H6" s="10">
        <f>IFERROR(G6/F6,0)</f>
        <v/>
      </c>
      <c r="I6" s="11" t="inlineStr">
        <is>
          <t>٨٥٪ إلى ٩٩٪</t>
        </is>
      </c>
      <c r="J6" s="9" t="n">
        <v>2500</v>
      </c>
      <c r="K6" s="12" t="inlineStr">
        <is>
          <t>يُصرف</t>
        </is>
      </c>
    </row>
    <row r="8" ht="22" customHeight="1">
      <c r="A8" s="3" t="inlineStr">
        <is>
          <t>② ما كان يُحتسب — ولماذا كان يُسقط الحافز</t>
        </is>
      </c>
    </row>
    <row r="9" ht="30" customHeight="1">
      <c r="A9" s="4" t="inlineStr">
        <is>
          <t>#</t>
        </is>
      </c>
      <c r="B9" s="4" t="inlineStr">
        <is>
          <t>المحطة</t>
        </is>
      </c>
      <c r="C9" s="4" t="inlineStr">
        <is>
          <t>الكود</t>
        </is>
      </c>
      <c r="D9" s="4" t="inlineStr"/>
      <c r="E9" s="4" t="inlineStr">
        <is>
          <t>النسبة في الملف الأصلي</t>
        </is>
      </c>
      <c r="F9" s="4" t="inlineStr">
        <is>
          <t>الصحيحة</t>
        </is>
      </c>
      <c r="G9" s="4" t="inlineStr">
        <is>
          <t>الفارق</t>
        </is>
      </c>
      <c r="H9" s="4" t="inlineStr">
        <is>
          <t>الأثر</t>
        </is>
      </c>
      <c r="I9" s="4" t="inlineStr"/>
      <c r="J9" s="4" t="inlineStr"/>
      <c r="K9" s="4" t="inlineStr">
        <is>
          <t>الشرح</t>
        </is>
      </c>
    </row>
    <row r="10" ht="20" customHeight="1">
      <c r="A10" s="5" t="n">
        <v>1</v>
      </c>
      <c r="B10" s="6" t="inlineStr">
        <is>
          <t>عرفات الشرائع</t>
        </is>
      </c>
      <c r="C10" s="5" t="inlineStr">
        <is>
          <t>MK019</t>
        </is>
      </c>
      <c r="D10" s="5" t="inlineStr"/>
      <c r="E10" s="13" t="n">
        <v>0.5857124287548311</v>
      </c>
      <c r="F10" s="14" t="n">
        <v>0.9248090980339436</v>
      </c>
      <c r="G10" s="15" t="n">
        <v>0.3390966692791125</v>
      </c>
      <c r="H10" s="9" t="n">
        <v>1000</v>
      </c>
      <c r="I10" s="5" t="inlineStr"/>
      <c r="J10" s="5" t="inlineStr"/>
      <c r="K10" s="12" t="inlineStr">
        <is>
          <t>الفعلي ١٩ يوماً قُسم على ميزانية ٣٠ يوماً</t>
        </is>
      </c>
    </row>
    <row r="11" ht="20" customHeight="1">
      <c r="A11" s="5" t="n">
        <v>2</v>
      </c>
      <c r="B11" s="6" t="inlineStr">
        <is>
          <t>العزيزية بن دهيش</t>
        </is>
      </c>
      <c r="C11" s="5" t="inlineStr">
        <is>
          <t>MK072</t>
        </is>
      </c>
      <c r="D11" s="5" t="inlineStr"/>
      <c r="E11" s="13" t="n">
        <v>0.5895150111362102</v>
      </c>
      <c r="F11" s="14" t="n">
        <v>0.9308131754782267</v>
      </c>
      <c r="G11" s="15" t="n">
        <v>0.3412981643420165</v>
      </c>
      <c r="H11" s="9" t="n">
        <v>2500</v>
      </c>
      <c r="I11" s="5" t="inlineStr"/>
      <c r="J11" s="5" t="inlineStr"/>
      <c r="K11" s="12" t="inlineStr">
        <is>
          <t>الفعلي ١٩ يوماً قُسم على ميزانية ٣٠ يوماً</t>
        </is>
      </c>
    </row>
    <row r="13">
      <c r="B13" s="16" t="inlineStr">
        <is>
          <t>الأثر: محطتان تُقرآن «دون العتبة» وهما فوقها — والحافز المستحق يسقط بلا سبب.</t>
        </is>
      </c>
    </row>
  </sheetData>
  <mergeCells count="4">
    <mergeCell ref="A2:K2"/>
    <mergeCell ref="A8:K8"/>
    <mergeCell ref="A1:K1"/>
    <mergeCell ref="A3:K3"/>
  </mergeCells>
  <conditionalFormatting sqref="H5:H6">
    <cfRule type="cellIs" priority="1" operator="greaterThanOrEqual" dxfId="0">
      <formula>0.85</formula>
    </cfRule>
    <cfRule type="cellIs" priority="2" operator="lessThan" dxfId="1">
      <formula>0.85</formula>
    </cfRule>
  </conditionalFormatting>
  <printOptions horizontalCentered="1"/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5" customWidth="1" min="3" max="3"/>
    <col width="15" customWidth="1" min="4" max="4"/>
    <col width="14" customWidth="1" min="5" max="5"/>
    <col width="14" customWidth="1" min="6" max="6"/>
    <col width="12" customWidth="1" min="7" max="7"/>
    <col width="12" customWidth="1" min="8" max="8"/>
    <col width="34" customWidth="1" min="9" max="9"/>
  </cols>
  <sheetData>
    <row r="1" ht="26" customHeight="1">
      <c r="A1" s="1" t="inlineStr">
        <is>
          <t>الاحتساب — كل رقم صيغة لا قيمة مطبوعة</t>
        </is>
      </c>
    </row>
    <row r="2" ht="16" customHeight="1">
      <c r="A2" s="2" t="inlineStr">
        <is>
          <t>غيِّر الأصفر فيتحدّث ما تحته · وهذه الورقة هي مصدر لوحة الحافز</t>
        </is>
      </c>
    </row>
    <row r="3" ht="22" customHeight="1">
      <c r="A3" s="3" t="inlineStr">
        <is>
          <t>① المُدخَلات — تُعدَّل هنا وحدها</t>
        </is>
      </c>
    </row>
    <row r="5">
      <c r="B5" s="6" t="inlineStr">
        <is>
          <t>أيام الشهر</t>
        </is>
      </c>
      <c r="C5" s="17" t="n">
        <v>30</v>
      </c>
      <c r="E5" s="16" t="inlineStr">
        <is>
          <t>يُقاس التحقيق على الأيام المتاحة لا على الشهر كاملاً — وإلا قُورن جزءٌ بكلٍّ.</t>
        </is>
      </c>
    </row>
    <row r="6">
      <c r="B6" s="6" t="inlineStr">
        <is>
          <t>الأيام التي وصلت بياناتها</t>
        </is>
      </c>
      <c r="C6" s="17" t="n">
        <v>19</v>
      </c>
    </row>
    <row r="7">
      <c r="B7" s="6" t="inlineStr">
        <is>
          <t>عتبة الصرف</t>
        </is>
      </c>
      <c r="C7" s="18" t="n">
        <v>0.85</v>
      </c>
    </row>
    <row r="8">
      <c r="B8" s="6" t="inlineStr">
        <is>
          <t>عتبة الشريحة العليا</t>
        </is>
      </c>
      <c r="C8" s="18" t="n">
        <v>1</v>
      </c>
    </row>
    <row r="10" ht="22" customHeight="1">
      <c r="A10" s="3" t="inlineStr">
        <is>
          <t>② الاحتساب لكل محطة</t>
        </is>
      </c>
    </row>
    <row r="11" ht="30" customHeight="1">
      <c r="A11" s="4" t="inlineStr">
        <is>
          <t>#</t>
        </is>
      </c>
      <c r="B11" s="4" t="inlineStr">
        <is>
          <t>المحطة</t>
        </is>
      </c>
      <c r="C11" s="4" t="inlineStr">
        <is>
          <t>ميزانية الشهر</t>
        </is>
      </c>
      <c r="D11" s="4" t="inlineStr">
        <is>
          <t>ميزانية الأيام المتاحة</t>
        </is>
      </c>
      <c r="E11" s="4" t="inlineStr">
        <is>
          <t>الفعلي</t>
        </is>
      </c>
      <c r="F11" s="4" t="inlineStr">
        <is>
          <t>التحقيق</t>
        </is>
      </c>
      <c r="G11" s="4" t="inlineStr">
        <is>
          <t>الوعاء</t>
        </is>
      </c>
      <c r="H11" s="4" t="inlineStr">
        <is>
          <t>حصة المدير</t>
        </is>
      </c>
      <c r="I11" s="4" t="inlineStr">
        <is>
          <t>حصة العامل الواحد</t>
        </is>
      </c>
    </row>
    <row r="12" ht="20" customHeight="1">
      <c r="A12" s="5" t="n">
        <v>1</v>
      </c>
      <c r="B12" s="6" t="inlineStr">
        <is>
          <t>عرفات الشرائع · MK019</t>
        </is>
      </c>
      <c r="C12" s="7" t="n">
        <v>281329.3212</v>
      </c>
      <c r="D12" s="8">
        <f>C12/$C$5*$C$6</f>
        <v/>
      </c>
      <c r="E12" s="9" t="n">
        <v>164778.08</v>
      </c>
      <c r="F12" s="10">
        <f>IFERROR(E12/D12,0)</f>
        <v/>
      </c>
      <c r="G12" s="19">
        <f>IF(F12&gt;=$C$8,1500,IF(F12&gt;=$C$7,1000,0))</f>
        <v/>
      </c>
      <c r="H12" s="20">
        <f>G12*0.3</f>
        <v/>
      </c>
      <c r="I12" s="21">
        <f>IFERROR(G12*0.7/4,0)</f>
        <v/>
      </c>
    </row>
    <row r="13" ht="20" customHeight="1">
      <c r="A13" s="5" t="n">
        <v>2</v>
      </c>
      <c r="B13" s="6" t="inlineStr">
        <is>
          <t>العزيزية بن دهيش · MK072</t>
        </is>
      </c>
      <c r="C13" s="7" t="n">
        <v>1854185.4734</v>
      </c>
      <c r="D13" s="8">
        <f>C13/$C$5*$C$6</f>
        <v/>
      </c>
      <c r="E13" s="9" t="n">
        <v>1093070.17</v>
      </c>
      <c r="F13" s="10">
        <f>IFERROR(E13/D13,0)</f>
        <v/>
      </c>
      <c r="G13" s="19">
        <f>IF(F13&gt;=$C$8,4000,IF(F13&gt;=$C$7,2500,0))</f>
        <v/>
      </c>
      <c r="H13" s="20">
        <f>G13*0.15</f>
        <v/>
      </c>
      <c r="I13" s="21">
        <f>IFERROR(G13*0.85/14,0)</f>
        <v/>
      </c>
    </row>
    <row r="15" ht="22" customHeight="1">
      <c r="A15" s="3" t="inlineStr">
        <is>
          <t>③ شرائح الحافز كما هي معتمدة — ولكل محطة جدولها</t>
        </is>
      </c>
    </row>
    <row r="16" ht="30" customHeight="1">
      <c r="A16" s="4" t="inlineStr">
        <is>
          <t>#</t>
        </is>
      </c>
      <c r="B16" s="4" t="inlineStr">
        <is>
          <t>المحطة</t>
        </is>
      </c>
      <c r="C16" s="4" t="inlineStr">
        <is>
          <t>الشريحة</t>
        </is>
      </c>
      <c r="D16" s="4" t="inlineStr">
        <is>
          <t>الوعاء</t>
        </is>
      </c>
      <c r="E16" s="4" t="inlineStr">
        <is>
          <t>نسبة المدير</t>
        </is>
      </c>
      <c r="F16" s="4" t="inlineStr">
        <is>
          <t>مبلغ المدير</t>
        </is>
      </c>
      <c r="G16" s="4" t="inlineStr">
        <is>
          <t>نسبة العمال</t>
        </is>
      </c>
      <c r="H16" s="4" t="inlineStr">
        <is>
          <t>مبلغ العمال</t>
        </is>
      </c>
      <c r="I16" s="4" t="inlineStr">
        <is>
          <t>للعامل الواحد</t>
        </is>
      </c>
    </row>
    <row r="17">
      <c r="A17" s="5" t="n">
        <v>1</v>
      </c>
      <c r="B17" s="6" t="inlineStr">
        <is>
          <t>عرفات الشرائع</t>
        </is>
      </c>
      <c r="C17" s="11" t="inlineStr">
        <is>
          <t>٨٥٪ إلى ٩٩٪</t>
        </is>
      </c>
      <c r="D17" s="9" t="n">
        <v>1000</v>
      </c>
      <c r="E17" s="22" t="n">
        <v>0.3</v>
      </c>
      <c r="F17" s="20">
        <f>D17*E17</f>
        <v/>
      </c>
      <c r="G17" s="22" t="n">
        <v>0.7</v>
      </c>
      <c r="H17" s="20">
        <f>D17*G17</f>
        <v/>
      </c>
      <c r="I17" s="21">
        <f>IFERROR(H17/4,0)</f>
        <v/>
      </c>
    </row>
    <row r="18">
      <c r="A18" s="5" t="inlineStr"/>
      <c r="B18" s="6" t="inlineStr"/>
      <c r="C18" s="11" t="inlineStr">
        <is>
          <t>١٠٠٪ بالضبط</t>
        </is>
      </c>
      <c r="D18" s="9" t="n">
        <v>1300</v>
      </c>
      <c r="E18" s="22" t="n">
        <v>0.3</v>
      </c>
      <c r="F18" s="20">
        <f>D18*E18</f>
        <v/>
      </c>
      <c r="G18" s="22" t="n">
        <v>0.7</v>
      </c>
      <c r="H18" s="20">
        <f>D18*G18</f>
        <v/>
      </c>
      <c r="I18" s="21">
        <f>IFERROR(H18/4,0)</f>
        <v/>
      </c>
    </row>
    <row r="19">
      <c r="A19" s="5" t="inlineStr"/>
      <c r="B19" s="6" t="inlineStr"/>
      <c r="C19" s="11" t="inlineStr">
        <is>
          <t>١٠٠٪ فأكثر</t>
        </is>
      </c>
      <c r="D19" s="9" t="n">
        <v>1500</v>
      </c>
      <c r="E19" s="22" t="n">
        <v>0.3</v>
      </c>
      <c r="F19" s="20">
        <f>D19*E19</f>
        <v/>
      </c>
      <c r="G19" s="22" t="n">
        <v>0.7</v>
      </c>
      <c r="H19" s="20">
        <f>D19*G19</f>
        <v/>
      </c>
      <c r="I19" s="21">
        <f>IFERROR(H19/4,0)</f>
        <v/>
      </c>
    </row>
    <row r="20">
      <c r="A20" s="5" t="n">
        <v>2</v>
      </c>
      <c r="B20" s="6" t="inlineStr">
        <is>
          <t>العزيزية بن دهيش</t>
        </is>
      </c>
      <c r="C20" s="11" t="inlineStr">
        <is>
          <t>٨٥٪ إلى ٩٩٪</t>
        </is>
      </c>
      <c r="D20" s="9" t="n">
        <v>2500</v>
      </c>
      <c r="E20" s="22" t="n">
        <v>0.15</v>
      </c>
      <c r="F20" s="20">
        <f>D20*E20</f>
        <v/>
      </c>
      <c r="G20" s="22" t="n">
        <v>0.85</v>
      </c>
      <c r="H20" s="20">
        <f>D20*G20</f>
        <v/>
      </c>
      <c r="I20" s="21">
        <f>IFERROR(H20/14,0)</f>
        <v/>
      </c>
    </row>
    <row r="21">
      <c r="A21" s="5" t="inlineStr"/>
      <c r="B21" s="6" t="inlineStr"/>
      <c r="C21" s="11" t="inlineStr">
        <is>
          <t>١٠٠٪ بالضبط</t>
        </is>
      </c>
      <c r="D21" s="9" t="n">
        <v>3000</v>
      </c>
      <c r="E21" s="22" t="n">
        <v>0.15</v>
      </c>
      <c r="F21" s="20">
        <f>D21*E21</f>
        <v/>
      </c>
      <c r="G21" s="22" t="n">
        <v>0.85</v>
      </c>
      <c r="H21" s="20">
        <f>D21*G21</f>
        <v/>
      </c>
      <c r="I21" s="21">
        <f>IFERROR(H21/14,0)</f>
        <v/>
      </c>
    </row>
    <row r="22">
      <c r="A22" s="5" t="inlineStr"/>
      <c r="B22" s="6" t="inlineStr"/>
      <c r="C22" s="11" t="inlineStr">
        <is>
          <t>١٠٠٪ فأكثر</t>
        </is>
      </c>
      <c r="D22" s="9" t="n">
        <v>4000</v>
      </c>
      <c r="E22" s="22" t="n">
        <v>0.15</v>
      </c>
      <c r="F22" s="20">
        <f>D22*E22</f>
        <v/>
      </c>
      <c r="G22" s="22" t="n">
        <v>0.85</v>
      </c>
      <c r="H22" s="20">
        <f>D22*G22</f>
        <v/>
      </c>
      <c r="I22" s="21">
        <f>IFERROR(H22/14,0)</f>
        <v/>
      </c>
    </row>
    <row r="24">
      <c r="B24" s="16" t="inlineStr">
        <is>
          <t>ملاحظة تستحق قراراً: نسبة المدير ٣٠٪ في الشرائع و١٥٪ في العزيزية — المعيار غير موحَّد بين المحطتين.</t>
        </is>
      </c>
    </row>
  </sheetData>
  <mergeCells count="5">
    <mergeCell ref="A15:I15"/>
    <mergeCell ref="A2:I2"/>
    <mergeCell ref="A10:I10"/>
    <mergeCell ref="A1:I1"/>
    <mergeCell ref="A3:I3"/>
  </mergeCells>
  <printOptions horizontalCentered="1"/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16" customWidth="1" min="3" max="3"/>
    <col width="16" customWidth="1" min="4" max="4"/>
    <col width="16" customWidth="1" min="5" max="5"/>
    <col width="15" customWidth="1" min="6" max="6"/>
    <col width="15" customWidth="1" min="7" max="7"/>
    <col width="14" customWidth="1" min="8" max="8"/>
    <col width="14" customWidth="1" min="9" max="9"/>
    <col width="26" customWidth="1" min="10" max="10"/>
  </cols>
  <sheetData>
    <row r="1" ht="26" customHeight="1">
      <c r="A1" s="1" t="inlineStr">
        <is>
          <t>المبيعات اليومية — سبتمبر ٢٠٢٦</t>
        </is>
      </c>
    </row>
    <row r="2" ht="16" customHeight="1">
      <c r="A2" s="2" t="inlineStr">
        <is>
          <t>الفعلي مقابل ميزانية اليوم، والتراكمي مقابل ما يقابله — لا مقابل الشهر كله</t>
        </is>
      </c>
    </row>
    <row r="3" ht="22" customHeight="1">
      <c r="A3" s="3" t="inlineStr">
        <is>
          <t>عرفات الشرائع · MK019 — ميزانية اليوم ٩,٣٧٨ ريال</t>
        </is>
      </c>
    </row>
    <row r="4" ht="30" customHeight="1">
      <c r="A4" s="4" t="inlineStr">
        <is>
          <t>#</t>
        </is>
      </c>
      <c r="B4" s="4" t="inlineStr">
        <is>
          <t>اليوم</t>
        </is>
      </c>
      <c r="C4" s="4" t="inlineStr">
        <is>
          <t>بنزين 91</t>
        </is>
      </c>
      <c r="D4" s="4" t="inlineStr">
        <is>
          <t>بنزين 95</t>
        </is>
      </c>
      <c r="E4" s="4" t="inlineStr"/>
      <c r="F4" s="4" t="inlineStr">
        <is>
          <t>إجمالي اليوم</t>
        </is>
      </c>
      <c r="G4" s="4" t="inlineStr">
        <is>
          <t>ميزانية اليوم</t>
        </is>
      </c>
      <c r="H4" s="4" t="inlineStr">
        <is>
          <t>الفارق</t>
        </is>
      </c>
      <c r="I4" s="4" t="inlineStr">
        <is>
          <t>التراكمي</t>
        </is>
      </c>
      <c r="J4" s="4" t="inlineStr">
        <is>
          <t>التحقيق التراكمي</t>
        </is>
      </c>
    </row>
    <row r="5">
      <c r="A5" s="5" t="n">
        <v>1</v>
      </c>
      <c r="B5" s="5" t="n">
        <v>1</v>
      </c>
      <c r="C5" s="23" t="n">
        <v>5137.1</v>
      </c>
      <c r="D5" s="23" t="n">
        <v>4056.48</v>
      </c>
      <c r="E5" s="5" t="inlineStr"/>
      <c r="F5" s="19">
        <f>C5+D5</f>
        <v/>
      </c>
      <c r="G5" s="7" t="n">
        <v>9377.644040000001</v>
      </c>
      <c r="H5" s="8">
        <f>F5-G5</f>
        <v/>
      </c>
      <c r="I5" s="19">
        <f>SUM($F$5:F5)</f>
        <v/>
      </c>
      <c r="J5" s="10">
        <f>IFERROR(I5/(G5*1),0)</f>
        <v/>
      </c>
    </row>
    <row r="6">
      <c r="A6" s="5" t="n">
        <v>2</v>
      </c>
      <c r="B6" s="5" t="n">
        <v>2</v>
      </c>
      <c r="C6" s="23" t="n">
        <v>4306.02</v>
      </c>
      <c r="D6" s="23" t="n">
        <v>3263.09</v>
      </c>
      <c r="E6" s="5" t="inlineStr"/>
      <c r="F6" s="19">
        <f>C6+D6</f>
        <v/>
      </c>
      <c r="G6" s="7" t="n">
        <v>9377.644040000001</v>
      </c>
      <c r="H6" s="8">
        <f>F6-G6</f>
        <v/>
      </c>
      <c r="I6" s="19">
        <f>SUM($F$5:F6)</f>
        <v/>
      </c>
      <c r="J6" s="10">
        <f>IFERROR(I6/(G6*2),0)</f>
        <v/>
      </c>
    </row>
    <row r="7">
      <c r="A7" s="5" t="n">
        <v>3</v>
      </c>
      <c r="B7" s="5" t="n">
        <v>3</v>
      </c>
      <c r="C7" s="23" t="n">
        <v>4384.62</v>
      </c>
      <c r="D7" s="23" t="n">
        <v>4239.2</v>
      </c>
      <c r="E7" s="5" t="inlineStr"/>
      <c r="F7" s="19">
        <f>C7+D7</f>
        <v/>
      </c>
      <c r="G7" s="7" t="n">
        <v>9377.644040000001</v>
      </c>
      <c r="H7" s="8">
        <f>F7-G7</f>
        <v/>
      </c>
      <c r="I7" s="19">
        <f>SUM($F$5:F7)</f>
        <v/>
      </c>
      <c r="J7" s="10">
        <f>IFERROR(I7/(G7*3),0)</f>
        <v/>
      </c>
    </row>
    <row r="8">
      <c r="A8" s="5" t="n">
        <v>4</v>
      </c>
      <c r="B8" s="5" t="n">
        <v>4</v>
      </c>
      <c r="C8" s="23" t="n">
        <v>3916.24</v>
      </c>
      <c r="D8" s="23" t="n">
        <v>3040.18</v>
      </c>
      <c r="E8" s="5" t="inlineStr"/>
      <c r="F8" s="19">
        <f>C8+D8</f>
        <v/>
      </c>
      <c r="G8" s="7" t="n">
        <v>9377.644040000001</v>
      </c>
      <c r="H8" s="8">
        <f>F8-G8</f>
        <v/>
      </c>
      <c r="I8" s="19">
        <f>SUM($F$5:F8)</f>
        <v/>
      </c>
      <c r="J8" s="10">
        <f>IFERROR(I8/(G8*4),0)</f>
        <v/>
      </c>
    </row>
    <row r="9">
      <c r="A9" s="5" t="n">
        <v>5</v>
      </c>
      <c r="B9" s="5" t="n">
        <v>5</v>
      </c>
      <c r="C9" s="23" t="n">
        <v>5149.72</v>
      </c>
      <c r="D9" s="23" t="n">
        <v>3527.78</v>
      </c>
      <c r="E9" s="5" t="inlineStr"/>
      <c r="F9" s="19">
        <f>C9+D9</f>
        <v/>
      </c>
      <c r="G9" s="7" t="n">
        <v>9377.644040000001</v>
      </c>
      <c r="H9" s="8">
        <f>F9-G9</f>
        <v/>
      </c>
      <c r="I9" s="19">
        <f>SUM($F$5:F9)</f>
        <v/>
      </c>
      <c r="J9" s="10">
        <f>IFERROR(I9/(G9*5),0)</f>
        <v/>
      </c>
    </row>
    <row r="10">
      <c r="A10" s="5" t="n">
        <v>6</v>
      </c>
      <c r="B10" s="5" t="n">
        <v>6</v>
      </c>
      <c r="C10" s="23" t="n">
        <v>4284.26</v>
      </c>
      <c r="D10" s="23" t="n">
        <v>4399.3</v>
      </c>
      <c r="E10" s="5" t="inlineStr"/>
      <c r="F10" s="19">
        <f>C10+D10</f>
        <v/>
      </c>
      <c r="G10" s="7" t="n">
        <v>9377.644040000001</v>
      </c>
      <c r="H10" s="8">
        <f>F10-G10</f>
        <v/>
      </c>
      <c r="I10" s="19">
        <f>SUM($F$5:F10)</f>
        <v/>
      </c>
      <c r="J10" s="10">
        <f>IFERROR(I10/(G10*6),0)</f>
        <v/>
      </c>
    </row>
    <row r="11">
      <c r="A11" s="5" t="n">
        <v>7</v>
      </c>
      <c r="B11" s="5" t="n">
        <v>7</v>
      </c>
      <c r="C11" s="23" t="n">
        <v>4127.91</v>
      </c>
      <c r="D11" s="23" t="n">
        <v>3138.64</v>
      </c>
      <c r="E11" s="5" t="inlineStr"/>
      <c r="F11" s="19">
        <f>C11+D11</f>
        <v/>
      </c>
      <c r="G11" s="7" t="n">
        <v>9377.644040000001</v>
      </c>
      <c r="H11" s="8">
        <f>F11-G11</f>
        <v/>
      </c>
      <c r="I11" s="19">
        <f>SUM($F$5:F11)</f>
        <v/>
      </c>
      <c r="J11" s="10">
        <f>IFERROR(I11/(G11*7),0)</f>
        <v/>
      </c>
    </row>
    <row r="12">
      <c r="A12" s="5" t="n">
        <v>8</v>
      </c>
      <c r="B12" s="5" t="n">
        <v>8</v>
      </c>
      <c r="C12" s="23" t="n">
        <v>4335.31</v>
      </c>
      <c r="D12" s="23" t="n">
        <v>3394.59</v>
      </c>
      <c r="E12" s="5" t="inlineStr"/>
      <c r="F12" s="19">
        <f>C12+D12</f>
        <v/>
      </c>
      <c r="G12" s="7" t="n">
        <v>9377.644040000001</v>
      </c>
      <c r="H12" s="8">
        <f>F12-G12</f>
        <v/>
      </c>
      <c r="I12" s="19">
        <f>SUM($F$5:F12)</f>
        <v/>
      </c>
      <c r="J12" s="10">
        <f>IFERROR(I12/(G12*8),0)</f>
        <v/>
      </c>
    </row>
    <row r="13">
      <c r="A13" s="5" t="n">
        <v>9</v>
      </c>
      <c r="B13" s="5" t="n">
        <v>9</v>
      </c>
      <c r="C13" s="23" t="n">
        <v>4751.58</v>
      </c>
      <c r="D13" s="23" t="n">
        <v>3708.2</v>
      </c>
      <c r="E13" s="5" t="inlineStr"/>
      <c r="F13" s="19">
        <f>C13+D13</f>
        <v/>
      </c>
      <c r="G13" s="7" t="n">
        <v>9377.644040000001</v>
      </c>
      <c r="H13" s="8">
        <f>F13-G13</f>
        <v/>
      </c>
      <c r="I13" s="19">
        <f>SUM($F$5:F13)</f>
        <v/>
      </c>
      <c r="J13" s="10">
        <f>IFERROR(I13/(G13*9),0)</f>
        <v/>
      </c>
    </row>
    <row r="14">
      <c r="A14" s="5" t="n">
        <v>10</v>
      </c>
      <c r="B14" s="5" t="n">
        <v>10</v>
      </c>
      <c r="C14" s="23" t="n">
        <v>5325.14</v>
      </c>
      <c r="D14" s="23" t="n">
        <v>4936.26</v>
      </c>
      <c r="E14" s="5" t="inlineStr"/>
      <c r="F14" s="19">
        <f>C14+D14</f>
        <v/>
      </c>
      <c r="G14" s="7" t="n">
        <v>9377.644040000001</v>
      </c>
      <c r="H14" s="8">
        <f>F14-G14</f>
        <v/>
      </c>
      <c r="I14" s="19">
        <f>SUM($F$5:F14)</f>
        <v/>
      </c>
      <c r="J14" s="10">
        <f>IFERROR(I14/(G14*10),0)</f>
        <v/>
      </c>
    </row>
    <row r="15">
      <c r="A15" s="5" t="n">
        <v>11</v>
      </c>
      <c r="B15" s="5" t="n">
        <v>11</v>
      </c>
      <c r="C15" s="23" t="n">
        <v>3920.62</v>
      </c>
      <c r="D15" s="23" t="n">
        <v>3943.7</v>
      </c>
      <c r="E15" s="5" t="inlineStr"/>
      <c r="F15" s="19">
        <f>C15+D15</f>
        <v/>
      </c>
      <c r="G15" s="7" t="n">
        <v>9377.644040000001</v>
      </c>
      <c r="H15" s="8">
        <f>F15-G15</f>
        <v/>
      </c>
      <c r="I15" s="19">
        <f>SUM($F$5:F15)</f>
        <v/>
      </c>
      <c r="J15" s="10">
        <f>IFERROR(I15/(G15*11),0)</f>
        <v/>
      </c>
    </row>
    <row r="16">
      <c r="A16" s="5" t="n">
        <v>12</v>
      </c>
      <c r="B16" s="5" t="n">
        <v>12</v>
      </c>
      <c r="C16" s="23" t="n">
        <v>4810.17</v>
      </c>
      <c r="D16" s="23" t="n">
        <v>4861.16</v>
      </c>
      <c r="E16" s="5" t="inlineStr"/>
      <c r="F16" s="19">
        <f>C16+D16</f>
        <v/>
      </c>
      <c r="G16" s="7" t="n">
        <v>9377.644040000001</v>
      </c>
      <c r="H16" s="8">
        <f>F16-G16</f>
        <v/>
      </c>
      <c r="I16" s="19">
        <f>SUM($F$5:F16)</f>
        <v/>
      </c>
      <c r="J16" s="10">
        <f>IFERROR(I16/(G16*12),0)</f>
        <v/>
      </c>
    </row>
    <row r="17">
      <c r="A17" s="5" t="n">
        <v>13</v>
      </c>
      <c r="B17" s="5" t="n">
        <v>13</v>
      </c>
      <c r="C17" s="23" t="n">
        <v>4783.38</v>
      </c>
      <c r="D17" s="23" t="n">
        <v>4237.69</v>
      </c>
      <c r="E17" s="5" t="inlineStr"/>
      <c r="F17" s="19">
        <f>C17+D17</f>
        <v/>
      </c>
      <c r="G17" s="7" t="n">
        <v>9377.644040000001</v>
      </c>
      <c r="H17" s="8">
        <f>F17-G17</f>
        <v/>
      </c>
      <c r="I17" s="19">
        <f>SUM($F$5:F17)</f>
        <v/>
      </c>
      <c r="J17" s="10">
        <f>IFERROR(I17/(G17*13),0)</f>
        <v/>
      </c>
    </row>
    <row r="18">
      <c r="A18" s="5" t="n">
        <v>14</v>
      </c>
      <c r="B18" s="5" t="n">
        <v>14</v>
      </c>
      <c r="C18" s="23" t="n">
        <v>5260.94</v>
      </c>
      <c r="D18" s="23" t="n">
        <v>3841.84</v>
      </c>
      <c r="E18" s="5" t="inlineStr"/>
      <c r="F18" s="19">
        <f>C18+D18</f>
        <v/>
      </c>
      <c r="G18" s="7" t="n">
        <v>9377.644040000001</v>
      </c>
      <c r="H18" s="8">
        <f>F18-G18</f>
        <v/>
      </c>
      <c r="I18" s="19">
        <f>SUM($F$5:F18)</f>
        <v/>
      </c>
      <c r="J18" s="10">
        <f>IFERROR(I18/(G18*14),0)</f>
        <v/>
      </c>
    </row>
    <row r="19">
      <c r="A19" s="5" t="n">
        <v>15</v>
      </c>
      <c r="B19" s="5" t="n">
        <v>15</v>
      </c>
      <c r="C19" s="23" t="n">
        <v>4731.95</v>
      </c>
      <c r="D19" s="23" t="n">
        <v>3588.02</v>
      </c>
      <c r="E19" s="5" t="inlineStr"/>
      <c r="F19" s="19">
        <f>C19+D19</f>
        <v/>
      </c>
      <c r="G19" s="7" t="n">
        <v>9377.644040000001</v>
      </c>
      <c r="H19" s="8">
        <f>F19-G19</f>
        <v/>
      </c>
      <c r="I19" s="19">
        <f>SUM($F$5:F19)</f>
        <v/>
      </c>
      <c r="J19" s="10">
        <f>IFERROR(I19/(G19*15),0)</f>
        <v/>
      </c>
    </row>
    <row r="20">
      <c r="A20" s="5" t="n">
        <v>16</v>
      </c>
      <c r="B20" s="5" t="n">
        <v>16</v>
      </c>
      <c r="C20" s="23" t="n">
        <v>5946.27</v>
      </c>
      <c r="D20" s="23" t="n">
        <v>4723.02</v>
      </c>
      <c r="E20" s="5" t="inlineStr"/>
      <c r="F20" s="19">
        <f>C20+D20</f>
        <v/>
      </c>
      <c r="G20" s="7" t="n">
        <v>9377.644040000001</v>
      </c>
      <c r="H20" s="8">
        <f>F20-G20</f>
        <v/>
      </c>
      <c r="I20" s="19">
        <f>SUM($F$5:F20)</f>
        <v/>
      </c>
      <c r="J20" s="10">
        <f>IFERROR(I20/(G20*16),0)</f>
        <v/>
      </c>
    </row>
    <row r="21">
      <c r="A21" s="5" t="n">
        <v>17</v>
      </c>
      <c r="B21" s="5" t="n">
        <v>17</v>
      </c>
      <c r="C21" s="23" t="n">
        <v>5016.05</v>
      </c>
      <c r="D21" s="23" t="n">
        <v>4013.04</v>
      </c>
      <c r="E21" s="5" t="inlineStr"/>
      <c r="F21" s="19">
        <f>C21+D21</f>
        <v/>
      </c>
      <c r="G21" s="7" t="n">
        <v>9377.644040000001</v>
      </c>
      <c r="H21" s="8">
        <f>F21-G21</f>
        <v/>
      </c>
      <c r="I21" s="19">
        <f>SUM($F$5:F21)</f>
        <v/>
      </c>
      <c r="J21" s="10">
        <f>IFERROR(I21/(G21*17),0)</f>
        <v/>
      </c>
    </row>
    <row r="22">
      <c r="A22" s="5" t="n">
        <v>18</v>
      </c>
      <c r="B22" s="5" t="n">
        <v>18</v>
      </c>
      <c r="C22" s="23" t="n">
        <v>4223.18</v>
      </c>
      <c r="D22" s="23" t="n">
        <v>4074.9</v>
      </c>
      <c r="E22" s="5" t="inlineStr"/>
      <c r="F22" s="19">
        <f>C22+D22</f>
        <v/>
      </c>
      <c r="G22" s="7" t="n">
        <v>9377.644040000001</v>
      </c>
      <c r="H22" s="8">
        <f>F22-G22</f>
        <v/>
      </c>
      <c r="I22" s="19">
        <f>SUM($F$5:F22)</f>
        <v/>
      </c>
      <c r="J22" s="10">
        <f>IFERROR(I22/(G22*18),0)</f>
        <v/>
      </c>
    </row>
    <row r="23">
      <c r="A23" s="5" t="n">
        <v>19</v>
      </c>
      <c r="B23" s="5" t="n">
        <v>19</v>
      </c>
      <c r="C23" s="23" t="n">
        <v>5241.17</v>
      </c>
      <c r="D23" s="23" t="n">
        <v>4139.36</v>
      </c>
      <c r="E23" s="5" t="inlineStr"/>
      <c r="F23" s="19">
        <f>C23+D23</f>
        <v/>
      </c>
      <c r="G23" s="7" t="n">
        <v>9377.644040000001</v>
      </c>
      <c r="H23" s="8">
        <f>F23-G23</f>
        <v/>
      </c>
      <c r="I23" s="19">
        <f>SUM($F$5:F23)</f>
        <v/>
      </c>
      <c r="J23" s="10">
        <f>IFERROR(I23/(G23*19),0)</f>
        <v/>
      </c>
    </row>
    <row r="24">
      <c r="A24" s="24" t="inlineStr"/>
      <c r="B24" s="25" t="inlineStr">
        <is>
          <t>الإجمالي</t>
        </is>
      </c>
      <c r="C24" s="26">
        <f>SUM(C5:C23)</f>
        <v/>
      </c>
      <c r="D24" s="26">
        <f>SUM(D5:D23)</f>
        <v/>
      </c>
      <c r="E24" s="24" t="inlineStr"/>
      <c r="F24" s="26">
        <f>SUM(F5:F23)</f>
        <v/>
      </c>
      <c r="G24" s="26">
        <f>SUM(G5:G23)</f>
        <v/>
      </c>
      <c r="H24" s="26">
        <f>SUM(H5:H23)</f>
        <v/>
      </c>
      <c r="I24" s="26">
        <f>I23</f>
        <v/>
      </c>
      <c r="J24" s="27">
        <f>IFERROR(F24/G24,0)</f>
        <v/>
      </c>
    </row>
    <row r="27" ht="22" customHeight="1">
      <c r="A27" s="3" t="inlineStr">
        <is>
          <t>العزيزية بن دهيش · MK072 — ميزانية اليوم ٦١,٨٠٦ ريال</t>
        </is>
      </c>
    </row>
    <row r="28" ht="30" customHeight="1">
      <c r="A28" s="4" t="inlineStr">
        <is>
          <t>#</t>
        </is>
      </c>
      <c r="B28" s="4" t="inlineStr">
        <is>
          <t>اليوم</t>
        </is>
      </c>
      <c r="C28" s="4" t="inlineStr">
        <is>
          <t>بنزين 91</t>
        </is>
      </c>
      <c r="D28" s="4" t="inlineStr">
        <is>
          <t>بنزين 95</t>
        </is>
      </c>
      <c r="E28" s="4" t="inlineStr">
        <is>
          <t>ديزل</t>
        </is>
      </c>
      <c r="F28" s="4" t="inlineStr">
        <is>
          <t>إجمالي اليوم</t>
        </is>
      </c>
      <c r="G28" s="4" t="inlineStr">
        <is>
          <t>ميزانية اليوم</t>
        </is>
      </c>
      <c r="H28" s="4" t="inlineStr">
        <is>
          <t>الفارق</t>
        </is>
      </c>
      <c r="I28" s="4" t="inlineStr">
        <is>
          <t>التراكمي</t>
        </is>
      </c>
      <c r="J28" s="4" t="inlineStr">
        <is>
          <t>التحقيق التراكمي</t>
        </is>
      </c>
    </row>
    <row r="29">
      <c r="A29" s="5" t="n">
        <v>1</v>
      </c>
      <c r="B29" s="5" t="n">
        <v>1</v>
      </c>
      <c r="C29" s="23" t="n">
        <v>37994.76</v>
      </c>
      <c r="D29" s="23" t="n">
        <v>12896.91</v>
      </c>
      <c r="E29" s="23" t="n">
        <v>6865.91</v>
      </c>
      <c r="F29" s="19">
        <f>C29+D29+E29</f>
        <v/>
      </c>
      <c r="G29" s="7" t="n">
        <v>61806.18244666667</v>
      </c>
      <c r="H29" s="8">
        <f>F29-G29</f>
        <v/>
      </c>
      <c r="I29" s="19">
        <f>SUM($F$29:F29)</f>
        <v/>
      </c>
      <c r="J29" s="10">
        <f>IFERROR(I29/(G29*1),0)</f>
        <v/>
      </c>
    </row>
    <row r="30">
      <c r="A30" s="5" t="n">
        <v>2</v>
      </c>
      <c r="B30" s="5" t="n">
        <v>2</v>
      </c>
      <c r="C30" s="23" t="n">
        <v>41865.69</v>
      </c>
      <c r="D30" s="23" t="n">
        <v>10364.12</v>
      </c>
      <c r="E30" s="23" t="n">
        <v>8577.559999999999</v>
      </c>
      <c r="F30" s="19">
        <f>C30+D30+E30</f>
        <v/>
      </c>
      <c r="G30" s="7" t="n">
        <v>61806.18244666667</v>
      </c>
      <c r="H30" s="8">
        <f>F30-G30</f>
        <v/>
      </c>
      <c r="I30" s="19">
        <f>SUM($F$29:F30)</f>
        <v/>
      </c>
      <c r="J30" s="10">
        <f>IFERROR(I30/(G30*2),0)</f>
        <v/>
      </c>
    </row>
    <row r="31">
      <c r="A31" s="5" t="n">
        <v>3</v>
      </c>
      <c r="B31" s="5" t="n">
        <v>3</v>
      </c>
      <c r="C31" s="23" t="n">
        <v>38847.75</v>
      </c>
      <c r="D31" s="23" t="n">
        <v>12193.27</v>
      </c>
      <c r="E31" s="23" t="n">
        <v>8183.76</v>
      </c>
      <c r="F31" s="19">
        <f>C31+D31+E31</f>
        <v/>
      </c>
      <c r="G31" s="7" t="n">
        <v>61806.18244666667</v>
      </c>
      <c r="H31" s="8">
        <f>F31-G31</f>
        <v/>
      </c>
      <c r="I31" s="19">
        <f>SUM($F$29:F31)</f>
        <v/>
      </c>
      <c r="J31" s="10">
        <f>IFERROR(I31/(G31*3),0)</f>
        <v/>
      </c>
    </row>
    <row r="32">
      <c r="A32" s="5" t="n">
        <v>4</v>
      </c>
      <c r="B32" s="5" t="n">
        <v>4</v>
      </c>
      <c r="C32" s="23" t="n">
        <v>33056.13</v>
      </c>
      <c r="D32" s="23" t="n">
        <v>9237.41</v>
      </c>
      <c r="E32" s="23" t="n">
        <v>5009.47</v>
      </c>
      <c r="F32" s="19">
        <f>C32+D32+E32</f>
        <v/>
      </c>
      <c r="G32" s="7" t="n">
        <v>61806.18244666667</v>
      </c>
      <c r="H32" s="8">
        <f>F32-G32</f>
        <v/>
      </c>
      <c r="I32" s="19">
        <f>SUM($F$29:F32)</f>
        <v/>
      </c>
      <c r="J32" s="10">
        <f>IFERROR(I32/(G32*4),0)</f>
        <v/>
      </c>
    </row>
    <row r="33">
      <c r="A33" s="5" t="n">
        <v>5</v>
      </c>
      <c r="B33" s="5" t="n">
        <v>5</v>
      </c>
      <c r="C33" s="23" t="n">
        <v>36585.49</v>
      </c>
      <c r="D33" s="23" t="n">
        <v>11767.63</v>
      </c>
      <c r="E33" s="23" t="n">
        <v>7040.33</v>
      </c>
      <c r="F33" s="19">
        <f>C33+D33+E33</f>
        <v/>
      </c>
      <c r="G33" s="7" t="n">
        <v>61806.18244666667</v>
      </c>
      <c r="H33" s="8">
        <f>F33-G33</f>
        <v/>
      </c>
      <c r="I33" s="19">
        <f>SUM($F$29:F33)</f>
        <v/>
      </c>
      <c r="J33" s="10">
        <f>IFERROR(I33/(G33*5),0)</f>
        <v/>
      </c>
    </row>
    <row r="34">
      <c r="A34" s="5" t="n">
        <v>6</v>
      </c>
      <c r="B34" s="5" t="n">
        <v>6</v>
      </c>
      <c r="C34" s="23" t="n">
        <v>37976.85</v>
      </c>
      <c r="D34" s="23" t="n">
        <v>11375.58</v>
      </c>
      <c r="E34" s="23" t="n">
        <v>7504.07</v>
      </c>
      <c r="F34" s="19">
        <f>C34+D34+E34</f>
        <v/>
      </c>
      <c r="G34" s="7" t="n">
        <v>61806.18244666667</v>
      </c>
      <c r="H34" s="8">
        <f>F34-G34</f>
        <v/>
      </c>
      <c r="I34" s="19">
        <f>SUM($F$29:F34)</f>
        <v/>
      </c>
      <c r="J34" s="10">
        <f>IFERROR(I34/(G34*6),0)</f>
        <v/>
      </c>
    </row>
    <row r="35">
      <c r="A35" s="5" t="n">
        <v>7</v>
      </c>
      <c r="B35" s="5" t="n">
        <v>7</v>
      </c>
      <c r="C35" s="23" t="n">
        <v>41377.17</v>
      </c>
      <c r="D35" s="23" t="n">
        <v>11748.06</v>
      </c>
      <c r="E35" s="23" t="n">
        <v>7846.72</v>
      </c>
      <c r="F35" s="19">
        <f>C35+D35+E35</f>
        <v/>
      </c>
      <c r="G35" s="7" t="n">
        <v>61806.18244666667</v>
      </c>
      <c r="H35" s="8">
        <f>F35-G35</f>
        <v/>
      </c>
      <c r="I35" s="19">
        <f>SUM($F$29:F35)</f>
        <v/>
      </c>
      <c r="J35" s="10">
        <f>IFERROR(I35/(G35*7),0)</f>
        <v/>
      </c>
    </row>
    <row r="36">
      <c r="A36" s="5" t="n">
        <v>8</v>
      </c>
      <c r="B36" s="5" t="n">
        <v>8</v>
      </c>
      <c r="C36" s="23" t="n">
        <v>38000.43</v>
      </c>
      <c r="D36" s="23" t="n">
        <v>11232.12</v>
      </c>
      <c r="E36" s="23" t="n">
        <v>6950.42</v>
      </c>
      <c r="F36" s="19">
        <f>C36+D36+E36</f>
        <v/>
      </c>
      <c r="G36" s="7" t="n">
        <v>61806.18244666667</v>
      </c>
      <c r="H36" s="8">
        <f>F36-G36</f>
        <v/>
      </c>
      <c r="I36" s="19">
        <f>SUM($F$29:F36)</f>
        <v/>
      </c>
      <c r="J36" s="10">
        <f>IFERROR(I36/(G36*8),0)</f>
        <v/>
      </c>
    </row>
    <row r="37">
      <c r="A37" s="5" t="n">
        <v>9</v>
      </c>
      <c r="B37" s="5" t="n">
        <v>9</v>
      </c>
      <c r="C37" s="23" t="n">
        <v>39200.67</v>
      </c>
      <c r="D37" s="23" t="n">
        <v>11218.35</v>
      </c>
      <c r="E37" s="23" t="n">
        <v>7121.27</v>
      </c>
      <c r="F37" s="19">
        <f>C37+D37+E37</f>
        <v/>
      </c>
      <c r="G37" s="7" t="n">
        <v>61806.18244666667</v>
      </c>
      <c r="H37" s="8">
        <f>F37-G37</f>
        <v/>
      </c>
      <c r="I37" s="19">
        <f>SUM($F$29:F37)</f>
        <v/>
      </c>
      <c r="J37" s="10">
        <f>IFERROR(I37/(G37*9),0)</f>
        <v/>
      </c>
    </row>
    <row r="38">
      <c r="A38" s="5" t="n">
        <v>10</v>
      </c>
      <c r="B38" s="5" t="n">
        <v>10</v>
      </c>
      <c r="C38" s="23" t="n">
        <v>43275.98</v>
      </c>
      <c r="D38" s="23" t="n">
        <v>13648.87</v>
      </c>
      <c r="E38" s="23" t="n">
        <v>8402.129999999999</v>
      </c>
      <c r="F38" s="19">
        <f>C38+D38+E38</f>
        <v/>
      </c>
      <c r="G38" s="7" t="n">
        <v>61806.18244666667</v>
      </c>
      <c r="H38" s="8">
        <f>F38-G38</f>
        <v/>
      </c>
      <c r="I38" s="19">
        <f>SUM($F$29:F38)</f>
        <v/>
      </c>
      <c r="J38" s="10">
        <f>IFERROR(I38/(G38*10),0)</f>
        <v/>
      </c>
    </row>
    <row r="39">
      <c r="A39" s="5" t="n">
        <v>11</v>
      </c>
      <c r="B39" s="5" t="n">
        <v>11</v>
      </c>
      <c r="C39" s="23" t="n">
        <v>40304.91</v>
      </c>
      <c r="D39" s="23" t="n">
        <v>11183.16</v>
      </c>
      <c r="E39" s="23" t="n">
        <v>7308.82</v>
      </c>
      <c r="F39" s="19">
        <f>C39+D39+E39</f>
        <v/>
      </c>
      <c r="G39" s="7" t="n">
        <v>61806.18244666667</v>
      </c>
      <c r="H39" s="8">
        <f>F39-G39</f>
        <v/>
      </c>
      <c r="I39" s="19">
        <f>SUM($F$29:F39)</f>
        <v/>
      </c>
      <c r="J39" s="10">
        <f>IFERROR(I39/(G39*11),0)</f>
        <v/>
      </c>
    </row>
    <row r="40">
      <c r="A40" s="5" t="n">
        <v>12</v>
      </c>
      <c r="B40" s="5" t="n">
        <v>12</v>
      </c>
      <c r="C40" s="23" t="n">
        <v>37997.75</v>
      </c>
      <c r="D40" s="23" t="n">
        <v>9407.950000000001</v>
      </c>
      <c r="E40" s="23" t="n">
        <v>7410.41</v>
      </c>
      <c r="F40" s="19">
        <f>C40+D40+E40</f>
        <v/>
      </c>
      <c r="G40" s="7" t="n">
        <v>61806.18244666667</v>
      </c>
      <c r="H40" s="8">
        <f>F40-G40</f>
        <v/>
      </c>
      <c r="I40" s="19">
        <f>SUM($F$29:F40)</f>
        <v/>
      </c>
      <c r="J40" s="10">
        <f>IFERROR(I40/(G40*12),0)</f>
        <v/>
      </c>
    </row>
    <row r="41">
      <c r="A41" s="5" t="n">
        <v>13</v>
      </c>
      <c r="B41" s="5" t="n">
        <v>13</v>
      </c>
      <c r="C41" s="23" t="n">
        <v>37798.25</v>
      </c>
      <c r="D41" s="23" t="n">
        <v>12550.86</v>
      </c>
      <c r="E41" s="23" t="n">
        <v>6218.83</v>
      </c>
      <c r="F41" s="19">
        <f>C41+D41+E41</f>
        <v/>
      </c>
      <c r="G41" s="7" t="n">
        <v>61806.18244666667</v>
      </c>
      <c r="H41" s="8">
        <f>F41-G41</f>
        <v/>
      </c>
      <c r="I41" s="19">
        <f>SUM($F$29:F41)</f>
        <v/>
      </c>
      <c r="J41" s="10">
        <f>IFERROR(I41/(G41*13),0)</f>
        <v/>
      </c>
    </row>
    <row r="42">
      <c r="A42" s="5" t="n">
        <v>14</v>
      </c>
      <c r="B42" s="5" t="n">
        <v>14</v>
      </c>
      <c r="C42" s="23" t="n">
        <v>39193.3</v>
      </c>
      <c r="D42" s="23" t="n">
        <v>11813.07</v>
      </c>
      <c r="E42" s="23" t="n">
        <v>7767.22</v>
      </c>
      <c r="F42" s="19">
        <f>C42+D42+E42</f>
        <v/>
      </c>
      <c r="G42" s="7" t="n">
        <v>61806.18244666667</v>
      </c>
      <c r="H42" s="8">
        <f>F42-G42</f>
        <v/>
      </c>
      <c r="I42" s="19">
        <f>SUM($F$29:F42)</f>
        <v/>
      </c>
      <c r="J42" s="10">
        <f>IFERROR(I42/(G42*14),0)</f>
        <v/>
      </c>
    </row>
    <row r="43">
      <c r="A43" s="5" t="n">
        <v>15</v>
      </c>
      <c r="B43" s="5" t="n">
        <v>15</v>
      </c>
      <c r="C43" s="23" t="n">
        <v>38448.76</v>
      </c>
      <c r="D43" s="23" t="n">
        <v>11957.34</v>
      </c>
      <c r="E43" s="23" t="n">
        <v>9578.99</v>
      </c>
      <c r="F43" s="19">
        <f>C43+D43+E43</f>
        <v/>
      </c>
      <c r="G43" s="7" t="n">
        <v>61806.18244666667</v>
      </c>
      <c r="H43" s="8">
        <f>F43-G43</f>
        <v/>
      </c>
      <c r="I43" s="19">
        <f>SUM($F$29:F43)</f>
        <v/>
      </c>
      <c r="J43" s="10">
        <f>IFERROR(I43/(G43*15),0)</f>
        <v/>
      </c>
    </row>
    <row r="44">
      <c r="A44" s="5" t="n">
        <v>16</v>
      </c>
      <c r="B44" s="5" t="n">
        <v>16</v>
      </c>
      <c r="C44" s="23" t="n">
        <v>40475.44</v>
      </c>
      <c r="D44" s="23" t="n">
        <v>11165.69</v>
      </c>
      <c r="E44" s="23" t="n">
        <v>10444.25</v>
      </c>
      <c r="F44" s="19">
        <f>C44+D44+E44</f>
        <v/>
      </c>
      <c r="G44" s="7" t="n">
        <v>61806.18244666667</v>
      </c>
      <c r="H44" s="8">
        <f>F44-G44</f>
        <v/>
      </c>
      <c r="I44" s="19">
        <f>SUM($F$29:F44)</f>
        <v/>
      </c>
      <c r="J44" s="10">
        <f>IFERROR(I44/(G44*16),0)</f>
        <v/>
      </c>
    </row>
    <row r="45">
      <c r="A45" s="5" t="n">
        <v>17</v>
      </c>
      <c r="B45" s="5" t="n">
        <v>17</v>
      </c>
      <c r="C45" s="23" t="n">
        <v>38311.39</v>
      </c>
      <c r="D45" s="23" t="n">
        <v>11167.09</v>
      </c>
      <c r="E45" s="23" t="n">
        <v>7449.81</v>
      </c>
      <c r="F45" s="19">
        <f>C45+D45+E45</f>
        <v/>
      </c>
      <c r="G45" s="7" t="n">
        <v>61806.18244666667</v>
      </c>
      <c r="H45" s="8">
        <f>F45-G45</f>
        <v/>
      </c>
      <c r="I45" s="19">
        <f>SUM($F$29:F45)</f>
        <v/>
      </c>
      <c r="J45" s="10">
        <f>IFERROR(I45/(G45*17),0)</f>
        <v/>
      </c>
    </row>
    <row r="46">
      <c r="A46" s="5" t="n">
        <v>18</v>
      </c>
      <c r="B46" s="5" t="n">
        <v>18</v>
      </c>
      <c r="C46" s="23" t="n">
        <v>39608.17</v>
      </c>
      <c r="D46" s="23" t="n">
        <v>10635.29</v>
      </c>
      <c r="E46" s="23" t="n">
        <v>5580.31</v>
      </c>
      <c r="F46" s="19">
        <f>C46+D46+E46</f>
        <v/>
      </c>
      <c r="G46" s="7" t="n">
        <v>61806.18244666667</v>
      </c>
      <c r="H46" s="8">
        <f>F46-G46</f>
        <v/>
      </c>
      <c r="I46" s="19">
        <f>SUM($F$29:F46)</f>
        <v/>
      </c>
      <c r="J46" s="10">
        <f>IFERROR(I46/(G46*18),0)</f>
        <v/>
      </c>
    </row>
    <row r="47">
      <c r="A47" s="5" t="n">
        <v>19</v>
      </c>
      <c r="B47" s="5" t="n">
        <v>19</v>
      </c>
      <c r="C47" s="23" t="n">
        <v>33911.81</v>
      </c>
      <c r="D47" s="23" t="n">
        <v>11402.05</v>
      </c>
      <c r="E47" s="23" t="n">
        <v>6614.37</v>
      </c>
      <c r="F47" s="19">
        <f>C47+D47+E47</f>
        <v/>
      </c>
      <c r="G47" s="7" t="n">
        <v>61806.18244666667</v>
      </c>
      <c r="H47" s="8">
        <f>F47-G47</f>
        <v/>
      </c>
      <c r="I47" s="19">
        <f>SUM($F$29:F47)</f>
        <v/>
      </c>
      <c r="J47" s="10">
        <f>IFERROR(I47/(G47*19),0)</f>
        <v/>
      </c>
    </row>
    <row r="48">
      <c r="A48" s="24" t="inlineStr"/>
      <c r="B48" s="25" t="inlineStr">
        <is>
          <t>الإجمالي</t>
        </is>
      </c>
      <c r="C48" s="26">
        <f>SUM(C29:C47)</f>
        <v/>
      </c>
      <c r="D48" s="26">
        <f>SUM(D29:D47)</f>
        <v/>
      </c>
      <c r="E48" s="26">
        <f>SUM(E29:E47)</f>
        <v/>
      </c>
      <c r="F48" s="26">
        <f>SUM(F29:F47)</f>
        <v/>
      </c>
      <c r="G48" s="26">
        <f>SUM(G29:G47)</f>
        <v/>
      </c>
      <c r="H48" s="26">
        <f>SUM(H29:H47)</f>
        <v/>
      </c>
      <c r="I48" s="26">
        <f>I47</f>
        <v/>
      </c>
      <c r="J48" s="27">
        <f>IFERROR(F48/G48,0)</f>
        <v/>
      </c>
    </row>
  </sheetData>
  <mergeCells count="4">
    <mergeCell ref="A1:J1"/>
    <mergeCell ref="A27:J27"/>
    <mergeCell ref="A3:J3"/>
    <mergeCell ref="A2:J2"/>
  </mergeCells>
  <conditionalFormatting sqref="H5:H23">
    <cfRule type="cellIs" priority="1" operator="lessThan" dxfId="2">
      <formula>0</formula>
    </cfRule>
    <cfRule type="cellIs" priority="2" operator="greaterThanOrEqual" dxfId="3">
      <formula>0</formula>
    </cfRule>
  </conditionalFormatting>
  <conditionalFormatting sqref="F5:F23">
    <cfRule type="dataBar" priority="3">
      <dataBar>
        <cfvo type="min"/>
        <cfvo type="max"/>
        <color rgb="00F5831F"/>
      </dataBar>
    </cfRule>
  </conditionalFormatting>
  <conditionalFormatting sqref="H29:H47">
    <cfRule type="cellIs" priority="4" operator="lessThan" dxfId="2">
      <formula>0</formula>
    </cfRule>
    <cfRule type="cellIs" priority="5" operator="greaterThanOrEqual" dxfId="3">
      <formula>0</formula>
    </cfRule>
  </conditionalFormatting>
  <conditionalFormatting sqref="F29:F47">
    <cfRule type="dataBar" priority="6">
      <dataBar>
        <cfvo type="min"/>
        <cfvo type="max"/>
        <color rgb="00F5831F"/>
      </dataBar>
    </cfRule>
  </conditionalFormatting>
  <printOptions horizontalCentered="1"/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4" customWidth="1" min="13" max="13"/>
  </cols>
  <sheetData>
    <row r="1" ht="26" customHeight="1">
      <c r="A1" s="1" t="inlineStr">
        <is>
          <t>من أين جاءت ميزانية سبتمبر</t>
        </is>
      </c>
    </row>
    <row r="2" ht="16" customHeight="1">
      <c r="A2" s="2" t="inlineStr">
        <is>
          <t>الميزانية = مبيعات أغسطس × (١ + نسبة النمو) — وهذا يثبّتها على شهر واحد</t>
        </is>
      </c>
    </row>
    <row r="3" ht="22" customHeight="1">
      <c r="A3" s="3" t="inlineStr">
        <is>
          <t>① مبيعات ٢٠٢٦ شهراً بشهر — ومنها تُشتقّ الميزانية</t>
        </is>
      </c>
    </row>
    <row r="4" ht="30" customHeight="1">
      <c r="A4" s="4" t="inlineStr">
        <is>
          <t>#</t>
        </is>
      </c>
      <c r="B4" s="4" t="inlineStr">
        <is>
          <t>المحطة</t>
        </is>
      </c>
      <c r="C4" s="4" t="inlineStr">
        <is>
          <t>الكود</t>
        </is>
      </c>
      <c r="D4" s="4" t="inlineStr">
        <is>
          <t>يناير</t>
        </is>
      </c>
      <c r="E4" s="4" t="inlineStr">
        <is>
          <t>فبراير</t>
        </is>
      </c>
      <c r="F4" s="4" t="inlineStr">
        <is>
          <t>مارس</t>
        </is>
      </c>
      <c r="G4" s="4" t="inlineStr">
        <is>
          <t>أبريل</t>
        </is>
      </c>
      <c r="H4" s="4" t="inlineStr">
        <is>
          <t>مايو</t>
        </is>
      </c>
      <c r="I4" s="4" t="inlineStr">
        <is>
          <t>يونيو</t>
        </is>
      </c>
      <c r="J4" s="4" t="inlineStr">
        <is>
          <t>يوليو</t>
        </is>
      </c>
      <c r="K4" s="4" t="inlineStr">
        <is>
          <t>أغسطس</t>
        </is>
      </c>
      <c r="L4" s="4" t="inlineStr">
        <is>
          <t>ميزانية سبتمبر</t>
        </is>
      </c>
      <c r="M4" s="4" t="inlineStr">
        <is>
          <t>الطريقة</t>
        </is>
      </c>
    </row>
    <row r="5" ht="20" customHeight="1">
      <c r="A5" s="5" t="n">
        <v>1</v>
      </c>
      <c r="B5" s="6" t="inlineStr">
        <is>
          <t>عرفات الشرائع</t>
        </is>
      </c>
      <c r="C5" s="5" t="inlineStr">
        <is>
          <t>MK019</t>
        </is>
      </c>
      <c r="D5" s="7" t="n">
        <v>568565.53</v>
      </c>
      <c r="E5" s="7" t="n">
        <v>253285.85</v>
      </c>
      <c r="F5" s="7" t="n">
        <v>268848.58</v>
      </c>
      <c r="G5" s="7" t="n">
        <v>286103.91</v>
      </c>
      <c r="H5" s="7" t="n">
        <v>268708.79</v>
      </c>
      <c r="I5" s="7" t="n">
        <v>268321.2000000001</v>
      </c>
      <c r="J5" s="7" t="n">
        <v>264486.39</v>
      </c>
      <c r="K5" s="7" t="n">
        <v>265405.02</v>
      </c>
      <c r="L5" s="19">
        <f>K5*(1+0.06)</f>
        <v/>
      </c>
      <c r="M5" s="12" t="inlineStr">
        <is>
          <t>أغسطس × (١ + ٦٪)</t>
        </is>
      </c>
    </row>
    <row r="6" ht="20" customHeight="1">
      <c r="A6" s="5" t="n">
        <v>2</v>
      </c>
      <c r="B6" s="6" t="inlineStr">
        <is>
          <t>العزيزية بن دهيش</t>
        </is>
      </c>
      <c r="C6" s="5" t="inlineStr">
        <is>
          <t>MK072</t>
        </is>
      </c>
      <c r="D6" s="7" t="n">
        <v>1834191.32</v>
      </c>
      <c r="E6" s="7" t="n">
        <v>1676010.4</v>
      </c>
      <c r="F6" s="7" t="n">
        <v>1762438.3</v>
      </c>
      <c r="G6" s="7" t="n">
        <v>1458497.24</v>
      </c>
      <c r="H6" s="7" t="n">
        <v>1450102.67</v>
      </c>
      <c r="I6" s="7" t="n">
        <v>1449679.68</v>
      </c>
      <c r="J6" s="7" t="n">
        <v>1629694.36</v>
      </c>
      <c r="K6" s="7" t="n">
        <v>1732883.62</v>
      </c>
      <c r="L6" s="19">
        <f>K6*(1+0.07)</f>
        <v/>
      </c>
      <c r="M6" s="12" t="inlineStr">
        <is>
          <t>أغسطس × (١ + ٧٪)</t>
        </is>
      </c>
    </row>
    <row r="8" ht="22" customHeight="1">
      <c r="A8" s="3" t="inlineStr">
        <is>
          <t>② وما يُفترض أن يُراجَع في هذه الطريقة</t>
        </is>
      </c>
    </row>
    <row r="9" ht="30" customHeight="1">
      <c r="A9" s="4" t="inlineStr">
        <is>
          <t>#</t>
        </is>
      </c>
      <c r="B9" s="4" t="inlineStr">
        <is>
          <t>الملاحظة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>
        <is>
          <t>التفصيل</t>
        </is>
      </c>
    </row>
    <row r="10" ht="32" customHeight="1">
      <c r="A10" s="5" t="n">
        <v>1</v>
      </c>
      <c r="B10" s="6" t="inlineStr">
        <is>
          <t>تثبيتها على شهر واحد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12" t="inlineStr">
        <is>
          <t>أغسطس وحده يحدّد سبتمبر. لو كان أغسطس شاذّاً — موسماً أو انقطاعاً — انتقل شذوذه إلى المستهدف كله.</t>
        </is>
      </c>
    </row>
    <row r="11" ht="32" customHeight="1">
      <c r="A11" s="5" t="n">
        <v>2</v>
      </c>
      <c r="B11" s="6" t="inlineStr">
        <is>
          <t>الشرائع مثال حيّ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12" t="inlineStr">
        <is>
          <t>يناير ٥٦٨٬٥٦٦ ثم استقرار حول ٢٦٥٬٠٠٠ منذ فبراير. الأساس المنخفض ليس أداءً بل أثر تغيّر مدخل المحطة.</t>
        </is>
      </c>
    </row>
    <row r="12" ht="32" customHeight="1">
      <c r="A12" s="5" t="n">
        <v>3</v>
      </c>
      <c r="B12" s="6" t="inlineStr">
        <is>
          <t>بلا موسمية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12" t="inlineStr">
        <is>
          <t>سبتمبر ليس أغسطس. المستهدف يحتاج معامل شهر من سنة سابقة، وبيانات ٢٠٢٥ موجودة في الملف ولم تُستعمل.</t>
        </is>
      </c>
    </row>
    <row r="13" ht="32" customHeight="1">
      <c r="A13" s="5" t="n">
        <v>4</v>
      </c>
      <c r="B13" s="6" t="inlineStr">
        <is>
          <t>نسبة نمو بلا سند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12" t="inlineStr">
        <is>
          <t>٦٪ للشرائع و٧٪ للعزيزية — مصدرهما غير مذكور، ويجب أن يُكتب إلى جانبهما.</t>
        </is>
      </c>
    </row>
  </sheetData>
  <mergeCells count="4">
    <mergeCell ref="A3:M3"/>
    <mergeCell ref="A2:M2"/>
    <mergeCell ref="A8:M8"/>
    <mergeCell ref="A1:M1"/>
  </mergeCells>
  <printOptions horizontalCentered="1"/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18" customWidth="1" min="4" max="4"/>
    <col width="10" customWidth="1" min="5" max="5"/>
    <col width="12" customWidth="1" min="6" max="6"/>
    <col width="12" customWidth="1" min="7" max="7"/>
    <col width="10" customWidth="1" min="8" max="8"/>
    <col width="30" customWidth="1" min="9" max="9"/>
  </cols>
  <sheetData>
    <row r="1" ht="26" customHeight="1">
      <c r="A1" s="1" t="inlineStr">
        <is>
          <t>بطاقة أداء المحطة — بالريال السعودي</t>
        </is>
      </c>
    </row>
    <row r="2" ht="16" customHeight="1">
      <c r="A2" s="2" t="inlineStr">
        <is>
          <t>كانت وحدة القياس في الملف الأصلي JOD (ديناراً أردنياً) — قالبٌ لم يُحوَّل</t>
        </is>
      </c>
    </row>
    <row r="3" ht="22" customHeight="1">
      <c r="A3" s="3" t="inlineStr">
        <is>
          <t>① المؤشرات وأوزانها</t>
        </is>
      </c>
    </row>
    <row r="4" ht="30" customHeight="1">
      <c r="A4" s="4" t="inlineStr">
        <is>
          <t>#</t>
        </is>
      </c>
      <c r="B4" s="4" t="inlineStr">
        <is>
          <t>المؤشر</t>
        </is>
      </c>
      <c r="C4" s="4" t="inlineStr">
        <is>
          <t>الوحدة</t>
        </is>
      </c>
      <c r="D4" s="4" t="inlineStr">
        <is>
          <t>الفئة</t>
        </is>
      </c>
      <c r="E4" s="4" t="inlineStr">
        <is>
          <t>الوزن</t>
        </is>
      </c>
      <c r="F4" s="4" t="inlineStr">
        <is>
          <t>المستهدف</t>
        </is>
      </c>
      <c r="G4" s="4" t="inlineStr">
        <is>
          <t>المحقَّق</t>
        </is>
      </c>
      <c r="H4" s="4" t="inlineStr">
        <is>
          <t>التحقيق</t>
        </is>
      </c>
      <c r="I4" s="4" t="inlineStr">
        <is>
          <t>المصدر</t>
        </is>
      </c>
    </row>
    <row r="5">
      <c r="A5" s="5" t="n">
        <v>1</v>
      </c>
      <c r="B5" s="6" t="inlineStr">
        <is>
          <t>تقييم خرائط جوجل</t>
        </is>
      </c>
      <c r="C5" s="5" t="inlineStr">
        <is>
          <t>نقطة</t>
        </is>
      </c>
      <c r="D5" s="5" t="inlineStr">
        <is>
          <t>خدمة وتدقيق</t>
        </is>
      </c>
      <c r="E5" s="28" t="n">
        <v>0.1</v>
      </c>
      <c r="F5" s="29" t="n">
        <v>100</v>
      </c>
      <c r="G5" s="30" t="n">
        <v>90</v>
      </c>
      <c r="H5" s="10">
        <f>IFERROR(G5/F5,0)</f>
        <v/>
      </c>
      <c r="I5" s="12" t="inlineStr">
        <is>
          <t>٩٠÷١٠٠=٠٫٩٠ — والملف كتبها ١٫٠٠</t>
        </is>
      </c>
    </row>
    <row r="6">
      <c r="A6" s="5" t="n">
        <v>2</v>
      </c>
      <c r="B6" s="6" t="inlineStr">
        <is>
          <t>مبيعات الوقود</t>
        </is>
      </c>
      <c r="C6" s="5" t="inlineStr">
        <is>
          <t>م٣</t>
        </is>
      </c>
      <c r="D6" s="5" t="inlineStr">
        <is>
          <t>مبيعات</t>
        </is>
      </c>
      <c r="E6" s="28" t="n">
        <v>0.5</v>
      </c>
      <c r="F6" s="29" t="n">
        <v>250</v>
      </c>
      <c r="G6" s="30" t="n">
        <v>265</v>
      </c>
      <c r="H6" s="10">
        <f>IFERROR(G6/F6,0)</f>
        <v/>
      </c>
      <c r="I6" s="12" t="inlineStr">
        <is>
          <t>٢٦٥÷٢٥٠ — صحيحة في الملف</t>
        </is>
      </c>
    </row>
    <row r="7">
      <c r="A7" s="5" t="n">
        <v>3</v>
      </c>
      <c r="B7" s="6" t="inlineStr">
        <is>
          <t>جودة الخدمة</t>
        </is>
      </c>
      <c r="C7" s="5" t="inlineStr">
        <is>
          <t>٪</t>
        </is>
      </c>
      <c r="D7" s="5" t="inlineStr">
        <is>
          <t>خدمة وتدقيق</t>
        </is>
      </c>
      <c r="E7" s="28" t="n">
        <v>0.15</v>
      </c>
      <c r="F7" s="29" t="n">
        <v>90</v>
      </c>
      <c r="G7" s="30" t="n">
        <v>90</v>
      </c>
      <c r="H7" s="10">
        <f>IFERROR(G7/F7,0)</f>
        <v/>
      </c>
      <c r="I7" s="12" t="inlineStr">
        <is>
          <t>قياس ميداني</t>
        </is>
      </c>
    </row>
    <row r="8">
      <c r="A8" s="5" t="n">
        <v>4</v>
      </c>
      <c r="B8" s="6" t="inlineStr">
        <is>
          <t>عدد الشكاوى المغلقة</t>
        </is>
      </c>
      <c r="C8" s="5" t="inlineStr">
        <is>
          <t>عدد</t>
        </is>
      </c>
      <c r="D8" s="5" t="inlineStr">
        <is>
          <t>خدمة وتدقيق</t>
        </is>
      </c>
      <c r="E8" s="28" t="n">
        <v>0.05</v>
      </c>
      <c r="F8" s="29" t="n">
        <v>25</v>
      </c>
      <c r="G8" s="30" t="n">
        <v>27</v>
      </c>
      <c r="H8" s="10">
        <f>IFERROR(G8/F8,0)</f>
        <v/>
      </c>
      <c r="I8" s="12" t="inlineStr">
        <is>
          <t>كانت بلا وزن في الملف</t>
        </is>
      </c>
    </row>
    <row r="9">
      <c r="A9" s="5" t="n">
        <v>5</v>
      </c>
      <c r="B9" s="6" t="inlineStr">
        <is>
          <t>التدقيق الخارجي</t>
        </is>
      </c>
      <c r="C9" s="5" t="inlineStr">
        <is>
          <t>٪</t>
        </is>
      </c>
      <c r="D9" s="5" t="inlineStr">
        <is>
          <t>خدمة وتدقيق</t>
        </is>
      </c>
      <c r="E9" s="28" t="n">
        <v>0.1</v>
      </c>
      <c r="F9" s="29" t="n">
        <v>90</v>
      </c>
      <c r="G9" s="30" t="n">
        <v>90</v>
      </c>
      <c r="H9" s="10">
        <f>IFERROR(G9/F9,0)</f>
        <v/>
      </c>
      <c r="I9" s="12" t="inlineStr">
        <is>
          <t>جهة مستقلة</t>
        </is>
      </c>
    </row>
    <row r="10">
      <c r="A10" s="5" t="n">
        <v>6</v>
      </c>
      <c r="B10" s="6" t="inlineStr">
        <is>
          <t>التدقيق الداخلي — النظافة</t>
        </is>
      </c>
      <c r="C10" s="5" t="inlineStr">
        <is>
          <t>٪</t>
        </is>
      </c>
      <c r="D10" s="5" t="inlineStr">
        <is>
          <t>خدمة وتدقيق</t>
        </is>
      </c>
      <c r="E10" s="28" t="n">
        <v>0.05</v>
      </c>
      <c r="F10" s="29" t="n">
        <v>95</v>
      </c>
      <c r="G10" s="30" t="n">
        <v>95</v>
      </c>
      <c r="H10" s="10">
        <f>IFERROR(G10/F10,0)</f>
        <v/>
      </c>
      <c r="I10" s="12" t="inlineStr">
        <is>
          <t>داخلي</t>
        </is>
      </c>
    </row>
    <row r="11">
      <c r="A11" s="5" t="n">
        <v>7</v>
      </c>
      <c r="B11" s="6" t="inlineStr">
        <is>
          <t>التدقيق الداخلي — السلوك</t>
        </is>
      </c>
      <c r="C11" s="5" t="inlineStr">
        <is>
          <t>٪</t>
        </is>
      </c>
      <c r="D11" s="5" t="inlineStr">
        <is>
          <t>خدمة وتدقيق</t>
        </is>
      </c>
      <c r="E11" s="28" t="n">
        <v>0.05</v>
      </c>
      <c r="F11" s="29" t="n">
        <v>90</v>
      </c>
      <c r="G11" s="30" t="n">
        <v>90</v>
      </c>
      <c r="H11" s="10">
        <f>IFERROR(G11/F11,0)</f>
        <v/>
      </c>
      <c r="I11" s="12" t="inlineStr">
        <is>
          <t>داخلي</t>
        </is>
      </c>
    </row>
    <row r="12">
      <c r="A12" s="24" t="inlineStr"/>
      <c r="B12" s="31" t="inlineStr">
        <is>
          <t>الإجمالي المرجَّح</t>
        </is>
      </c>
      <c r="C12" s="24" t="inlineStr"/>
      <c r="D12" s="24" t="inlineStr"/>
      <c r="E12" s="32">
        <f>SUM(E5:E11)</f>
        <v/>
      </c>
      <c r="F12" s="24" t="inlineStr"/>
      <c r="G12" s="24" t="inlineStr"/>
      <c r="H12" s="27">
        <f>SUMPRODUCT(E5:E11,H5:H11)/SUM(E5:E11)</f>
        <v/>
      </c>
      <c r="I12" s="24" t="inlineStr"/>
    </row>
    <row r="14" ht="22" customHeight="1">
      <c r="A14" s="3" t="inlineStr">
        <is>
          <t>② الشروط النوعية — تُمنع بها الصرف ولا تُزاد بها</t>
        </is>
      </c>
    </row>
    <row r="15" ht="30" customHeight="1">
      <c r="A15" s="4" t="inlineStr">
        <is>
          <t>#</t>
        </is>
      </c>
      <c r="B15" s="4" t="inlineStr">
        <is>
          <t>الشرط</t>
        </is>
      </c>
      <c r="C15" s="4" t="inlineStr"/>
      <c r="D15" s="4" t="inlineStr"/>
      <c r="E15" s="4" t="inlineStr"/>
      <c r="F15" s="4" t="inlineStr"/>
      <c r="G15" s="4" t="inlineStr"/>
      <c r="H15" s="4" t="inlineStr">
        <is>
          <t>مستوفى؟</t>
        </is>
      </c>
      <c r="I15" s="4" t="inlineStr">
        <is>
          <t>ملاحظة المشرف</t>
        </is>
      </c>
    </row>
    <row r="16">
      <c r="A16" s="5" t="n">
        <v>1</v>
      </c>
      <c r="B16" s="6" t="inlineStr">
        <is>
          <t>متابعة يومية للمبيعات</t>
        </is>
      </c>
      <c r="C16" s="5" t="inlineStr"/>
      <c r="D16" s="5" t="inlineStr"/>
      <c r="E16" s="5" t="inlineStr"/>
      <c r="F16" s="5" t="inlineStr"/>
      <c r="G16" s="5" t="inlineStr"/>
      <c r="H16" s="17" t="inlineStr">
        <is>
          <t>نعم</t>
        </is>
      </c>
      <c r="I16" s="29" t="inlineStr"/>
    </row>
    <row r="17">
      <c r="A17" s="5" t="n">
        <v>2</v>
      </c>
      <c r="B17" s="6" t="inlineStr">
        <is>
          <t>المتابعة الدورية على النظافة</t>
        </is>
      </c>
      <c r="C17" s="5" t="inlineStr"/>
      <c r="D17" s="5" t="inlineStr"/>
      <c r="E17" s="5" t="inlineStr"/>
      <c r="F17" s="5" t="inlineStr"/>
      <c r="G17" s="5" t="inlineStr"/>
      <c r="H17" s="17" t="inlineStr">
        <is>
          <t>نعم</t>
        </is>
      </c>
      <c r="I17" s="29" t="inlineStr"/>
    </row>
    <row r="18">
      <c r="A18" s="5" t="n">
        <v>3</v>
      </c>
      <c r="B18" s="6" t="inlineStr">
        <is>
          <t>الحرص على تقديم أفضل خدمة</t>
        </is>
      </c>
      <c r="C18" s="5" t="inlineStr"/>
      <c r="D18" s="5" t="inlineStr"/>
      <c r="E18" s="5" t="inlineStr"/>
      <c r="F18" s="5" t="inlineStr"/>
      <c r="G18" s="5" t="inlineStr"/>
      <c r="H18" s="17" t="inlineStr">
        <is>
          <t>نعم</t>
        </is>
      </c>
      <c r="I18" s="29" t="inlineStr"/>
    </row>
    <row r="19">
      <c r="A19" s="5" t="n">
        <v>4</v>
      </c>
      <c r="B19" s="6" t="inlineStr">
        <is>
          <t>تقديم مناديل مجاناً للعملاء</t>
        </is>
      </c>
      <c r="C19" s="5" t="inlineStr"/>
      <c r="D19" s="5" t="inlineStr"/>
      <c r="E19" s="5" t="inlineStr"/>
      <c r="F19" s="5" t="inlineStr"/>
      <c r="G19" s="5" t="inlineStr"/>
      <c r="H19" s="17" t="inlineStr">
        <is>
          <t>نعم</t>
        </is>
      </c>
      <c r="I19" s="29" t="inlineStr"/>
    </row>
    <row r="20">
      <c r="A20" s="5" t="n">
        <v>5</v>
      </c>
      <c r="B20" s="6" t="inlineStr">
        <is>
          <t>تنظيف الزجاج الأمامي للسيارات</t>
        </is>
      </c>
      <c r="C20" s="5" t="inlineStr"/>
      <c r="D20" s="5" t="inlineStr"/>
      <c r="E20" s="5" t="inlineStr"/>
      <c r="F20" s="5" t="inlineStr"/>
      <c r="G20" s="5" t="inlineStr"/>
      <c r="H20" s="17" t="inlineStr">
        <is>
          <t>نعم</t>
        </is>
      </c>
      <c r="I20" s="29" t="inlineStr"/>
    </row>
    <row r="21">
      <c r="A21" s="5" t="n">
        <v>6</v>
      </c>
      <c r="B21" s="6" t="inlineStr">
        <is>
          <t>تدريب العمال ومتابعتهم</t>
        </is>
      </c>
      <c r="C21" s="5" t="inlineStr"/>
      <c r="D21" s="5" t="inlineStr"/>
      <c r="E21" s="5" t="inlineStr"/>
      <c r="F21" s="5" t="inlineStr"/>
      <c r="G21" s="5" t="inlineStr"/>
      <c r="H21" s="17" t="inlineStr">
        <is>
          <t>نعم</t>
        </is>
      </c>
      <c r="I21" s="29" t="inlineStr"/>
    </row>
    <row r="23">
      <c r="B23" s="16" t="inlineStr">
        <is>
          <t>الشروط النوعية بوابة لا وزن: عدم استيفاء أيٍّ منها يمنع الصرف، واستيفاؤها جميعاً لا يرفع المبلغ.</t>
        </is>
      </c>
    </row>
  </sheetData>
  <mergeCells count="4">
    <mergeCell ref="A1:I1"/>
    <mergeCell ref="A3:I3"/>
    <mergeCell ref="A14:I14"/>
    <mergeCell ref="A2:I2"/>
  </mergeCells>
  <conditionalFormatting sqref="H5:H11">
    <cfRule type="cellIs" priority="1" operator="greaterThanOrEqual" dxfId="3">
      <formula>1</formula>
    </cfRule>
    <cfRule type="cellIs" priority="2" operator="lessThan" dxfId="2">
      <formula>1</formula>
    </cfRule>
  </conditionalFormatting>
  <dataValidations count="1">
    <dataValidation sqref="H16 H17 H18 H19 H20 H21" showDropDown="0" showInputMessage="0" showErrorMessage="0" allowBlank="1" type="list">
      <formula1>"نعم,لا"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26" customWidth="1" min="4" max="4"/>
    <col width="4" customWidth="1" min="5" max="5"/>
    <col width="46" customWidth="1" min="6" max="6"/>
  </cols>
  <sheetData>
    <row r="1" ht="26" customHeight="1">
      <c r="A1" s="1" t="inlineStr">
        <is>
          <t>المنهجية — ما صُحِّح وما يلزم</t>
        </is>
      </c>
    </row>
    <row r="2" ht="16" customHeight="1">
      <c r="A2" s="2" t="inlineStr">
        <is>
          <t>المصدر: ملفّا Stations_Staff_Incentive لـMK019 وMK072 · سبتمبر ٢٠٢٦</t>
        </is>
      </c>
    </row>
    <row r="3" ht="22" customHeight="1">
      <c r="A3" s="3" t="inlineStr">
        <is>
          <t>① ما صُحِّح عن الملف الأصلي</t>
        </is>
      </c>
    </row>
    <row r="4" ht="30" customHeight="1">
      <c r="A4" s="4" t="inlineStr">
        <is>
          <t>#</t>
        </is>
      </c>
      <c r="B4" s="4" t="inlineStr">
        <is>
          <t>الموضع</t>
        </is>
      </c>
      <c r="C4" s="4" t="inlineStr">
        <is>
          <t>ما كان</t>
        </is>
      </c>
      <c r="D4" s="4" t="inlineStr">
        <is>
          <t>ما صار</t>
        </is>
      </c>
      <c r="E4" s="4" t="inlineStr"/>
      <c r="F4" s="4" t="inlineStr">
        <is>
          <t>لماذا</t>
        </is>
      </c>
    </row>
    <row r="5" ht="34" customHeight="1">
      <c r="A5" s="5" t="n">
        <v>1</v>
      </c>
      <c r="B5" s="6" t="inlineStr">
        <is>
          <t>احتساب التحقيق</t>
        </is>
      </c>
      <c r="C5" s="33" t="inlineStr">
        <is>
          <t>الفعلي ١٩ يوماً ÷ ميزانية ٣٠ يوماً = ٥٩٪</t>
        </is>
      </c>
      <c r="D5" s="34" t="inlineStr">
        <is>
          <t>÷ ميزانية ١٩ يوماً = ٩٢٫٥٪ و٩٣٫١٪</t>
        </is>
      </c>
      <c r="E5" s="5" t="inlineStr"/>
      <c r="F5" s="12" t="inlineStr">
        <is>
          <t>قسمة جزءٍ على كلٍّ تُسقط الحافز عن محطتين مستحقّتين</t>
        </is>
      </c>
    </row>
    <row r="6" ht="34" customHeight="1">
      <c r="A6" s="5" t="n">
        <v>2</v>
      </c>
      <c r="B6" s="6" t="inlineStr">
        <is>
          <t>وحدة العملة</t>
        </is>
      </c>
      <c r="C6" s="33" t="inlineStr">
        <is>
          <t>JOD في بطاقة الأداء</t>
        </is>
      </c>
      <c r="D6" s="34" t="inlineStr">
        <is>
          <t>ريال سعودي</t>
        </is>
      </c>
      <c r="E6" s="5" t="inlineStr"/>
      <c r="F6" s="12" t="inlineStr">
        <is>
          <t>قالب أردني نُقل بلا تحويل — والمبالغ تُصرف بالريال</t>
        </is>
      </c>
    </row>
    <row r="7" ht="34" customHeight="1">
      <c r="A7" s="5" t="n">
        <v>3</v>
      </c>
      <c r="B7" s="6" t="inlineStr">
        <is>
          <t>طبيعة الأرقام</t>
        </is>
      </c>
      <c r="C7" s="33" t="inlineStr">
        <is>
          <t>قيم مطبوعة لا تتغيّر</t>
        </is>
      </c>
      <c r="D7" s="34" t="inlineStr">
        <is>
          <t>صيغ حيّة تتحدّث بتغيّر المُدخَل</t>
        </is>
      </c>
      <c r="E7" s="5" t="inlineStr"/>
      <c r="F7" s="12" t="inlineStr">
        <is>
          <t>الملف أداة تُشغَّل، لا صورة تُطبع</t>
        </is>
      </c>
    </row>
    <row r="8" ht="34" customHeight="1">
      <c r="A8" s="5" t="n">
        <v>4</v>
      </c>
      <c r="B8" s="6" t="inlineStr">
        <is>
          <t>عدد الملفات</t>
        </is>
      </c>
      <c r="C8" s="33" t="inlineStr">
        <is>
          <t>ملف لكل محطة</t>
        </is>
      </c>
      <c r="D8" s="34" t="inlineStr">
        <is>
          <t>ملف واحد يقبل أي عدد</t>
        </is>
      </c>
      <c r="E8" s="5" t="inlineStr"/>
      <c r="F8" s="12" t="inlineStr">
        <is>
          <t>لا مقارنة بين محطتين في ملفين منفصلين</t>
        </is>
      </c>
    </row>
    <row r="9" ht="34" customHeight="1">
      <c r="A9" s="5" t="n">
        <v>5</v>
      </c>
      <c r="B9" s="6" t="inlineStr">
        <is>
          <t>حجم الورقة اليومية</t>
        </is>
      </c>
      <c r="C9" s="33" t="inlineStr">
        <is>
          <t>٢٬١٥٣ صفاً × ١٢٩ عموداً وفيها ٣٠ رقماً</t>
        </is>
      </c>
      <c r="D9" s="34" t="inlineStr">
        <is>
          <t>جدول بعدد أيام الشهر</t>
        </is>
      </c>
      <c r="E9" s="5" t="inlineStr"/>
      <c r="F9" s="12" t="inlineStr">
        <is>
          <t>الفراغ يُبطئ الملف ويخفي الرقم</t>
        </is>
      </c>
    </row>
    <row r="10" ht="34" customHeight="1">
      <c r="A10" s="5" t="n">
        <v>6</v>
      </c>
      <c r="B10" s="6" t="inlineStr">
        <is>
          <t>ترتيب القراءة</t>
        </is>
      </c>
      <c r="C10" s="33" t="inlineStr">
        <is>
          <t>من اليسار</t>
        </is>
      </c>
      <c r="D10" s="34" t="inlineStr">
        <is>
          <t>من اليمين — عربي بالكامل</t>
        </is>
      </c>
      <c r="E10" s="5" t="inlineStr"/>
      <c r="F10" s="12" t="inlineStr">
        <is>
          <t>الفريق يقرأ بالعربية</t>
        </is>
      </c>
    </row>
    <row r="12" ht="22" customHeight="1">
      <c r="A12" s="3" t="inlineStr">
        <is>
          <t>② ما يلزم لإقرار الحافز — ولم يصل بعد</t>
        </is>
      </c>
    </row>
    <row r="13" ht="30" customHeight="1">
      <c r="A13" s="4" t="inlineStr">
        <is>
          <t>#</t>
        </is>
      </c>
      <c r="B13" s="4" t="inlineStr">
        <is>
          <t>المطلوب</t>
        </is>
      </c>
      <c r="C13" s="4" t="inlineStr">
        <is>
          <t>من</t>
        </is>
      </c>
      <c r="D13" s="4" t="inlineStr">
        <is>
          <t>لماذا</t>
        </is>
      </c>
      <c r="E13" s="4" t="inlineStr"/>
      <c r="F13" s="4" t="inlineStr">
        <is>
          <t>الأثر إن لم يصل</t>
        </is>
      </c>
    </row>
    <row r="14" ht="34" customHeight="1">
      <c r="A14" s="5" t="n">
        <v>1</v>
      </c>
      <c r="B14" s="6" t="inlineStr">
        <is>
          <t>توحيد نسبة المدير</t>
        </is>
      </c>
      <c r="C14" s="12" t="inlineStr">
        <is>
          <t>الموارد البشرية</t>
        </is>
      </c>
      <c r="D14" s="12" t="inlineStr">
        <is>
          <t>٣٠٪ في الشرائع و١٥٪ في العزيزية</t>
        </is>
      </c>
      <c r="E14" s="5" t="inlineStr"/>
      <c r="F14" s="35" t="inlineStr">
        <is>
          <t>عاملان في محطتين يأخذان المبلغ نفسه تقريباً بينما مديراهما يختلفان</t>
        </is>
      </c>
    </row>
    <row r="15" ht="34" customHeight="1">
      <c r="A15" s="5" t="n">
        <v>2</v>
      </c>
      <c r="B15" s="6" t="inlineStr">
        <is>
          <t>معامل موسمية شهرية</t>
        </is>
      </c>
      <c r="C15" s="12" t="inlineStr">
        <is>
          <t>العمليات</t>
        </is>
      </c>
      <c r="D15" s="12" t="inlineStr">
        <is>
          <t>مبيعات ٢٠٢٥ موجودة ولم تُستعمل</t>
        </is>
      </c>
      <c r="E15" s="5" t="inlineStr"/>
      <c r="F15" s="35" t="inlineStr">
        <is>
          <t>المستهدف يبقى مثبَّتاً على شهر واحد</t>
        </is>
      </c>
    </row>
    <row r="16" ht="34" customHeight="1">
      <c r="A16" s="5" t="n">
        <v>3</v>
      </c>
      <c r="B16" s="6" t="inlineStr">
        <is>
          <t>سند نسبة النمو</t>
        </is>
      </c>
      <c r="C16" s="12" t="inlineStr">
        <is>
          <t>الإدارة التجارية</t>
        </is>
      </c>
      <c r="D16" s="12" t="inlineStr">
        <is>
          <t>٦٪ و٧٪ بلا مصدر مكتوب</t>
        </is>
      </c>
      <c r="E16" s="5" t="inlineStr"/>
      <c r="F16" s="35" t="inlineStr">
        <is>
          <t>لا يمكن الدفاع عن المستهدف أمام من لم يحقّقه</t>
        </is>
      </c>
    </row>
    <row r="17" ht="34" customHeight="1">
      <c r="A17" s="5" t="n">
        <v>4</v>
      </c>
      <c r="B17" s="6" t="inlineStr">
        <is>
          <t>ربط بطاقة الأداء بالصرف</t>
        </is>
      </c>
      <c r="C17" s="12" t="inlineStr">
        <is>
          <t>الموارد البشرية</t>
        </is>
      </c>
      <c r="D17" s="12" t="inlineStr">
        <is>
          <t>البطاقة تُحسب ولا تؤثّر في المبلغ</t>
        </is>
      </c>
      <c r="E17" s="5" t="inlineStr"/>
      <c r="F17" s="35" t="inlineStr">
        <is>
          <t>نقيس ستة مؤشرات ونصرف على واحد</t>
        </is>
      </c>
    </row>
  </sheetData>
  <mergeCells count="4">
    <mergeCell ref="A3:F3"/>
    <mergeCell ref="A2:F2"/>
    <mergeCell ref="A1:F1"/>
    <mergeCell ref="A12:F12"/>
  </mergeCells>
  <printOptions horizontalCentered="1"/>
  <pageMargins left="0.3" right="0.3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26" customWidth="1" min="4" max="4"/>
    <col width="4" customWidth="1" min="5" max="5"/>
    <col width="40" customWidth="1" min="6" max="6"/>
  </cols>
  <sheetData>
    <row r="1" ht="26" customHeight="1">
      <c r="A1" s="1" t="inlineStr">
        <is>
          <t>مراجعة الملف الأصلي — رقماً رقماً</t>
        </is>
      </c>
    </row>
    <row r="2" ht="16" customHeight="1">
      <c r="A2" s="2" t="inlineStr">
        <is>
          <t>ما يغيّر النتيجة أولاً، ثم ما يُفسد القياس، ثم ما هو سليم</t>
        </is>
      </c>
    </row>
    <row r="3" ht="22" customHeight="1">
      <c r="A3" s="3" t="inlineStr">
        <is>
          <t>① أخطاء حسابية — تغيّر النتيجة</t>
        </is>
      </c>
    </row>
    <row r="4" ht="30" customHeight="1">
      <c r="A4" s="4" t="inlineStr">
        <is>
          <t>#</t>
        </is>
      </c>
      <c r="B4" s="4" t="inlineStr">
        <is>
          <t>الموضع</t>
        </is>
      </c>
      <c r="C4" s="4" t="inlineStr">
        <is>
          <t>ما في الملف</t>
        </is>
      </c>
      <c r="D4" s="4" t="inlineStr">
        <is>
          <t>الصحيح</t>
        </is>
      </c>
      <c r="E4" s="4" t="inlineStr"/>
      <c r="F4" s="4" t="inlineStr">
        <is>
          <t>الأثر</t>
        </is>
      </c>
    </row>
    <row r="5" ht="40" customHeight="1">
      <c r="A5" s="5" t="n">
        <v>1</v>
      </c>
      <c r="B5" s="6" t="inlineStr">
        <is>
          <t>أيام لم تصل بياناتها</t>
        </is>
      </c>
      <c r="C5" s="33" t="inlineStr">
        <is>
          <t>٢٠–٣٠ سبتمبر مُدخَلة صفراً لا مُتروكة فارغة</t>
        </is>
      </c>
      <c r="D5" s="34" t="inlineStr">
        <is>
          <t>تُترك فارغة أو يُقسَم على أيامها</t>
        </is>
      </c>
      <c r="E5" s="5" t="inlineStr"/>
      <c r="F5" s="12" t="inlineStr">
        <is>
          <t>التحقيق يُقرأ ٥٩٪ بدل ٩٢٫٥٪ و٩٣٫١٪ — فيسقط ١٬٠٠٠ و٢٬٥٠٠ ريال عن ١٨ عاملاً ومديرَين</t>
        </is>
      </c>
    </row>
    <row r="6" ht="40" customHeight="1">
      <c r="A6" s="5" t="n">
        <v>2</v>
      </c>
      <c r="B6" s="6" t="inlineStr">
        <is>
          <t>«2026 vs 2025»</t>
        </is>
      </c>
      <c r="C6" s="33" t="inlineStr">
        <is>
          <t>الشرائع −١٫٨١ · العزيزية +٠٫٩٩</t>
        </is>
      </c>
      <c r="D6" s="34" t="inlineStr">
        <is>
          <t>−٦٤٫٤٪ للشرائع</t>
        </is>
      </c>
      <c r="E6" s="5" t="inlineStr"/>
      <c r="F6" s="12" t="inlineStr">
        <is>
          <t>القسمة معكوسة: ٢٠٢٥÷٢٠٢٦ بدل العكس — الرقم بلا معنى كما هو</t>
        </is>
      </c>
    </row>
    <row r="7" ht="40" customHeight="1">
      <c r="A7" s="5" t="n">
        <v>3</v>
      </c>
      <c r="B7" s="6" t="inlineStr">
        <is>
          <t>تقييم خرائط جوجل</t>
        </is>
      </c>
      <c r="C7" s="33" t="inlineStr">
        <is>
          <t>٩٠ من ١٠٠ تُحتسب ١٫٠٠</t>
        </is>
      </c>
      <c r="D7" s="34" t="inlineStr">
        <is>
          <t>٠٫٩٠</t>
        </is>
      </c>
      <c r="E7" s="5" t="inlineStr"/>
      <c r="F7" s="12" t="inlineStr">
        <is>
          <t>يرفع بطاقة الأداء بنقطة كاملة بلا استحقاق</t>
        </is>
      </c>
    </row>
    <row r="8" ht="40" customHeight="1">
      <c r="A8" s="5" t="n">
        <v>4</v>
      </c>
      <c r="B8" s="6" t="inlineStr">
        <is>
          <t>عدد الشكاوى المغلقة</t>
        </is>
      </c>
      <c r="C8" s="33" t="inlineStr">
        <is>
          <t>٢٧ من ٢٥ تُحتسب ١٫٠٠</t>
        </is>
      </c>
      <c r="D8" s="34" t="inlineStr">
        <is>
          <t>١٫٠٨</t>
        </is>
      </c>
      <c r="E8" s="5" t="inlineStr"/>
      <c r="F8" s="12" t="inlineStr">
        <is>
          <t>السقف غير متسق: المبيعات ١٫٠٦ والجودة ١٫٥٠ بلا سقف</t>
        </is>
      </c>
    </row>
    <row r="10" ht="22" customHeight="1">
      <c r="A10" s="3" t="inlineStr">
        <is>
          <t>② عيوب بنيوية — لا تغيّر رقماً اليوم لكنها تُفسد القياس</t>
        </is>
      </c>
    </row>
    <row r="11" ht="30" customHeight="1">
      <c r="A11" s="4" t="inlineStr">
        <is>
          <t>#</t>
        </is>
      </c>
      <c r="B11" s="4" t="inlineStr">
        <is>
          <t>الموضع</t>
        </is>
      </c>
      <c r="C11" s="4" t="inlineStr">
        <is>
          <t>الحال</t>
        </is>
      </c>
      <c r="D11" s="4" t="inlineStr">
        <is>
          <t>ما يلزم</t>
        </is>
      </c>
      <c r="E11" s="4" t="inlineStr"/>
      <c r="F11" s="4" t="inlineStr">
        <is>
          <t>لماذا</t>
        </is>
      </c>
    </row>
    <row r="12" ht="38" customHeight="1">
      <c r="A12" s="5" t="n">
        <v>1</v>
      </c>
      <c r="B12" s="6" t="inlineStr">
        <is>
          <t>مجموع الأوزان</t>
        </is>
      </c>
      <c r="C12" s="35" t="inlineStr">
        <is>
          <t>٠٫٩٥ لا ١٫٠٠</t>
        </is>
      </c>
      <c r="D12" s="12" t="inlineStr">
        <is>
          <t>توزيع الـ٥٪ الناقصة</t>
        </is>
      </c>
      <c r="E12" s="5" t="inlineStr"/>
      <c r="F12" s="12" t="inlineStr">
        <is>
          <t>النتيجة تُقسم على قاعدة ناقصة</t>
        </is>
      </c>
    </row>
    <row r="13" ht="38" customHeight="1">
      <c r="A13" s="5" t="n">
        <v>2</v>
      </c>
      <c r="B13" s="6" t="inlineStr">
        <is>
          <t>مؤشرات بلا وزن</t>
        </is>
      </c>
      <c r="C13" s="35" t="inlineStr">
        <is>
          <t>خمسة مؤشرات تُقاس ولا تدخل النتيجة</t>
        </is>
      </c>
      <c r="D13" s="12" t="inlineStr">
        <is>
          <t>وزنٌ لكلٍّ أو حذفها</t>
        </is>
      </c>
      <c r="E13" s="5" t="inlineStr"/>
      <c r="F13" s="12" t="inlineStr">
        <is>
          <t>فئة المبيعات تأخذ «مبيعات الوقود» وحدها</t>
        </is>
      </c>
    </row>
    <row r="14" ht="38" customHeight="1">
      <c r="A14" s="5" t="n">
        <v>3</v>
      </c>
      <c r="B14" s="6" t="inlineStr">
        <is>
          <t>الشريحة الوسطى</t>
        </is>
      </c>
      <c r="C14" s="35" t="inlineStr">
        <is>
          <t>١٬٣٠٠ ريال عند «١٠٠٪» بالضبط</t>
        </is>
      </c>
      <c r="D14" s="12" t="inlineStr">
        <is>
          <t>حدود صريحة: ٨٥–٩٩٫٩٩ · ١٠٠–١٠٤٫٩٩ · ١٠٥ فأكثر</t>
        </is>
      </c>
      <c r="E14" s="5" t="inlineStr"/>
      <c r="F14" s="12" t="inlineStr">
        <is>
          <t>لا تُدرَك عملياً إن كانت التالية «أكثر من ١٠٠٪»</t>
        </is>
      </c>
    </row>
    <row r="15" ht="38" customHeight="1">
      <c r="A15" s="5" t="n">
        <v>4</v>
      </c>
      <c r="B15" s="6" t="inlineStr">
        <is>
          <t>نسبة المدير</t>
        </is>
      </c>
      <c r="C15" s="35" t="inlineStr">
        <is>
          <t>٣٠٪ في الشرائع و١٥٪ في العزيزية</t>
        </is>
      </c>
      <c r="D15" s="12" t="inlineStr">
        <is>
          <t>معيار واحد</t>
        </is>
      </c>
      <c r="E15" s="5" t="inlineStr"/>
      <c r="F15" s="12" t="inlineStr">
        <is>
          <t>لا سند للفارق في الملف</t>
        </is>
      </c>
    </row>
    <row r="16" ht="38" customHeight="1">
      <c r="A16" s="5" t="n">
        <v>5</v>
      </c>
      <c r="B16" s="6" t="inlineStr">
        <is>
          <t>متوسط ٢٠٢٥ للعزيزية</t>
        </is>
      </c>
      <c r="C16" s="35" t="inlineStr">
        <is>
          <t>١٠٬٠١٦ ريالاً</t>
        </is>
      </c>
      <c r="D16" s="12" t="inlineStr">
        <is>
          <t>١٥٦٬٨٩٣ — أو تُحذف السنة</t>
        </is>
      </c>
      <c r="E16" s="5" t="inlineStr"/>
      <c r="F16" s="12" t="inlineStr">
        <is>
          <t>أشهر ٢٠٢٥ كلها أصفار إلا سبتمبر ١٬٢٥٥٬١٤٥ · والرقم لا يطابق أيّ حساب</t>
        </is>
      </c>
    </row>
    <row r="17" ht="38" customHeight="1">
      <c r="A17" s="5" t="n">
        <v>6</v>
      </c>
      <c r="B17" s="6" t="inlineStr">
        <is>
          <t>نطاق الترويسة</t>
        </is>
      </c>
      <c r="C17" s="35" t="inlineStr">
        <is>
          <t>مكتوب Jan-Aug والصف سبعة أشهر ٢٠٢٦</t>
        </is>
      </c>
      <c r="D17" s="12" t="inlineStr">
        <is>
          <t>تطابق الترويسة مع البيانات</t>
        </is>
      </c>
      <c r="E17" s="5" t="inlineStr"/>
      <c r="F17" s="12" t="inlineStr">
        <is>
          <t>وأغسطس ٢٠٢٥ مفقود بينما سبتمبر ٢٠٢٥ موجود</t>
        </is>
      </c>
    </row>
    <row r="18" ht="38" customHeight="1">
      <c r="A18" s="5" t="n">
        <v>7</v>
      </c>
      <c r="B18" s="6" t="inlineStr">
        <is>
          <t>وحدات القياس</t>
        </is>
      </c>
      <c r="C18" s="35" t="inlineStr">
        <is>
          <t>JOD لتقييم جوجل · Ton للجودة</t>
        </is>
      </c>
      <c r="D18" s="12" t="inlineStr">
        <is>
          <t>نقطة · نسبة</t>
        </is>
      </c>
      <c r="E18" s="5" t="inlineStr"/>
      <c r="F18" s="12" t="inlineStr">
        <is>
          <t>قالب منقول لم يُحوَّل، والصرف بالريال</t>
        </is>
      </c>
    </row>
    <row r="20" ht="22" customHeight="1">
      <c r="A20" s="3" t="inlineStr">
        <is>
          <t>③ وما هو سليم في الملف — يُقال إنصافاً</t>
        </is>
      </c>
    </row>
    <row r="21" ht="30" customHeight="1">
      <c r="A21" s="4" t="inlineStr">
        <is>
          <t>#</t>
        </is>
      </c>
      <c r="B21" s="4" t="inlineStr">
        <is>
          <t>الموضع</t>
        </is>
      </c>
      <c r="C21" s="4" t="inlineStr">
        <is>
          <t>الحال</t>
        </is>
      </c>
      <c r="D21" s="4" t="inlineStr">
        <is>
          <t>الفحص</t>
        </is>
      </c>
      <c r="E21" s="4" t="inlineStr"/>
      <c r="F21" s="4" t="inlineStr">
        <is>
          <t>النتيجة</t>
        </is>
      </c>
    </row>
    <row r="22" ht="34" customHeight="1">
      <c r="A22" s="5" t="n">
        <v>1</v>
      </c>
      <c r="B22" s="6" t="inlineStr">
        <is>
          <t>الميزانية اليومية الموحَّدة</t>
        </is>
      </c>
      <c r="C22" s="12" t="inlineStr">
        <is>
          <t>٩٬٣٧٨ و٦١٬٨٠٦ ريالاً لكل يوم</t>
        </is>
      </c>
      <c r="D22" s="12" t="inlineStr">
        <is>
          <t>تباين أيام الأسبوع</t>
        </is>
      </c>
      <c r="E22" s="5" t="inlineStr"/>
      <c r="F22" s="34" t="inlineStr">
        <is>
          <t>٠٫٨٩× إلى ١٫٠٧× فقط — فالتوحيد مبرَّر ولا يحتاج تشكيلاً</t>
        </is>
      </c>
    </row>
    <row r="23" ht="34" customHeight="1">
      <c r="A23" s="5" t="n">
        <v>2</v>
      </c>
      <c r="B23" s="6" t="inlineStr">
        <is>
          <t>الإجمالي الإلكتروني</t>
        </is>
      </c>
      <c r="C23" s="12" t="inlineStr">
        <is>
          <t>مجموع ٩١ و٩٥ والديزل</t>
        </is>
      </c>
      <c r="D23" s="12" t="inlineStr">
        <is>
          <t>طوبقت المحطتان</t>
        </is>
      </c>
      <c r="E23" s="5" t="inlineStr"/>
      <c r="F23" s="34" t="inlineStr">
        <is>
          <t>مطابق إلى الهللة</t>
        </is>
      </c>
    </row>
    <row r="24" ht="34" customHeight="1">
      <c r="A24" s="5" t="n">
        <v>3</v>
      </c>
      <c r="B24" s="6" t="inlineStr">
        <is>
          <t>الصفوف اليومية</t>
        </is>
      </c>
      <c r="C24" s="12" t="inlineStr">
        <is>
          <t>Act vs BU و٪ لكل يوم</t>
        </is>
      </c>
      <c r="D24" s="12" t="inlineStr">
        <is>
          <t>أُعيد حسابها</t>
        </is>
      </c>
      <c r="E24" s="5" t="inlineStr"/>
      <c r="F24" s="34" t="inlineStr">
        <is>
          <t>صحيحة يوماً بيوم — الخلل في التجميع الشهري لا في اليوم</t>
        </is>
      </c>
    </row>
    <row r="25" ht="34" customHeight="1">
      <c r="A25" s="5" t="n">
        <v>4</v>
      </c>
      <c r="B25" s="6" t="inlineStr">
        <is>
          <t>اشتقاق الميزانية</t>
        </is>
      </c>
      <c r="C25" s="12" t="inlineStr">
        <is>
          <t>أغسطس × (١ + نسبة النمو)</t>
        </is>
      </c>
      <c r="D25" s="12" t="inlineStr">
        <is>
          <t>طوبقت المحطتان</t>
        </is>
      </c>
      <c r="E25" s="5" t="inlineStr"/>
      <c r="F25" s="34" t="inlineStr">
        <is>
          <t>مطبَّقة بدقة: ٢٦٥٬٤٠٥×١٫٠٦ و١٬٧٣٢٬٨٨٤×١٫٠٧</t>
        </is>
      </c>
    </row>
  </sheetData>
  <mergeCells count="5">
    <mergeCell ref="A2:F2"/>
    <mergeCell ref="A10:F10"/>
    <mergeCell ref="A1:F1"/>
    <mergeCell ref="A3:F3"/>
    <mergeCell ref="A20:F20"/>
  </mergeCells>
  <printOptions horizontalCentered="1"/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2026-09-21T09:52:43Z</dcterms:created>
  <dcterms:modified xmlns:dcterms="http://purl.org/dc/terms/" xmlns:xsi="http://www.w3.org/2001/XMLSchema-instance" xsi:type="dcterms:W3CDTF">2026-09-21T09:52:43Z</dcterms:modified>
</cp:coreProperties>
</file>