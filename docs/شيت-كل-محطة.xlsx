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هرس" sheetId="1" state="visible" r:id="rId1"/>
    <sheet name="MK007 العمرة الجديدة" sheetId="2" state="visible" r:id="rId2"/>
    <sheet name="MK003 العوالي" sheetId="3" state="visible" r:id="rId3"/>
    <sheet name="MK004 عاصفة الصحراء" sheetId="4" state="visible" r:id="rId4"/>
    <sheet name="MK289 طريق الليث - الفضيلة" sheetId="5" state="visible" r:id="rId5"/>
    <sheet name="MK046 الحليس - طريق الجنوب" sheetId="6" state="visible" r:id="rId6"/>
    <sheet name="MK047 القادسية" sheetId="7" state="visible" r:id="rId7"/>
    <sheet name="MK005 الشيباني" sheetId="8" state="visible" r:id="rId8"/>
    <sheet name="MK015 النسيم" sheetId="9" state="visible" r:id="rId9"/>
    <sheet name="MK029 الذكرى الخالدة" sheetId="10" state="visible" r:id="rId10"/>
    <sheet name="RY075 الدائري الشمالي" sheetId="11" state="visible" r:id="rId11"/>
    <sheet name="MK006 جنوب الطائف" sheetId="12" state="visible" r:id="rId12"/>
    <sheet name="MK028 أحلى مساء" sheetId="13" state="visible" r:id="rId13"/>
    <sheet name="MK033 أبو وافي العمرة" sheetId="14" state="visible" r:id="rId14"/>
    <sheet name="MK001 جبل النور" sheetId="15" state="visible" r:id="rId15"/>
    <sheet name="MK008 الحسينية" sheetId="16" state="visible" r:id="rId16"/>
    <sheet name="MK016 الرصيفة" sheetId="17" state="visible" r:id="rId17"/>
    <sheet name="MK035 الجمعية الوسام" sheetId="18" state="visible" r:id="rId18"/>
    <sheet name="MK017 عرفات الشوقية" sheetId="19" state="visible" r:id="rId19"/>
    <sheet name="MK020 ممشى الشوقية" sheetId="20" state="visible" r:id="rId20"/>
    <sheet name="MK064 الجعرانة" sheetId="21" state="visible" r:id="rId21"/>
    <sheet name="MK054 طريق السيل" sheetId="22" state="visible" r:id="rId22"/>
    <sheet name="MK022 بطحاء قريش 1" sheetId="23" state="visible" r:id="rId23"/>
    <sheet name="MK018 الرصيفة المسار" sheetId="24" state="visible" r:id="rId24"/>
    <sheet name="MK014 خليص" sheetId="25" state="visible" r:id="rId25"/>
    <sheet name="JA069 كورنيش جيزان" sheetId="26" state="visible" r:id="rId26"/>
    <sheet name="RY025 الحمرا - طريق الملك عبدال" sheetId="27" state="visible" r:id="rId27"/>
    <sheet name="MK071 الأجاويد" sheetId="28" state="visible" r:id="rId28"/>
    <sheet name="MK068 الجموم - الكنيدري" sheetId="29" state="visible" r:id="rId29"/>
    <sheet name="JA061 طريق صبيا" sheetId="30" state="visible" r:id="rId30"/>
    <sheet name="MK002 المعيصم" sheetId="31" state="visible" r:id="rId31"/>
    <sheet name="MK093 الملك خالد" sheetId="32" state="visible" r:id="rId32"/>
    <sheet name="AS153 مدخل محايل" sheetId="33" state="visible" r:id="rId33"/>
    <sheet name="QS055 الدائري الشرقي" sheetId="34" state="visible" r:id="rId34"/>
    <sheet name="MK084 الكر النازل" sheetId="35" state="visible" r:id="rId35"/>
    <sheet name="EP051 كورنيش الخبر" sheetId="36" state="visible" r:id="rId36"/>
    <sheet name="MK023 بن درويش" sheetId="37" state="visible" r:id="rId37"/>
    <sheet name="MK031 بطحاء قريش 2" sheetId="38" state="visible" r:id="rId38"/>
    <sheet name="JA053 خبت نخلان" sheetId="39" state="visible" r:id="rId39"/>
    <sheet name="JA041 القسوم - أحد المسارحة" sheetId="40" state="visible" r:id="rId40"/>
    <sheet name="RY042 الناصفة" sheetId="41" state="visible" r:id="rId41"/>
    <sheet name="MK099 البيعة" sheetId="42" state="visible" r:id="rId42"/>
    <sheet name="MK100 الكوثر" sheetId="43" state="visible" r:id="rId43"/>
    <sheet name="HA043 العريفي" sheetId="44" state="visible" r:id="rId44"/>
    <sheet name="JA056 الروابي - المودة" sheetId="45" state="visible" r:id="rId45"/>
    <sheet name="NJ219 المركب" sheetId="46" state="visible" r:id="rId46"/>
    <sheet name="AS175 الروابي طارق" sheetId="47" state="visible" r:id="rId47"/>
    <sheet name="BH050 الطاولة" sheetId="48" state="visible" r:id="rId48"/>
    <sheet name="MK072 العزيزية بن دهيش" sheetId="49" state="visible" r:id="rId49"/>
    <sheet name="MK205 بئر الروة" sheetId="50" state="visible" r:id="rId50"/>
    <sheet name="MK311-F نوير" sheetId="51" state="visible" r:id="rId51"/>
    <sheet name="NB130 طريق الأمير سلطان" sheetId="52" state="visible" r:id="rId52"/>
    <sheet name="TB032 السيا" sheetId="53" state="visible" r:id="rId53"/>
  </sheets>
  <definedNames>
    <definedName name="_xlnm._FilterDatabase" localSheetId="0" hidden="1">'الفهرس'!$B$4:$L$56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"/>
    <numFmt numFmtId="165" formatCode="0.0%"/>
    <numFmt numFmtId="166" formatCode="#,##0.00;[Red](#,##0.00)"/>
    <numFmt numFmtId="167" formatCode="0.00&quot; هللة&quot;"/>
    <numFmt numFmtId="168" formatCode="+0.0%;-0.0%"/>
  </numFmts>
  <fonts count="25">
    <font>
      <name val="Calibri"/>
      <family val="2"/>
      <color theme="1"/>
      <sz val="11"/>
      <scheme val="minor"/>
    </font>
    <font>
      <name val="DIN Next Arabic"/>
      <b val="1"/>
      <color rgb="0055565A"/>
      <sz val="16"/>
    </font>
    <font>
      <name val="DIN Next Arabic"/>
      <color rgb="006E6A64"/>
      <sz val="10"/>
    </font>
    <font>
      <name val="DIN Next Arabic"/>
      <b val="1"/>
      <color rgb="00F5831F"/>
      <sz val="12"/>
    </font>
    <font>
      <name val="DIN Next Arabic"/>
      <b val="1"/>
      <color rgb="00A8681A"/>
      <sz val="9"/>
    </font>
    <font>
      <name val="DIN Next Arabic"/>
      <b val="1"/>
      <color rgb="00FFFFFF"/>
      <sz val="10"/>
    </font>
    <font>
      <name val="DIN Next Arabic"/>
      <b val="1"/>
      <color rgb="003D3D3D"/>
      <sz val="10"/>
    </font>
    <font>
      <name val="DIN Next Arabic"/>
      <b val="1"/>
      <color rgb="003D3D3D"/>
      <sz val="11"/>
    </font>
    <font>
      <name val="DIN Next Arabic"/>
      <color rgb="009B968E"/>
      <sz val="9"/>
    </font>
    <font>
      <name val="DIN Next Arabic"/>
      <color rgb="009B968E"/>
      <sz val="8"/>
    </font>
    <font>
      <name val="DIN Next Arabic"/>
      <b val="1"/>
      <color rgb="001F5E4A"/>
      <sz val="11"/>
    </font>
    <font>
      <name val="DIN Next Arabic"/>
      <color rgb="003D3D3D"/>
      <sz val="10"/>
    </font>
    <font>
      <name val="DIN Next Arabic"/>
      <b val="1"/>
      <sz val="10"/>
    </font>
    <font>
      <name val="DIN Next Arabic"/>
      <color rgb="003E6E8E"/>
      <sz val="10"/>
    </font>
    <font>
      <name val="DIN Next Arabic"/>
      <b val="1"/>
      <sz val="11"/>
    </font>
    <font>
      <name val="DIN Next Arabic"/>
      <b val="1"/>
      <color rgb="001F5E4A"/>
      <sz val="13"/>
    </font>
    <font>
      <name val="DIN Next Arabic"/>
      <b val="1"/>
      <color rgb="009A3E2C"/>
      <sz val="11"/>
    </font>
    <font>
      <name val="DIN Next Arabic"/>
      <b val="1"/>
      <color rgb="003D3D3D"/>
      <sz val="13"/>
    </font>
    <font>
      <name val="DIN Next Arabic"/>
      <b val="1"/>
      <color rgb="001F5E4A"/>
      <sz val="10"/>
    </font>
    <font>
      <name val="DIN Next Arabic"/>
      <b val="1"/>
      <color rgb="00A8681A"/>
      <sz val="8"/>
    </font>
    <font>
      <name val="DIN Next Arabic"/>
      <b val="1"/>
      <color rgb="00F5831F"/>
      <sz val="9"/>
    </font>
    <font>
      <name val="DIN Next Arabic"/>
      <color rgb="006E6A64"/>
      <sz val="9"/>
    </font>
    <font>
      <name val="DIN Next Arabic"/>
      <color rgb="006E6A64"/>
      <sz val="8"/>
    </font>
    <font>
      <name val="DIN Next Arabic"/>
      <b val="1"/>
      <color rgb="009A3E2C"/>
      <sz val="10"/>
    </font>
    <font>
      <name val="DIN Next Arabic"/>
      <color rgb="003E6E8E"/>
      <sz val="9"/>
      <u val="single"/>
    </font>
  </fonts>
  <fills count="11">
    <fill>
      <patternFill/>
    </fill>
    <fill>
      <patternFill patternType="gray125"/>
    </fill>
    <fill>
      <patternFill patternType="solid">
        <fgColor rgb="00F5831F"/>
      </patternFill>
    </fill>
    <fill>
      <patternFill patternType="solid">
        <fgColor rgb="00FBEEE0"/>
      </patternFill>
    </fill>
    <fill>
      <patternFill patternType="solid">
        <fgColor rgb="00FCE7C8"/>
      </patternFill>
    </fill>
    <fill>
      <patternFill patternType="solid">
        <fgColor rgb="0055565A"/>
      </patternFill>
    </fill>
    <fill>
      <patternFill patternType="solid">
        <fgColor rgb="00F5F2ED"/>
      </patternFill>
    </fill>
    <fill>
      <patternFill patternType="solid">
        <fgColor rgb="00D6E9E1"/>
      </patternFill>
    </fill>
    <fill>
      <patternFill patternType="solid">
        <fgColor rgb="00F2DAD4"/>
      </patternFill>
    </fill>
    <fill>
      <patternFill patternType="solid">
        <fgColor rgb="00EDE7DE"/>
      </patternFill>
    </fill>
    <fill>
      <patternFill patternType="solid">
        <fgColor rgb="00F7F4EF"/>
      </patternFill>
    </fill>
  </fills>
  <borders count="6">
    <border>
      <left/>
      <right/>
      <top/>
      <bottom/>
      <diagonal/>
    </border>
    <border>
      <left style="thin">
        <color rgb="00E3DCD1"/>
      </left>
      <right style="thin">
        <color rgb="00E3DCD1"/>
      </right>
      <top style="thin">
        <color rgb="00E3DCD1"/>
      </top>
      <bottom style="thin">
        <color rgb="00E3DCD1"/>
      </bottom>
    </border>
    <border>
      <left/>
      <right/>
      <top style="thin">
        <color rgb="00E3DCD1"/>
      </top>
      <bottom/>
      <diagonal/>
    </border>
    <border>
      <left/>
      <right style="thin">
        <color rgb="00E3DCD1"/>
      </right>
      <top style="thin">
        <color rgb="00E3DCD1"/>
      </top>
      <bottom/>
      <diagonal/>
    </border>
    <border>
      <left/>
      <right/>
      <top style="thin">
        <color rgb="00E3DCD1"/>
      </top>
      <bottom style="thin">
        <color rgb="00E3DCD1"/>
      </bottom>
      <diagonal/>
    </border>
    <border>
      <left/>
      <right style="thin">
        <color rgb="00E3DCD1"/>
      </right>
      <top style="thin">
        <color rgb="00E3DCD1"/>
      </top>
      <bottom style="thin">
        <color rgb="00E3DCD1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5" fillId="5" borderId="1" applyAlignment="1" pivotButton="0" quotePrefix="0" xfId="0">
      <alignment horizontal="center" vertical="center" wrapText="1" readingOrder="2"/>
    </xf>
    <xf numFmtId="0" fontId="6" fillId="0" borderId="1" applyAlignment="1" pivotButton="0" quotePrefix="0" xfId="0">
      <alignment horizontal="right" vertical="center" readingOrder="2"/>
    </xf>
    <xf numFmtId="0" fontId="22" fillId="0" borderId="1" applyAlignment="1" pivotButton="0" quotePrefix="0" xfId="0">
      <alignment horizontal="center" vertical="center" wrapText="1" readingOrder="2"/>
    </xf>
    <xf numFmtId="0" fontId="21" fillId="0" borderId="1" applyAlignment="1" pivotButton="0" quotePrefix="0" xfId="0">
      <alignment horizontal="center" vertical="center" wrapText="1" readingOrder="2"/>
    </xf>
    <xf numFmtId="0" fontId="11" fillId="6" borderId="1" applyAlignment="1" pivotButton="0" quotePrefix="0" xfId="0">
      <alignment horizontal="center" vertical="center" wrapText="1" readingOrder="2"/>
    </xf>
    <xf numFmtId="10" fontId="11" fillId="6" borderId="1" applyAlignment="1" pivotButton="0" quotePrefix="0" xfId="0">
      <alignment horizontal="center" vertical="center" wrapText="1" readingOrder="2"/>
    </xf>
    <xf numFmtId="167" fontId="23" fillId="8" borderId="1" applyAlignment="1" pivotButton="0" quotePrefix="0" xfId="0">
      <alignment horizontal="center" vertical="center" wrapText="1" readingOrder="2"/>
    </xf>
    <xf numFmtId="3" fontId="11" fillId="6" borderId="1" applyAlignment="1" pivotButton="0" quotePrefix="0" xfId="0">
      <alignment horizontal="center" vertical="center" wrapText="1" readingOrder="2"/>
    </xf>
    <xf numFmtId="0" fontId="24" fillId="0" borderId="1" applyAlignment="1" pivotButton="0" quotePrefix="0" xfId="0">
      <alignment horizontal="right" vertical="center" readingOrder="2"/>
    </xf>
    <xf numFmtId="167" fontId="18" fillId="7" borderId="1" applyAlignment="1" pivotButton="0" quotePrefix="0" xfId="0">
      <alignment horizontal="center" vertical="center" wrapText="1" readingOrder="2"/>
    </xf>
    <xf numFmtId="164" fontId="11" fillId="6" borderId="1" applyAlignment="1" pivotButton="0" quotePrefix="0" xfId="0">
      <alignment horizontal="center" vertical="center" wrapText="1" readingOrder="2"/>
    </xf>
    <xf numFmtId="0" fontId="21" fillId="10" borderId="1" applyAlignment="1" pivotButton="0" quotePrefix="0" xfId="0">
      <alignment horizontal="right" vertical="top" wrapText="1" readingOrder="2"/>
    </xf>
    <xf numFmtId="0" fontId="0" fillId="10" borderId="1" pivotButton="0" quotePrefix="0" xfId="0"/>
    <xf numFmtId="0" fontId="4" fillId="4" borderId="1" applyAlignment="1" pivotButton="0" quotePrefix="0" xfId="0">
      <alignment horizontal="right" vertical="top" wrapText="1" readingOrder="2"/>
    </xf>
    <xf numFmtId="0" fontId="0" fillId="4" borderId="1" pivotButton="0" quotePrefix="0" xfId="0"/>
    <xf numFmtId="0" fontId="3" fillId="3" borderId="1" applyAlignment="1" pivotButton="0" quotePrefix="0" xfId="0">
      <alignment horizontal="right" vertical="center" readingOrder="2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7" fillId="6" borderId="1" applyAlignment="1" pivotButton="0" quotePrefix="0" xfId="0">
      <alignment horizontal="center" vertical="center" wrapText="1" readingOrder="2"/>
    </xf>
    <xf numFmtId="0" fontId="8" fillId="0" borderId="1" applyAlignment="1" pivotButton="0" quotePrefix="0" xfId="0">
      <alignment horizontal="center" vertical="center" wrapText="1" readingOrder="2"/>
    </xf>
    <xf numFmtId="0" fontId="9" fillId="0" borderId="1" applyAlignment="1" pivotButton="0" quotePrefix="0" xfId="0">
      <alignment horizontal="right" vertical="center" readingOrder="2"/>
    </xf>
    <xf numFmtId="0" fontId="0" fillId="0" borderId="1" pivotButton="0" quotePrefix="0" xfId="0"/>
    <xf numFmtId="164" fontId="10" fillId="7" borderId="1" applyAlignment="1" pivotButton="0" quotePrefix="0" xfId="0">
      <alignment horizontal="center" vertical="center" wrapText="1" readingOrder="2"/>
    </xf>
    <xf numFmtId="10" fontId="7" fillId="6" borderId="1" applyAlignment="1" pivotButton="0" quotePrefix="0" xfId="0">
      <alignment horizontal="center" vertical="center" wrapText="1" readingOrder="2"/>
    </xf>
    <xf numFmtId="0" fontId="11" fillId="0" borderId="1" applyAlignment="1" pivotButton="0" quotePrefix="0" xfId="0">
      <alignment horizontal="center" vertical="center" wrapText="1" readingOrder="2"/>
    </xf>
    <xf numFmtId="4" fontId="11" fillId="6" borderId="1" applyAlignment="1" pivotButton="0" quotePrefix="0" xfId="0">
      <alignment horizontal="center" vertical="center" wrapText="1" readingOrder="2"/>
    </xf>
    <xf numFmtId="165" fontId="11" fillId="6" borderId="1" applyAlignment="1" pivotButton="0" quotePrefix="0" xfId="0">
      <alignment horizontal="center" vertical="center" wrapText="1" readingOrder="2"/>
    </xf>
    <xf numFmtId="0" fontId="12" fillId="0" borderId="1" applyAlignment="1" pivotButton="0" quotePrefix="0" xfId="0">
      <alignment horizontal="right" vertical="center" readingOrder="2"/>
    </xf>
    <xf numFmtId="3" fontId="13" fillId="4" borderId="1" applyAlignment="1" pivotButton="0" quotePrefix="0" xfId="0">
      <alignment horizontal="center" vertical="center" wrapText="1" readingOrder="2"/>
    </xf>
    <xf numFmtId="166" fontId="13" fillId="4" borderId="1" applyAlignment="1" pivotButton="0" quotePrefix="0" xfId="0">
      <alignment horizontal="center" vertical="center" wrapText="1" readingOrder="2"/>
    </xf>
    <xf numFmtId="10" fontId="13" fillId="4" borderId="1" applyAlignment="1" pivotButton="0" quotePrefix="0" xfId="0">
      <alignment horizontal="center" vertical="center" wrapText="1" readingOrder="2"/>
    </xf>
    <xf numFmtId="0" fontId="14" fillId="0" borderId="1" applyAlignment="1" pivotButton="0" quotePrefix="0" xfId="0">
      <alignment horizontal="right" vertical="center" readingOrder="2"/>
    </xf>
    <xf numFmtId="166" fontId="15" fillId="7" borderId="1" applyAlignment="1" pivotButton="0" quotePrefix="0" xfId="0">
      <alignment horizontal="center" vertical="center" wrapText="1" readingOrder="2"/>
    </xf>
    <xf numFmtId="167" fontId="15" fillId="7" borderId="1" applyAlignment="1" pivotButton="0" quotePrefix="0" xfId="0">
      <alignment horizontal="center" vertical="center" wrapText="1" readingOrder="2"/>
    </xf>
    <xf numFmtId="0" fontId="13" fillId="4" borderId="1" applyAlignment="1" pivotButton="0" quotePrefix="0" xfId="0">
      <alignment horizontal="center" vertical="center" wrapText="1" readingOrder="2"/>
    </xf>
    <xf numFmtId="164" fontId="7" fillId="6" borderId="1" applyAlignment="1" pivotButton="0" quotePrefix="0" xfId="0">
      <alignment horizontal="center" vertical="center" wrapText="1" readingOrder="2"/>
    </xf>
    <xf numFmtId="164" fontId="16" fillId="8" borderId="1" applyAlignment="1" pivotButton="0" quotePrefix="0" xfId="0">
      <alignment horizontal="center" vertical="center" wrapText="1" readingOrder="2"/>
    </xf>
    <xf numFmtId="164" fontId="17" fillId="9" borderId="1" applyAlignment="1" pivotButton="0" quotePrefix="0" xfId="0">
      <alignment horizontal="center" vertical="center" wrapText="1" readingOrder="2"/>
    </xf>
    <xf numFmtId="0" fontId="11" fillId="0" borderId="1" applyAlignment="1" pivotButton="0" quotePrefix="0" xfId="0">
      <alignment horizontal="right" vertical="center" readingOrder="2"/>
    </xf>
    <xf numFmtId="167" fontId="11" fillId="6" borderId="1" applyAlignment="1" pivotButton="0" quotePrefix="0" xfId="0">
      <alignment horizontal="center" vertical="center" wrapText="1" readingOrder="2"/>
    </xf>
    <xf numFmtId="0" fontId="19" fillId="4" borderId="1" applyAlignment="1" pivotButton="0" quotePrefix="0" xfId="0">
      <alignment horizontal="right" vertical="center" readingOrder="2"/>
    </xf>
    <xf numFmtId="3" fontId="6" fillId="6" borderId="1" applyAlignment="1" pivotButton="0" quotePrefix="0" xfId="0">
      <alignment horizontal="center" vertical="center" wrapText="1" readingOrder="2"/>
    </xf>
    <xf numFmtId="164" fontId="6" fillId="9" borderId="1" applyAlignment="1" pivotButton="0" quotePrefix="0" xfId="0">
      <alignment horizontal="center" vertical="center" wrapText="1" readingOrder="2"/>
    </xf>
    <xf numFmtId="0" fontId="6" fillId="9" borderId="1" applyAlignment="1" pivotButton="0" quotePrefix="0" xfId="0">
      <alignment horizontal="right" vertical="center" readingOrder="2"/>
    </xf>
    <xf numFmtId="3" fontId="6" fillId="9" borderId="1" applyAlignment="1" pivotButton="0" quotePrefix="0" xfId="0">
      <alignment horizontal="center" vertical="center" wrapText="1" readingOrder="2"/>
    </xf>
    <xf numFmtId="0" fontId="20" fillId="3" borderId="1" applyAlignment="1" pivotButton="0" quotePrefix="0" xfId="0">
      <alignment horizontal="right" vertical="top" wrapText="1" readingOrder="2"/>
    </xf>
    <xf numFmtId="165" fontId="6" fillId="6" borderId="1" applyAlignment="1" pivotButton="0" quotePrefix="0" xfId="0">
      <alignment horizontal="center" vertical="center" wrapText="1" readingOrder="2"/>
    </xf>
    <xf numFmtId="168" fontId="6" fillId="6" borderId="1" applyAlignment="1" pivotButton="0" quotePrefix="0" xfId="0">
      <alignment horizontal="center" vertical="center" wrapText="1" readingOrder="2"/>
    </xf>
    <xf numFmtId="164" fontId="6" fillId="8" borderId="1" applyAlignment="1" pivotButton="0" quotePrefix="0" xfId="0">
      <alignment horizontal="center" vertical="center" wrapText="1" readingOrder="2"/>
    </xf>
    <xf numFmtId="164" fontId="6" fillId="7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dxfs count="3">
    <dxf>
      <font>
        <name val="DIN Next Arabic"/>
        <b val="1"/>
        <color rgb="009A3E2C"/>
        <sz val="10"/>
      </font>
      <fill>
        <patternFill patternType="solid">
          <fgColor rgb="00F2DAD4"/>
        </patternFill>
      </fill>
    </dxf>
    <dxf>
      <font>
        <name val="DIN Next Arabic"/>
        <b val="1"/>
        <color rgb="00C0503A"/>
        <sz val="10"/>
      </font>
    </dxf>
    <dxf>
      <font>
        <name val="DIN Next Arabic"/>
        <b val="1"/>
        <color rgb="001F5E4A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K007 &#1575;&#1604;&#1593;&#1605;&#1585;&#1577; &#1575;&#1604;&#1580;&#1583;&#1610;&#1583;&#1577;'!A1" TargetMode="External" Id="rId1" /><Relationship Type="http://schemas.openxmlformats.org/officeDocument/2006/relationships/hyperlink" Target="#'MK003 &#1575;&#1604;&#1593;&#1608;&#1575;&#1604;&#1610;'!A1" TargetMode="External" Id="rId2" /><Relationship Type="http://schemas.openxmlformats.org/officeDocument/2006/relationships/hyperlink" Target="#'MK004 &#1593;&#1575;&#1589;&#1601;&#1577; &#1575;&#1604;&#1589;&#1581;&#1585;&#1575;&#1569;'!A1" TargetMode="External" Id="rId3" /><Relationship Type="http://schemas.openxmlformats.org/officeDocument/2006/relationships/hyperlink" Target="#'MK289 &#1591;&#1585;&#1610;&#1602; &#1575;&#1604;&#1604;&#1610;&#1579; - &#1575;&#1604;&#1601;&#1590;&#1610;&#1604;&#1577;'!A1" TargetMode="External" Id="rId4" /><Relationship Type="http://schemas.openxmlformats.org/officeDocument/2006/relationships/hyperlink" Target="#'MK046 &#1575;&#1604;&#1581;&#1604;&#1610;&#1587; - &#1591;&#1585;&#1610;&#1602; &#1575;&#1604;&#1580;&#1606;&#1608;&#1576;'!A1" TargetMode="External" Id="rId5" /><Relationship Type="http://schemas.openxmlformats.org/officeDocument/2006/relationships/hyperlink" Target="#'MK047 &#1575;&#1604;&#1602;&#1575;&#1583;&#1587;&#1610;&#1577;'!A1" TargetMode="External" Id="rId6" /><Relationship Type="http://schemas.openxmlformats.org/officeDocument/2006/relationships/hyperlink" Target="#'MK005 &#1575;&#1604;&#1588;&#1610;&#1576;&#1575;&#1606;&#1610;'!A1" TargetMode="External" Id="rId7" /><Relationship Type="http://schemas.openxmlformats.org/officeDocument/2006/relationships/hyperlink" Target="#'MK015 &#1575;&#1604;&#1606;&#1587;&#1610;&#1605;'!A1" TargetMode="External" Id="rId8" /><Relationship Type="http://schemas.openxmlformats.org/officeDocument/2006/relationships/hyperlink" Target="#'MK029 &#1575;&#1604;&#1584;&#1603;&#1585;&#1609; &#1575;&#1604;&#1582;&#1575;&#1604;&#1583;&#1577;'!A1" TargetMode="External" Id="rId9" /><Relationship Type="http://schemas.openxmlformats.org/officeDocument/2006/relationships/hyperlink" Target="#'RY075 &#1575;&#1604;&#1583;&#1575;&#1574;&#1585;&#1610; &#1575;&#1604;&#1588;&#1605;&#1575;&#1604;&#1610;'!A1" TargetMode="External" Id="rId10" /><Relationship Type="http://schemas.openxmlformats.org/officeDocument/2006/relationships/hyperlink" Target="#'MK006 &#1580;&#1606;&#1608;&#1576; &#1575;&#1604;&#1591;&#1575;&#1574;&#1601;'!A1" TargetMode="External" Id="rId11" /><Relationship Type="http://schemas.openxmlformats.org/officeDocument/2006/relationships/hyperlink" Target="#'MK028 &#1571;&#1581;&#1604;&#1609; &#1605;&#1587;&#1575;&#1569;'!A1" TargetMode="External" Id="rId12" /><Relationship Type="http://schemas.openxmlformats.org/officeDocument/2006/relationships/hyperlink" Target="#'MK033 &#1571;&#1576;&#1608; &#1608;&#1575;&#1601;&#1610; &#1575;&#1604;&#1593;&#1605;&#1585;&#1577;'!A1" TargetMode="External" Id="rId13" /><Relationship Type="http://schemas.openxmlformats.org/officeDocument/2006/relationships/hyperlink" Target="#'MK001 &#1580;&#1576;&#1604; &#1575;&#1604;&#1606;&#1608;&#1585;'!A1" TargetMode="External" Id="rId14" /><Relationship Type="http://schemas.openxmlformats.org/officeDocument/2006/relationships/hyperlink" Target="#'MK008 &#1575;&#1604;&#1581;&#1587;&#1610;&#1606;&#1610;&#1577;'!A1" TargetMode="External" Id="rId15" /><Relationship Type="http://schemas.openxmlformats.org/officeDocument/2006/relationships/hyperlink" Target="#'MK016 &#1575;&#1604;&#1585;&#1589;&#1610;&#1601;&#1577;'!A1" TargetMode="External" Id="rId16" /><Relationship Type="http://schemas.openxmlformats.org/officeDocument/2006/relationships/hyperlink" Target="#'MK035 &#1575;&#1604;&#1580;&#1605;&#1593;&#1610;&#1577; &#1575;&#1604;&#1608;&#1587;&#1575;&#1605;'!A1" TargetMode="External" Id="rId17" /><Relationship Type="http://schemas.openxmlformats.org/officeDocument/2006/relationships/hyperlink" Target="#'MK017 &#1593;&#1585;&#1601;&#1575;&#1578; &#1575;&#1604;&#1588;&#1608;&#1602;&#1610;&#1577;'!A1" TargetMode="External" Id="rId18" /><Relationship Type="http://schemas.openxmlformats.org/officeDocument/2006/relationships/hyperlink" Target="#'MK020 &#1605;&#1605;&#1588;&#1609; &#1575;&#1604;&#1588;&#1608;&#1602;&#1610;&#1577;'!A1" TargetMode="External" Id="rId19" /><Relationship Type="http://schemas.openxmlformats.org/officeDocument/2006/relationships/hyperlink" Target="#'MK064 &#1575;&#1604;&#1580;&#1593;&#1585;&#1575;&#1606;&#1577;'!A1" TargetMode="External" Id="rId20" /><Relationship Type="http://schemas.openxmlformats.org/officeDocument/2006/relationships/hyperlink" Target="#'MK054 &#1591;&#1585;&#1610;&#1602; &#1575;&#1604;&#1587;&#1610;&#1604;'!A1" TargetMode="External" Id="rId21" /><Relationship Type="http://schemas.openxmlformats.org/officeDocument/2006/relationships/hyperlink" Target="#'MK022 &#1576;&#1591;&#1581;&#1575;&#1569; &#1602;&#1585;&#1610;&#1588; 1'!A1" TargetMode="External" Id="rId22" /><Relationship Type="http://schemas.openxmlformats.org/officeDocument/2006/relationships/hyperlink" Target="#'MK018 &#1575;&#1604;&#1585;&#1589;&#1610;&#1601;&#1577; &#1575;&#1604;&#1605;&#1587;&#1575;&#1585;'!A1" TargetMode="External" Id="rId23" /><Relationship Type="http://schemas.openxmlformats.org/officeDocument/2006/relationships/hyperlink" Target="#'MK014 &#1582;&#1604;&#1610;&#1589;'!A1" TargetMode="External" Id="rId24" /><Relationship Type="http://schemas.openxmlformats.org/officeDocument/2006/relationships/hyperlink" Target="#'JA069 &#1603;&#1608;&#1585;&#1606;&#1610;&#1588; &#1580;&#1610;&#1586;&#1575;&#1606;'!A1" TargetMode="External" Id="rId25" /><Relationship Type="http://schemas.openxmlformats.org/officeDocument/2006/relationships/hyperlink" Target="#'RY025 &#1575;&#1604;&#1581;&#1605;&#1585;&#1575; - &#1591;&#1585;&#1610;&#1602; &#1575;&#1604;&#1605;&#1604;&#1603; &#1593;&#1576;&#1583;&#1575;&#1604;'!A1" TargetMode="External" Id="rId26" /><Relationship Type="http://schemas.openxmlformats.org/officeDocument/2006/relationships/hyperlink" Target="#'MK071 &#1575;&#1604;&#1571;&#1580;&#1575;&#1608;&#1610;&#1583;'!A1" TargetMode="External" Id="rId27" /><Relationship Type="http://schemas.openxmlformats.org/officeDocument/2006/relationships/hyperlink" Target="#'MK068 &#1575;&#1604;&#1580;&#1605;&#1608;&#1605; - &#1575;&#1604;&#1603;&#1606;&#1610;&#1583;&#1585;&#1610;'!A1" TargetMode="External" Id="rId28" /><Relationship Type="http://schemas.openxmlformats.org/officeDocument/2006/relationships/hyperlink" Target="#'JA061 &#1591;&#1585;&#1610;&#1602; &#1589;&#1576;&#1610;&#1575;'!A1" TargetMode="External" Id="rId29" /><Relationship Type="http://schemas.openxmlformats.org/officeDocument/2006/relationships/hyperlink" Target="#'MK002 &#1575;&#1604;&#1605;&#1593;&#1610;&#1589;&#1605;'!A1" TargetMode="External" Id="rId30" /><Relationship Type="http://schemas.openxmlformats.org/officeDocument/2006/relationships/hyperlink" Target="#'MK093 &#1575;&#1604;&#1605;&#1604;&#1603; &#1582;&#1575;&#1604;&#1583;'!A1" TargetMode="External" Id="rId31" /><Relationship Type="http://schemas.openxmlformats.org/officeDocument/2006/relationships/hyperlink" Target="#'AS153 &#1605;&#1583;&#1582;&#1604; &#1605;&#1581;&#1575;&#1610;&#1604;'!A1" TargetMode="External" Id="rId32" /><Relationship Type="http://schemas.openxmlformats.org/officeDocument/2006/relationships/hyperlink" Target="#'QS055 &#1575;&#1604;&#1583;&#1575;&#1574;&#1585;&#1610; &#1575;&#1604;&#1588;&#1585;&#1602;&#1610;'!A1" TargetMode="External" Id="rId33" /><Relationship Type="http://schemas.openxmlformats.org/officeDocument/2006/relationships/hyperlink" Target="#'MK084 &#1575;&#1604;&#1603;&#1585; &#1575;&#1604;&#1606;&#1575;&#1586;&#1604;'!A1" TargetMode="External" Id="rId34" /><Relationship Type="http://schemas.openxmlformats.org/officeDocument/2006/relationships/hyperlink" Target="#'EP051 &#1603;&#1608;&#1585;&#1606;&#1610;&#1588; &#1575;&#1604;&#1582;&#1576;&#1585;'!A1" TargetMode="External" Id="rId35" /><Relationship Type="http://schemas.openxmlformats.org/officeDocument/2006/relationships/hyperlink" Target="#'MK023 &#1576;&#1606; &#1583;&#1585;&#1608;&#1610;&#1588;'!A1" TargetMode="External" Id="rId36" /><Relationship Type="http://schemas.openxmlformats.org/officeDocument/2006/relationships/hyperlink" Target="#'MK031 &#1576;&#1591;&#1581;&#1575;&#1569; &#1602;&#1585;&#1610;&#1588; 2'!A1" TargetMode="External" Id="rId37" /><Relationship Type="http://schemas.openxmlformats.org/officeDocument/2006/relationships/hyperlink" Target="#'JA053 &#1582;&#1576;&#1578; &#1606;&#1582;&#1604;&#1575;&#1606;'!A1" TargetMode="External" Id="rId38" /><Relationship Type="http://schemas.openxmlformats.org/officeDocument/2006/relationships/hyperlink" Target="#'JA041 &#1575;&#1604;&#1602;&#1587;&#1608;&#1605; - &#1571;&#1581;&#1583; &#1575;&#1604;&#1605;&#1587;&#1575;&#1585;&#1581;&#1577;'!A1" TargetMode="External" Id="rId39" /><Relationship Type="http://schemas.openxmlformats.org/officeDocument/2006/relationships/hyperlink" Target="#'RY042 &#1575;&#1604;&#1606;&#1575;&#1589;&#1601;&#1577;'!A1" TargetMode="External" Id="rId40" /><Relationship Type="http://schemas.openxmlformats.org/officeDocument/2006/relationships/hyperlink" Target="#'MK099 &#1575;&#1604;&#1576;&#1610;&#1593;&#1577;'!A1" TargetMode="External" Id="rId41" /><Relationship Type="http://schemas.openxmlformats.org/officeDocument/2006/relationships/hyperlink" Target="#'MK100 &#1575;&#1604;&#1603;&#1608;&#1579;&#1585;'!A1" TargetMode="External" Id="rId42" /><Relationship Type="http://schemas.openxmlformats.org/officeDocument/2006/relationships/hyperlink" Target="#'HA043 &#1575;&#1604;&#1593;&#1585;&#1610;&#1601;&#1610;'!A1" TargetMode="External" Id="rId43" /><Relationship Type="http://schemas.openxmlformats.org/officeDocument/2006/relationships/hyperlink" Target="#'JA056 &#1575;&#1604;&#1585;&#1608;&#1575;&#1576;&#1610; - &#1575;&#1604;&#1605;&#1608;&#1583;&#1577;'!A1" TargetMode="External" Id="rId44" /><Relationship Type="http://schemas.openxmlformats.org/officeDocument/2006/relationships/hyperlink" Target="#'NJ219 &#1575;&#1604;&#1605;&#1585;&#1603;&#1576;'!A1" TargetMode="External" Id="rId45" /><Relationship Type="http://schemas.openxmlformats.org/officeDocument/2006/relationships/hyperlink" Target="#'AS175 &#1575;&#1604;&#1585;&#1608;&#1575;&#1576;&#1610; &#1591;&#1575;&#1585;&#1602;'!A1" TargetMode="External" Id="rId46" /><Relationship Type="http://schemas.openxmlformats.org/officeDocument/2006/relationships/hyperlink" Target="#'BH050 &#1575;&#1604;&#1591;&#1575;&#1608;&#1604;&#1577;'!A1" TargetMode="External" Id="rId47" /><Relationship Type="http://schemas.openxmlformats.org/officeDocument/2006/relationships/hyperlink" Target="#'MK072 &#1575;&#1604;&#1593;&#1586;&#1610;&#1586;&#1610;&#1577; &#1576;&#1606; &#1583;&#1607;&#1610;&#1588;'!A1" TargetMode="External" Id="rId48" /><Relationship Type="http://schemas.openxmlformats.org/officeDocument/2006/relationships/hyperlink" Target="#'MK205 &#1576;&#1574;&#1585; &#1575;&#1604;&#1585;&#1608;&#1577;'!A1" TargetMode="External" Id="rId49" /><Relationship Type="http://schemas.openxmlformats.org/officeDocument/2006/relationships/hyperlink" Target="#'MK311-F &#1606;&#1608;&#1610;&#1585;'!A1" TargetMode="External" Id="rId50" /><Relationship Type="http://schemas.openxmlformats.org/officeDocument/2006/relationships/hyperlink" Target="#'NB130 &#1591;&#1585;&#1610;&#1602; &#1575;&#1604;&#1571;&#1605;&#1610;&#1585; &#1587;&#1604;&#1591;&#1575;&#1606;'!A1" TargetMode="External" Id="rId51" /><Relationship Type="http://schemas.openxmlformats.org/officeDocument/2006/relationships/hyperlink" Target="#'TB032 &#1575;&#1604;&#1587;&#1610;&#1575;'!A1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9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8" customWidth="1" min="3" max="3"/>
    <col width="10" customWidth="1" min="4" max="4"/>
    <col width="11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13" customWidth="1" min="11" max="11"/>
    <col width="26" customWidth="1" min="12" max="12"/>
  </cols>
  <sheetData>
    <row r="1" ht="26" customHeight="1">
      <c r="A1" s="1" t="inlineStr">
        <is>
          <t>فهرس المحطات — شيتٌ لكل محطة</t>
        </is>
      </c>
    </row>
    <row r="2" ht="16" customHeight="1">
      <c r="A2" s="2" t="inlineStr">
        <is>
          <t>52 محطة · لكلٍّ شيتٌ باسمها فيه أداؤها وحاسبة لترها ومستهدفها الشهري · والأرقام هنا ملخّصٌ منها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2" customHeight="1">
      <c r="A4" s="4" t="inlineStr"/>
      <c r="B4" s="4" t="inlineStr">
        <is>
          <t>المحطة</t>
        </is>
      </c>
      <c r="C4" s="4" t="inlineStr">
        <is>
          <t>الرمز</t>
        </is>
      </c>
      <c r="D4" s="4" t="inlineStr">
        <is>
          <t>المنطقة</t>
        </is>
      </c>
      <c r="E4" s="4" t="inlineStr">
        <is>
          <t>نموذج العمل</t>
        </is>
      </c>
      <c r="F4" s="4" t="inlineStr">
        <is>
          <t>مبيعات ر٢</t>
        </is>
      </c>
      <c r="G4" s="4" t="inlineStr">
        <is>
          <t>حجم ر٢ لتر</t>
        </is>
      </c>
      <c r="H4" s="4" t="inlineStr">
        <is>
          <t>صافي ر٢</t>
        </is>
      </c>
      <c r="I4" s="4" t="inlineStr">
        <is>
          <t>هامش الوقود</t>
        </is>
      </c>
      <c r="J4" s="4" t="inlineStr">
        <is>
          <t>صافي اللتر بنموذجها</t>
        </is>
      </c>
      <c r="K4" s="4" t="inlineStr">
        <is>
          <t>مستهدف السنة لتراً</t>
        </is>
      </c>
      <c r="L4" s="4" t="inlineStr">
        <is>
          <t>الشيت</t>
        </is>
      </c>
    </row>
    <row r="5">
      <c r="B5" s="5" t="inlineStr">
        <is>
          <t>العمرة الجديدة</t>
        </is>
      </c>
      <c r="C5" s="6" t="inlineStr">
        <is>
          <t>MK007</t>
        </is>
      </c>
      <c r="D5" s="7" t="inlineStr">
        <is>
          <t>مكة</t>
        </is>
      </c>
      <c r="E5" s="7" t="inlineStr">
        <is>
          <t>استثماري</t>
        </is>
      </c>
      <c r="F5" s="8" t="inlineStr">
        <is>
          <t>—</t>
        </is>
      </c>
      <c r="G5" s="8" t="inlineStr">
        <is>
          <t>—</t>
        </is>
      </c>
      <c r="H5" s="8" t="inlineStr">
        <is>
          <t>—</t>
        </is>
      </c>
      <c r="I5" s="9" t="n">
        <v>0.0553</v>
      </c>
      <c r="J5" s="10" t="n">
        <v>-0.9306580397308331</v>
      </c>
      <c r="K5" s="11" t="n">
        <v>47848649.75352602</v>
      </c>
      <c r="L5" s="12" t="inlineStr">
        <is>
          <t>MK007 العمرة الجديدة</t>
        </is>
      </c>
    </row>
    <row r="6">
      <c r="B6" s="5" t="inlineStr">
        <is>
          <t>العوالي</t>
        </is>
      </c>
      <c r="C6" s="6" t="inlineStr">
        <is>
          <t>MK003</t>
        </is>
      </c>
      <c r="D6" s="7" t="inlineStr">
        <is>
          <t>مكة</t>
        </is>
      </c>
      <c r="E6" s="7" t="inlineStr">
        <is>
          <t>استثماري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9" t="n">
        <v>0.0668</v>
      </c>
      <c r="J6" s="13" t="n">
        <v>2.054923824474024</v>
      </c>
      <c r="K6" s="11" t="n">
        <v>34893589.06642894</v>
      </c>
      <c r="L6" s="12" t="inlineStr">
        <is>
          <t>MK003 العوالي</t>
        </is>
      </c>
    </row>
    <row r="7">
      <c r="B7" s="5" t="inlineStr">
        <is>
          <t>عاصفة الصحراء</t>
        </is>
      </c>
      <c r="C7" s="6" t="inlineStr">
        <is>
          <t>MK004</t>
        </is>
      </c>
      <c r="D7" s="7" t="inlineStr">
        <is>
          <t>الطائف</t>
        </is>
      </c>
      <c r="E7" s="7" t="inlineStr">
        <is>
          <t>استثماري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  <c r="I7" s="9" t="n">
        <v>0.055</v>
      </c>
      <c r="J7" s="10" t="n">
        <v>-1.091882620988267</v>
      </c>
      <c r="K7" s="11" t="n">
        <v>31674879.93591224</v>
      </c>
      <c r="L7" s="12" t="inlineStr">
        <is>
          <t>MK004 عاصفة الصحراء</t>
        </is>
      </c>
    </row>
    <row r="8">
      <c r="B8" s="5" t="inlineStr">
        <is>
          <t>طريق الليث - الفضيلة</t>
        </is>
      </c>
      <c r="C8" s="6" t="inlineStr">
        <is>
          <t>MK289</t>
        </is>
      </c>
      <c r="D8" s="7" t="inlineStr">
        <is>
          <t>جدة</t>
        </is>
      </c>
      <c r="E8" s="7" t="inlineStr">
        <is>
          <t>امتياز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9" t="n">
        <v>0.0049</v>
      </c>
      <c r="J8" s="13" t="n">
        <v>0.7794055182961762</v>
      </c>
      <c r="K8" s="11" t="n">
        <v>31334491.98162076</v>
      </c>
      <c r="L8" s="12" t="inlineStr">
        <is>
          <t>MK289 طريق الليث - الفضيلة</t>
        </is>
      </c>
    </row>
    <row r="9">
      <c r="B9" s="5" t="inlineStr">
        <is>
          <t>الحليس - طريق الجنوب</t>
        </is>
      </c>
      <c r="C9" s="6" t="inlineStr">
        <is>
          <t>MK046</t>
        </is>
      </c>
      <c r="D9" s="7" t="inlineStr">
        <is>
          <t>الطائف</t>
        </is>
      </c>
      <c r="E9" s="7" t="inlineStr">
        <is>
          <t>تشغيلي</t>
        </is>
      </c>
      <c r="F9" s="14" t="n">
        <v>8694181</v>
      </c>
      <c r="G9" s="11" t="n">
        <v>4764070</v>
      </c>
      <c r="H9" s="14" t="n">
        <v>313375</v>
      </c>
      <c r="I9" s="9" t="n">
        <v>0.0558</v>
      </c>
      <c r="J9" s="13" t="n">
        <v>0.3432109897629552</v>
      </c>
      <c r="K9" s="11" t="n">
        <v>19287765.87845404</v>
      </c>
      <c r="L9" s="12" t="inlineStr">
        <is>
          <t>MK046 الحليس - طريق الجنوب</t>
        </is>
      </c>
    </row>
    <row r="10">
      <c r="B10" s="5" t="inlineStr">
        <is>
          <t>القادسية</t>
        </is>
      </c>
      <c r="C10" s="6" t="inlineStr">
        <is>
          <t>MK047</t>
        </is>
      </c>
      <c r="D10" s="7" t="inlineStr">
        <is>
          <t>مكة</t>
        </is>
      </c>
      <c r="E10" s="7" t="inlineStr">
        <is>
          <t>—</t>
        </is>
      </c>
      <c r="F10" s="14" t="n">
        <v>7796113</v>
      </c>
      <c r="G10" s="11" t="n">
        <v>4234727</v>
      </c>
      <c r="H10" s="14" t="n">
        <v>305040</v>
      </c>
      <c r="I10" s="9" t="n">
        <v>0.05426417007733762</v>
      </c>
      <c r="J10" s="13" t="n">
        <v>0.8400088429346866</v>
      </c>
      <c r="K10" s="11" t="n">
        <v>16985443.46153846</v>
      </c>
      <c r="L10" s="12" t="inlineStr">
        <is>
          <t>MK047 القادسية</t>
        </is>
      </c>
    </row>
    <row r="11">
      <c r="B11" s="5" t="inlineStr">
        <is>
          <t>الشيباني</t>
        </is>
      </c>
      <c r="C11" s="6" t="inlineStr">
        <is>
          <t>MK005</t>
        </is>
      </c>
      <c r="D11" s="7" t="inlineStr">
        <is>
          <t>الطائف</t>
        </is>
      </c>
      <c r="E11" s="7" t="inlineStr">
        <is>
          <t>استثماري</t>
        </is>
      </c>
      <c r="F11" s="8" t="inlineStr">
        <is>
          <t>—</t>
        </is>
      </c>
      <c r="G11" s="8" t="inlineStr">
        <is>
          <t>—</t>
        </is>
      </c>
      <c r="H11" s="8" t="inlineStr">
        <is>
          <t>—</t>
        </is>
      </c>
      <c r="I11" s="9" t="n">
        <v>0.0675</v>
      </c>
      <c r="J11" s="13" t="n">
        <v>2.249610345375094</v>
      </c>
      <c r="K11" s="11" t="n">
        <v>16748930.95665723</v>
      </c>
      <c r="L11" s="12" t="inlineStr">
        <is>
          <t>MK005 الشيباني</t>
        </is>
      </c>
    </row>
    <row r="12">
      <c r="B12" s="5" t="inlineStr">
        <is>
          <t>النسيم</t>
        </is>
      </c>
      <c r="C12" s="6" t="inlineStr">
        <is>
          <t>MK015</t>
        </is>
      </c>
      <c r="D12" s="7" t="inlineStr">
        <is>
          <t>جدة</t>
        </is>
      </c>
      <c r="E12" s="7" t="inlineStr">
        <is>
          <t>إيجاري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—</t>
        </is>
      </c>
      <c r="I12" s="9" t="n">
        <v>0.0659</v>
      </c>
      <c r="J12" s="13" t="n">
        <v>7.28621738856823</v>
      </c>
      <c r="K12" s="11" t="n">
        <v>16111430.44307904</v>
      </c>
      <c r="L12" s="12" t="inlineStr">
        <is>
          <t>MK015 النسيم</t>
        </is>
      </c>
    </row>
    <row r="13">
      <c r="B13" s="5" t="inlineStr">
        <is>
          <t>الذكرى الخالدة</t>
        </is>
      </c>
      <c r="C13" s="6" t="inlineStr">
        <is>
          <t>MK029</t>
        </is>
      </c>
      <c r="D13" s="7" t="inlineStr">
        <is>
          <t>—</t>
        </is>
      </c>
      <c r="E13" s="7" t="inlineStr">
        <is>
          <t>—</t>
        </is>
      </c>
      <c r="F13" s="14" t="n">
        <v>7243350</v>
      </c>
      <c r="G13" s="11" t="n">
        <v>3860413</v>
      </c>
      <c r="H13" s="14" t="n">
        <v>268282</v>
      </c>
      <c r="I13" s="9" t="n">
        <v>0.06097057952466746</v>
      </c>
      <c r="J13" s="13" t="n">
        <v>2.289999999999999</v>
      </c>
      <c r="K13" s="11" t="n">
        <v>15484074.12087912</v>
      </c>
      <c r="L13" s="12" t="inlineStr">
        <is>
          <t>MK029 الذكرى الخالدة</t>
        </is>
      </c>
    </row>
    <row r="14">
      <c r="B14" s="5" t="inlineStr">
        <is>
          <t>الدائري الشمالي</t>
        </is>
      </c>
      <c r="C14" s="6" t="inlineStr">
        <is>
          <t>RY075</t>
        </is>
      </c>
      <c r="D14" s="7" t="inlineStr">
        <is>
          <t>—</t>
        </is>
      </c>
      <c r="E14" s="7" t="inlineStr">
        <is>
          <t>—</t>
        </is>
      </c>
      <c r="F14" s="14" t="n">
        <v>7351302</v>
      </c>
      <c r="G14" s="11" t="n">
        <v>3827940</v>
      </c>
      <c r="H14" s="14" t="n">
        <v>287219</v>
      </c>
      <c r="I14" s="9" t="n">
        <v>0.05956990149500048</v>
      </c>
      <c r="J14" s="13" t="n">
        <v>2.289999999999999</v>
      </c>
      <c r="K14" s="11" t="n">
        <v>15353825.27472528</v>
      </c>
      <c r="L14" s="12" t="inlineStr">
        <is>
          <t>RY075 الدائري الشمالي</t>
        </is>
      </c>
    </row>
    <row r="15">
      <c r="B15" s="5" t="inlineStr">
        <is>
          <t>جنوب الطائف</t>
        </is>
      </c>
      <c r="C15" s="6" t="inlineStr">
        <is>
          <t>MK006</t>
        </is>
      </c>
      <c r="D15" s="7" t="inlineStr">
        <is>
          <t>الطائف</t>
        </is>
      </c>
      <c r="E15" s="7" t="inlineStr">
        <is>
          <t>استثماري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—</t>
        </is>
      </c>
      <c r="I15" s="9" t="n">
        <v>0.0677</v>
      </c>
      <c r="J15" s="13" t="n">
        <v>2.27377808442623</v>
      </c>
      <c r="K15" s="11" t="n">
        <v>15210305.28006297</v>
      </c>
      <c r="L15" s="12" t="inlineStr">
        <is>
          <t>MK006 جنوب الطائف</t>
        </is>
      </c>
    </row>
    <row r="16">
      <c r="B16" s="5" t="inlineStr">
        <is>
          <t>أحلى مساء</t>
        </is>
      </c>
      <c r="C16" s="6" t="inlineStr">
        <is>
          <t>MK028</t>
        </is>
      </c>
      <c r="D16" s="7" t="inlineStr">
        <is>
          <t>الطائف</t>
        </is>
      </c>
      <c r="E16" s="7" t="inlineStr">
        <is>
          <t>—</t>
        </is>
      </c>
      <c r="F16" s="14" t="n">
        <v>7010487</v>
      </c>
      <c r="G16" s="11" t="n">
        <v>3624705</v>
      </c>
      <c r="H16" s="14" t="n">
        <v>267281</v>
      </c>
      <c r="I16" s="9" t="n">
        <v>0.06115758919975302</v>
      </c>
      <c r="J16" s="13" t="n">
        <v>2.678396629138341</v>
      </c>
      <c r="K16" s="11" t="n">
        <v>14686297.97252604</v>
      </c>
      <c r="L16" s="12" t="inlineStr">
        <is>
          <t>MK028 أحلى مساء</t>
        </is>
      </c>
    </row>
    <row r="17">
      <c r="B17" s="5" t="inlineStr">
        <is>
          <t>أبو وافي العمرة</t>
        </is>
      </c>
      <c r="C17" s="6" t="inlineStr">
        <is>
          <t>MK033</t>
        </is>
      </c>
      <c r="D17" s="7" t="inlineStr">
        <is>
          <t>مكة</t>
        </is>
      </c>
      <c r="E17" s="7" t="inlineStr">
        <is>
          <t>—</t>
        </is>
      </c>
      <c r="F17" s="14" t="n">
        <v>5978632</v>
      </c>
      <c r="G17" s="11" t="n">
        <v>3410759</v>
      </c>
      <c r="H17" s="14" t="n">
        <v>143676</v>
      </c>
      <c r="I17" s="9" t="n">
        <v>0.04849237803854761</v>
      </c>
      <c r="J17" s="10" t="n">
        <v>-0.6498953869986721</v>
      </c>
      <c r="K17" s="11" t="n">
        <v>13727832.0652213</v>
      </c>
      <c r="L17" s="12" t="inlineStr">
        <is>
          <t>MK033 أبو وافي العمرة</t>
        </is>
      </c>
    </row>
    <row r="18">
      <c r="B18" s="5" t="inlineStr">
        <is>
          <t>جبل النور</t>
        </is>
      </c>
      <c r="C18" s="6" t="inlineStr">
        <is>
          <t>MK001</t>
        </is>
      </c>
      <c r="D18" s="7" t="inlineStr">
        <is>
          <t>مكة</t>
        </is>
      </c>
      <c r="E18" s="7" t="inlineStr">
        <is>
          <t>استثماري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9" t="n">
        <v>0.06909999999999999</v>
      </c>
      <c r="J18" s="13" t="n">
        <v>2.465952158052598</v>
      </c>
      <c r="K18" s="11" t="n">
        <v>13072950.62629389</v>
      </c>
      <c r="L18" s="12" t="inlineStr">
        <is>
          <t>MK001 جبل النور</t>
        </is>
      </c>
    </row>
    <row r="19">
      <c r="B19" s="5" t="inlineStr">
        <is>
          <t>الحسينية</t>
        </is>
      </c>
      <c r="C19" s="6" t="inlineStr">
        <is>
          <t>MK008</t>
        </is>
      </c>
      <c r="D19" s="7" t="inlineStr">
        <is>
          <t>مكة</t>
        </is>
      </c>
      <c r="E19" s="7" t="inlineStr">
        <is>
          <t>إيجاري</t>
        </is>
      </c>
      <c r="F19" s="8" t="inlineStr">
        <is>
          <t>—</t>
        </is>
      </c>
      <c r="G19" s="8" t="inlineStr">
        <is>
          <t>—</t>
        </is>
      </c>
      <c r="H19" s="8" t="inlineStr">
        <is>
          <t>—</t>
        </is>
      </c>
      <c r="I19" s="9" t="n">
        <v>0.0511</v>
      </c>
      <c r="J19" s="13" t="n">
        <v>4.359643140597806</v>
      </c>
      <c r="K19" s="11" t="n">
        <v>11918871.92724105</v>
      </c>
      <c r="L19" s="12" t="inlineStr">
        <is>
          <t>MK008 الحسينية</t>
        </is>
      </c>
    </row>
    <row r="20">
      <c r="B20" s="5" t="inlineStr">
        <is>
          <t>الرصيفة</t>
        </is>
      </c>
      <c r="C20" s="6" t="inlineStr">
        <is>
          <t>MK016</t>
        </is>
      </c>
      <c r="D20" s="7" t="inlineStr">
        <is>
          <t>مكة</t>
        </is>
      </c>
      <c r="E20" s="7" t="inlineStr">
        <is>
          <t>—</t>
        </is>
      </c>
      <c r="F20" s="14" t="n">
        <v>5115259</v>
      </c>
      <c r="G20" s="11" t="n">
        <v>2611625</v>
      </c>
      <c r="H20" s="14" t="n">
        <v>214310</v>
      </c>
      <c r="I20" s="9" t="n">
        <v>0.06463636054401155</v>
      </c>
      <c r="J20" s="13" t="n">
        <v>3.509999999999998</v>
      </c>
      <c r="K20" s="11" t="n">
        <v>10489166.06344264</v>
      </c>
      <c r="L20" s="12" t="inlineStr">
        <is>
          <t>MK016 الرصيفة</t>
        </is>
      </c>
    </row>
    <row r="21">
      <c r="B21" s="5" t="inlineStr">
        <is>
          <t>الجمعية الوسام</t>
        </is>
      </c>
      <c r="C21" s="6" t="inlineStr">
        <is>
          <t>MK035</t>
        </is>
      </c>
      <c r="D21" s="7" t="inlineStr">
        <is>
          <t>الطائف</t>
        </is>
      </c>
      <c r="E21" s="7" t="inlineStr">
        <is>
          <t>—</t>
        </is>
      </c>
      <c r="F21" s="14" t="n">
        <v>4579569</v>
      </c>
      <c r="G21" s="11" t="n">
        <v>2468597</v>
      </c>
      <c r="H21" s="14" t="n">
        <v>177835</v>
      </c>
      <c r="I21" s="9" t="n">
        <v>0.05401812728602361</v>
      </c>
      <c r="J21" s="13" t="n">
        <v>0.8710662638384417</v>
      </c>
      <c r="K21" s="11" t="n">
        <v>9925269.218298361</v>
      </c>
      <c r="L21" s="12" t="inlineStr">
        <is>
          <t>MK035 الجمعية الوسام</t>
        </is>
      </c>
    </row>
    <row r="22">
      <c r="B22" s="5" t="inlineStr">
        <is>
          <t>عرفات الشوقية</t>
        </is>
      </c>
      <c r="C22" s="6" t="inlineStr">
        <is>
          <t>MK017</t>
        </is>
      </c>
      <c r="D22" s="7" t="inlineStr">
        <is>
          <t>مكة</t>
        </is>
      </c>
      <c r="E22" s="7" t="inlineStr">
        <is>
          <t>إيجاري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9" t="n">
        <v>0.0668</v>
      </c>
      <c r="J22" s="13" t="n">
        <v>7.49608509680287</v>
      </c>
      <c r="K22" s="11" t="n">
        <v>9764116.868504144</v>
      </c>
      <c r="L22" s="12" t="inlineStr">
        <is>
          <t>MK017 عرفات الشوقية</t>
        </is>
      </c>
    </row>
    <row r="23">
      <c r="B23" s="5" t="inlineStr">
        <is>
          <t>ممشى الشوقية</t>
        </is>
      </c>
      <c r="C23" s="6" t="inlineStr">
        <is>
          <t>MK020</t>
        </is>
      </c>
      <c r="D23" s="7" t="inlineStr">
        <is>
          <t>مكة</t>
        </is>
      </c>
      <c r="E23" s="7" t="inlineStr">
        <is>
          <t>—</t>
        </is>
      </c>
      <c r="F23" s="14" t="n">
        <v>4777169</v>
      </c>
      <c r="G23" s="11" t="n">
        <v>2431417</v>
      </c>
      <c r="H23" s="14" t="n">
        <v>184802</v>
      </c>
      <c r="I23" s="9" t="n">
        <v>0.06443510627319235</v>
      </c>
      <c r="J23" s="13" t="n">
        <v>3.509999999999998</v>
      </c>
      <c r="K23" s="11" t="n">
        <v>9779291.829074843</v>
      </c>
      <c r="L23" s="12" t="inlineStr">
        <is>
          <t>MK020 ممشى الشوقية</t>
        </is>
      </c>
    </row>
    <row r="24">
      <c r="B24" s="5" t="inlineStr">
        <is>
          <t>الجعرانة</t>
        </is>
      </c>
      <c r="C24" s="6" t="inlineStr">
        <is>
          <t>MK064</t>
        </is>
      </c>
      <c r="D24" s="7" t="inlineStr">
        <is>
          <t>مكة</t>
        </is>
      </c>
      <c r="E24" s="7" t="inlineStr">
        <is>
          <t>—</t>
        </is>
      </c>
      <c r="F24" s="14" t="n">
        <v>4422661</v>
      </c>
      <c r="G24" s="11" t="n">
        <v>2394191</v>
      </c>
      <c r="H24" s="14" t="n">
        <v>119319</v>
      </c>
      <c r="I24" s="9" t="n">
        <v>0.05393158375947311</v>
      </c>
      <c r="J24" s="13" t="n">
        <v>0.812493057623854</v>
      </c>
      <c r="K24" s="11" t="n">
        <v>9626987.119395945</v>
      </c>
      <c r="L24" s="12" t="inlineStr">
        <is>
          <t>MK064 الجعرانة</t>
        </is>
      </c>
    </row>
    <row r="25">
      <c r="B25" s="5" t="inlineStr">
        <is>
          <t>طريق السيل</t>
        </is>
      </c>
      <c r="C25" s="6" t="inlineStr">
        <is>
          <t>MK054</t>
        </is>
      </c>
      <c r="D25" s="7" t="inlineStr">
        <is>
          <t>مكة</t>
        </is>
      </c>
      <c r="E25" s="7" t="inlineStr">
        <is>
          <t>—</t>
        </is>
      </c>
      <c r="F25" s="14" t="n">
        <v>4149274</v>
      </c>
      <c r="G25" s="11" t="n">
        <v>2311916</v>
      </c>
      <c r="H25" s="14" t="n">
        <v>77515</v>
      </c>
      <c r="I25" s="9" t="n">
        <v>0.05023870757206954</v>
      </c>
      <c r="J25" s="10" t="n">
        <v>-0.1334888844408173</v>
      </c>
      <c r="K25" s="11" t="n">
        <v>9337824.695709432</v>
      </c>
      <c r="L25" s="12" t="inlineStr">
        <is>
          <t>MK054 طريق السيل</t>
        </is>
      </c>
    </row>
    <row r="26">
      <c r="B26" s="5" t="inlineStr">
        <is>
          <t>بطحاء قريش 1</t>
        </is>
      </c>
      <c r="C26" s="6" t="inlineStr">
        <is>
          <t>MK022</t>
        </is>
      </c>
      <c r="D26" s="7" t="inlineStr">
        <is>
          <t>مكة</t>
        </is>
      </c>
      <c r="E26" s="7" t="inlineStr">
        <is>
          <t>إيجاري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9" t="n">
        <v>0.0547</v>
      </c>
      <c r="J26" s="13" t="n">
        <v>4.312035645840868</v>
      </c>
      <c r="K26" s="11" t="n">
        <v>9041598.050943397</v>
      </c>
      <c r="L26" s="12" t="inlineStr">
        <is>
          <t>MK022 بطحاء قريش 1</t>
        </is>
      </c>
    </row>
    <row r="27">
      <c r="B27" s="5" t="inlineStr">
        <is>
          <t>الرصيفة المسار</t>
        </is>
      </c>
      <c r="C27" s="6" t="inlineStr">
        <is>
          <t>MK018</t>
        </is>
      </c>
      <c r="D27" s="7" t="inlineStr">
        <is>
          <t>مكة</t>
        </is>
      </c>
      <c r="E27" s="7" t="inlineStr">
        <is>
          <t>إيجاري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—</t>
        </is>
      </c>
      <c r="I27" s="9" t="n">
        <v>0.0602</v>
      </c>
      <c r="J27" s="13" t="n">
        <v>5.626792116626633</v>
      </c>
      <c r="K27" s="11" t="n">
        <v>8628251.815553701</v>
      </c>
      <c r="L27" s="12" t="inlineStr">
        <is>
          <t>MK018 الرصيفة المسار</t>
        </is>
      </c>
    </row>
    <row r="28">
      <c r="B28" s="5" t="inlineStr">
        <is>
          <t>خليص</t>
        </is>
      </c>
      <c r="C28" s="6" t="inlineStr">
        <is>
          <t>MK014</t>
        </is>
      </c>
      <c r="D28" s="7" t="inlineStr">
        <is>
          <t>مكة</t>
        </is>
      </c>
      <c r="E28" s="7" t="inlineStr">
        <is>
          <t>—</t>
        </is>
      </c>
      <c r="F28" s="14" t="n">
        <v>0</v>
      </c>
      <c r="G28" s="11" t="n">
        <v>2089097</v>
      </c>
      <c r="H28" s="14" t="n">
        <v>66940</v>
      </c>
      <c r="I28" s="9" t="n">
        <v>0.04384023763900082</v>
      </c>
      <c r="J28" s="10" t="n">
        <v>-1.644285807397672</v>
      </c>
      <c r="K28" s="11" t="n">
        <v>8452582.33195658</v>
      </c>
      <c r="L28" s="12" t="inlineStr">
        <is>
          <t>MK014 خليص</t>
        </is>
      </c>
    </row>
    <row r="29">
      <c r="B29" s="5" t="inlineStr">
        <is>
          <t>كورنيش جيزان</t>
        </is>
      </c>
      <c r="C29" s="6" t="inlineStr">
        <is>
          <t>JA069</t>
        </is>
      </c>
      <c r="D29" s="7" t="inlineStr">
        <is>
          <t>جازان</t>
        </is>
      </c>
      <c r="E29" s="7" t="inlineStr">
        <is>
          <t>—</t>
        </is>
      </c>
      <c r="F29" s="14" t="n">
        <v>4013901</v>
      </c>
      <c r="G29" s="11" t="n">
        <v>2053365</v>
      </c>
      <c r="H29" s="14" t="n">
        <v>147356</v>
      </c>
      <c r="I29" s="9" t="n">
        <v>0.06355300274023562</v>
      </c>
      <c r="J29" s="13" t="n">
        <v>3.273288662855093</v>
      </c>
      <c r="K29" s="11" t="n">
        <v>8326120.493624501</v>
      </c>
      <c r="L29" s="12" t="inlineStr">
        <is>
          <t>JA069 كورنيش جيزان</t>
        </is>
      </c>
    </row>
    <row r="30">
      <c r="B30" s="5" t="inlineStr">
        <is>
          <t>الحمرا - طريق الملك عبدالله</t>
        </is>
      </c>
      <c r="C30" s="6" t="inlineStr">
        <is>
          <t>RY025</t>
        </is>
      </c>
      <c r="D30" s="7" t="inlineStr">
        <is>
          <t>الخرج</t>
        </is>
      </c>
      <c r="E30" s="7" t="inlineStr">
        <is>
          <t>إيجاري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9" t="n">
        <v>0.0617</v>
      </c>
      <c r="J30" s="13" t="n">
        <v>6.196694228993215</v>
      </c>
      <c r="K30" s="11" t="n">
        <v>7884195.589538193</v>
      </c>
      <c r="L30" s="12" t="inlineStr">
        <is>
          <t>RY025 الحمرا - طريق الملك عبدال</t>
        </is>
      </c>
    </row>
    <row r="31">
      <c r="B31" s="5" t="inlineStr">
        <is>
          <t>الأجاويد</t>
        </is>
      </c>
      <c r="C31" s="6" t="inlineStr">
        <is>
          <t>MK071</t>
        </is>
      </c>
      <c r="D31" s="7" t="inlineStr">
        <is>
          <t>جدة</t>
        </is>
      </c>
      <c r="E31" s="7" t="inlineStr">
        <is>
          <t>—</t>
        </is>
      </c>
      <c r="F31" s="14" t="n">
        <v>3320850</v>
      </c>
      <c r="G31" s="11" t="n">
        <v>1783599</v>
      </c>
      <c r="H31" s="14" t="n">
        <v>119629</v>
      </c>
      <c r="I31" s="9" t="n">
        <v>0.05933170000565813</v>
      </c>
      <c r="J31" s="13" t="n">
        <v>1.896859521887476</v>
      </c>
      <c r="K31" s="11" t="n">
        <v>7193386.754291281</v>
      </c>
      <c r="L31" s="12" t="inlineStr">
        <is>
          <t>MK071 الأجاويد</t>
        </is>
      </c>
    </row>
    <row r="32">
      <c r="B32" s="5" t="inlineStr">
        <is>
          <t>الجموم - الكنيدري</t>
        </is>
      </c>
      <c r="C32" s="6" t="inlineStr">
        <is>
          <t>MK068</t>
        </is>
      </c>
      <c r="D32" s="7" t="inlineStr">
        <is>
          <t>مكة</t>
        </is>
      </c>
      <c r="E32" s="7" t="inlineStr">
        <is>
          <t>—</t>
        </is>
      </c>
      <c r="F32" s="14" t="n">
        <v>0</v>
      </c>
      <c r="G32" s="11" t="n">
        <v>1708786</v>
      </c>
      <c r="H32" s="14" t="n">
        <v>120967</v>
      </c>
      <c r="I32" s="9" t="n">
        <v>0.06012134269609521</v>
      </c>
      <c r="J32" s="13" t="n">
        <v>2.360586457763718</v>
      </c>
      <c r="K32" s="11" t="n">
        <v>6883405.105883172</v>
      </c>
      <c r="L32" s="12" t="inlineStr">
        <is>
          <t>MK068 الجموم - الكنيدري</t>
        </is>
      </c>
    </row>
    <row r="33">
      <c r="B33" s="5" t="inlineStr">
        <is>
          <t>طريق صبيا</t>
        </is>
      </c>
      <c r="C33" s="6" t="inlineStr">
        <is>
          <t>JA061</t>
        </is>
      </c>
      <c r="D33" s="7" t="inlineStr">
        <is>
          <t>جازان</t>
        </is>
      </c>
      <c r="E33" s="7" t="inlineStr">
        <is>
          <t>إيجاري</t>
        </is>
      </c>
      <c r="F33" s="8" t="inlineStr">
        <is>
          <t>—</t>
        </is>
      </c>
      <c r="G33" s="8" t="inlineStr">
        <is>
          <t>—</t>
        </is>
      </c>
      <c r="H33" s="8" t="inlineStr">
        <is>
          <t>—</t>
        </is>
      </c>
      <c r="I33" s="9" t="n">
        <v>0.0496</v>
      </c>
      <c r="J33" s="13" t="n">
        <v>3.113523702567064</v>
      </c>
      <c r="K33" s="11" t="n">
        <v>6758543.50991533</v>
      </c>
      <c r="L33" s="12" t="inlineStr">
        <is>
          <t>JA061 طريق صبيا</t>
        </is>
      </c>
    </row>
    <row r="34">
      <c r="B34" s="5" t="inlineStr">
        <is>
          <t>المعيصم</t>
        </is>
      </c>
      <c r="C34" s="6" t="inlineStr">
        <is>
          <t>MK002</t>
        </is>
      </c>
      <c r="D34" s="7" t="inlineStr">
        <is>
          <t>مكة</t>
        </is>
      </c>
      <c r="E34" s="7" t="inlineStr">
        <is>
          <t>إيجاري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9" t="n">
        <v>0.0668</v>
      </c>
      <c r="J34" s="13" t="n">
        <v>7.458614933878065</v>
      </c>
      <c r="K34" s="11" t="n">
        <v>6637483.491374425</v>
      </c>
      <c r="L34" s="12" t="inlineStr">
        <is>
          <t>MK002 المعيصم</t>
        </is>
      </c>
    </row>
    <row r="35">
      <c r="B35" s="5" t="inlineStr">
        <is>
          <t>الملك خالد</t>
        </is>
      </c>
      <c r="C35" s="6" t="inlineStr">
        <is>
          <t>MK093</t>
        </is>
      </c>
      <c r="D35" s="7" t="inlineStr">
        <is>
          <t>الطائف</t>
        </is>
      </c>
      <c r="E35" s="7" t="inlineStr">
        <is>
          <t>—</t>
        </is>
      </c>
      <c r="F35" s="14" t="n">
        <v>2863669</v>
      </c>
      <c r="G35" s="11" t="n">
        <v>1483276</v>
      </c>
      <c r="H35" s="14" t="n">
        <v>101451</v>
      </c>
      <c r="I35" s="9" t="n">
        <v>0.06154861575849214</v>
      </c>
      <c r="J35" s="13" t="n">
        <v>2.732809601214166</v>
      </c>
      <c r="K35" s="11" t="n">
        <v>5953133.064355603</v>
      </c>
      <c r="L35" s="12" t="inlineStr">
        <is>
          <t>MK093 الملك خالد</t>
        </is>
      </c>
    </row>
    <row r="36">
      <c r="B36" s="5" t="inlineStr">
        <is>
          <t>مدخل محايل</t>
        </is>
      </c>
      <c r="C36" s="6" t="inlineStr">
        <is>
          <t>AS153</t>
        </is>
      </c>
      <c r="D36" s="7" t="inlineStr">
        <is>
          <t>عسير</t>
        </is>
      </c>
      <c r="E36" s="7" t="inlineStr">
        <is>
          <t>—</t>
        </is>
      </c>
      <c r="F36" s="14" t="n">
        <v>2835373</v>
      </c>
      <c r="G36" s="11" t="n">
        <v>1470777</v>
      </c>
      <c r="H36" s="14" t="n">
        <v>87704</v>
      </c>
      <c r="I36" s="9" t="n">
        <v>0.06001601525588621</v>
      </c>
      <c r="J36" s="13" t="n">
        <v>2.419924551725234</v>
      </c>
      <c r="K36" s="11" t="n">
        <v>5899270.384615384</v>
      </c>
      <c r="L36" s="12" t="inlineStr">
        <is>
          <t>AS153 مدخل محايل</t>
        </is>
      </c>
    </row>
    <row r="37">
      <c r="B37" s="5" t="inlineStr">
        <is>
          <t>الدائري الشرقي</t>
        </is>
      </c>
      <c r="C37" s="6" t="inlineStr">
        <is>
          <t>QS055</t>
        </is>
      </c>
      <c r="D37" s="7" t="inlineStr">
        <is>
          <t>القصيم</t>
        </is>
      </c>
      <c r="E37" s="7" t="inlineStr">
        <is>
          <t>—</t>
        </is>
      </c>
      <c r="F37" s="14" t="n">
        <v>2554762</v>
      </c>
      <c r="G37" s="11" t="n">
        <v>1447839</v>
      </c>
      <c r="H37" s="14" t="n">
        <v>27133</v>
      </c>
      <c r="I37" s="9" t="n">
        <v>0.05055583039872548</v>
      </c>
      <c r="J37" s="10" t="n">
        <v>-0.2292488404367674</v>
      </c>
      <c r="K37" s="11" t="n">
        <v>5808854.356505944</v>
      </c>
      <c r="L37" s="12" t="inlineStr">
        <is>
          <t>QS055 الدائري الشرقي</t>
        </is>
      </c>
    </row>
    <row r="38">
      <c r="B38" s="5" t="inlineStr">
        <is>
          <t>الكر النازل</t>
        </is>
      </c>
      <c r="C38" s="6" t="inlineStr">
        <is>
          <t>MK084</t>
        </is>
      </c>
      <c r="D38" s="7" t="inlineStr">
        <is>
          <t>مكة</t>
        </is>
      </c>
      <c r="E38" s="7" t="inlineStr">
        <is>
          <t>—</t>
        </is>
      </c>
      <c r="F38" s="14" t="n">
        <v>2760743</v>
      </c>
      <c r="G38" s="11" t="n">
        <v>1441961</v>
      </c>
      <c r="H38" s="14" t="n">
        <v>81831</v>
      </c>
      <c r="I38" s="9" t="n">
        <v>0.06064858221289619</v>
      </c>
      <c r="J38" s="13" t="n">
        <v>2.461628109510428</v>
      </c>
      <c r="K38" s="11" t="n">
        <v>5786853.937095652</v>
      </c>
      <c r="L38" s="12" t="inlineStr">
        <is>
          <t>MK084 الكر النازل</t>
        </is>
      </c>
    </row>
    <row r="39">
      <c r="B39" s="5" t="inlineStr">
        <is>
          <t>كورنيش الخبر</t>
        </is>
      </c>
      <c r="C39" s="6" t="inlineStr">
        <is>
          <t>EP051</t>
        </is>
      </c>
      <c r="D39" s="7" t="inlineStr">
        <is>
          <t>الشرقية</t>
        </is>
      </c>
      <c r="E39" s="7" t="inlineStr">
        <is>
          <t>إيجاري</t>
        </is>
      </c>
      <c r="F39" s="8" t="inlineStr">
        <is>
          <t>—</t>
        </is>
      </c>
      <c r="G39" s="8" t="inlineStr">
        <is>
          <t>—</t>
        </is>
      </c>
      <c r="H39" s="8" t="inlineStr">
        <is>
          <t>—</t>
        </is>
      </c>
      <c r="I39" s="9" t="n">
        <v>0.0639</v>
      </c>
      <c r="J39" s="13" t="n">
        <v>6.599588603537657</v>
      </c>
      <c r="K39" s="11" t="n">
        <v>5703542.861244145</v>
      </c>
      <c r="L39" s="12" t="inlineStr">
        <is>
          <t>EP051 كورنيش الخبر</t>
        </is>
      </c>
    </row>
    <row r="40">
      <c r="B40" s="5" t="inlineStr">
        <is>
          <t>بن درويش</t>
        </is>
      </c>
      <c r="C40" s="6" t="inlineStr">
        <is>
          <t>MK023</t>
        </is>
      </c>
      <c r="D40" s="7" t="inlineStr">
        <is>
          <t>مكة</t>
        </is>
      </c>
      <c r="E40" s="7" t="inlineStr">
        <is>
          <t>—</t>
        </is>
      </c>
      <c r="F40" s="14" t="n">
        <v>2700766</v>
      </c>
      <c r="G40" s="11" t="n">
        <v>1376226</v>
      </c>
      <c r="H40" s="14" t="n">
        <v>115715</v>
      </c>
      <c r="I40" s="9" t="n">
        <v>0.06451140587522206</v>
      </c>
      <c r="J40" s="13" t="n">
        <v>3.509999999999998</v>
      </c>
      <c r="K40" s="11" t="n">
        <v>5520797.038116176</v>
      </c>
      <c r="L40" s="12" t="inlineStr">
        <is>
          <t>MK023 بن درويش</t>
        </is>
      </c>
    </row>
    <row r="41">
      <c r="B41" s="5" t="inlineStr">
        <is>
          <t>بطحاء قريش 2</t>
        </is>
      </c>
      <c r="C41" s="6" t="inlineStr">
        <is>
          <t>MK031</t>
        </is>
      </c>
      <c r="D41" s="7" t="inlineStr">
        <is>
          <t>مكة</t>
        </is>
      </c>
      <c r="E41" s="7" t="inlineStr">
        <is>
          <t>إيجاري</t>
        </is>
      </c>
      <c r="F41" s="8" t="inlineStr">
        <is>
          <t>—</t>
        </is>
      </c>
      <c r="G41" s="8" t="inlineStr">
        <is>
          <t>—</t>
        </is>
      </c>
      <c r="H41" s="8" t="inlineStr">
        <is>
          <t>—</t>
        </is>
      </c>
      <c r="I41" s="9" t="n">
        <v>0.0582</v>
      </c>
      <c r="J41" s="13" t="n">
        <v>5.118784011136161</v>
      </c>
      <c r="K41" s="11" t="n">
        <v>5403019.786657041</v>
      </c>
      <c r="L41" s="12" t="inlineStr">
        <is>
          <t>MK031 بطحاء قريش 2</t>
        </is>
      </c>
    </row>
    <row r="42">
      <c r="B42" s="5" t="inlineStr">
        <is>
          <t>خبت نخلان</t>
        </is>
      </c>
      <c r="C42" s="6" t="inlineStr">
        <is>
          <t>JA053</t>
        </is>
      </c>
      <c r="D42" s="7" t="inlineStr">
        <is>
          <t>جازان</t>
        </is>
      </c>
      <c r="E42" s="7" t="inlineStr">
        <is>
          <t>—</t>
        </is>
      </c>
      <c r="F42" s="14" t="n">
        <v>2486549</v>
      </c>
      <c r="G42" s="11" t="n">
        <v>1325693</v>
      </c>
      <c r="H42" s="14" t="n">
        <v>46503</v>
      </c>
      <c r="I42" s="9" t="n">
        <v>0.05733756585946785</v>
      </c>
      <c r="J42" s="13" t="n">
        <v>1.604576440419759</v>
      </c>
      <c r="K42" s="11" t="n">
        <v>5329119.715771182</v>
      </c>
      <c r="L42" s="12" t="inlineStr">
        <is>
          <t>JA053 خبت نخلان</t>
        </is>
      </c>
    </row>
    <row r="43">
      <c r="B43" s="5" t="inlineStr">
        <is>
          <t>القسوم - أحد المسارحة</t>
        </is>
      </c>
      <c r="C43" s="6" t="inlineStr">
        <is>
          <t>JA041</t>
        </is>
      </c>
      <c r="D43" s="7" t="inlineStr">
        <is>
          <t>جازان</t>
        </is>
      </c>
      <c r="E43" s="7" t="inlineStr">
        <is>
          <t>—</t>
        </is>
      </c>
      <c r="F43" s="14" t="n">
        <v>2150813</v>
      </c>
      <c r="G43" s="11" t="n">
        <v>1111929</v>
      </c>
      <c r="H43" s="14" t="n">
        <v>30748</v>
      </c>
      <c r="I43" s="9" t="n">
        <v>0.06231126985578037</v>
      </c>
      <c r="J43" s="13" t="n">
        <v>2.902917879857485</v>
      </c>
      <c r="K43" s="11" t="n">
        <v>4466417.726812048</v>
      </c>
      <c r="L43" s="12" t="inlineStr">
        <is>
          <t>JA041 القسوم - أحد المسارحة</t>
        </is>
      </c>
    </row>
    <row r="44">
      <c r="B44" s="5" t="inlineStr">
        <is>
          <t>الناصفة</t>
        </is>
      </c>
      <c r="C44" s="6" t="inlineStr">
        <is>
          <t>RY042</t>
        </is>
      </c>
      <c r="D44" s="7" t="inlineStr">
        <is>
          <t>الخرج</t>
        </is>
      </c>
      <c r="E44" s="7" t="inlineStr">
        <is>
          <t>إيجاري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9" t="n">
        <v>0.0605</v>
      </c>
      <c r="J44" s="13" t="n">
        <v>5.626497435055795</v>
      </c>
      <c r="K44" s="11" t="n">
        <v>4432726.90469477</v>
      </c>
      <c r="L44" s="12" t="inlineStr">
        <is>
          <t>RY042 الناصفة</t>
        </is>
      </c>
    </row>
    <row r="45">
      <c r="B45" s="5" t="inlineStr">
        <is>
          <t>البيعة</t>
        </is>
      </c>
      <c r="C45" s="6" t="inlineStr">
        <is>
          <t>MK099</t>
        </is>
      </c>
      <c r="D45" s="7" t="inlineStr">
        <is>
          <t>الطائف</t>
        </is>
      </c>
      <c r="E45" s="7" t="inlineStr">
        <is>
          <t>—</t>
        </is>
      </c>
      <c r="F45" s="14" t="n">
        <v>0</v>
      </c>
      <c r="G45" s="11" t="n">
        <v>894334</v>
      </c>
      <c r="H45" s="14" t="n">
        <v>52787</v>
      </c>
      <c r="I45" s="9" t="n">
        <v>0.06345298552161856</v>
      </c>
      <c r="J45" s="13" t="n">
        <v>3.327087677917666</v>
      </c>
      <c r="K45" s="11" t="n">
        <v>3592781.415269442</v>
      </c>
      <c r="L45" s="12" t="inlineStr">
        <is>
          <t>MK099 البيعة</t>
        </is>
      </c>
    </row>
    <row r="46">
      <c r="B46" s="5" t="inlineStr">
        <is>
          <t>الكوثر</t>
        </is>
      </c>
      <c r="C46" s="6" t="inlineStr">
        <is>
          <t>MK100</t>
        </is>
      </c>
      <c r="D46" s="7" t="inlineStr">
        <is>
          <t>جدة</t>
        </is>
      </c>
      <c r="E46" s="7" t="inlineStr">
        <is>
          <t>—</t>
        </is>
      </c>
      <c r="F46" s="14" t="n">
        <v>1489789</v>
      </c>
      <c r="G46" s="11" t="n">
        <v>822350</v>
      </c>
      <c r="H46" s="14" t="n">
        <v>30859</v>
      </c>
      <c r="I46" s="9" t="n">
        <v>0.05455129635074727</v>
      </c>
      <c r="J46" s="13" t="n">
        <v>0.7326437938935282</v>
      </c>
      <c r="K46" s="11" t="n">
        <v>3309676.694386177</v>
      </c>
      <c r="L46" s="12" t="inlineStr">
        <is>
          <t>MK100 الكوثر</t>
        </is>
      </c>
    </row>
    <row r="47">
      <c r="B47" s="5" t="inlineStr">
        <is>
          <t>العريفي</t>
        </is>
      </c>
      <c r="C47" s="6" t="inlineStr">
        <is>
          <t>HA043</t>
        </is>
      </c>
      <c r="D47" s="7" t="inlineStr">
        <is>
          <t>حائل</t>
        </is>
      </c>
      <c r="E47" s="7" t="inlineStr">
        <is>
          <t>—</t>
        </is>
      </c>
      <c r="F47" s="14" t="n">
        <v>1382515</v>
      </c>
      <c r="G47" s="11" t="n">
        <v>716645</v>
      </c>
      <c r="H47" s="14" t="n">
        <v>6521</v>
      </c>
      <c r="I47" s="9" t="n">
        <v>0.06164927222516791</v>
      </c>
      <c r="J47" s="13" t="n">
        <v>2.743063314525045</v>
      </c>
      <c r="K47" s="11" t="n">
        <v>2878208.862338542</v>
      </c>
      <c r="L47" s="12" t="inlineStr">
        <is>
          <t>HA043 العريفي</t>
        </is>
      </c>
    </row>
    <row r="48">
      <c r="B48" s="5" t="inlineStr">
        <is>
          <t>الروابي - المودة</t>
        </is>
      </c>
      <c r="C48" s="6" t="inlineStr">
        <is>
          <t>JA056</t>
        </is>
      </c>
      <c r="D48" s="7" t="inlineStr">
        <is>
          <t>جازان</t>
        </is>
      </c>
      <c r="E48" s="7" t="inlineStr">
        <is>
          <t>—</t>
        </is>
      </c>
      <c r="F48" s="14" t="n">
        <v>1288142</v>
      </c>
      <c r="G48" s="11" t="n">
        <v>688372</v>
      </c>
      <c r="H48" s="14" t="n">
        <v>20580</v>
      </c>
      <c r="I48" s="9" t="n">
        <v>0.05808934204607167</v>
      </c>
      <c r="J48" s="13" t="n">
        <v>1.720186649356867</v>
      </c>
      <c r="K48" s="11" t="n">
        <v>2780337.258283123</v>
      </c>
      <c r="L48" s="12" t="inlineStr">
        <is>
          <t>JA056 الروابي - المودة</t>
        </is>
      </c>
    </row>
    <row r="49">
      <c r="B49" s="5" t="inlineStr">
        <is>
          <t>المركب</t>
        </is>
      </c>
      <c r="C49" s="6" t="inlineStr">
        <is>
          <t>NJ219</t>
        </is>
      </c>
      <c r="D49" s="7" t="inlineStr">
        <is>
          <t>نجران</t>
        </is>
      </c>
      <c r="E49" s="7" t="inlineStr">
        <is>
          <t>تشغيلي</t>
        </is>
      </c>
      <c r="F49" s="8" t="inlineStr">
        <is>
          <t>—</t>
        </is>
      </c>
      <c r="G49" s="8" t="inlineStr">
        <is>
          <t>—</t>
        </is>
      </c>
      <c r="H49" s="8" t="inlineStr">
        <is>
          <t>—</t>
        </is>
      </c>
      <c r="I49" s="9" t="n">
        <v>0.0397</v>
      </c>
      <c r="J49" s="10" t="n">
        <v>-2.390213760169833</v>
      </c>
      <c r="K49" s="11" t="n">
        <v>2261194.959953156</v>
      </c>
      <c r="L49" s="12" t="inlineStr">
        <is>
          <t>NJ219 المركب</t>
        </is>
      </c>
    </row>
    <row r="50">
      <c r="B50" s="5" t="inlineStr">
        <is>
          <t>الروابي طارق</t>
        </is>
      </c>
      <c r="C50" s="6" t="inlineStr">
        <is>
          <t>AS175</t>
        </is>
      </c>
      <c r="D50" s="7" t="inlineStr">
        <is>
          <t>—</t>
        </is>
      </c>
      <c r="E50" s="7" t="inlineStr">
        <is>
          <t>امتياز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9" t="n">
        <v>0.0024</v>
      </c>
      <c r="J50" s="10" t="n">
        <v>-0.04</v>
      </c>
      <c r="K50" s="11" t="n">
        <v>0</v>
      </c>
      <c r="L50" s="12" t="inlineStr">
        <is>
          <t>AS175 الروابي طارق</t>
        </is>
      </c>
    </row>
    <row r="51">
      <c r="B51" s="5" t="inlineStr">
        <is>
          <t>الطاولة</t>
        </is>
      </c>
      <c r="C51" s="6" t="inlineStr">
        <is>
          <t>BH050</t>
        </is>
      </c>
      <c r="D51" s="7" t="inlineStr">
        <is>
          <t>—</t>
        </is>
      </c>
      <c r="E51" s="7" t="inlineStr">
        <is>
          <t>إيجاري</t>
        </is>
      </c>
      <c r="F51" s="8" t="inlineStr">
        <is>
          <t>—</t>
        </is>
      </c>
      <c r="G51" s="8" t="inlineStr">
        <is>
          <t>—</t>
        </is>
      </c>
      <c r="H51" s="8" t="inlineStr">
        <is>
          <t>—</t>
        </is>
      </c>
      <c r="I51" s="9" t="n">
        <v>0.0607</v>
      </c>
      <c r="J51" s="10" t="n">
        <v>-5.63</v>
      </c>
      <c r="K51" s="11" t="n">
        <v>0</v>
      </c>
      <c r="L51" s="12" t="inlineStr">
        <is>
          <t>BH050 الطاولة</t>
        </is>
      </c>
    </row>
    <row r="52">
      <c r="B52" s="5" t="inlineStr">
        <is>
          <t>العزيزية بن دهيش</t>
        </is>
      </c>
      <c r="C52" s="6" t="inlineStr">
        <is>
          <t>MK072</t>
        </is>
      </c>
      <c r="D52" s="7" t="inlineStr">
        <is>
          <t>—</t>
        </is>
      </c>
      <c r="E52" s="7" t="inlineStr">
        <is>
          <t>تشغيلي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9" t="n">
        <v>0.063</v>
      </c>
      <c r="J52" s="10" t="n">
        <v>-9.84</v>
      </c>
      <c r="K52" s="11" t="n">
        <v>0</v>
      </c>
      <c r="L52" s="12" t="inlineStr">
        <is>
          <t>MK072 العزيزية بن دهيش</t>
        </is>
      </c>
    </row>
    <row r="53">
      <c r="B53" s="5" t="inlineStr">
        <is>
          <t>بئر الروة</t>
        </is>
      </c>
      <c r="C53" s="6" t="inlineStr">
        <is>
          <t>MK205</t>
        </is>
      </c>
      <c r="D53" s="7" t="inlineStr">
        <is>
          <t>—</t>
        </is>
      </c>
      <c r="E53" s="7" t="inlineStr">
        <is>
          <t>امتياز</t>
        </is>
      </c>
      <c r="F53" s="8" t="inlineStr">
        <is>
          <t>—</t>
        </is>
      </c>
      <c r="G53" s="8" t="inlineStr">
        <is>
          <t>—</t>
        </is>
      </c>
      <c r="H53" s="8" t="inlineStr">
        <is>
          <t>—</t>
        </is>
      </c>
      <c r="I53" s="9" t="n">
        <v>-0.002</v>
      </c>
      <c r="J53" s="10" t="n">
        <v>-0.04</v>
      </c>
      <c r="K53" s="11" t="n">
        <v>0</v>
      </c>
      <c r="L53" s="12" t="inlineStr">
        <is>
          <t>MK205 بئر الروة</t>
        </is>
      </c>
    </row>
    <row r="54">
      <c r="B54" s="5" t="inlineStr">
        <is>
          <t>نوير</t>
        </is>
      </c>
      <c r="C54" s="6" t="inlineStr">
        <is>
          <t>MK311-F</t>
        </is>
      </c>
      <c r="D54" s="7" t="inlineStr">
        <is>
          <t>—</t>
        </is>
      </c>
      <c r="E54" s="7" t="inlineStr">
        <is>
          <t>امتياز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9" t="n">
        <v>0.0052</v>
      </c>
      <c r="J54" s="10" t="n">
        <v>-0.04</v>
      </c>
      <c r="K54" s="11" t="n">
        <v>0</v>
      </c>
      <c r="L54" s="12" t="inlineStr">
        <is>
          <t>MK311-F نوير</t>
        </is>
      </c>
    </row>
    <row r="55">
      <c r="B55" s="5" t="inlineStr">
        <is>
          <t>طريق الأمير سلطان</t>
        </is>
      </c>
      <c r="C55" s="6" t="inlineStr">
        <is>
          <t>NB130</t>
        </is>
      </c>
      <c r="D55" s="7" t="inlineStr">
        <is>
          <t>—</t>
        </is>
      </c>
      <c r="E55" s="7" t="inlineStr">
        <is>
          <t>امتياز</t>
        </is>
      </c>
      <c r="F55" s="8" t="inlineStr">
        <is>
          <t>—</t>
        </is>
      </c>
      <c r="G55" s="8" t="inlineStr">
        <is>
          <t>—</t>
        </is>
      </c>
      <c r="H55" s="8" t="inlineStr">
        <is>
          <t>—</t>
        </is>
      </c>
      <c r="I55" s="9" t="n">
        <v>-0.0036</v>
      </c>
      <c r="J55" s="10" t="n">
        <v>-0.04</v>
      </c>
      <c r="K55" s="11" t="n">
        <v>0</v>
      </c>
      <c r="L55" s="12" t="inlineStr">
        <is>
          <t>NB130 طريق الأمير سلطان</t>
        </is>
      </c>
    </row>
    <row r="56">
      <c r="B56" s="5" t="inlineStr">
        <is>
          <t>السيا</t>
        </is>
      </c>
      <c r="C56" s="6" t="inlineStr">
        <is>
          <t>TB032</t>
        </is>
      </c>
      <c r="D56" s="7" t="inlineStr">
        <is>
          <t>—</t>
        </is>
      </c>
      <c r="E56" s="7" t="inlineStr">
        <is>
          <t>امتياز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9" t="n">
        <v>0.0192</v>
      </c>
      <c r="J56" s="10" t="n">
        <v>-0.04</v>
      </c>
      <c r="K56" s="11" t="n">
        <v>0</v>
      </c>
      <c r="L56" s="12" t="inlineStr">
        <is>
          <t>TB032 السيا</t>
        </is>
      </c>
    </row>
    <row r="58" ht="38" customHeight="1">
      <c r="B58" s="15" t="inlineStr">
        <is>
          <t>«صافي اللتر» هنا محسوبٌ بمصاريف نموذج عمل كل محطة من قائمة الدخل — استثماري ١١٫٠٨ هللة · إيجاري ٥٫٦٣ · تشغيلي ٩٫٨٤ · امتياز ٠٫٠٤ — لا برقمٍ واحد للجميع، فالفرق بينها ٢٤٦ ضعفاً. وكل هللةٍ محسوبةٌ على السعر قبل الضريبة، لأن هامش الوقود نسبةٌ من الإيراد قبلها. وداخل كل شيت تختار الأساس الذي يخصّ قرارك.</t>
        </is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</row>
    <row r="59" ht="30" customHeight="1">
      <c r="B59" s="17" t="inlineStr">
        <is>
          <t>والمصدران مختلفان في تغطيتهما: تقرير ربحية الربع الثاني يغطّي المحطات المشغّلة (٢٦)، وتقرير المالية يغطّي غيرها (٢٧) — فشرطةٌ في عمودٍ تعني أن مصدره لا يغطّي هذه المحطة، لا أن قيمتها صفر.</t>
        </is>
      </c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</row>
  </sheetData>
  <autoFilter ref="B4:L56"/>
  <mergeCells count="4">
    <mergeCell ref="A2:L2"/>
    <mergeCell ref="B58:L58"/>
    <mergeCell ref="A1:L1"/>
    <mergeCell ref="B59:L59"/>
  </mergeCells>
  <conditionalFormatting sqref="G5:G56">
    <cfRule type="dataBar" priority="1">
      <dataBar showValue="1">
        <cfvo type="num" val="0"/>
        <cfvo type="max"/>
        <color rgb="00F5831F"/>
      </dataBar>
    </cfRule>
  </conditionalFormatting>
  <conditionalFormatting sqref="K5:K56">
    <cfRule type="dataBar" priority="2">
      <dataBar showValue="1">
        <cfvo type="num" val="0"/>
        <cfvo type="max"/>
        <color rgb="00F5831F"/>
      </dataBar>
    </cfRule>
  </conditionalFormatting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  <hyperlink xmlns:r="http://schemas.openxmlformats.org/officeDocument/2006/relationships" ref="L37" r:id="rId33"/>
    <hyperlink xmlns:r="http://schemas.openxmlformats.org/officeDocument/2006/relationships" ref="L38" r:id="rId34"/>
    <hyperlink xmlns:r="http://schemas.openxmlformats.org/officeDocument/2006/relationships" ref="L39" r:id="rId35"/>
    <hyperlink xmlns:r="http://schemas.openxmlformats.org/officeDocument/2006/relationships" ref="L40" r:id="rId36"/>
    <hyperlink xmlns:r="http://schemas.openxmlformats.org/officeDocument/2006/relationships" ref="L41" r:id="rId37"/>
    <hyperlink xmlns:r="http://schemas.openxmlformats.org/officeDocument/2006/relationships" ref="L42" r:id="rId38"/>
    <hyperlink xmlns:r="http://schemas.openxmlformats.org/officeDocument/2006/relationships" ref="L43" r:id="rId39"/>
    <hyperlink xmlns:r="http://schemas.openxmlformats.org/officeDocument/2006/relationships" ref="L44" r:id="rId40"/>
    <hyperlink xmlns:r="http://schemas.openxmlformats.org/officeDocument/2006/relationships" ref="L45" r:id="rId41"/>
    <hyperlink xmlns:r="http://schemas.openxmlformats.org/officeDocument/2006/relationships" ref="L46" r:id="rId42"/>
    <hyperlink xmlns:r="http://schemas.openxmlformats.org/officeDocument/2006/relationships" ref="L47" r:id="rId43"/>
    <hyperlink xmlns:r="http://schemas.openxmlformats.org/officeDocument/2006/relationships" ref="L48" r:id="rId44"/>
    <hyperlink xmlns:r="http://schemas.openxmlformats.org/officeDocument/2006/relationships" ref="L49" r:id="rId45"/>
    <hyperlink xmlns:r="http://schemas.openxmlformats.org/officeDocument/2006/relationships" ref="L50" r:id="rId46"/>
    <hyperlink xmlns:r="http://schemas.openxmlformats.org/officeDocument/2006/relationships" ref="L51" r:id="rId47"/>
    <hyperlink xmlns:r="http://schemas.openxmlformats.org/officeDocument/2006/relationships" ref="L52" r:id="rId48"/>
    <hyperlink xmlns:r="http://schemas.openxmlformats.org/officeDocument/2006/relationships" ref="L53" r:id="rId49"/>
    <hyperlink xmlns:r="http://schemas.openxmlformats.org/officeDocument/2006/relationships" ref="L54" r:id="rId50"/>
    <hyperlink xmlns:r="http://schemas.openxmlformats.org/officeDocument/2006/relationships" ref="L55" r:id="rId51"/>
    <hyperlink xmlns:r="http://schemas.openxmlformats.org/officeDocument/2006/relationships" ref="L56" r:id="rId52"/>
  </hyperlinks>
  <printOptions horizontalCentered="1"/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العمرة الجديدة  ·  MK007</t>
        </is>
      </c>
    </row>
    <row r="2" ht="16" customHeight="1">
      <c r="A2" s="2" t="inlineStr">
        <is>
          <t>مكة · حيوية · نموذج العمل استثماري · رابحة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50659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27" t="n">
        <v>1605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0.0317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0.0553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4260.63679245283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130213.3164150943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30.56193774736924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0.3293010410984876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17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3958485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2.110622649965559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0.0553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«استثماري» — 11.08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«استثماري» — 11.08 هللة/لتر</t>
        </is>
      </c>
      <c r="C41" s="13" t="n">
        <v>11.08</v>
      </c>
      <c r="D41" s="25" t="inlineStr">
        <is>
          <t>مصاريف تشغيل محطات استثماري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130213.3164150943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1111.279198671744</v>
      </c>
      <c r="D51" s="24" t="inlineStr">
        <is>
          <t>لتر/يوم</t>
        </is>
      </c>
      <c r="E51" s="25" t="inlineStr">
        <is>
          <t>فجوة ساعات الذروة 90.9 معاملة/يوم × 40٪ إغلاقاً × 30.6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</sheetData>
  <mergeCells count="44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«استثماري» — 11.08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العوالي  ·  MK003</t>
        </is>
      </c>
    </row>
    <row r="2" ht="16" customHeight="1">
      <c r="A2" s="2" t="inlineStr">
        <is>
          <t>مكة · خط سفر · نموذج العمل استثماري · رابحة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40346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27" t="n">
        <v>5052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0.1252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0.0668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3491.509433962264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94813.45948113207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27.15543557146717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17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2882329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2.261251856009749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0.0668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«استثماري» — 11.08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«استثماري» — 11.08 هللة/لتر</t>
        </is>
      </c>
      <c r="C41" s="13" t="n">
        <v>11.08</v>
      </c>
      <c r="D41" s="25" t="inlineStr">
        <is>
          <t>مصاريف تشغيل محطات استثماري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94813.45948113207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993.1051587150137</v>
      </c>
      <c r="D51" s="24" t="inlineStr">
        <is>
          <t>لتر/يوم</t>
        </is>
      </c>
      <c r="E51" s="25" t="inlineStr">
        <is>
          <t>فجوة ساعات الذروة 91.4 معاملة/يوم × 40٪ إغلاقاً × 27.2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</sheetData>
  <mergeCells count="44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«استثماري» — 11.08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عاصفة الصحراء  ·  MK004</t>
        </is>
      </c>
    </row>
    <row r="2" ht="16" customHeight="1">
      <c r="A2" s="2" t="inlineStr">
        <is>
          <t>الطائف · حيوية · نموذج العمل استثماري · رابحة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33359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27" t="n">
        <v>1129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0.0338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0.055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2209.950819672131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85791.3462295082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38.82047757163946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0.3976393835984971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17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2608057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2.088424542884271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0.055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«استثماري» — 11.08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«استثماري» — 11.08 هللة/لتر</t>
        </is>
      </c>
      <c r="C41" s="13" t="n">
        <v>11.08</v>
      </c>
      <c r="D41" s="25" t="inlineStr">
        <is>
          <t>مصاريف تشغيل محطات استثماري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85791.3462295082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1250.710954301686</v>
      </c>
      <c r="D51" s="24" t="inlineStr">
        <is>
          <t>لتر/يوم</t>
        </is>
      </c>
      <c r="E51" s="25" t="inlineStr">
        <is>
          <t>فجوة ساعات الذروة 80.5 معاملة/يوم × 40٪ إغلاقاً × 38.8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</sheetData>
  <mergeCells count="44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«استثماري» — 11.08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طريق الليث - الفضيلة  ·  MK289</t>
        </is>
      </c>
    </row>
    <row r="2" ht="16" customHeight="1">
      <c r="A2" s="2" t="inlineStr">
        <is>
          <t>جدة · خط سفر · نموذج العمل امتياز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22790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-1097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-0.0481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0.0049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1878.294685990338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85532.86806763285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45.53751267338294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0.6994483018664335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17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2600199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1.923094583756332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0.0049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«امتياز» — 0.04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«امتياز» — 0.04 هللة/لتر</t>
        </is>
      </c>
      <c r="C41" s="13" t="n">
        <v>0.04</v>
      </c>
      <c r="D41" s="25" t="inlineStr">
        <is>
          <t>مصاريف تشغيل محطات امتياز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85532.86806763285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398.3665251781938</v>
      </c>
      <c r="D51" s="24" t="inlineStr">
        <is>
          <t>لتر/يوم</t>
        </is>
      </c>
      <c r="E51" s="25" t="inlineStr">
        <is>
          <t>فجوة ساعات الذروة 21.9 معاملة/يوم × 40٪ إغلاقاً × 45.5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</sheetData>
  <mergeCells count="44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«امتياز» — 0.04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الحليس - طريق الجنوب  ·  MK046</t>
        </is>
      </c>
    </row>
    <row r="2" ht="16" customHeight="1">
      <c r="A2" s="2" t="inlineStr">
        <is>
          <t>الطائف · مختلط · نموذج العمل تشغيلي · رابحة في تقرير المالية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8130579</v>
      </c>
      <c r="D6" s="14" t="n">
        <v>8694181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4437805</v>
      </c>
      <c r="D7" s="11" t="n">
        <v>4764070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304825</v>
      </c>
      <c r="D8" s="14" t="n">
        <v>313375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0.03700000000000001</v>
      </c>
      <c r="D9" s="31" t="n">
        <v>0.036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34</v>
      </c>
      <c r="D10" s="11" t="n">
        <v>36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126000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13100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116558</v>
      </c>
      <c r="D13" s="14" t="n">
        <v>119257.8670215656</v>
      </c>
      <c r="E13" s="53">
        <f>C13-D13</f>
        <v/>
      </c>
      <c r="F13" s="25" t="inlineStr">
        <is>
          <t>عمولة معيارية</t>
        </is>
      </c>
      <c r="G13" s="26" t="n"/>
      <c r="H13" s="26" t="n"/>
      <c r="I13" s="26" t="n"/>
    </row>
    <row r="14" ht="26" customHeight="1">
      <c r="B14" s="15" t="inlineStr">
        <is>
          <t>شروط العقد: عمولة ٠٫٠٣ بنزين · ٠٫٠١٥ ديزل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تقرير المالية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الإيراد</t>
        </is>
      </c>
      <c r="C16" s="23" t="n">
        <v>20822</v>
      </c>
      <c r="D16" s="24" t="inlineStr">
        <is>
          <t>ألف ريال</t>
        </is>
      </c>
      <c r="E16" s="25" t="inlineStr">
        <is>
          <t>تراكمي يوليو ٢٠٢٦</t>
        </is>
      </c>
      <c r="F16" s="26" t="n"/>
      <c r="G16" s="26" t="n"/>
      <c r="H16" s="26" t="n"/>
      <c r="I16" s="26" t="n"/>
    </row>
    <row r="17">
      <c r="B17" s="5" t="inlineStr">
        <is>
          <t>صافي الدخل</t>
        </is>
      </c>
      <c r="C17" s="27" t="n">
        <v>477</v>
      </c>
      <c r="D17" s="24" t="inlineStr">
        <is>
          <t>ألف ريال</t>
        </is>
      </c>
      <c r="E17" s="25" t="inlineStr">
        <is>
          <t>بعد المحمَّلات والفوائد</t>
        </is>
      </c>
      <c r="F17" s="26" t="n"/>
      <c r="G17" s="26" t="n"/>
      <c r="H17" s="26" t="n"/>
      <c r="I17" s="26" t="n"/>
    </row>
    <row r="18">
      <c r="B18" s="5" t="inlineStr">
        <is>
          <t>هامش الصافي</t>
        </is>
      </c>
      <c r="C18" s="28" t="n">
        <v>0.0229</v>
      </c>
      <c r="D18" s="24" t="inlineStr">
        <is>
          <t>٪</t>
        </is>
      </c>
      <c r="E18" s="25" t="inlineStr"/>
      <c r="F18" s="26" t="n"/>
      <c r="G18" s="26" t="n"/>
      <c r="H18" s="26" t="n"/>
      <c r="I18" s="26" t="n"/>
    </row>
    <row r="19">
      <c r="B19" s="5" t="inlineStr">
        <is>
          <t>هامش الوقود</t>
        </is>
      </c>
      <c r="C19" s="28" t="n">
        <v>0.0558</v>
      </c>
      <c r="D19" s="24" t="inlineStr">
        <is>
          <t>٪ من الإيراد</t>
        </is>
      </c>
      <c r="E19" s="25" t="inlineStr">
        <is>
          <t>وهو أساس حاسبة اللتر أدناه</t>
        </is>
      </c>
      <c r="F19" s="26" t="n"/>
      <c r="G19" s="26" t="n"/>
      <c r="H19" s="26" t="n"/>
      <c r="I19" s="26" t="n"/>
    </row>
    <row r="20" ht="30" customHeight="1">
      <c r="A20" s="4" t="inlineStr"/>
      <c r="B20" s="4" t="inlineStr">
        <is>
          <t>من كاش إن</t>
        </is>
      </c>
      <c r="C20" s="4" t="inlineStr">
        <is>
          <t>القيمة</t>
        </is>
      </c>
      <c r="D20" s="4" t="inlineStr">
        <is>
          <t>الوحدة</t>
        </is>
      </c>
      <c r="E20" s="4" t="inlineStr">
        <is>
          <t>الملاحظة</t>
        </is>
      </c>
      <c r="F20" s="21" t="n"/>
      <c r="G20" s="21" t="n"/>
      <c r="H20" s="21" t="n"/>
      <c r="I20" s="22" t="n"/>
    </row>
    <row r="21">
      <c r="B21" s="5" t="inlineStr">
        <is>
          <t>زيارة في اليوم</t>
        </is>
      </c>
      <c r="C21" s="11" t="n">
        <v>1835.639534883721</v>
      </c>
      <c r="D21" s="24" t="inlineStr">
        <is>
          <t>زيارة</t>
        </is>
      </c>
      <c r="E21" s="29" t="inlineStr"/>
      <c r="F21" s="26" t="n"/>
      <c r="G21" s="26" t="n"/>
      <c r="H21" s="26" t="n"/>
      <c r="I21" s="26" t="n"/>
    </row>
    <row r="22">
      <c r="B22" s="5" t="inlineStr">
        <is>
          <t>لتر في اليوم</t>
        </is>
      </c>
      <c r="C22" s="11" t="n">
        <v>58968.07290697674</v>
      </c>
      <c r="D22" s="24" t="inlineStr">
        <is>
          <t>لتر</t>
        </is>
      </c>
      <c r="E22" s="29" t="inlineStr"/>
      <c r="F22" s="26" t="n"/>
      <c r="G22" s="26" t="n"/>
      <c r="H22" s="26" t="n"/>
      <c r="I22" s="26" t="n"/>
    </row>
    <row r="23">
      <c r="B23" s="5" t="inlineStr">
        <is>
          <t>لتر لكل زيارة</t>
        </is>
      </c>
      <c r="C23" s="30" t="n">
        <v>32.12399372881892</v>
      </c>
      <c r="D23" s="24" t="inlineStr">
        <is>
          <t>لتر</t>
        </is>
      </c>
      <c r="E23" s="29" t="inlineStr"/>
      <c r="F23" s="26" t="n"/>
      <c r="G23" s="26" t="n"/>
      <c r="H23" s="26" t="n"/>
      <c r="I23" s="26" t="n"/>
    </row>
    <row r="24">
      <c r="B24" s="5" t="inlineStr">
        <is>
          <t>حصة الديزل</t>
        </is>
      </c>
      <c r="C24" s="31" t="n">
        <v>0.3311486883894702</v>
      </c>
      <c r="D24" s="24" t="inlineStr">
        <is>
          <t>من اللترات</t>
        </is>
      </c>
      <c r="E24" s="29" t="inlineStr"/>
      <c r="F24" s="26" t="n"/>
      <c r="G24" s="26" t="n"/>
      <c r="H24" s="26" t="n"/>
      <c r="I24" s="26" t="n"/>
    </row>
    <row r="25">
      <c r="B25" s="5" t="inlineStr">
        <is>
          <t>ساعة الذروة</t>
        </is>
      </c>
      <c r="C25" s="11" t="n">
        <v>17</v>
      </c>
      <c r="D25" s="24" t="inlineStr">
        <is>
          <t>من ٢٤</t>
        </is>
      </c>
      <c r="E25" s="29" t="inlineStr"/>
      <c r="F25" s="26" t="n"/>
      <c r="G25" s="26" t="n"/>
      <c r="H25" s="26" t="n"/>
      <c r="I25" s="26" t="n"/>
    </row>
    <row r="27" ht="22" customHeight="1">
      <c r="B27" s="19" t="inlineStr">
        <is>
          <t>② حاسبة اللتر — قيمته وهامشه ومصاريفه وصافيه</t>
        </is>
      </c>
      <c r="C27" s="20" t="n"/>
      <c r="D27" s="20" t="n"/>
      <c r="E27" s="20" t="n"/>
      <c r="F27" s="20" t="n"/>
      <c r="G27" s="20" t="n"/>
      <c r="H27" s="20" t="n"/>
      <c r="I27" s="20" t="n"/>
    </row>
    <row r="28" ht="30" customHeight="1">
      <c r="A28" s="4" t="inlineStr"/>
      <c r="B28" s="4" t="inlineStr">
        <is>
          <t>البند</t>
        </is>
      </c>
      <c r="C28" s="4" t="inlineStr">
        <is>
          <t>القيمة</t>
        </is>
      </c>
      <c r="D28" s="4" t="inlineStr">
        <is>
          <t>الوحدة</t>
        </is>
      </c>
      <c r="E28" s="4" t="inlineStr">
        <is>
          <t>من أين جاءت</t>
        </is>
      </c>
      <c r="F28" s="21" t="n"/>
      <c r="G28" s="21" t="n"/>
      <c r="H28" s="21" t="n"/>
      <c r="I28" s="22" t="n"/>
    </row>
    <row r="29">
      <c r="B29" s="32" t="inlineStr">
        <is>
          <t>لترات الشهر</t>
        </is>
      </c>
      <c r="C29" s="33" t="n">
        <v>1591513</v>
      </c>
      <c r="D29" s="24" t="inlineStr">
        <is>
          <t>لتر/شهر</t>
        </is>
      </c>
      <c r="E29" s="25" t="inlineStr">
        <is>
          <t>افتراضيّها معدّل الأداء: حجم الربع الثاني ÷ ٩١ يوماً × ٣٠٫٤ يوماً</t>
        </is>
      </c>
      <c r="F29" s="26" t="n"/>
      <c r="G29" s="26" t="n"/>
      <c r="H29" s="26" t="n"/>
      <c r="I29" s="26" t="n"/>
    </row>
    <row r="30">
      <c r="B30" s="32" t="inlineStr">
        <is>
          <t>سعر المضخة — شاملاً الضريبة</t>
        </is>
      </c>
      <c r="C30" s="34" t="n">
        <v>2.098690436958315</v>
      </c>
      <c r="D30" s="24" t="inlineStr">
        <is>
          <t>ريال/لتر</t>
        </is>
      </c>
      <c r="E30" s="25" t="inlineStr">
        <is>
          <t>مبيعات الربع الثاني ÷ حجمه (وهي قبل الضريبة) × ١٫١٥ لتصير سعر مضخة</t>
        </is>
      </c>
      <c r="F30" s="26" t="n"/>
      <c r="G30" s="26" t="n"/>
      <c r="H30" s="26" t="n"/>
      <c r="I30" s="26" t="n"/>
    </row>
    <row r="31">
      <c r="B31" s="32" t="inlineStr">
        <is>
          <t>هامش الوقود</t>
        </is>
      </c>
      <c r="C31" s="35" t="n">
        <v>0.0558</v>
      </c>
      <c r="D31" s="24" t="inlineStr">
        <is>
          <t>٪ من الإيراد قبل الضريبة</t>
        </is>
      </c>
      <c r="E31" s="25" t="inlineStr">
        <is>
          <t>هامش الوقود المقيس في تقرير المالية</t>
        </is>
      </c>
      <c r="F31" s="26" t="n"/>
      <c r="G31" s="26" t="n"/>
      <c r="H31" s="26" t="n"/>
      <c r="I31" s="26" t="n"/>
    </row>
    <row r="32">
      <c r="B32" s="36" t="inlineStr">
        <is>
          <t>① قيمة اللتر — قبل الضريبة</t>
        </is>
      </c>
      <c r="C32" s="37">
        <f>$C$30/1.15</f>
        <v/>
      </c>
      <c r="D32" s="24" t="inlineStr">
        <is>
          <t>ريال/لتر</t>
        </is>
      </c>
      <c r="E32" s="25" t="inlineStr">
        <is>
          <t>الصيغة: سعر المضخة ÷ ١٫١٥ · وهي قيمته التي يُحسب عليها الهامش</t>
        </is>
      </c>
      <c r="F32" s="26" t="n"/>
      <c r="G32" s="26" t="n"/>
      <c r="H32" s="26" t="n"/>
      <c r="I32" s="26" t="n"/>
    </row>
    <row r="33">
      <c r="B33" s="36" t="inlineStr">
        <is>
          <t>② هامش الربح للتر</t>
        </is>
      </c>
      <c r="C33" s="38">
        <f>$C$32*$C$31*100</f>
        <v/>
      </c>
      <c r="D33" s="24" t="inlineStr">
        <is>
          <t>هللة/لتر</t>
        </is>
      </c>
      <c r="E33" s="25" t="inlineStr">
        <is>
          <t>الصيغة: قيمة اللتر قبل الضريبة × هامش الوقود · هامش المساهمة قبل أي مصروف</t>
        </is>
      </c>
      <c r="F33" s="26" t="n"/>
      <c r="G33" s="26" t="n"/>
      <c r="H33" s="26" t="n"/>
      <c r="I33" s="26" t="n"/>
    </row>
    <row r="34">
      <c r="B34" s="32" t="inlineStr">
        <is>
          <t>أساس المصاريف</t>
        </is>
      </c>
      <c r="C34" s="39" t="inlineStr">
        <is>
          <t>مصاريف نموذج «تشغيلي» — 9.84 هللة/لتر</t>
        </is>
      </c>
      <c r="D34" s="24" t="inlineStr">
        <is>
          <t>اختر</t>
        </is>
      </c>
      <c r="E34" s="25" t="inlineStr">
        <is>
          <t>ثلاثة أُسُس ولكلٍّ مصدره — الجدول أسفل الحاسبة</t>
        </is>
      </c>
      <c r="F34" s="26" t="n"/>
      <c r="G34" s="26" t="n"/>
      <c r="H34" s="26" t="n"/>
      <c r="I34" s="26" t="n"/>
    </row>
    <row r="35">
      <c r="B35" s="36" t="inlineStr">
        <is>
          <t>③ المصاريف للتر</t>
        </is>
      </c>
      <c r="C35" s="38">
        <f>VLOOKUP($C$34,$B$50:$C$53,2,FALSE)</f>
        <v/>
      </c>
      <c r="D35" s="24" t="inlineStr">
        <is>
          <t>هللة/لتر</t>
        </is>
      </c>
      <c r="E35" s="25" t="inlineStr">
        <is>
          <t>من الأساس المختار أعلاه</t>
        </is>
      </c>
      <c r="F35" s="26" t="n"/>
      <c r="G35" s="26" t="n"/>
      <c r="H35" s="26" t="n"/>
      <c r="I35" s="26" t="n"/>
    </row>
    <row r="36">
      <c r="B36" s="36" t="inlineStr">
        <is>
          <t>④ صافي اللتر</t>
        </is>
      </c>
      <c r="C36" s="38">
        <f>$C$33-$C$35</f>
        <v/>
      </c>
      <c r="D36" s="24" t="inlineStr">
        <is>
          <t>هللة/لتر</t>
        </is>
      </c>
      <c r="E36" s="25" t="inlineStr">
        <is>
          <t>الصيغة: الهامش − المصاريف · وهو ما يبقى فعلاً من كل لتر</t>
        </is>
      </c>
      <c r="F36" s="26" t="n"/>
      <c r="G36" s="26" t="n"/>
      <c r="H36" s="26" t="n"/>
      <c r="I36" s="26" t="n"/>
    </row>
    <row r="37" ht="30" customHeight="1">
      <c r="A37" s="4" t="inlineStr"/>
      <c r="B37" s="4" t="inlineStr">
        <is>
          <t>وبالريال لشهرٍ كامل</t>
        </is>
      </c>
      <c r="C37" s="4" t="inlineStr">
        <is>
          <t>في الشهر</t>
        </is>
      </c>
      <c r="D37" s="4" t="inlineStr">
        <is>
          <t>الوحدة</t>
        </is>
      </c>
      <c r="E37" s="4" t="inlineStr">
        <is>
          <t>الصيغة</t>
        </is>
      </c>
      <c r="F37" s="21" t="n"/>
      <c r="G37" s="21" t="n"/>
      <c r="H37" s="21" t="n"/>
      <c r="I37" s="22" t="n"/>
    </row>
    <row r="38">
      <c r="B38" s="32" t="inlineStr">
        <is>
          <t>المبيعات قبل الضريبة</t>
        </is>
      </c>
      <c r="C38" s="40">
        <f>$C$29*$C$32</f>
        <v/>
      </c>
      <c r="D38" s="24" t="inlineStr">
        <is>
          <t>ريال</t>
        </is>
      </c>
      <c r="E38" s="25" t="inlineStr">
        <is>
          <t>لترات الشهر × قيمة اللتر قبل الضريبة</t>
        </is>
      </c>
      <c r="F38" s="26" t="n"/>
      <c r="G38" s="26" t="n"/>
      <c r="H38" s="26" t="n"/>
      <c r="I38" s="26" t="n"/>
    </row>
    <row r="39">
      <c r="B39" s="32" t="inlineStr">
        <is>
          <t>وشاملةً الضريبة</t>
        </is>
      </c>
      <c r="C39" s="40">
        <f>C38*1.15</f>
        <v/>
      </c>
      <c r="D39" s="24" t="inlineStr">
        <is>
          <t>ريال</t>
        </is>
      </c>
      <c r="E39" s="25" t="inlineStr">
        <is>
          <t>وهو ما يُسجَّل على المضخة</t>
        </is>
      </c>
      <c r="F39" s="26" t="n"/>
      <c r="G39" s="26" t="n"/>
      <c r="H39" s="26" t="n"/>
      <c r="I39" s="26" t="n"/>
    </row>
    <row r="40">
      <c r="B40" s="32" t="inlineStr">
        <is>
          <t>هامش الربح</t>
        </is>
      </c>
      <c r="C40" s="27">
        <f>$C$29*$C$33/100</f>
        <v/>
      </c>
      <c r="D40" s="24" t="inlineStr">
        <is>
          <t>ريال</t>
        </is>
      </c>
      <c r="E40" s="25" t="inlineStr">
        <is>
          <t>لترات الشهر × هامش اللتر</t>
        </is>
      </c>
      <c r="F40" s="26" t="n"/>
      <c r="G40" s="26" t="n"/>
      <c r="H40" s="26" t="n"/>
      <c r="I40" s="26" t="n"/>
    </row>
    <row r="41">
      <c r="B41" s="32" t="inlineStr">
        <is>
          <t>المصاريف</t>
        </is>
      </c>
      <c r="C41" s="41">
        <f>-$C$29*$C$35/100</f>
        <v/>
      </c>
      <c r="D41" s="24" t="inlineStr">
        <is>
          <t>ريال</t>
        </is>
      </c>
      <c r="E41" s="25" t="inlineStr">
        <is>
          <t>لترات الشهر × مصاريف اللتر</t>
        </is>
      </c>
      <c r="F41" s="26" t="n"/>
      <c r="G41" s="26" t="n"/>
      <c r="H41" s="26" t="n"/>
      <c r="I41" s="26" t="n"/>
    </row>
    <row r="42">
      <c r="B42" s="36" t="inlineStr">
        <is>
          <t>الصافي</t>
        </is>
      </c>
      <c r="C42" s="42">
        <f>C40+C41</f>
        <v/>
      </c>
      <c r="D42" s="24" t="inlineStr">
        <is>
          <t>ريال</t>
        </is>
      </c>
      <c r="E42" s="25" t="inlineStr">
        <is>
          <t>الهامش − المصاريف</t>
        </is>
      </c>
      <c r="F42" s="26" t="n"/>
      <c r="G42" s="26" t="n"/>
      <c r="H42" s="26" t="n"/>
      <c r="I42" s="26" t="n"/>
    </row>
    <row r="49" ht="30" customHeight="1">
      <c r="A49" s="4" t="inlineStr"/>
      <c r="B49" s="4" t="inlineStr">
        <is>
          <t>أساس المصاريف</t>
        </is>
      </c>
      <c r="C49" s="4" t="inlineStr">
        <is>
          <t>هللة/لتر</t>
        </is>
      </c>
      <c r="D49" s="4" t="inlineStr">
        <is>
          <t>المصدر والتحفّظ</t>
        </is>
      </c>
      <c r="E49" s="21" t="n"/>
      <c r="F49" s="21" t="n"/>
      <c r="G49" s="21" t="n"/>
      <c r="H49" s="21" t="n"/>
      <c r="I49" s="22" t="n"/>
    </row>
    <row r="50">
      <c r="B50" s="5" t="inlineStr">
        <is>
          <t>مصاريف نموذج «تشغيلي» — 9.84 هللة/لتر</t>
        </is>
      </c>
      <c r="C50" s="13" t="n">
        <v>9.84</v>
      </c>
      <c r="D50" s="25" t="inlineStr">
        <is>
          <t>مصاريف تشغيل محطات تشغيلي في قائمة الدخل ÷ لتراتها — وهو الأقرب لهذه المحطة</t>
        </is>
      </c>
      <c r="E50" s="26" t="n"/>
      <c r="F50" s="26" t="n"/>
      <c r="G50" s="26" t="n"/>
      <c r="H50" s="26" t="n"/>
      <c r="I50" s="26" t="n"/>
    </row>
    <row r="51">
      <c r="B51" s="43" t="inlineStr">
        <is>
          <t>متوسط محطاتنا — ٩٫١٥ هللة/لتر</t>
        </is>
      </c>
      <c r="C51" s="44" t="n">
        <v>9.15</v>
      </c>
      <c r="D51" s="25" t="inlineStr">
        <is>
          <t>مصاريف تشغيل محطاتنا الـ٤٩ (دون الامتياز) ÷ لتراتها</t>
        </is>
      </c>
      <c r="E51" s="26" t="n"/>
      <c r="F51" s="26" t="n"/>
      <c r="G51" s="26" t="n"/>
      <c r="H51" s="26" t="n"/>
      <c r="I51" s="26" t="n"/>
    </row>
    <row r="52">
      <c r="B52" s="43" t="inlineStr">
        <is>
          <t>المحمَّل الكامل — ١٣٫٥٦ هللة/لتر</t>
        </is>
      </c>
      <c r="C52" s="44" t="n">
        <v>13.56</v>
      </c>
      <c r="D52" s="25" t="inlineStr">
        <is>
          <t>يُضاف إليها بيعٌ وتسويق وإدارة وفوائد — لقرار رأس المال لا للتشغيل</t>
        </is>
      </c>
      <c r="E52" s="26" t="n"/>
      <c r="F52" s="26" t="n"/>
      <c r="G52" s="26" t="n"/>
      <c r="H52" s="26" t="n"/>
      <c r="I52" s="26" t="n"/>
    </row>
    <row r="53">
      <c r="B53" s="43" t="inlineStr">
        <is>
          <t>المقيس في تقرير الربع الثاني</t>
        </is>
      </c>
      <c r="C53" s="44" t="n">
        <v>2.919772379499042</v>
      </c>
      <c r="D53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53" s="18" t="n"/>
      <c r="F53" s="18" t="n"/>
      <c r="G53" s="18" t="n"/>
      <c r="H53" s="18" t="n"/>
      <c r="I53" s="18" t="n"/>
    </row>
    <row r="54" ht="26" customHeight="1">
      <c r="B54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54" s="18" t="n"/>
      <c r="D54" s="18" t="n"/>
      <c r="E54" s="18" t="n"/>
      <c r="F54" s="18" t="n"/>
      <c r="G54" s="18" t="n"/>
      <c r="H54" s="18" t="n"/>
      <c r="I54" s="18" t="n"/>
    </row>
    <row r="55" ht="32" customHeight="1">
      <c r="B55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55" s="18" t="n"/>
      <c r="D55" s="18" t="n"/>
      <c r="E55" s="18" t="n"/>
      <c r="F55" s="18" t="n"/>
      <c r="G55" s="18" t="n"/>
      <c r="H55" s="18" t="n"/>
      <c r="I55" s="18" t="n"/>
    </row>
    <row r="57" ht="22" customHeight="1">
      <c r="B57" s="19" t="inlineStr">
        <is>
          <t>③ المستهدف الشهري — اثنا عشر شهراً</t>
        </is>
      </c>
      <c r="C57" s="20" t="n"/>
      <c r="D57" s="20" t="n"/>
      <c r="E57" s="20" t="n"/>
      <c r="F57" s="20" t="n"/>
      <c r="G57" s="20" t="n"/>
      <c r="H57" s="20" t="n"/>
      <c r="I57" s="20" t="n"/>
    </row>
    <row r="58" ht="30" customHeight="1">
      <c r="A58" s="4" t="inlineStr"/>
      <c r="B58" s="4" t="inlineStr">
        <is>
          <t>الأساس</t>
        </is>
      </c>
      <c r="C58" s="4" t="inlineStr">
        <is>
          <t>القيمة</t>
        </is>
      </c>
      <c r="D58" s="4" t="inlineStr">
        <is>
          <t>الوحدة</t>
        </is>
      </c>
      <c r="E58" s="4" t="inlineStr">
        <is>
          <t>من أين جاءت</t>
        </is>
      </c>
      <c r="F58" s="21" t="n"/>
      <c r="G58" s="21" t="n"/>
      <c r="H58" s="21" t="n"/>
      <c r="I58" s="22" t="n"/>
    </row>
    <row r="59">
      <c r="B59" s="5" t="inlineStr">
        <is>
          <t>خط الأساس</t>
        </is>
      </c>
      <c r="C59" s="11" t="n">
        <v>52352.41758241758</v>
      </c>
      <c r="D59" s="24" t="inlineStr">
        <is>
          <t>لتر/يوم</t>
        </is>
      </c>
      <c r="E59" s="25" t="inlineStr">
        <is>
          <t>حجم الربع الثاني ÷ ٩١ يوماً</t>
        </is>
      </c>
      <c r="F59" s="26" t="n"/>
      <c r="G59" s="26" t="n"/>
      <c r="H59" s="26" t="n"/>
      <c r="I59" s="26" t="n"/>
    </row>
    <row r="60">
      <c r="B60" s="5" t="inlineStr">
        <is>
          <t>الإضافة المستهدفة</t>
        </is>
      </c>
      <c r="C60" s="33" t="n">
        <v>620.5547143358958</v>
      </c>
      <c r="D60" s="24" t="inlineStr">
        <is>
          <t>لتر/يوم</t>
        </is>
      </c>
      <c r="E60" s="25" t="inlineStr">
        <is>
          <t>فجوة ساعات الذروة 48.3 معاملة/يوم × 40٪ إغلاقاً × 32.1 لتراً للزيارة</t>
        </is>
      </c>
      <c r="F60" s="26" t="n"/>
      <c r="G60" s="26" t="n"/>
      <c r="H60" s="26" t="n"/>
      <c r="I60" s="26" t="n"/>
    </row>
    <row r="61">
      <c r="B61" s="5" t="inlineStr">
        <is>
          <t>أشهر التدرّج</t>
        </is>
      </c>
      <c r="C61" s="33" t="n">
        <v>6</v>
      </c>
      <c r="D61" s="24" t="inlineStr">
        <is>
          <t>شهر</t>
        </is>
      </c>
      <c r="E61" s="25" t="inlineStr">
        <is>
          <t>يُبلغ المستهدف كاملاً في الشهر السادس ثم يثبت</t>
        </is>
      </c>
      <c r="F61" s="26" t="n"/>
      <c r="G61" s="26" t="n"/>
      <c r="H61" s="26" t="n"/>
      <c r="I61" s="26" t="n"/>
    </row>
    <row r="62" ht="26" customHeight="1">
      <c r="A62" s="4" t="inlineStr"/>
      <c r="B62" s="4" t="inlineStr">
        <is>
          <t>الشهر</t>
        </is>
      </c>
      <c r="C62" s="4" t="inlineStr">
        <is>
          <t>أيام</t>
        </is>
      </c>
      <c r="D62" s="4" t="inlineStr">
        <is>
          <t>لتر/يوم</t>
        </is>
      </c>
      <c r="E62" s="4" t="inlineStr">
        <is>
          <t>لترات الشهر</t>
        </is>
      </c>
      <c r="F62" s="4" t="inlineStr">
        <is>
          <t>المبيعات قبل الضريبة</t>
        </is>
      </c>
      <c r="G62" s="4" t="inlineStr">
        <is>
          <t>هامش الربح</t>
        </is>
      </c>
      <c r="H62" s="4" t="inlineStr">
        <is>
          <t>المصاريف</t>
        </is>
      </c>
      <c r="I62" s="4" t="inlineStr">
        <is>
          <t>الصافي</t>
        </is>
      </c>
    </row>
    <row r="63">
      <c r="B63" s="5" t="inlineStr">
        <is>
          <t>أكتوبر ٢٠٢٦</t>
        </is>
      </c>
      <c r="C63" s="11" t="n">
        <v>31</v>
      </c>
      <c r="D63" s="11">
        <f>$C$59+$C$60*MIN(1,1/$C$61)</f>
        <v/>
      </c>
      <c r="E63" s="46">
        <f>D63*C63</f>
        <v/>
      </c>
      <c r="F63" s="14">
        <f>E63*$C$32</f>
        <v/>
      </c>
      <c r="G63" s="14">
        <f>E63*$C$33/100</f>
        <v/>
      </c>
      <c r="H63" s="14">
        <f>-E63*$C$35/100</f>
        <v/>
      </c>
      <c r="I63" s="47">
        <f>G63+H63</f>
        <v/>
      </c>
    </row>
    <row r="64">
      <c r="B64" s="5" t="inlineStr">
        <is>
          <t>نوفمبر ٢٠٢٦</t>
        </is>
      </c>
      <c r="C64" s="11" t="n">
        <v>30</v>
      </c>
      <c r="D64" s="11">
        <f>$C$59+$C$60*MIN(1,2/$C$61)</f>
        <v/>
      </c>
      <c r="E64" s="46">
        <f>D64*C64</f>
        <v/>
      </c>
      <c r="F64" s="14">
        <f>E64*$C$32</f>
        <v/>
      </c>
      <c r="G64" s="14">
        <f>E64*$C$33/100</f>
        <v/>
      </c>
      <c r="H64" s="14">
        <f>-E64*$C$35/100</f>
        <v/>
      </c>
      <c r="I64" s="47">
        <f>G64+H64</f>
        <v/>
      </c>
    </row>
    <row r="65">
      <c r="B65" s="5" t="inlineStr">
        <is>
          <t>ديسمبر ٢٠٢٦</t>
        </is>
      </c>
      <c r="C65" s="11" t="n">
        <v>31</v>
      </c>
      <c r="D65" s="11">
        <f>$C$59+$C$60*MIN(1,3/$C$61)</f>
        <v/>
      </c>
      <c r="E65" s="46">
        <f>D65*C65</f>
        <v/>
      </c>
      <c r="F65" s="14">
        <f>E65*$C$32</f>
        <v/>
      </c>
      <c r="G65" s="14">
        <f>E65*$C$33/100</f>
        <v/>
      </c>
      <c r="H65" s="14">
        <f>-E65*$C$35/100</f>
        <v/>
      </c>
      <c r="I65" s="47">
        <f>G65+H65</f>
        <v/>
      </c>
    </row>
    <row r="66">
      <c r="B66" s="5" t="inlineStr">
        <is>
          <t>يناير ٢٠٢٧</t>
        </is>
      </c>
      <c r="C66" s="11" t="n">
        <v>31</v>
      </c>
      <c r="D66" s="11">
        <f>$C$59+$C$60*MIN(1,4/$C$61)</f>
        <v/>
      </c>
      <c r="E66" s="46">
        <f>D66*C66</f>
        <v/>
      </c>
      <c r="F66" s="14">
        <f>E66*$C$32</f>
        <v/>
      </c>
      <c r="G66" s="14">
        <f>E66*$C$33/100</f>
        <v/>
      </c>
      <c r="H66" s="14">
        <f>-E66*$C$35/100</f>
        <v/>
      </c>
      <c r="I66" s="47">
        <f>G66+H66</f>
        <v/>
      </c>
    </row>
    <row r="67">
      <c r="B67" s="5" t="inlineStr">
        <is>
          <t>فبراير ٢٠٢٧</t>
        </is>
      </c>
      <c r="C67" s="11" t="n">
        <v>28</v>
      </c>
      <c r="D67" s="11">
        <f>$C$59+$C$60*MIN(1,5/$C$61)</f>
        <v/>
      </c>
      <c r="E67" s="46">
        <f>D67*C67</f>
        <v/>
      </c>
      <c r="F67" s="14">
        <f>E67*$C$32</f>
        <v/>
      </c>
      <c r="G67" s="14">
        <f>E67*$C$33/100</f>
        <v/>
      </c>
      <c r="H67" s="14">
        <f>-E67*$C$35/100</f>
        <v/>
      </c>
      <c r="I67" s="47">
        <f>G67+H67</f>
        <v/>
      </c>
    </row>
    <row r="68">
      <c r="B68" s="5" t="inlineStr">
        <is>
          <t>مارس ٢٠٢٧</t>
        </is>
      </c>
      <c r="C68" s="11" t="n">
        <v>31</v>
      </c>
      <c r="D68" s="11">
        <f>$C$59+$C$60*MIN(1,6/$C$61)</f>
        <v/>
      </c>
      <c r="E68" s="46">
        <f>D68*C68</f>
        <v/>
      </c>
      <c r="F68" s="14">
        <f>E68*$C$32</f>
        <v/>
      </c>
      <c r="G68" s="14">
        <f>E68*$C$33/100</f>
        <v/>
      </c>
      <c r="H68" s="14">
        <f>-E68*$C$35/100</f>
        <v/>
      </c>
      <c r="I68" s="47">
        <f>G68+H68</f>
        <v/>
      </c>
    </row>
    <row r="69">
      <c r="B69" s="5" t="inlineStr">
        <is>
          <t>أبريل ٢٠٢٧</t>
        </is>
      </c>
      <c r="C69" s="11" t="n">
        <v>30</v>
      </c>
      <c r="D69" s="11">
        <f>$C$59+$C$60*MIN(1,7/$C$61)</f>
        <v/>
      </c>
      <c r="E69" s="46">
        <f>D69*C69</f>
        <v/>
      </c>
      <c r="F69" s="14">
        <f>E69*$C$32</f>
        <v/>
      </c>
      <c r="G69" s="14">
        <f>E69*$C$33/100</f>
        <v/>
      </c>
      <c r="H69" s="14">
        <f>-E69*$C$35/100</f>
        <v/>
      </c>
      <c r="I69" s="47">
        <f>G69+H69</f>
        <v/>
      </c>
    </row>
    <row r="70">
      <c r="B70" s="5" t="inlineStr">
        <is>
          <t>مايو ٢٠٢٧</t>
        </is>
      </c>
      <c r="C70" s="11" t="n">
        <v>31</v>
      </c>
      <c r="D70" s="11">
        <f>$C$59+$C$60*MIN(1,8/$C$61)</f>
        <v/>
      </c>
      <c r="E70" s="46">
        <f>D70*C70</f>
        <v/>
      </c>
      <c r="F70" s="14">
        <f>E70*$C$32</f>
        <v/>
      </c>
      <c r="G70" s="14">
        <f>E70*$C$33/100</f>
        <v/>
      </c>
      <c r="H70" s="14">
        <f>-E70*$C$35/100</f>
        <v/>
      </c>
      <c r="I70" s="47">
        <f>G70+H70</f>
        <v/>
      </c>
    </row>
    <row r="71">
      <c r="B71" s="5" t="inlineStr">
        <is>
          <t>يونيو ٢٠٢٧</t>
        </is>
      </c>
      <c r="C71" s="11" t="n">
        <v>30</v>
      </c>
      <c r="D71" s="11">
        <f>$C$59+$C$60*MIN(1,9/$C$61)</f>
        <v/>
      </c>
      <c r="E71" s="46">
        <f>D71*C71</f>
        <v/>
      </c>
      <c r="F71" s="14">
        <f>E71*$C$32</f>
        <v/>
      </c>
      <c r="G71" s="14">
        <f>E71*$C$33/100</f>
        <v/>
      </c>
      <c r="H71" s="14">
        <f>-E71*$C$35/100</f>
        <v/>
      </c>
      <c r="I71" s="47">
        <f>G71+H71</f>
        <v/>
      </c>
    </row>
    <row r="72">
      <c r="B72" s="5" t="inlineStr">
        <is>
          <t>يوليو ٢٠٢٧</t>
        </is>
      </c>
      <c r="C72" s="11" t="n">
        <v>31</v>
      </c>
      <c r="D72" s="11">
        <f>$C$59+$C$60*MIN(1,10/$C$61)</f>
        <v/>
      </c>
      <c r="E72" s="46">
        <f>D72*C72</f>
        <v/>
      </c>
      <c r="F72" s="14">
        <f>E72*$C$32</f>
        <v/>
      </c>
      <c r="G72" s="14">
        <f>E72*$C$33/100</f>
        <v/>
      </c>
      <c r="H72" s="14">
        <f>-E72*$C$35/100</f>
        <v/>
      </c>
      <c r="I72" s="47">
        <f>G72+H72</f>
        <v/>
      </c>
    </row>
    <row r="73">
      <c r="B73" s="5" t="inlineStr">
        <is>
          <t>أغسطس ٢٠٢٧</t>
        </is>
      </c>
      <c r="C73" s="11" t="n">
        <v>31</v>
      </c>
      <c r="D73" s="11">
        <f>$C$59+$C$60*MIN(1,11/$C$61)</f>
        <v/>
      </c>
      <c r="E73" s="46">
        <f>D73*C73</f>
        <v/>
      </c>
      <c r="F73" s="14">
        <f>E73*$C$32</f>
        <v/>
      </c>
      <c r="G73" s="14">
        <f>E73*$C$33/100</f>
        <v/>
      </c>
      <c r="H73" s="14">
        <f>-E73*$C$35/100</f>
        <v/>
      </c>
      <c r="I73" s="47">
        <f>G73+H73</f>
        <v/>
      </c>
    </row>
    <row r="74">
      <c r="B74" s="5" t="inlineStr">
        <is>
          <t>سبتمبر ٢٠٢٧</t>
        </is>
      </c>
      <c r="C74" s="11" t="n">
        <v>30</v>
      </c>
      <c r="D74" s="11">
        <f>$C$59+$C$60*MIN(1,12/$C$61)</f>
        <v/>
      </c>
      <c r="E74" s="46">
        <f>D74*C74</f>
        <v/>
      </c>
      <c r="F74" s="14">
        <f>E74*$C$32</f>
        <v/>
      </c>
      <c r="G74" s="14">
        <f>E74*$C$33/100</f>
        <v/>
      </c>
      <c r="H74" s="14">
        <f>-E74*$C$35/100</f>
        <v/>
      </c>
      <c r="I74" s="47">
        <f>G74+H74</f>
        <v/>
      </c>
    </row>
    <row r="75">
      <c r="B75" s="48" t="inlineStr">
        <is>
          <t>السنة كاملةً</t>
        </is>
      </c>
      <c r="C75" s="49">
        <f>SUM(C63:C74)</f>
        <v/>
      </c>
      <c r="D75" s="49">
        <f>AVERAGE(D63:D74)</f>
        <v/>
      </c>
      <c r="E75" s="49">
        <f>SUM(E63:E74)</f>
        <v/>
      </c>
      <c r="F75" s="47">
        <f>SUM(F63:F74)</f>
        <v/>
      </c>
      <c r="G75" s="47">
        <f>SUM(G63:G74)</f>
        <v/>
      </c>
      <c r="H75" s="47">
        <f>SUM(H63:H74)</f>
        <v/>
      </c>
      <c r="I75" s="47">
        <f>SUM(I63:I74)</f>
        <v/>
      </c>
    </row>
    <row r="76" ht="32" customHeight="1">
      <c r="B76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6" s="20" t="n"/>
      <c r="D76" s="20" t="n"/>
      <c r="E76" s="20" t="n"/>
      <c r="F76" s="20" t="n"/>
      <c r="G76" s="20" t="n"/>
      <c r="H76" s="20" t="n"/>
      <c r="I76" s="20" t="n"/>
    </row>
  </sheetData>
  <mergeCells count="53">
    <mergeCell ref="D49:I49"/>
    <mergeCell ref="F13:I13"/>
    <mergeCell ref="E21:I21"/>
    <mergeCell ref="F9:I9"/>
    <mergeCell ref="B54:I54"/>
    <mergeCell ref="E24:I24"/>
    <mergeCell ref="E42:I42"/>
    <mergeCell ref="E33:I33"/>
    <mergeCell ref="E23:I23"/>
    <mergeCell ref="E39:I39"/>
    <mergeCell ref="B27:I27"/>
    <mergeCell ref="D53:I53"/>
    <mergeCell ref="E17:I17"/>
    <mergeCell ref="A2:I2"/>
    <mergeCell ref="E29:I29"/>
    <mergeCell ref="E35:I35"/>
    <mergeCell ref="E20:I20"/>
    <mergeCell ref="E38:I38"/>
    <mergeCell ref="F11:I11"/>
    <mergeCell ref="E28:I28"/>
    <mergeCell ref="E19:I19"/>
    <mergeCell ref="B14:I14"/>
    <mergeCell ref="E31:I31"/>
    <mergeCell ref="B57:I57"/>
    <mergeCell ref="F10:I10"/>
    <mergeCell ref="E58:I58"/>
    <mergeCell ref="E40:I40"/>
    <mergeCell ref="F6:I6"/>
    <mergeCell ref="E60:I60"/>
    <mergeCell ref="E30:I30"/>
    <mergeCell ref="E34:I34"/>
    <mergeCell ref="E15:I15"/>
    <mergeCell ref="D51:I51"/>
    <mergeCell ref="E59:I59"/>
    <mergeCell ref="F7:I7"/>
    <mergeCell ref="F12:I12"/>
    <mergeCell ref="D50:I50"/>
    <mergeCell ref="F5:I5"/>
    <mergeCell ref="E36:I36"/>
    <mergeCell ref="E61:I61"/>
    <mergeCell ref="B55:I55"/>
    <mergeCell ref="F8:I8"/>
    <mergeCell ref="E16:I16"/>
    <mergeCell ref="E32:I32"/>
    <mergeCell ref="E25:I25"/>
    <mergeCell ref="A1:I1"/>
    <mergeCell ref="E41:I41"/>
    <mergeCell ref="B76:I76"/>
    <mergeCell ref="E37:I37"/>
    <mergeCell ref="E22:I22"/>
    <mergeCell ref="D52:I52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63:E74">
    <cfRule type="dataBar" priority="3">
      <dataBar showValue="1">
        <cfvo type="num" val="0"/>
        <cfvo type="max"/>
        <color rgb="00F5831F"/>
      </dataBar>
    </cfRule>
  </conditionalFormatting>
  <conditionalFormatting sqref="I63:I75">
    <cfRule type="cellIs" priority="4" operator="lessThan" dxfId="0">
      <formula>0</formula>
    </cfRule>
  </conditionalFormatting>
  <dataValidations count="1">
    <dataValidation sqref="C34" showDropDown="0" showInputMessage="0" showErrorMessage="0" allowBlank="0" type="list">
      <formula1>"مصاريف نموذج «تشغيلي» — 9.84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القادسية  ·  MK047</t>
        </is>
      </c>
    </row>
    <row r="2" ht="16" customHeight="1">
      <c r="A2" s="2" t="inlineStr">
        <is>
          <t>مكة · حيوية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8197921</v>
      </c>
      <c r="D6" s="14" t="n">
        <v>7796113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4472655</v>
      </c>
      <c r="D7" s="11" t="n">
        <v>4234727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314127</v>
      </c>
      <c r="D8" s="14" t="n">
        <v>305040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0.038</v>
      </c>
      <c r="D9" s="31" t="n">
        <v>0.039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33</v>
      </c>
      <c r="D10" s="11" t="n">
        <v>31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108500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11847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106868</v>
      </c>
      <c r="D13" s="14" t="n">
        <v>106333.5982003925</v>
      </c>
      <c r="E13" s="54">
        <f>C13-D13</f>
        <v/>
      </c>
      <c r="F13" s="25" t="inlineStr">
        <is>
          <t>عمولة معيارية</t>
        </is>
      </c>
      <c r="G13" s="26" t="n"/>
      <c r="H13" s="26" t="n"/>
      <c r="I13" s="26" t="n"/>
    </row>
    <row r="14" ht="26" customHeight="1">
      <c r="B14" s="15" t="inlineStr">
        <is>
          <t>شروط العقد: عمولة ٠٫٠٣ بنزين · ٠٫٠١٥ ديزل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1689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47584.06071065991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28.17291930767312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0.3260062462839207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17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1414678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2.117144729754716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0.05426417007733762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2.84190692812075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46535.46153846154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0</v>
      </c>
      <c r="D54" s="24" t="inlineStr">
        <is>
          <t>لتر/يوم</t>
        </is>
      </c>
      <c r="E54" s="25" t="inlineStr">
        <is>
          <t>لا فجوة ذروة مقيسة لهذه المحطة — المستهدف ثباتُ الأداء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  <row r="71" ht="28" customHeight="1">
      <c r="B71" s="17" t="inlineStr">
        <is>
          <t>⛔ بوابة مفتوحة على هذه المحطة: بيانات دفع مفقودة — تُقفل قبل تحميل المستهدف على أحد، وإلا نُسبت نتيجتها إلى الجهد وهي من البوابة.</t>
        </is>
      </c>
      <c r="C71" s="18" t="n"/>
      <c r="D71" s="18" t="n"/>
      <c r="E71" s="18" t="n"/>
      <c r="F71" s="18" t="n"/>
      <c r="G71" s="18" t="n"/>
      <c r="H71" s="18" t="n"/>
      <c r="I71" s="18" t="n"/>
    </row>
  </sheetData>
  <mergeCells count="48">
    <mergeCell ref="F13:I13"/>
    <mergeCell ref="F9:I9"/>
    <mergeCell ref="E55:I55"/>
    <mergeCell ref="E24:I24"/>
    <mergeCell ref="E33:I33"/>
    <mergeCell ref="E52:I52"/>
    <mergeCell ref="B22:I22"/>
    <mergeCell ref="E23:I23"/>
    <mergeCell ref="B71:I71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الشيباني  ·  MK005</t>
        </is>
      </c>
    </row>
    <row r="2" ht="16" customHeight="1">
      <c r="A2" s="2" t="inlineStr">
        <is>
          <t>الطائف · حيوية · نموذج العمل استثماري · رابحة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18962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27" t="n">
        <v>661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0.0349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0.0675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1734.404255319149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45690.16638297872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26.34343535704209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0.003734450387951163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17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1388981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2.270970651434275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0.0675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«استثماري» — 11.08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«استثماري» — 11.08 هللة/لتر</t>
        </is>
      </c>
      <c r="C41" s="13" t="n">
        <v>11.08</v>
      </c>
      <c r="D41" s="25" t="inlineStr">
        <is>
          <t>مصاريف تشغيل محطات استثماري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45690.16638297872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249.4927027829202</v>
      </c>
      <c r="D51" s="24" t="inlineStr">
        <is>
          <t>لتر/يوم</t>
        </is>
      </c>
      <c r="E51" s="25" t="inlineStr">
        <is>
          <t>فجوة ساعات الذروة 23.7 معاملة/يوم × 40٪ إغلاقاً × 26.3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</sheetData>
  <mergeCells count="44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«استثماري» — 11.08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النسيم  ·  MK015</t>
        </is>
      </c>
    </row>
    <row r="2" ht="16" customHeight="1">
      <c r="A2" s="2" t="inlineStr">
        <is>
          <t>جدة · حيوية · نموذج العمل إيجاري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19431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-525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-0.027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0.0659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1998.052083333333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43923.94083333333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21.98338131409237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0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1335288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2.253968133058188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0.0659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«إيجاري» — 5.63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«إيجاري» — 5.63 هللة/لتر</t>
        </is>
      </c>
      <c r="C41" s="13" t="n">
        <v>5.63</v>
      </c>
      <c r="D41" s="25" t="inlineStr">
        <is>
          <t>مصاريف تشغيل محطات إيجاري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43923.94083333333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274.3373172484141</v>
      </c>
      <c r="D51" s="24" t="inlineStr">
        <is>
          <t>لتر/يوم</t>
        </is>
      </c>
      <c r="E51" s="25" t="inlineStr">
        <is>
          <t>فجوة ساعات الذروة 31.2 معاملة/يوم × 40٪ إغلاقاً × 22.0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</sheetData>
  <mergeCells count="44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«إيجاري» — 5.63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الذكرى الخالدة  ·  MK029</t>
        </is>
      </c>
    </row>
    <row r="2" ht="16" customHeight="1">
      <c r="A2" s="2" t="inlineStr">
        <is>
          <t>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7413928</v>
      </c>
      <c r="D6" s="14" t="n">
        <v>7243350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4041498</v>
      </c>
      <c r="D7" s="11" t="n">
        <v>3860413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256990</v>
      </c>
      <c r="D8" s="14" t="n">
        <v>268282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0.035</v>
      </c>
      <c r="D9" s="31" t="n">
        <v>0.03700000000000001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36</v>
      </c>
      <c r="D10" s="11" t="n">
        <v>31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108500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0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49360</v>
      </c>
      <c r="D13" s="14" t="n">
        <v>104231.151</v>
      </c>
      <c r="E13" s="53">
        <f>C13-D13</f>
        <v/>
      </c>
      <c r="F13" s="25" t="inlineStr">
        <is>
          <t>عمولة دون المعياري</t>
        </is>
      </c>
      <c r="G13" s="26" t="n"/>
      <c r="H13" s="26" t="n"/>
      <c r="I13" s="26" t="n"/>
    </row>
    <row r="14" ht="26" customHeight="1">
      <c r="B14" s="15" t="inlineStr">
        <is>
          <t>شروط العقد: عمولة ٠٫٠١٥ بنزين · ٠٫٠٠٥ ديزل — الأدنى في الشبكة</t>
        </is>
      </c>
      <c r="C14" s="16" t="n"/>
      <c r="D14" s="16" t="n"/>
      <c r="E14" s="16" t="n"/>
      <c r="F14" s="16" t="n"/>
      <c r="G14" s="16" t="n"/>
      <c r="H14" s="16" t="n"/>
      <c r="I14" s="16" t="n"/>
    </row>
    <row r="16" ht="22" customHeight="1">
      <c r="B16" s="19" t="inlineStr">
        <is>
          <t>② حاسبة اللتر — قيمته وهامشه ومصاريفه وصافيه</t>
        </is>
      </c>
      <c r="C16" s="20" t="n"/>
      <c r="D16" s="20" t="n"/>
      <c r="E16" s="20" t="n"/>
      <c r="F16" s="20" t="n"/>
      <c r="G16" s="20" t="n"/>
      <c r="H16" s="20" t="n"/>
      <c r="I16" s="20" t="n"/>
    </row>
    <row r="17" ht="30" customHeight="1">
      <c r="A17" s="4" t="inlineStr"/>
      <c r="B17" s="4" t="inlineStr">
        <is>
          <t>البند</t>
        </is>
      </c>
      <c r="C17" s="4" t="inlineStr">
        <is>
          <t>القيمة</t>
        </is>
      </c>
      <c r="D17" s="4" t="inlineStr">
        <is>
          <t>الوحدة</t>
        </is>
      </c>
      <c r="E17" s="4" t="inlineStr">
        <is>
          <t>من أين جاءت</t>
        </is>
      </c>
      <c r="F17" s="21" t="n"/>
      <c r="G17" s="21" t="n"/>
      <c r="H17" s="21" t="n"/>
      <c r="I17" s="22" t="n"/>
    </row>
    <row r="18">
      <c r="B18" s="32" t="inlineStr">
        <is>
          <t>لترات الشهر</t>
        </is>
      </c>
      <c r="C18" s="33" t="n">
        <v>1289632</v>
      </c>
      <c r="D18" s="24" t="inlineStr">
        <is>
          <t>لتر/شهر</t>
        </is>
      </c>
      <c r="E18" s="25" t="inlineStr">
        <is>
          <t>افتراضيّها معدّل الأداء: حجم الربع الثاني ÷ ٩١ يوماً × ٣٠٫٤ يوماً</t>
        </is>
      </c>
      <c r="F18" s="26" t="n"/>
      <c r="G18" s="26" t="n"/>
      <c r="H18" s="26" t="n"/>
      <c r="I18" s="26" t="n"/>
    </row>
    <row r="19">
      <c r="B19" s="32" t="inlineStr">
        <is>
          <t>سعر المضخة — شاملاً الضريبة</t>
        </is>
      </c>
      <c r="C19" s="34" t="n">
        <v>2.157762006293109</v>
      </c>
      <c r="D19" s="24" t="inlineStr">
        <is>
          <t>ريال/لتر</t>
        </is>
      </c>
      <c r="E19" s="25" t="inlineStr">
        <is>
          <t>مبيعات الربع الثاني ÷ حجمه (وهي قبل الضريبة) × ١٫١٥ لتصير سعر مضخة</t>
        </is>
      </c>
      <c r="F19" s="26" t="n"/>
      <c r="G19" s="26" t="n"/>
      <c r="H19" s="26" t="n"/>
      <c r="I19" s="26" t="n"/>
    </row>
    <row r="20">
      <c r="B20" s="32" t="inlineStr">
        <is>
          <t>هامش الوقود</t>
        </is>
      </c>
      <c r="C20" s="35" t="n">
        <v>0.06097057952466746</v>
      </c>
      <c r="D20" s="24" t="inlineStr">
        <is>
          <t>٪ من الإيراد قبل الضريبة</t>
        </is>
      </c>
      <c r="E20" s="45" t="inlineStr">
        <is>
          <t>⛔ متوسط الشبكة — لا قياس لهذه المحطة</t>
        </is>
      </c>
      <c r="F20" s="18" t="n"/>
      <c r="G20" s="18" t="n"/>
      <c r="H20" s="18" t="n"/>
      <c r="I20" s="18" t="n"/>
    </row>
    <row r="21">
      <c r="B21" s="36" t="inlineStr">
        <is>
          <t>① قيمة اللتر — قبل الضريبة</t>
        </is>
      </c>
      <c r="C21" s="37">
        <f>$C$19/1.15</f>
        <v/>
      </c>
      <c r="D21" s="24" t="inlineStr">
        <is>
          <t>ريال/لتر</t>
        </is>
      </c>
      <c r="E21" s="25" t="inlineStr">
        <is>
          <t>الصيغة: سعر المضخة ÷ ١٫١٥ · وهي قيمته التي يُحسب عليها الهامش</t>
        </is>
      </c>
      <c r="F21" s="26" t="n"/>
      <c r="G21" s="26" t="n"/>
      <c r="H21" s="26" t="n"/>
      <c r="I21" s="26" t="n"/>
    </row>
    <row r="22">
      <c r="B22" s="36" t="inlineStr">
        <is>
          <t>② هامش الربح للتر</t>
        </is>
      </c>
      <c r="C22" s="38">
        <f>$C$21*$C$20*100</f>
        <v/>
      </c>
      <c r="D22" s="24" t="inlineStr">
        <is>
          <t>هللة/لتر</t>
        </is>
      </c>
      <c r="E22" s="25" t="inlineStr">
        <is>
          <t>الصيغة: قيمة اللتر قبل الضريبة × هامش الوقود · هامش المساهمة قبل أي مصروف</t>
        </is>
      </c>
      <c r="F22" s="26" t="n"/>
      <c r="G22" s="26" t="n"/>
      <c r="H22" s="26" t="n"/>
      <c r="I22" s="26" t="n"/>
    </row>
    <row r="23">
      <c r="B23" s="32" t="inlineStr">
        <is>
          <t>أساس المصاريف</t>
        </is>
      </c>
      <c r="C23" s="39" t="inlineStr">
        <is>
          <t>متوسط محطاتنا — ٩٫١٥ هللة/لتر</t>
        </is>
      </c>
      <c r="D23" s="24" t="inlineStr">
        <is>
          <t>اختر</t>
        </is>
      </c>
      <c r="E23" s="25" t="inlineStr">
        <is>
          <t>ثلاثة أُسُس ولكلٍّ مصدره — الجدول أسفل الحاسبة</t>
        </is>
      </c>
      <c r="F23" s="26" t="n"/>
      <c r="G23" s="26" t="n"/>
      <c r="H23" s="26" t="n"/>
      <c r="I23" s="26" t="n"/>
    </row>
    <row r="24">
      <c r="B24" s="36" t="inlineStr">
        <is>
          <t>③ المصاريف للتر</t>
        </is>
      </c>
      <c r="C24" s="38">
        <f>VLOOKUP($C$23,$B$39:$C$42,2,FALSE)</f>
        <v/>
      </c>
      <c r="D24" s="24" t="inlineStr">
        <is>
          <t>هللة/لتر</t>
        </is>
      </c>
      <c r="E24" s="25" t="inlineStr">
        <is>
          <t>من الأساس المختار أعلاه</t>
        </is>
      </c>
      <c r="F24" s="26" t="n"/>
      <c r="G24" s="26" t="n"/>
      <c r="H24" s="26" t="n"/>
      <c r="I24" s="26" t="n"/>
    </row>
    <row r="25">
      <c r="B25" s="36" t="inlineStr">
        <is>
          <t>④ صافي اللتر</t>
        </is>
      </c>
      <c r="C25" s="38">
        <f>$C$22-$C$24</f>
        <v/>
      </c>
      <c r="D25" s="24" t="inlineStr">
        <is>
          <t>هللة/لتر</t>
        </is>
      </c>
      <c r="E25" s="25" t="inlineStr">
        <is>
          <t>الصيغة: الهامش − المصاريف · وهو ما يبقى فعلاً من كل لتر</t>
        </is>
      </c>
      <c r="F25" s="26" t="n"/>
      <c r="G25" s="26" t="n"/>
      <c r="H25" s="26" t="n"/>
      <c r="I25" s="26" t="n"/>
    </row>
    <row r="26" ht="30" customHeight="1">
      <c r="A26" s="4" t="inlineStr"/>
      <c r="B26" s="4" t="inlineStr">
        <is>
          <t>وبالريال لشهرٍ كامل</t>
        </is>
      </c>
      <c r="C26" s="4" t="inlineStr">
        <is>
          <t>في الشهر</t>
        </is>
      </c>
      <c r="D26" s="4" t="inlineStr">
        <is>
          <t>الوحدة</t>
        </is>
      </c>
      <c r="E26" s="4" t="inlineStr">
        <is>
          <t>الصيغة</t>
        </is>
      </c>
      <c r="F26" s="21" t="n"/>
      <c r="G26" s="21" t="n"/>
      <c r="H26" s="21" t="n"/>
      <c r="I26" s="22" t="n"/>
    </row>
    <row r="27">
      <c r="B27" s="32" t="inlineStr">
        <is>
          <t>المبيعات قبل الضريبة</t>
        </is>
      </c>
      <c r="C27" s="40">
        <f>$C$18*$C$21</f>
        <v/>
      </c>
      <c r="D27" s="24" t="inlineStr">
        <is>
          <t>ريال</t>
        </is>
      </c>
      <c r="E27" s="25" t="inlineStr">
        <is>
          <t>لترات الشهر × قيمة اللتر قبل الضريبة</t>
        </is>
      </c>
      <c r="F27" s="26" t="n"/>
      <c r="G27" s="26" t="n"/>
      <c r="H27" s="26" t="n"/>
      <c r="I27" s="26" t="n"/>
    </row>
    <row r="28">
      <c r="B28" s="32" t="inlineStr">
        <is>
          <t>وشاملةً الضريبة</t>
        </is>
      </c>
      <c r="C28" s="40">
        <f>C27*1.15</f>
        <v/>
      </c>
      <c r="D28" s="24" t="inlineStr">
        <is>
          <t>ريال</t>
        </is>
      </c>
      <c r="E28" s="25" t="inlineStr">
        <is>
          <t>وهو ما يُسجَّل على المضخة</t>
        </is>
      </c>
      <c r="F28" s="26" t="n"/>
      <c r="G28" s="26" t="n"/>
      <c r="H28" s="26" t="n"/>
      <c r="I28" s="26" t="n"/>
    </row>
    <row r="29">
      <c r="B29" s="32" t="inlineStr">
        <is>
          <t>هامش الربح</t>
        </is>
      </c>
      <c r="C29" s="27">
        <f>$C$18*$C$22/100</f>
        <v/>
      </c>
      <c r="D29" s="24" t="inlineStr">
        <is>
          <t>ريال</t>
        </is>
      </c>
      <c r="E29" s="25" t="inlineStr">
        <is>
          <t>لترات الشهر × هامش اللتر</t>
        </is>
      </c>
      <c r="F29" s="26" t="n"/>
      <c r="G29" s="26" t="n"/>
      <c r="H29" s="26" t="n"/>
      <c r="I29" s="26" t="n"/>
    </row>
    <row r="30">
      <c r="B30" s="32" t="inlineStr">
        <is>
          <t>المصاريف</t>
        </is>
      </c>
      <c r="C30" s="41">
        <f>-$C$18*$C$24/100</f>
        <v/>
      </c>
      <c r="D30" s="24" t="inlineStr">
        <is>
          <t>ريال</t>
        </is>
      </c>
      <c r="E30" s="25" t="inlineStr">
        <is>
          <t>لترات الشهر × مصاريف اللتر</t>
        </is>
      </c>
      <c r="F30" s="26" t="n"/>
      <c r="G30" s="26" t="n"/>
      <c r="H30" s="26" t="n"/>
      <c r="I30" s="26" t="n"/>
    </row>
    <row r="31">
      <c r="B31" s="36" t="inlineStr">
        <is>
          <t>الصافي</t>
        </is>
      </c>
      <c r="C31" s="42">
        <f>C29+C30</f>
        <v/>
      </c>
      <c r="D31" s="24" t="inlineStr">
        <is>
          <t>ريال</t>
        </is>
      </c>
      <c r="E31" s="25" t="inlineStr">
        <is>
          <t>الهامش − المصاريف</t>
        </is>
      </c>
      <c r="F31" s="26" t="n"/>
      <c r="G31" s="26" t="n"/>
      <c r="H31" s="26" t="n"/>
      <c r="I31" s="26" t="n"/>
    </row>
    <row r="38" ht="30" customHeight="1">
      <c r="A38" s="4" t="inlineStr"/>
      <c r="B38" s="4" t="inlineStr">
        <is>
          <t>أساس المصاريف</t>
        </is>
      </c>
      <c r="C38" s="4" t="inlineStr">
        <is>
          <t>هللة/لتر</t>
        </is>
      </c>
      <c r="D38" s="4" t="inlineStr">
        <is>
          <t>المصدر والتحفّظ</t>
        </is>
      </c>
      <c r="E38" s="21" t="n"/>
      <c r="F38" s="21" t="n"/>
      <c r="G38" s="21" t="n"/>
      <c r="H38" s="21" t="n"/>
      <c r="I38" s="22" t="n"/>
    </row>
    <row r="39">
      <c r="B39" s="5" t="inlineStr">
        <is>
          <t>متوسط محطاتنا — ٩٫١٥ هللة/لتر</t>
        </is>
      </c>
      <c r="C39" s="13" t="n">
        <v>9.15</v>
      </c>
      <c r="D39" s="25" t="inlineStr">
        <is>
          <t>مصاريف تشغيل محطاتنا الـ٤٩ (دون الامتياز) ÷ لتراتها</t>
        </is>
      </c>
      <c r="E39" s="26" t="n"/>
      <c r="F39" s="26" t="n"/>
      <c r="G39" s="26" t="n"/>
      <c r="H39" s="26" t="n"/>
      <c r="I39" s="26" t="n"/>
    </row>
    <row r="40">
      <c r="B40" s="43" t="inlineStr">
        <is>
          <t>المحمَّل الكامل — ١٣٫٥٦ هللة/لتر</t>
        </is>
      </c>
      <c r="C40" s="44" t="n">
        <v>13.56</v>
      </c>
      <c r="D40" s="25" t="inlineStr">
        <is>
          <t>يُضاف إليها بيعٌ وتسويق وإدارة وفوائد — لقرار رأس المال لا للتشغيل</t>
        </is>
      </c>
      <c r="E40" s="26" t="n"/>
      <c r="F40" s="26" t="n"/>
      <c r="G40" s="26" t="n"/>
      <c r="H40" s="26" t="n"/>
      <c r="I40" s="26" t="n"/>
    </row>
    <row r="41">
      <c r="B41" s="43" t="inlineStr">
        <is>
          <t>المقيس في تقرير الربع الثاني</t>
        </is>
      </c>
      <c r="C41" s="44" t="n">
        <v>2.810580111506204</v>
      </c>
      <c r="D41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1" s="18" t="n"/>
      <c r="F41" s="18" t="n"/>
      <c r="G41" s="18" t="n"/>
      <c r="H41" s="18" t="n"/>
      <c r="I41" s="18" t="n"/>
    </row>
    <row r="42" ht="26" customHeight="1">
      <c r="B42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2" s="18" t="n"/>
      <c r="D42" s="18" t="n"/>
      <c r="E42" s="18" t="n"/>
      <c r="F42" s="18" t="n"/>
      <c r="G42" s="18" t="n"/>
      <c r="H42" s="18" t="n"/>
      <c r="I42" s="18" t="n"/>
    </row>
    <row r="43" ht="32" customHeight="1">
      <c r="B43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3" s="18" t="n"/>
      <c r="D43" s="18" t="n"/>
      <c r="E43" s="18" t="n"/>
      <c r="F43" s="18" t="n"/>
      <c r="G43" s="18" t="n"/>
      <c r="H43" s="18" t="n"/>
      <c r="I43" s="18" t="n"/>
    </row>
    <row r="45" ht="22" customHeight="1">
      <c r="B45" s="19" t="inlineStr">
        <is>
          <t>③ المستهدف الشهري — اثنا عشر شهراً</t>
        </is>
      </c>
      <c r="C45" s="20" t="n"/>
      <c r="D45" s="20" t="n"/>
      <c r="E45" s="20" t="n"/>
      <c r="F45" s="20" t="n"/>
      <c r="G45" s="20" t="n"/>
      <c r="H45" s="20" t="n"/>
      <c r="I45" s="20" t="n"/>
    </row>
    <row r="46" ht="30" customHeight="1">
      <c r="A46" s="4" t="inlineStr"/>
      <c r="B46" s="4" t="inlineStr">
        <is>
          <t>الأساس</t>
        </is>
      </c>
      <c r="C46" s="4" t="inlineStr">
        <is>
          <t>القيمة</t>
        </is>
      </c>
      <c r="D46" s="4" t="inlineStr">
        <is>
          <t>الوحدة</t>
        </is>
      </c>
      <c r="E46" s="4" t="inlineStr">
        <is>
          <t>من أين جاءت</t>
        </is>
      </c>
      <c r="F46" s="21" t="n"/>
      <c r="G46" s="21" t="n"/>
      <c r="H46" s="21" t="n"/>
      <c r="I46" s="22" t="n"/>
    </row>
    <row r="47">
      <c r="B47" s="5" t="inlineStr">
        <is>
          <t>خط الأساس</t>
        </is>
      </c>
      <c r="C47" s="11" t="n">
        <v>42422.12087912088</v>
      </c>
      <c r="D47" s="24" t="inlineStr">
        <is>
          <t>لتر/يوم</t>
        </is>
      </c>
      <c r="E47" s="25" t="inlineStr">
        <is>
          <t>حجم الربع الثاني ÷ ٩١ يوماً</t>
        </is>
      </c>
      <c r="F47" s="26" t="n"/>
      <c r="G47" s="26" t="n"/>
      <c r="H47" s="26" t="n"/>
      <c r="I47" s="26" t="n"/>
    </row>
    <row r="48">
      <c r="B48" s="5" t="inlineStr">
        <is>
          <t>الإضافة المستهدفة</t>
        </is>
      </c>
      <c r="C48" s="33" t="n">
        <v>0</v>
      </c>
      <c r="D48" s="24" t="inlineStr">
        <is>
          <t>لتر/يوم</t>
        </is>
      </c>
      <c r="E48" s="25" t="inlineStr">
        <is>
          <t>لا فجوة ذروة مقيسة لهذه المحطة — المستهدف ثباتُ الأداء</t>
        </is>
      </c>
      <c r="F48" s="26" t="n"/>
      <c r="G48" s="26" t="n"/>
      <c r="H48" s="26" t="n"/>
      <c r="I48" s="26" t="n"/>
    </row>
    <row r="49">
      <c r="B49" s="5" t="inlineStr">
        <is>
          <t>أشهر التدرّج</t>
        </is>
      </c>
      <c r="C49" s="33" t="n">
        <v>6</v>
      </c>
      <c r="D49" s="24" t="inlineStr">
        <is>
          <t>شهر</t>
        </is>
      </c>
      <c r="E49" s="25" t="inlineStr">
        <is>
          <t>يُبلغ المستهدف كاملاً في الشهر السادس ثم يثبت</t>
        </is>
      </c>
      <c r="F49" s="26" t="n"/>
      <c r="G49" s="26" t="n"/>
      <c r="H49" s="26" t="n"/>
      <c r="I49" s="26" t="n"/>
    </row>
    <row r="50" ht="26" customHeight="1">
      <c r="A50" s="4" t="inlineStr"/>
      <c r="B50" s="4" t="inlineStr">
        <is>
          <t>الشهر</t>
        </is>
      </c>
      <c r="C50" s="4" t="inlineStr">
        <is>
          <t>أيام</t>
        </is>
      </c>
      <c r="D50" s="4" t="inlineStr">
        <is>
          <t>لتر/يوم</t>
        </is>
      </c>
      <c r="E50" s="4" t="inlineStr">
        <is>
          <t>لترات الشهر</t>
        </is>
      </c>
      <c r="F50" s="4" t="inlineStr">
        <is>
          <t>المبيعات قبل الضريبة</t>
        </is>
      </c>
      <c r="G50" s="4" t="inlineStr">
        <is>
          <t>هامش الربح</t>
        </is>
      </c>
      <c r="H50" s="4" t="inlineStr">
        <is>
          <t>المصاريف</t>
        </is>
      </c>
      <c r="I50" s="4" t="inlineStr">
        <is>
          <t>الصافي</t>
        </is>
      </c>
    </row>
    <row r="51">
      <c r="B51" s="5" t="inlineStr">
        <is>
          <t>أكتوبر ٢٠٢٦</t>
        </is>
      </c>
      <c r="C51" s="11" t="n">
        <v>31</v>
      </c>
      <c r="D51" s="11">
        <f>$C$47+$C$48*MIN(1,1/$C$49)</f>
        <v/>
      </c>
      <c r="E51" s="46">
        <f>D51*C51</f>
        <v/>
      </c>
      <c r="F51" s="14">
        <f>E51*$C$21</f>
        <v/>
      </c>
      <c r="G51" s="14">
        <f>E51*$C$22/100</f>
        <v/>
      </c>
      <c r="H51" s="14">
        <f>-E51*$C$24/100</f>
        <v/>
      </c>
      <c r="I51" s="47">
        <f>G51+H51</f>
        <v/>
      </c>
    </row>
    <row r="52">
      <c r="B52" s="5" t="inlineStr">
        <is>
          <t>نوفمبر ٢٠٢٦</t>
        </is>
      </c>
      <c r="C52" s="11" t="n">
        <v>30</v>
      </c>
      <c r="D52" s="11">
        <f>$C$47+$C$48*MIN(1,2/$C$49)</f>
        <v/>
      </c>
      <c r="E52" s="46">
        <f>D52*C52</f>
        <v/>
      </c>
      <c r="F52" s="14">
        <f>E52*$C$21</f>
        <v/>
      </c>
      <c r="G52" s="14">
        <f>E52*$C$22/100</f>
        <v/>
      </c>
      <c r="H52" s="14">
        <f>-E52*$C$24/100</f>
        <v/>
      </c>
      <c r="I52" s="47">
        <f>G52+H52</f>
        <v/>
      </c>
    </row>
    <row r="53">
      <c r="B53" s="5" t="inlineStr">
        <is>
          <t>ديسمبر ٢٠٢٦</t>
        </is>
      </c>
      <c r="C53" s="11" t="n">
        <v>31</v>
      </c>
      <c r="D53" s="11">
        <f>$C$47+$C$48*MIN(1,3/$C$49)</f>
        <v/>
      </c>
      <c r="E53" s="46">
        <f>D53*C53</f>
        <v/>
      </c>
      <c r="F53" s="14">
        <f>E53*$C$21</f>
        <v/>
      </c>
      <c r="G53" s="14">
        <f>E53*$C$22/100</f>
        <v/>
      </c>
      <c r="H53" s="14">
        <f>-E53*$C$24/100</f>
        <v/>
      </c>
      <c r="I53" s="47">
        <f>G53+H53</f>
        <v/>
      </c>
    </row>
    <row r="54">
      <c r="B54" s="5" t="inlineStr">
        <is>
          <t>يناير ٢٠٢٧</t>
        </is>
      </c>
      <c r="C54" s="11" t="n">
        <v>31</v>
      </c>
      <c r="D54" s="11">
        <f>$C$47+$C$48*MIN(1,4/$C$49)</f>
        <v/>
      </c>
      <c r="E54" s="46">
        <f>D54*C54</f>
        <v/>
      </c>
      <c r="F54" s="14">
        <f>E54*$C$21</f>
        <v/>
      </c>
      <c r="G54" s="14">
        <f>E54*$C$22/100</f>
        <v/>
      </c>
      <c r="H54" s="14">
        <f>-E54*$C$24/100</f>
        <v/>
      </c>
      <c r="I54" s="47">
        <f>G54+H54</f>
        <v/>
      </c>
    </row>
    <row r="55">
      <c r="B55" s="5" t="inlineStr">
        <is>
          <t>فبراير ٢٠٢٧</t>
        </is>
      </c>
      <c r="C55" s="11" t="n">
        <v>28</v>
      </c>
      <c r="D55" s="11">
        <f>$C$47+$C$48*MIN(1,5/$C$49)</f>
        <v/>
      </c>
      <c r="E55" s="46">
        <f>D55*C55</f>
        <v/>
      </c>
      <c r="F55" s="14">
        <f>E55*$C$21</f>
        <v/>
      </c>
      <c r="G55" s="14">
        <f>E55*$C$22/100</f>
        <v/>
      </c>
      <c r="H55" s="14">
        <f>-E55*$C$24/100</f>
        <v/>
      </c>
      <c r="I55" s="47">
        <f>G55+H55</f>
        <v/>
      </c>
    </row>
    <row r="56">
      <c r="B56" s="5" t="inlineStr">
        <is>
          <t>مارس ٢٠٢٧</t>
        </is>
      </c>
      <c r="C56" s="11" t="n">
        <v>31</v>
      </c>
      <c r="D56" s="11">
        <f>$C$47+$C$48*MIN(1,6/$C$49)</f>
        <v/>
      </c>
      <c r="E56" s="46">
        <f>D56*C56</f>
        <v/>
      </c>
      <c r="F56" s="14">
        <f>E56*$C$21</f>
        <v/>
      </c>
      <c r="G56" s="14">
        <f>E56*$C$22/100</f>
        <v/>
      </c>
      <c r="H56" s="14">
        <f>-E56*$C$24/100</f>
        <v/>
      </c>
      <c r="I56" s="47">
        <f>G56+H56</f>
        <v/>
      </c>
    </row>
    <row r="57">
      <c r="B57" s="5" t="inlineStr">
        <is>
          <t>أبريل ٢٠٢٧</t>
        </is>
      </c>
      <c r="C57" s="11" t="n">
        <v>30</v>
      </c>
      <c r="D57" s="11">
        <f>$C$47+$C$48*MIN(1,7/$C$49)</f>
        <v/>
      </c>
      <c r="E57" s="46">
        <f>D57*C57</f>
        <v/>
      </c>
      <c r="F57" s="14">
        <f>E57*$C$21</f>
        <v/>
      </c>
      <c r="G57" s="14">
        <f>E57*$C$22/100</f>
        <v/>
      </c>
      <c r="H57" s="14">
        <f>-E57*$C$24/100</f>
        <v/>
      </c>
      <c r="I57" s="47">
        <f>G57+H57</f>
        <v/>
      </c>
    </row>
    <row r="58">
      <c r="B58" s="5" t="inlineStr">
        <is>
          <t>مايو ٢٠٢٧</t>
        </is>
      </c>
      <c r="C58" s="11" t="n">
        <v>31</v>
      </c>
      <c r="D58" s="11">
        <f>$C$47+$C$48*MIN(1,8/$C$49)</f>
        <v/>
      </c>
      <c r="E58" s="46">
        <f>D58*C58</f>
        <v/>
      </c>
      <c r="F58" s="14">
        <f>E58*$C$21</f>
        <v/>
      </c>
      <c r="G58" s="14">
        <f>E58*$C$22/100</f>
        <v/>
      </c>
      <c r="H58" s="14">
        <f>-E58*$C$24/100</f>
        <v/>
      </c>
      <c r="I58" s="47">
        <f>G58+H58</f>
        <v/>
      </c>
    </row>
    <row r="59">
      <c r="B59" s="5" t="inlineStr">
        <is>
          <t>يونيو ٢٠٢٧</t>
        </is>
      </c>
      <c r="C59" s="11" t="n">
        <v>30</v>
      </c>
      <c r="D59" s="11">
        <f>$C$47+$C$48*MIN(1,9/$C$49)</f>
        <v/>
      </c>
      <c r="E59" s="46">
        <f>D59*C59</f>
        <v/>
      </c>
      <c r="F59" s="14">
        <f>E59*$C$21</f>
        <v/>
      </c>
      <c r="G59" s="14">
        <f>E59*$C$22/100</f>
        <v/>
      </c>
      <c r="H59" s="14">
        <f>-E59*$C$24/100</f>
        <v/>
      </c>
      <c r="I59" s="47">
        <f>G59+H59</f>
        <v/>
      </c>
    </row>
    <row r="60">
      <c r="B60" s="5" t="inlineStr">
        <is>
          <t>يوليو ٢٠٢٧</t>
        </is>
      </c>
      <c r="C60" s="11" t="n">
        <v>31</v>
      </c>
      <c r="D60" s="11">
        <f>$C$47+$C$48*MIN(1,10/$C$49)</f>
        <v/>
      </c>
      <c r="E60" s="46">
        <f>D60*C60</f>
        <v/>
      </c>
      <c r="F60" s="14">
        <f>E60*$C$21</f>
        <v/>
      </c>
      <c r="G60" s="14">
        <f>E60*$C$22/100</f>
        <v/>
      </c>
      <c r="H60" s="14">
        <f>-E60*$C$24/100</f>
        <v/>
      </c>
      <c r="I60" s="47">
        <f>G60+H60</f>
        <v/>
      </c>
    </row>
    <row r="61">
      <c r="B61" s="5" t="inlineStr">
        <is>
          <t>أغسطس ٢٠٢٧</t>
        </is>
      </c>
      <c r="C61" s="11" t="n">
        <v>31</v>
      </c>
      <c r="D61" s="11">
        <f>$C$47+$C$48*MIN(1,11/$C$49)</f>
        <v/>
      </c>
      <c r="E61" s="46">
        <f>D61*C61</f>
        <v/>
      </c>
      <c r="F61" s="14">
        <f>E61*$C$21</f>
        <v/>
      </c>
      <c r="G61" s="14">
        <f>E61*$C$22/100</f>
        <v/>
      </c>
      <c r="H61" s="14">
        <f>-E61*$C$24/100</f>
        <v/>
      </c>
      <c r="I61" s="47">
        <f>G61+H61</f>
        <v/>
      </c>
    </row>
    <row r="62">
      <c r="B62" s="5" t="inlineStr">
        <is>
          <t>سبتمبر ٢٠٢٧</t>
        </is>
      </c>
      <c r="C62" s="11" t="n">
        <v>30</v>
      </c>
      <c r="D62" s="11">
        <f>$C$47+$C$48*MIN(1,12/$C$49)</f>
        <v/>
      </c>
      <c r="E62" s="46">
        <f>D62*C62</f>
        <v/>
      </c>
      <c r="F62" s="14">
        <f>E62*$C$21</f>
        <v/>
      </c>
      <c r="G62" s="14">
        <f>E62*$C$22/100</f>
        <v/>
      </c>
      <c r="H62" s="14">
        <f>-E62*$C$24/100</f>
        <v/>
      </c>
      <c r="I62" s="47">
        <f>G62+H62</f>
        <v/>
      </c>
    </row>
    <row r="63">
      <c r="B63" s="48" t="inlineStr">
        <is>
          <t>السنة كاملةً</t>
        </is>
      </c>
      <c r="C63" s="49">
        <f>SUM(C51:C62)</f>
        <v/>
      </c>
      <c r="D63" s="49">
        <f>AVERAGE(D51:D62)</f>
        <v/>
      </c>
      <c r="E63" s="49">
        <f>SUM(E51:E62)</f>
        <v/>
      </c>
      <c r="F63" s="47">
        <f>SUM(F51:F62)</f>
        <v/>
      </c>
      <c r="G63" s="47">
        <f>SUM(G51:G62)</f>
        <v/>
      </c>
      <c r="H63" s="47">
        <f>SUM(H51:H62)</f>
        <v/>
      </c>
      <c r="I63" s="47">
        <f>SUM(I51:I62)</f>
        <v/>
      </c>
    </row>
    <row r="64" ht="32" customHeight="1">
      <c r="B64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4" s="20" t="n"/>
      <c r="D64" s="20" t="n"/>
      <c r="E64" s="20" t="n"/>
      <c r="F64" s="20" t="n"/>
      <c r="G64" s="20" t="n"/>
      <c r="H64" s="20" t="n"/>
      <c r="I64" s="20" t="n"/>
    </row>
  </sheetData>
  <mergeCells count="41">
    <mergeCell ref="F13:I13"/>
    <mergeCell ref="E21:I21"/>
    <mergeCell ref="F9:I9"/>
    <mergeCell ref="B16:I16"/>
    <mergeCell ref="E24:I24"/>
    <mergeCell ref="D41:I41"/>
    <mergeCell ref="E23:I23"/>
    <mergeCell ref="E48:I48"/>
    <mergeCell ref="E17:I17"/>
    <mergeCell ref="B43:I43"/>
    <mergeCell ref="A2:I2"/>
    <mergeCell ref="E29:I29"/>
    <mergeCell ref="E20:I20"/>
    <mergeCell ref="F11:I11"/>
    <mergeCell ref="E28:I28"/>
    <mergeCell ref="B42:I42"/>
    <mergeCell ref="E19:I19"/>
    <mergeCell ref="B14:I14"/>
    <mergeCell ref="E31:I31"/>
    <mergeCell ref="F10:I10"/>
    <mergeCell ref="D39:I39"/>
    <mergeCell ref="F6:I6"/>
    <mergeCell ref="E30:I30"/>
    <mergeCell ref="D38:I38"/>
    <mergeCell ref="F7:I7"/>
    <mergeCell ref="E46:I46"/>
    <mergeCell ref="F12:I12"/>
    <mergeCell ref="E49:I49"/>
    <mergeCell ref="E27:I27"/>
    <mergeCell ref="F5:I5"/>
    <mergeCell ref="E26:I26"/>
    <mergeCell ref="B64:I64"/>
    <mergeCell ref="F8:I8"/>
    <mergeCell ref="D40:I40"/>
    <mergeCell ref="E25:I25"/>
    <mergeCell ref="A1:I1"/>
    <mergeCell ref="B45:I45"/>
    <mergeCell ref="E22:I22"/>
    <mergeCell ref="E47:I47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1:E62">
    <cfRule type="dataBar" priority="3">
      <dataBar showValue="1">
        <cfvo type="num" val="0"/>
        <cfvo type="max"/>
        <color rgb="00F5831F"/>
      </dataBar>
    </cfRule>
  </conditionalFormatting>
  <conditionalFormatting sqref="I51:I63">
    <cfRule type="cellIs" priority="4" operator="lessThan" dxfId="0">
      <formula>0</formula>
    </cfRule>
  </conditionalFormatting>
  <dataValidations count="1">
    <dataValidation sqref="C23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الدائري الشمالي  ·  RY075</t>
        </is>
      </c>
    </row>
    <row r="2" ht="16" customHeight="1">
      <c r="A2" s="2" t="inlineStr">
        <is>
          <t>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6315203</v>
      </c>
      <c r="D6" s="14" t="n">
        <v>7351302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3290913</v>
      </c>
      <c r="D7" s="11" t="n">
        <v>3827940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238105</v>
      </c>
      <c r="D8" s="14" t="n">
        <v>287219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0.038</v>
      </c>
      <c r="D9" s="31" t="n">
        <v>0.039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30</v>
      </c>
      <c r="D10" s="11" t="n">
        <v>30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105000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25490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57444</v>
      </c>
      <c r="D13" s="14" t="n">
        <v>103354.38</v>
      </c>
      <c r="E13" s="53">
        <f>C13-D13</f>
        <v/>
      </c>
      <c r="F13" s="25" t="inlineStr">
        <is>
          <t>نسبة ثابتة من الصافي</t>
        </is>
      </c>
      <c r="G13" s="26" t="n"/>
      <c r="H13" s="26" t="n"/>
      <c r="I13" s="26" t="n"/>
    </row>
    <row r="14" ht="26" customHeight="1">
      <c r="B14" s="15" t="inlineStr">
        <is>
          <t>شروط العقد: نسبة ٢٠٪ ثابتة</t>
        </is>
      </c>
      <c r="C14" s="16" t="n"/>
      <c r="D14" s="16" t="n"/>
      <c r="E14" s="16" t="n"/>
      <c r="F14" s="16" t="n"/>
      <c r="G14" s="16" t="n"/>
      <c r="H14" s="16" t="n"/>
      <c r="I14" s="16" t="n"/>
    </row>
    <row r="16" ht="22" customHeight="1">
      <c r="B16" s="19" t="inlineStr">
        <is>
          <t>② حاسبة اللتر — قيمته وهامشه ومصاريفه وصافيه</t>
        </is>
      </c>
      <c r="C16" s="20" t="n"/>
      <c r="D16" s="20" t="n"/>
      <c r="E16" s="20" t="n"/>
      <c r="F16" s="20" t="n"/>
      <c r="G16" s="20" t="n"/>
      <c r="H16" s="20" t="n"/>
      <c r="I16" s="20" t="n"/>
    </row>
    <row r="17" ht="30" customHeight="1">
      <c r="A17" s="4" t="inlineStr"/>
      <c r="B17" s="4" t="inlineStr">
        <is>
          <t>البند</t>
        </is>
      </c>
      <c r="C17" s="4" t="inlineStr">
        <is>
          <t>القيمة</t>
        </is>
      </c>
      <c r="D17" s="4" t="inlineStr">
        <is>
          <t>الوحدة</t>
        </is>
      </c>
      <c r="E17" s="4" t="inlineStr">
        <is>
          <t>من أين جاءت</t>
        </is>
      </c>
      <c r="F17" s="21" t="n"/>
      <c r="G17" s="21" t="n"/>
      <c r="H17" s="21" t="n"/>
      <c r="I17" s="22" t="n"/>
    </row>
    <row r="18">
      <c r="B18" s="32" t="inlineStr">
        <is>
          <t>لترات الشهر</t>
        </is>
      </c>
      <c r="C18" s="33" t="n">
        <v>1278784</v>
      </c>
      <c r="D18" s="24" t="inlineStr">
        <is>
          <t>لتر/شهر</t>
        </is>
      </c>
      <c r="E18" s="25" t="inlineStr">
        <is>
          <t>افتراضيّها معدّل الأداء: حجم الربع الثاني ÷ ٩١ يوماً × ٣٠٫٤ يوماً</t>
        </is>
      </c>
      <c r="F18" s="26" t="n"/>
      <c r="G18" s="26" t="n"/>
      <c r="H18" s="26" t="n"/>
      <c r="I18" s="26" t="n"/>
    </row>
    <row r="19">
      <c r="B19" s="32" t="inlineStr">
        <is>
          <t>سعر المضخة — شاملاً الضريبة</t>
        </is>
      </c>
      <c r="C19" s="34" t="n">
        <v>2.208497860468032</v>
      </c>
      <c r="D19" s="24" t="inlineStr">
        <is>
          <t>ريال/لتر</t>
        </is>
      </c>
      <c r="E19" s="25" t="inlineStr">
        <is>
          <t>مبيعات الربع الثاني ÷ حجمه (وهي قبل الضريبة) × ١٫١٥ لتصير سعر مضخة</t>
        </is>
      </c>
      <c r="F19" s="26" t="n"/>
      <c r="G19" s="26" t="n"/>
      <c r="H19" s="26" t="n"/>
      <c r="I19" s="26" t="n"/>
    </row>
    <row r="20">
      <c r="B20" s="32" t="inlineStr">
        <is>
          <t>هامش الوقود</t>
        </is>
      </c>
      <c r="C20" s="35" t="n">
        <v>0.05956990149500048</v>
      </c>
      <c r="D20" s="24" t="inlineStr">
        <is>
          <t>٪ من الإيراد قبل الضريبة</t>
        </is>
      </c>
      <c r="E20" s="45" t="inlineStr">
        <is>
          <t>⛔ متوسط الشبكة — لا قياس لهذه المحطة</t>
        </is>
      </c>
      <c r="F20" s="18" t="n"/>
      <c r="G20" s="18" t="n"/>
      <c r="H20" s="18" t="n"/>
      <c r="I20" s="18" t="n"/>
    </row>
    <row r="21">
      <c r="B21" s="36" t="inlineStr">
        <is>
          <t>① قيمة اللتر — قبل الضريبة</t>
        </is>
      </c>
      <c r="C21" s="37">
        <f>$C$19/1.15</f>
        <v/>
      </c>
      <c r="D21" s="24" t="inlineStr">
        <is>
          <t>ريال/لتر</t>
        </is>
      </c>
      <c r="E21" s="25" t="inlineStr">
        <is>
          <t>الصيغة: سعر المضخة ÷ ١٫١٥ · وهي قيمته التي يُحسب عليها الهامش</t>
        </is>
      </c>
      <c r="F21" s="26" t="n"/>
      <c r="G21" s="26" t="n"/>
      <c r="H21" s="26" t="n"/>
      <c r="I21" s="26" t="n"/>
    </row>
    <row r="22">
      <c r="B22" s="36" t="inlineStr">
        <is>
          <t>② هامش الربح للتر</t>
        </is>
      </c>
      <c r="C22" s="38">
        <f>$C$21*$C$20*100</f>
        <v/>
      </c>
      <c r="D22" s="24" t="inlineStr">
        <is>
          <t>هللة/لتر</t>
        </is>
      </c>
      <c r="E22" s="25" t="inlineStr">
        <is>
          <t>الصيغة: قيمة اللتر قبل الضريبة × هامش الوقود · هامش المساهمة قبل أي مصروف</t>
        </is>
      </c>
      <c r="F22" s="26" t="n"/>
      <c r="G22" s="26" t="n"/>
      <c r="H22" s="26" t="n"/>
      <c r="I22" s="26" t="n"/>
    </row>
    <row r="23">
      <c r="B23" s="32" t="inlineStr">
        <is>
          <t>أساس المصاريف</t>
        </is>
      </c>
      <c r="C23" s="39" t="inlineStr">
        <is>
          <t>متوسط محطاتنا — ٩٫١٥ هللة/لتر</t>
        </is>
      </c>
      <c r="D23" s="24" t="inlineStr">
        <is>
          <t>اختر</t>
        </is>
      </c>
      <c r="E23" s="25" t="inlineStr">
        <is>
          <t>ثلاثة أُسُس ولكلٍّ مصدره — الجدول أسفل الحاسبة</t>
        </is>
      </c>
      <c r="F23" s="26" t="n"/>
      <c r="G23" s="26" t="n"/>
      <c r="H23" s="26" t="n"/>
      <c r="I23" s="26" t="n"/>
    </row>
    <row r="24">
      <c r="B24" s="36" t="inlineStr">
        <is>
          <t>③ المصاريف للتر</t>
        </is>
      </c>
      <c r="C24" s="38">
        <f>VLOOKUP($C$23,$B$39:$C$42,2,FALSE)</f>
        <v/>
      </c>
      <c r="D24" s="24" t="inlineStr">
        <is>
          <t>هللة/لتر</t>
        </is>
      </c>
      <c r="E24" s="25" t="inlineStr">
        <is>
          <t>من الأساس المختار أعلاه</t>
        </is>
      </c>
      <c r="F24" s="26" t="n"/>
      <c r="G24" s="26" t="n"/>
      <c r="H24" s="26" t="n"/>
      <c r="I24" s="26" t="n"/>
    </row>
    <row r="25">
      <c r="B25" s="36" t="inlineStr">
        <is>
          <t>④ صافي اللتر</t>
        </is>
      </c>
      <c r="C25" s="38">
        <f>$C$22-$C$24</f>
        <v/>
      </c>
      <c r="D25" s="24" t="inlineStr">
        <is>
          <t>هللة/لتر</t>
        </is>
      </c>
      <c r="E25" s="25" t="inlineStr">
        <is>
          <t>الصيغة: الهامش − المصاريف · وهو ما يبقى فعلاً من كل لتر</t>
        </is>
      </c>
      <c r="F25" s="26" t="n"/>
      <c r="G25" s="26" t="n"/>
      <c r="H25" s="26" t="n"/>
      <c r="I25" s="26" t="n"/>
    </row>
    <row r="26" ht="30" customHeight="1">
      <c r="A26" s="4" t="inlineStr"/>
      <c r="B26" s="4" t="inlineStr">
        <is>
          <t>وبالريال لشهرٍ كامل</t>
        </is>
      </c>
      <c r="C26" s="4" t="inlineStr">
        <is>
          <t>في الشهر</t>
        </is>
      </c>
      <c r="D26" s="4" t="inlineStr">
        <is>
          <t>الوحدة</t>
        </is>
      </c>
      <c r="E26" s="4" t="inlineStr">
        <is>
          <t>الصيغة</t>
        </is>
      </c>
      <c r="F26" s="21" t="n"/>
      <c r="G26" s="21" t="n"/>
      <c r="H26" s="21" t="n"/>
      <c r="I26" s="22" t="n"/>
    </row>
    <row r="27">
      <c r="B27" s="32" t="inlineStr">
        <is>
          <t>المبيعات قبل الضريبة</t>
        </is>
      </c>
      <c r="C27" s="40">
        <f>$C$18*$C$21</f>
        <v/>
      </c>
      <c r="D27" s="24" t="inlineStr">
        <is>
          <t>ريال</t>
        </is>
      </c>
      <c r="E27" s="25" t="inlineStr">
        <is>
          <t>لترات الشهر × قيمة اللتر قبل الضريبة</t>
        </is>
      </c>
      <c r="F27" s="26" t="n"/>
      <c r="G27" s="26" t="n"/>
      <c r="H27" s="26" t="n"/>
      <c r="I27" s="26" t="n"/>
    </row>
    <row r="28">
      <c r="B28" s="32" t="inlineStr">
        <is>
          <t>وشاملةً الضريبة</t>
        </is>
      </c>
      <c r="C28" s="40">
        <f>C27*1.15</f>
        <v/>
      </c>
      <c r="D28" s="24" t="inlineStr">
        <is>
          <t>ريال</t>
        </is>
      </c>
      <c r="E28" s="25" t="inlineStr">
        <is>
          <t>وهو ما يُسجَّل على المضخة</t>
        </is>
      </c>
      <c r="F28" s="26" t="n"/>
      <c r="G28" s="26" t="n"/>
      <c r="H28" s="26" t="n"/>
      <c r="I28" s="26" t="n"/>
    </row>
    <row r="29">
      <c r="B29" s="32" t="inlineStr">
        <is>
          <t>هامش الربح</t>
        </is>
      </c>
      <c r="C29" s="27">
        <f>$C$18*$C$22/100</f>
        <v/>
      </c>
      <c r="D29" s="24" t="inlineStr">
        <is>
          <t>ريال</t>
        </is>
      </c>
      <c r="E29" s="25" t="inlineStr">
        <is>
          <t>لترات الشهر × هامش اللتر</t>
        </is>
      </c>
      <c r="F29" s="26" t="n"/>
      <c r="G29" s="26" t="n"/>
      <c r="H29" s="26" t="n"/>
      <c r="I29" s="26" t="n"/>
    </row>
    <row r="30">
      <c r="B30" s="32" t="inlineStr">
        <is>
          <t>المصاريف</t>
        </is>
      </c>
      <c r="C30" s="41">
        <f>-$C$18*$C$24/100</f>
        <v/>
      </c>
      <c r="D30" s="24" t="inlineStr">
        <is>
          <t>ريال</t>
        </is>
      </c>
      <c r="E30" s="25" t="inlineStr">
        <is>
          <t>لترات الشهر × مصاريف اللتر</t>
        </is>
      </c>
      <c r="F30" s="26" t="n"/>
      <c r="G30" s="26" t="n"/>
      <c r="H30" s="26" t="n"/>
      <c r="I30" s="26" t="n"/>
    </row>
    <row r="31">
      <c r="B31" s="36" t="inlineStr">
        <is>
          <t>الصافي</t>
        </is>
      </c>
      <c r="C31" s="42">
        <f>C29+C30</f>
        <v/>
      </c>
      <c r="D31" s="24" t="inlineStr">
        <is>
          <t>ريال</t>
        </is>
      </c>
      <c r="E31" s="25" t="inlineStr">
        <is>
          <t>الهامش − المصاريف</t>
        </is>
      </c>
      <c r="F31" s="26" t="n"/>
      <c r="G31" s="26" t="n"/>
      <c r="H31" s="26" t="n"/>
      <c r="I31" s="26" t="n"/>
    </row>
    <row r="38" ht="30" customHeight="1">
      <c r="A38" s="4" t="inlineStr"/>
      <c r="B38" s="4" t="inlineStr">
        <is>
          <t>أساس المصاريف</t>
        </is>
      </c>
      <c r="C38" s="4" t="inlineStr">
        <is>
          <t>هللة/لتر</t>
        </is>
      </c>
      <c r="D38" s="4" t="inlineStr">
        <is>
          <t>المصدر والتحفّظ</t>
        </is>
      </c>
      <c r="E38" s="21" t="n"/>
      <c r="F38" s="21" t="n"/>
      <c r="G38" s="21" t="n"/>
      <c r="H38" s="21" t="n"/>
      <c r="I38" s="22" t="n"/>
    </row>
    <row r="39">
      <c r="B39" s="5" t="inlineStr">
        <is>
          <t>متوسط محطاتنا — ٩٫١٥ هللة/لتر</t>
        </is>
      </c>
      <c r="C39" s="13" t="n">
        <v>9.15</v>
      </c>
      <c r="D39" s="25" t="inlineStr">
        <is>
          <t>مصاريف تشغيل محطاتنا الـ٤٩ (دون الامتياز) ÷ لتراتها</t>
        </is>
      </c>
      <c r="E39" s="26" t="n"/>
      <c r="F39" s="26" t="n"/>
      <c r="G39" s="26" t="n"/>
      <c r="H39" s="26" t="n"/>
      <c r="I39" s="26" t="n"/>
    </row>
    <row r="40">
      <c r="B40" s="43" t="inlineStr">
        <is>
          <t>المحمَّل الكامل — ١٣٫٥٦ هللة/لتر</t>
        </is>
      </c>
      <c r="C40" s="44" t="n">
        <v>13.56</v>
      </c>
      <c r="D40" s="25" t="inlineStr">
        <is>
          <t>يُضاف إليها بيعٌ وتسويق وإدارة وفوائد — لقرار رأس المال لا للتشغيل</t>
        </is>
      </c>
      <c r="E40" s="26" t="n"/>
      <c r="F40" s="26" t="n"/>
      <c r="G40" s="26" t="n"/>
      <c r="H40" s="26" t="n"/>
      <c r="I40" s="26" t="n"/>
    </row>
    <row r="41">
      <c r="B41" s="43" t="inlineStr">
        <is>
          <t>المقيس في تقرير الربع الثاني</t>
        </is>
      </c>
      <c r="C41" s="44" t="n">
        <v>3.408883106840755</v>
      </c>
      <c r="D41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1" s="18" t="n"/>
      <c r="F41" s="18" t="n"/>
      <c r="G41" s="18" t="n"/>
      <c r="H41" s="18" t="n"/>
      <c r="I41" s="18" t="n"/>
    </row>
    <row r="42" ht="26" customHeight="1">
      <c r="B42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2" s="18" t="n"/>
      <c r="D42" s="18" t="n"/>
      <c r="E42" s="18" t="n"/>
      <c r="F42" s="18" t="n"/>
      <c r="G42" s="18" t="n"/>
      <c r="H42" s="18" t="n"/>
      <c r="I42" s="18" t="n"/>
    </row>
    <row r="43" ht="32" customHeight="1">
      <c r="B43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3" s="18" t="n"/>
      <c r="D43" s="18" t="n"/>
      <c r="E43" s="18" t="n"/>
      <c r="F43" s="18" t="n"/>
      <c r="G43" s="18" t="n"/>
      <c r="H43" s="18" t="n"/>
      <c r="I43" s="18" t="n"/>
    </row>
    <row r="45" ht="22" customHeight="1">
      <c r="B45" s="19" t="inlineStr">
        <is>
          <t>③ المستهدف الشهري — اثنا عشر شهراً</t>
        </is>
      </c>
      <c r="C45" s="20" t="n"/>
      <c r="D45" s="20" t="n"/>
      <c r="E45" s="20" t="n"/>
      <c r="F45" s="20" t="n"/>
      <c r="G45" s="20" t="n"/>
      <c r="H45" s="20" t="n"/>
      <c r="I45" s="20" t="n"/>
    </row>
    <row r="46" ht="30" customHeight="1">
      <c r="A46" s="4" t="inlineStr"/>
      <c r="B46" s="4" t="inlineStr">
        <is>
          <t>الأساس</t>
        </is>
      </c>
      <c r="C46" s="4" t="inlineStr">
        <is>
          <t>القيمة</t>
        </is>
      </c>
      <c r="D46" s="4" t="inlineStr">
        <is>
          <t>الوحدة</t>
        </is>
      </c>
      <c r="E46" s="4" t="inlineStr">
        <is>
          <t>من أين جاءت</t>
        </is>
      </c>
      <c r="F46" s="21" t="n"/>
      <c r="G46" s="21" t="n"/>
      <c r="H46" s="21" t="n"/>
      <c r="I46" s="22" t="n"/>
    </row>
    <row r="47">
      <c r="B47" s="5" t="inlineStr">
        <is>
          <t>خط الأساس</t>
        </is>
      </c>
      <c r="C47" s="11" t="n">
        <v>42065.27472527473</v>
      </c>
      <c r="D47" s="24" t="inlineStr">
        <is>
          <t>لتر/يوم</t>
        </is>
      </c>
      <c r="E47" s="25" t="inlineStr">
        <is>
          <t>حجم الربع الثاني ÷ ٩١ يوماً</t>
        </is>
      </c>
      <c r="F47" s="26" t="n"/>
      <c r="G47" s="26" t="n"/>
      <c r="H47" s="26" t="n"/>
      <c r="I47" s="26" t="n"/>
    </row>
    <row r="48">
      <c r="B48" s="5" t="inlineStr">
        <is>
          <t>الإضافة المستهدفة</t>
        </is>
      </c>
      <c r="C48" s="33" t="n">
        <v>0</v>
      </c>
      <c r="D48" s="24" t="inlineStr">
        <is>
          <t>لتر/يوم</t>
        </is>
      </c>
      <c r="E48" s="25" t="inlineStr">
        <is>
          <t>لا فجوة ذروة مقيسة لهذه المحطة — المستهدف ثباتُ الأداء</t>
        </is>
      </c>
      <c r="F48" s="26" t="n"/>
      <c r="G48" s="26" t="n"/>
      <c r="H48" s="26" t="n"/>
      <c r="I48" s="26" t="n"/>
    </row>
    <row r="49">
      <c r="B49" s="5" t="inlineStr">
        <is>
          <t>أشهر التدرّج</t>
        </is>
      </c>
      <c r="C49" s="33" t="n">
        <v>6</v>
      </c>
      <c r="D49" s="24" t="inlineStr">
        <is>
          <t>شهر</t>
        </is>
      </c>
      <c r="E49" s="25" t="inlineStr">
        <is>
          <t>يُبلغ المستهدف كاملاً في الشهر السادس ثم يثبت</t>
        </is>
      </c>
      <c r="F49" s="26" t="n"/>
      <c r="G49" s="26" t="n"/>
      <c r="H49" s="26" t="n"/>
      <c r="I49" s="26" t="n"/>
    </row>
    <row r="50" ht="26" customHeight="1">
      <c r="A50" s="4" t="inlineStr"/>
      <c r="B50" s="4" t="inlineStr">
        <is>
          <t>الشهر</t>
        </is>
      </c>
      <c r="C50" s="4" t="inlineStr">
        <is>
          <t>أيام</t>
        </is>
      </c>
      <c r="D50" s="4" t="inlineStr">
        <is>
          <t>لتر/يوم</t>
        </is>
      </c>
      <c r="E50" s="4" t="inlineStr">
        <is>
          <t>لترات الشهر</t>
        </is>
      </c>
      <c r="F50" s="4" t="inlineStr">
        <is>
          <t>المبيعات قبل الضريبة</t>
        </is>
      </c>
      <c r="G50" s="4" t="inlineStr">
        <is>
          <t>هامش الربح</t>
        </is>
      </c>
      <c r="H50" s="4" t="inlineStr">
        <is>
          <t>المصاريف</t>
        </is>
      </c>
      <c r="I50" s="4" t="inlineStr">
        <is>
          <t>الصافي</t>
        </is>
      </c>
    </row>
    <row r="51">
      <c r="B51" s="5" t="inlineStr">
        <is>
          <t>أكتوبر ٢٠٢٦</t>
        </is>
      </c>
      <c r="C51" s="11" t="n">
        <v>31</v>
      </c>
      <c r="D51" s="11">
        <f>$C$47+$C$48*MIN(1,1/$C$49)</f>
        <v/>
      </c>
      <c r="E51" s="46">
        <f>D51*C51</f>
        <v/>
      </c>
      <c r="F51" s="14">
        <f>E51*$C$21</f>
        <v/>
      </c>
      <c r="G51" s="14">
        <f>E51*$C$22/100</f>
        <v/>
      </c>
      <c r="H51" s="14">
        <f>-E51*$C$24/100</f>
        <v/>
      </c>
      <c r="I51" s="47">
        <f>G51+H51</f>
        <v/>
      </c>
    </row>
    <row r="52">
      <c r="B52" s="5" t="inlineStr">
        <is>
          <t>نوفمبر ٢٠٢٦</t>
        </is>
      </c>
      <c r="C52" s="11" t="n">
        <v>30</v>
      </c>
      <c r="D52" s="11">
        <f>$C$47+$C$48*MIN(1,2/$C$49)</f>
        <v/>
      </c>
      <c r="E52" s="46">
        <f>D52*C52</f>
        <v/>
      </c>
      <c r="F52" s="14">
        <f>E52*$C$21</f>
        <v/>
      </c>
      <c r="G52" s="14">
        <f>E52*$C$22/100</f>
        <v/>
      </c>
      <c r="H52" s="14">
        <f>-E52*$C$24/100</f>
        <v/>
      </c>
      <c r="I52" s="47">
        <f>G52+H52</f>
        <v/>
      </c>
    </row>
    <row r="53">
      <c r="B53" s="5" t="inlineStr">
        <is>
          <t>ديسمبر ٢٠٢٦</t>
        </is>
      </c>
      <c r="C53" s="11" t="n">
        <v>31</v>
      </c>
      <c r="D53" s="11">
        <f>$C$47+$C$48*MIN(1,3/$C$49)</f>
        <v/>
      </c>
      <c r="E53" s="46">
        <f>D53*C53</f>
        <v/>
      </c>
      <c r="F53" s="14">
        <f>E53*$C$21</f>
        <v/>
      </c>
      <c r="G53" s="14">
        <f>E53*$C$22/100</f>
        <v/>
      </c>
      <c r="H53" s="14">
        <f>-E53*$C$24/100</f>
        <v/>
      </c>
      <c r="I53" s="47">
        <f>G53+H53</f>
        <v/>
      </c>
    </row>
    <row r="54">
      <c r="B54" s="5" t="inlineStr">
        <is>
          <t>يناير ٢٠٢٧</t>
        </is>
      </c>
      <c r="C54" s="11" t="n">
        <v>31</v>
      </c>
      <c r="D54" s="11">
        <f>$C$47+$C$48*MIN(1,4/$C$49)</f>
        <v/>
      </c>
      <c r="E54" s="46">
        <f>D54*C54</f>
        <v/>
      </c>
      <c r="F54" s="14">
        <f>E54*$C$21</f>
        <v/>
      </c>
      <c r="G54" s="14">
        <f>E54*$C$22/100</f>
        <v/>
      </c>
      <c r="H54" s="14">
        <f>-E54*$C$24/100</f>
        <v/>
      </c>
      <c r="I54" s="47">
        <f>G54+H54</f>
        <v/>
      </c>
    </row>
    <row r="55">
      <c r="B55" s="5" t="inlineStr">
        <is>
          <t>فبراير ٢٠٢٧</t>
        </is>
      </c>
      <c r="C55" s="11" t="n">
        <v>28</v>
      </c>
      <c r="D55" s="11">
        <f>$C$47+$C$48*MIN(1,5/$C$49)</f>
        <v/>
      </c>
      <c r="E55" s="46">
        <f>D55*C55</f>
        <v/>
      </c>
      <c r="F55" s="14">
        <f>E55*$C$21</f>
        <v/>
      </c>
      <c r="G55" s="14">
        <f>E55*$C$22/100</f>
        <v/>
      </c>
      <c r="H55" s="14">
        <f>-E55*$C$24/100</f>
        <v/>
      </c>
      <c r="I55" s="47">
        <f>G55+H55</f>
        <v/>
      </c>
    </row>
    <row r="56">
      <c r="B56" s="5" t="inlineStr">
        <is>
          <t>مارس ٢٠٢٧</t>
        </is>
      </c>
      <c r="C56" s="11" t="n">
        <v>31</v>
      </c>
      <c r="D56" s="11">
        <f>$C$47+$C$48*MIN(1,6/$C$49)</f>
        <v/>
      </c>
      <c r="E56" s="46">
        <f>D56*C56</f>
        <v/>
      </c>
      <c r="F56" s="14">
        <f>E56*$C$21</f>
        <v/>
      </c>
      <c r="G56" s="14">
        <f>E56*$C$22/100</f>
        <v/>
      </c>
      <c r="H56" s="14">
        <f>-E56*$C$24/100</f>
        <v/>
      </c>
      <c r="I56" s="47">
        <f>G56+H56</f>
        <v/>
      </c>
    </row>
    <row r="57">
      <c r="B57" s="5" t="inlineStr">
        <is>
          <t>أبريل ٢٠٢٧</t>
        </is>
      </c>
      <c r="C57" s="11" t="n">
        <v>30</v>
      </c>
      <c r="D57" s="11">
        <f>$C$47+$C$48*MIN(1,7/$C$49)</f>
        <v/>
      </c>
      <c r="E57" s="46">
        <f>D57*C57</f>
        <v/>
      </c>
      <c r="F57" s="14">
        <f>E57*$C$21</f>
        <v/>
      </c>
      <c r="G57" s="14">
        <f>E57*$C$22/100</f>
        <v/>
      </c>
      <c r="H57" s="14">
        <f>-E57*$C$24/100</f>
        <v/>
      </c>
      <c r="I57" s="47">
        <f>G57+H57</f>
        <v/>
      </c>
    </row>
    <row r="58">
      <c r="B58" s="5" t="inlineStr">
        <is>
          <t>مايو ٢٠٢٧</t>
        </is>
      </c>
      <c r="C58" s="11" t="n">
        <v>31</v>
      </c>
      <c r="D58" s="11">
        <f>$C$47+$C$48*MIN(1,8/$C$49)</f>
        <v/>
      </c>
      <c r="E58" s="46">
        <f>D58*C58</f>
        <v/>
      </c>
      <c r="F58" s="14">
        <f>E58*$C$21</f>
        <v/>
      </c>
      <c r="G58" s="14">
        <f>E58*$C$22/100</f>
        <v/>
      </c>
      <c r="H58" s="14">
        <f>-E58*$C$24/100</f>
        <v/>
      </c>
      <c r="I58" s="47">
        <f>G58+H58</f>
        <v/>
      </c>
    </row>
    <row r="59">
      <c r="B59" s="5" t="inlineStr">
        <is>
          <t>يونيو ٢٠٢٧</t>
        </is>
      </c>
      <c r="C59" s="11" t="n">
        <v>30</v>
      </c>
      <c r="D59" s="11">
        <f>$C$47+$C$48*MIN(1,9/$C$49)</f>
        <v/>
      </c>
      <c r="E59" s="46">
        <f>D59*C59</f>
        <v/>
      </c>
      <c r="F59" s="14">
        <f>E59*$C$21</f>
        <v/>
      </c>
      <c r="G59" s="14">
        <f>E59*$C$22/100</f>
        <v/>
      </c>
      <c r="H59" s="14">
        <f>-E59*$C$24/100</f>
        <v/>
      </c>
      <c r="I59" s="47">
        <f>G59+H59</f>
        <v/>
      </c>
    </row>
    <row r="60">
      <c r="B60" s="5" t="inlineStr">
        <is>
          <t>يوليو ٢٠٢٧</t>
        </is>
      </c>
      <c r="C60" s="11" t="n">
        <v>31</v>
      </c>
      <c r="D60" s="11">
        <f>$C$47+$C$48*MIN(1,10/$C$49)</f>
        <v/>
      </c>
      <c r="E60" s="46">
        <f>D60*C60</f>
        <v/>
      </c>
      <c r="F60" s="14">
        <f>E60*$C$21</f>
        <v/>
      </c>
      <c r="G60" s="14">
        <f>E60*$C$22/100</f>
        <v/>
      </c>
      <c r="H60" s="14">
        <f>-E60*$C$24/100</f>
        <v/>
      </c>
      <c r="I60" s="47">
        <f>G60+H60</f>
        <v/>
      </c>
    </row>
    <row r="61">
      <c r="B61" s="5" t="inlineStr">
        <is>
          <t>أغسطس ٢٠٢٧</t>
        </is>
      </c>
      <c r="C61" s="11" t="n">
        <v>31</v>
      </c>
      <c r="D61" s="11">
        <f>$C$47+$C$48*MIN(1,11/$C$49)</f>
        <v/>
      </c>
      <c r="E61" s="46">
        <f>D61*C61</f>
        <v/>
      </c>
      <c r="F61" s="14">
        <f>E61*$C$21</f>
        <v/>
      </c>
      <c r="G61" s="14">
        <f>E61*$C$22/100</f>
        <v/>
      </c>
      <c r="H61" s="14">
        <f>-E61*$C$24/100</f>
        <v/>
      </c>
      <c r="I61" s="47">
        <f>G61+H61</f>
        <v/>
      </c>
    </row>
    <row r="62">
      <c r="B62" s="5" t="inlineStr">
        <is>
          <t>سبتمبر ٢٠٢٧</t>
        </is>
      </c>
      <c r="C62" s="11" t="n">
        <v>30</v>
      </c>
      <c r="D62" s="11">
        <f>$C$47+$C$48*MIN(1,12/$C$49)</f>
        <v/>
      </c>
      <c r="E62" s="46">
        <f>D62*C62</f>
        <v/>
      </c>
      <c r="F62" s="14">
        <f>E62*$C$21</f>
        <v/>
      </c>
      <c r="G62" s="14">
        <f>E62*$C$22/100</f>
        <v/>
      </c>
      <c r="H62" s="14">
        <f>-E62*$C$24/100</f>
        <v/>
      </c>
      <c r="I62" s="47">
        <f>G62+H62</f>
        <v/>
      </c>
    </row>
    <row r="63">
      <c r="B63" s="48" t="inlineStr">
        <is>
          <t>السنة كاملةً</t>
        </is>
      </c>
      <c r="C63" s="49">
        <f>SUM(C51:C62)</f>
        <v/>
      </c>
      <c r="D63" s="49">
        <f>AVERAGE(D51:D62)</f>
        <v/>
      </c>
      <c r="E63" s="49">
        <f>SUM(E51:E62)</f>
        <v/>
      </c>
      <c r="F63" s="47">
        <f>SUM(F51:F62)</f>
        <v/>
      </c>
      <c r="G63" s="47">
        <f>SUM(G51:G62)</f>
        <v/>
      </c>
      <c r="H63" s="47">
        <f>SUM(H51:H62)</f>
        <v/>
      </c>
      <c r="I63" s="47">
        <f>SUM(I51:I62)</f>
        <v/>
      </c>
    </row>
    <row r="64" ht="32" customHeight="1">
      <c r="B64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4" s="20" t="n"/>
      <c r="D64" s="20" t="n"/>
      <c r="E64" s="20" t="n"/>
      <c r="F64" s="20" t="n"/>
      <c r="G64" s="20" t="n"/>
      <c r="H64" s="20" t="n"/>
      <c r="I64" s="20" t="n"/>
    </row>
  </sheetData>
  <mergeCells count="41">
    <mergeCell ref="F13:I13"/>
    <mergeCell ref="E21:I21"/>
    <mergeCell ref="F9:I9"/>
    <mergeCell ref="B16:I16"/>
    <mergeCell ref="E24:I24"/>
    <mergeCell ref="D41:I41"/>
    <mergeCell ref="E23:I23"/>
    <mergeCell ref="E48:I48"/>
    <mergeCell ref="E17:I17"/>
    <mergeCell ref="B43:I43"/>
    <mergeCell ref="A2:I2"/>
    <mergeCell ref="E29:I29"/>
    <mergeCell ref="E20:I20"/>
    <mergeCell ref="F11:I11"/>
    <mergeCell ref="E28:I28"/>
    <mergeCell ref="B42:I42"/>
    <mergeCell ref="E19:I19"/>
    <mergeCell ref="B14:I14"/>
    <mergeCell ref="E31:I31"/>
    <mergeCell ref="F10:I10"/>
    <mergeCell ref="D39:I39"/>
    <mergeCell ref="F6:I6"/>
    <mergeCell ref="E30:I30"/>
    <mergeCell ref="D38:I38"/>
    <mergeCell ref="F7:I7"/>
    <mergeCell ref="E46:I46"/>
    <mergeCell ref="F12:I12"/>
    <mergeCell ref="E49:I49"/>
    <mergeCell ref="E27:I27"/>
    <mergeCell ref="F5:I5"/>
    <mergeCell ref="E26:I26"/>
    <mergeCell ref="B64:I64"/>
    <mergeCell ref="F8:I8"/>
    <mergeCell ref="D40:I40"/>
    <mergeCell ref="E25:I25"/>
    <mergeCell ref="A1:I1"/>
    <mergeCell ref="B45:I45"/>
    <mergeCell ref="E22:I22"/>
    <mergeCell ref="E47:I47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1:E62">
    <cfRule type="dataBar" priority="3">
      <dataBar showValue="1">
        <cfvo type="num" val="0"/>
        <cfvo type="max"/>
        <color rgb="00F5831F"/>
      </dataBar>
    </cfRule>
  </conditionalFormatting>
  <conditionalFormatting sqref="I51:I63">
    <cfRule type="cellIs" priority="4" operator="lessThan" dxfId="0">
      <formula>0</formula>
    </cfRule>
  </conditionalFormatting>
  <dataValidations count="1">
    <dataValidation sqref="C23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جنوب الطائف  ·  MK006</t>
        </is>
      </c>
    </row>
    <row r="2" ht="16" customHeight="1">
      <c r="A2" s="2" t="inlineStr">
        <is>
          <t>الطائف · حيوية · نموذج العمل استثماري · رابحة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15868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27" t="n">
        <v>550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0.0347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0.0677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1653.920454545455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41494.8025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25.08875344395204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17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1261442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2.268367030589389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0.0677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«استثماري» — 11.08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«استثماري» — 11.08 هللة/لتر</t>
        </is>
      </c>
      <c r="C41" s="13" t="n">
        <v>11.08</v>
      </c>
      <c r="D41" s="25" t="inlineStr">
        <is>
          <t>مصاريف تشغيل محطات استثماري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41494.8025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224.1421509109992</v>
      </c>
      <c r="D51" s="24" t="inlineStr">
        <is>
          <t>لتر/يوم</t>
        </is>
      </c>
      <c r="E51" s="25" t="inlineStr">
        <is>
          <t>فجوة ساعات الذروة 22.3 معاملة/يوم × 40٪ إغلاقاً × 25.1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</sheetData>
  <mergeCells count="44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«استثماري» — 11.08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أحلى مساء  ·  MK028</t>
        </is>
      </c>
    </row>
    <row r="2" ht="16" customHeight="1">
      <c r="A2" s="2" t="inlineStr">
        <is>
          <t>الطائف · مختلط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7957528</v>
      </c>
      <c r="D6" s="14" t="n">
        <v>7010487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4104111</v>
      </c>
      <c r="D7" s="11" t="n">
        <v>3624705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362198</v>
      </c>
      <c r="D8" s="14" t="n">
        <v>267281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0.046</v>
      </c>
      <c r="D9" s="31" t="n">
        <v>0.038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36</v>
      </c>
      <c r="D10" s="11" t="n">
        <v>36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126000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12809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102784</v>
      </c>
      <c r="D13" s="14" t="n">
        <v>103220.4230835547</v>
      </c>
      <c r="E13" s="53">
        <f>C13-D13</f>
        <v/>
      </c>
      <c r="F13" s="25" t="inlineStr">
        <is>
          <t>عمولة معيارية</t>
        </is>
      </c>
      <c r="G13" s="26" t="n"/>
      <c r="H13" s="26" t="n"/>
      <c r="I13" s="26" t="n"/>
    </row>
    <row r="14" ht="26" customHeight="1">
      <c r="B14" s="15" t="inlineStr">
        <is>
          <t>شروط العقد: عمولة ٠٫٠٣ بنزين · ٠٫٠١٥ ديزل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1441.248730964467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43563.61629441624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30.22629984573445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0.1015388731210816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17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1210890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2.224197569181492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0.06115758919975302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3.829525437242479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39831.92307692308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511.4759218791673</v>
      </c>
      <c r="D54" s="24" t="inlineStr">
        <is>
          <t>لتر/يوم</t>
        </is>
      </c>
      <c r="E54" s="25" t="inlineStr">
        <is>
          <t>فجوة ساعات الذروة 42.3 معاملة/يوم × 40٪ إغلاقاً × 30.2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  <row r="71" ht="28" customHeight="1">
      <c r="B71" s="17" t="inlineStr">
        <is>
          <t>⛔ بوابة مفتوحة على هذه المحطة: بيانات دفع مفقودة — تُقفل قبل تحميل المستهدف على أحد، وإلا نُسبت نتيجتها إلى الجهد وهي من البوابة.</t>
        </is>
      </c>
      <c r="C71" s="18" t="n"/>
      <c r="D71" s="18" t="n"/>
      <c r="E71" s="18" t="n"/>
      <c r="F71" s="18" t="n"/>
      <c r="G71" s="18" t="n"/>
      <c r="H71" s="18" t="n"/>
      <c r="I71" s="18" t="n"/>
    </row>
  </sheetData>
  <mergeCells count="48">
    <mergeCell ref="F13:I13"/>
    <mergeCell ref="F9:I9"/>
    <mergeCell ref="E55:I55"/>
    <mergeCell ref="E24:I24"/>
    <mergeCell ref="E33:I33"/>
    <mergeCell ref="E52:I52"/>
    <mergeCell ref="B22:I22"/>
    <mergeCell ref="E23:I23"/>
    <mergeCell ref="B71:I71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أبو وافي العمرة  ·  MK033</t>
        </is>
      </c>
    </row>
    <row r="2" ht="16" customHeight="1">
      <c r="A2" s="2" t="inlineStr">
        <is>
          <t>مكة · خط سفر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7649675</v>
      </c>
      <c r="D6" s="14" t="n">
        <v>5978632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4362356</v>
      </c>
      <c r="D7" s="11" t="n">
        <v>3410759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193001</v>
      </c>
      <c r="D8" s="14" t="n">
        <v>143676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0.025</v>
      </c>
      <c r="D9" s="31" t="n">
        <v>0.024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38</v>
      </c>
      <c r="D10" s="11" t="n">
        <v>33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115500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22408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18678</v>
      </c>
      <c r="D13" s="14" t="n">
        <v>76336.68825958938</v>
      </c>
      <c r="E13" s="53">
        <f>C13-D13</f>
        <v/>
      </c>
      <c r="F13" s="25" t="inlineStr">
        <is>
          <t>نسبة ثابتة من الصافي</t>
        </is>
      </c>
      <c r="G13" s="26" t="n"/>
      <c r="H13" s="26" t="n"/>
      <c r="I13" s="26" t="n"/>
    </row>
    <row r="14" ht="26" customHeight="1">
      <c r="B14" s="15" t="inlineStr">
        <is>
          <t>شروط العقد: نسبة ١٥٪ في ر١ ثم ١٣٪ في ر٢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1411.108490566038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43568.31566037736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30.87524166402032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0.5079237346762723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19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1139418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2.015805514256504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0.04849237803854761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4.043322908478729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37480.86813186813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163.9094587393839</v>
      </c>
      <c r="D54" s="24" t="inlineStr">
        <is>
          <t>لتر/يوم</t>
        </is>
      </c>
      <c r="E54" s="25" t="inlineStr">
        <is>
          <t>فجوة ساعات الذروة 13.3 معاملة/يوم × 40٪ إغلاقاً × 30.9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</sheetData>
  <mergeCells count="47">
    <mergeCell ref="F13:I13"/>
    <mergeCell ref="F9:I9"/>
    <mergeCell ref="E55:I55"/>
    <mergeCell ref="E24:I24"/>
    <mergeCell ref="E33:I33"/>
    <mergeCell ref="E52:I52"/>
    <mergeCell ref="B22:I22"/>
    <mergeCell ref="E23:I23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جبل النور  ·  MK001</t>
        </is>
      </c>
    </row>
    <row r="2" ht="16" customHeight="1">
      <c r="A2" s="2" t="inlineStr">
        <is>
          <t>مكة · حيوية · نموذج العمل استثماري · رابحة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15017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27" t="n">
        <v>508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0.0338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0.06909999999999999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1853.408653846154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35781.71125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19.30589412957934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17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1087764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2.254391459010201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0.06909999999999999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«استثماري» — 11.08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«استثماري» — 11.08 هللة/لتر</t>
        </is>
      </c>
      <c r="C41" s="13" t="n">
        <v>11.08</v>
      </c>
      <c r="D41" s="25" t="inlineStr">
        <is>
          <t>مصاريف تشغيل محطات استثماري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35781.71125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43.73909945919794</v>
      </c>
      <c r="D51" s="24" t="inlineStr">
        <is>
          <t>لتر/يوم</t>
        </is>
      </c>
      <c r="E51" s="25" t="inlineStr">
        <is>
          <t>فجوة ساعات الذروة 5.7 معاملة/يوم × 40٪ إغلاقاً × 19.3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  <row r="68" ht="28" customHeight="1">
      <c r="B68" s="17" t="inlineStr">
        <is>
          <t>⛔ بوابة مفتوحة على هذه المحطة: بيانات دفع مفقودة — تُقفل قبل تحميل المستهدف على أحد، وإلا نُسبت نتيجتها إلى الجهد وهي من البوابة.</t>
        </is>
      </c>
      <c r="C68" s="18" t="n"/>
      <c r="D68" s="18" t="n"/>
      <c r="E68" s="18" t="n"/>
      <c r="F68" s="18" t="n"/>
      <c r="G68" s="18" t="n"/>
      <c r="H68" s="18" t="n"/>
      <c r="I68" s="18" t="n"/>
    </row>
  </sheetData>
  <mergeCells count="45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B68:I68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«استثماري» — 11.08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الحسينية  ·  MK008</t>
        </is>
      </c>
    </row>
    <row r="2" ht="16" customHeight="1">
      <c r="A2" s="2" t="inlineStr">
        <is>
          <t>مكة · حي · نموذج العمل إيجاري · رابحة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23775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27" t="n">
        <v>632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0.0266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0.0511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1697.722772277228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32430.70386138614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19.10247326062868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20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985893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2.248158436729447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0.0511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«إيجاري» — 5.63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«إيجاري» — 5.63 هللة/لتر</t>
        </is>
      </c>
      <c r="C41" s="13" t="n">
        <v>5.63</v>
      </c>
      <c r="D41" s="25" t="inlineStr">
        <is>
          <t>مصاريف تشغيل محطات إيجاري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32430.70386138614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282.9042188283337</v>
      </c>
      <c r="D51" s="24" t="inlineStr">
        <is>
          <t>لتر/يوم</t>
        </is>
      </c>
      <c r="E51" s="25" t="inlineStr">
        <is>
          <t>فجوة ساعات الذروة 37.0 معاملة/يوم × 40٪ إغلاقاً × 19.1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  <row r="68" ht="28" customHeight="1">
      <c r="B68" s="17" t="inlineStr">
        <is>
          <t>⛔ بوابة مفتوحة على هذه المحطة: فجوة مطابقة — تُقفل قبل تحميل المستهدف على أحد، وإلا نُسبت نتيجتها إلى الجهد وهي من البوابة.</t>
        </is>
      </c>
      <c r="C68" s="18" t="n"/>
      <c r="D68" s="18" t="n"/>
      <c r="E68" s="18" t="n"/>
      <c r="F68" s="18" t="n"/>
      <c r="G68" s="18" t="n"/>
      <c r="H68" s="18" t="n"/>
      <c r="I68" s="18" t="n"/>
    </row>
  </sheetData>
  <mergeCells count="45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B68:I68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«إيجاري» — 5.63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الرصيفة  ·  MK016</t>
        </is>
      </c>
    </row>
    <row r="2" ht="16" customHeight="1">
      <c r="A2" s="2" t="inlineStr">
        <is>
          <t>مكة · حيوية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5684187</v>
      </c>
      <c r="D6" s="14" t="n">
        <v>5115259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2904948</v>
      </c>
      <c r="D7" s="11" t="n">
        <v>2611625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247404</v>
      </c>
      <c r="D8" s="14" t="n">
        <v>214310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0.044</v>
      </c>
      <c r="D9" s="31" t="n">
        <v>0.042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33</v>
      </c>
      <c r="D10" s="11" t="n">
        <v>29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101500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9912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53577</v>
      </c>
      <c r="D13" s="14" t="n">
        <v>78348.75</v>
      </c>
      <c r="E13" s="53">
        <f>C13-D13</f>
        <v/>
      </c>
      <c r="F13" s="25" t="inlineStr">
        <is>
          <t>نسبة ثابتة من الصافي</t>
        </is>
      </c>
      <c r="G13" s="26" t="n"/>
      <c r="H13" s="26" t="n"/>
      <c r="I13" s="26" t="n"/>
    </row>
    <row r="14" ht="26" customHeight="1">
      <c r="B14" s="15" t="inlineStr">
        <is>
          <t>شروط العقد: نسبة ٢٥٪ ثابتة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1565.871794871795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30241.95456410256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19.31317408177635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21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872455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2.252447365146221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0.06463636054401155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4.266002967501077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28699.17582417583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48.38413724640669</v>
      </c>
      <c r="D54" s="24" t="inlineStr">
        <is>
          <t>لتر/يوم</t>
        </is>
      </c>
      <c r="E54" s="25" t="inlineStr">
        <is>
          <t>فجوة ساعات الذروة 6.3 معاملة/يوم × 40٪ إغلاقاً × 19.3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  <row r="71" ht="28" customHeight="1">
      <c r="B71" s="17" t="inlineStr">
        <is>
          <t>⛔ بوابة مفتوحة على هذه المحطة: بيانات دفع مفقودة — تُقفل قبل تحميل المستهدف على أحد، وإلا نُسبت نتيجتها إلى الجهد وهي من البوابة.</t>
        </is>
      </c>
      <c r="C71" s="18" t="n"/>
      <c r="D71" s="18" t="n"/>
      <c r="E71" s="18" t="n"/>
      <c r="F71" s="18" t="n"/>
      <c r="G71" s="18" t="n"/>
      <c r="H71" s="18" t="n"/>
      <c r="I71" s="18" t="n"/>
    </row>
  </sheetData>
  <mergeCells count="48">
    <mergeCell ref="F13:I13"/>
    <mergeCell ref="F9:I9"/>
    <mergeCell ref="E55:I55"/>
    <mergeCell ref="E24:I24"/>
    <mergeCell ref="E33:I33"/>
    <mergeCell ref="E52:I52"/>
    <mergeCell ref="B22:I22"/>
    <mergeCell ref="E23:I23"/>
    <mergeCell ref="B71:I71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الجمعية الوسام  ·  MK035</t>
        </is>
      </c>
    </row>
    <row r="2" ht="16" customHeight="1">
      <c r="A2" s="2" t="inlineStr">
        <is>
          <t>الطائف · مختلط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3932845</v>
      </c>
      <c r="D6" s="14" t="n">
        <v>4579569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2102148</v>
      </c>
      <c r="D7" s="11" t="n">
        <v>2468597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136774</v>
      </c>
      <c r="D8" s="14" t="n">
        <v>177835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0.035</v>
      </c>
      <c r="D9" s="31" t="n">
        <v>0.039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18</v>
      </c>
      <c r="D10" s="11" t="n">
        <v>18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63000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4902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35567</v>
      </c>
      <c r="D13" s="14" t="n">
        <v>62126.65742804539</v>
      </c>
      <c r="E13" s="53">
        <f>C13-D13</f>
        <v/>
      </c>
      <c r="F13" s="25" t="inlineStr">
        <is>
          <t>نسبة ثابتة من الصافي</t>
        </is>
      </c>
      <c r="G13" s="26" t="n"/>
      <c r="H13" s="26" t="n"/>
      <c r="I13" s="26" t="n"/>
    </row>
    <row r="14" ht="26" customHeight="1">
      <c r="B14" s="15" t="inlineStr">
        <is>
          <t>شروط العقد: نسبة ٢٠٪ ثابتة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811.6548223350254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25554.8459390863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31.48486922749787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0.3222141313994575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17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824674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2.133399801587703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0.05401812728602361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2.750631228993635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27127.43956043956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82.28791710595739</v>
      </c>
      <c r="D54" s="24" t="inlineStr">
        <is>
          <t>لتر/يوم</t>
        </is>
      </c>
      <c r="E54" s="25" t="inlineStr">
        <is>
          <t>فجوة ساعات الذروة 6.5 معاملة/يوم × 40٪ إغلاقاً × 31.5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  <row r="71" ht="28" customHeight="1">
      <c r="B71" s="17" t="inlineStr">
        <is>
          <t>⛔ بوابة مفتوحة على هذه المحطة: بيانات دفع مفقودة — تُقفل قبل تحميل المستهدف على أحد، وإلا نُسبت نتيجتها إلى الجهد وهي من البوابة.</t>
        </is>
      </c>
      <c r="C71" s="18" t="n"/>
      <c r="D71" s="18" t="n"/>
      <c r="E71" s="18" t="n"/>
      <c r="F71" s="18" t="n"/>
      <c r="G71" s="18" t="n"/>
      <c r="H71" s="18" t="n"/>
      <c r="I71" s="18" t="n"/>
    </row>
  </sheetData>
  <mergeCells count="48">
    <mergeCell ref="F13:I13"/>
    <mergeCell ref="F9:I9"/>
    <mergeCell ref="E55:I55"/>
    <mergeCell ref="E24:I24"/>
    <mergeCell ref="E33:I33"/>
    <mergeCell ref="E52:I52"/>
    <mergeCell ref="B22:I22"/>
    <mergeCell ref="E23:I23"/>
    <mergeCell ref="B71:I71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عرفات الشوقية  ·  MK017</t>
        </is>
      </c>
    </row>
    <row r="2" ht="16" customHeight="1">
      <c r="A2" s="2" t="inlineStr">
        <is>
          <t>مكة · حيوية · نموذج العمل إيجاري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10676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-23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-0.0022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0.0668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1269.174528301887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26741.98150943396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21.07037362719046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21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812956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2.259730218760973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0.0668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«إيجاري» — 5.63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«إيجاري» — 5.63 هللة/لتر</t>
        </is>
      </c>
      <c r="C41" s="13" t="n">
        <v>5.63</v>
      </c>
      <c r="D41" s="25" t="inlineStr">
        <is>
          <t>مصاريف تشغيل محطات إيجاري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26741.98150943396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11.40976060305444</v>
      </c>
      <c r="D51" s="24" t="inlineStr">
        <is>
          <t>لتر/يوم</t>
        </is>
      </c>
      <c r="E51" s="25" t="inlineStr">
        <is>
          <t>فجوة ساعات الذروة 1.4 معاملة/يوم × 40٪ إغلاقاً × 21.1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  <row r="68" ht="28" customHeight="1">
      <c r="B68" s="17" t="inlineStr">
        <is>
          <t>⛔ بوابة مفتوحة على هذه المحطة: بيانات دفع مفقودة — تُقفل قبل تحميل المستهدف على أحد، وإلا نُسبت نتيجتها إلى الجهد وهي من البوابة.</t>
        </is>
      </c>
      <c r="C68" s="18" t="n"/>
      <c r="D68" s="18" t="n"/>
      <c r="E68" s="18" t="n"/>
      <c r="F68" s="18" t="n"/>
      <c r="G68" s="18" t="n"/>
      <c r="H68" s="18" t="n"/>
      <c r="I68" s="18" t="n"/>
    </row>
  </sheetData>
  <mergeCells count="45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B68:I68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«إيجاري» — 5.63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ممشى الشوقية  ·  MK020</t>
        </is>
      </c>
    </row>
    <row r="2" ht="16" customHeight="1">
      <c r="A2" s="2" t="inlineStr">
        <is>
          <t>مكة · حيوية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4536406</v>
      </c>
      <c r="D6" s="14" t="n">
        <v>4777169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2309336</v>
      </c>
      <c r="D7" s="11" t="n">
        <v>2431417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161698</v>
      </c>
      <c r="D8" s="14" t="n">
        <v>184802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0.036</v>
      </c>
      <c r="D9" s="31" t="n">
        <v>0.039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28</v>
      </c>
      <c r="D10" s="11" t="n">
        <v>23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80500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30337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60785</v>
      </c>
      <c r="D13" s="14" t="n">
        <v>72942.50999999999</v>
      </c>
      <c r="E13" s="53">
        <f>C13-D13</f>
        <v/>
      </c>
      <c r="F13" s="25" t="inlineStr">
        <is>
          <t>عمولة دون المعياري</t>
        </is>
      </c>
      <c r="G13" s="26" t="n"/>
      <c r="H13" s="26" t="n"/>
      <c r="I13" s="26" t="n"/>
    </row>
    <row r="14" ht="26" customHeight="1">
      <c r="B14" s="15" t="inlineStr">
        <is>
          <t>شروط العقد: عمولة ٠٫٠٢٥ بنزين · ٠٫٠١٥ ديزل — دون المعياري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1361.754716981132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26167.55174528302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19.21605368351045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21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812254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2.259482577443523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0.06443510627319235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4.558535208070027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26718.86813186813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93.20425268928824</v>
      </c>
      <c r="D54" s="24" t="inlineStr">
        <is>
          <t>لتر/يوم</t>
        </is>
      </c>
      <c r="E54" s="25" t="inlineStr">
        <is>
          <t>فجوة ساعات الذروة 12.1 معاملة/يوم × 40٪ إغلاقاً × 19.2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  <row r="71" ht="28" customHeight="1">
      <c r="B71" s="17" t="inlineStr">
        <is>
          <t>⛔ بوابة مفتوحة على هذه المحطة: بيانات دفع مفقودة — تُقفل قبل تحميل المستهدف على أحد، وإلا نُسبت نتيجتها إلى الجهد وهي من البوابة.</t>
        </is>
      </c>
      <c r="C71" s="18" t="n"/>
      <c r="D71" s="18" t="n"/>
      <c r="E71" s="18" t="n"/>
      <c r="F71" s="18" t="n"/>
      <c r="G71" s="18" t="n"/>
      <c r="H71" s="18" t="n"/>
      <c r="I71" s="18" t="n"/>
    </row>
  </sheetData>
  <mergeCells count="48">
    <mergeCell ref="F13:I13"/>
    <mergeCell ref="F9:I9"/>
    <mergeCell ref="E55:I55"/>
    <mergeCell ref="E24:I24"/>
    <mergeCell ref="E33:I33"/>
    <mergeCell ref="E52:I52"/>
    <mergeCell ref="B22:I22"/>
    <mergeCell ref="E23:I23"/>
    <mergeCell ref="B71:I71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الجعرانة  ·  MK064</t>
        </is>
      </c>
    </row>
    <row r="2" ht="16" customHeight="1">
      <c r="A2" s="2" t="inlineStr">
        <is>
          <t>مكة · حي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4544806</v>
      </c>
      <c r="D6" s="14" t="n">
        <v>4422661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2482613</v>
      </c>
      <c r="D7" s="11" t="n">
        <v>2394191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129578</v>
      </c>
      <c r="D8" s="14" t="n">
        <v>119319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0.029</v>
      </c>
      <c r="D9" s="31" t="n">
        <v>0.027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30</v>
      </c>
      <c r="D10" s="11" t="n">
        <v>25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87500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10335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61224</v>
      </c>
      <c r="D13" s="14" t="n">
        <v>59997.25592696981</v>
      </c>
      <c r="E13" s="54">
        <f>C13-D13</f>
        <v/>
      </c>
      <c r="F13" s="25" t="inlineStr">
        <is>
          <t>عمولة معيارية</t>
        </is>
      </c>
      <c r="G13" s="26" t="n"/>
      <c r="H13" s="26" t="n"/>
      <c r="I13" s="26" t="n"/>
    </row>
    <row r="14" ht="26" customHeight="1">
      <c r="B14" s="15" t="inlineStr">
        <is>
          <t>شروط العقد: عمولة ٠٫٠٣ بنزين · ٠٫٠١٥ ديزل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1122.97641509434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27474.04311320755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24.46537856353777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0.3293659270300543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17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799818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2.124333501378962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0.05393158375947311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4.086349000560106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26309.79120879121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82.84062882386112</v>
      </c>
      <c r="D54" s="24" t="inlineStr">
        <is>
          <t>لتر/يوم</t>
        </is>
      </c>
      <c r="E54" s="25" t="inlineStr">
        <is>
          <t>فجوة ساعات الذروة 8.5 معاملة/يوم × 40٪ إغلاقاً × 24.5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</sheetData>
  <mergeCells count="47">
    <mergeCell ref="F13:I13"/>
    <mergeCell ref="F9:I9"/>
    <mergeCell ref="E55:I55"/>
    <mergeCell ref="E24:I24"/>
    <mergeCell ref="E33:I33"/>
    <mergeCell ref="E52:I52"/>
    <mergeCell ref="B22:I22"/>
    <mergeCell ref="E23:I23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طريق السيل  ·  MK054</t>
        </is>
      </c>
    </row>
    <row r="2" ht="16" customHeight="1">
      <c r="A2" s="2" t="inlineStr">
        <is>
          <t>مكة · خط سفر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946016</v>
      </c>
      <c r="D6" s="14" t="n">
        <v>4149274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512886</v>
      </c>
      <c r="D7" s="11" t="n">
        <v>2311916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9059</v>
      </c>
      <c r="D8" s="14" t="n">
        <v>77515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0.01</v>
      </c>
      <c r="D9" s="31" t="n">
        <v>0.019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13</v>
      </c>
      <c r="D10" s="11" t="n">
        <v>27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94500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6583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49793</v>
      </c>
      <c r="D13" s="14" t="n">
        <v>53929.93375867972</v>
      </c>
      <c r="E13" s="53">
        <f>C13-D13</f>
        <v/>
      </c>
      <c r="F13" s="25" t="inlineStr">
        <is>
          <t>عمولة دون المعياري</t>
        </is>
      </c>
      <c r="G13" s="26" t="n"/>
      <c r="H13" s="26" t="n"/>
      <c r="I13" s="26" t="n"/>
    </row>
    <row r="14" ht="26" customHeight="1">
      <c r="B14" s="15" t="inlineStr">
        <is>
          <t>شروط العقد: عمولة ٠٫٠٣ بنزين · ٠٫٠١ ديزل — دون المعياري · ر١ جزئي ٢٠ يوماً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736.8450704225352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29580.43387323944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40.1447129941127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0.4448704376606614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17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772332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2.063943975473157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0.05023870757206954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4.372260929895377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25405.67032967033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224.3245682901631</v>
      </c>
      <c r="D54" s="24" t="inlineStr">
        <is>
          <t>لتر/يوم</t>
        </is>
      </c>
      <c r="E54" s="25" t="inlineStr">
        <is>
          <t>فجوة ساعات الذروة 14.0 معاملة/يوم × 40٪ إغلاقاً × 40.1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</sheetData>
  <mergeCells count="47">
    <mergeCell ref="F13:I13"/>
    <mergeCell ref="F9:I9"/>
    <mergeCell ref="E55:I55"/>
    <mergeCell ref="E24:I24"/>
    <mergeCell ref="E33:I33"/>
    <mergeCell ref="E52:I52"/>
    <mergeCell ref="B22:I22"/>
    <mergeCell ref="E23:I23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بطحاء قريش 1  ·  MK022</t>
        </is>
      </c>
    </row>
    <row r="2" ht="16" customHeight="1">
      <c r="A2" s="2" t="inlineStr">
        <is>
          <t>مكة · حي · نموذج العمل إيجاري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9535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-65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-0.0068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0.0547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811.2924528301887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24771.50150943397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30.53338093189297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0.3647416220639058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17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753054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2.090190309454661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0.0547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«إيجاري» — 5.63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«إيجاري» — 5.63 هللة/لتر</t>
        </is>
      </c>
      <c r="C41" s="13" t="n">
        <v>5.63</v>
      </c>
      <c r="D41" s="25" t="inlineStr">
        <is>
          <t>مصاريف تشغيل محطات إيجاري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24771.50150943397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0</v>
      </c>
      <c r="D51" s="24" t="inlineStr">
        <is>
          <t>لتر/يوم</t>
        </is>
      </c>
      <c r="E51" s="25" t="inlineStr">
        <is>
          <t>لا فجوة ذروة مقيسة لهذه المحطة — المستهدف ثباتُ الأداء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  <row r="68" ht="28" customHeight="1">
      <c r="B68" s="17" t="inlineStr">
        <is>
          <t>⛔ بوابة مفتوحة على هذه المحطة: بيانات دفع مفقودة — تُقفل قبل تحميل المستهدف على أحد، وإلا نُسبت نتيجتها إلى الجهد وهي من البوابة.</t>
        </is>
      </c>
      <c r="C68" s="18" t="n"/>
      <c r="D68" s="18" t="n"/>
      <c r="E68" s="18" t="n"/>
      <c r="F68" s="18" t="n"/>
      <c r="G68" s="18" t="n"/>
      <c r="H68" s="18" t="n"/>
      <c r="I68" s="18" t="n"/>
    </row>
  </sheetData>
  <mergeCells count="45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B68:I68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«إيجاري» — 5.63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الرصيفة المسار  ·  MK018</t>
        </is>
      </c>
    </row>
    <row r="2" ht="16" customHeight="1">
      <c r="A2" s="2" t="inlineStr">
        <is>
          <t>مكة · حيوية · نموذج العمل إيجاري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9761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-39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-0.004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0.0602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1062.975609756098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23542.5618699187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22.14779121349792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0.209464670268131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22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715694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2.150383876099772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0.0602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«إيجاري» — 5.63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«إيجاري» — 5.63 هللة/لتر</t>
        </is>
      </c>
      <c r="C41" s="13" t="n">
        <v>5.63</v>
      </c>
      <c r="D41" s="25" t="inlineStr">
        <is>
          <t>مصاريف تشغيل محطات إيجاري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23542.5618699187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121.9979204389497</v>
      </c>
      <c r="D51" s="24" t="inlineStr">
        <is>
          <t>لتر/يوم</t>
        </is>
      </c>
      <c r="E51" s="25" t="inlineStr">
        <is>
          <t>فجوة ساعات الذروة 13.8 معاملة/يوم × 40٪ إغلاقاً × 22.1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</sheetData>
  <mergeCells count="44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«إيجاري» — 5.63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خليص  ·  MK014</t>
        </is>
      </c>
    </row>
    <row r="2" ht="16" customHeight="1">
      <c r="A2" s="2" t="inlineStr">
        <is>
          <t>مكة · خط سفر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8" t="inlineStr">
        <is>
          <t>—</t>
        </is>
      </c>
      <c r="D6" s="8" t="inlineStr">
        <is>
          <t>—</t>
        </is>
      </c>
      <c r="E6" s="29" t="inlineStr">
        <is>
          <t>—</t>
        </is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2173835</v>
      </c>
      <c r="D7" s="11" t="n">
        <v>2089097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84146</v>
      </c>
      <c r="D8" s="14" t="n">
        <v>66940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8" t="inlineStr">
        <is>
          <t>—</t>
        </is>
      </c>
      <c r="D9" s="8" t="inlineStr">
        <is>
          <t>—</t>
        </is>
      </c>
      <c r="E9" s="29" t="inlineStr">
        <is>
          <t>—</t>
        </is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8" t="inlineStr">
        <is>
          <t>—</t>
        </is>
      </c>
      <c r="D10" s="8" t="inlineStr">
        <is>
          <t>—</t>
        </is>
      </c>
      <c r="E10" s="29" t="inlineStr">
        <is>
          <t>—</t>
        </is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حصّتنا مقابل المعياري</t>
        </is>
      </c>
      <c r="C11" s="14" t="n">
        <v>66940</v>
      </c>
      <c r="D11" s="14" t="n">
        <v>42951.65905242298</v>
      </c>
      <c r="E11" s="54">
        <f>C11-D11</f>
        <v/>
      </c>
      <c r="F11" s="25" t="inlineStr">
        <is>
          <t>عمولة أعلى من المعياري</t>
        </is>
      </c>
      <c r="G11" s="26" t="n"/>
      <c r="H11" s="26" t="n"/>
      <c r="I11" s="26" t="n"/>
    </row>
    <row r="12" ht="26" customHeight="1">
      <c r="B12" s="15" t="inlineStr">
        <is>
          <t>شروط العقد: عمولة لتر فقط ٠٫٠٦ بنزين · ٠٫٠٢ ديزل — تحت مسمى نسبة المالك</t>
        </is>
      </c>
      <c r="C12" s="16" t="n"/>
      <c r="D12" s="16" t="n"/>
      <c r="E12" s="16" t="n"/>
      <c r="F12" s="16" t="n"/>
      <c r="G12" s="16" t="n"/>
      <c r="H12" s="16" t="n"/>
      <c r="I12" s="16" t="n"/>
    </row>
    <row r="13" ht="30" customHeight="1">
      <c r="A13" s="4" t="inlineStr"/>
      <c r="B13" s="4" t="inlineStr">
        <is>
          <t>من كاش إن</t>
        </is>
      </c>
      <c r="C13" s="4" t="inlineStr">
        <is>
          <t>القيمة</t>
        </is>
      </c>
      <c r="D13" s="4" t="inlineStr">
        <is>
          <t>الوحدة</t>
        </is>
      </c>
      <c r="E13" s="4" t="inlineStr">
        <is>
          <t>الملاحظة</t>
        </is>
      </c>
      <c r="F13" s="21" t="n"/>
      <c r="G13" s="21" t="n"/>
      <c r="H13" s="21" t="n"/>
      <c r="I13" s="22" t="n"/>
    </row>
    <row r="14">
      <c r="B14" s="5" t="inlineStr">
        <is>
          <t>زيارة في اليوم</t>
        </is>
      </c>
      <c r="C14" s="11" t="n">
        <v>416.9858490566038</v>
      </c>
      <c r="D14" s="24" t="inlineStr">
        <is>
          <t>زيارة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لتر في اليوم</t>
        </is>
      </c>
      <c r="C15" s="11" t="n">
        <v>23825.76537735849</v>
      </c>
      <c r="D15" s="24" t="inlineStr">
        <is>
          <t>لتر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لتر لكل زيارة</t>
        </is>
      </c>
      <c r="C16" s="30" t="n">
        <v>57.13806699019241</v>
      </c>
      <c r="D16" s="24" t="inlineStr">
        <is>
          <t>لتر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حصة الديزل</t>
        </is>
      </c>
      <c r="C17" s="31" t="n">
        <v>0.629338926422182</v>
      </c>
      <c r="D17" s="24" t="inlineStr">
        <is>
          <t>من اللترات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ساعة الذروة</t>
        </is>
      </c>
      <c r="C18" s="11" t="n">
        <v>18</v>
      </c>
      <c r="D18" s="24" t="inlineStr">
        <is>
          <t>من ٢٤</t>
        </is>
      </c>
      <c r="E18" s="29" t="inlineStr"/>
      <c r="F18" s="26" t="n"/>
      <c r="G18" s="26" t="n"/>
      <c r="H18" s="26" t="n"/>
      <c r="I18" s="26" t="n"/>
    </row>
    <row r="20" ht="22" customHeight="1">
      <c r="B20" s="19" t="inlineStr">
        <is>
          <t>② حاسبة اللتر — قيمته وهامشه ومصاريفه وصافيه</t>
        </is>
      </c>
      <c r="C20" s="20" t="n"/>
      <c r="D20" s="20" t="n"/>
      <c r="E20" s="20" t="n"/>
      <c r="F20" s="20" t="n"/>
      <c r="G20" s="20" t="n"/>
      <c r="H20" s="20" t="n"/>
      <c r="I20" s="20" t="n"/>
    </row>
    <row r="21" ht="30" customHeight="1">
      <c r="A21" s="4" t="inlineStr"/>
      <c r="B21" s="4" t="inlineStr">
        <is>
          <t>البند</t>
        </is>
      </c>
      <c r="C21" s="4" t="inlineStr">
        <is>
          <t>القيمة</t>
        </is>
      </c>
      <c r="D21" s="4" t="inlineStr">
        <is>
          <t>الوحدة</t>
        </is>
      </c>
      <c r="E21" s="4" t="inlineStr">
        <is>
          <t>من أين جاءت</t>
        </is>
      </c>
      <c r="F21" s="21" t="n"/>
      <c r="G21" s="21" t="n"/>
      <c r="H21" s="21" t="n"/>
      <c r="I21" s="22" t="n"/>
    </row>
    <row r="22">
      <c r="B22" s="32" t="inlineStr">
        <is>
          <t>لترات الشهر</t>
        </is>
      </c>
      <c r="C22" s="33" t="n">
        <v>697896</v>
      </c>
      <c r="D22" s="24" t="inlineStr">
        <is>
          <t>لتر/شهر</t>
        </is>
      </c>
      <c r="E22" s="25" t="inlineStr">
        <is>
          <t>افتراضيّها معدّل الأداء: حجم الربع الثاني ÷ ٩١ يوماً × ٣٠٫٤ يوماً</t>
        </is>
      </c>
      <c r="F22" s="26" t="n"/>
      <c r="G22" s="26" t="n"/>
      <c r="H22" s="26" t="n"/>
      <c r="I22" s="26" t="n"/>
    </row>
    <row r="23">
      <c r="B23" s="32" t="inlineStr">
        <is>
          <t>سعر المضخة — شاملاً الضريبة</t>
        </is>
      </c>
      <c r="C23" s="34" t="n">
        <v>1.968869647233372</v>
      </c>
      <c r="D23" s="24" t="inlineStr">
        <is>
          <t>ريال/لتر</t>
        </is>
      </c>
      <c r="E23" s="45" t="inlineStr">
        <is>
          <t>⛔ لا مبيعات مسجَّلة لها في تقرير الربع الثاني — فالسعر من كاش إن</t>
        </is>
      </c>
      <c r="F23" s="18" t="n"/>
      <c r="G23" s="18" t="n"/>
      <c r="H23" s="18" t="n"/>
      <c r="I23" s="18" t="n"/>
    </row>
    <row r="24">
      <c r="B24" s="32" t="inlineStr">
        <is>
          <t>هامش الوقود</t>
        </is>
      </c>
      <c r="C24" s="35" t="n">
        <v>0.04384023763900082</v>
      </c>
      <c r="D24" s="24" t="inlineStr">
        <is>
          <t>٪ من الإيراد قبل الضريبة</t>
        </is>
      </c>
      <c r="E24" s="45" t="inlineStr">
        <is>
          <t>مستنتج من مزيج المحطة — بنزين ١٢٫٦٦ هللة وديزل ٤٫٤٧ · ⛔ انحدار لا جدول معتمد</t>
        </is>
      </c>
      <c r="F24" s="18" t="n"/>
      <c r="G24" s="18" t="n"/>
      <c r="H24" s="18" t="n"/>
      <c r="I24" s="18" t="n"/>
    </row>
    <row r="25">
      <c r="B25" s="36" t="inlineStr">
        <is>
          <t>① قيمة اللتر — قبل الضريبة</t>
        </is>
      </c>
      <c r="C25" s="37">
        <f>$C$23/1.15</f>
        <v/>
      </c>
      <c r="D25" s="24" t="inlineStr">
        <is>
          <t>ريال/لتر</t>
        </is>
      </c>
      <c r="E25" s="25" t="inlineStr">
        <is>
          <t>الصيغة: سعر المضخة ÷ ١٫١٥ · وهي قيمته التي يُحسب عليها الهامش</t>
        </is>
      </c>
      <c r="F25" s="26" t="n"/>
      <c r="G25" s="26" t="n"/>
      <c r="H25" s="26" t="n"/>
      <c r="I25" s="26" t="n"/>
    </row>
    <row r="26">
      <c r="B26" s="36" t="inlineStr">
        <is>
          <t>② هامش الربح للتر</t>
        </is>
      </c>
      <c r="C26" s="38">
        <f>$C$25*$C$24*100</f>
        <v/>
      </c>
      <c r="D26" s="24" t="inlineStr">
        <is>
          <t>هللة/لتر</t>
        </is>
      </c>
      <c r="E26" s="25" t="inlineStr">
        <is>
          <t>الصيغة: قيمة اللتر قبل الضريبة × هامش الوقود · هامش المساهمة قبل أي مصروف</t>
        </is>
      </c>
      <c r="F26" s="26" t="n"/>
      <c r="G26" s="26" t="n"/>
      <c r="H26" s="26" t="n"/>
      <c r="I26" s="26" t="n"/>
    </row>
    <row r="27">
      <c r="B27" s="32" t="inlineStr">
        <is>
          <t>أساس المصاريف</t>
        </is>
      </c>
      <c r="C27" s="39" t="inlineStr">
        <is>
          <t>متوسط محطاتنا — ٩٫١٥ هللة/لتر</t>
        </is>
      </c>
      <c r="D27" s="24" t="inlineStr">
        <is>
          <t>اختر</t>
        </is>
      </c>
      <c r="E27" s="25" t="inlineStr">
        <is>
          <t>ثلاثة أُسُس ولكلٍّ مصدره — الجدول أسفل الحاسبة</t>
        </is>
      </c>
      <c r="F27" s="26" t="n"/>
      <c r="G27" s="26" t="n"/>
      <c r="H27" s="26" t="n"/>
      <c r="I27" s="26" t="n"/>
    </row>
    <row r="28">
      <c r="B28" s="36" t="inlineStr">
        <is>
          <t>③ المصاريف للتر</t>
        </is>
      </c>
      <c r="C28" s="38">
        <f>VLOOKUP($C$27,$B$43:$C$46,2,FALSE)</f>
        <v/>
      </c>
      <c r="D28" s="24" t="inlineStr">
        <is>
          <t>هللة/لتر</t>
        </is>
      </c>
      <c r="E28" s="25" t="inlineStr">
        <is>
          <t>من الأساس المختار أعلاه</t>
        </is>
      </c>
      <c r="F28" s="26" t="n"/>
      <c r="G28" s="26" t="n"/>
      <c r="H28" s="26" t="n"/>
      <c r="I28" s="26" t="n"/>
    </row>
    <row r="29">
      <c r="B29" s="36" t="inlineStr">
        <is>
          <t>④ صافي اللتر</t>
        </is>
      </c>
      <c r="C29" s="38">
        <f>$C$26-$C$28</f>
        <v/>
      </c>
      <c r="D29" s="24" t="inlineStr">
        <is>
          <t>هللة/لتر</t>
        </is>
      </c>
      <c r="E29" s="25" t="inlineStr">
        <is>
          <t>الصيغة: الهامش − المصاريف · وهو ما يبقى فعلاً من كل لتر</t>
        </is>
      </c>
      <c r="F29" s="26" t="n"/>
      <c r="G29" s="26" t="n"/>
      <c r="H29" s="26" t="n"/>
      <c r="I29" s="26" t="n"/>
    </row>
    <row r="30" ht="30" customHeight="1">
      <c r="A30" s="4" t="inlineStr"/>
      <c r="B30" s="4" t="inlineStr">
        <is>
          <t>وبالريال لشهرٍ كامل</t>
        </is>
      </c>
      <c r="C30" s="4" t="inlineStr">
        <is>
          <t>في الشهر</t>
        </is>
      </c>
      <c r="D30" s="4" t="inlineStr">
        <is>
          <t>الوحدة</t>
        </is>
      </c>
      <c r="E30" s="4" t="inlineStr">
        <is>
          <t>الصيغة</t>
        </is>
      </c>
      <c r="F30" s="21" t="n"/>
      <c r="G30" s="21" t="n"/>
      <c r="H30" s="21" t="n"/>
      <c r="I30" s="22" t="n"/>
    </row>
    <row r="31">
      <c r="B31" s="32" t="inlineStr">
        <is>
          <t>المبيعات قبل الضريبة</t>
        </is>
      </c>
      <c r="C31" s="40">
        <f>$C$22*$C$25</f>
        <v/>
      </c>
      <c r="D31" s="24" t="inlineStr">
        <is>
          <t>ريال</t>
        </is>
      </c>
      <c r="E31" s="25" t="inlineStr">
        <is>
          <t>لترات الشهر × قيمة اللتر قبل الضريبة</t>
        </is>
      </c>
      <c r="F31" s="26" t="n"/>
      <c r="G31" s="26" t="n"/>
      <c r="H31" s="26" t="n"/>
      <c r="I31" s="26" t="n"/>
    </row>
    <row r="32">
      <c r="B32" s="32" t="inlineStr">
        <is>
          <t>وشاملةً الضريبة</t>
        </is>
      </c>
      <c r="C32" s="40">
        <f>C31*1.15</f>
        <v/>
      </c>
      <c r="D32" s="24" t="inlineStr">
        <is>
          <t>ريال</t>
        </is>
      </c>
      <c r="E32" s="25" t="inlineStr">
        <is>
          <t>وهو ما يُسجَّل على المضخة</t>
        </is>
      </c>
      <c r="F32" s="26" t="n"/>
      <c r="G32" s="26" t="n"/>
      <c r="H32" s="26" t="n"/>
      <c r="I32" s="26" t="n"/>
    </row>
    <row r="33">
      <c r="B33" s="32" t="inlineStr">
        <is>
          <t>هامش الربح</t>
        </is>
      </c>
      <c r="C33" s="27">
        <f>$C$22*$C$26/100</f>
        <v/>
      </c>
      <c r="D33" s="24" t="inlineStr">
        <is>
          <t>ريال</t>
        </is>
      </c>
      <c r="E33" s="25" t="inlineStr">
        <is>
          <t>لترات الشهر × هامش اللتر</t>
        </is>
      </c>
      <c r="F33" s="26" t="n"/>
      <c r="G33" s="26" t="n"/>
      <c r="H33" s="26" t="n"/>
      <c r="I33" s="26" t="n"/>
    </row>
    <row r="34">
      <c r="B34" s="32" t="inlineStr">
        <is>
          <t>المصاريف</t>
        </is>
      </c>
      <c r="C34" s="41">
        <f>-$C$22*$C$28/100</f>
        <v/>
      </c>
      <c r="D34" s="24" t="inlineStr">
        <is>
          <t>ريال</t>
        </is>
      </c>
      <c r="E34" s="25" t="inlineStr">
        <is>
          <t>لترات الشهر × مصاريف اللتر</t>
        </is>
      </c>
      <c r="F34" s="26" t="n"/>
      <c r="G34" s="26" t="n"/>
      <c r="H34" s="26" t="n"/>
      <c r="I34" s="26" t="n"/>
    </row>
    <row r="35">
      <c r="B35" s="36" t="inlineStr">
        <is>
          <t>الصافي</t>
        </is>
      </c>
      <c r="C35" s="42">
        <f>C33+C34</f>
        <v/>
      </c>
      <c r="D35" s="24" t="inlineStr">
        <is>
          <t>ريال</t>
        </is>
      </c>
      <c r="E35" s="25" t="inlineStr">
        <is>
          <t>الهامش − المصاريف</t>
        </is>
      </c>
      <c r="F35" s="26" t="n"/>
      <c r="G35" s="26" t="n"/>
      <c r="H35" s="26" t="n"/>
      <c r="I35" s="26" t="n"/>
    </row>
    <row r="42" ht="30" customHeight="1">
      <c r="A42" s="4" t="inlineStr"/>
      <c r="B42" s="4" t="inlineStr">
        <is>
          <t>أساس المصاريف</t>
        </is>
      </c>
      <c r="C42" s="4" t="inlineStr">
        <is>
          <t>هللة/لتر</t>
        </is>
      </c>
      <c r="D42" s="4" t="inlineStr">
        <is>
          <t>المصدر والتحفّظ</t>
        </is>
      </c>
      <c r="E42" s="21" t="n"/>
      <c r="F42" s="21" t="n"/>
      <c r="G42" s="21" t="n"/>
      <c r="H42" s="21" t="n"/>
      <c r="I42" s="22" t="n"/>
    </row>
    <row r="43">
      <c r="B43" s="5" t="inlineStr">
        <is>
          <t>متوسط محطاتنا — ٩٫١٥ هللة/لتر</t>
        </is>
      </c>
      <c r="C43" s="13" t="n">
        <v>9.15</v>
      </c>
      <c r="D43" s="25" t="inlineStr">
        <is>
          <t>مصاريف تشغيل محطاتنا الـ٤٩ (دون الامتياز) ÷ لتراتها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المحمَّل الكامل — ١٣٫٥٦ هللة/لتر</t>
        </is>
      </c>
      <c r="C44" s="44" t="n">
        <v>13.56</v>
      </c>
      <c r="D44" s="25" t="inlineStr">
        <is>
          <t>يُضاف إليها بيعٌ وتسويق وإدارة وفوائد — لقرار رأس المال لا للتشغيل</t>
        </is>
      </c>
      <c r="E44" s="26" t="n"/>
      <c r="F44" s="26" t="n"/>
      <c r="G44" s="26" t="n"/>
      <c r="H44" s="26" t="n"/>
      <c r="I44" s="26" t="n"/>
    </row>
    <row r="45">
      <c r="B45" s="43" t="inlineStr">
        <is>
          <t>المقيس في تقرير الربع الثاني</t>
        </is>
      </c>
      <c r="C45" s="44" t="n">
        <v>0</v>
      </c>
      <c r="D45" s="45" t="inlineStr">
        <is>
          <t>⛔ لا أجور ولا مرافق مسجَّلة لهذه المحطة — لا تختر هذا الأساس</t>
        </is>
      </c>
      <c r="E45" s="18" t="n"/>
      <c r="F45" s="18" t="n"/>
      <c r="G45" s="18" t="n"/>
      <c r="H45" s="18" t="n"/>
      <c r="I45" s="18" t="n"/>
    </row>
    <row r="46" ht="26" customHeight="1">
      <c r="B46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6" s="18" t="n"/>
      <c r="D46" s="18" t="n"/>
      <c r="E46" s="18" t="n"/>
      <c r="F46" s="18" t="n"/>
      <c r="G46" s="18" t="n"/>
      <c r="H46" s="18" t="n"/>
      <c r="I46" s="18" t="n"/>
    </row>
    <row r="47" ht="32" customHeight="1">
      <c r="B47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7" s="18" t="n"/>
      <c r="D47" s="18" t="n"/>
      <c r="E47" s="18" t="n"/>
      <c r="F47" s="18" t="n"/>
      <c r="G47" s="18" t="n"/>
      <c r="H47" s="18" t="n"/>
      <c r="I47" s="18" t="n"/>
    </row>
    <row r="49" ht="22" customHeight="1">
      <c r="B49" s="19" t="inlineStr">
        <is>
          <t>③ المستهدف الشهري — اثنا عشر شهراً</t>
        </is>
      </c>
      <c r="C49" s="20" t="n"/>
      <c r="D49" s="20" t="n"/>
      <c r="E49" s="20" t="n"/>
      <c r="F49" s="20" t="n"/>
      <c r="G49" s="20" t="n"/>
      <c r="H49" s="20" t="n"/>
      <c r="I49" s="20" t="n"/>
    </row>
    <row r="50" ht="30" customHeight="1">
      <c r="A50" s="4" t="inlineStr"/>
      <c r="B50" s="4" t="inlineStr">
        <is>
          <t>الأساس</t>
        </is>
      </c>
      <c r="C50" s="4" t="inlineStr">
        <is>
          <t>القيمة</t>
        </is>
      </c>
      <c r="D50" s="4" t="inlineStr">
        <is>
          <t>الوحدة</t>
        </is>
      </c>
      <c r="E50" s="4" t="inlineStr">
        <is>
          <t>من أين جاءت</t>
        </is>
      </c>
      <c r="F50" s="21" t="n"/>
      <c r="G50" s="21" t="n"/>
      <c r="H50" s="21" t="n"/>
      <c r="I50" s="22" t="n"/>
    </row>
    <row r="51">
      <c r="B51" s="5" t="inlineStr">
        <is>
          <t>خط الأساس</t>
        </is>
      </c>
      <c r="C51" s="11" t="n">
        <v>22957.10989010989</v>
      </c>
      <c r="D51" s="24" t="inlineStr">
        <is>
          <t>لتر/يوم</t>
        </is>
      </c>
      <c r="E51" s="25" t="inlineStr">
        <is>
          <t>حجم الربع الثاني ÷ ٩١ يوماً</t>
        </is>
      </c>
      <c r="F51" s="26" t="n"/>
      <c r="G51" s="26" t="n"/>
      <c r="H51" s="26" t="n"/>
      <c r="I51" s="26" t="n"/>
    </row>
    <row r="52">
      <c r="B52" s="5" t="inlineStr">
        <is>
          <t>الإضافة المستهدفة</t>
        </is>
      </c>
      <c r="C52" s="33" t="n">
        <v>253.7086214773813</v>
      </c>
      <c r="D52" s="24" t="inlineStr">
        <is>
          <t>لتر/يوم</t>
        </is>
      </c>
      <c r="E52" s="25" t="inlineStr">
        <is>
          <t>فجوة ساعات الذروة 11.1 معاملة/يوم × 40٪ إغلاقاً × 57.1 لتراً للزيارة</t>
        </is>
      </c>
      <c r="F52" s="26" t="n"/>
      <c r="G52" s="26" t="n"/>
      <c r="H52" s="26" t="n"/>
      <c r="I52" s="26" t="n"/>
    </row>
    <row r="53">
      <c r="B53" s="5" t="inlineStr">
        <is>
          <t>أشهر التدرّج</t>
        </is>
      </c>
      <c r="C53" s="33" t="n">
        <v>6</v>
      </c>
      <c r="D53" s="24" t="inlineStr">
        <is>
          <t>شهر</t>
        </is>
      </c>
      <c r="E53" s="25" t="inlineStr">
        <is>
          <t>يُبلغ المستهدف كاملاً في الشهر السادس ثم يثبت</t>
        </is>
      </c>
      <c r="F53" s="26" t="n"/>
      <c r="G53" s="26" t="n"/>
      <c r="H53" s="26" t="n"/>
      <c r="I53" s="26" t="n"/>
    </row>
    <row r="54" ht="26" customHeight="1">
      <c r="A54" s="4" t="inlineStr"/>
      <c r="B54" s="4" t="inlineStr">
        <is>
          <t>الشهر</t>
        </is>
      </c>
      <c r="C54" s="4" t="inlineStr">
        <is>
          <t>أيام</t>
        </is>
      </c>
      <c r="D54" s="4" t="inlineStr">
        <is>
          <t>لتر/يوم</t>
        </is>
      </c>
      <c r="E54" s="4" t="inlineStr">
        <is>
          <t>لترات الشهر</t>
        </is>
      </c>
      <c r="F54" s="4" t="inlineStr">
        <is>
          <t>المبيعات قبل الضريبة</t>
        </is>
      </c>
      <c r="G54" s="4" t="inlineStr">
        <is>
          <t>هامش الربح</t>
        </is>
      </c>
      <c r="H54" s="4" t="inlineStr">
        <is>
          <t>المصاريف</t>
        </is>
      </c>
      <c r="I54" s="4" t="inlineStr">
        <is>
          <t>الصافي</t>
        </is>
      </c>
    </row>
    <row r="55">
      <c r="B55" s="5" t="inlineStr">
        <is>
          <t>أكتوبر ٢٠٢٦</t>
        </is>
      </c>
      <c r="C55" s="11" t="n">
        <v>31</v>
      </c>
      <c r="D55" s="11">
        <f>$C$51+$C$52*MIN(1,1/$C$53)</f>
        <v/>
      </c>
      <c r="E55" s="46">
        <f>D55*C55</f>
        <v/>
      </c>
      <c r="F55" s="14">
        <f>E55*$C$25</f>
        <v/>
      </c>
      <c r="G55" s="14">
        <f>E55*$C$26/100</f>
        <v/>
      </c>
      <c r="H55" s="14">
        <f>-E55*$C$28/100</f>
        <v/>
      </c>
      <c r="I55" s="47">
        <f>G55+H55</f>
        <v/>
      </c>
    </row>
    <row r="56">
      <c r="B56" s="5" t="inlineStr">
        <is>
          <t>نوفمبر ٢٠٢٦</t>
        </is>
      </c>
      <c r="C56" s="11" t="n">
        <v>30</v>
      </c>
      <c r="D56" s="11">
        <f>$C$51+$C$52*MIN(1,2/$C$53)</f>
        <v/>
      </c>
      <c r="E56" s="46">
        <f>D56*C56</f>
        <v/>
      </c>
      <c r="F56" s="14">
        <f>E56*$C$25</f>
        <v/>
      </c>
      <c r="G56" s="14">
        <f>E56*$C$26/100</f>
        <v/>
      </c>
      <c r="H56" s="14">
        <f>-E56*$C$28/100</f>
        <v/>
      </c>
      <c r="I56" s="47">
        <f>G56+H56</f>
        <v/>
      </c>
    </row>
    <row r="57">
      <c r="B57" s="5" t="inlineStr">
        <is>
          <t>ديسمبر ٢٠٢٦</t>
        </is>
      </c>
      <c r="C57" s="11" t="n">
        <v>31</v>
      </c>
      <c r="D57" s="11">
        <f>$C$51+$C$52*MIN(1,3/$C$53)</f>
        <v/>
      </c>
      <c r="E57" s="46">
        <f>D57*C57</f>
        <v/>
      </c>
      <c r="F57" s="14">
        <f>E57*$C$25</f>
        <v/>
      </c>
      <c r="G57" s="14">
        <f>E57*$C$26/100</f>
        <v/>
      </c>
      <c r="H57" s="14">
        <f>-E57*$C$28/100</f>
        <v/>
      </c>
      <c r="I57" s="47">
        <f>G57+H57</f>
        <v/>
      </c>
    </row>
    <row r="58">
      <c r="B58" s="5" t="inlineStr">
        <is>
          <t>يناير ٢٠٢٧</t>
        </is>
      </c>
      <c r="C58" s="11" t="n">
        <v>31</v>
      </c>
      <c r="D58" s="11">
        <f>$C$51+$C$52*MIN(1,4/$C$53)</f>
        <v/>
      </c>
      <c r="E58" s="46">
        <f>D58*C58</f>
        <v/>
      </c>
      <c r="F58" s="14">
        <f>E58*$C$25</f>
        <v/>
      </c>
      <c r="G58" s="14">
        <f>E58*$C$26/100</f>
        <v/>
      </c>
      <c r="H58" s="14">
        <f>-E58*$C$28/100</f>
        <v/>
      </c>
      <c r="I58" s="47">
        <f>G58+H58</f>
        <v/>
      </c>
    </row>
    <row r="59">
      <c r="B59" s="5" t="inlineStr">
        <is>
          <t>فبراير ٢٠٢٧</t>
        </is>
      </c>
      <c r="C59" s="11" t="n">
        <v>28</v>
      </c>
      <c r="D59" s="11">
        <f>$C$51+$C$52*MIN(1,5/$C$53)</f>
        <v/>
      </c>
      <c r="E59" s="46">
        <f>D59*C59</f>
        <v/>
      </c>
      <c r="F59" s="14">
        <f>E59*$C$25</f>
        <v/>
      </c>
      <c r="G59" s="14">
        <f>E59*$C$26/100</f>
        <v/>
      </c>
      <c r="H59" s="14">
        <f>-E59*$C$28/100</f>
        <v/>
      </c>
      <c r="I59" s="47">
        <f>G59+H59</f>
        <v/>
      </c>
    </row>
    <row r="60">
      <c r="B60" s="5" t="inlineStr">
        <is>
          <t>مارس ٢٠٢٧</t>
        </is>
      </c>
      <c r="C60" s="11" t="n">
        <v>31</v>
      </c>
      <c r="D60" s="11">
        <f>$C$51+$C$52*MIN(1,6/$C$53)</f>
        <v/>
      </c>
      <c r="E60" s="46">
        <f>D60*C60</f>
        <v/>
      </c>
      <c r="F60" s="14">
        <f>E60*$C$25</f>
        <v/>
      </c>
      <c r="G60" s="14">
        <f>E60*$C$26/100</f>
        <v/>
      </c>
      <c r="H60" s="14">
        <f>-E60*$C$28/100</f>
        <v/>
      </c>
      <c r="I60" s="47">
        <f>G60+H60</f>
        <v/>
      </c>
    </row>
    <row r="61">
      <c r="B61" s="5" t="inlineStr">
        <is>
          <t>أبريل ٢٠٢٧</t>
        </is>
      </c>
      <c r="C61" s="11" t="n">
        <v>30</v>
      </c>
      <c r="D61" s="11">
        <f>$C$51+$C$52*MIN(1,7/$C$53)</f>
        <v/>
      </c>
      <c r="E61" s="46">
        <f>D61*C61</f>
        <v/>
      </c>
      <c r="F61" s="14">
        <f>E61*$C$25</f>
        <v/>
      </c>
      <c r="G61" s="14">
        <f>E61*$C$26/100</f>
        <v/>
      </c>
      <c r="H61" s="14">
        <f>-E61*$C$28/100</f>
        <v/>
      </c>
      <c r="I61" s="47">
        <f>G61+H61</f>
        <v/>
      </c>
    </row>
    <row r="62">
      <c r="B62" s="5" t="inlineStr">
        <is>
          <t>مايو ٢٠٢٧</t>
        </is>
      </c>
      <c r="C62" s="11" t="n">
        <v>31</v>
      </c>
      <c r="D62" s="11">
        <f>$C$51+$C$52*MIN(1,8/$C$53)</f>
        <v/>
      </c>
      <c r="E62" s="46">
        <f>D62*C62</f>
        <v/>
      </c>
      <c r="F62" s="14">
        <f>E62*$C$25</f>
        <v/>
      </c>
      <c r="G62" s="14">
        <f>E62*$C$26/100</f>
        <v/>
      </c>
      <c r="H62" s="14">
        <f>-E62*$C$28/100</f>
        <v/>
      </c>
      <c r="I62" s="47">
        <f>G62+H62</f>
        <v/>
      </c>
    </row>
    <row r="63">
      <c r="B63" s="5" t="inlineStr">
        <is>
          <t>يونيو ٢٠٢٧</t>
        </is>
      </c>
      <c r="C63" s="11" t="n">
        <v>30</v>
      </c>
      <c r="D63" s="11">
        <f>$C$51+$C$52*MIN(1,9/$C$53)</f>
        <v/>
      </c>
      <c r="E63" s="46">
        <f>D63*C63</f>
        <v/>
      </c>
      <c r="F63" s="14">
        <f>E63*$C$25</f>
        <v/>
      </c>
      <c r="G63" s="14">
        <f>E63*$C$26/100</f>
        <v/>
      </c>
      <c r="H63" s="14">
        <f>-E63*$C$28/100</f>
        <v/>
      </c>
      <c r="I63" s="47">
        <f>G63+H63</f>
        <v/>
      </c>
    </row>
    <row r="64">
      <c r="B64" s="5" t="inlineStr">
        <is>
          <t>يوليو ٢٠٢٧</t>
        </is>
      </c>
      <c r="C64" s="11" t="n">
        <v>31</v>
      </c>
      <c r="D64" s="11">
        <f>$C$51+$C$52*MIN(1,10/$C$53)</f>
        <v/>
      </c>
      <c r="E64" s="46">
        <f>D64*C64</f>
        <v/>
      </c>
      <c r="F64" s="14">
        <f>E64*$C$25</f>
        <v/>
      </c>
      <c r="G64" s="14">
        <f>E64*$C$26/100</f>
        <v/>
      </c>
      <c r="H64" s="14">
        <f>-E64*$C$28/100</f>
        <v/>
      </c>
      <c r="I64" s="47">
        <f>G64+H64</f>
        <v/>
      </c>
    </row>
    <row r="65">
      <c r="B65" s="5" t="inlineStr">
        <is>
          <t>أغسطس ٢٠٢٧</t>
        </is>
      </c>
      <c r="C65" s="11" t="n">
        <v>31</v>
      </c>
      <c r="D65" s="11">
        <f>$C$51+$C$52*MIN(1,11/$C$53)</f>
        <v/>
      </c>
      <c r="E65" s="46">
        <f>D65*C65</f>
        <v/>
      </c>
      <c r="F65" s="14">
        <f>E65*$C$25</f>
        <v/>
      </c>
      <c r="G65" s="14">
        <f>E65*$C$26/100</f>
        <v/>
      </c>
      <c r="H65" s="14">
        <f>-E65*$C$28/100</f>
        <v/>
      </c>
      <c r="I65" s="47">
        <f>G65+H65</f>
        <v/>
      </c>
    </row>
    <row r="66">
      <c r="B66" s="5" t="inlineStr">
        <is>
          <t>سبتمبر ٢٠٢٧</t>
        </is>
      </c>
      <c r="C66" s="11" t="n">
        <v>30</v>
      </c>
      <c r="D66" s="11">
        <f>$C$51+$C$52*MIN(1,12/$C$53)</f>
        <v/>
      </c>
      <c r="E66" s="46">
        <f>D66*C66</f>
        <v/>
      </c>
      <c r="F66" s="14">
        <f>E66*$C$25</f>
        <v/>
      </c>
      <c r="G66" s="14">
        <f>E66*$C$26/100</f>
        <v/>
      </c>
      <c r="H66" s="14">
        <f>-E66*$C$28/100</f>
        <v/>
      </c>
      <c r="I66" s="47">
        <f>G66+H66</f>
        <v/>
      </c>
    </row>
    <row r="67">
      <c r="B67" s="48" t="inlineStr">
        <is>
          <t>السنة كاملةً</t>
        </is>
      </c>
      <c r="C67" s="49">
        <f>SUM(C55:C66)</f>
        <v/>
      </c>
      <c r="D67" s="49">
        <f>AVERAGE(D55:D66)</f>
        <v/>
      </c>
      <c r="E67" s="49">
        <f>SUM(E55:E66)</f>
        <v/>
      </c>
      <c r="F67" s="47">
        <f>SUM(F55:F66)</f>
        <v/>
      </c>
      <c r="G67" s="47">
        <f>SUM(G55:G66)</f>
        <v/>
      </c>
      <c r="H67" s="47">
        <f>SUM(H55:H66)</f>
        <v/>
      </c>
      <c r="I67" s="47">
        <f>SUM(I55:I66)</f>
        <v/>
      </c>
    </row>
    <row r="68" ht="32" customHeight="1">
      <c r="B68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8" s="20" t="n"/>
      <c r="D68" s="20" t="n"/>
      <c r="E68" s="20" t="n"/>
      <c r="F68" s="20" t="n"/>
      <c r="G68" s="20" t="n"/>
      <c r="H68" s="20" t="n"/>
      <c r="I68" s="20" t="n"/>
    </row>
  </sheetData>
  <mergeCells count="45">
    <mergeCell ref="E21:I21"/>
    <mergeCell ref="E50:I50"/>
    <mergeCell ref="F9:I9"/>
    <mergeCell ref="B47:I47"/>
    <mergeCell ref="E24:I24"/>
    <mergeCell ref="E33:I33"/>
    <mergeCell ref="E52:I52"/>
    <mergeCell ref="E23:I23"/>
    <mergeCell ref="B46:I46"/>
    <mergeCell ref="E14:I14"/>
    <mergeCell ref="E53:I53"/>
    <mergeCell ref="E17:I17"/>
    <mergeCell ref="B12:I12"/>
    <mergeCell ref="D43:I43"/>
    <mergeCell ref="A2:I2"/>
    <mergeCell ref="E29:I29"/>
    <mergeCell ref="E35:I35"/>
    <mergeCell ref="E51:I51"/>
    <mergeCell ref="F11:I11"/>
    <mergeCell ref="E28:I28"/>
    <mergeCell ref="E13:I13"/>
    <mergeCell ref="E31:I31"/>
    <mergeCell ref="F10:I10"/>
    <mergeCell ref="F6:I6"/>
    <mergeCell ref="E30:I30"/>
    <mergeCell ref="E34:I34"/>
    <mergeCell ref="E15:I15"/>
    <mergeCell ref="D42:I42"/>
    <mergeCell ref="F7:I7"/>
    <mergeCell ref="E27:I27"/>
    <mergeCell ref="F5:I5"/>
    <mergeCell ref="D44:I44"/>
    <mergeCell ref="B49:I49"/>
    <mergeCell ref="E26:I26"/>
    <mergeCell ref="B68:I68"/>
    <mergeCell ref="F8:I8"/>
    <mergeCell ref="E16:I16"/>
    <mergeCell ref="E32:I32"/>
    <mergeCell ref="B20:I20"/>
    <mergeCell ref="E25:I25"/>
    <mergeCell ref="A1:I1"/>
    <mergeCell ref="D45:I45"/>
    <mergeCell ref="E22:I22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5:E66">
    <cfRule type="dataBar" priority="3">
      <dataBar showValue="1">
        <cfvo type="num" val="0"/>
        <cfvo type="max"/>
        <color rgb="00F5831F"/>
      </dataBar>
    </cfRule>
  </conditionalFormatting>
  <conditionalFormatting sqref="I55:I67">
    <cfRule type="cellIs" priority="4" operator="lessThan" dxfId="0">
      <formula>0</formula>
    </cfRule>
  </conditionalFormatting>
  <dataValidations count="1">
    <dataValidation sqref="C27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كورنيش جيزان  ·  JA069</t>
        </is>
      </c>
    </row>
    <row r="2" ht="16" customHeight="1">
      <c r="A2" s="2" t="inlineStr">
        <is>
          <t>جازان · حيوية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3363012</v>
      </c>
      <c r="D6" s="14" t="n">
        <v>4013901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1721282</v>
      </c>
      <c r="D7" s="11" t="n">
        <v>2053365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102022</v>
      </c>
      <c r="D8" s="14" t="n">
        <v>147356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0.03</v>
      </c>
      <c r="D9" s="31" t="n">
        <v>0.03700000000000001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24</v>
      </c>
      <c r="D10" s="11" t="n">
        <v>24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84000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15537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36839</v>
      </c>
      <c r="D13" s="14" t="n">
        <v>60710.7397897499</v>
      </c>
      <c r="E13" s="53">
        <f>C13-D13</f>
        <v/>
      </c>
      <c r="F13" s="25" t="inlineStr">
        <is>
          <t>نسبة ثابتة من الصافي</t>
        </is>
      </c>
      <c r="G13" s="26" t="n"/>
      <c r="H13" s="26" t="n"/>
      <c r="I13" s="26" t="n"/>
    </row>
    <row r="14" ht="26" customHeight="1">
      <c r="B14" s="15" t="inlineStr">
        <is>
          <t>شروط العقد: نسبة ٢٥٪ ثابتة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909.7264150943396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20658.71655660377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22.70871353610353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0.02890248316787639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0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685959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2.248010533928454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0.06355300274023562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4.847506410209583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22564.45054945055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312.1110037241873</v>
      </c>
      <c r="D54" s="24" t="inlineStr">
        <is>
          <t>لتر/يوم</t>
        </is>
      </c>
      <c r="E54" s="25" t="inlineStr">
        <is>
          <t>فجوة ساعات الذروة 34.4 معاملة/يوم × 40٪ إغلاقاً × 22.7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</sheetData>
  <mergeCells count="47">
    <mergeCell ref="F13:I13"/>
    <mergeCell ref="F9:I9"/>
    <mergeCell ref="E55:I55"/>
    <mergeCell ref="E24:I24"/>
    <mergeCell ref="E33:I33"/>
    <mergeCell ref="E52:I52"/>
    <mergeCell ref="B22:I22"/>
    <mergeCell ref="E23:I23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الحمرا - طريق الملك عبدالله  ·  RY025</t>
        </is>
      </c>
    </row>
    <row r="2" ht="16" customHeight="1">
      <c r="A2" s="2" t="inlineStr">
        <is>
          <t>الخرج · مختلط · نموذج العمل إيجاري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8792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-80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-0.0091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0.0617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865.8041237113403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21518.23335051546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24.85346599907124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0.1009511169126537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21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654154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2.204327125339092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0.0617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«إيجاري» — 5.63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«إيجاري» — 5.63 هللة/لتر</t>
        </is>
      </c>
      <c r="C41" s="13" t="n">
        <v>5.63</v>
      </c>
      <c r="D41" s="25" t="inlineStr">
        <is>
          <t>مصاريف تشغيل محطات إيجاري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21518.23335051546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104.0661083142629</v>
      </c>
      <c r="D51" s="24" t="inlineStr">
        <is>
          <t>لتر/يوم</t>
        </is>
      </c>
      <c r="E51" s="25" t="inlineStr">
        <is>
          <t>فجوة ساعات الذروة 10.5 معاملة/يوم × 40٪ إغلاقاً × 24.9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  <row r="68" ht="28" customHeight="1">
      <c r="B68" s="17" t="inlineStr">
        <is>
          <t>⛔ بوابة مفتوحة على هذه المحطة: بيانات دفع مفقودة — تُقفل قبل تحميل المستهدف على أحد، وإلا نُسبت نتيجتها إلى الجهد وهي من البوابة.</t>
        </is>
      </c>
      <c r="C68" s="18" t="n"/>
      <c r="D68" s="18" t="n"/>
      <c r="E68" s="18" t="n"/>
      <c r="F68" s="18" t="n"/>
      <c r="G68" s="18" t="n"/>
      <c r="H68" s="18" t="n"/>
      <c r="I68" s="18" t="n"/>
    </row>
  </sheetData>
  <mergeCells count="45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B68:I68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«إيجاري» — 5.63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الأجاويد  ·  MK071</t>
        </is>
      </c>
    </row>
    <row r="2" ht="16" customHeight="1">
      <c r="A2" s="2" t="inlineStr">
        <is>
          <t>جدة · حيوية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3033342</v>
      </c>
      <c r="D6" s="14" t="n">
        <v>3320850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1623305</v>
      </c>
      <c r="D7" s="11" t="n">
        <v>1783599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95402</v>
      </c>
      <c r="D8" s="14" t="n">
        <v>119629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0.031</v>
      </c>
      <c r="D9" s="31" t="n">
        <v>0.036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18</v>
      </c>
      <c r="D10" s="11" t="n">
        <v>18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63000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0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23926</v>
      </c>
      <c r="D13" s="14" t="n">
        <v>48238.38072596883</v>
      </c>
      <c r="E13" s="53">
        <f>C13-D13</f>
        <v/>
      </c>
      <c r="F13" s="25" t="inlineStr">
        <is>
          <t>نسبة ثابتة من الصافي</t>
        </is>
      </c>
      <c r="G13" s="26" t="n"/>
      <c r="H13" s="26" t="n"/>
      <c r="I13" s="26" t="n"/>
    </row>
    <row r="14" ht="26" customHeight="1">
      <c r="B14" s="15" t="inlineStr">
        <is>
          <t>شروط العقد: نسبة ٢٠٪ ثابتة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946.7405660377359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18946.87995283019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20.01274755990015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0.1969646493421883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17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595840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2.141163736916202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0.05933170000565813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3.532184083978518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19599.98901098901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136.4576164444313</v>
      </c>
      <c r="D54" s="24" t="inlineStr">
        <is>
          <t>لتر/يوم</t>
        </is>
      </c>
      <c r="E54" s="25" t="inlineStr">
        <is>
          <t>فجوة ساعات الذروة 17.0 معاملة/يوم × 40٪ إغلاقاً × 20.0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</sheetData>
  <mergeCells count="47">
    <mergeCell ref="F13:I13"/>
    <mergeCell ref="F9:I9"/>
    <mergeCell ref="E55:I55"/>
    <mergeCell ref="E24:I24"/>
    <mergeCell ref="E33:I33"/>
    <mergeCell ref="E52:I52"/>
    <mergeCell ref="B22:I22"/>
    <mergeCell ref="E23:I23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الجموم - الكنيدري  ·  MK068</t>
        </is>
      </c>
    </row>
    <row r="2" ht="16" customHeight="1">
      <c r="A2" s="2" t="inlineStr">
        <is>
          <t>مكة · مختلط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8" t="inlineStr">
        <is>
          <t>—</t>
        </is>
      </c>
      <c r="D6" s="8" t="inlineStr">
        <is>
          <t>—</t>
        </is>
      </c>
      <c r="E6" s="29" t="inlineStr">
        <is>
          <t>—</t>
        </is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1803115</v>
      </c>
      <c r="D7" s="11" t="n">
        <v>1708786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130387</v>
      </c>
      <c r="D8" s="14" t="n">
        <v>120967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8" t="inlineStr">
        <is>
          <t>—</t>
        </is>
      </c>
      <c r="D9" s="8" t="inlineStr">
        <is>
          <t>—</t>
        </is>
      </c>
      <c r="E9" s="29" t="inlineStr">
        <is>
          <t>—</t>
        </is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8" t="inlineStr">
        <is>
          <t>—</t>
        </is>
      </c>
      <c r="D10" s="8" t="inlineStr">
        <is>
          <t>—</t>
        </is>
      </c>
      <c r="E10" s="29" t="inlineStr">
        <is>
          <t>—</t>
        </is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حصّتنا مقابل المعياري</t>
        </is>
      </c>
      <c r="C11" s="14" t="n">
        <v>120967</v>
      </c>
      <c r="D11" s="14" t="n">
        <v>47666.32401248394</v>
      </c>
      <c r="E11" s="54">
        <f>C11-D11</f>
        <v/>
      </c>
      <c r="F11" s="25" t="inlineStr">
        <is>
          <t>عمولة أعلى من المعياري</t>
        </is>
      </c>
      <c r="G11" s="26" t="n"/>
      <c r="H11" s="26" t="n"/>
      <c r="I11" s="26" t="n"/>
    </row>
    <row r="12" ht="26" customHeight="1">
      <c r="B12" s="15" t="inlineStr">
        <is>
          <t>شروط العقد: عمولة لتر فقط ٠٫٠٨ بنزين · ٠٫٠٢ ديزل — تحت مسمى نسبة المالك</t>
        </is>
      </c>
      <c r="C12" s="16" t="n"/>
      <c r="D12" s="16" t="n"/>
      <c r="E12" s="16" t="n"/>
      <c r="F12" s="16" t="n"/>
      <c r="G12" s="16" t="n"/>
      <c r="H12" s="16" t="n"/>
      <c r="I12" s="16" t="n"/>
    </row>
    <row r="13" ht="30" customHeight="1">
      <c r="A13" s="4" t="inlineStr"/>
      <c r="B13" s="4" t="inlineStr">
        <is>
          <t>من كاش إن</t>
        </is>
      </c>
      <c r="C13" s="4" t="inlineStr">
        <is>
          <t>القيمة</t>
        </is>
      </c>
      <c r="D13" s="4" t="inlineStr">
        <is>
          <t>الوحدة</t>
        </is>
      </c>
      <c r="E13" s="4" t="inlineStr">
        <is>
          <t>الملاحظة</t>
        </is>
      </c>
      <c r="F13" s="21" t="n"/>
      <c r="G13" s="21" t="n"/>
      <c r="H13" s="21" t="n"/>
      <c r="I13" s="22" t="n"/>
    </row>
    <row r="14">
      <c r="B14" s="5" t="inlineStr">
        <is>
          <t>زيارة في اليوم</t>
        </is>
      </c>
      <c r="C14" s="11" t="n">
        <v>925.0141509433962</v>
      </c>
      <c r="D14" s="24" t="inlineStr">
        <is>
          <t>زيارة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لتر في اليوم</t>
        </is>
      </c>
      <c r="C15" s="11" t="n">
        <v>19313.2625</v>
      </c>
      <c r="D15" s="24" t="inlineStr">
        <is>
          <t>لتر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لتر لكل زيارة</t>
        </is>
      </c>
      <c r="C16" s="30" t="n">
        <v>20.87888329092365</v>
      </c>
      <c r="D16" s="24" t="inlineStr">
        <is>
          <t>لتر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حصة الديزل</t>
        </is>
      </c>
      <c r="C17" s="31" t="n">
        <v>0.1403435338505839</v>
      </c>
      <c r="D17" s="24" t="inlineStr">
        <is>
          <t>من اللترات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ساعة الذروة</t>
        </is>
      </c>
      <c r="C18" s="11" t="n">
        <v>21</v>
      </c>
      <c r="D18" s="24" t="inlineStr">
        <is>
          <t>من ٢٤</t>
        </is>
      </c>
      <c r="E18" s="29" t="inlineStr"/>
      <c r="F18" s="26" t="n"/>
      <c r="G18" s="26" t="n"/>
      <c r="H18" s="26" t="n"/>
      <c r="I18" s="26" t="n"/>
    </row>
    <row r="20" ht="22" customHeight="1">
      <c r="B20" s="19" t="inlineStr">
        <is>
          <t>② حاسبة اللتر — قيمته وهامشه ومصاريفه وصافيه</t>
        </is>
      </c>
      <c r="C20" s="20" t="n"/>
      <c r="D20" s="20" t="n"/>
      <c r="E20" s="20" t="n"/>
      <c r="F20" s="20" t="n"/>
      <c r="G20" s="20" t="n"/>
      <c r="H20" s="20" t="n"/>
      <c r="I20" s="20" t="n"/>
    </row>
    <row r="21" ht="30" customHeight="1">
      <c r="A21" s="4" t="inlineStr"/>
      <c r="B21" s="4" t="inlineStr">
        <is>
          <t>البند</t>
        </is>
      </c>
      <c r="C21" s="4" t="inlineStr">
        <is>
          <t>القيمة</t>
        </is>
      </c>
      <c r="D21" s="4" t="inlineStr">
        <is>
          <t>الوحدة</t>
        </is>
      </c>
      <c r="E21" s="4" t="inlineStr">
        <is>
          <t>من أين جاءت</t>
        </is>
      </c>
      <c r="F21" s="21" t="n"/>
      <c r="G21" s="21" t="n"/>
      <c r="H21" s="21" t="n"/>
      <c r="I21" s="22" t="n"/>
    </row>
    <row r="22">
      <c r="B22" s="32" t="inlineStr">
        <is>
          <t>لترات الشهر</t>
        </is>
      </c>
      <c r="C22" s="33" t="n">
        <v>570847</v>
      </c>
      <c r="D22" s="24" t="inlineStr">
        <is>
          <t>لتر/شهر</t>
        </is>
      </c>
      <c r="E22" s="25" t="inlineStr">
        <is>
          <t>افتراضيّها معدّل الأداء: حجم الربع الثاني ÷ ٩١ يوماً × ٣٠٫٤ يوماً</t>
        </is>
      </c>
      <c r="F22" s="26" t="n"/>
      <c r="G22" s="26" t="n"/>
      <c r="H22" s="26" t="n"/>
      <c r="I22" s="26" t="n"/>
    </row>
    <row r="23">
      <c r="B23" s="32" t="inlineStr">
        <is>
          <t>سعر المضخة — شاملاً الضريبة</t>
        </is>
      </c>
      <c r="C23" s="34" t="n">
        <v>2.201742980581837</v>
      </c>
      <c r="D23" s="24" t="inlineStr">
        <is>
          <t>ريال/لتر</t>
        </is>
      </c>
      <c r="E23" s="45" t="inlineStr">
        <is>
          <t>⛔ لا مبيعات مسجَّلة لها في تقرير الربع الثاني — فالسعر من كاش إن</t>
        </is>
      </c>
      <c r="F23" s="18" t="n"/>
      <c r="G23" s="18" t="n"/>
      <c r="H23" s="18" t="n"/>
      <c r="I23" s="18" t="n"/>
    </row>
    <row r="24">
      <c r="B24" s="32" t="inlineStr">
        <is>
          <t>هامش الوقود</t>
        </is>
      </c>
      <c r="C24" s="35" t="n">
        <v>0.06012134269609521</v>
      </c>
      <c r="D24" s="24" t="inlineStr">
        <is>
          <t>٪ من الإيراد قبل الضريبة</t>
        </is>
      </c>
      <c r="E24" s="45" t="inlineStr">
        <is>
          <t>مستنتج من مزيج المحطة — بنزين ١٢٫٦٦ هللة وديزل ٤٫٤٧ · ⛔ انحدار لا جدول معتمد</t>
        </is>
      </c>
      <c r="F24" s="18" t="n"/>
      <c r="G24" s="18" t="n"/>
      <c r="H24" s="18" t="n"/>
      <c r="I24" s="18" t="n"/>
    </row>
    <row r="25">
      <c r="B25" s="36" t="inlineStr">
        <is>
          <t>① قيمة اللتر — قبل الضريبة</t>
        </is>
      </c>
      <c r="C25" s="37">
        <f>$C$23/1.15</f>
        <v/>
      </c>
      <c r="D25" s="24" t="inlineStr">
        <is>
          <t>ريال/لتر</t>
        </is>
      </c>
      <c r="E25" s="25" t="inlineStr">
        <is>
          <t>الصيغة: سعر المضخة ÷ ١٫١٥ · وهي قيمته التي يُحسب عليها الهامش</t>
        </is>
      </c>
      <c r="F25" s="26" t="n"/>
      <c r="G25" s="26" t="n"/>
      <c r="H25" s="26" t="n"/>
      <c r="I25" s="26" t="n"/>
    </row>
    <row r="26">
      <c r="B26" s="36" t="inlineStr">
        <is>
          <t>② هامش الربح للتر</t>
        </is>
      </c>
      <c r="C26" s="38">
        <f>$C$25*$C$24*100</f>
        <v/>
      </c>
      <c r="D26" s="24" t="inlineStr">
        <is>
          <t>هللة/لتر</t>
        </is>
      </c>
      <c r="E26" s="25" t="inlineStr">
        <is>
          <t>الصيغة: قيمة اللتر قبل الضريبة × هامش الوقود · هامش المساهمة قبل أي مصروف</t>
        </is>
      </c>
      <c r="F26" s="26" t="n"/>
      <c r="G26" s="26" t="n"/>
      <c r="H26" s="26" t="n"/>
      <c r="I26" s="26" t="n"/>
    </row>
    <row r="27">
      <c r="B27" s="32" t="inlineStr">
        <is>
          <t>أساس المصاريف</t>
        </is>
      </c>
      <c r="C27" s="39" t="inlineStr">
        <is>
          <t>متوسط محطاتنا — ٩٫١٥ هللة/لتر</t>
        </is>
      </c>
      <c r="D27" s="24" t="inlineStr">
        <is>
          <t>اختر</t>
        </is>
      </c>
      <c r="E27" s="25" t="inlineStr">
        <is>
          <t>ثلاثة أُسُس ولكلٍّ مصدره — الجدول أسفل الحاسبة</t>
        </is>
      </c>
      <c r="F27" s="26" t="n"/>
      <c r="G27" s="26" t="n"/>
      <c r="H27" s="26" t="n"/>
      <c r="I27" s="26" t="n"/>
    </row>
    <row r="28">
      <c r="B28" s="36" t="inlineStr">
        <is>
          <t>③ المصاريف للتر</t>
        </is>
      </c>
      <c r="C28" s="38">
        <f>VLOOKUP($C$27,$B$43:$C$46,2,FALSE)</f>
        <v/>
      </c>
      <c r="D28" s="24" t="inlineStr">
        <is>
          <t>هللة/لتر</t>
        </is>
      </c>
      <c r="E28" s="25" t="inlineStr">
        <is>
          <t>من الأساس المختار أعلاه</t>
        </is>
      </c>
      <c r="F28" s="26" t="n"/>
      <c r="G28" s="26" t="n"/>
      <c r="H28" s="26" t="n"/>
      <c r="I28" s="26" t="n"/>
    </row>
    <row r="29">
      <c r="B29" s="36" t="inlineStr">
        <is>
          <t>④ صافي اللتر</t>
        </is>
      </c>
      <c r="C29" s="38">
        <f>$C$26-$C$28</f>
        <v/>
      </c>
      <c r="D29" s="24" t="inlineStr">
        <is>
          <t>هللة/لتر</t>
        </is>
      </c>
      <c r="E29" s="25" t="inlineStr">
        <is>
          <t>الصيغة: الهامش − المصاريف · وهو ما يبقى فعلاً من كل لتر</t>
        </is>
      </c>
      <c r="F29" s="26" t="n"/>
      <c r="G29" s="26" t="n"/>
      <c r="H29" s="26" t="n"/>
      <c r="I29" s="26" t="n"/>
    </row>
    <row r="30" ht="30" customHeight="1">
      <c r="A30" s="4" t="inlineStr"/>
      <c r="B30" s="4" t="inlineStr">
        <is>
          <t>وبالريال لشهرٍ كامل</t>
        </is>
      </c>
      <c r="C30" s="4" t="inlineStr">
        <is>
          <t>في الشهر</t>
        </is>
      </c>
      <c r="D30" s="4" t="inlineStr">
        <is>
          <t>الوحدة</t>
        </is>
      </c>
      <c r="E30" s="4" t="inlineStr">
        <is>
          <t>الصيغة</t>
        </is>
      </c>
      <c r="F30" s="21" t="n"/>
      <c r="G30" s="21" t="n"/>
      <c r="H30" s="21" t="n"/>
      <c r="I30" s="22" t="n"/>
    </row>
    <row r="31">
      <c r="B31" s="32" t="inlineStr">
        <is>
          <t>المبيعات قبل الضريبة</t>
        </is>
      </c>
      <c r="C31" s="40">
        <f>$C$22*$C$25</f>
        <v/>
      </c>
      <c r="D31" s="24" t="inlineStr">
        <is>
          <t>ريال</t>
        </is>
      </c>
      <c r="E31" s="25" t="inlineStr">
        <is>
          <t>لترات الشهر × قيمة اللتر قبل الضريبة</t>
        </is>
      </c>
      <c r="F31" s="26" t="n"/>
      <c r="G31" s="26" t="n"/>
      <c r="H31" s="26" t="n"/>
      <c r="I31" s="26" t="n"/>
    </row>
    <row r="32">
      <c r="B32" s="32" t="inlineStr">
        <is>
          <t>وشاملةً الضريبة</t>
        </is>
      </c>
      <c r="C32" s="40">
        <f>C31*1.15</f>
        <v/>
      </c>
      <c r="D32" s="24" t="inlineStr">
        <is>
          <t>ريال</t>
        </is>
      </c>
      <c r="E32" s="25" t="inlineStr">
        <is>
          <t>وهو ما يُسجَّل على المضخة</t>
        </is>
      </c>
      <c r="F32" s="26" t="n"/>
      <c r="G32" s="26" t="n"/>
      <c r="H32" s="26" t="n"/>
      <c r="I32" s="26" t="n"/>
    </row>
    <row r="33">
      <c r="B33" s="32" t="inlineStr">
        <is>
          <t>هامش الربح</t>
        </is>
      </c>
      <c r="C33" s="27">
        <f>$C$22*$C$26/100</f>
        <v/>
      </c>
      <c r="D33" s="24" t="inlineStr">
        <is>
          <t>ريال</t>
        </is>
      </c>
      <c r="E33" s="25" t="inlineStr">
        <is>
          <t>لترات الشهر × هامش اللتر</t>
        </is>
      </c>
      <c r="F33" s="26" t="n"/>
      <c r="G33" s="26" t="n"/>
      <c r="H33" s="26" t="n"/>
      <c r="I33" s="26" t="n"/>
    </row>
    <row r="34">
      <c r="B34" s="32" t="inlineStr">
        <is>
          <t>المصاريف</t>
        </is>
      </c>
      <c r="C34" s="41">
        <f>-$C$22*$C$28/100</f>
        <v/>
      </c>
      <c r="D34" s="24" t="inlineStr">
        <is>
          <t>ريال</t>
        </is>
      </c>
      <c r="E34" s="25" t="inlineStr">
        <is>
          <t>لترات الشهر × مصاريف اللتر</t>
        </is>
      </c>
      <c r="F34" s="26" t="n"/>
      <c r="G34" s="26" t="n"/>
      <c r="H34" s="26" t="n"/>
      <c r="I34" s="26" t="n"/>
    </row>
    <row r="35">
      <c r="B35" s="36" t="inlineStr">
        <is>
          <t>الصافي</t>
        </is>
      </c>
      <c r="C35" s="42">
        <f>C33+C34</f>
        <v/>
      </c>
      <c r="D35" s="24" t="inlineStr">
        <is>
          <t>ريال</t>
        </is>
      </c>
      <c r="E35" s="25" t="inlineStr">
        <is>
          <t>الهامش − المصاريف</t>
        </is>
      </c>
      <c r="F35" s="26" t="n"/>
      <c r="G35" s="26" t="n"/>
      <c r="H35" s="26" t="n"/>
      <c r="I35" s="26" t="n"/>
    </row>
    <row r="42" ht="30" customHeight="1">
      <c r="A42" s="4" t="inlineStr"/>
      <c r="B42" s="4" t="inlineStr">
        <is>
          <t>أساس المصاريف</t>
        </is>
      </c>
      <c r="C42" s="4" t="inlineStr">
        <is>
          <t>هللة/لتر</t>
        </is>
      </c>
      <c r="D42" s="4" t="inlineStr">
        <is>
          <t>المصدر والتحفّظ</t>
        </is>
      </c>
      <c r="E42" s="21" t="n"/>
      <c r="F42" s="21" t="n"/>
      <c r="G42" s="21" t="n"/>
      <c r="H42" s="21" t="n"/>
      <c r="I42" s="22" t="n"/>
    </row>
    <row r="43">
      <c r="B43" s="5" t="inlineStr">
        <is>
          <t>متوسط محطاتنا — ٩٫١٥ هللة/لتر</t>
        </is>
      </c>
      <c r="C43" s="13" t="n">
        <v>9.15</v>
      </c>
      <c r="D43" s="25" t="inlineStr">
        <is>
          <t>مصاريف تشغيل محطاتنا الـ٤٩ (دون الامتياز) ÷ لتراتها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المحمَّل الكامل — ١٣٫٥٦ هللة/لتر</t>
        </is>
      </c>
      <c r="C44" s="44" t="n">
        <v>13.56</v>
      </c>
      <c r="D44" s="25" t="inlineStr">
        <is>
          <t>يُضاف إليها بيعٌ وتسويق وإدارة وفوائد — لقرار رأس المال لا للتشغيل</t>
        </is>
      </c>
      <c r="E44" s="26" t="n"/>
      <c r="F44" s="26" t="n"/>
      <c r="G44" s="26" t="n"/>
      <c r="H44" s="26" t="n"/>
      <c r="I44" s="26" t="n"/>
    </row>
    <row r="45">
      <c r="B45" s="43" t="inlineStr">
        <is>
          <t>المقيس في تقرير الربع الثاني</t>
        </is>
      </c>
      <c r="C45" s="44" t="n">
        <v>0</v>
      </c>
      <c r="D45" s="45" t="inlineStr">
        <is>
          <t>⛔ لا أجور ولا مرافق مسجَّلة لهذه المحطة — لا تختر هذا الأساس</t>
        </is>
      </c>
      <c r="E45" s="18" t="n"/>
      <c r="F45" s="18" t="n"/>
      <c r="G45" s="18" t="n"/>
      <c r="H45" s="18" t="n"/>
      <c r="I45" s="18" t="n"/>
    </row>
    <row r="46" ht="26" customHeight="1">
      <c r="B46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6" s="18" t="n"/>
      <c r="D46" s="18" t="n"/>
      <c r="E46" s="18" t="n"/>
      <c r="F46" s="18" t="n"/>
      <c r="G46" s="18" t="n"/>
      <c r="H46" s="18" t="n"/>
      <c r="I46" s="18" t="n"/>
    </row>
    <row r="47" ht="32" customHeight="1">
      <c r="B47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7" s="18" t="n"/>
      <c r="D47" s="18" t="n"/>
      <c r="E47" s="18" t="n"/>
      <c r="F47" s="18" t="n"/>
      <c r="G47" s="18" t="n"/>
      <c r="H47" s="18" t="n"/>
      <c r="I47" s="18" t="n"/>
    </row>
    <row r="49" ht="22" customHeight="1">
      <c r="B49" s="19" t="inlineStr">
        <is>
          <t>③ المستهدف الشهري — اثنا عشر شهراً</t>
        </is>
      </c>
      <c r="C49" s="20" t="n"/>
      <c r="D49" s="20" t="n"/>
      <c r="E49" s="20" t="n"/>
      <c r="F49" s="20" t="n"/>
      <c r="G49" s="20" t="n"/>
      <c r="H49" s="20" t="n"/>
      <c r="I49" s="20" t="n"/>
    </row>
    <row r="50" ht="30" customHeight="1">
      <c r="A50" s="4" t="inlineStr"/>
      <c r="B50" s="4" t="inlineStr">
        <is>
          <t>الأساس</t>
        </is>
      </c>
      <c r="C50" s="4" t="inlineStr">
        <is>
          <t>القيمة</t>
        </is>
      </c>
      <c r="D50" s="4" t="inlineStr">
        <is>
          <t>الوحدة</t>
        </is>
      </c>
      <c r="E50" s="4" t="inlineStr">
        <is>
          <t>من أين جاءت</t>
        </is>
      </c>
      <c r="F50" s="21" t="n"/>
      <c r="G50" s="21" t="n"/>
      <c r="H50" s="21" t="n"/>
      <c r="I50" s="22" t="n"/>
    </row>
    <row r="51">
      <c r="B51" s="5" t="inlineStr">
        <is>
          <t>خط الأساس</t>
        </is>
      </c>
      <c r="C51" s="11" t="n">
        <v>18777.86813186813</v>
      </c>
      <c r="D51" s="24" t="inlineStr">
        <is>
          <t>لتر/يوم</t>
        </is>
      </c>
      <c r="E51" s="25" t="inlineStr">
        <is>
          <t>حجم الربع الثاني ÷ ٩١ يوماً</t>
        </is>
      </c>
      <c r="F51" s="26" t="n"/>
      <c r="G51" s="26" t="n"/>
      <c r="H51" s="26" t="n"/>
      <c r="I51" s="26" t="n"/>
    </row>
    <row r="52">
      <c r="B52" s="5" t="inlineStr">
        <is>
          <t>الإضافة المستهدفة</t>
        </is>
      </c>
      <c r="C52" s="33" t="n">
        <v>102.1359275449351</v>
      </c>
      <c r="D52" s="24" t="inlineStr">
        <is>
          <t>لتر/يوم</t>
        </is>
      </c>
      <c r="E52" s="25" t="inlineStr">
        <is>
          <t>فجوة ساعات الذروة 12.2 معاملة/يوم × 40٪ إغلاقاً × 20.9 لتراً للزيارة</t>
        </is>
      </c>
      <c r="F52" s="26" t="n"/>
      <c r="G52" s="26" t="n"/>
      <c r="H52" s="26" t="n"/>
      <c r="I52" s="26" t="n"/>
    </row>
    <row r="53">
      <c r="B53" s="5" t="inlineStr">
        <is>
          <t>أشهر التدرّج</t>
        </is>
      </c>
      <c r="C53" s="33" t="n">
        <v>6</v>
      </c>
      <c r="D53" s="24" t="inlineStr">
        <is>
          <t>شهر</t>
        </is>
      </c>
      <c r="E53" s="25" t="inlineStr">
        <is>
          <t>يُبلغ المستهدف كاملاً في الشهر السادس ثم يثبت</t>
        </is>
      </c>
      <c r="F53" s="26" t="n"/>
      <c r="G53" s="26" t="n"/>
      <c r="H53" s="26" t="n"/>
      <c r="I53" s="26" t="n"/>
    </row>
    <row r="54" ht="26" customHeight="1">
      <c r="A54" s="4" t="inlineStr"/>
      <c r="B54" s="4" t="inlineStr">
        <is>
          <t>الشهر</t>
        </is>
      </c>
      <c r="C54" s="4" t="inlineStr">
        <is>
          <t>أيام</t>
        </is>
      </c>
      <c r="D54" s="4" t="inlineStr">
        <is>
          <t>لتر/يوم</t>
        </is>
      </c>
      <c r="E54" s="4" t="inlineStr">
        <is>
          <t>لترات الشهر</t>
        </is>
      </c>
      <c r="F54" s="4" t="inlineStr">
        <is>
          <t>المبيعات قبل الضريبة</t>
        </is>
      </c>
      <c r="G54" s="4" t="inlineStr">
        <is>
          <t>هامش الربح</t>
        </is>
      </c>
      <c r="H54" s="4" t="inlineStr">
        <is>
          <t>المصاريف</t>
        </is>
      </c>
      <c r="I54" s="4" t="inlineStr">
        <is>
          <t>الصافي</t>
        </is>
      </c>
    </row>
    <row r="55">
      <c r="B55" s="5" t="inlineStr">
        <is>
          <t>أكتوبر ٢٠٢٦</t>
        </is>
      </c>
      <c r="C55" s="11" t="n">
        <v>31</v>
      </c>
      <c r="D55" s="11">
        <f>$C$51+$C$52*MIN(1,1/$C$53)</f>
        <v/>
      </c>
      <c r="E55" s="46">
        <f>D55*C55</f>
        <v/>
      </c>
      <c r="F55" s="14">
        <f>E55*$C$25</f>
        <v/>
      </c>
      <c r="G55" s="14">
        <f>E55*$C$26/100</f>
        <v/>
      </c>
      <c r="H55" s="14">
        <f>-E55*$C$28/100</f>
        <v/>
      </c>
      <c r="I55" s="47">
        <f>G55+H55</f>
        <v/>
      </c>
    </row>
    <row r="56">
      <c r="B56" s="5" t="inlineStr">
        <is>
          <t>نوفمبر ٢٠٢٦</t>
        </is>
      </c>
      <c r="C56" s="11" t="n">
        <v>30</v>
      </c>
      <c r="D56" s="11">
        <f>$C$51+$C$52*MIN(1,2/$C$53)</f>
        <v/>
      </c>
      <c r="E56" s="46">
        <f>D56*C56</f>
        <v/>
      </c>
      <c r="F56" s="14">
        <f>E56*$C$25</f>
        <v/>
      </c>
      <c r="G56" s="14">
        <f>E56*$C$26/100</f>
        <v/>
      </c>
      <c r="H56" s="14">
        <f>-E56*$C$28/100</f>
        <v/>
      </c>
      <c r="I56" s="47">
        <f>G56+H56</f>
        <v/>
      </c>
    </row>
    <row r="57">
      <c r="B57" s="5" t="inlineStr">
        <is>
          <t>ديسمبر ٢٠٢٦</t>
        </is>
      </c>
      <c r="C57" s="11" t="n">
        <v>31</v>
      </c>
      <c r="D57" s="11">
        <f>$C$51+$C$52*MIN(1,3/$C$53)</f>
        <v/>
      </c>
      <c r="E57" s="46">
        <f>D57*C57</f>
        <v/>
      </c>
      <c r="F57" s="14">
        <f>E57*$C$25</f>
        <v/>
      </c>
      <c r="G57" s="14">
        <f>E57*$C$26/100</f>
        <v/>
      </c>
      <c r="H57" s="14">
        <f>-E57*$C$28/100</f>
        <v/>
      </c>
      <c r="I57" s="47">
        <f>G57+H57</f>
        <v/>
      </c>
    </row>
    <row r="58">
      <c r="B58" s="5" t="inlineStr">
        <is>
          <t>يناير ٢٠٢٧</t>
        </is>
      </c>
      <c r="C58" s="11" t="n">
        <v>31</v>
      </c>
      <c r="D58" s="11">
        <f>$C$51+$C$52*MIN(1,4/$C$53)</f>
        <v/>
      </c>
      <c r="E58" s="46">
        <f>D58*C58</f>
        <v/>
      </c>
      <c r="F58" s="14">
        <f>E58*$C$25</f>
        <v/>
      </c>
      <c r="G58" s="14">
        <f>E58*$C$26/100</f>
        <v/>
      </c>
      <c r="H58" s="14">
        <f>-E58*$C$28/100</f>
        <v/>
      </c>
      <c r="I58" s="47">
        <f>G58+H58</f>
        <v/>
      </c>
    </row>
    <row r="59">
      <c r="B59" s="5" t="inlineStr">
        <is>
          <t>فبراير ٢٠٢٧</t>
        </is>
      </c>
      <c r="C59" s="11" t="n">
        <v>28</v>
      </c>
      <c r="D59" s="11">
        <f>$C$51+$C$52*MIN(1,5/$C$53)</f>
        <v/>
      </c>
      <c r="E59" s="46">
        <f>D59*C59</f>
        <v/>
      </c>
      <c r="F59" s="14">
        <f>E59*$C$25</f>
        <v/>
      </c>
      <c r="G59" s="14">
        <f>E59*$C$26/100</f>
        <v/>
      </c>
      <c r="H59" s="14">
        <f>-E59*$C$28/100</f>
        <v/>
      </c>
      <c r="I59" s="47">
        <f>G59+H59</f>
        <v/>
      </c>
    </row>
    <row r="60">
      <c r="B60" s="5" t="inlineStr">
        <is>
          <t>مارس ٢٠٢٧</t>
        </is>
      </c>
      <c r="C60" s="11" t="n">
        <v>31</v>
      </c>
      <c r="D60" s="11">
        <f>$C$51+$C$52*MIN(1,6/$C$53)</f>
        <v/>
      </c>
      <c r="E60" s="46">
        <f>D60*C60</f>
        <v/>
      </c>
      <c r="F60" s="14">
        <f>E60*$C$25</f>
        <v/>
      </c>
      <c r="G60" s="14">
        <f>E60*$C$26/100</f>
        <v/>
      </c>
      <c r="H60" s="14">
        <f>-E60*$C$28/100</f>
        <v/>
      </c>
      <c r="I60" s="47">
        <f>G60+H60</f>
        <v/>
      </c>
    </row>
    <row r="61">
      <c r="B61" s="5" t="inlineStr">
        <is>
          <t>أبريل ٢٠٢٧</t>
        </is>
      </c>
      <c r="C61" s="11" t="n">
        <v>30</v>
      </c>
      <c r="D61" s="11">
        <f>$C$51+$C$52*MIN(1,7/$C$53)</f>
        <v/>
      </c>
      <c r="E61" s="46">
        <f>D61*C61</f>
        <v/>
      </c>
      <c r="F61" s="14">
        <f>E61*$C$25</f>
        <v/>
      </c>
      <c r="G61" s="14">
        <f>E61*$C$26/100</f>
        <v/>
      </c>
      <c r="H61" s="14">
        <f>-E61*$C$28/100</f>
        <v/>
      </c>
      <c r="I61" s="47">
        <f>G61+H61</f>
        <v/>
      </c>
    </row>
    <row r="62">
      <c r="B62" s="5" t="inlineStr">
        <is>
          <t>مايو ٢٠٢٧</t>
        </is>
      </c>
      <c r="C62" s="11" t="n">
        <v>31</v>
      </c>
      <c r="D62" s="11">
        <f>$C$51+$C$52*MIN(1,8/$C$53)</f>
        <v/>
      </c>
      <c r="E62" s="46">
        <f>D62*C62</f>
        <v/>
      </c>
      <c r="F62" s="14">
        <f>E62*$C$25</f>
        <v/>
      </c>
      <c r="G62" s="14">
        <f>E62*$C$26/100</f>
        <v/>
      </c>
      <c r="H62" s="14">
        <f>-E62*$C$28/100</f>
        <v/>
      </c>
      <c r="I62" s="47">
        <f>G62+H62</f>
        <v/>
      </c>
    </row>
    <row r="63">
      <c r="B63" s="5" t="inlineStr">
        <is>
          <t>يونيو ٢٠٢٧</t>
        </is>
      </c>
      <c r="C63" s="11" t="n">
        <v>30</v>
      </c>
      <c r="D63" s="11">
        <f>$C$51+$C$52*MIN(1,9/$C$53)</f>
        <v/>
      </c>
      <c r="E63" s="46">
        <f>D63*C63</f>
        <v/>
      </c>
      <c r="F63" s="14">
        <f>E63*$C$25</f>
        <v/>
      </c>
      <c r="G63" s="14">
        <f>E63*$C$26/100</f>
        <v/>
      </c>
      <c r="H63" s="14">
        <f>-E63*$C$28/100</f>
        <v/>
      </c>
      <c r="I63" s="47">
        <f>G63+H63</f>
        <v/>
      </c>
    </row>
    <row r="64">
      <c r="B64" s="5" t="inlineStr">
        <is>
          <t>يوليو ٢٠٢٧</t>
        </is>
      </c>
      <c r="C64" s="11" t="n">
        <v>31</v>
      </c>
      <c r="D64" s="11">
        <f>$C$51+$C$52*MIN(1,10/$C$53)</f>
        <v/>
      </c>
      <c r="E64" s="46">
        <f>D64*C64</f>
        <v/>
      </c>
      <c r="F64" s="14">
        <f>E64*$C$25</f>
        <v/>
      </c>
      <c r="G64" s="14">
        <f>E64*$C$26/100</f>
        <v/>
      </c>
      <c r="H64" s="14">
        <f>-E64*$C$28/100</f>
        <v/>
      </c>
      <c r="I64" s="47">
        <f>G64+H64</f>
        <v/>
      </c>
    </row>
    <row r="65">
      <c r="B65" s="5" t="inlineStr">
        <is>
          <t>أغسطس ٢٠٢٧</t>
        </is>
      </c>
      <c r="C65" s="11" t="n">
        <v>31</v>
      </c>
      <c r="D65" s="11">
        <f>$C$51+$C$52*MIN(1,11/$C$53)</f>
        <v/>
      </c>
      <c r="E65" s="46">
        <f>D65*C65</f>
        <v/>
      </c>
      <c r="F65" s="14">
        <f>E65*$C$25</f>
        <v/>
      </c>
      <c r="G65" s="14">
        <f>E65*$C$26/100</f>
        <v/>
      </c>
      <c r="H65" s="14">
        <f>-E65*$C$28/100</f>
        <v/>
      </c>
      <c r="I65" s="47">
        <f>G65+H65</f>
        <v/>
      </c>
    </row>
    <row r="66">
      <c r="B66" s="5" t="inlineStr">
        <is>
          <t>سبتمبر ٢٠٢٧</t>
        </is>
      </c>
      <c r="C66" s="11" t="n">
        <v>30</v>
      </c>
      <c r="D66" s="11">
        <f>$C$51+$C$52*MIN(1,12/$C$53)</f>
        <v/>
      </c>
      <c r="E66" s="46">
        <f>D66*C66</f>
        <v/>
      </c>
      <c r="F66" s="14">
        <f>E66*$C$25</f>
        <v/>
      </c>
      <c r="G66" s="14">
        <f>E66*$C$26/100</f>
        <v/>
      </c>
      <c r="H66" s="14">
        <f>-E66*$C$28/100</f>
        <v/>
      </c>
      <c r="I66" s="47">
        <f>G66+H66</f>
        <v/>
      </c>
    </row>
    <row r="67">
      <c r="B67" s="48" t="inlineStr">
        <is>
          <t>السنة كاملةً</t>
        </is>
      </c>
      <c r="C67" s="49">
        <f>SUM(C55:C66)</f>
        <v/>
      </c>
      <c r="D67" s="49">
        <f>AVERAGE(D55:D66)</f>
        <v/>
      </c>
      <c r="E67" s="49">
        <f>SUM(E55:E66)</f>
        <v/>
      </c>
      <c r="F67" s="47">
        <f>SUM(F55:F66)</f>
        <v/>
      </c>
      <c r="G67" s="47">
        <f>SUM(G55:G66)</f>
        <v/>
      </c>
      <c r="H67" s="47">
        <f>SUM(H55:H66)</f>
        <v/>
      </c>
      <c r="I67" s="47">
        <f>SUM(I55:I66)</f>
        <v/>
      </c>
    </row>
    <row r="68" ht="32" customHeight="1">
      <c r="B68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8" s="20" t="n"/>
      <c r="D68" s="20" t="n"/>
      <c r="E68" s="20" t="n"/>
      <c r="F68" s="20" t="n"/>
      <c r="G68" s="20" t="n"/>
      <c r="H68" s="20" t="n"/>
      <c r="I68" s="20" t="n"/>
    </row>
  </sheetData>
  <mergeCells count="45">
    <mergeCell ref="E21:I21"/>
    <mergeCell ref="E50:I50"/>
    <mergeCell ref="F9:I9"/>
    <mergeCell ref="B47:I47"/>
    <mergeCell ref="E24:I24"/>
    <mergeCell ref="E33:I33"/>
    <mergeCell ref="E52:I52"/>
    <mergeCell ref="E23:I23"/>
    <mergeCell ref="B46:I46"/>
    <mergeCell ref="E14:I14"/>
    <mergeCell ref="E53:I53"/>
    <mergeCell ref="E17:I17"/>
    <mergeCell ref="B12:I12"/>
    <mergeCell ref="D43:I43"/>
    <mergeCell ref="A2:I2"/>
    <mergeCell ref="E29:I29"/>
    <mergeCell ref="E35:I35"/>
    <mergeCell ref="E51:I51"/>
    <mergeCell ref="F11:I11"/>
    <mergeCell ref="E28:I28"/>
    <mergeCell ref="E13:I13"/>
    <mergeCell ref="E31:I31"/>
    <mergeCell ref="F10:I10"/>
    <mergeCell ref="F6:I6"/>
    <mergeCell ref="E30:I30"/>
    <mergeCell ref="E34:I34"/>
    <mergeCell ref="E15:I15"/>
    <mergeCell ref="D42:I42"/>
    <mergeCell ref="F7:I7"/>
    <mergeCell ref="E27:I27"/>
    <mergeCell ref="F5:I5"/>
    <mergeCell ref="D44:I44"/>
    <mergeCell ref="B49:I49"/>
    <mergeCell ref="E26:I26"/>
    <mergeCell ref="B68:I68"/>
    <mergeCell ref="F8:I8"/>
    <mergeCell ref="E16:I16"/>
    <mergeCell ref="E32:I32"/>
    <mergeCell ref="B20:I20"/>
    <mergeCell ref="E25:I25"/>
    <mergeCell ref="A1:I1"/>
    <mergeCell ref="D45:I45"/>
    <mergeCell ref="E22:I22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5:E66">
    <cfRule type="dataBar" priority="3">
      <dataBar showValue="1">
        <cfvo type="num" val="0"/>
        <cfvo type="max"/>
        <color rgb="00F5831F"/>
      </dataBar>
    </cfRule>
  </conditionalFormatting>
  <conditionalFormatting sqref="I55:I67">
    <cfRule type="cellIs" priority="4" operator="lessThan" dxfId="0">
      <formula>0</formula>
    </cfRule>
  </conditionalFormatting>
  <dataValidations count="1">
    <dataValidation sqref="C27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طريق صبيا  ·  JA061</t>
        </is>
      </c>
    </row>
    <row r="2" ht="16" customHeight="1">
      <c r="A2" s="2" t="inlineStr">
        <is>
          <t>جازان · حيوية · نموذج العمل إيجاري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7036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-71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-0.0101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0.0496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538.3299492385787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18369.38994923858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34.12292029306654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0.4314521170622562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17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558429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2.027228277812928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0.0496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«إيجاري» — 5.63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«إيجاري» — 5.63 هللة/لتر</t>
        </is>
      </c>
      <c r="C41" s="13" t="n">
        <v>5.63</v>
      </c>
      <c r="D41" s="25" t="inlineStr">
        <is>
          <t>مصاريف تشغيل محطات إيجاري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18369.38994923858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186.0837590412769</v>
      </c>
      <c r="D51" s="24" t="inlineStr">
        <is>
          <t>لتر/يوم</t>
        </is>
      </c>
      <c r="E51" s="25" t="inlineStr">
        <is>
          <t>فجوة ساعات الذروة 13.6 معاملة/يوم × 40٪ إغلاقاً × 34.1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  <row r="68" ht="28" customHeight="1">
      <c r="B68" s="17" t="inlineStr">
        <is>
          <t>⛔ بوابة مفتوحة على هذه المحطة: بيانات دفع مفقودة — تُقفل قبل تحميل المستهدف على أحد، وإلا نُسبت نتيجتها إلى الجهد وهي من البوابة.</t>
        </is>
      </c>
      <c r="C68" s="18" t="n"/>
      <c r="D68" s="18" t="n"/>
      <c r="E68" s="18" t="n"/>
      <c r="F68" s="18" t="n"/>
      <c r="G68" s="18" t="n"/>
      <c r="H68" s="18" t="n"/>
      <c r="I68" s="18" t="n"/>
    </row>
  </sheetData>
  <mergeCells count="45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B68:I68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«إيجاري» — 5.63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المعيصم  ·  MK002</t>
        </is>
      </c>
    </row>
    <row r="2" ht="16" customHeight="1">
      <c r="A2" s="2" t="inlineStr">
        <is>
          <t>مكة · حيوية · نموذج العمل إيجاري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7544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-136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-0.018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0.0668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864.5471698113207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18146.00400943396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20.98902713821174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17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551639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2.253279517059847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0.0668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«إيجاري» — 5.63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«إيجاري» — 5.63 هللة/لتر</t>
        </is>
      </c>
      <c r="C41" s="13" t="n">
        <v>5.63</v>
      </c>
      <c r="D41" s="25" t="inlineStr">
        <is>
          <t>مصاريف تشغيل محطات إيجاري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18146.00400943396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49.16406904513491</v>
      </c>
      <c r="D51" s="24" t="inlineStr">
        <is>
          <t>لتر/يوم</t>
        </is>
      </c>
      <c r="E51" s="25" t="inlineStr">
        <is>
          <t>فجوة ساعات الذروة 5.9 معاملة/يوم × 40٪ إغلاقاً × 21.0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  <row r="68" ht="28" customHeight="1">
      <c r="B68" s="17" t="inlineStr">
        <is>
          <t>⛔ بوابة مفتوحة على هذه المحطة: تغيير مسار · بيانات دفع مفقودة — تُقفل قبل تحميل المستهدف على أحد، وإلا نُسبت نتيجتها إلى الجهد وهي من البوابة.</t>
        </is>
      </c>
      <c r="C68" s="18" t="n"/>
      <c r="D68" s="18" t="n"/>
      <c r="E68" s="18" t="n"/>
      <c r="F68" s="18" t="n"/>
      <c r="G68" s="18" t="n"/>
      <c r="H68" s="18" t="n"/>
      <c r="I68" s="18" t="n"/>
    </row>
  </sheetData>
  <mergeCells count="45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B68:I68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«إيجاري» — 5.63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الملك خالد  ·  MK093</t>
        </is>
      </c>
    </row>
    <row r="2" ht="16" customHeight="1">
      <c r="A2" s="2" t="inlineStr">
        <is>
          <t>الطائف · حي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2616390</v>
      </c>
      <c r="D6" s="14" t="n">
        <v>2863669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1355996</v>
      </c>
      <c r="D7" s="11" t="n">
        <v>1483276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94729</v>
      </c>
      <c r="D8" s="14" t="n">
        <v>101451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0.036</v>
      </c>
      <c r="D9" s="31" t="n">
        <v>0.035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17</v>
      </c>
      <c r="D10" s="11" t="n">
        <v>15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52500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0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41708</v>
      </c>
      <c r="D13" s="14" t="n">
        <v>42386.94691218049</v>
      </c>
      <c r="E13" s="53">
        <f>C13-D13</f>
        <v/>
      </c>
      <c r="F13" s="25" t="inlineStr">
        <is>
          <t>عمولة دون المعياري</t>
        </is>
      </c>
      <c r="G13" s="26" t="n"/>
      <c r="H13" s="26" t="n"/>
      <c r="I13" s="26" t="n"/>
    </row>
    <row r="14" ht="26" customHeight="1">
      <c r="B14" s="15" t="inlineStr">
        <is>
          <t>شروط العقد: عمولة ٠٫٠٣ بنزين · ٠٫٠١ ديزل — دون المعياري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684.7845303867404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15690.69966850829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22.91333838929857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0.09489504258679272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17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495512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2.220233692178664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0.06154861575849214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3.539462648893395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16299.73626373626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12.91915043371893</v>
      </c>
      <c r="D54" s="24" t="inlineStr">
        <is>
          <t>لتر/يوم</t>
        </is>
      </c>
      <c r="E54" s="25" t="inlineStr">
        <is>
          <t>فجوة ساعات الذروة 1.4 معاملة/يوم × 40٪ إغلاقاً × 22.9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</sheetData>
  <mergeCells count="47">
    <mergeCell ref="F13:I13"/>
    <mergeCell ref="F9:I9"/>
    <mergeCell ref="E55:I55"/>
    <mergeCell ref="E24:I24"/>
    <mergeCell ref="E33:I33"/>
    <mergeCell ref="E52:I52"/>
    <mergeCell ref="B22:I22"/>
    <mergeCell ref="E23:I23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مدخل محايل  ·  AS153</t>
        </is>
      </c>
    </row>
    <row r="2" ht="16" customHeight="1">
      <c r="A2" s="2" t="inlineStr">
        <is>
          <t>عسير · مختلط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8" t="inlineStr">
        <is>
          <t>—</t>
        </is>
      </c>
      <c r="D6" s="14" t="n">
        <v>2835373</v>
      </c>
      <c r="E6" s="29" t="inlineStr">
        <is>
          <t>—</t>
        </is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8" t="inlineStr">
        <is>
          <t>—</t>
        </is>
      </c>
      <c r="D7" s="11" t="n">
        <v>1470777</v>
      </c>
      <c r="E7" s="29" t="inlineStr">
        <is>
          <t>—</t>
        </is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8" t="inlineStr">
        <is>
          <t>—</t>
        </is>
      </c>
      <c r="D8" s="14" t="n">
        <v>87704</v>
      </c>
      <c r="E8" s="29" t="inlineStr">
        <is>
          <t>—</t>
        </is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8" t="inlineStr">
        <is>
          <t>—</t>
        </is>
      </c>
      <c r="D9" s="31" t="n">
        <v>0.031</v>
      </c>
      <c r="E9" s="29" t="inlineStr">
        <is>
          <t>—</t>
        </is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8" t="inlineStr">
        <is>
          <t>—</t>
        </is>
      </c>
      <c r="D10" s="8" t="inlineStr">
        <is>
          <t>—</t>
        </is>
      </c>
      <c r="E10" s="29" t="inlineStr">
        <is>
          <t>—</t>
        </is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51100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4814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41374</v>
      </c>
      <c r="D13" s="14" t="n">
        <v>41186.94022419924</v>
      </c>
      <c r="E13" s="54">
        <f>C13-D13</f>
        <v/>
      </c>
      <c r="F13" s="25" t="inlineStr">
        <is>
          <t>عمولة معيارية</t>
        </is>
      </c>
      <c r="G13" s="26" t="n"/>
      <c r="H13" s="26" t="n"/>
      <c r="I13" s="26" t="n"/>
    </row>
    <row r="14" ht="26" customHeight="1">
      <c r="B14" s="15" t="inlineStr">
        <is>
          <t>شروط العقد: عمولة ٠٫٠٣ · ٠٫٠١٥ — محطة جديدة في ر٢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998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22687.5698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22.73303587174349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0.133098345332694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21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491336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2.216977114817542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0.06001601525588621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3.801664018406598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16162.38461538462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0</v>
      </c>
      <c r="D54" s="24" t="inlineStr">
        <is>
          <t>لتر/يوم</t>
        </is>
      </c>
      <c r="E54" s="25" t="inlineStr">
        <is>
          <t>لا فجوة ذروة مقيسة لهذه المحطة — المستهدف ثباتُ الأداء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</sheetData>
  <mergeCells count="47">
    <mergeCell ref="F13:I13"/>
    <mergeCell ref="F9:I9"/>
    <mergeCell ref="E55:I55"/>
    <mergeCell ref="E24:I24"/>
    <mergeCell ref="E33:I33"/>
    <mergeCell ref="E52:I52"/>
    <mergeCell ref="B22:I22"/>
    <mergeCell ref="E23:I23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الدائري الشرقي  ·  QS055</t>
        </is>
      </c>
    </row>
    <row r="2" ht="16" customHeight="1">
      <c r="A2" s="2" t="inlineStr">
        <is>
          <t>القصيم · خط سفر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2510791</v>
      </c>
      <c r="D6" s="14" t="n">
        <v>2554762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1400083</v>
      </c>
      <c r="D7" s="11" t="n">
        <v>1447839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60508</v>
      </c>
      <c r="D8" s="14" t="n">
        <v>27133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0.024</v>
      </c>
      <c r="D9" s="31" t="n">
        <v>0.011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18</v>
      </c>
      <c r="D10" s="11" t="n">
        <v>18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63000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23468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5427</v>
      </c>
      <c r="D13" s="14" t="n">
        <v>33519.72988664995</v>
      </c>
      <c r="E13" s="53">
        <f>C13-D13</f>
        <v/>
      </c>
      <c r="F13" s="25" t="inlineStr">
        <is>
          <t>نسبة ثابتة من الصافي</t>
        </is>
      </c>
      <c r="G13" s="26" t="n"/>
      <c r="H13" s="26" t="n"/>
      <c r="I13" s="26" t="n"/>
    </row>
    <row r="14" ht="26" customHeight="1">
      <c r="B14" s="15" t="inlineStr">
        <is>
          <t>شروط العقد: نسبة ٢٠٪ ثابتة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439.8018867924528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16411.72797169811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37.31618363757266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0.4565627399800694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17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483674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2.029214781477775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0.05055583039872548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5.972210998598601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15910.31868131868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5.501285766601121</v>
      </c>
      <c r="D54" s="24" t="inlineStr">
        <is>
          <t>لتر/يوم</t>
        </is>
      </c>
      <c r="E54" s="25" t="inlineStr">
        <is>
          <t>فجوة ساعات الذروة 0.4 معاملة/يوم × 40٪ إغلاقاً × 37.3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</sheetData>
  <mergeCells count="47">
    <mergeCell ref="F13:I13"/>
    <mergeCell ref="F9:I9"/>
    <mergeCell ref="E55:I55"/>
    <mergeCell ref="E24:I24"/>
    <mergeCell ref="E33:I33"/>
    <mergeCell ref="E52:I52"/>
    <mergeCell ref="B22:I22"/>
    <mergeCell ref="E23:I23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الكر النازل  ·  MK084</t>
        </is>
      </c>
    </row>
    <row r="2" ht="16" customHeight="1">
      <c r="A2" s="2" t="inlineStr">
        <is>
          <t>مكة · خط سفر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3125576</v>
      </c>
      <c r="D6" s="14" t="n">
        <v>2760743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1634115</v>
      </c>
      <c r="D7" s="11" t="n">
        <v>1441961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99193</v>
      </c>
      <c r="D8" s="14" t="n">
        <v>81831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0.032</v>
      </c>
      <c r="D9" s="31" t="n">
        <v>0.03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24</v>
      </c>
      <c r="D10" s="11" t="n">
        <v>21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73500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11406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40435</v>
      </c>
      <c r="D13" s="14" t="n">
        <v>40490.12783959298</v>
      </c>
      <c r="E13" s="53">
        <f>C13-D13</f>
        <v/>
      </c>
      <c r="F13" s="25" t="inlineStr">
        <is>
          <t>عمولة معيارية</t>
        </is>
      </c>
      <c r="G13" s="26" t="n"/>
      <c r="H13" s="26" t="n"/>
      <c r="I13" s="26" t="n"/>
    </row>
    <row r="14" ht="26" customHeight="1">
      <c r="B14" s="15" t="inlineStr">
        <is>
          <t>شروط العقد: عمولة ٠٫٠٣ بنزين · ٠٫٠١٥ ديزل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573.1415094339623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18101.52882075472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31.58300092176518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0.1280063358351122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19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481710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2.201761663456917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0.06064858221289619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5.888231373802759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15845.72527472528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10.96147282076761</v>
      </c>
      <c r="D54" s="24" t="inlineStr">
        <is>
          <t>لتر/يوم</t>
        </is>
      </c>
      <c r="E54" s="25" t="inlineStr">
        <is>
          <t>فجوة ساعات الذروة 0.9 معاملة/يوم × 40٪ إغلاقاً × 31.6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</sheetData>
  <mergeCells count="47">
    <mergeCell ref="F13:I13"/>
    <mergeCell ref="F9:I9"/>
    <mergeCell ref="E55:I55"/>
    <mergeCell ref="E24:I24"/>
    <mergeCell ref="E33:I33"/>
    <mergeCell ref="E52:I52"/>
    <mergeCell ref="B22:I22"/>
    <mergeCell ref="E23:I23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كورنيش الخبر  ·  EP051</t>
        </is>
      </c>
    </row>
    <row r="2" ht="16" customHeight="1">
      <c r="A2" s="2" t="inlineStr">
        <is>
          <t>الشرقية · حيوية · نموذج العمل إيجاري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6335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-583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-0.092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0.0639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604.7216981132076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15616.8370754717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25.82483334763379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0.08967302120758357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17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474752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2.200943175910533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0.0639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«إيجاري» — 5.63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«إيجاري» — 5.63 هللة/لتر</t>
        </is>
      </c>
      <c r="C41" s="13" t="n">
        <v>5.63</v>
      </c>
      <c r="D41" s="25" t="inlineStr">
        <is>
          <t>مصاريف تشغيل محطات إيجاري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15616.8370754717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11.76903705649348</v>
      </c>
      <c r="D51" s="24" t="inlineStr">
        <is>
          <t>لتر/يوم</t>
        </is>
      </c>
      <c r="E51" s="25" t="inlineStr">
        <is>
          <t>فجوة ساعات الذروة 1.1 معاملة/يوم × 40٪ إغلاقاً × 25.8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</sheetData>
  <mergeCells count="44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«إيجاري» — 5.63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بن درويش  ·  MK023</t>
        </is>
      </c>
    </row>
    <row r="2" ht="16" customHeight="1">
      <c r="A2" s="2" t="inlineStr">
        <is>
          <t>مكة · حيوية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3038405</v>
      </c>
      <c r="D6" s="14" t="n">
        <v>2700766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1548580</v>
      </c>
      <c r="D7" s="11" t="n">
        <v>1376226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105623</v>
      </c>
      <c r="D8" s="14" t="n">
        <v>115715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0.035</v>
      </c>
      <c r="D9" s="31" t="n">
        <v>0.043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20</v>
      </c>
      <c r="D10" s="11" t="n">
        <v>14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49000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3058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23143</v>
      </c>
      <c r="D13" s="14" t="n">
        <v>41286.78</v>
      </c>
      <c r="E13" s="53">
        <f>C13-D13</f>
        <v/>
      </c>
      <c r="F13" s="25" t="inlineStr">
        <is>
          <t>نسبة ثابتة من الصافي</t>
        </is>
      </c>
      <c r="G13" s="26" t="n"/>
      <c r="H13" s="26" t="n"/>
      <c r="I13" s="26" t="n"/>
    </row>
    <row r="14" ht="26" customHeight="1">
      <c r="B14" s="15" t="inlineStr">
        <is>
          <t>شروط العقد: نسبة ٢٠٪ ثابتة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790.4811320754717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15820.87353773585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20.01423297251495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21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459750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2.25681021867048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0.06451140587522206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3.782663603216332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15123.36263736264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2.666312282262004</v>
      </c>
      <c r="D54" s="24" t="inlineStr">
        <is>
          <t>لتر/يوم</t>
        </is>
      </c>
      <c r="E54" s="25" t="inlineStr">
        <is>
          <t>فجوة ساعات الذروة 0.3 معاملة/يوم × 40٪ إغلاقاً × 20.0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  <row r="71" ht="28" customHeight="1">
      <c r="B71" s="17" t="inlineStr">
        <is>
          <t>⛔ بوابة مفتوحة على هذه المحطة: بيانات دفع مفقودة — تُقفل قبل تحميل المستهدف على أحد، وإلا نُسبت نتيجتها إلى الجهد وهي من البوابة.</t>
        </is>
      </c>
      <c r="C71" s="18" t="n"/>
      <c r="D71" s="18" t="n"/>
      <c r="E71" s="18" t="n"/>
      <c r="F71" s="18" t="n"/>
      <c r="G71" s="18" t="n"/>
      <c r="H71" s="18" t="n"/>
      <c r="I71" s="18" t="n"/>
    </row>
  </sheetData>
  <mergeCells count="48">
    <mergeCell ref="F13:I13"/>
    <mergeCell ref="F9:I9"/>
    <mergeCell ref="E55:I55"/>
    <mergeCell ref="E24:I24"/>
    <mergeCell ref="E33:I33"/>
    <mergeCell ref="E52:I52"/>
    <mergeCell ref="B22:I22"/>
    <mergeCell ref="E23:I23"/>
    <mergeCell ref="B71:I71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بطحاء قريش 2  ·  MK031</t>
        </is>
      </c>
    </row>
    <row r="2" ht="16" customHeight="1">
      <c r="A2" s="2" t="inlineStr">
        <is>
          <t>مكة · حيوية · نموذج العمل إيجاري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5845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-278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-0.0476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0.0582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581.0102040816327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14735.42015306122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25.36172351112594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0.2773527073553005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17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447957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2.123900620757145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0.0582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«إيجاري» — 5.63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«إيجاري» — 5.63 هللة/لتر</t>
        </is>
      </c>
      <c r="C41" s="13" t="n">
        <v>5.63</v>
      </c>
      <c r="D41" s="25" t="inlineStr">
        <is>
          <t>مصاريف تشغيل محطات إيجاري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14735.42015306122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85.18971405206011</v>
      </c>
      <c r="D51" s="24" t="inlineStr">
        <is>
          <t>لتر/يوم</t>
        </is>
      </c>
      <c r="E51" s="25" t="inlineStr">
        <is>
          <t>فجوة ساعات الذروة 8.4 معاملة/يوم × 40٪ إغلاقاً × 25.4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  <row r="68" ht="28" customHeight="1">
      <c r="B68" s="17" t="inlineStr">
        <is>
          <t>⛔ بوابة مفتوحة على هذه المحطة: بيانات دفع مفقودة — تُقفل قبل تحميل المستهدف على أحد، وإلا نُسبت نتيجتها إلى الجهد وهي من البوابة.</t>
        </is>
      </c>
      <c r="C68" s="18" t="n"/>
      <c r="D68" s="18" t="n"/>
      <c r="E68" s="18" t="n"/>
      <c r="F68" s="18" t="n"/>
      <c r="G68" s="18" t="n"/>
      <c r="H68" s="18" t="n"/>
      <c r="I68" s="18" t="n"/>
    </row>
  </sheetData>
  <mergeCells count="45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B68:I68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«إيجاري» — 5.63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خبت نخلان  ·  JA053</t>
        </is>
      </c>
    </row>
    <row r="2" ht="16" customHeight="1">
      <c r="A2" s="2" t="inlineStr">
        <is>
          <t>جازان · نائية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2482548</v>
      </c>
      <c r="D6" s="14" t="n">
        <v>2486549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1325213</v>
      </c>
      <c r="D7" s="11" t="n">
        <v>1325693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49026</v>
      </c>
      <c r="D8" s="14" t="n">
        <v>46503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0.02</v>
      </c>
      <c r="D9" s="31" t="n">
        <v>0.019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21</v>
      </c>
      <c r="D10" s="11" t="n">
        <v>21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73500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0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6975</v>
      </c>
      <c r="D13" s="14" t="n">
        <v>35144.40414840548</v>
      </c>
      <c r="E13" s="53">
        <f>C13-D13</f>
        <v/>
      </c>
      <c r="F13" s="25" t="inlineStr">
        <is>
          <t>نسبة ثابتة من الصافي</t>
        </is>
      </c>
      <c r="G13" s="26" t="n"/>
      <c r="H13" s="26" t="n"/>
      <c r="I13" s="26" t="n"/>
    </row>
    <row r="14" ht="26" customHeight="1">
      <c r="B14" s="15" t="inlineStr">
        <is>
          <t>شروط العقد: نسبة ١٥٪ ثابتة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652.938679245283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14945.31504716981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22.88930878538971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0.2326524492771965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21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442869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2.157008711670047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0.05733756585946785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5.544270053473919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14568.05494505494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40.80713912053563</v>
      </c>
      <c r="D54" s="24" t="inlineStr">
        <is>
          <t>لتر/يوم</t>
        </is>
      </c>
      <c r="E54" s="25" t="inlineStr">
        <is>
          <t>فجوة ساعات الذروة 4.5 معاملة/يوم × 40٪ إغلاقاً × 22.9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</sheetData>
  <mergeCells count="47">
    <mergeCell ref="F13:I13"/>
    <mergeCell ref="F9:I9"/>
    <mergeCell ref="E55:I55"/>
    <mergeCell ref="E24:I24"/>
    <mergeCell ref="E33:I33"/>
    <mergeCell ref="E52:I52"/>
    <mergeCell ref="B22:I22"/>
    <mergeCell ref="E23:I23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القسوم - أحد المسارحة  ·  JA041</t>
        </is>
      </c>
    </row>
    <row r="2" ht="16" customHeight="1">
      <c r="A2" s="2" t="inlineStr">
        <is>
          <t>جازان · حيوية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8" t="inlineStr">
        <is>
          <t>—</t>
        </is>
      </c>
      <c r="D6" s="14" t="n">
        <v>2150813</v>
      </c>
      <c r="E6" s="29" t="inlineStr">
        <is>
          <t>—</t>
        </is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8" t="inlineStr">
        <is>
          <t>—</t>
        </is>
      </c>
      <c r="D7" s="11" t="n">
        <v>1111929</v>
      </c>
      <c r="E7" s="29" t="inlineStr">
        <is>
          <t>—</t>
        </is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8" t="inlineStr">
        <is>
          <t>—</t>
        </is>
      </c>
      <c r="D8" s="14" t="n">
        <v>30748</v>
      </c>
      <c r="E8" s="29" t="inlineStr">
        <is>
          <t>—</t>
        </is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8" t="inlineStr">
        <is>
          <t>—</t>
        </is>
      </c>
      <c r="D9" s="31" t="n">
        <v>0.014</v>
      </c>
      <c r="E9" s="29" t="inlineStr">
        <is>
          <t>—</t>
        </is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8" t="inlineStr">
        <is>
          <t>—</t>
        </is>
      </c>
      <c r="D10" s="11" t="n">
        <v>16</v>
      </c>
      <c r="E10" s="29" t="inlineStr">
        <is>
          <t>—</t>
        </is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حصّتنا مقابل المعياري</t>
        </is>
      </c>
      <c r="C11" s="14" t="n">
        <v>4612</v>
      </c>
      <c r="D11" s="14" t="n">
        <v>32121.54726232977</v>
      </c>
      <c r="E11" s="53">
        <f>C11-D11</f>
        <v/>
      </c>
      <c r="F11" s="25" t="inlineStr">
        <is>
          <t>نسبة ثابتة من الصافي</t>
        </is>
      </c>
      <c r="G11" s="26" t="n"/>
      <c r="H11" s="26" t="n"/>
      <c r="I11" s="26" t="n"/>
    </row>
    <row r="12" ht="26" customHeight="1">
      <c r="B12" s="15" t="inlineStr">
        <is>
          <t>شروط العقد: نسبة ١٥٪ — محطة جديدة في ر٢</t>
        </is>
      </c>
      <c r="C12" s="16" t="n"/>
      <c r="D12" s="16" t="n"/>
      <c r="E12" s="16" t="n"/>
      <c r="F12" s="16" t="n"/>
      <c r="G12" s="16" t="n"/>
      <c r="H12" s="16" t="n"/>
      <c r="I12" s="16" t="n"/>
    </row>
    <row r="13" ht="30" customHeight="1">
      <c r="A13" s="4" t="inlineStr"/>
      <c r="B13" s="4" t="inlineStr">
        <is>
          <t>من كاش إن</t>
        </is>
      </c>
      <c r="C13" s="4" t="inlineStr">
        <is>
          <t>القيمة</t>
        </is>
      </c>
      <c r="D13" s="4" t="inlineStr">
        <is>
          <t>الوحدة</t>
        </is>
      </c>
      <c r="E13" s="4" t="inlineStr">
        <is>
          <t>الملاحظة</t>
        </is>
      </c>
      <c r="F13" s="21" t="n"/>
      <c r="G13" s="21" t="n"/>
      <c r="H13" s="21" t="n"/>
      <c r="I13" s="22" t="n"/>
    </row>
    <row r="14">
      <c r="B14" s="5" t="inlineStr">
        <is>
          <t>زيارة في اليوم</t>
        </is>
      </c>
      <c r="C14" s="11" t="n">
        <v>856.3333333333334</v>
      </c>
      <c r="D14" s="24" t="inlineStr">
        <is>
          <t>زيارة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لتر في اليوم</t>
        </is>
      </c>
      <c r="C15" s="11" t="n">
        <v>17768.31383838384</v>
      </c>
      <c r="D15" s="24" t="inlineStr">
        <is>
          <t>لتر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لتر لكل زيارة</t>
        </is>
      </c>
      <c r="C16" s="30" t="n">
        <v>20.74929603548132</v>
      </c>
      <c r="D16" s="24" t="inlineStr">
        <is>
          <t>لتر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حصة الديزل</t>
        </is>
      </c>
      <c r="C17" s="31" t="n">
        <v>0.07412480099420199</v>
      </c>
      <c r="D17" s="24" t="inlineStr">
        <is>
          <t>من اللترات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ساعة الذروة</t>
        </is>
      </c>
      <c r="C18" s="11" t="n">
        <v>17</v>
      </c>
      <c r="D18" s="24" t="inlineStr">
        <is>
          <t>من ٢٤</t>
        </is>
      </c>
      <c r="E18" s="29" t="inlineStr"/>
      <c r="F18" s="26" t="n"/>
      <c r="G18" s="26" t="n"/>
      <c r="H18" s="26" t="n"/>
      <c r="I18" s="26" t="n"/>
    </row>
    <row r="20" ht="22" customHeight="1">
      <c r="B20" s="19" t="inlineStr">
        <is>
          <t>② حاسبة اللتر — قيمته وهامشه ومصاريفه وصافيه</t>
        </is>
      </c>
      <c r="C20" s="20" t="n"/>
      <c r="D20" s="20" t="n"/>
      <c r="E20" s="20" t="n"/>
      <c r="F20" s="20" t="n"/>
      <c r="G20" s="20" t="n"/>
      <c r="H20" s="20" t="n"/>
      <c r="I20" s="20" t="n"/>
    </row>
    <row r="21" ht="30" customHeight="1">
      <c r="A21" s="4" t="inlineStr"/>
      <c r="B21" s="4" t="inlineStr">
        <is>
          <t>البند</t>
        </is>
      </c>
      <c r="C21" s="4" t="inlineStr">
        <is>
          <t>القيمة</t>
        </is>
      </c>
      <c r="D21" s="4" t="inlineStr">
        <is>
          <t>الوحدة</t>
        </is>
      </c>
      <c r="E21" s="4" t="inlineStr">
        <is>
          <t>من أين جاءت</t>
        </is>
      </c>
      <c r="F21" s="21" t="n"/>
      <c r="G21" s="21" t="n"/>
      <c r="H21" s="21" t="n"/>
      <c r="I21" s="22" t="n"/>
    </row>
    <row r="22">
      <c r="B22" s="32" t="inlineStr">
        <is>
          <t>لترات الشهر</t>
        </is>
      </c>
      <c r="C22" s="33" t="n">
        <v>371458</v>
      </c>
      <c r="D22" s="24" t="inlineStr">
        <is>
          <t>لتر/شهر</t>
        </is>
      </c>
      <c r="E22" s="25" t="inlineStr">
        <is>
          <t>افتراضيّها معدّل الأداء: حجم الربع الثاني ÷ ٩١ يوماً × ٣٠٫٤ يوماً</t>
        </is>
      </c>
      <c r="F22" s="26" t="n"/>
      <c r="G22" s="26" t="n"/>
      <c r="H22" s="26" t="n"/>
      <c r="I22" s="26" t="n"/>
    </row>
    <row r="23">
      <c r="B23" s="32" t="inlineStr">
        <is>
          <t>سعر المضخة — شاملاً الضريبة</t>
        </is>
      </c>
      <c r="C23" s="34" t="n">
        <v>2.224454034385289</v>
      </c>
      <c r="D23" s="24" t="inlineStr">
        <is>
          <t>ريال/لتر</t>
        </is>
      </c>
      <c r="E23" s="25" t="inlineStr">
        <is>
          <t>مبيعات الربع الثاني ÷ حجمه (وهي قبل الضريبة) × ١٫١٥ لتصير سعر مضخة</t>
        </is>
      </c>
      <c r="F23" s="26" t="n"/>
      <c r="G23" s="26" t="n"/>
      <c r="H23" s="26" t="n"/>
      <c r="I23" s="26" t="n"/>
    </row>
    <row r="24">
      <c r="B24" s="32" t="inlineStr">
        <is>
          <t>هامش الوقود</t>
        </is>
      </c>
      <c r="C24" s="35" t="n">
        <v>0.06231126985578037</v>
      </c>
      <c r="D24" s="24" t="inlineStr">
        <is>
          <t>٪ من الإيراد قبل الضريبة</t>
        </is>
      </c>
      <c r="E24" s="45" t="inlineStr">
        <is>
          <t>مستنتج من مزيج المحطة — بنزين ١٢٫٦٦ هللة وديزل ٤٫٤٧ · ⛔ انحدار لا جدول معتمد</t>
        </is>
      </c>
      <c r="F24" s="18" t="n"/>
      <c r="G24" s="18" t="n"/>
      <c r="H24" s="18" t="n"/>
      <c r="I24" s="18" t="n"/>
    </row>
    <row r="25">
      <c r="B25" s="36" t="inlineStr">
        <is>
          <t>① قيمة اللتر — قبل الضريبة</t>
        </is>
      </c>
      <c r="C25" s="37">
        <f>$C$23/1.15</f>
        <v/>
      </c>
      <c r="D25" s="24" t="inlineStr">
        <is>
          <t>ريال/لتر</t>
        </is>
      </c>
      <c r="E25" s="25" t="inlineStr">
        <is>
          <t>الصيغة: سعر المضخة ÷ ١٫١٥ · وهي قيمته التي يُحسب عليها الهامش</t>
        </is>
      </c>
      <c r="F25" s="26" t="n"/>
      <c r="G25" s="26" t="n"/>
      <c r="H25" s="26" t="n"/>
      <c r="I25" s="26" t="n"/>
    </row>
    <row r="26">
      <c r="B26" s="36" t="inlineStr">
        <is>
          <t>② هامش الربح للتر</t>
        </is>
      </c>
      <c r="C26" s="38">
        <f>$C$25*$C$24*100</f>
        <v/>
      </c>
      <c r="D26" s="24" t="inlineStr">
        <is>
          <t>هللة/لتر</t>
        </is>
      </c>
      <c r="E26" s="25" t="inlineStr">
        <is>
          <t>الصيغة: قيمة اللتر قبل الضريبة × هامش الوقود · هامش المساهمة قبل أي مصروف</t>
        </is>
      </c>
      <c r="F26" s="26" t="n"/>
      <c r="G26" s="26" t="n"/>
      <c r="H26" s="26" t="n"/>
      <c r="I26" s="26" t="n"/>
    </row>
    <row r="27">
      <c r="B27" s="32" t="inlineStr">
        <is>
          <t>أساس المصاريف</t>
        </is>
      </c>
      <c r="C27" s="39" t="inlineStr">
        <is>
          <t>متوسط محطاتنا — ٩٫١٥ هللة/لتر</t>
        </is>
      </c>
      <c r="D27" s="24" t="inlineStr">
        <is>
          <t>اختر</t>
        </is>
      </c>
      <c r="E27" s="25" t="inlineStr">
        <is>
          <t>ثلاثة أُسُس ولكلٍّ مصدره — الجدول أسفل الحاسبة</t>
        </is>
      </c>
      <c r="F27" s="26" t="n"/>
      <c r="G27" s="26" t="n"/>
      <c r="H27" s="26" t="n"/>
      <c r="I27" s="26" t="n"/>
    </row>
    <row r="28">
      <c r="B28" s="36" t="inlineStr">
        <is>
          <t>③ المصاريف للتر</t>
        </is>
      </c>
      <c r="C28" s="38">
        <f>VLOOKUP($C$27,$B$43:$C$46,2,FALSE)</f>
        <v/>
      </c>
      <c r="D28" s="24" t="inlineStr">
        <is>
          <t>هللة/لتر</t>
        </is>
      </c>
      <c r="E28" s="25" t="inlineStr">
        <is>
          <t>من الأساس المختار أعلاه</t>
        </is>
      </c>
      <c r="F28" s="26" t="n"/>
      <c r="G28" s="26" t="n"/>
      <c r="H28" s="26" t="n"/>
      <c r="I28" s="26" t="n"/>
    </row>
    <row r="29">
      <c r="B29" s="36" t="inlineStr">
        <is>
          <t>④ صافي اللتر</t>
        </is>
      </c>
      <c r="C29" s="38">
        <f>$C$26-$C$28</f>
        <v/>
      </c>
      <c r="D29" s="24" t="inlineStr">
        <is>
          <t>هللة/لتر</t>
        </is>
      </c>
      <c r="E29" s="25" t="inlineStr">
        <is>
          <t>الصيغة: الهامش − المصاريف · وهو ما يبقى فعلاً من كل لتر</t>
        </is>
      </c>
      <c r="F29" s="26" t="n"/>
      <c r="G29" s="26" t="n"/>
      <c r="H29" s="26" t="n"/>
      <c r="I29" s="26" t="n"/>
    </row>
    <row r="30" ht="30" customHeight="1">
      <c r="A30" s="4" t="inlineStr"/>
      <c r="B30" s="4" t="inlineStr">
        <is>
          <t>وبالريال لشهرٍ كامل</t>
        </is>
      </c>
      <c r="C30" s="4" t="inlineStr">
        <is>
          <t>في الشهر</t>
        </is>
      </c>
      <c r="D30" s="4" t="inlineStr">
        <is>
          <t>الوحدة</t>
        </is>
      </c>
      <c r="E30" s="4" t="inlineStr">
        <is>
          <t>الصيغة</t>
        </is>
      </c>
      <c r="F30" s="21" t="n"/>
      <c r="G30" s="21" t="n"/>
      <c r="H30" s="21" t="n"/>
      <c r="I30" s="22" t="n"/>
    </row>
    <row r="31">
      <c r="B31" s="32" t="inlineStr">
        <is>
          <t>المبيعات قبل الضريبة</t>
        </is>
      </c>
      <c r="C31" s="40">
        <f>$C$22*$C$25</f>
        <v/>
      </c>
      <c r="D31" s="24" t="inlineStr">
        <is>
          <t>ريال</t>
        </is>
      </c>
      <c r="E31" s="25" t="inlineStr">
        <is>
          <t>لترات الشهر × قيمة اللتر قبل الضريبة</t>
        </is>
      </c>
      <c r="F31" s="26" t="n"/>
      <c r="G31" s="26" t="n"/>
      <c r="H31" s="26" t="n"/>
      <c r="I31" s="26" t="n"/>
    </row>
    <row r="32">
      <c r="B32" s="32" t="inlineStr">
        <is>
          <t>وشاملةً الضريبة</t>
        </is>
      </c>
      <c r="C32" s="40">
        <f>C31*1.15</f>
        <v/>
      </c>
      <c r="D32" s="24" t="inlineStr">
        <is>
          <t>ريال</t>
        </is>
      </c>
      <c r="E32" s="25" t="inlineStr">
        <is>
          <t>وهو ما يُسجَّل على المضخة</t>
        </is>
      </c>
      <c r="F32" s="26" t="n"/>
      <c r="G32" s="26" t="n"/>
      <c r="H32" s="26" t="n"/>
      <c r="I32" s="26" t="n"/>
    </row>
    <row r="33">
      <c r="B33" s="32" t="inlineStr">
        <is>
          <t>هامش الربح</t>
        </is>
      </c>
      <c r="C33" s="27">
        <f>$C$22*$C$26/100</f>
        <v/>
      </c>
      <c r="D33" s="24" t="inlineStr">
        <is>
          <t>ريال</t>
        </is>
      </c>
      <c r="E33" s="25" t="inlineStr">
        <is>
          <t>لترات الشهر × هامش اللتر</t>
        </is>
      </c>
      <c r="F33" s="26" t="n"/>
      <c r="G33" s="26" t="n"/>
      <c r="H33" s="26" t="n"/>
      <c r="I33" s="26" t="n"/>
    </row>
    <row r="34">
      <c r="B34" s="32" t="inlineStr">
        <is>
          <t>المصاريف</t>
        </is>
      </c>
      <c r="C34" s="41">
        <f>-$C$22*$C$28/100</f>
        <v/>
      </c>
      <c r="D34" s="24" t="inlineStr">
        <is>
          <t>ريال</t>
        </is>
      </c>
      <c r="E34" s="25" t="inlineStr">
        <is>
          <t>لترات الشهر × مصاريف اللتر</t>
        </is>
      </c>
      <c r="F34" s="26" t="n"/>
      <c r="G34" s="26" t="n"/>
      <c r="H34" s="26" t="n"/>
      <c r="I34" s="26" t="n"/>
    </row>
    <row r="35">
      <c r="B35" s="36" t="inlineStr">
        <is>
          <t>الصافي</t>
        </is>
      </c>
      <c r="C35" s="42">
        <f>C33+C34</f>
        <v/>
      </c>
      <c r="D35" s="24" t="inlineStr">
        <is>
          <t>ريال</t>
        </is>
      </c>
      <c r="E35" s="25" t="inlineStr">
        <is>
          <t>الهامش − المصاريف</t>
        </is>
      </c>
      <c r="F35" s="26" t="n"/>
      <c r="G35" s="26" t="n"/>
      <c r="H35" s="26" t="n"/>
      <c r="I35" s="26" t="n"/>
    </row>
    <row r="42" ht="30" customHeight="1">
      <c r="A42" s="4" t="inlineStr"/>
      <c r="B42" s="4" t="inlineStr">
        <is>
          <t>أساس المصاريف</t>
        </is>
      </c>
      <c r="C42" s="4" t="inlineStr">
        <is>
          <t>هللة/لتر</t>
        </is>
      </c>
      <c r="D42" s="4" t="inlineStr">
        <is>
          <t>المصدر والتحفّظ</t>
        </is>
      </c>
      <c r="E42" s="21" t="n"/>
      <c r="F42" s="21" t="n"/>
      <c r="G42" s="21" t="n"/>
      <c r="H42" s="21" t="n"/>
      <c r="I42" s="22" t="n"/>
    </row>
    <row r="43">
      <c r="B43" s="5" t="inlineStr">
        <is>
          <t>متوسط محطاتنا — ٩٫١٥ هللة/لتر</t>
        </is>
      </c>
      <c r="C43" s="13" t="n">
        <v>9.15</v>
      </c>
      <c r="D43" s="25" t="inlineStr">
        <is>
          <t>مصاريف تشغيل محطاتنا الـ٤٩ (دون الامتياز) ÷ لتراتها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المحمَّل الكامل — ١٣٫٥٦ هللة/لتر</t>
        </is>
      </c>
      <c r="C44" s="44" t="n">
        <v>13.56</v>
      </c>
      <c r="D44" s="25" t="inlineStr">
        <is>
          <t>يُضاف إليها بيعٌ وتسويق وإدارة وفوائد — لقرار رأس المال لا للتشغيل</t>
        </is>
      </c>
      <c r="E44" s="26" t="n"/>
      <c r="F44" s="26" t="n"/>
      <c r="G44" s="26" t="n"/>
      <c r="H44" s="26" t="n"/>
      <c r="I44" s="26" t="n"/>
    </row>
    <row r="45">
      <c r="B45" s="43" t="inlineStr">
        <is>
          <t>المقيس في تقرير الربع الثاني</t>
        </is>
      </c>
      <c r="C45" s="44" t="n">
        <v>0</v>
      </c>
      <c r="D45" s="45" t="inlineStr">
        <is>
          <t>⛔ لا أجور ولا مرافق مسجَّلة لهذه المحطة — لا تختر هذا الأساس</t>
        </is>
      </c>
      <c r="E45" s="18" t="n"/>
      <c r="F45" s="18" t="n"/>
      <c r="G45" s="18" t="n"/>
      <c r="H45" s="18" t="n"/>
      <c r="I45" s="18" t="n"/>
    </row>
    <row r="46" ht="26" customHeight="1">
      <c r="B46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6" s="18" t="n"/>
      <c r="D46" s="18" t="n"/>
      <c r="E46" s="18" t="n"/>
      <c r="F46" s="18" t="n"/>
      <c r="G46" s="18" t="n"/>
      <c r="H46" s="18" t="n"/>
      <c r="I46" s="18" t="n"/>
    </row>
    <row r="47" ht="32" customHeight="1">
      <c r="B47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7" s="18" t="n"/>
      <c r="D47" s="18" t="n"/>
      <c r="E47" s="18" t="n"/>
      <c r="F47" s="18" t="n"/>
      <c r="G47" s="18" t="n"/>
      <c r="H47" s="18" t="n"/>
      <c r="I47" s="18" t="n"/>
    </row>
    <row r="49" ht="22" customHeight="1">
      <c r="B49" s="19" t="inlineStr">
        <is>
          <t>③ المستهدف الشهري — اثنا عشر شهراً</t>
        </is>
      </c>
      <c r="C49" s="20" t="n"/>
      <c r="D49" s="20" t="n"/>
      <c r="E49" s="20" t="n"/>
      <c r="F49" s="20" t="n"/>
      <c r="G49" s="20" t="n"/>
      <c r="H49" s="20" t="n"/>
      <c r="I49" s="20" t="n"/>
    </row>
    <row r="50" ht="30" customHeight="1">
      <c r="A50" s="4" t="inlineStr"/>
      <c r="B50" s="4" t="inlineStr">
        <is>
          <t>الأساس</t>
        </is>
      </c>
      <c r="C50" s="4" t="inlineStr">
        <is>
          <t>القيمة</t>
        </is>
      </c>
      <c r="D50" s="4" t="inlineStr">
        <is>
          <t>الوحدة</t>
        </is>
      </c>
      <c r="E50" s="4" t="inlineStr">
        <is>
          <t>من أين جاءت</t>
        </is>
      </c>
      <c r="F50" s="21" t="n"/>
      <c r="G50" s="21" t="n"/>
      <c r="H50" s="21" t="n"/>
      <c r="I50" s="22" t="n"/>
    </row>
    <row r="51">
      <c r="B51" s="5" t="inlineStr">
        <is>
          <t>خط الأساس</t>
        </is>
      </c>
      <c r="C51" s="11" t="n">
        <v>12219</v>
      </c>
      <c r="D51" s="24" t="inlineStr">
        <is>
          <t>لتر/يوم</t>
        </is>
      </c>
      <c r="E51" s="25" t="inlineStr">
        <is>
          <t>حجم الربع الثاني ÷ ٩١ يوماً</t>
        </is>
      </c>
      <c r="F51" s="26" t="n"/>
      <c r="G51" s="26" t="n"/>
      <c r="H51" s="26" t="n"/>
      <c r="I51" s="26" t="n"/>
    </row>
    <row r="52">
      <c r="B52" s="5" t="inlineStr">
        <is>
          <t>الإضافة المستهدفة</t>
        </is>
      </c>
      <c r="C52" s="33" t="n">
        <v>22.45748318261123</v>
      </c>
      <c r="D52" s="24" t="inlineStr">
        <is>
          <t>لتر/يوم</t>
        </is>
      </c>
      <c r="E52" s="25" t="inlineStr">
        <is>
          <t>فجوة ساعات الذروة 2.7 معاملة/يوم × 40٪ إغلاقاً × 20.7 لتراً للزيارة</t>
        </is>
      </c>
      <c r="F52" s="26" t="n"/>
      <c r="G52" s="26" t="n"/>
      <c r="H52" s="26" t="n"/>
      <c r="I52" s="26" t="n"/>
    </row>
    <row r="53">
      <c r="B53" s="5" t="inlineStr">
        <is>
          <t>أشهر التدرّج</t>
        </is>
      </c>
      <c r="C53" s="33" t="n">
        <v>6</v>
      </c>
      <c r="D53" s="24" t="inlineStr">
        <is>
          <t>شهر</t>
        </is>
      </c>
      <c r="E53" s="25" t="inlineStr">
        <is>
          <t>يُبلغ المستهدف كاملاً في الشهر السادس ثم يثبت</t>
        </is>
      </c>
      <c r="F53" s="26" t="n"/>
      <c r="G53" s="26" t="n"/>
      <c r="H53" s="26" t="n"/>
      <c r="I53" s="26" t="n"/>
    </row>
    <row r="54" ht="26" customHeight="1">
      <c r="A54" s="4" t="inlineStr"/>
      <c r="B54" s="4" t="inlineStr">
        <is>
          <t>الشهر</t>
        </is>
      </c>
      <c r="C54" s="4" t="inlineStr">
        <is>
          <t>أيام</t>
        </is>
      </c>
      <c r="D54" s="4" t="inlineStr">
        <is>
          <t>لتر/يوم</t>
        </is>
      </c>
      <c r="E54" s="4" t="inlineStr">
        <is>
          <t>لترات الشهر</t>
        </is>
      </c>
      <c r="F54" s="4" t="inlineStr">
        <is>
          <t>المبيعات قبل الضريبة</t>
        </is>
      </c>
      <c r="G54" s="4" t="inlineStr">
        <is>
          <t>هامش الربح</t>
        </is>
      </c>
      <c r="H54" s="4" t="inlineStr">
        <is>
          <t>المصاريف</t>
        </is>
      </c>
      <c r="I54" s="4" t="inlineStr">
        <is>
          <t>الصافي</t>
        </is>
      </c>
    </row>
    <row r="55">
      <c r="B55" s="5" t="inlineStr">
        <is>
          <t>أكتوبر ٢٠٢٦</t>
        </is>
      </c>
      <c r="C55" s="11" t="n">
        <v>31</v>
      </c>
      <c r="D55" s="11">
        <f>$C$51+$C$52*MIN(1,1/$C$53)</f>
        <v/>
      </c>
      <c r="E55" s="46">
        <f>D55*C55</f>
        <v/>
      </c>
      <c r="F55" s="14">
        <f>E55*$C$25</f>
        <v/>
      </c>
      <c r="G55" s="14">
        <f>E55*$C$26/100</f>
        <v/>
      </c>
      <c r="H55" s="14">
        <f>-E55*$C$28/100</f>
        <v/>
      </c>
      <c r="I55" s="47">
        <f>G55+H55</f>
        <v/>
      </c>
    </row>
    <row r="56">
      <c r="B56" s="5" t="inlineStr">
        <is>
          <t>نوفمبر ٢٠٢٦</t>
        </is>
      </c>
      <c r="C56" s="11" t="n">
        <v>30</v>
      </c>
      <c r="D56" s="11">
        <f>$C$51+$C$52*MIN(1,2/$C$53)</f>
        <v/>
      </c>
      <c r="E56" s="46">
        <f>D56*C56</f>
        <v/>
      </c>
      <c r="F56" s="14">
        <f>E56*$C$25</f>
        <v/>
      </c>
      <c r="G56" s="14">
        <f>E56*$C$26/100</f>
        <v/>
      </c>
      <c r="H56" s="14">
        <f>-E56*$C$28/100</f>
        <v/>
      </c>
      <c r="I56" s="47">
        <f>G56+H56</f>
        <v/>
      </c>
    </row>
    <row r="57">
      <c r="B57" s="5" t="inlineStr">
        <is>
          <t>ديسمبر ٢٠٢٦</t>
        </is>
      </c>
      <c r="C57" s="11" t="n">
        <v>31</v>
      </c>
      <c r="D57" s="11">
        <f>$C$51+$C$52*MIN(1,3/$C$53)</f>
        <v/>
      </c>
      <c r="E57" s="46">
        <f>D57*C57</f>
        <v/>
      </c>
      <c r="F57" s="14">
        <f>E57*$C$25</f>
        <v/>
      </c>
      <c r="G57" s="14">
        <f>E57*$C$26/100</f>
        <v/>
      </c>
      <c r="H57" s="14">
        <f>-E57*$C$28/100</f>
        <v/>
      </c>
      <c r="I57" s="47">
        <f>G57+H57</f>
        <v/>
      </c>
    </row>
    <row r="58">
      <c r="B58" s="5" t="inlineStr">
        <is>
          <t>يناير ٢٠٢٧</t>
        </is>
      </c>
      <c r="C58" s="11" t="n">
        <v>31</v>
      </c>
      <c r="D58" s="11">
        <f>$C$51+$C$52*MIN(1,4/$C$53)</f>
        <v/>
      </c>
      <c r="E58" s="46">
        <f>D58*C58</f>
        <v/>
      </c>
      <c r="F58" s="14">
        <f>E58*$C$25</f>
        <v/>
      </c>
      <c r="G58" s="14">
        <f>E58*$C$26/100</f>
        <v/>
      </c>
      <c r="H58" s="14">
        <f>-E58*$C$28/100</f>
        <v/>
      </c>
      <c r="I58" s="47">
        <f>G58+H58</f>
        <v/>
      </c>
    </row>
    <row r="59">
      <c r="B59" s="5" t="inlineStr">
        <is>
          <t>فبراير ٢٠٢٧</t>
        </is>
      </c>
      <c r="C59" s="11" t="n">
        <v>28</v>
      </c>
      <c r="D59" s="11">
        <f>$C$51+$C$52*MIN(1,5/$C$53)</f>
        <v/>
      </c>
      <c r="E59" s="46">
        <f>D59*C59</f>
        <v/>
      </c>
      <c r="F59" s="14">
        <f>E59*$C$25</f>
        <v/>
      </c>
      <c r="G59" s="14">
        <f>E59*$C$26/100</f>
        <v/>
      </c>
      <c r="H59" s="14">
        <f>-E59*$C$28/100</f>
        <v/>
      </c>
      <c r="I59" s="47">
        <f>G59+H59</f>
        <v/>
      </c>
    </row>
    <row r="60">
      <c r="B60" s="5" t="inlineStr">
        <is>
          <t>مارس ٢٠٢٧</t>
        </is>
      </c>
      <c r="C60" s="11" t="n">
        <v>31</v>
      </c>
      <c r="D60" s="11">
        <f>$C$51+$C$52*MIN(1,6/$C$53)</f>
        <v/>
      </c>
      <c r="E60" s="46">
        <f>D60*C60</f>
        <v/>
      </c>
      <c r="F60" s="14">
        <f>E60*$C$25</f>
        <v/>
      </c>
      <c r="G60" s="14">
        <f>E60*$C$26/100</f>
        <v/>
      </c>
      <c r="H60" s="14">
        <f>-E60*$C$28/100</f>
        <v/>
      </c>
      <c r="I60" s="47">
        <f>G60+H60</f>
        <v/>
      </c>
    </row>
    <row r="61">
      <c r="B61" s="5" t="inlineStr">
        <is>
          <t>أبريل ٢٠٢٧</t>
        </is>
      </c>
      <c r="C61" s="11" t="n">
        <v>30</v>
      </c>
      <c r="D61" s="11">
        <f>$C$51+$C$52*MIN(1,7/$C$53)</f>
        <v/>
      </c>
      <c r="E61" s="46">
        <f>D61*C61</f>
        <v/>
      </c>
      <c r="F61" s="14">
        <f>E61*$C$25</f>
        <v/>
      </c>
      <c r="G61" s="14">
        <f>E61*$C$26/100</f>
        <v/>
      </c>
      <c r="H61" s="14">
        <f>-E61*$C$28/100</f>
        <v/>
      </c>
      <c r="I61" s="47">
        <f>G61+H61</f>
        <v/>
      </c>
    </row>
    <row r="62">
      <c r="B62" s="5" t="inlineStr">
        <is>
          <t>مايو ٢٠٢٧</t>
        </is>
      </c>
      <c r="C62" s="11" t="n">
        <v>31</v>
      </c>
      <c r="D62" s="11">
        <f>$C$51+$C$52*MIN(1,8/$C$53)</f>
        <v/>
      </c>
      <c r="E62" s="46">
        <f>D62*C62</f>
        <v/>
      </c>
      <c r="F62" s="14">
        <f>E62*$C$25</f>
        <v/>
      </c>
      <c r="G62" s="14">
        <f>E62*$C$26/100</f>
        <v/>
      </c>
      <c r="H62" s="14">
        <f>-E62*$C$28/100</f>
        <v/>
      </c>
      <c r="I62" s="47">
        <f>G62+H62</f>
        <v/>
      </c>
    </row>
    <row r="63">
      <c r="B63" s="5" t="inlineStr">
        <is>
          <t>يونيو ٢٠٢٧</t>
        </is>
      </c>
      <c r="C63" s="11" t="n">
        <v>30</v>
      </c>
      <c r="D63" s="11">
        <f>$C$51+$C$52*MIN(1,9/$C$53)</f>
        <v/>
      </c>
      <c r="E63" s="46">
        <f>D63*C63</f>
        <v/>
      </c>
      <c r="F63" s="14">
        <f>E63*$C$25</f>
        <v/>
      </c>
      <c r="G63" s="14">
        <f>E63*$C$26/100</f>
        <v/>
      </c>
      <c r="H63" s="14">
        <f>-E63*$C$28/100</f>
        <v/>
      </c>
      <c r="I63" s="47">
        <f>G63+H63</f>
        <v/>
      </c>
    </row>
    <row r="64">
      <c r="B64" s="5" t="inlineStr">
        <is>
          <t>يوليو ٢٠٢٧</t>
        </is>
      </c>
      <c r="C64" s="11" t="n">
        <v>31</v>
      </c>
      <c r="D64" s="11">
        <f>$C$51+$C$52*MIN(1,10/$C$53)</f>
        <v/>
      </c>
      <c r="E64" s="46">
        <f>D64*C64</f>
        <v/>
      </c>
      <c r="F64" s="14">
        <f>E64*$C$25</f>
        <v/>
      </c>
      <c r="G64" s="14">
        <f>E64*$C$26/100</f>
        <v/>
      </c>
      <c r="H64" s="14">
        <f>-E64*$C$28/100</f>
        <v/>
      </c>
      <c r="I64" s="47">
        <f>G64+H64</f>
        <v/>
      </c>
    </row>
    <row r="65">
      <c r="B65" s="5" t="inlineStr">
        <is>
          <t>أغسطس ٢٠٢٧</t>
        </is>
      </c>
      <c r="C65" s="11" t="n">
        <v>31</v>
      </c>
      <c r="D65" s="11">
        <f>$C$51+$C$52*MIN(1,11/$C$53)</f>
        <v/>
      </c>
      <c r="E65" s="46">
        <f>D65*C65</f>
        <v/>
      </c>
      <c r="F65" s="14">
        <f>E65*$C$25</f>
        <v/>
      </c>
      <c r="G65" s="14">
        <f>E65*$C$26/100</f>
        <v/>
      </c>
      <c r="H65" s="14">
        <f>-E65*$C$28/100</f>
        <v/>
      </c>
      <c r="I65" s="47">
        <f>G65+H65</f>
        <v/>
      </c>
    </row>
    <row r="66">
      <c r="B66" s="5" t="inlineStr">
        <is>
          <t>سبتمبر ٢٠٢٧</t>
        </is>
      </c>
      <c r="C66" s="11" t="n">
        <v>30</v>
      </c>
      <c r="D66" s="11">
        <f>$C$51+$C$52*MIN(1,12/$C$53)</f>
        <v/>
      </c>
      <c r="E66" s="46">
        <f>D66*C66</f>
        <v/>
      </c>
      <c r="F66" s="14">
        <f>E66*$C$25</f>
        <v/>
      </c>
      <c r="G66" s="14">
        <f>E66*$C$26/100</f>
        <v/>
      </c>
      <c r="H66" s="14">
        <f>-E66*$C$28/100</f>
        <v/>
      </c>
      <c r="I66" s="47">
        <f>G66+H66</f>
        <v/>
      </c>
    </row>
    <row r="67">
      <c r="B67" s="48" t="inlineStr">
        <is>
          <t>السنة كاملةً</t>
        </is>
      </c>
      <c r="C67" s="49">
        <f>SUM(C55:C66)</f>
        <v/>
      </c>
      <c r="D67" s="49">
        <f>AVERAGE(D55:D66)</f>
        <v/>
      </c>
      <c r="E67" s="49">
        <f>SUM(E55:E66)</f>
        <v/>
      </c>
      <c r="F67" s="47">
        <f>SUM(F55:F66)</f>
        <v/>
      </c>
      <c r="G67" s="47">
        <f>SUM(G55:G66)</f>
        <v/>
      </c>
      <c r="H67" s="47">
        <f>SUM(H55:H66)</f>
        <v/>
      </c>
      <c r="I67" s="47">
        <f>SUM(I55:I66)</f>
        <v/>
      </c>
    </row>
    <row r="68" ht="32" customHeight="1">
      <c r="B68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8" s="20" t="n"/>
      <c r="D68" s="20" t="n"/>
      <c r="E68" s="20" t="n"/>
      <c r="F68" s="20" t="n"/>
      <c r="G68" s="20" t="n"/>
      <c r="H68" s="20" t="n"/>
      <c r="I68" s="20" t="n"/>
    </row>
  </sheetData>
  <mergeCells count="45">
    <mergeCell ref="E21:I21"/>
    <mergeCell ref="E50:I50"/>
    <mergeCell ref="F9:I9"/>
    <mergeCell ref="B47:I47"/>
    <mergeCell ref="E24:I24"/>
    <mergeCell ref="E33:I33"/>
    <mergeCell ref="E52:I52"/>
    <mergeCell ref="E23:I23"/>
    <mergeCell ref="B46:I46"/>
    <mergeCell ref="E14:I14"/>
    <mergeCell ref="E53:I53"/>
    <mergeCell ref="E17:I17"/>
    <mergeCell ref="B12:I12"/>
    <mergeCell ref="D43:I43"/>
    <mergeCell ref="A2:I2"/>
    <mergeCell ref="E29:I29"/>
    <mergeCell ref="E35:I35"/>
    <mergeCell ref="E51:I51"/>
    <mergeCell ref="F11:I11"/>
    <mergeCell ref="E28:I28"/>
    <mergeCell ref="E13:I13"/>
    <mergeCell ref="E31:I31"/>
    <mergeCell ref="F10:I10"/>
    <mergeCell ref="F6:I6"/>
    <mergeCell ref="E30:I30"/>
    <mergeCell ref="E34:I34"/>
    <mergeCell ref="E15:I15"/>
    <mergeCell ref="D42:I42"/>
    <mergeCell ref="F7:I7"/>
    <mergeCell ref="E27:I27"/>
    <mergeCell ref="F5:I5"/>
    <mergeCell ref="D44:I44"/>
    <mergeCell ref="B49:I49"/>
    <mergeCell ref="E26:I26"/>
    <mergeCell ref="B68:I68"/>
    <mergeCell ref="F8:I8"/>
    <mergeCell ref="E16:I16"/>
    <mergeCell ref="E32:I32"/>
    <mergeCell ref="B20:I20"/>
    <mergeCell ref="E25:I25"/>
    <mergeCell ref="A1:I1"/>
    <mergeCell ref="D45:I45"/>
    <mergeCell ref="E22:I22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5:E66">
    <cfRule type="dataBar" priority="3">
      <dataBar showValue="1">
        <cfvo type="num" val="0"/>
        <cfvo type="max"/>
        <color rgb="00F5831F"/>
      </dataBar>
    </cfRule>
  </conditionalFormatting>
  <conditionalFormatting sqref="I55:I67">
    <cfRule type="cellIs" priority="4" operator="lessThan" dxfId="0">
      <formula>0</formula>
    </cfRule>
  </conditionalFormatting>
  <dataValidations count="1">
    <dataValidation sqref="C27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الناصفة  ·  RY042</t>
        </is>
      </c>
    </row>
    <row r="2" ht="16" customHeight="1">
      <c r="A2" s="2" t="inlineStr">
        <is>
          <t>الخرج · حي · نموذج العمل إيجاري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4773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-662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-0.1387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0.0605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412.4339622641509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12106.13735849057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29.35291092913674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0.2456963276135254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16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368027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2.139664801704821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0.0605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«إيجاري» — 5.63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«إيجاري» — 5.63 هللة/لتر</t>
        </is>
      </c>
      <c r="C41" s="13" t="n">
        <v>5.63</v>
      </c>
      <c r="D41" s="25" t="inlineStr">
        <is>
          <t>مصاريف تشغيل محطات إيجاري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12106.13735849057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48.45300985813103</v>
      </c>
      <c r="D51" s="24" t="inlineStr">
        <is>
          <t>لتر/يوم</t>
        </is>
      </c>
      <c r="E51" s="25" t="inlineStr">
        <is>
          <t>فجوة ساعات الذروة 4.1 معاملة/يوم × 40٪ إغلاقاً × 29.4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</sheetData>
  <mergeCells count="44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«إيجاري» — 5.63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البيعة  ·  MK099</t>
        </is>
      </c>
    </row>
    <row r="2" ht="16" customHeight="1">
      <c r="A2" s="2" t="inlineStr">
        <is>
          <t>الطائف · حي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8" t="inlineStr">
        <is>
          <t>—</t>
        </is>
      </c>
      <c r="D6" s="8" t="inlineStr">
        <is>
          <t>—</t>
        </is>
      </c>
      <c r="E6" s="29" t="inlineStr">
        <is>
          <t>—</t>
        </is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778238</v>
      </c>
      <c r="D7" s="11" t="n">
        <v>894334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45968</v>
      </c>
      <c r="D8" s="14" t="n">
        <v>52787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8" t="inlineStr">
        <is>
          <t>—</t>
        </is>
      </c>
      <c r="D9" s="8" t="inlineStr">
        <is>
          <t>—</t>
        </is>
      </c>
      <c r="E9" s="29" t="inlineStr">
        <is>
          <t>—</t>
        </is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8" t="inlineStr">
        <is>
          <t>—</t>
        </is>
      </c>
      <c r="D10" s="8" t="inlineStr">
        <is>
          <t>—</t>
        </is>
      </c>
      <c r="E10" s="29" t="inlineStr">
        <is>
          <t>—</t>
        </is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حصّتنا مقابل المعياري</t>
        </is>
      </c>
      <c r="C11" s="14" t="n">
        <v>52787</v>
      </c>
      <c r="D11" s="14" t="n">
        <v>26530.41430648867</v>
      </c>
      <c r="E11" s="54">
        <f>C11-D11</f>
        <v/>
      </c>
      <c r="F11" s="25" t="inlineStr">
        <is>
          <t>عمولة أعلى من المعياري</t>
        </is>
      </c>
      <c r="G11" s="26" t="n"/>
      <c r="H11" s="26" t="n"/>
      <c r="I11" s="26" t="n"/>
    </row>
    <row r="12" ht="26" customHeight="1">
      <c r="B12" s="15" t="inlineStr">
        <is>
          <t>شروط العقد: عمولة لتر فقط ٠٫٠٦ بنزين · ٠٫٠١٥ ديزل — تحت مسمى نسبة المالك</t>
        </is>
      </c>
      <c r="C12" s="16" t="n"/>
      <c r="D12" s="16" t="n"/>
      <c r="E12" s="16" t="n"/>
      <c r="F12" s="16" t="n"/>
      <c r="G12" s="16" t="n"/>
      <c r="H12" s="16" t="n"/>
      <c r="I12" s="16" t="n"/>
    </row>
    <row r="13" ht="30" customHeight="1">
      <c r="A13" s="4" t="inlineStr"/>
      <c r="B13" s="4" t="inlineStr">
        <is>
          <t>من كاش إن</t>
        </is>
      </c>
      <c r="C13" s="4" t="inlineStr">
        <is>
          <t>القيمة</t>
        </is>
      </c>
      <c r="D13" s="4" t="inlineStr">
        <is>
          <t>الوحدة</t>
        </is>
      </c>
      <c r="E13" s="4" t="inlineStr">
        <is>
          <t>الملاحظة</t>
        </is>
      </c>
      <c r="F13" s="21" t="n"/>
      <c r="G13" s="21" t="n"/>
      <c r="H13" s="21" t="n"/>
      <c r="I13" s="22" t="n"/>
    </row>
    <row r="14">
      <c r="B14" s="5" t="inlineStr">
        <is>
          <t>زيارة في اليوم</t>
        </is>
      </c>
      <c r="C14" s="11" t="n">
        <v>455.9575471698113</v>
      </c>
      <c r="D14" s="24" t="inlineStr">
        <is>
          <t>زيارة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لتر في اليوم</t>
        </is>
      </c>
      <c r="C15" s="11" t="n">
        <v>9370.635754716981</v>
      </c>
      <c r="D15" s="24" t="inlineStr">
        <is>
          <t>لتر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لتر لكل زيارة</t>
        </is>
      </c>
      <c r="C16" s="30" t="n">
        <v>20.55155312787727</v>
      </c>
      <c r="D16" s="24" t="inlineStr">
        <is>
          <t>لتر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حصة الديزل</t>
        </is>
      </c>
      <c r="C17" s="31" t="n">
        <v>0.02233361685986973</v>
      </c>
      <c r="D17" s="24" t="inlineStr">
        <is>
          <t>من اللترات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ساعة الذروة</t>
        </is>
      </c>
      <c r="C18" s="11" t="n">
        <v>17</v>
      </c>
      <c r="D18" s="24" t="inlineStr">
        <is>
          <t>من ٢٤</t>
        </is>
      </c>
      <c r="E18" s="29" t="inlineStr"/>
      <c r="F18" s="26" t="n"/>
      <c r="G18" s="26" t="n"/>
      <c r="H18" s="26" t="n"/>
      <c r="I18" s="26" t="n"/>
    </row>
    <row r="20" ht="22" customHeight="1">
      <c r="B20" s="19" t="inlineStr">
        <is>
          <t>② حاسبة اللتر — قيمته وهامشه ومصاريفه وصافيه</t>
        </is>
      </c>
      <c r="C20" s="20" t="n"/>
      <c r="D20" s="20" t="n"/>
      <c r="E20" s="20" t="n"/>
      <c r="F20" s="20" t="n"/>
      <c r="G20" s="20" t="n"/>
      <c r="H20" s="20" t="n"/>
      <c r="I20" s="20" t="n"/>
    </row>
    <row r="21" ht="30" customHeight="1">
      <c r="A21" s="4" t="inlineStr"/>
      <c r="B21" s="4" t="inlineStr">
        <is>
          <t>البند</t>
        </is>
      </c>
      <c r="C21" s="4" t="inlineStr">
        <is>
          <t>القيمة</t>
        </is>
      </c>
      <c r="D21" s="4" t="inlineStr">
        <is>
          <t>الوحدة</t>
        </is>
      </c>
      <c r="E21" s="4" t="inlineStr">
        <is>
          <t>من أين جاءت</t>
        </is>
      </c>
      <c r="F21" s="21" t="n"/>
      <c r="G21" s="21" t="n"/>
      <c r="H21" s="21" t="n"/>
      <c r="I21" s="22" t="n"/>
    </row>
    <row r="22">
      <c r="B22" s="32" t="inlineStr">
        <is>
          <t>لترات الشهر</t>
        </is>
      </c>
      <c r="C22" s="33" t="n">
        <v>298767</v>
      </c>
      <c r="D22" s="24" t="inlineStr">
        <is>
          <t>لتر/شهر</t>
        </is>
      </c>
      <c r="E22" s="25" t="inlineStr">
        <is>
          <t>افتراضيّها معدّل الأداء: حجم الربع الثاني ÷ ٩١ يوماً × ٣٠٫٤ يوماً</t>
        </is>
      </c>
      <c r="F22" s="26" t="n"/>
      <c r="G22" s="26" t="n"/>
      <c r="H22" s="26" t="n"/>
      <c r="I22" s="26" t="n"/>
    </row>
    <row r="23">
      <c r="B23" s="32" t="inlineStr">
        <is>
          <t>سعر المضخة — شاملاً الضريبة</t>
        </is>
      </c>
      <c r="C23" s="34" t="n">
        <v>2.261304288781921</v>
      </c>
      <c r="D23" s="24" t="inlineStr">
        <is>
          <t>ريال/لتر</t>
        </is>
      </c>
      <c r="E23" s="45" t="inlineStr">
        <is>
          <t>⛔ لا مبيعات مسجَّلة لها في تقرير الربع الثاني — فالسعر من كاش إن</t>
        </is>
      </c>
      <c r="F23" s="18" t="n"/>
      <c r="G23" s="18" t="n"/>
      <c r="H23" s="18" t="n"/>
      <c r="I23" s="18" t="n"/>
    </row>
    <row r="24">
      <c r="B24" s="32" t="inlineStr">
        <is>
          <t>هامش الوقود</t>
        </is>
      </c>
      <c r="C24" s="35" t="n">
        <v>0.06345298552161856</v>
      </c>
      <c r="D24" s="24" t="inlineStr">
        <is>
          <t>٪ من الإيراد قبل الضريبة</t>
        </is>
      </c>
      <c r="E24" s="45" t="inlineStr">
        <is>
          <t>مستنتج من مزيج المحطة — بنزين ١٢٫٦٦ هللة وديزل ٤٫٤٧ · ⛔ انحدار لا جدول معتمد</t>
        </is>
      </c>
      <c r="F24" s="18" t="n"/>
      <c r="G24" s="18" t="n"/>
      <c r="H24" s="18" t="n"/>
      <c r="I24" s="18" t="n"/>
    </row>
    <row r="25">
      <c r="B25" s="36" t="inlineStr">
        <is>
          <t>① قيمة اللتر — قبل الضريبة</t>
        </is>
      </c>
      <c r="C25" s="37">
        <f>$C$23/1.15</f>
        <v/>
      </c>
      <c r="D25" s="24" t="inlineStr">
        <is>
          <t>ريال/لتر</t>
        </is>
      </c>
      <c r="E25" s="25" t="inlineStr">
        <is>
          <t>الصيغة: سعر المضخة ÷ ١٫١٥ · وهي قيمته التي يُحسب عليها الهامش</t>
        </is>
      </c>
      <c r="F25" s="26" t="n"/>
      <c r="G25" s="26" t="n"/>
      <c r="H25" s="26" t="n"/>
      <c r="I25" s="26" t="n"/>
    </row>
    <row r="26">
      <c r="B26" s="36" t="inlineStr">
        <is>
          <t>② هامش الربح للتر</t>
        </is>
      </c>
      <c r="C26" s="38">
        <f>$C$25*$C$24*100</f>
        <v/>
      </c>
      <c r="D26" s="24" t="inlineStr">
        <is>
          <t>هللة/لتر</t>
        </is>
      </c>
      <c r="E26" s="25" t="inlineStr">
        <is>
          <t>الصيغة: قيمة اللتر قبل الضريبة × هامش الوقود · هامش المساهمة قبل أي مصروف</t>
        </is>
      </c>
      <c r="F26" s="26" t="n"/>
      <c r="G26" s="26" t="n"/>
      <c r="H26" s="26" t="n"/>
      <c r="I26" s="26" t="n"/>
    </row>
    <row r="27">
      <c r="B27" s="32" t="inlineStr">
        <is>
          <t>أساس المصاريف</t>
        </is>
      </c>
      <c r="C27" s="39" t="inlineStr">
        <is>
          <t>متوسط محطاتنا — ٩٫١٥ هللة/لتر</t>
        </is>
      </c>
      <c r="D27" s="24" t="inlineStr">
        <is>
          <t>اختر</t>
        </is>
      </c>
      <c r="E27" s="25" t="inlineStr">
        <is>
          <t>ثلاثة أُسُس ولكلٍّ مصدره — الجدول أسفل الحاسبة</t>
        </is>
      </c>
      <c r="F27" s="26" t="n"/>
      <c r="G27" s="26" t="n"/>
      <c r="H27" s="26" t="n"/>
      <c r="I27" s="26" t="n"/>
    </row>
    <row r="28">
      <c r="B28" s="36" t="inlineStr">
        <is>
          <t>③ المصاريف للتر</t>
        </is>
      </c>
      <c r="C28" s="38">
        <f>VLOOKUP($C$27,$B$43:$C$46,2,FALSE)</f>
        <v/>
      </c>
      <c r="D28" s="24" t="inlineStr">
        <is>
          <t>هللة/لتر</t>
        </is>
      </c>
      <c r="E28" s="25" t="inlineStr">
        <is>
          <t>من الأساس المختار أعلاه</t>
        </is>
      </c>
      <c r="F28" s="26" t="n"/>
      <c r="G28" s="26" t="n"/>
      <c r="H28" s="26" t="n"/>
      <c r="I28" s="26" t="n"/>
    </row>
    <row r="29">
      <c r="B29" s="36" t="inlineStr">
        <is>
          <t>④ صافي اللتر</t>
        </is>
      </c>
      <c r="C29" s="38">
        <f>$C$26-$C$28</f>
        <v/>
      </c>
      <c r="D29" s="24" t="inlineStr">
        <is>
          <t>هللة/لتر</t>
        </is>
      </c>
      <c r="E29" s="25" t="inlineStr">
        <is>
          <t>الصيغة: الهامش − المصاريف · وهو ما يبقى فعلاً من كل لتر</t>
        </is>
      </c>
      <c r="F29" s="26" t="n"/>
      <c r="G29" s="26" t="n"/>
      <c r="H29" s="26" t="n"/>
      <c r="I29" s="26" t="n"/>
    </row>
    <row r="30" ht="30" customHeight="1">
      <c r="A30" s="4" t="inlineStr"/>
      <c r="B30" s="4" t="inlineStr">
        <is>
          <t>وبالريال لشهرٍ كامل</t>
        </is>
      </c>
      <c r="C30" s="4" t="inlineStr">
        <is>
          <t>في الشهر</t>
        </is>
      </c>
      <c r="D30" s="4" t="inlineStr">
        <is>
          <t>الوحدة</t>
        </is>
      </c>
      <c r="E30" s="4" t="inlineStr">
        <is>
          <t>الصيغة</t>
        </is>
      </c>
      <c r="F30" s="21" t="n"/>
      <c r="G30" s="21" t="n"/>
      <c r="H30" s="21" t="n"/>
      <c r="I30" s="22" t="n"/>
    </row>
    <row r="31">
      <c r="B31" s="32" t="inlineStr">
        <is>
          <t>المبيعات قبل الضريبة</t>
        </is>
      </c>
      <c r="C31" s="40">
        <f>$C$22*$C$25</f>
        <v/>
      </c>
      <c r="D31" s="24" t="inlineStr">
        <is>
          <t>ريال</t>
        </is>
      </c>
      <c r="E31" s="25" t="inlineStr">
        <is>
          <t>لترات الشهر × قيمة اللتر قبل الضريبة</t>
        </is>
      </c>
      <c r="F31" s="26" t="n"/>
      <c r="G31" s="26" t="n"/>
      <c r="H31" s="26" t="n"/>
      <c r="I31" s="26" t="n"/>
    </row>
    <row r="32">
      <c r="B32" s="32" t="inlineStr">
        <is>
          <t>وشاملةً الضريبة</t>
        </is>
      </c>
      <c r="C32" s="40">
        <f>C31*1.15</f>
        <v/>
      </c>
      <c r="D32" s="24" t="inlineStr">
        <is>
          <t>ريال</t>
        </is>
      </c>
      <c r="E32" s="25" t="inlineStr">
        <is>
          <t>وهو ما يُسجَّل على المضخة</t>
        </is>
      </c>
      <c r="F32" s="26" t="n"/>
      <c r="G32" s="26" t="n"/>
      <c r="H32" s="26" t="n"/>
      <c r="I32" s="26" t="n"/>
    </row>
    <row r="33">
      <c r="B33" s="32" t="inlineStr">
        <is>
          <t>هامش الربح</t>
        </is>
      </c>
      <c r="C33" s="27">
        <f>$C$22*$C$26/100</f>
        <v/>
      </c>
      <c r="D33" s="24" t="inlineStr">
        <is>
          <t>ريال</t>
        </is>
      </c>
      <c r="E33" s="25" t="inlineStr">
        <is>
          <t>لترات الشهر × هامش اللتر</t>
        </is>
      </c>
      <c r="F33" s="26" t="n"/>
      <c r="G33" s="26" t="n"/>
      <c r="H33" s="26" t="n"/>
      <c r="I33" s="26" t="n"/>
    </row>
    <row r="34">
      <c r="B34" s="32" t="inlineStr">
        <is>
          <t>المصاريف</t>
        </is>
      </c>
      <c r="C34" s="41">
        <f>-$C$22*$C$28/100</f>
        <v/>
      </c>
      <c r="D34" s="24" t="inlineStr">
        <is>
          <t>ريال</t>
        </is>
      </c>
      <c r="E34" s="25" t="inlineStr">
        <is>
          <t>لترات الشهر × مصاريف اللتر</t>
        </is>
      </c>
      <c r="F34" s="26" t="n"/>
      <c r="G34" s="26" t="n"/>
      <c r="H34" s="26" t="n"/>
      <c r="I34" s="26" t="n"/>
    </row>
    <row r="35">
      <c r="B35" s="36" t="inlineStr">
        <is>
          <t>الصافي</t>
        </is>
      </c>
      <c r="C35" s="42">
        <f>C33+C34</f>
        <v/>
      </c>
      <c r="D35" s="24" t="inlineStr">
        <is>
          <t>ريال</t>
        </is>
      </c>
      <c r="E35" s="25" t="inlineStr">
        <is>
          <t>الهامش − المصاريف</t>
        </is>
      </c>
      <c r="F35" s="26" t="n"/>
      <c r="G35" s="26" t="n"/>
      <c r="H35" s="26" t="n"/>
      <c r="I35" s="26" t="n"/>
    </row>
    <row r="42" ht="30" customHeight="1">
      <c r="A42" s="4" t="inlineStr"/>
      <c r="B42" s="4" t="inlineStr">
        <is>
          <t>أساس المصاريف</t>
        </is>
      </c>
      <c r="C42" s="4" t="inlineStr">
        <is>
          <t>هللة/لتر</t>
        </is>
      </c>
      <c r="D42" s="4" t="inlineStr">
        <is>
          <t>المصدر والتحفّظ</t>
        </is>
      </c>
      <c r="E42" s="21" t="n"/>
      <c r="F42" s="21" t="n"/>
      <c r="G42" s="21" t="n"/>
      <c r="H42" s="21" t="n"/>
      <c r="I42" s="22" t="n"/>
    </row>
    <row r="43">
      <c r="B43" s="5" t="inlineStr">
        <is>
          <t>متوسط محطاتنا — ٩٫١٥ هللة/لتر</t>
        </is>
      </c>
      <c r="C43" s="13" t="n">
        <v>9.15</v>
      </c>
      <c r="D43" s="25" t="inlineStr">
        <is>
          <t>مصاريف تشغيل محطاتنا الـ٤٩ (دون الامتياز) ÷ لتراتها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المحمَّل الكامل — ١٣٫٥٦ هللة/لتر</t>
        </is>
      </c>
      <c r="C44" s="44" t="n">
        <v>13.56</v>
      </c>
      <c r="D44" s="25" t="inlineStr">
        <is>
          <t>يُضاف إليها بيعٌ وتسويق وإدارة وفوائد — لقرار رأس المال لا للتشغيل</t>
        </is>
      </c>
      <c r="E44" s="26" t="n"/>
      <c r="F44" s="26" t="n"/>
      <c r="G44" s="26" t="n"/>
      <c r="H44" s="26" t="n"/>
      <c r="I44" s="26" t="n"/>
    </row>
    <row r="45">
      <c r="B45" s="43" t="inlineStr">
        <is>
          <t>المقيس في تقرير الربع الثاني</t>
        </is>
      </c>
      <c r="C45" s="44" t="n">
        <v>0</v>
      </c>
      <c r="D45" s="45" t="inlineStr">
        <is>
          <t>⛔ لا أجور ولا مرافق مسجَّلة لهذه المحطة — لا تختر هذا الأساس</t>
        </is>
      </c>
      <c r="E45" s="18" t="n"/>
      <c r="F45" s="18" t="n"/>
      <c r="G45" s="18" t="n"/>
      <c r="H45" s="18" t="n"/>
      <c r="I45" s="18" t="n"/>
    </row>
    <row r="46" ht="26" customHeight="1">
      <c r="B46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6" s="18" t="n"/>
      <c r="D46" s="18" t="n"/>
      <c r="E46" s="18" t="n"/>
      <c r="F46" s="18" t="n"/>
      <c r="G46" s="18" t="n"/>
      <c r="H46" s="18" t="n"/>
      <c r="I46" s="18" t="n"/>
    </row>
    <row r="47" ht="32" customHeight="1">
      <c r="B47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7" s="18" t="n"/>
      <c r="D47" s="18" t="n"/>
      <c r="E47" s="18" t="n"/>
      <c r="F47" s="18" t="n"/>
      <c r="G47" s="18" t="n"/>
      <c r="H47" s="18" t="n"/>
      <c r="I47" s="18" t="n"/>
    </row>
    <row r="49" ht="22" customHeight="1">
      <c r="B49" s="19" t="inlineStr">
        <is>
          <t>③ المستهدف الشهري — اثنا عشر شهراً</t>
        </is>
      </c>
      <c r="C49" s="20" t="n"/>
      <c r="D49" s="20" t="n"/>
      <c r="E49" s="20" t="n"/>
      <c r="F49" s="20" t="n"/>
      <c r="G49" s="20" t="n"/>
      <c r="H49" s="20" t="n"/>
      <c r="I49" s="20" t="n"/>
    </row>
    <row r="50" ht="30" customHeight="1">
      <c r="A50" s="4" t="inlineStr"/>
      <c r="B50" s="4" t="inlineStr">
        <is>
          <t>الأساس</t>
        </is>
      </c>
      <c r="C50" s="4" t="inlineStr">
        <is>
          <t>القيمة</t>
        </is>
      </c>
      <c r="D50" s="4" t="inlineStr">
        <is>
          <t>الوحدة</t>
        </is>
      </c>
      <c r="E50" s="4" t="inlineStr">
        <is>
          <t>من أين جاءت</t>
        </is>
      </c>
      <c r="F50" s="21" t="n"/>
      <c r="G50" s="21" t="n"/>
      <c r="H50" s="21" t="n"/>
      <c r="I50" s="22" t="n"/>
    </row>
    <row r="51">
      <c r="B51" s="5" t="inlineStr">
        <is>
          <t>خط الأساس</t>
        </is>
      </c>
      <c r="C51" s="11" t="n">
        <v>9827.846153846154</v>
      </c>
      <c r="D51" s="24" t="inlineStr">
        <is>
          <t>لتر/يوم</t>
        </is>
      </c>
      <c r="E51" s="25" t="inlineStr">
        <is>
          <t>حجم الربع الثاني ÷ ٩١ يوماً</t>
        </is>
      </c>
      <c r="F51" s="26" t="n"/>
      <c r="G51" s="26" t="n"/>
      <c r="H51" s="26" t="n"/>
      <c r="I51" s="26" t="n"/>
    </row>
    <row r="52">
      <c r="B52" s="5" t="inlineStr">
        <is>
          <t>الإضافة المستهدفة</t>
        </is>
      </c>
      <c r="C52" s="33" t="n">
        <v>19.46040109328448</v>
      </c>
      <c r="D52" s="24" t="inlineStr">
        <is>
          <t>لتر/يوم</t>
        </is>
      </c>
      <c r="E52" s="25" t="inlineStr">
        <is>
          <t>فجوة ساعات الذروة 2.4 معاملة/يوم × 40٪ إغلاقاً × 20.6 لتراً للزيارة</t>
        </is>
      </c>
      <c r="F52" s="26" t="n"/>
      <c r="G52" s="26" t="n"/>
      <c r="H52" s="26" t="n"/>
      <c r="I52" s="26" t="n"/>
    </row>
    <row r="53">
      <c r="B53" s="5" t="inlineStr">
        <is>
          <t>أشهر التدرّج</t>
        </is>
      </c>
      <c r="C53" s="33" t="n">
        <v>6</v>
      </c>
      <c r="D53" s="24" t="inlineStr">
        <is>
          <t>شهر</t>
        </is>
      </c>
      <c r="E53" s="25" t="inlineStr">
        <is>
          <t>يُبلغ المستهدف كاملاً في الشهر السادس ثم يثبت</t>
        </is>
      </c>
      <c r="F53" s="26" t="n"/>
      <c r="G53" s="26" t="n"/>
      <c r="H53" s="26" t="n"/>
      <c r="I53" s="26" t="n"/>
    </row>
    <row r="54" ht="26" customHeight="1">
      <c r="A54" s="4" t="inlineStr"/>
      <c r="B54" s="4" t="inlineStr">
        <is>
          <t>الشهر</t>
        </is>
      </c>
      <c r="C54" s="4" t="inlineStr">
        <is>
          <t>أيام</t>
        </is>
      </c>
      <c r="D54" s="4" t="inlineStr">
        <is>
          <t>لتر/يوم</t>
        </is>
      </c>
      <c r="E54" s="4" t="inlineStr">
        <is>
          <t>لترات الشهر</t>
        </is>
      </c>
      <c r="F54" s="4" t="inlineStr">
        <is>
          <t>المبيعات قبل الضريبة</t>
        </is>
      </c>
      <c r="G54" s="4" t="inlineStr">
        <is>
          <t>هامش الربح</t>
        </is>
      </c>
      <c r="H54" s="4" t="inlineStr">
        <is>
          <t>المصاريف</t>
        </is>
      </c>
      <c r="I54" s="4" t="inlineStr">
        <is>
          <t>الصافي</t>
        </is>
      </c>
    </row>
    <row r="55">
      <c r="B55" s="5" t="inlineStr">
        <is>
          <t>أكتوبر ٢٠٢٦</t>
        </is>
      </c>
      <c r="C55" s="11" t="n">
        <v>31</v>
      </c>
      <c r="D55" s="11">
        <f>$C$51+$C$52*MIN(1,1/$C$53)</f>
        <v/>
      </c>
      <c r="E55" s="46">
        <f>D55*C55</f>
        <v/>
      </c>
      <c r="F55" s="14">
        <f>E55*$C$25</f>
        <v/>
      </c>
      <c r="G55" s="14">
        <f>E55*$C$26/100</f>
        <v/>
      </c>
      <c r="H55" s="14">
        <f>-E55*$C$28/100</f>
        <v/>
      </c>
      <c r="I55" s="47">
        <f>G55+H55</f>
        <v/>
      </c>
    </row>
    <row r="56">
      <c r="B56" s="5" t="inlineStr">
        <is>
          <t>نوفمبر ٢٠٢٦</t>
        </is>
      </c>
      <c r="C56" s="11" t="n">
        <v>30</v>
      </c>
      <c r="D56" s="11">
        <f>$C$51+$C$52*MIN(1,2/$C$53)</f>
        <v/>
      </c>
      <c r="E56" s="46">
        <f>D56*C56</f>
        <v/>
      </c>
      <c r="F56" s="14">
        <f>E56*$C$25</f>
        <v/>
      </c>
      <c r="G56" s="14">
        <f>E56*$C$26/100</f>
        <v/>
      </c>
      <c r="H56" s="14">
        <f>-E56*$C$28/100</f>
        <v/>
      </c>
      <c r="I56" s="47">
        <f>G56+H56</f>
        <v/>
      </c>
    </row>
    <row r="57">
      <c r="B57" s="5" t="inlineStr">
        <is>
          <t>ديسمبر ٢٠٢٦</t>
        </is>
      </c>
      <c r="C57" s="11" t="n">
        <v>31</v>
      </c>
      <c r="D57" s="11">
        <f>$C$51+$C$52*MIN(1,3/$C$53)</f>
        <v/>
      </c>
      <c r="E57" s="46">
        <f>D57*C57</f>
        <v/>
      </c>
      <c r="F57" s="14">
        <f>E57*$C$25</f>
        <v/>
      </c>
      <c r="G57" s="14">
        <f>E57*$C$26/100</f>
        <v/>
      </c>
      <c r="H57" s="14">
        <f>-E57*$C$28/100</f>
        <v/>
      </c>
      <c r="I57" s="47">
        <f>G57+H57</f>
        <v/>
      </c>
    </row>
    <row r="58">
      <c r="B58" s="5" t="inlineStr">
        <is>
          <t>يناير ٢٠٢٧</t>
        </is>
      </c>
      <c r="C58" s="11" t="n">
        <v>31</v>
      </c>
      <c r="D58" s="11">
        <f>$C$51+$C$52*MIN(1,4/$C$53)</f>
        <v/>
      </c>
      <c r="E58" s="46">
        <f>D58*C58</f>
        <v/>
      </c>
      <c r="F58" s="14">
        <f>E58*$C$25</f>
        <v/>
      </c>
      <c r="G58" s="14">
        <f>E58*$C$26/100</f>
        <v/>
      </c>
      <c r="H58" s="14">
        <f>-E58*$C$28/100</f>
        <v/>
      </c>
      <c r="I58" s="47">
        <f>G58+H58</f>
        <v/>
      </c>
    </row>
    <row r="59">
      <c r="B59" s="5" t="inlineStr">
        <is>
          <t>فبراير ٢٠٢٧</t>
        </is>
      </c>
      <c r="C59" s="11" t="n">
        <v>28</v>
      </c>
      <c r="D59" s="11">
        <f>$C$51+$C$52*MIN(1,5/$C$53)</f>
        <v/>
      </c>
      <c r="E59" s="46">
        <f>D59*C59</f>
        <v/>
      </c>
      <c r="F59" s="14">
        <f>E59*$C$25</f>
        <v/>
      </c>
      <c r="G59" s="14">
        <f>E59*$C$26/100</f>
        <v/>
      </c>
      <c r="H59" s="14">
        <f>-E59*$C$28/100</f>
        <v/>
      </c>
      <c r="I59" s="47">
        <f>G59+H59</f>
        <v/>
      </c>
    </row>
    <row r="60">
      <c r="B60" s="5" t="inlineStr">
        <is>
          <t>مارس ٢٠٢٧</t>
        </is>
      </c>
      <c r="C60" s="11" t="n">
        <v>31</v>
      </c>
      <c r="D60" s="11">
        <f>$C$51+$C$52*MIN(1,6/$C$53)</f>
        <v/>
      </c>
      <c r="E60" s="46">
        <f>D60*C60</f>
        <v/>
      </c>
      <c r="F60" s="14">
        <f>E60*$C$25</f>
        <v/>
      </c>
      <c r="G60" s="14">
        <f>E60*$C$26/100</f>
        <v/>
      </c>
      <c r="H60" s="14">
        <f>-E60*$C$28/100</f>
        <v/>
      </c>
      <c r="I60" s="47">
        <f>G60+H60</f>
        <v/>
      </c>
    </row>
    <row r="61">
      <c r="B61" s="5" t="inlineStr">
        <is>
          <t>أبريل ٢٠٢٧</t>
        </is>
      </c>
      <c r="C61" s="11" t="n">
        <v>30</v>
      </c>
      <c r="D61" s="11">
        <f>$C$51+$C$52*MIN(1,7/$C$53)</f>
        <v/>
      </c>
      <c r="E61" s="46">
        <f>D61*C61</f>
        <v/>
      </c>
      <c r="F61" s="14">
        <f>E61*$C$25</f>
        <v/>
      </c>
      <c r="G61" s="14">
        <f>E61*$C$26/100</f>
        <v/>
      </c>
      <c r="H61" s="14">
        <f>-E61*$C$28/100</f>
        <v/>
      </c>
      <c r="I61" s="47">
        <f>G61+H61</f>
        <v/>
      </c>
    </row>
    <row r="62">
      <c r="B62" s="5" t="inlineStr">
        <is>
          <t>مايو ٢٠٢٧</t>
        </is>
      </c>
      <c r="C62" s="11" t="n">
        <v>31</v>
      </c>
      <c r="D62" s="11">
        <f>$C$51+$C$52*MIN(1,8/$C$53)</f>
        <v/>
      </c>
      <c r="E62" s="46">
        <f>D62*C62</f>
        <v/>
      </c>
      <c r="F62" s="14">
        <f>E62*$C$25</f>
        <v/>
      </c>
      <c r="G62" s="14">
        <f>E62*$C$26/100</f>
        <v/>
      </c>
      <c r="H62" s="14">
        <f>-E62*$C$28/100</f>
        <v/>
      </c>
      <c r="I62" s="47">
        <f>G62+H62</f>
        <v/>
      </c>
    </row>
    <row r="63">
      <c r="B63" s="5" t="inlineStr">
        <is>
          <t>يونيو ٢٠٢٧</t>
        </is>
      </c>
      <c r="C63" s="11" t="n">
        <v>30</v>
      </c>
      <c r="D63" s="11">
        <f>$C$51+$C$52*MIN(1,9/$C$53)</f>
        <v/>
      </c>
      <c r="E63" s="46">
        <f>D63*C63</f>
        <v/>
      </c>
      <c r="F63" s="14">
        <f>E63*$C$25</f>
        <v/>
      </c>
      <c r="G63" s="14">
        <f>E63*$C$26/100</f>
        <v/>
      </c>
      <c r="H63" s="14">
        <f>-E63*$C$28/100</f>
        <v/>
      </c>
      <c r="I63" s="47">
        <f>G63+H63</f>
        <v/>
      </c>
    </row>
    <row r="64">
      <c r="B64" s="5" t="inlineStr">
        <is>
          <t>يوليو ٢٠٢٧</t>
        </is>
      </c>
      <c r="C64" s="11" t="n">
        <v>31</v>
      </c>
      <c r="D64" s="11">
        <f>$C$51+$C$52*MIN(1,10/$C$53)</f>
        <v/>
      </c>
      <c r="E64" s="46">
        <f>D64*C64</f>
        <v/>
      </c>
      <c r="F64" s="14">
        <f>E64*$C$25</f>
        <v/>
      </c>
      <c r="G64" s="14">
        <f>E64*$C$26/100</f>
        <v/>
      </c>
      <c r="H64" s="14">
        <f>-E64*$C$28/100</f>
        <v/>
      </c>
      <c r="I64" s="47">
        <f>G64+H64</f>
        <v/>
      </c>
    </row>
    <row r="65">
      <c r="B65" s="5" t="inlineStr">
        <is>
          <t>أغسطس ٢٠٢٧</t>
        </is>
      </c>
      <c r="C65" s="11" t="n">
        <v>31</v>
      </c>
      <c r="D65" s="11">
        <f>$C$51+$C$52*MIN(1,11/$C$53)</f>
        <v/>
      </c>
      <c r="E65" s="46">
        <f>D65*C65</f>
        <v/>
      </c>
      <c r="F65" s="14">
        <f>E65*$C$25</f>
        <v/>
      </c>
      <c r="G65" s="14">
        <f>E65*$C$26/100</f>
        <v/>
      </c>
      <c r="H65" s="14">
        <f>-E65*$C$28/100</f>
        <v/>
      </c>
      <c r="I65" s="47">
        <f>G65+H65</f>
        <v/>
      </c>
    </row>
    <row r="66">
      <c r="B66" s="5" t="inlineStr">
        <is>
          <t>سبتمبر ٢٠٢٧</t>
        </is>
      </c>
      <c r="C66" s="11" t="n">
        <v>30</v>
      </c>
      <c r="D66" s="11">
        <f>$C$51+$C$52*MIN(1,12/$C$53)</f>
        <v/>
      </c>
      <c r="E66" s="46">
        <f>D66*C66</f>
        <v/>
      </c>
      <c r="F66" s="14">
        <f>E66*$C$25</f>
        <v/>
      </c>
      <c r="G66" s="14">
        <f>E66*$C$26/100</f>
        <v/>
      </c>
      <c r="H66" s="14">
        <f>-E66*$C$28/100</f>
        <v/>
      </c>
      <c r="I66" s="47">
        <f>G66+H66</f>
        <v/>
      </c>
    </row>
    <row r="67">
      <c r="B67" s="48" t="inlineStr">
        <is>
          <t>السنة كاملةً</t>
        </is>
      </c>
      <c r="C67" s="49">
        <f>SUM(C55:C66)</f>
        <v/>
      </c>
      <c r="D67" s="49">
        <f>AVERAGE(D55:D66)</f>
        <v/>
      </c>
      <c r="E67" s="49">
        <f>SUM(E55:E66)</f>
        <v/>
      </c>
      <c r="F67" s="47">
        <f>SUM(F55:F66)</f>
        <v/>
      </c>
      <c r="G67" s="47">
        <f>SUM(G55:G66)</f>
        <v/>
      </c>
      <c r="H67" s="47">
        <f>SUM(H55:H66)</f>
        <v/>
      </c>
      <c r="I67" s="47">
        <f>SUM(I55:I66)</f>
        <v/>
      </c>
    </row>
    <row r="68" ht="32" customHeight="1">
      <c r="B68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8" s="20" t="n"/>
      <c r="D68" s="20" t="n"/>
      <c r="E68" s="20" t="n"/>
      <c r="F68" s="20" t="n"/>
      <c r="G68" s="20" t="n"/>
      <c r="H68" s="20" t="n"/>
      <c r="I68" s="20" t="n"/>
    </row>
  </sheetData>
  <mergeCells count="45">
    <mergeCell ref="E21:I21"/>
    <mergeCell ref="E50:I50"/>
    <mergeCell ref="F9:I9"/>
    <mergeCell ref="B47:I47"/>
    <mergeCell ref="E24:I24"/>
    <mergeCell ref="E33:I33"/>
    <mergeCell ref="E52:I52"/>
    <mergeCell ref="E23:I23"/>
    <mergeCell ref="B46:I46"/>
    <mergeCell ref="E14:I14"/>
    <mergeCell ref="E53:I53"/>
    <mergeCell ref="E17:I17"/>
    <mergeCell ref="B12:I12"/>
    <mergeCell ref="D43:I43"/>
    <mergeCell ref="A2:I2"/>
    <mergeCell ref="E29:I29"/>
    <mergeCell ref="E35:I35"/>
    <mergeCell ref="E51:I51"/>
    <mergeCell ref="F11:I11"/>
    <mergeCell ref="E28:I28"/>
    <mergeCell ref="E13:I13"/>
    <mergeCell ref="E31:I31"/>
    <mergeCell ref="F10:I10"/>
    <mergeCell ref="F6:I6"/>
    <mergeCell ref="E30:I30"/>
    <mergeCell ref="E34:I34"/>
    <mergeCell ref="E15:I15"/>
    <mergeCell ref="D42:I42"/>
    <mergeCell ref="F7:I7"/>
    <mergeCell ref="E27:I27"/>
    <mergeCell ref="F5:I5"/>
    <mergeCell ref="D44:I44"/>
    <mergeCell ref="B49:I49"/>
    <mergeCell ref="E26:I26"/>
    <mergeCell ref="B68:I68"/>
    <mergeCell ref="F8:I8"/>
    <mergeCell ref="E16:I16"/>
    <mergeCell ref="E32:I32"/>
    <mergeCell ref="B20:I20"/>
    <mergeCell ref="E25:I25"/>
    <mergeCell ref="A1:I1"/>
    <mergeCell ref="D45:I45"/>
    <mergeCell ref="E22:I22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5:E66">
    <cfRule type="dataBar" priority="3">
      <dataBar showValue="1">
        <cfvo type="num" val="0"/>
        <cfvo type="max"/>
        <color rgb="00F5831F"/>
      </dataBar>
    </cfRule>
  </conditionalFormatting>
  <conditionalFormatting sqref="I55:I67">
    <cfRule type="cellIs" priority="4" operator="lessThan" dxfId="0">
      <formula>0</formula>
    </cfRule>
  </conditionalFormatting>
  <dataValidations count="1">
    <dataValidation sqref="C27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الكوثر  ·  MK100</t>
        </is>
      </c>
    </row>
    <row r="2" ht="16" customHeight="1">
      <c r="A2" s="2" t="inlineStr">
        <is>
          <t>جدة · حيوية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1410031</v>
      </c>
      <c r="D6" s="14" t="n">
        <v>1489789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779165</v>
      </c>
      <c r="D7" s="11" t="n">
        <v>822350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30204</v>
      </c>
      <c r="D8" s="14" t="n">
        <v>30859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0.021</v>
      </c>
      <c r="D9" s="31" t="n">
        <v>0.021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12</v>
      </c>
      <c r="D10" s="11" t="n">
        <v>12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42000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4675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6172</v>
      </c>
      <c r="D13" s="14" t="n">
        <v>20487.42513536326</v>
      </c>
      <c r="E13" s="53">
        <f>C13-D13</f>
        <v/>
      </c>
      <c r="F13" s="25" t="inlineStr">
        <is>
          <t>نسبة ثابتة من الصافي</t>
        </is>
      </c>
      <c r="G13" s="26" t="n"/>
      <c r="H13" s="26" t="n"/>
      <c r="I13" s="26" t="n"/>
    </row>
    <row r="14" ht="26" customHeight="1">
      <c r="B14" s="15" t="inlineStr">
        <is>
          <t>شروط العقد: نسبة ٢٠٪ ثابتة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333.8867924528302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8874.565000000001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26.57956289556962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0.3391155318811321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21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274719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2.083367605034353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0.05455129635074727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5.675807138079893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9036.813186813188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38.93723279225463</v>
      </c>
      <c r="D54" s="24" t="inlineStr">
        <is>
          <t>لتر/يوم</t>
        </is>
      </c>
      <c r="E54" s="25" t="inlineStr">
        <is>
          <t>فجوة ساعات الذروة 3.7 معاملة/يوم × 40٪ إغلاقاً × 26.6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</sheetData>
  <mergeCells count="47">
    <mergeCell ref="F13:I13"/>
    <mergeCell ref="F9:I9"/>
    <mergeCell ref="E55:I55"/>
    <mergeCell ref="E24:I24"/>
    <mergeCell ref="E33:I33"/>
    <mergeCell ref="E52:I52"/>
    <mergeCell ref="B22:I22"/>
    <mergeCell ref="E23:I23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العريفي  ·  HA043</t>
        </is>
      </c>
    </row>
    <row r="2" ht="16" customHeight="1">
      <c r="A2" s="2" t="inlineStr">
        <is>
          <t>حائل · نائية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1406710</v>
      </c>
      <c r="D6" s="14" t="n">
        <v>1382515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726195</v>
      </c>
      <c r="D7" s="11" t="n">
        <v>716645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6648</v>
      </c>
      <c r="D8" s="14" t="n">
        <v>6521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0.005</v>
      </c>
      <c r="D9" s="31" t="n">
        <v>0.005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18</v>
      </c>
      <c r="D10" s="11" t="n">
        <v>18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63000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12256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20411</v>
      </c>
      <c r="D13" s="14" t="n">
        <v>20492.71750739524</v>
      </c>
      <c r="E13" s="53">
        <f>C13-D13</f>
        <v/>
      </c>
      <c r="F13" s="25" t="inlineStr">
        <is>
          <t>عمولة معيارية</t>
        </is>
      </c>
      <c r="G13" s="26" t="n"/>
      <c r="H13" s="26" t="n"/>
      <c r="I13" s="26" t="n"/>
    </row>
    <row r="14" ht="26" customHeight="1">
      <c r="B14" s="15" t="inlineStr">
        <is>
          <t>شروط العقد: عمولة ٠٫٠٣ · ٠٫٠١٥ — العمولة تتجاوز الربح فيخسر المالك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325.8375634517766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7866.613756345178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24.1427466895155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0.09364306293955478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21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239407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2.218521373902002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0.06164927222516791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10.5011546860719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7875.219780219781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13.00338068702835</v>
      </c>
      <c r="D54" s="24" t="inlineStr">
        <is>
          <t>لتر/يوم</t>
        </is>
      </c>
      <c r="E54" s="25" t="inlineStr">
        <is>
          <t>فجوة ساعات الذروة 1.3 معاملة/يوم × 40٪ إغلاقاً × 24.1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  <row r="71" ht="28" customHeight="1">
      <c r="B71" s="17" t="inlineStr">
        <is>
          <t>⛔ بوابة مفتوحة على هذه المحطة: بيانات دفع مفقودة — تُقفل قبل تحميل المستهدف على أحد، وإلا نُسبت نتيجتها إلى الجهد وهي من البوابة.</t>
        </is>
      </c>
      <c r="C71" s="18" t="n"/>
      <c r="D71" s="18" t="n"/>
      <c r="E71" s="18" t="n"/>
      <c r="F71" s="18" t="n"/>
      <c r="G71" s="18" t="n"/>
      <c r="H71" s="18" t="n"/>
      <c r="I71" s="18" t="n"/>
    </row>
  </sheetData>
  <mergeCells count="48">
    <mergeCell ref="F13:I13"/>
    <mergeCell ref="F9:I9"/>
    <mergeCell ref="E55:I55"/>
    <mergeCell ref="E24:I24"/>
    <mergeCell ref="E33:I33"/>
    <mergeCell ref="E52:I52"/>
    <mergeCell ref="B22:I22"/>
    <mergeCell ref="E23:I23"/>
    <mergeCell ref="B71:I71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الروابي - المودة  ·  JA056</t>
        </is>
      </c>
    </row>
    <row r="2" ht="16" customHeight="1">
      <c r="A2" s="2" t="inlineStr">
        <is>
          <t>جازان · حي · مصدر الأداء: تقرير ربحية الربع الثاني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A5" s="4" t="inlineStr"/>
      <c r="B5" s="4" t="inlineStr">
        <is>
          <t>البند</t>
        </is>
      </c>
      <c r="C5" s="4" t="inlineStr">
        <is>
          <t>الربع الأول</t>
        </is>
      </c>
      <c r="D5" s="4" t="inlineStr">
        <is>
          <t>الربع الثاني</t>
        </is>
      </c>
      <c r="E5" s="4" t="inlineStr">
        <is>
          <t>التغيّر</t>
        </is>
      </c>
      <c r="F5" s="4" t="inlineStr">
        <is>
          <t>المصدر</t>
        </is>
      </c>
      <c r="G5" s="21" t="n"/>
      <c r="H5" s="21" t="n"/>
      <c r="I5" s="22" t="n"/>
    </row>
    <row r="6">
      <c r="B6" s="5" t="inlineStr">
        <is>
          <t>المبيعات</t>
        </is>
      </c>
      <c r="C6" s="14" t="n">
        <v>1070511</v>
      </c>
      <c r="D6" s="14" t="n">
        <v>1288142</v>
      </c>
      <c r="E6" s="51">
        <f>D6/C6-1</f>
        <v/>
      </c>
      <c r="F6" s="25" t="inlineStr">
        <is>
          <t>تقرير ربحية الربع الثاني</t>
        </is>
      </c>
      <c r="G6" s="26" t="n"/>
      <c r="H6" s="26" t="n"/>
      <c r="I6" s="26" t="n"/>
    </row>
    <row r="7">
      <c r="B7" s="5" t="inlineStr">
        <is>
          <t>الحجم</t>
        </is>
      </c>
      <c r="C7" s="11" t="n">
        <v>573437</v>
      </c>
      <c r="D7" s="11" t="n">
        <v>688372</v>
      </c>
      <c r="E7" s="51">
        <f>D7/C7-1</f>
        <v/>
      </c>
      <c r="F7" s="25" t="inlineStr">
        <is>
          <t>تقرير ربحية الربع الثاني</t>
        </is>
      </c>
      <c r="G7" s="26" t="n"/>
      <c r="H7" s="26" t="n"/>
      <c r="I7" s="26" t="n"/>
    </row>
    <row r="8">
      <c r="B8" s="5" t="inlineStr">
        <is>
          <t>صافي المحطة</t>
        </is>
      </c>
      <c r="C8" s="14" t="n">
        <v>6204</v>
      </c>
      <c r="D8" s="14" t="n">
        <v>20580</v>
      </c>
      <c r="E8" s="51">
        <f>D8/C8-1</f>
        <v/>
      </c>
      <c r="F8" s="25" t="inlineStr">
        <is>
          <t>تقرير ربحية الربع الثاني</t>
        </is>
      </c>
      <c r="G8" s="26" t="n"/>
      <c r="H8" s="26" t="n"/>
      <c r="I8" s="26" t="n"/>
    </row>
    <row r="9">
      <c r="B9" s="5" t="inlineStr">
        <is>
          <t>هامش الصافي</t>
        </is>
      </c>
      <c r="C9" s="31" t="n">
        <v>0.006</v>
      </c>
      <c r="D9" s="31" t="n">
        <v>0.016</v>
      </c>
      <c r="E9" s="52">
        <f>D9-C9</f>
        <v/>
      </c>
      <c r="F9" s="25" t="inlineStr">
        <is>
          <t>تقرير ربحية الربع الثاني</t>
        </is>
      </c>
      <c r="G9" s="26" t="n"/>
      <c r="H9" s="26" t="n"/>
      <c r="I9" s="26" t="n"/>
    </row>
    <row r="10">
      <c r="B10" s="5" t="inlineStr">
        <is>
          <t>عدد العمّال</t>
        </is>
      </c>
      <c r="C10" s="11" t="n">
        <v>12</v>
      </c>
      <c r="D10" s="11" t="n">
        <v>12</v>
      </c>
      <c r="E10" s="51">
        <f>D10/C10-1</f>
        <v/>
      </c>
      <c r="F10" s="25" t="inlineStr">
        <is>
          <t>تقرير ربحية الربع الثاني</t>
        </is>
      </c>
      <c r="G10" s="26" t="n"/>
      <c r="H10" s="26" t="n"/>
      <c r="I10" s="26" t="n"/>
    </row>
    <row r="11">
      <c r="B11" s="5" t="inlineStr">
        <is>
          <t>أجور الربع الثاني</t>
        </is>
      </c>
      <c r="C11" s="29" t="inlineStr">
        <is>
          <t>—</t>
        </is>
      </c>
      <c r="D11" s="14" t="n">
        <v>42000</v>
      </c>
      <c r="E11" s="29" t="inlineStr">
        <is>
          <t>—</t>
        </is>
      </c>
      <c r="F11" s="45" t="inlineStr">
        <is>
          <t>⛔ ٣٬٥٠٠ ريالاً لكل عامل — سعرٌ ثابت لا قياس</t>
        </is>
      </c>
      <c r="G11" s="18" t="n"/>
      <c r="H11" s="18" t="n"/>
      <c r="I11" s="18" t="n"/>
    </row>
    <row r="12">
      <c r="B12" s="5" t="inlineStr">
        <is>
          <t>مرافق الربع الثاني</t>
        </is>
      </c>
      <c r="C12" s="29" t="inlineStr">
        <is>
          <t>—</t>
        </is>
      </c>
      <c r="D12" s="14" t="n">
        <v>11280</v>
      </c>
      <c r="E12" s="29" t="inlineStr">
        <is>
          <t>—</t>
        </is>
      </c>
      <c r="F12" s="25" t="inlineStr">
        <is>
          <t>تقرير ربحية الربع الثاني</t>
        </is>
      </c>
      <c r="G12" s="26" t="n"/>
      <c r="H12" s="26" t="n"/>
      <c r="I12" s="26" t="n"/>
    </row>
    <row r="13">
      <c r="B13" s="5" t="inlineStr">
        <is>
          <t>حصّتنا مقابل المعياري</t>
        </is>
      </c>
      <c r="C13" s="14" t="n">
        <v>4116</v>
      </c>
      <c r="D13" s="14" t="n">
        <v>18394.6446230606</v>
      </c>
      <c r="E13" s="53">
        <f>C13-D13</f>
        <v/>
      </c>
      <c r="F13" s="25" t="inlineStr">
        <is>
          <t>نسبة ثابتة من الصافي</t>
        </is>
      </c>
      <c r="G13" s="26" t="n"/>
      <c r="H13" s="26" t="n"/>
      <c r="I13" s="26" t="n"/>
    </row>
    <row r="14" ht="26" customHeight="1">
      <c r="B14" s="15" t="inlineStr">
        <is>
          <t>شروط العقد: نسبة ٢٠٪ ثابتة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 ht="30" customHeight="1">
      <c r="A15" s="4" t="inlineStr"/>
      <c r="B15" s="4" t="inlineStr">
        <is>
          <t>من كاش إن</t>
        </is>
      </c>
      <c r="C15" s="4" t="inlineStr">
        <is>
          <t>القيمة</t>
        </is>
      </c>
      <c r="D15" s="4" t="inlineStr">
        <is>
          <t>الوحدة</t>
        </is>
      </c>
      <c r="E15" s="4" t="inlineStr">
        <is>
          <t>الملاحظة</t>
        </is>
      </c>
      <c r="F15" s="21" t="n"/>
      <c r="G15" s="21" t="n"/>
      <c r="H15" s="21" t="n"/>
      <c r="I15" s="22" t="n"/>
    </row>
    <row r="16">
      <c r="B16" s="5" t="inlineStr">
        <is>
          <t>زيارة في اليوم</t>
        </is>
      </c>
      <c r="C16" s="11" t="n">
        <v>285.6650943396227</v>
      </c>
      <c r="D16" s="24" t="inlineStr">
        <is>
          <t>زيارة</t>
        </is>
      </c>
      <c r="E16" s="29" t="inlineStr"/>
      <c r="F16" s="26" t="n"/>
      <c r="G16" s="26" t="n"/>
      <c r="H16" s="26" t="n"/>
      <c r="I16" s="26" t="n"/>
    </row>
    <row r="17">
      <c r="B17" s="5" t="inlineStr">
        <is>
          <t>لتر في اليوم</t>
        </is>
      </c>
      <c r="C17" s="11" t="n">
        <v>7094.538443396226</v>
      </c>
      <c r="D17" s="24" t="inlineStr">
        <is>
          <t>لتر</t>
        </is>
      </c>
      <c r="E17" s="29" t="inlineStr"/>
      <c r="F17" s="26" t="n"/>
      <c r="G17" s="26" t="n"/>
      <c r="H17" s="26" t="n"/>
      <c r="I17" s="26" t="n"/>
    </row>
    <row r="18">
      <c r="B18" s="5" t="inlineStr">
        <is>
          <t>لتر لكل زيارة</t>
        </is>
      </c>
      <c r="C18" s="30" t="n">
        <v>24.83516041676987</v>
      </c>
      <c r="D18" s="24" t="inlineStr">
        <is>
          <t>لتر</t>
        </is>
      </c>
      <c r="E18" s="29" t="inlineStr"/>
      <c r="F18" s="26" t="n"/>
      <c r="G18" s="26" t="n"/>
      <c r="H18" s="26" t="n"/>
      <c r="I18" s="26" t="n"/>
    </row>
    <row r="19">
      <c r="B19" s="5" t="inlineStr">
        <is>
          <t>حصة الديزل</t>
        </is>
      </c>
      <c r="C19" s="31" t="n">
        <v>0.2185364286499551</v>
      </c>
      <c r="D19" s="24" t="inlineStr">
        <is>
          <t>من اللترات</t>
        </is>
      </c>
      <c r="E19" s="29" t="inlineStr"/>
      <c r="F19" s="26" t="n"/>
      <c r="G19" s="26" t="n"/>
      <c r="H19" s="26" t="n"/>
      <c r="I19" s="26" t="n"/>
    </row>
    <row r="20">
      <c r="B20" s="5" t="inlineStr">
        <is>
          <t>ساعة الذروة</t>
        </is>
      </c>
      <c r="C20" s="11" t="n">
        <v>7</v>
      </c>
      <c r="D20" s="24" t="inlineStr">
        <is>
          <t>من ٢٤</t>
        </is>
      </c>
      <c r="E20" s="29" t="inlineStr"/>
      <c r="F20" s="26" t="n"/>
      <c r="G20" s="26" t="n"/>
      <c r="H20" s="26" t="n"/>
      <c r="I20" s="26" t="n"/>
    </row>
    <row r="22" ht="22" customHeight="1">
      <c r="B22" s="19" t="inlineStr">
        <is>
          <t>② حاسبة اللتر — قيمته وهامشه ومصاريفه وصافيه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 ht="30" customHeight="1">
      <c r="A23" s="4" t="inlineStr"/>
      <c r="B23" s="4" t="inlineStr">
        <is>
          <t>البند</t>
        </is>
      </c>
      <c r="C23" s="4" t="inlineStr">
        <is>
          <t>القيمة</t>
        </is>
      </c>
      <c r="D23" s="4" t="inlineStr">
        <is>
          <t>الوحدة</t>
        </is>
      </c>
      <c r="E23" s="4" t="inlineStr">
        <is>
          <t>من أين جاءت</t>
        </is>
      </c>
      <c r="F23" s="21" t="n"/>
      <c r="G23" s="21" t="n"/>
      <c r="H23" s="21" t="n"/>
      <c r="I23" s="22" t="n"/>
    </row>
    <row r="24">
      <c r="B24" s="32" t="inlineStr">
        <is>
          <t>لترات الشهر</t>
        </is>
      </c>
      <c r="C24" s="33" t="n">
        <v>229962</v>
      </c>
      <c r="D24" s="24" t="inlineStr">
        <is>
          <t>لتر/شهر</t>
        </is>
      </c>
      <c r="E24" s="25" t="inlineStr">
        <is>
          <t>افتراضيّها معدّل الأداء: حجم الربع الثاني ÷ ٩١ يوماً × ٣٠٫٤ يوماً</t>
        </is>
      </c>
      <c r="F24" s="26" t="n"/>
      <c r="G24" s="26" t="n"/>
      <c r="H24" s="26" t="n"/>
      <c r="I24" s="26" t="n"/>
    </row>
    <row r="25">
      <c r="B25" s="32" t="inlineStr">
        <is>
          <t>سعر المضخة — شاملاً الضريبة</t>
        </is>
      </c>
      <c r="C25" s="34" t="n">
        <v>2.151980760402805</v>
      </c>
      <c r="D25" s="24" t="inlineStr">
        <is>
          <t>ريال/لتر</t>
        </is>
      </c>
      <c r="E25" s="25" t="inlineStr">
        <is>
          <t>مبيعات الربع الثاني ÷ حجمه (وهي قبل الضريبة) × ١٫١٥ لتصير سعر مضخة</t>
        </is>
      </c>
      <c r="F25" s="26" t="n"/>
      <c r="G25" s="26" t="n"/>
      <c r="H25" s="26" t="n"/>
      <c r="I25" s="26" t="n"/>
    </row>
    <row r="26">
      <c r="B26" s="32" t="inlineStr">
        <is>
          <t>هامش الوقود</t>
        </is>
      </c>
      <c r="C26" s="35" t="n">
        <v>0.05808934204607167</v>
      </c>
      <c r="D26" s="24" t="inlineStr">
        <is>
          <t>٪ من الإيراد قبل الضريبة</t>
        </is>
      </c>
      <c r="E26" s="45" t="inlineStr">
        <is>
          <t>مستنتج من مزيج المحطة — بنزين ١٢٫٦٦ هللة وديزل ٤٫٤٧ · ⛔ انحدار لا جدول معتمد</t>
        </is>
      </c>
      <c r="F26" s="18" t="n"/>
      <c r="G26" s="18" t="n"/>
      <c r="H26" s="18" t="n"/>
      <c r="I26" s="18" t="n"/>
    </row>
    <row r="27">
      <c r="B27" s="36" t="inlineStr">
        <is>
          <t>① قيمة اللتر — قبل الضريبة</t>
        </is>
      </c>
      <c r="C27" s="37">
        <f>$C$25/1.15</f>
        <v/>
      </c>
      <c r="D27" s="24" t="inlineStr">
        <is>
          <t>ريال/لتر</t>
        </is>
      </c>
      <c r="E27" s="25" t="inlineStr">
        <is>
          <t>الصيغة: سعر المضخة ÷ ١٫١٥ · وهي قيمته التي يُحسب عليها الهامش</t>
        </is>
      </c>
      <c r="F27" s="26" t="n"/>
      <c r="G27" s="26" t="n"/>
      <c r="H27" s="26" t="n"/>
      <c r="I27" s="26" t="n"/>
    </row>
    <row r="28">
      <c r="B28" s="36" t="inlineStr">
        <is>
          <t>② هامش الربح للتر</t>
        </is>
      </c>
      <c r="C28" s="38">
        <f>$C$27*$C$26*100</f>
        <v/>
      </c>
      <c r="D28" s="24" t="inlineStr">
        <is>
          <t>هللة/لتر</t>
        </is>
      </c>
      <c r="E28" s="25" t="inlineStr">
        <is>
          <t>الصيغة: قيمة اللتر قبل الضريبة × هامش الوقود · هامش المساهمة قبل أي مصروف</t>
        </is>
      </c>
      <c r="F28" s="26" t="n"/>
      <c r="G28" s="26" t="n"/>
      <c r="H28" s="26" t="n"/>
      <c r="I28" s="26" t="n"/>
    </row>
    <row r="29">
      <c r="B29" s="32" t="inlineStr">
        <is>
          <t>أساس المصاريف</t>
        </is>
      </c>
      <c r="C29" s="39" t="inlineStr">
        <is>
          <t>متوسط محطاتنا — ٩٫١٥ هللة/لتر</t>
        </is>
      </c>
      <c r="D29" s="24" t="inlineStr">
        <is>
          <t>اختر</t>
        </is>
      </c>
      <c r="E29" s="25" t="inlineStr">
        <is>
          <t>ثلاثة أُسُس ولكلٍّ مصدره — الجدول أسفل الحاسبة</t>
        </is>
      </c>
      <c r="F29" s="26" t="n"/>
      <c r="G29" s="26" t="n"/>
      <c r="H29" s="26" t="n"/>
      <c r="I29" s="26" t="n"/>
    </row>
    <row r="30">
      <c r="B30" s="36" t="inlineStr">
        <is>
          <t>③ المصاريف للتر</t>
        </is>
      </c>
      <c r="C30" s="38">
        <f>VLOOKUP($C$29,$B$45:$C$48,2,FALSE)</f>
        <v/>
      </c>
      <c r="D30" s="24" t="inlineStr">
        <is>
          <t>هللة/لتر</t>
        </is>
      </c>
      <c r="E30" s="25" t="inlineStr">
        <is>
          <t>من الأساس المختار أعلاه</t>
        </is>
      </c>
      <c r="F30" s="26" t="n"/>
      <c r="G30" s="26" t="n"/>
      <c r="H30" s="26" t="n"/>
      <c r="I30" s="26" t="n"/>
    </row>
    <row r="31">
      <c r="B31" s="36" t="inlineStr">
        <is>
          <t>④ صافي اللتر</t>
        </is>
      </c>
      <c r="C31" s="38">
        <f>$C$28-$C$30</f>
        <v/>
      </c>
      <c r="D31" s="24" t="inlineStr">
        <is>
          <t>هللة/لتر</t>
        </is>
      </c>
      <c r="E31" s="25" t="inlineStr">
        <is>
          <t>الصيغة: الهامش − المصاريف · وهو ما يبقى فعلاً من كل لتر</t>
        </is>
      </c>
      <c r="F31" s="26" t="n"/>
      <c r="G31" s="26" t="n"/>
      <c r="H31" s="26" t="n"/>
      <c r="I31" s="26" t="n"/>
    </row>
    <row r="32" ht="30" customHeight="1">
      <c r="A32" s="4" t="inlineStr"/>
      <c r="B32" s="4" t="inlineStr">
        <is>
          <t>وبالريال لشهرٍ كامل</t>
        </is>
      </c>
      <c r="C32" s="4" t="inlineStr">
        <is>
          <t>في الشهر</t>
        </is>
      </c>
      <c r="D32" s="4" t="inlineStr">
        <is>
          <t>الوحدة</t>
        </is>
      </c>
      <c r="E32" s="4" t="inlineStr">
        <is>
          <t>الصيغة</t>
        </is>
      </c>
      <c r="F32" s="21" t="n"/>
      <c r="G32" s="21" t="n"/>
      <c r="H32" s="21" t="n"/>
      <c r="I32" s="22" t="n"/>
    </row>
    <row r="33">
      <c r="B33" s="32" t="inlineStr">
        <is>
          <t>المبيعات قبل الضريبة</t>
        </is>
      </c>
      <c r="C33" s="40">
        <f>$C$24*$C$27</f>
        <v/>
      </c>
      <c r="D33" s="24" t="inlineStr">
        <is>
          <t>ريال</t>
        </is>
      </c>
      <c r="E33" s="25" t="inlineStr">
        <is>
          <t>لترات الشهر × قيمة اللتر قبل الضريبة</t>
        </is>
      </c>
      <c r="F33" s="26" t="n"/>
      <c r="G33" s="26" t="n"/>
      <c r="H33" s="26" t="n"/>
      <c r="I33" s="26" t="n"/>
    </row>
    <row r="34">
      <c r="B34" s="32" t="inlineStr">
        <is>
          <t>وشاملةً الضريبة</t>
        </is>
      </c>
      <c r="C34" s="40">
        <f>C33*1.15</f>
        <v/>
      </c>
      <c r="D34" s="24" t="inlineStr">
        <is>
          <t>ريال</t>
        </is>
      </c>
      <c r="E34" s="25" t="inlineStr">
        <is>
          <t>وهو ما يُسجَّل على المضخة</t>
        </is>
      </c>
      <c r="F34" s="26" t="n"/>
      <c r="G34" s="26" t="n"/>
      <c r="H34" s="26" t="n"/>
      <c r="I34" s="26" t="n"/>
    </row>
    <row r="35">
      <c r="B35" s="32" t="inlineStr">
        <is>
          <t>هامش الربح</t>
        </is>
      </c>
      <c r="C35" s="27">
        <f>$C$24*$C$28/100</f>
        <v/>
      </c>
      <c r="D35" s="24" t="inlineStr">
        <is>
          <t>ريال</t>
        </is>
      </c>
      <c r="E35" s="25" t="inlineStr">
        <is>
          <t>لترات الشهر × هامش اللتر</t>
        </is>
      </c>
      <c r="F35" s="26" t="n"/>
      <c r="G35" s="26" t="n"/>
      <c r="H35" s="26" t="n"/>
      <c r="I35" s="26" t="n"/>
    </row>
    <row r="36">
      <c r="B36" s="32" t="inlineStr">
        <is>
          <t>المصاريف</t>
        </is>
      </c>
      <c r="C36" s="41">
        <f>-$C$24*$C$30/100</f>
        <v/>
      </c>
      <c r="D36" s="24" t="inlineStr">
        <is>
          <t>ريال</t>
        </is>
      </c>
      <c r="E36" s="25" t="inlineStr">
        <is>
          <t>لترات الشهر × مصاريف اللتر</t>
        </is>
      </c>
      <c r="F36" s="26" t="n"/>
      <c r="G36" s="26" t="n"/>
      <c r="H36" s="26" t="n"/>
      <c r="I36" s="26" t="n"/>
    </row>
    <row r="37">
      <c r="B37" s="36" t="inlineStr">
        <is>
          <t>الصافي</t>
        </is>
      </c>
      <c r="C37" s="42">
        <f>C35+C36</f>
        <v/>
      </c>
      <c r="D37" s="24" t="inlineStr">
        <is>
          <t>ريال</t>
        </is>
      </c>
      <c r="E37" s="25" t="inlineStr">
        <is>
          <t>الهامش − المصاريف</t>
        </is>
      </c>
      <c r="F37" s="26" t="n"/>
      <c r="G37" s="26" t="n"/>
      <c r="H37" s="26" t="n"/>
      <c r="I37" s="26" t="n"/>
    </row>
    <row r="44" ht="30" customHeight="1">
      <c r="A44" s="4" t="inlineStr"/>
      <c r="B44" s="4" t="inlineStr">
        <is>
          <t>أساس المصاريف</t>
        </is>
      </c>
      <c r="C44" s="4" t="inlineStr">
        <is>
          <t>هللة/لتر</t>
        </is>
      </c>
      <c r="D44" s="4" t="inlineStr">
        <is>
          <t>المصدر والتحفّظ</t>
        </is>
      </c>
      <c r="E44" s="21" t="n"/>
      <c r="F44" s="21" t="n"/>
      <c r="G44" s="21" t="n"/>
      <c r="H44" s="21" t="n"/>
      <c r="I44" s="22" t="n"/>
    </row>
    <row r="45">
      <c r="B45" s="5" t="inlineStr">
        <is>
          <t>متوسط محطاتنا — ٩٫١٥ هللة/لتر</t>
        </is>
      </c>
      <c r="C45" s="13" t="n">
        <v>9.15</v>
      </c>
      <c r="D45" s="25" t="inlineStr">
        <is>
          <t>مصاريف تشغيل محطاتنا الـ٤٩ (دون الامتياز) ÷ لتراتها</t>
        </is>
      </c>
      <c r="E45" s="26" t="n"/>
      <c r="F45" s="26" t="n"/>
      <c r="G45" s="26" t="n"/>
      <c r="H45" s="26" t="n"/>
      <c r="I45" s="26" t="n"/>
    </row>
    <row r="46">
      <c r="B46" s="43" t="inlineStr">
        <is>
          <t>المحمَّل الكامل — ١٣٫٥٦ هللة/لتر</t>
        </is>
      </c>
      <c r="C46" s="44" t="n">
        <v>13.56</v>
      </c>
      <c r="D46" s="25" t="inlineStr">
        <is>
          <t>يُضاف إليها بيعٌ وتسويق وإدارة وفوائد — لقرار رأس المال لا للتشغيل</t>
        </is>
      </c>
      <c r="E46" s="26" t="n"/>
      <c r="F46" s="26" t="n"/>
      <c r="G46" s="26" t="n"/>
      <c r="H46" s="26" t="n"/>
      <c r="I46" s="26" t="n"/>
    </row>
    <row r="47">
      <c r="B47" s="43" t="inlineStr">
        <is>
          <t>المقيس في تقرير الربع الثاني</t>
        </is>
      </c>
      <c r="C47" s="44" t="n">
        <v>7.740001045946087</v>
      </c>
      <c r="D47" s="45" t="inlineStr">
        <is>
          <t>⛔ أجورُه ٣٬٥٠٠ ريالاً ثابتة لكل عامل — أجرٌ شهري طُبِّق مرة بدل ثلاث، فمصاريفه نصف ما في القائمة · يصلح للمقارنة بين المحطات لا لمستوى الكلفة</t>
        </is>
      </c>
      <c r="E47" s="18" t="n"/>
      <c r="F47" s="18" t="n"/>
      <c r="G47" s="18" t="n"/>
      <c r="H47" s="18" t="n"/>
      <c r="I47" s="18" t="n"/>
    </row>
    <row r="48" ht="26" customHeight="1">
      <c r="B48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8" s="18" t="n"/>
      <c r="D48" s="18" t="n"/>
      <c r="E48" s="18" t="n"/>
      <c r="F48" s="18" t="n"/>
      <c r="G48" s="18" t="n"/>
      <c r="H48" s="18" t="n"/>
      <c r="I48" s="18" t="n"/>
    </row>
    <row r="49" ht="32" customHeight="1">
      <c r="B49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9" s="18" t="n"/>
      <c r="D49" s="18" t="n"/>
      <c r="E49" s="18" t="n"/>
      <c r="F49" s="18" t="n"/>
      <c r="G49" s="18" t="n"/>
      <c r="H49" s="18" t="n"/>
      <c r="I49" s="18" t="n"/>
    </row>
    <row r="51" ht="22" customHeight="1">
      <c r="B51" s="19" t="inlineStr">
        <is>
          <t>③ المستهدف الشهري — اثنا عشر شهراً</t>
        </is>
      </c>
      <c r="C51" s="20" t="n"/>
      <c r="D51" s="20" t="n"/>
      <c r="E51" s="20" t="n"/>
      <c r="F51" s="20" t="n"/>
      <c r="G51" s="20" t="n"/>
      <c r="H51" s="20" t="n"/>
      <c r="I51" s="20" t="n"/>
    </row>
    <row r="52" ht="30" customHeight="1">
      <c r="A52" s="4" t="inlineStr"/>
      <c r="B52" s="4" t="inlineStr">
        <is>
          <t>الأساس</t>
        </is>
      </c>
      <c r="C52" s="4" t="inlineStr">
        <is>
          <t>القيمة</t>
        </is>
      </c>
      <c r="D52" s="4" t="inlineStr">
        <is>
          <t>الوحدة</t>
        </is>
      </c>
      <c r="E52" s="4" t="inlineStr">
        <is>
          <t>من أين جاءت</t>
        </is>
      </c>
      <c r="F52" s="21" t="n"/>
      <c r="G52" s="21" t="n"/>
      <c r="H52" s="21" t="n"/>
      <c r="I52" s="22" t="n"/>
    </row>
    <row r="53">
      <c r="B53" s="5" t="inlineStr">
        <is>
          <t>خط الأساس</t>
        </is>
      </c>
      <c r="C53" s="11" t="n">
        <v>7564.527472527472</v>
      </c>
      <c r="D53" s="24" t="inlineStr">
        <is>
          <t>لتر/يوم</t>
        </is>
      </c>
      <c r="E53" s="25" t="inlineStr">
        <is>
          <t>حجم الربع الثاني ÷ ٩١ يوماً</t>
        </is>
      </c>
      <c r="F53" s="26" t="n"/>
      <c r="G53" s="26" t="n"/>
      <c r="H53" s="26" t="n"/>
      <c r="I53" s="26" t="n"/>
    </row>
    <row r="54">
      <c r="B54" s="5" t="inlineStr">
        <is>
          <t>الإضافة المستهدفة</t>
        </is>
      </c>
      <c r="C54" s="33" t="n">
        <v>66.80622682654696</v>
      </c>
      <c r="D54" s="24" t="inlineStr">
        <is>
          <t>لتر/يوم</t>
        </is>
      </c>
      <c r="E54" s="25" t="inlineStr">
        <is>
          <t>فجوة ساعات الذروة 6.7 معاملة/يوم × 40٪ إغلاقاً × 24.8 لتراً للزيارة</t>
        </is>
      </c>
      <c r="F54" s="26" t="n"/>
      <c r="G54" s="26" t="n"/>
      <c r="H54" s="26" t="n"/>
      <c r="I54" s="26" t="n"/>
    </row>
    <row r="55">
      <c r="B55" s="5" t="inlineStr">
        <is>
          <t>أشهر التدرّج</t>
        </is>
      </c>
      <c r="C55" s="33" t="n">
        <v>6</v>
      </c>
      <c r="D55" s="24" t="inlineStr">
        <is>
          <t>شهر</t>
        </is>
      </c>
      <c r="E55" s="25" t="inlineStr">
        <is>
          <t>يُبلغ المستهدف كاملاً في الشهر السادس ثم يثبت</t>
        </is>
      </c>
      <c r="F55" s="26" t="n"/>
      <c r="G55" s="26" t="n"/>
      <c r="H55" s="26" t="n"/>
      <c r="I55" s="26" t="n"/>
    </row>
    <row r="56" ht="26" customHeight="1">
      <c r="A56" s="4" t="inlineStr"/>
      <c r="B56" s="4" t="inlineStr">
        <is>
          <t>الشهر</t>
        </is>
      </c>
      <c r="C56" s="4" t="inlineStr">
        <is>
          <t>أيام</t>
        </is>
      </c>
      <c r="D56" s="4" t="inlineStr">
        <is>
          <t>لتر/يوم</t>
        </is>
      </c>
      <c r="E56" s="4" t="inlineStr">
        <is>
          <t>لترات الشهر</t>
        </is>
      </c>
      <c r="F56" s="4" t="inlineStr">
        <is>
          <t>المبيعات قبل الضريبة</t>
        </is>
      </c>
      <c r="G56" s="4" t="inlineStr">
        <is>
          <t>هامش الربح</t>
        </is>
      </c>
      <c r="H56" s="4" t="inlineStr">
        <is>
          <t>المصاريف</t>
        </is>
      </c>
      <c r="I56" s="4" t="inlineStr">
        <is>
          <t>الصافي</t>
        </is>
      </c>
    </row>
    <row r="57">
      <c r="B57" s="5" t="inlineStr">
        <is>
          <t>أكتوبر ٢٠٢٦</t>
        </is>
      </c>
      <c r="C57" s="11" t="n">
        <v>31</v>
      </c>
      <c r="D57" s="11">
        <f>$C$53+$C$54*MIN(1,1/$C$55)</f>
        <v/>
      </c>
      <c r="E57" s="46">
        <f>D57*C57</f>
        <v/>
      </c>
      <c r="F57" s="14">
        <f>E57*$C$27</f>
        <v/>
      </c>
      <c r="G57" s="14">
        <f>E57*$C$28/100</f>
        <v/>
      </c>
      <c r="H57" s="14">
        <f>-E57*$C$30/100</f>
        <v/>
      </c>
      <c r="I57" s="47">
        <f>G57+H57</f>
        <v/>
      </c>
    </row>
    <row r="58">
      <c r="B58" s="5" t="inlineStr">
        <is>
          <t>نوفمبر ٢٠٢٦</t>
        </is>
      </c>
      <c r="C58" s="11" t="n">
        <v>30</v>
      </c>
      <c r="D58" s="11">
        <f>$C$53+$C$54*MIN(1,2/$C$55)</f>
        <v/>
      </c>
      <c r="E58" s="46">
        <f>D58*C58</f>
        <v/>
      </c>
      <c r="F58" s="14">
        <f>E58*$C$27</f>
        <v/>
      </c>
      <c r="G58" s="14">
        <f>E58*$C$28/100</f>
        <v/>
      </c>
      <c r="H58" s="14">
        <f>-E58*$C$30/100</f>
        <v/>
      </c>
      <c r="I58" s="47">
        <f>G58+H58</f>
        <v/>
      </c>
    </row>
    <row r="59">
      <c r="B59" s="5" t="inlineStr">
        <is>
          <t>ديسمبر ٢٠٢٦</t>
        </is>
      </c>
      <c r="C59" s="11" t="n">
        <v>31</v>
      </c>
      <c r="D59" s="11">
        <f>$C$53+$C$54*MIN(1,3/$C$55)</f>
        <v/>
      </c>
      <c r="E59" s="46">
        <f>D59*C59</f>
        <v/>
      </c>
      <c r="F59" s="14">
        <f>E59*$C$27</f>
        <v/>
      </c>
      <c r="G59" s="14">
        <f>E59*$C$28/100</f>
        <v/>
      </c>
      <c r="H59" s="14">
        <f>-E59*$C$30/100</f>
        <v/>
      </c>
      <c r="I59" s="47">
        <f>G59+H59</f>
        <v/>
      </c>
    </row>
    <row r="60">
      <c r="B60" s="5" t="inlineStr">
        <is>
          <t>يناير ٢٠٢٧</t>
        </is>
      </c>
      <c r="C60" s="11" t="n">
        <v>31</v>
      </c>
      <c r="D60" s="11">
        <f>$C$53+$C$54*MIN(1,4/$C$55)</f>
        <v/>
      </c>
      <c r="E60" s="46">
        <f>D60*C60</f>
        <v/>
      </c>
      <c r="F60" s="14">
        <f>E60*$C$27</f>
        <v/>
      </c>
      <c r="G60" s="14">
        <f>E60*$C$28/100</f>
        <v/>
      </c>
      <c r="H60" s="14">
        <f>-E60*$C$30/100</f>
        <v/>
      </c>
      <c r="I60" s="47">
        <f>G60+H60</f>
        <v/>
      </c>
    </row>
    <row r="61">
      <c r="B61" s="5" t="inlineStr">
        <is>
          <t>فبراير ٢٠٢٧</t>
        </is>
      </c>
      <c r="C61" s="11" t="n">
        <v>28</v>
      </c>
      <c r="D61" s="11">
        <f>$C$53+$C$54*MIN(1,5/$C$55)</f>
        <v/>
      </c>
      <c r="E61" s="46">
        <f>D61*C61</f>
        <v/>
      </c>
      <c r="F61" s="14">
        <f>E61*$C$27</f>
        <v/>
      </c>
      <c r="G61" s="14">
        <f>E61*$C$28/100</f>
        <v/>
      </c>
      <c r="H61" s="14">
        <f>-E61*$C$30/100</f>
        <v/>
      </c>
      <c r="I61" s="47">
        <f>G61+H61</f>
        <v/>
      </c>
    </row>
    <row r="62">
      <c r="B62" s="5" t="inlineStr">
        <is>
          <t>مارس ٢٠٢٧</t>
        </is>
      </c>
      <c r="C62" s="11" t="n">
        <v>31</v>
      </c>
      <c r="D62" s="11">
        <f>$C$53+$C$54*MIN(1,6/$C$55)</f>
        <v/>
      </c>
      <c r="E62" s="46">
        <f>D62*C62</f>
        <v/>
      </c>
      <c r="F62" s="14">
        <f>E62*$C$27</f>
        <v/>
      </c>
      <c r="G62" s="14">
        <f>E62*$C$28/100</f>
        <v/>
      </c>
      <c r="H62" s="14">
        <f>-E62*$C$30/100</f>
        <v/>
      </c>
      <c r="I62" s="47">
        <f>G62+H62</f>
        <v/>
      </c>
    </row>
    <row r="63">
      <c r="B63" s="5" t="inlineStr">
        <is>
          <t>أبريل ٢٠٢٧</t>
        </is>
      </c>
      <c r="C63" s="11" t="n">
        <v>30</v>
      </c>
      <c r="D63" s="11">
        <f>$C$53+$C$54*MIN(1,7/$C$55)</f>
        <v/>
      </c>
      <c r="E63" s="46">
        <f>D63*C63</f>
        <v/>
      </c>
      <c r="F63" s="14">
        <f>E63*$C$27</f>
        <v/>
      </c>
      <c r="G63" s="14">
        <f>E63*$C$28/100</f>
        <v/>
      </c>
      <c r="H63" s="14">
        <f>-E63*$C$30/100</f>
        <v/>
      </c>
      <c r="I63" s="47">
        <f>G63+H63</f>
        <v/>
      </c>
    </row>
    <row r="64">
      <c r="B64" s="5" t="inlineStr">
        <is>
          <t>مايو ٢٠٢٧</t>
        </is>
      </c>
      <c r="C64" s="11" t="n">
        <v>31</v>
      </c>
      <c r="D64" s="11">
        <f>$C$53+$C$54*MIN(1,8/$C$55)</f>
        <v/>
      </c>
      <c r="E64" s="46">
        <f>D64*C64</f>
        <v/>
      </c>
      <c r="F64" s="14">
        <f>E64*$C$27</f>
        <v/>
      </c>
      <c r="G64" s="14">
        <f>E64*$C$28/100</f>
        <v/>
      </c>
      <c r="H64" s="14">
        <f>-E64*$C$30/100</f>
        <v/>
      </c>
      <c r="I64" s="47">
        <f>G64+H64</f>
        <v/>
      </c>
    </row>
    <row r="65">
      <c r="B65" s="5" t="inlineStr">
        <is>
          <t>يونيو ٢٠٢٧</t>
        </is>
      </c>
      <c r="C65" s="11" t="n">
        <v>30</v>
      </c>
      <c r="D65" s="11">
        <f>$C$53+$C$54*MIN(1,9/$C$55)</f>
        <v/>
      </c>
      <c r="E65" s="46">
        <f>D65*C65</f>
        <v/>
      </c>
      <c r="F65" s="14">
        <f>E65*$C$27</f>
        <v/>
      </c>
      <c r="G65" s="14">
        <f>E65*$C$28/100</f>
        <v/>
      </c>
      <c r="H65" s="14">
        <f>-E65*$C$30/100</f>
        <v/>
      </c>
      <c r="I65" s="47">
        <f>G65+H65</f>
        <v/>
      </c>
    </row>
    <row r="66">
      <c r="B66" s="5" t="inlineStr">
        <is>
          <t>يوليو ٢٠٢٧</t>
        </is>
      </c>
      <c r="C66" s="11" t="n">
        <v>31</v>
      </c>
      <c r="D66" s="11">
        <f>$C$53+$C$54*MIN(1,10/$C$55)</f>
        <v/>
      </c>
      <c r="E66" s="46">
        <f>D66*C66</f>
        <v/>
      </c>
      <c r="F66" s="14">
        <f>E66*$C$27</f>
        <v/>
      </c>
      <c r="G66" s="14">
        <f>E66*$C$28/100</f>
        <v/>
      </c>
      <c r="H66" s="14">
        <f>-E66*$C$30/100</f>
        <v/>
      </c>
      <c r="I66" s="47">
        <f>G66+H66</f>
        <v/>
      </c>
    </row>
    <row r="67">
      <c r="B67" s="5" t="inlineStr">
        <is>
          <t>أغسطس ٢٠٢٧</t>
        </is>
      </c>
      <c r="C67" s="11" t="n">
        <v>31</v>
      </c>
      <c r="D67" s="11">
        <f>$C$53+$C$54*MIN(1,11/$C$55)</f>
        <v/>
      </c>
      <c r="E67" s="46">
        <f>D67*C67</f>
        <v/>
      </c>
      <c r="F67" s="14">
        <f>E67*$C$27</f>
        <v/>
      </c>
      <c r="G67" s="14">
        <f>E67*$C$28/100</f>
        <v/>
      </c>
      <c r="H67" s="14">
        <f>-E67*$C$30/100</f>
        <v/>
      </c>
      <c r="I67" s="47">
        <f>G67+H67</f>
        <v/>
      </c>
    </row>
    <row r="68">
      <c r="B68" s="5" t="inlineStr">
        <is>
          <t>سبتمبر ٢٠٢٧</t>
        </is>
      </c>
      <c r="C68" s="11" t="n">
        <v>30</v>
      </c>
      <c r="D68" s="11">
        <f>$C$53+$C$54*MIN(1,12/$C$55)</f>
        <v/>
      </c>
      <c r="E68" s="46">
        <f>D68*C68</f>
        <v/>
      </c>
      <c r="F68" s="14">
        <f>E68*$C$27</f>
        <v/>
      </c>
      <c r="G68" s="14">
        <f>E68*$C$28/100</f>
        <v/>
      </c>
      <c r="H68" s="14">
        <f>-E68*$C$30/100</f>
        <v/>
      </c>
      <c r="I68" s="47">
        <f>G68+H68</f>
        <v/>
      </c>
    </row>
    <row r="69">
      <c r="B69" s="48" t="inlineStr">
        <is>
          <t>السنة كاملةً</t>
        </is>
      </c>
      <c r="C69" s="49">
        <f>SUM(C57:C68)</f>
        <v/>
      </c>
      <c r="D69" s="49">
        <f>AVERAGE(D57:D68)</f>
        <v/>
      </c>
      <c r="E69" s="49">
        <f>SUM(E57:E68)</f>
        <v/>
      </c>
      <c r="F69" s="47">
        <f>SUM(F57:F68)</f>
        <v/>
      </c>
      <c r="G69" s="47">
        <f>SUM(G57:G68)</f>
        <v/>
      </c>
      <c r="H69" s="47">
        <f>SUM(H57:H68)</f>
        <v/>
      </c>
      <c r="I69" s="47">
        <f>SUM(I57:I68)</f>
        <v/>
      </c>
    </row>
    <row r="70" ht="32" customHeight="1">
      <c r="B70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70" s="20" t="n"/>
      <c r="D70" s="20" t="n"/>
      <c r="E70" s="20" t="n"/>
      <c r="F70" s="20" t="n"/>
      <c r="G70" s="20" t="n"/>
      <c r="H70" s="20" t="n"/>
      <c r="I70" s="20" t="n"/>
    </row>
  </sheetData>
  <mergeCells count="47">
    <mergeCell ref="F13:I13"/>
    <mergeCell ref="F9:I9"/>
    <mergeCell ref="E55:I55"/>
    <mergeCell ref="E24:I24"/>
    <mergeCell ref="E33:I33"/>
    <mergeCell ref="E52:I52"/>
    <mergeCell ref="B22:I22"/>
    <mergeCell ref="E23:I23"/>
    <mergeCell ref="E17:I17"/>
    <mergeCell ref="D47:I47"/>
    <mergeCell ref="B70:I70"/>
    <mergeCell ref="A2:I2"/>
    <mergeCell ref="E29:I29"/>
    <mergeCell ref="E35:I35"/>
    <mergeCell ref="E20:I20"/>
    <mergeCell ref="B48:I48"/>
    <mergeCell ref="F11:I11"/>
    <mergeCell ref="E28:I28"/>
    <mergeCell ref="E19:I19"/>
    <mergeCell ref="B14:I14"/>
    <mergeCell ref="E31:I31"/>
    <mergeCell ref="F10:I10"/>
    <mergeCell ref="F6:I6"/>
    <mergeCell ref="E30:I30"/>
    <mergeCell ref="E34:I34"/>
    <mergeCell ref="E15:I15"/>
    <mergeCell ref="F7:I7"/>
    <mergeCell ref="F12:I12"/>
    <mergeCell ref="E27:I27"/>
    <mergeCell ref="F5:I5"/>
    <mergeCell ref="E36:I36"/>
    <mergeCell ref="D44:I44"/>
    <mergeCell ref="B49:I49"/>
    <mergeCell ref="E26:I26"/>
    <mergeCell ref="D46:I46"/>
    <mergeCell ref="F8:I8"/>
    <mergeCell ref="E16:I16"/>
    <mergeCell ref="E32:I32"/>
    <mergeCell ref="B51:I51"/>
    <mergeCell ref="E25:I25"/>
    <mergeCell ref="E54:I54"/>
    <mergeCell ref="A1:I1"/>
    <mergeCell ref="D45:I45"/>
    <mergeCell ref="E37:I37"/>
    <mergeCell ref="E53:I53"/>
    <mergeCell ref="B4:I4"/>
    <mergeCell ref="E18:I18"/>
  </mergeCells>
  <conditionalFormatting sqref="E6:E10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E57:E68">
    <cfRule type="dataBar" priority="3">
      <dataBar showValue="1">
        <cfvo type="num" val="0"/>
        <cfvo type="max"/>
        <color rgb="00F5831F"/>
      </dataBar>
    </cfRule>
  </conditionalFormatting>
  <conditionalFormatting sqref="I57:I69">
    <cfRule type="cellIs" priority="4" operator="lessThan" dxfId="0">
      <formula>0</formula>
    </cfRule>
  </conditionalFormatting>
  <dataValidations count="1">
    <dataValidation sqref="C29" showDropDown="0" showInputMessage="0" showErrorMessage="0" allowBlank="0" type="list">
      <formula1>"متوسط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المركب  ·  NJ219</t>
        </is>
      </c>
    </row>
    <row r="2" ht="16" customHeight="1">
      <c r="A2" s="2" t="inlineStr">
        <is>
          <t>نجران · نائية · نموذج العمل تشغيلي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425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-26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-0.0612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0.0397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1" ht="30" customHeight="1">
      <c r="A11" s="4" t="inlineStr"/>
      <c r="B11" s="4" t="inlineStr">
        <is>
          <t>من كاش إن</t>
        </is>
      </c>
      <c r="C11" s="4" t="inlineStr">
        <is>
          <t>القيمة</t>
        </is>
      </c>
      <c r="D11" s="4" t="inlineStr">
        <is>
          <t>الوحدة</t>
        </is>
      </c>
      <c r="E11" s="4" t="inlineStr">
        <is>
          <t>الملاحظة</t>
        </is>
      </c>
      <c r="F11" s="21" t="n"/>
      <c r="G11" s="21" t="n"/>
      <c r="H11" s="21" t="n"/>
      <c r="I11" s="22" t="n"/>
    </row>
    <row r="12">
      <c r="B12" s="5" t="inlineStr">
        <is>
          <t>زيارة في اليوم</t>
        </is>
      </c>
      <c r="C12" s="11" t="n">
        <v>274.5135135135135</v>
      </c>
      <c r="D12" s="24" t="inlineStr">
        <is>
          <t>زيارة</t>
        </is>
      </c>
      <c r="E12" s="29" t="inlineStr"/>
      <c r="F12" s="26" t="n"/>
      <c r="G12" s="26" t="n"/>
      <c r="H12" s="26" t="n"/>
      <c r="I12" s="26" t="n"/>
    </row>
    <row r="13">
      <c r="B13" s="5" t="inlineStr">
        <is>
          <t>لتر في اليوم</t>
        </is>
      </c>
      <c r="C13" s="11" t="n">
        <v>6166.071621621621</v>
      </c>
      <c r="D13" s="24" t="inlineStr">
        <is>
          <t>لتر</t>
        </is>
      </c>
      <c r="E13" s="29" t="inlineStr"/>
      <c r="F13" s="26" t="n"/>
      <c r="G13" s="26" t="n"/>
      <c r="H13" s="26" t="n"/>
      <c r="I13" s="26" t="n"/>
    </row>
    <row r="14">
      <c r="B14" s="5" t="inlineStr">
        <is>
          <t>لتر لكل زيارة</t>
        </is>
      </c>
      <c r="C14" s="30" t="n">
        <v>22.4618145121591</v>
      </c>
      <c r="D14" s="24" t="inlineStr">
        <is>
          <t>لتر</t>
        </is>
      </c>
      <c r="E14" s="29" t="inlineStr"/>
      <c r="F14" s="26" t="n"/>
      <c r="G14" s="26" t="n"/>
      <c r="H14" s="26" t="n"/>
      <c r="I14" s="26" t="n"/>
    </row>
    <row r="15">
      <c r="B15" s="5" t="inlineStr">
        <is>
          <t>حصة الديزل</t>
        </is>
      </c>
      <c r="C15" s="31" t="n">
        <v>0.1794151210646404</v>
      </c>
      <c r="D15" s="24" t="inlineStr">
        <is>
          <t>من اللترات</t>
        </is>
      </c>
      <c r="E15" s="29" t="inlineStr"/>
      <c r="F15" s="26" t="n"/>
      <c r="G15" s="26" t="n"/>
      <c r="H15" s="26" t="n"/>
      <c r="I15" s="26" t="n"/>
    </row>
    <row r="16">
      <c r="B16" s="5" t="inlineStr">
        <is>
          <t>ساعة الذروة</t>
        </is>
      </c>
      <c r="C16" s="11" t="n">
        <v>16</v>
      </c>
      <c r="D16" s="24" t="inlineStr">
        <is>
          <t>من ٢٤</t>
        </is>
      </c>
      <c r="E16" s="29" t="inlineStr"/>
      <c r="F16" s="26" t="n"/>
      <c r="G16" s="26" t="n"/>
      <c r="H16" s="26" t="n"/>
      <c r="I16" s="26" t="n"/>
    </row>
    <row r="18" ht="22" customHeight="1">
      <c r="B18" s="19" t="inlineStr">
        <is>
          <t>② حاسبة اللتر — قيمته وهامشه ومصاريفه وصافيه</t>
        </is>
      </c>
      <c r="C18" s="20" t="n"/>
      <c r="D18" s="20" t="n"/>
      <c r="E18" s="20" t="n"/>
      <c r="F18" s="20" t="n"/>
      <c r="G18" s="20" t="n"/>
      <c r="H18" s="20" t="n"/>
      <c r="I18" s="20" t="n"/>
    </row>
    <row r="19" ht="30" customHeight="1">
      <c r="A19" s="4" t="inlineStr"/>
      <c r="B19" s="4" t="inlineStr">
        <is>
          <t>البند</t>
        </is>
      </c>
      <c r="C19" s="4" t="inlineStr">
        <is>
          <t>القيمة</t>
        </is>
      </c>
      <c r="D19" s="4" t="inlineStr">
        <is>
          <t>الوحدة</t>
        </is>
      </c>
      <c r="E19" s="4" t="inlineStr">
        <is>
          <t>من أين جاءت</t>
        </is>
      </c>
      <c r="F19" s="21" t="n"/>
      <c r="G19" s="21" t="n"/>
      <c r="H19" s="21" t="n"/>
      <c r="I19" s="22" t="n"/>
    </row>
    <row r="20">
      <c r="B20" s="32" t="inlineStr">
        <is>
          <t>لترات الشهر</t>
        </is>
      </c>
      <c r="C20" s="33" t="n">
        <v>187449</v>
      </c>
      <c r="D20" s="24" t="inlineStr">
        <is>
          <t>لتر/شهر</t>
        </is>
      </c>
      <c r="E20" s="25" t="inlineStr">
        <is>
          <t>افتراضيّها معدّل الأداء: معدّل كاش إن للنافذة المقيسة × ٣٠٫٤ يوماً</t>
        </is>
      </c>
      <c r="F20" s="26" t="n"/>
      <c r="G20" s="26" t="n"/>
      <c r="H20" s="26" t="n"/>
      <c r="I20" s="26" t="n"/>
    </row>
    <row r="21">
      <c r="B21" s="32" t="inlineStr">
        <is>
          <t>سعر المضخة — شاملاً الضريبة</t>
        </is>
      </c>
      <c r="C21" s="34" t="n">
        <v>2.157998532948285</v>
      </c>
      <c r="D21" s="24" t="inlineStr">
        <is>
          <t>ريال/لتر</t>
        </is>
      </c>
      <c r="E21" s="25" t="inlineStr">
        <is>
          <t>إيراد كاش إن ÷ لتراته ÷ ١٫١٥ — وكاش إن يسجّل شاملاً الضريبة</t>
        </is>
      </c>
      <c r="F21" s="26" t="n"/>
      <c r="G21" s="26" t="n"/>
      <c r="H21" s="26" t="n"/>
      <c r="I21" s="26" t="n"/>
    </row>
    <row r="22">
      <c r="B22" s="32" t="inlineStr">
        <is>
          <t>هامش الوقود</t>
        </is>
      </c>
      <c r="C22" s="35" t="n">
        <v>0.0397</v>
      </c>
      <c r="D22" s="24" t="inlineStr">
        <is>
          <t>٪ من الإيراد قبل الضريبة</t>
        </is>
      </c>
      <c r="E22" s="25" t="inlineStr">
        <is>
          <t>هامش الوقود المقيس في تقرير المالية</t>
        </is>
      </c>
      <c r="F22" s="26" t="n"/>
      <c r="G22" s="26" t="n"/>
      <c r="H22" s="26" t="n"/>
      <c r="I22" s="26" t="n"/>
    </row>
    <row r="23">
      <c r="B23" s="36" t="inlineStr">
        <is>
          <t>① قيمة اللتر — قبل الضريبة</t>
        </is>
      </c>
      <c r="C23" s="37">
        <f>$C$21/1.15</f>
        <v/>
      </c>
      <c r="D23" s="24" t="inlineStr">
        <is>
          <t>ريال/لتر</t>
        </is>
      </c>
      <c r="E23" s="25" t="inlineStr">
        <is>
          <t>الصيغة: سعر المضخة ÷ ١٫١٥ · وهي قيمته التي يُحسب عليها الهامش</t>
        </is>
      </c>
      <c r="F23" s="26" t="n"/>
      <c r="G23" s="26" t="n"/>
      <c r="H23" s="26" t="n"/>
      <c r="I23" s="26" t="n"/>
    </row>
    <row r="24">
      <c r="B24" s="36" t="inlineStr">
        <is>
          <t>② هامش الربح للتر</t>
        </is>
      </c>
      <c r="C24" s="38">
        <f>$C$23*$C$22*100</f>
        <v/>
      </c>
      <c r="D24" s="24" t="inlineStr">
        <is>
          <t>هللة/لتر</t>
        </is>
      </c>
      <c r="E24" s="25" t="inlineStr">
        <is>
          <t>الصيغة: قيمة اللتر قبل الضريبة × هامش الوقود · هامش المساهمة قبل أي مصروف</t>
        </is>
      </c>
      <c r="F24" s="26" t="n"/>
      <c r="G24" s="26" t="n"/>
      <c r="H24" s="26" t="n"/>
      <c r="I24" s="26" t="n"/>
    </row>
    <row r="25">
      <c r="B25" s="32" t="inlineStr">
        <is>
          <t>أساس المصاريف</t>
        </is>
      </c>
      <c r="C25" s="39" t="inlineStr">
        <is>
          <t>مصاريف نموذج «تشغيلي» — 9.84 هللة/لتر</t>
        </is>
      </c>
      <c r="D25" s="24" t="inlineStr">
        <is>
          <t>اختر</t>
        </is>
      </c>
      <c r="E25" s="25" t="inlineStr">
        <is>
          <t>ثلاثة أُسُس ولكلٍّ مصدره — الجدول أسفل الحاسبة</t>
        </is>
      </c>
      <c r="F25" s="26" t="n"/>
      <c r="G25" s="26" t="n"/>
      <c r="H25" s="26" t="n"/>
      <c r="I25" s="26" t="n"/>
    </row>
    <row r="26">
      <c r="B26" s="36" t="inlineStr">
        <is>
          <t>③ المصاريف للتر</t>
        </is>
      </c>
      <c r="C26" s="38">
        <f>VLOOKUP($C$25,$B$41:$C$44,2,FALSE)</f>
        <v/>
      </c>
      <c r="D26" s="24" t="inlineStr">
        <is>
          <t>هللة/لتر</t>
        </is>
      </c>
      <c r="E26" s="25" t="inlineStr">
        <is>
          <t>من الأساس المختار أعلاه</t>
        </is>
      </c>
      <c r="F26" s="26" t="n"/>
      <c r="G26" s="26" t="n"/>
      <c r="H26" s="26" t="n"/>
      <c r="I26" s="26" t="n"/>
    </row>
    <row r="27">
      <c r="B27" s="36" t="inlineStr">
        <is>
          <t>④ صافي اللتر</t>
        </is>
      </c>
      <c r="C27" s="38">
        <f>$C$24-$C$26</f>
        <v/>
      </c>
      <c r="D27" s="24" t="inlineStr">
        <is>
          <t>هللة/لتر</t>
        </is>
      </c>
      <c r="E27" s="25" t="inlineStr">
        <is>
          <t>الصيغة: الهامش − المصاريف · وهو ما يبقى فعلاً من كل لتر</t>
        </is>
      </c>
      <c r="F27" s="26" t="n"/>
      <c r="G27" s="26" t="n"/>
      <c r="H27" s="26" t="n"/>
      <c r="I27" s="26" t="n"/>
    </row>
    <row r="28" ht="30" customHeight="1">
      <c r="A28" s="4" t="inlineStr"/>
      <c r="B28" s="4" t="inlineStr">
        <is>
          <t>وبالريال لشهرٍ كامل</t>
        </is>
      </c>
      <c r="C28" s="4" t="inlineStr">
        <is>
          <t>في الشهر</t>
        </is>
      </c>
      <c r="D28" s="4" t="inlineStr">
        <is>
          <t>الوحدة</t>
        </is>
      </c>
      <c r="E28" s="4" t="inlineStr">
        <is>
          <t>الصيغة</t>
        </is>
      </c>
      <c r="F28" s="21" t="n"/>
      <c r="G28" s="21" t="n"/>
      <c r="H28" s="21" t="n"/>
      <c r="I28" s="22" t="n"/>
    </row>
    <row r="29">
      <c r="B29" s="32" t="inlineStr">
        <is>
          <t>المبيعات قبل الضريبة</t>
        </is>
      </c>
      <c r="C29" s="40">
        <f>$C$20*$C$23</f>
        <v/>
      </c>
      <c r="D29" s="24" t="inlineStr">
        <is>
          <t>ريال</t>
        </is>
      </c>
      <c r="E29" s="25" t="inlineStr">
        <is>
          <t>لترات الشهر × قيمة اللتر قبل الضريبة</t>
        </is>
      </c>
      <c r="F29" s="26" t="n"/>
      <c r="G29" s="26" t="n"/>
      <c r="H29" s="26" t="n"/>
      <c r="I29" s="26" t="n"/>
    </row>
    <row r="30">
      <c r="B30" s="32" t="inlineStr">
        <is>
          <t>وشاملةً الضريبة</t>
        </is>
      </c>
      <c r="C30" s="40">
        <f>C29*1.15</f>
        <v/>
      </c>
      <c r="D30" s="24" t="inlineStr">
        <is>
          <t>ريال</t>
        </is>
      </c>
      <c r="E30" s="25" t="inlineStr">
        <is>
          <t>وهو ما يُسجَّل على المضخة</t>
        </is>
      </c>
      <c r="F30" s="26" t="n"/>
      <c r="G30" s="26" t="n"/>
      <c r="H30" s="26" t="n"/>
      <c r="I30" s="26" t="n"/>
    </row>
    <row r="31">
      <c r="B31" s="32" t="inlineStr">
        <is>
          <t>هامش الربح</t>
        </is>
      </c>
      <c r="C31" s="27">
        <f>$C$20*$C$24/100</f>
        <v/>
      </c>
      <c r="D31" s="24" t="inlineStr">
        <is>
          <t>ريال</t>
        </is>
      </c>
      <c r="E31" s="25" t="inlineStr">
        <is>
          <t>لترات الشهر × هامش اللتر</t>
        </is>
      </c>
      <c r="F31" s="26" t="n"/>
      <c r="G31" s="26" t="n"/>
      <c r="H31" s="26" t="n"/>
      <c r="I31" s="26" t="n"/>
    </row>
    <row r="32">
      <c r="B32" s="32" t="inlineStr">
        <is>
          <t>المصاريف</t>
        </is>
      </c>
      <c r="C32" s="41">
        <f>-$C$20*$C$26/100</f>
        <v/>
      </c>
      <c r="D32" s="24" t="inlineStr">
        <is>
          <t>ريال</t>
        </is>
      </c>
      <c r="E32" s="25" t="inlineStr">
        <is>
          <t>لترات الشهر × مصاريف اللتر</t>
        </is>
      </c>
      <c r="F32" s="26" t="n"/>
      <c r="G32" s="26" t="n"/>
      <c r="H32" s="26" t="n"/>
      <c r="I32" s="26" t="n"/>
    </row>
    <row r="33">
      <c r="B33" s="36" t="inlineStr">
        <is>
          <t>الصافي</t>
        </is>
      </c>
      <c r="C33" s="42">
        <f>C31+C32</f>
        <v/>
      </c>
      <c r="D33" s="24" t="inlineStr">
        <is>
          <t>ريال</t>
        </is>
      </c>
      <c r="E33" s="25" t="inlineStr">
        <is>
          <t>الهامش − المصاريف</t>
        </is>
      </c>
      <c r="F33" s="26" t="n"/>
      <c r="G33" s="26" t="n"/>
      <c r="H33" s="26" t="n"/>
      <c r="I33" s="26" t="n"/>
    </row>
    <row r="40" ht="30" customHeight="1">
      <c r="A40" s="4" t="inlineStr"/>
      <c r="B40" s="4" t="inlineStr">
        <is>
          <t>أساس المصاريف</t>
        </is>
      </c>
      <c r="C40" s="4" t="inlineStr">
        <is>
          <t>هللة/لتر</t>
        </is>
      </c>
      <c r="D40" s="4" t="inlineStr">
        <is>
          <t>المصدر والتحفّظ</t>
        </is>
      </c>
      <c r="E40" s="21" t="n"/>
      <c r="F40" s="21" t="n"/>
      <c r="G40" s="21" t="n"/>
      <c r="H40" s="21" t="n"/>
      <c r="I40" s="22" t="n"/>
    </row>
    <row r="41">
      <c r="B41" s="5" t="inlineStr">
        <is>
          <t>مصاريف نموذج «تشغيلي» — 9.84 هللة/لتر</t>
        </is>
      </c>
      <c r="C41" s="13" t="n">
        <v>9.84</v>
      </c>
      <c r="D41" s="25" t="inlineStr">
        <is>
          <t>مصاريف تشغيل محطات تشغيلي في قائمة الدخل ÷ لتراتها — وهو الأقرب لهذه المحطة</t>
        </is>
      </c>
      <c r="E41" s="26" t="n"/>
      <c r="F41" s="26" t="n"/>
      <c r="G41" s="26" t="n"/>
      <c r="H41" s="26" t="n"/>
      <c r="I41" s="26" t="n"/>
    </row>
    <row r="42">
      <c r="B42" s="43" t="inlineStr">
        <is>
          <t>متوسط محطاتنا — ٩٫١٥ هللة/لتر</t>
        </is>
      </c>
      <c r="C42" s="44" t="n">
        <v>9.15</v>
      </c>
      <c r="D42" s="25" t="inlineStr">
        <is>
          <t>مصاريف تشغيل محطاتنا الـ٤٩ (دون الامتياز) ÷ لتراتها</t>
        </is>
      </c>
      <c r="E42" s="26" t="n"/>
      <c r="F42" s="26" t="n"/>
      <c r="G42" s="26" t="n"/>
      <c r="H42" s="26" t="n"/>
      <c r="I42" s="26" t="n"/>
    </row>
    <row r="43">
      <c r="B43" s="43" t="inlineStr">
        <is>
          <t>المحمَّل الكامل — ١٣٫٥٦ هللة/لتر</t>
        </is>
      </c>
      <c r="C43" s="44" t="n">
        <v>13.56</v>
      </c>
      <c r="D43" s="25" t="inlineStr">
        <is>
          <t>يُضاف إليها بيعٌ وتسويق وإدارة وفوائد — لقرار رأس المال لا للتشغيل</t>
        </is>
      </c>
      <c r="E43" s="26" t="n"/>
      <c r="F43" s="26" t="n"/>
      <c r="G43" s="26" t="n"/>
      <c r="H43" s="26" t="n"/>
      <c r="I43" s="26" t="n"/>
    </row>
    <row r="44">
      <c r="B44" s="43" t="inlineStr">
        <is>
          <t>المقيس في تقرير الربع الثاني</t>
        </is>
      </c>
      <c r="C44" s="44" t="n">
        <v>0</v>
      </c>
      <c r="D44" s="45" t="inlineStr">
        <is>
          <t>⛔ لا أجور ولا مرافق مسجَّلة لهذه المحطة — لا تختر هذا الأساس</t>
        </is>
      </c>
      <c r="E44" s="18" t="n"/>
      <c r="F44" s="18" t="n"/>
      <c r="G44" s="18" t="n"/>
      <c r="H44" s="18" t="n"/>
      <c r="I44" s="18" t="n"/>
    </row>
    <row r="45" ht="26" customHeight="1">
      <c r="B45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45" s="18" t="n"/>
      <c r="D45" s="18" t="n"/>
      <c r="E45" s="18" t="n"/>
      <c r="F45" s="18" t="n"/>
      <c r="G45" s="18" t="n"/>
      <c r="H45" s="18" t="n"/>
      <c r="I45" s="18" t="n"/>
    </row>
    <row r="46" ht="32" customHeight="1">
      <c r="B46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6" s="18" t="n"/>
      <c r="D46" s="18" t="n"/>
      <c r="E46" s="18" t="n"/>
      <c r="F46" s="18" t="n"/>
      <c r="G46" s="18" t="n"/>
      <c r="H46" s="18" t="n"/>
      <c r="I46" s="18" t="n"/>
    </row>
    <row r="48" ht="22" customHeight="1">
      <c r="B48" s="19" t="inlineStr">
        <is>
          <t>③ المستهدف الشهري — اثنا عشر شهراً</t>
        </is>
      </c>
      <c r="C48" s="20" t="n"/>
      <c r="D48" s="20" t="n"/>
      <c r="E48" s="20" t="n"/>
      <c r="F48" s="20" t="n"/>
      <c r="G48" s="20" t="n"/>
      <c r="H48" s="20" t="n"/>
      <c r="I48" s="20" t="n"/>
    </row>
    <row r="49" ht="30" customHeight="1">
      <c r="A49" s="4" t="inlineStr"/>
      <c r="B49" s="4" t="inlineStr">
        <is>
          <t>الأساس</t>
        </is>
      </c>
      <c r="C49" s="4" t="inlineStr">
        <is>
          <t>القيمة</t>
        </is>
      </c>
      <c r="D49" s="4" t="inlineStr">
        <is>
          <t>الوحدة</t>
        </is>
      </c>
      <c r="E49" s="4" t="inlineStr">
        <is>
          <t>من أين جاءت</t>
        </is>
      </c>
      <c r="F49" s="21" t="n"/>
      <c r="G49" s="21" t="n"/>
      <c r="H49" s="21" t="n"/>
      <c r="I49" s="22" t="n"/>
    </row>
    <row r="50">
      <c r="B50" s="5" t="inlineStr">
        <is>
          <t>خط الأساس</t>
        </is>
      </c>
      <c r="C50" s="11" t="n">
        <v>6166.071621621621</v>
      </c>
      <c r="D50" s="24" t="inlineStr">
        <is>
          <t>لتر/يوم</t>
        </is>
      </c>
      <c r="E50" s="25" t="inlineStr">
        <is>
          <t>معدّل كاش إن للنافذة المقيسة</t>
        </is>
      </c>
      <c r="F50" s="26" t="n"/>
      <c r="G50" s="26" t="n"/>
      <c r="H50" s="26" t="n"/>
      <c r="I50" s="26" t="n"/>
    </row>
    <row r="51">
      <c r="B51" s="5" t="inlineStr">
        <is>
          <t>الإضافة المستهدفة</t>
        </is>
      </c>
      <c r="C51" s="33" t="n">
        <v>36.64717573186131</v>
      </c>
      <c r="D51" s="24" t="inlineStr">
        <is>
          <t>لتر/يوم</t>
        </is>
      </c>
      <c r="E51" s="25" t="inlineStr">
        <is>
          <t>فجوة ساعات الذروة 4.1 معاملة/يوم × 40٪ إغلاقاً × 22.5 لتراً للزيارة</t>
        </is>
      </c>
      <c r="F51" s="26" t="n"/>
      <c r="G51" s="26" t="n"/>
      <c r="H51" s="26" t="n"/>
      <c r="I51" s="26" t="n"/>
    </row>
    <row r="52">
      <c r="B52" s="5" t="inlineStr">
        <is>
          <t>أشهر التدرّج</t>
        </is>
      </c>
      <c r="C52" s="33" t="n">
        <v>6</v>
      </c>
      <c r="D52" s="24" t="inlineStr">
        <is>
          <t>شهر</t>
        </is>
      </c>
      <c r="E52" s="25" t="inlineStr">
        <is>
          <t>يُبلغ المستهدف كاملاً في الشهر السادس ثم يثبت</t>
        </is>
      </c>
      <c r="F52" s="26" t="n"/>
      <c r="G52" s="26" t="n"/>
      <c r="H52" s="26" t="n"/>
      <c r="I52" s="26" t="n"/>
    </row>
    <row r="53" ht="26" customHeight="1">
      <c r="A53" s="4" t="inlineStr"/>
      <c r="B53" s="4" t="inlineStr">
        <is>
          <t>الشهر</t>
        </is>
      </c>
      <c r="C53" s="4" t="inlineStr">
        <is>
          <t>أيام</t>
        </is>
      </c>
      <c r="D53" s="4" t="inlineStr">
        <is>
          <t>لتر/يوم</t>
        </is>
      </c>
      <c r="E53" s="4" t="inlineStr">
        <is>
          <t>لترات الشهر</t>
        </is>
      </c>
      <c r="F53" s="4" t="inlineStr">
        <is>
          <t>المبيعات قبل الضريبة</t>
        </is>
      </c>
      <c r="G53" s="4" t="inlineStr">
        <is>
          <t>هامش الربح</t>
        </is>
      </c>
      <c r="H53" s="4" t="inlineStr">
        <is>
          <t>المصاريف</t>
        </is>
      </c>
      <c r="I53" s="4" t="inlineStr">
        <is>
          <t>الصافي</t>
        </is>
      </c>
    </row>
    <row r="54">
      <c r="B54" s="5" t="inlineStr">
        <is>
          <t>أكتوبر ٢٠٢٦</t>
        </is>
      </c>
      <c r="C54" s="11" t="n">
        <v>31</v>
      </c>
      <c r="D54" s="11">
        <f>$C$50+$C$51*MIN(1,1/$C$52)</f>
        <v/>
      </c>
      <c r="E54" s="46">
        <f>D54*C54</f>
        <v/>
      </c>
      <c r="F54" s="14">
        <f>E54*$C$23</f>
        <v/>
      </c>
      <c r="G54" s="14">
        <f>E54*$C$24/100</f>
        <v/>
      </c>
      <c r="H54" s="14">
        <f>-E54*$C$26/100</f>
        <v/>
      </c>
      <c r="I54" s="47">
        <f>G54+H54</f>
        <v/>
      </c>
    </row>
    <row r="55">
      <c r="B55" s="5" t="inlineStr">
        <is>
          <t>نوفمبر ٢٠٢٦</t>
        </is>
      </c>
      <c r="C55" s="11" t="n">
        <v>30</v>
      </c>
      <c r="D55" s="11">
        <f>$C$50+$C$51*MIN(1,2/$C$52)</f>
        <v/>
      </c>
      <c r="E55" s="46">
        <f>D55*C55</f>
        <v/>
      </c>
      <c r="F55" s="14">
        <f>E55*$C$23</f>
        <v/>
      </c>
      <c r="G55" s="14">
        <f>E55*$C$24/100</f>
        <v/>
      </c>
      <c r="H55" s="14">
        <f>-E55*$C$26/100</f>
        <v/>
      </c>
      <c r="I55" s="47">
        <f>G55+H55</f>
        <v/>
      </c>
    </row>
    <row r="56">
      <c r="B56" s="5" t="inlineStr">
        <is>
          <t>ديسمبر ٢٠٢٦</t>
        </is>
      </c>
      <c r="C56" s="11" t="n">
        <v>31</v>
      </c>
      <c r="D56" s="11">
        <f>$C$50+$C$51*MIN(1,3/$C$52)</f>
        <v/>
      </c>
      <c r="E56" s="46">
        <f>D56*C56</f>
        <v/>
      </c>
      <c r="F56" s="14">
        <f>E56*$C$23</f>
        <v/>
      </c>
      <c r="G56" s="14">
        <f>E56*$C$24/100</f>
        <v/>
      </c>
      <c r="H56" s="14">
        <f>-E56*$C$26/100</f>
        <v/>
      </c>
      <c r="I56" s="47">
        <f>G56+H56</f>
        <v/>
      </c>
    </row>
    <row r="57">
      <c r="B57" s="5" t="inlineStr">
        <is>
          <t>يناير ٢٠٢٧</t>
        </is>
      </c>
      <c r="C57" s="11" t="n">
        <v>31</v>
      </c>
      <c r="D57" s="11">
        <f>$C$50+$C$51*MIN(1,4/$C$52)</f>
        <v/>
      </c>
      <c r="E57" s="46">
        <f>D57*C57</f>
        <v/>
      </c>
      <c r="F57" s="14">
        <f>E57*$C$23</f>
        <v/>
      </c>
      <c r="G57" s="14">
        <f>E57*$C$24/100</f>
        <v/>
      </c>
      <c r="H57" s="14">
        <f>-E57*$C$26/100</f>
        <v/>
      </c>
      <c r="I57" s="47">
        <f>G57+H57</f>
        <v/>
      </c>
    </row>
    <row r="58">
      <c r="B58" s="5" t="inlineStr">
        <is>
          <t>فبراير ٢٠٢٧</t>
        </is>
      </c>
      <c r="C58" s="11" t="n">
        <v>28</v>
      </c>
      <c r="D58" s="11">
        <f>$C$50+$C$51*MIN(1,5/$C$52)</f>
        <v/>
      </c>
      <c r="E58" s="46">
        <f>D58*C58</f>
        <v/>
      </c>
      <c r="F58" s="14">
        <f>E58*$C$23</f>
        <v/>
      </c>
      <c r="G58" s="14">
        <f>E58*$C$24/100</f>
        <v/>
      </c>
      <c r="H58" s="14">
        <f>-E58*$C$26/100</f>
        <v/>
      </c>
      <c r="I58" s="47">
        <f>G58+H58</f>
        <v/>
      </c>
    </row>
    <row r="59">
      <c r="B59" s="5" t="inlineStr">
        <is>
          <t>مارس ٢٠٢٧</t>
        </is>
      </c>
      <c r="C59" s="11" t="n">
        <v>31</v>
      </c>
      <c r="D59" s="11">
        <f>$C$50+$C$51*MIN(1,6/$C$52)</f>
        <v/>
      </c>
      <c r="E59" s="46">
        <f>D59*C59</f>
        <v/>
      </c>
      <c r="F59" s="14">
        <f>E59*$C$23</f>
        <v/>
      </c>
      <c r="G59" s="14">
        <f>E59*$C$24/100</f>
        <v/>
      </c>
      <c r="H59" s="14">
        <f>-E59*$C$26/100</f>
        <v/>
      </c>
      <c r="I59" s="47">
        <f>G59+H59</f>
        <v/>
      </c>
    </row>
    <row r="60">
      <c r="B60" s="5" t="inlineStr">
        <is>
          <t>أبريل ٢٠٢٧</t>
        </is>
      </c>
      <c r="C60" s="11" t="n">
        <v>30</v>
      </c>
      <c r="D60" s="11">
        <f>$C$50+$C$51*MIN(1,7/$C$52)</f>
        <v/>
      </c>
      <c r="E60" s="46">
        <f>D60*C60</f>
        <v/>
      </c>
      <c r="F60" s="14">
        <f>E60*$C$23</f>
        <v/>
      </c>
      <c r="G60" s="14">
        <f>E60*$C$24/100</f>
        <v/>
      </c>
      <c r="H60" s="14">
        <f>-E60*$C$26/100</f>
        <v/>
      </c>
      <c r="I60" s="47">
        <f>G60+H60</f>
        <v/>
      </c>
    </row>
    <row r="61">
      <c r="B61" s="5" t="inlineStr">
        <is>
          <t>مايو ٢٠٢٧</t>
        </is>
      </c>
      <c r="C61" s="11" t="n">
        <v>31</v>
      </c>
      <c r="D61" s="11">
        <f>$C$50+$C$51*MIN(1,8/$C$52)</f>
        <v/>
      </c>
      <c r="E61" s="46">
        <f>D61*C61</f>
        <v/>
      </c>
      <c r="F61" s="14">
        <f>E61*$C$23</f>
        <v/>
      </c>
      <c r="G61" s="14">
        <f>E61*$C$24/100</f>
        <v/>
      </c>
      <c r="H61" s="14">
        <f>-E61*$C$26/100</f>
        <v/>
      </c>
      <c r="I61" s="47">
        <f>G61+H61</f>
        <v/>
      </c>
    </row>
    <row r="62">
      <c r="B62" s="5" t="inlineStr">
        <is>
          <t>يونيو ٢٠٢٧</t>
        </is>
      </c>
      <c r="C62" s="11" t="n">
        <v>30</v>
      </c>
      <c r="D62" s="11">
        <f>$C$50+$C$51*MIN(1,9/$C$52)</f>
        <v/>
      </c>
      <c r="E62" s="46">
        <f>D62*C62</f>
        <v/>
      </c>
      <c r="F62" s="14">
        <f>E62*$C$23</f>
        <v/>
      </c>
      <c r="G62" s="14">
        <f>E62*$C$24/100</f>
        <v/>
      </c>
      <c r="H62" s="14">
        <f>-E62*$C$26/100</f>
        <v/>
      </c>
      <c r="I62" s="47">
        <f>G62+H62</f>
        <v/>
      </c>
    </row>
    <row r="63">
      <c r="B63" s="5" t="inlineStr">
        <is>
          <t>يوليو ٢٠٢٧</t>
        </is>
      </c>
      <c r="C63" s="11" t="n">
        <v>31</v>
      </c>
      <c r="D63" s="11">
        <f>$C$50+$C$51*MIN(1,10/$C$52)</f>
        <v/>
      </c>
      <c r="E63" s="46">
        <f>D63*C63</f>
        <v/>
      </c>
      <c r="F63" s="14">
        <f>E63*$C$23</f>
        <v/>
      </c>
      <c r="G63" s="14">
        <f>E63*$C$24/100</f>
        <v/>
      </c>
      <c r="H63" s="14">
        <f>-E63*$C$26/100</f>
        <v/>
      </c>
      <c r="I63" s="47">
        <f>G63+H63</f>
        <v/>
      </c>
    </row>
    <row r="64">
      <c r="B64" s="5" t="inlineStr">
        <is>
          <t>أغسطس ٢٠٢٧</t>
        </is>
      </c>
      <c r="C64" s="11" t="n">
        <v>31</v>
      </c>
      <c r="D64" s="11">
        <f>$C$50+$C$51*MIN(1,11/$C$52)</f>
        <v/>
      </c>
      <c r="E64" s="46">
        <f>D64*C64</f>
        <v/>
      </c>
      <c r="F64" s="14">
        <f>E64*$C$23</f>
        <v/>
      </c>
      <c r="G64" s="14">
        <f>E64*$C$24/100</f>
        <v/>
      </c>
      <c r="H64" s="14">
        <f>-E64*$C$26/100</f>
        <v/>
      </c>
      <c r="I64" s="47">
        <f>G64+H64</f>
        <v/>
      </c>
    </row>
    <row r="65">
      <c r="B65" s="5" t="inlineStr">
        <is>
          <t>سبتمبر ٢٠٢٧</t>
        </is>
      </c>
      <c r="C65" s="11" t="n">
        <v>30</v>
      </c>
      <c r="D65" s="11">
        <f>$C$50+$C$51*MIN(1,12/$C$52)</f>
        <v/>
      </c>
      <c r="E65" s="46">
        <f>D65*C65</f>
        <v/>
      </c>
      <c r="F65" s="14">
        <f>E65*$C$23</f>
        <v/>
      </c>
      <c r="G65" s="14">
        <f>E65*$C$24/100</f>
        <v/>
      </c>
      <c r="H65" s="14">
        <f>-E65*$C$26/100</f>
        <v/>
      </c>
      <c r="I65" s="47">
        <f>G65+H65</f>
        <v/>
      </c>
    </row>
    <row r="66">
      <c r="B66" s="48" t="inlineStr">
        <is>
          <t>السنة كاملةً</t>
        </is>
      </c>
      <c r="C66" s="49">
        <f>SUM(C54:C65)</f>
        <v/>
      </c>
      <c r="D66" s="49">
        <f>AVERAGE(D54:D65)</f>
        <v/>
      </c>
      <c r="E66" s="49">
        <f>SUM(E54:E65)</f>
        <v/>
      </c>
      <c r="F66" s="47">
        <f>SUM(F54:F65)</f>
        <v/>
      </c>
      <c r="G66" s="47">
        <f>SUM(G54:G65)</f>
        <v/>
      </c>
      <c r="H66" s="47">
        <f>SUM(H54:H65)</f>
        <v/>
      </c>
      <c r="I66" s="47">
        <f>SUM(I54:I65)</f>
        <v/>
      </c>
    </row>
    <row r="67" ht="32" customHeight="1">
      <c r="B67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7" s="20" t="n"/>
      <c r="D67" s="20" t="n"/>
      <c r="E67" s="20" t="n"/>
      <c r="F67" s="20" t="n"/>
      <c r="G67" s="20" t="n"/>
      <c r="H67" s="20" t="n"/>
      <c r="I67" s="20" t="n"/>
    </row>
  </sheetData>
  <mergeCells count="44">
    <mergeCell ref="E21:I21"/>
    <mergeCell ref="E12:I12"/>
    <mergeCell ref="E50:I50"/>
    <mergeCell ref="E24:I24"/>
    <mergeCell ref="D41:I41"/>
    <mergeCell ref="E33:I33"/>
    <mergeCell ref="E52:I52"/>
    <mergeCell ref="E23:I23"/>
    <mergeCell ref="B46:I46"/>
    <mergeCell ref="E14:I14"/>
    <mergeCell ref="E8:I8"/>
    <mergeCell ref="B18:I18"/>
    <mergeCell ref="D43:I43"/>
    <mergeCell ref="A2:I2"/>
    <mergeCell ref="E29:I29"/>
    <mergeCell ref="B48:I48"/>
    <mergeCell ref="E20:I20"/>
    <mergeCell ref="E51:I51"/>
    <mergeCell ref="E10:I10"/>
    <mergeCell ref="E28:I28"/>
    <mergeCell ref="E13:I13"/>
    <mergeCell ref="E19:I19"/>
    <mergeCell ref="B67:I67"/>
    <mergeCell ref="E31:I31"/>
    <mergeCell ref="E9:I9"/>
    <mergeCell ref="E30:I30"/>
    <mergeCell ref="D42:I42"/>
    <mergeCell ref="E15:I15"/>
    <mergeCell ref="E6:I6"/>
    <mergeCell ref="E11:I11"/>
    <mergeCell ref="E49:I49"/>
    <mergeCell ref="E27:I27"/>
    <mergeCell ref="D44:I44"/>
    <mergeCell ref="E26:I26"/>
    <mergeCell ref="E7:I7"/>
    <mergeCell ref="E16:I16"/>
    <mergeCell ref="E32:I32"/>
    <mergeCell ref="D40:I40"/>
    <mergeCell ref="E25:I25"/>
    <mergeCell ref="A1:I1"/>
    <mergeCell ref="B5:I5"/>
    <mergeCell ref="B45:I45"/>
    <mergeCell ref="E22:I22"/>
    <mergeCell ref="B4:I4"/>
  </mergeCells>
  <conditionalFormatting sqref="E54:E65">
    <cfRule type="dataBar" priority="1">
      <dataBar showValue="1">
        <cfvo type="num" val="0"/>
        <cfvo type="max"/>
        <color rgb="00F5831F"/>
      </dataBar>
    </cfRule>
  </conditionalFormatting>
  <conditionalFormatting sqref="I54:I66">
    <cfRule type="cellIs" priority="2" operator="lessThan" dxfId="0">
      <formula>0</formula>
    </cfRule>
  </conditionalFormatting>
  <dataValidations count="1">
    <dataValidation sqref="C25" showDropDown="0" showInputMessage="0" showErrorMessage="0" allowBlank="0" type="list">
      <formula1>"مصاريف نموذج «تشغيلي» — 9.84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الروابي طارق  ·  AS175</t>
        </is>
      </c>
    </row>
    <row r="2" ht="16" customHeight="1">
      <c r="A2" s="2" t="inlineStr">
        <is>
          <t>نموذج العمل امتياز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1405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-2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-0.0014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0.0024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2" ht="22" customHeight="1">
      <c r="B12" s="19" t="inlineStr">
        <is>
          <t>② حاسبة اللتر — قيمته وهامشه ومصاريفه وصافيه</t>
        </is>
      </c>
      <c r="C12" s="20" t="n"/>
      <c r="D12" s="20" t="n"/>
      <c r="E12" s="20" t="n"/>
      <c r="F12" s="20" t="n"/>
      <c r="G12" s="20" t="n"/>
      <c r="H12" s="20" t="n"/>
      <c r="I12" s="20" t="n"/>
    </row>
    <row r="13" ht="30" customHeight="1">
      <c r="A13" s="4" t="inlineStr"/>
      <c r="B13" s="4" t="inlineStr">
        <is>
          <t>البند</t>
        </is>
      </c>
      <c r="C13" s="4" t="inlineStr">
        <is>
          <t>القيمة</t>
        </is>
      </c>
      <c r="D13" s="4" t="inlineStr">
        <is>
          <t>الوحدة</t>
        </is>
      </c>
      <c r="E13" s="4" t="inlineStr">
        <is>
          <t>من أين جاءت</t>
        </is>
      </c>
      <c r="F13" s="21" t="n"/>
      <c r="G13" s="21" t="n"/>
      <c r="H13" s="21" t="n"/>
      <c r="I13" s="22" t="n"/>
    </row>
    <row r="14">
      <c r="B14" s="32" t="inlineStr">
        <is>
          <t>لترات الشهر</t>
        </is>
      </c>
      <c r="C14" s="33" t="n">
        <v>0</v>
      </c>
      <c r="D14" s="24" t="inlineStr">
        <is>
          <t>لتر/شهر</t>
        </is>
      </c>
      <c r="E14" s="25" t="inlineStr">
        <is>
          <t>افتراضيّها معدّل الأداء: — × ٣٠٫٤ يوماً</t>
        </is>
      </c>
      <c r="F14" s="26" t="n"/>
      <c r="G14" s="26" t="n"/>
      <c r="H14" s="26" t="n"/>
      <c r="I14" s="26" t="n"/>
    </row>
    <row r="15">
      <c r="B15" s="32" t="inlineStr">
        <is>
          <t>سعر المضخة — شاملاً الضريبة</t>
        </is>
      </c>
      <c r="C15" s="34" t="n">
        <v>0</v>
      </c>
      <c r="D15" s="24" t="inlineStr">
        <is>
          <t>ريال/لتر</t>
        </is>
      </c>
      <c r="E15" s="45" t="inlineStr">
        <is>
          <t>⛔ لا سعر مقيس لهذه المحطة</t>
        </is>
      </c>
      <c r="F15" s="18" t="n"/>
      <c r="G15" s="18" t="n"/>
      <c r="H15" s="18" t="n"/>
      <c r="I15" s="18" t="n"/>
    </row>
    <row r="16">
      <c r="B16" s="32" t="inlineStr">
        <is>
          <t>هامش الوقود</t>
        </is>
      </c>
      <c r="C16" s="35" t="n">
        <v>0.0024</v>
      </c>
      <c r="D16" s="24" t="inlineStr">
        <is>
          <t>٪ من الإيراد قبل الضريبة</t>
        </is>
      </c>
      <c r="E16" s="25" t="inlineStr">
        <is>
          <t>هامش الوقود المقيس في تقرير المالية</t>
        </is>
      </c>
      <c r="F16" s="26" t="n"/>
      <c r="G16" s="26" t="n"/>
      <c r="H16" s="26" t="n"/>
      <c r="I16" s="26" t="n"/>
    </row>
    <row r="17">
      <c r="B17" s="36" t="inlineStr">
        <is>
          <t>① قيمة اللتر — قبل الضريبة</t>
        </is>
      </c>
      <c r="C17" s="37">
        <f>$C$15/1.15</f>
        <v/>
      </c>
      <c r="D17" s="24" t="inlineStr">
        <is>
          <t>ريال/لتر</t>
        </is>
      </c>
      <c r="E17" s="25" t="inlineStr">
        <is>
          <t>الصيغة: سعر المضخة ÷ ١٫١٥ · وهي قيمته التي يُحسب عليها الهامش</t>
        </is>
      </c>
      <c r="F17" s="26" t="n"/>
      <c r="G17" s="26" t="n"/>
      <c r="H17" s="26" t="n"/>
      <c r="I17" s="26" t="n"/>
    </row>
    <row r="18">
      <c r="B18" s="36" t="inlineStr">
        <is>
          <t>② هامش الربح للتر</t>
        </is>
      </c>
      <c r="C18" s="38">
        <f>$C$17*$C$16*100</f>
        <v/>
      </c>
      <c r="D18" s="24" t="inlineStr">
        <is>
          <t>هللة/لتر</t>
        </is>
      </c>
      <c r="E18" s="25" t="inlineStr">
        <is>
          <t>الصيغة: قيمة اللتر قبل الضريبة × هامش الوقود · هامش المساهمة قبل أي مصروف</t>
        </is>
      </c>
      <c r="F18" s="26" t="n"/>
      <c r="G18" s="26" t="n"/>
      <c r="H18" s="26" t="n"/>
      <c r="I18" s="26" t="n"/>
    </row>
    <row r="19">
      <c r="B19" s="32" t="inlineStr">
        <is>
          <t>أساس المصاريف</t>
        </is>
      </c>
      <c r="C19" s="39" t="inlineStr">
        <is>
          <t>مصاريف نموذج «امتياز» — 0.04 هللة/لتر</t>
        </is>
      </c>
      <c r="D19" s="24" t="inlineStr">
        <is>
          <t>اختر</t>
        </is>
      </c>
      <c r="E19" s="25" t="inlineStr">
        <is>
          <t>ثلاثة أُسُس ولكلٍّ مصدره — الجدول أسفل الحاسبة</t>
        </is>
      </c>
      <c r="F19" s="26" t="n"/>
      <c r="G19" s="26" t="n"/>
      <c r="H19" s="26" t="n"/>
      <c r="I19" s="26" t="n"/>
    </row>
    <row r="20">
      <c r="B20" s="36" t="inlineStr">
        <is>
          <t>③ المصاريف للتر</t>
        </is>
      </c>
      <c r="C20" s="38">
        <f>VLOOKUP($C$19,$B$35:$C$38,2,FALSE)</f>
        <v/>
      </c>
      <c r="D20" s="24" t="inlineStr">
        <is>
          <t>هللة/لتر</t>
        </is>
      </c>
      <c r="E20" s="25" t="inlineStr">
        <is>
          <t>من الأساس المختار أعلاه</t>
        </is>
      </c>
      <c r="F20" s="26" t="n"/>
      <c r="G20" s="26" t="n"/>
      <c r="H20" s="26" t="n"/>
      <c r="I20" s="26" t="n"/>
    </row>
    <row r="21">
      <c r="B21" s="36" t="inlineStr">
        <is>
          <t>④ صافي اللتر</t>
        </is>
      </c>
      <c r="C21" s="38">
        <f>$C$18-$C$20</f>
        <v/>
      </c>
      <c r="D21" s="24" t="inlineStr">
        <is>
          <t>هللة/لتر</t>
        </is>
      </c>
      <c r="E21" s="25" t="inlineStr">
        <is>
          <t>الصيغة: الهامش − المصاريف · وهو ما يبقى فعلاً من كل لتر</t>
        </is>
      </c>
      <c r="F21" s="26" t="n"/>
      <c r="G21" s="26" t="n"/>
      <c r="H21" s="26" t="n"/>
      <c r="I21" s="26" t="n"/>
    </row>
    <row r="22" ht="30" customHeight="1">
      <c r="A22" s="4" t="inlineStr"/>
      <c r="B22" s="4" t="inlineStr">
        <is>
          <t>وبالريال لشهرٍ كامل</t>
        </is>
      </c>
      <c r="C22" s="4" t="inlineStr">
        <is>
          <t>في الشهر</t>
        </is>
      </c>
      <c r="D22" s="4" t="inlineStr">
        <is>
          <t>الوحدة</t>
        </is>
      </c>
      <c r="E22" s="4" t="inlineStr">
        <is>
          <t>الصيغة</t>
        </is>
      </c>
      <c r="F22" s="21" t="n"/>
      <c r="G22" s="21" t="n"/>
      <c r="H22" s="21" t="n"/>
      <c r="I22" s="22" t="n"/>
    </row>
    <row r="23">
      <c r="B23" s="32" t="inlineStr">
        <is>
          <t>المبيعات قبل الضريبة</t>
        </is>
      </c>
      <c r="C23" s="40">
        <f>$C$14*$C$17</f>
        <v/>
      </c>
      <c r="D23" s="24" t="inlineStr">
        <is>
          <t>ريال</t>
        </is>
      </c>
      <c r="E23" s="25" t="inlineStr">
        <is>
          <t>لترات الشهر × قيمة اللتر قبل الضريبة</t>
        </is>
      </c>
      <c r="F23" s="26" t="n"/>
      <c r="G23" s="26" t="n"/>
      <c r="H23" s="26" t="n"/>
      <c r="I23" s="26" t="n"/>
    </row>
    <row r="24">
      <c r="B24" s="32" t="inlineStr">
        <is>
          <t>وشاملةً الضريبة</t>
        </is>
      </c>
      <c r="C24" s="40">
        <f>C23*1.15</f>
        <v/>
      </c>
      <c r="D24" s="24" t="inlineStr">
        <is>
          <t>ريال</t>
        </is>
      </c>
      <c r="E24" s="25" t="inlineStr">
        <is>
          <t>وهو ما يُسجَّل على المضخة</t>
        </is>
      </c>
      <c r="F24" s="26" t="n"/>
      <c r="G24" s="26" t="n"/>
      <c r="H24" s="26" t="n"/>
      <c r="I24" s="26" t="n"/>
    </row>
    <row r="25">
      <c r="B25" s="32" t="inlineStr">
        <is>
          <t>هامش الربح</t>
        </is>
      </c>
      <c r="C25" s="27">
        <f>$C$14*$C$18/100</f>
        <v/>
      </c>
      <c r="D25" s="24" t="inlineStr">
        <is>
          <t>ريال</t>
        </is>
      </c>
      <c r="E25" s="25" t="inlineStr">
        <is>
          <t>لترات الشهر × هامش اللتر</t>
        </is>
      </c>
      <c r="F25" s="26" t="n"/>
      <c r="G25" s="26" t="n"/>
      <c r="H25" s="26" t="n"/>
      <c r="I25" s="26" t="n"/>
    </row>
    <row r="26">
      <c r="B26" s="32" t="inlineStr">
        <is>
          <t>المصاريف</t>
        </is>
      </c>
      <c r="C26" s="41">
        <f>-$C$14*$C$20/100</f>
        <v/>
      </c>
      <c r="D26" s="24" t="inlineStr">
        <is>
          <t>ريال</t>
        </is>
      </c>
      <c r="E26" s="25" t="inlineStr">
        <is>
          <t>لترات الشهر × مصاريف اللتر</t>
        </is>
      </c>
      <c r="F26" s="26" t="n"/>
      <c r="G26" s="26" t="n"/>
      <c r="H26" s="26" t="n"/>
      <c r="I26" s="26" t="n"/>
    </row>
    <row r="27">
      <c r="B27" s="36" t="inlineStr">
        <is>
          <t>الصافي</t>
        </is>
      </c>
      <c r="C27" s="42">
        <f>C25+C26</f>
        <v/>
      </c>
      <c r="D27" s="24" t="inlineStr">
        <is>
          <t>ريال</t>
        </is>
      </c>
      <c r="E27" s="25" t="inlineStr">
        <is>
          <t>الهامش − المصاريف</t>
        </is>
      </c>
      <c r="F27" s="26" t="n"/>
      <c r="G27" s="26" t="n"/>
      <c r="H27" s="26" t="n"/>
      <c r="I27" s="26" t="n"/>
    </row>
    <row r="34" ht="30" customHeight="1">
      <c r="A34" s="4" t="inlineStr"/>
      <c r="B34" s="4" t="inlineStr">
        <is>
          <t>أساس المصاريف</t>
        </is>
      </c>
      <c r="C34" s="4" t="inlineStr">
        <is>
          <t>هللة/لتر</t>
        </is>
      </c>
      <c r="D34" s="4" t="inlineStr">
        <is>
          <t>المصدر والتحفّظ</t>
        </is>
      </c>
      <c r="E34" s="21" t="n"/>
      <c r="F34" s="21" t="n"/>
      <c r="G34" s="21" t="n"/>
      <c r="H34" s="21" t="n"/>
      <c r="I34" s="22" t="n"/>
    </row>
    <row r="35">
      <c r="B35" s="5" t="inlineStr">
        <is>
          <t>مصاريف نموذج «امتياز» — 0.04 هللة/لتر</t>
        </is>
      </c>
      <c r="C35" s="13" t="n">
        <v>0.04</v>
      </c>
      <c r="D35" s="25" t="inlineStr">
        <is>
          <t>مصاريف تشغيل محطات امتياز في قائمة الدخل ÷ لتراتها — وهو الأقرب لهذه المحطة</t>
        </is>
      </c>
      <c r="E35" s="26" t="n"/>
      <c r="F35" s="26" t="n"/>
      <c r="G35" s="26" t="n"/>
      <c r="H35" s="26" t="n"/>
      <c r="I35" s="26" t="n"/>
    </row>
    <row r="36">
      <c r="B36" s="43" t="inlineStr">
        <is>
          <t>متوسط محطاتنا — ٩٫١٥ هللة/لتر</t>
        </is>
      </c>
      <c r="C36" s="44" t="n">
        <v>9.15</v>
      </c>
      <c r="D36" s="25" t="inlineStr">
        <is>
          <t>مصاريف تشغيل محطاتنا الـ٤٩ (دون الامتياز) ÷ لتراتها</t>
        </is>
      </c>
      <c r="E36" s="26" t="n"/>
      <c r="F36" s="26" t="n"/>
      <c r="G36" s="26" t="n"/>
      <c r="H36" s="26" t="n"/>
      <c r="I36" s="26" t="n"/>
    </row>
    <row r="37">
      <c r="B37" s="43" t="inlineStr">
        <is>
          <t>المحمَّل الكامل — ١٣٫٥٦ هللة/لتر</t>
        </is>
      </c>
      <c r="C37" s="44" t="n">
        <v>13.56</v>
      </c>
      <c r="D37" s="25" t="inlineStr">
        <is>
          <t>يُضاف إليها بيعٌ وتسويق وإدارة وفوائد — لقرار رأس المال لا للتشغيل</t>
        </is>
      </c>
      <c r="E37" s="26" t="n"/>
      <c r="F37" s="26" t="n"/>
      <c r="G37" s="26" t="n"/>
      <c r="H37" s="26" t="n"/>
      <c r="I37" s="26" t="n"/>
    </row>
    <row r="38">
      <c r="B38" s="43" t="inlineStr">
        <is>
          <t>المقيس في تقرير الربع الثاني</t>
        </is>
      </c>
      <c r="C38" s="44" t="n">
        <v>0</v>
      </c>
      <c r="D38" s="45" t="inlineStr">
        <is>
          <t>⛔ لا أجور ولا مرافق مسجَّلة لهذه المحطة — لا تختر هذا الأساس</t>
        </is>
      </c>
      <c r="E38" s="18" t="n"/>
      <c r="F38" s="18" t="n"/>
      <c r="G38" s="18" t="n"/>
      <c r="H38" s="18" t="n"/>
      <c r="I38" s="18" t="n"/>
    </row>
    <row r="39" ht="26" customHeight="1">
      <c r="B39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39" s="18" t="n"/>
      <c r="D39" s="18" t="n"/>
      <c r="E39" s="18" t="n"/>
      <c r="F39" s="18" t="n"/>
      <c r="G39" s="18" t="n"/>
      <c r="H39" s="18" t="n"/>
      <c r="I39" s="18" t="n"/>
    </row>
    <row r="40" ht="32" customHeight="1">
      <c r="B40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0" s="18" t="n"/>
      <c r="D40" s="18" t="n"/>
      <c r="E40" s="18" t="n"/>
      <c r="F40" s="18" t="n"/>
      <c r="G40" s="18" t="n"/>
      <c r="H40" s="18" t="n"/>
      <c r="I40" s="18" t="n"/>
    </row>
    <row r="42" ht="22" customHeight="1">
      <c r="B42" s="19" t="inlineStr">
        <is>
          <t>③ المستهدف الشهري — اثنا عشر شهراً</t>
        </is>
      </c>
      <c r="C42" s="20" t="n"/>
      <c r="D42" s="20" t="n"/>
      <c r="E42" s="20" t="n"/>
      <c r="F42" s="20" t="n"/>
      <c r="G42" s="20" t="n"/>
      <c r="H42" s="20" t="n"/>
      <c r="I42" s="20" t="n"/>
    </row>
    <row r="43" ht="30" customHeight="1">
      <c r="A43" s="4" t="inlineStr"/>
      <c r="B43" s="4" t="inlineStr">
        <is>
          <t>الأساس</t>
        </is>
      </c>
      <c r="C43" s="4" t="inlineStr">
        <is>
          <t>القيمة</t>
        </is>
      </c>
      <c r="D43" s="4" t="inlineStr">
        <is>
          <t>الوحدة</t>
        </is>
      </c>
      <c r="E43" s="4" t="inlineStr">
        <is>
          <t>من أين جاءت</t>
        </is>
      </c>
      <c r="F43" s="21" t="n"/>
      <c r="G43" s="21" t="n"/>
      <c r="H43" s="21" t="n"/>
      <c r="I43" s="22" t="n"/>
    </row>
    <row r="44">
      <c r="B44" s="5" t="inlineStr">
        <is>
          <t>خط الأساس</t>
        </is>
      </c>
      <c r="C44" s="11" t="n">
        <v>0</v>
      </c>
      <c r="D44" s="24" t="inlineStr">
        <is>
          <t>لتر/يوم</t>
        </is>
      </c>
      <c r="E44" s="25" t="inlineStr">
        <is>
          <t>—</t>
        </is>
      </c>
      <c r="F44" s="26" t="n"/>
      <c r="G44" s="26" t="n"/>
      <c r="H44" s="26" t="n"/>
      <c r="I44" s="26" t="n"/>
    </row>
    <row r="45">
      <c r="B45" s="5" t="inlineStr">
        <is>
          <t>الإضافة المستهدفة</t>
        </is>
      </c>
      <c r="C45" s="33" t="n">
        <v>0</v>
      </c>
      <c r="D45" s="24" t="inlineStr">
        <is>
          <t>لتر/يوم</t>
        </is>
      </c>
      <c r="E45" s="25" t="inlineStr">
        <is>
          <t>لا فجوة ذروة مقيسة لهذه المحطة — المستهدف ثباتُ الأداء</t>
        </is>
      </c>
      <c r="F45" s="26" t="n"/>
      <c r="G45" s="26" t="n"/>
      <c r="H45" s="26" t="n"/>
      <c r="I45" s="26" t="n"/>
    </row>
    <row r="46">
      <c r="B46" s="5" t="inlineStr">
        <is>
          <t>أشهر التدرّج</t>
        </is>
      </c>
      <c r="C46" s="33" t="n">
        <v>6</v>
      </c>
      <c r="D46" s="24" t="inlineStr">
        <is>
          <t>شهر</t>
        </is>
      </c>
      <c r="E46" s="25" t="inlineStr">
        <is>
          <t>يُبلغ المستهدف كاملاً في الشهر السادس ثم يثبت</t>
        </is>
      </c>
      <c r="F46" s="26" t="n"/>
      <c r="G46" s="26" t="n"/>
      <c r="H46" s="26" t="n"/>
      <c r="I46" s="26" t="n"/>
    </row>
    <row r="47" ht="26" customHeight="1">
      <c r="A47" s="4" t="inlineStr"/>
      <c r="B47" s="4" t="inlineStr">
        <is>
          <t>الشهر</t>
        </is>
      </c>
      <c r="C47" s="4" t="inlineStr">
        <is>
          <t>أيام</t>
        </is>
      </c>
      <c r="D47" s="4" t="inlineStr">
        <is>
          <t>لتر/يوم</t>
        </is>
      </c>
      <c r="E47" s="4" t="inlineStr">
        <is>
          <t>لترات الشهر</t>
        </is>
      </c>
      <c r="F47" s="4" t="inlineStr">
        <is>
          <t>المبيعات قبل الضريبة</t>
        </is>
      </c>
      <c r="G47" s="4" t="inlineStr">
        <is>
          <t>هامش الربح</t>
        </is>
      </c>
      <c r="H47" s="4" t="inlineStr">
        <is>
          <t>المصاريف</t>
        </is>
      </c>
      <c r="I47" s="4" t="inlineStr">
        <is>
          <t>الصافي</t>
        </is>
      </c>
    </row>
    <row r="48">
      <c r="B48" s="5" t="inlineStr">
        <is>
          <t>أكتوبر ٢٠٢٦</t>
        </is>
      </c>
      <c r="C48" s="11" t="n">
        <v>31</v>
      </c>
      <c r="D48" s="11">
        <f>$C$44+$C$45*MIN(1,1/$C$46)</f>
        <v/>
      </c>
      <c r="E48" s="46">
        <f>D48*C48</f>
        <v/>
      </c>
      <c r="F48" s="14">
        <f>E48*$C$17</f>
        <v/>
      </c>
      <c r="G48" s="14">
        <f>E48*$C$18/100</f>
        <v/>
      </c>
      <c r="H48" s="14">
        <f>-E48*$C$20/100</f>
        <v/>
      </c>
      <c r="I48" s="47">
        <f>G48+H48</f>
        <v/>
      </c>
    </row>
    <row r="49">
      <c r="B49" s="5" t="inlineStr">
        <is>
          <t>نوفمبر ٢٠٢٦</t>
        </is>
      </c>
      <c r="C49" s="11" t="n">
        <v>30</v>
      </c>
      <c r="D49" s="11">
        <f>$C$44+$C$45*MIN(1,2/$C$46)</f>
        <v/>
      </c>
      <c r="E49" s="46">
        <f>D49*C49</f>
        <v/>
      </c>
      <c r="F49" s="14">
        <f>E49*$C$17</f>
        <v/>
      </c>
      <c r="G49" s="14">
        <f>E49*$C$18/100</f>
        <v/>
      </c>
      <c r="H49" s="14">
        <f>-E49*$C$20/100</f>
        <v/>
      </c>
      <c r="I49" s="47">
        <f>G49+H49</f>
        <v/>
      </c>
    </row>
    <row r="50">
      <c r="B50" s="5" t="inlineStr">
        <is>
          <t>ديسمبر ٢٠٢٦</t>
        </is>
      </c>
      <c r="C50" s="11" t="n">
        <v>31</v>
      </c>
      <c r="D50" s="11">
        <f>$C$44+$C$45*MIN(1,3/$C$46)</f>
        <v/>
      </c>
      <c r="E50" s="46">
        <f>D50*C50</f>
        <v/>
      </c>
      <c r="F50" s="14">
        <f>E50*$C$17</f>
        <v/>
      </c>
      <c r="G50" s="14">
        <f>E50*$C$18/100</f>
        <v/>
      </c>
      <c r="H50" s="14">
        <f>-E50*$C$20/100</f>
        <v/>
      </c>
      <c r="I50" s="47">
        <f>G50+H50</f>
        <v/>
      </c>
    </row>
    <row r="51">
      <c r="B51" s="5" t="inlineStr">
        <is>
          <t>يناير ٢٠٢٧</t>
        </is>
      </c>
      <c r="C51" s="11" t="n">
        <v>31</v>
      </c>
      <c r="D51" s="11">
        <f>$C$44+$C$45*MIN(1,4/$C$46)</f>
        <v/>
      </c>
      <c r="E51" s="46">
        <f>D51*C51</f>
        <v/>
      </c>
      <c r="F51" s="14">
        <f>E51*$C$17</f>
        <v/>
      </c>
      <c r="G51" s="14">
        <f>E51*$C$18/100</f>
        <v/>
      </c>
      <c r="H51" s="14">
        <f>-E51*$C$20/100</f>
        <v/>
      </c>
      <c r="I51" s="47">
        <f>G51+H51</f>
        <v/>
      </c>
    </row>
    <row r="52">
      <c r="B52" s="5" t="inlineStr">
        <is>
          <t>فبراير ٢٠٢٧</t>
        </is>
      </c>
      <c r="C52" s="11" t="n">
        <v>28</v>
      </c>
      <c r="D52" s="11">
        <f>$C$44+$C$45*MIN(1,5/$C$46)</f>
        <v/>
      </c>
      <c r="E52" s="46">
        <f>D52*C52</f>
        <v/>
      </c>
      <c r="F52" s="14">
        <f>E52*$C$17</f>
        <v/>
      </c>
      <c r="G52" s="14">
        <f>E52*$C$18/100</f>
        <v/>
      </c>
      <c r="H52" s="14">
        <f>-E52*$C$20/100</f>
        <v/>
      </c>
      <c r="I52" s="47">
        <f>G52+H52</f>
        <v/>
      </c>
    </row>
    <row r="53">
      <c r="B53" s="5" t="inlineStr">
        <is>
          <t>مارس ٢٠٢٧</t>
        </is>
      </c>
      <c r="C53" s="11" t="n">
        <v>31</v>
      </c>
      <c r="D53" s="11">
        <f>$C$44+$C$45*MIN(1,6/$C$46)</f>
        <v/>
      </c>
      <c r="E53" s="46">
        <f>D53*C53</f>
        <v/>
      </c>
      <c r="F53" s="14">
        <f>E53*$C$17</f>
        <v/>
      </c>
      <c r="G53" s="14">
        <f>E53*$C$18/100</f>
        <v/>
      </c>
      <c r="H53" s="14">
        <f>-E53*$C$20/100</f>
        <v/>
      </c>
      <c r="I53" s="47">
        <f>G53+H53</f>
        <v/>
      </c>
    </row>
    <row r="54">
      <c r="B54" s="5" t="inlineStr">
        <is>
          <t>أبريل ٢٠٢٧</t>
        </is>
      </c>
      <c r="C54" s="11" t="n">
        <v>30</v>
      </c>
      <c r="D54" s="11">
        <f>$C$44+$C$45*MIN(1,7/$C$46)</f>
        <v/>
      </c>
      <c r="E54" s="46">
        <f>D54*C54</f>
        <v/>
      </c>
      <c r="F54" s="14">
        <f>E54*$C$17</f>
        <v/>
      </c>
      <c r="G54" s="14">
        <f>E54*$C$18/100</f>
        <v/>
      </c>
      <c r="H54" s="14">
        <f>-E54*$C$20/100</f>
        <v/>
      </c>
      <c r="I54" s="47">
        <f>G54+H54</f>
        <v/>
      </c>
    </row>
    <row r="55">
      <c r="B55" s="5" t="inlineStr">
        <is>
          <t>مايو ٢٠٢٧</t>
        </is>
      </c>
      <c r="C55" s="11" t="n">
        <v>31</v>
      </c>
      <c r="D55" s="11">
        <f>$C$44+$C$45*MIN(1,8/$C$46)</f>
        <v/>
      </c>
      <c r="E55" s="46">
        <f>D55*C55</f>
        <v/>
      </c>
      <c r="F55" s="14">
        <f>E55*$C$17</f>
        <v/>
      </c>
      <c r="G55" s="14">
        <f>E55*$C$18/100</f>
        <v/>
      </c>
      <c r="H55" s="14">
        <f>-E55*$C$20/100</f>
        <v/>
      </c>
      <c r="I55" s="47">
        <f>G55+H55</f>
        <v/>
      </c>
    </row>
    <row r="56">
      <c r="B56" s="5" t="inlineStr">
        <is>
          <t>يونيو ٢٠٢٧</t>
        </is>
      </c>
      <c r="C56" s="11" t="n">
        <v>30</v>
      </c>
      <c r="D56" s="11">
        <f>$C$44+$C$45*MIN(1,9/$C$46)</f>
        <v/>
      </c>
      <c r="E56" s="46">
        <f>D56*C56</f>
        <v/>
      </c>
      <c r="F56" s="14">
        <f>E56*$C$17</f>
        <v/>
      </c>
      <c r="G56" s="14">
        <f>E56*$C$18/100</f>
        <v/>
      </c>
      <c r="H56" s="14">
        <f>-E56*$C$20/100</f>
        <v/>
      </c>
      <c r="I56" s="47">
        <f>G56+H56</f>
        <v/>
      </c>
    </row>
    <row r="57">
      <c r="B57" s="5" t="inlineStr">
        <is>
          <t>يوليو ٢٠٢٧</t>
        </is>
      </c>
      <c r="C57" s="11" t="n">
        <v>31</v>
      </c>
      <c r="D57" s="11">
        <f>$C$44+$C$45*MIN(1,10/$C$46)</f>
        <v/>
      </c>
      <c r="E57" s="46">
        <f>D57*C57</f>
        <v/>
      </c>
      <c r="F57" s="14">
        <f>E57*$C$17</f>
        <v/>
      </c>
      <c r="G57" s="14">
        <f>E57*$C$18/100</f>
        <v/>
      </c>
      <c r="H57" s="14">
        <f>-E57*$C$20/100</f>
        <v/>
      </c>
      <c r="I57" s="47">
        <f>G57+H57</f>
        <v/>
      </c>
    </row>
    <row r="58">
      <c r="B58" s="5" t="inlineStr">
        <is>
          <t>أغسطس ٢٠٢٧</t>
        </is>
      </c>
      <c r="C58" s="11" t="n">
        <v>31</v>
      </c>
      <c r="D58" s="11">
        <f>$C$44+$C$45*MIN(1,11/$C$46)</f>
        <v/>
      </c>
      <c r="E58" s="46">
        <f>D58*C58</f>
        <v/>
      </c>
      <c r="F58" s="14">
        <f>E58*$C$17</f>
        <v/>
      </c>
      <c r="G58" s="14">
        <f>E58*$C$18/100</f>
        <v/>
      </c>
      <c r="H58" s="14">
        <f>-E58*$C$20/100</f>
        <v/>
      </c>
      <c r="I58" s="47">
        <f>G58+H58</f>
        <v/>
      </c>
    </row>
    <row r="59">
      <c r="B59" s="5" t="inlineStr">
        <is>
          <t>سبتمبر ٢٠٢٧</t>
        </is>
      </c>
      <c r="C59" s="11" t="n">
        <v>30</v>
      </c>
      <c r="D59" s="11">
        <f>$C$44+$C$45*MIN(1,12/$C$46)</f>
        <v/>
      </c>
      <c r="E59" s="46">
        <f>D59*C59</f>
        <v/>
      </c>
      <c r="F59" s="14">
        <f>E59*$C$17</f>
        <v/>
      </c>
      <c r="G59" s="14">
        <f>E59*$C$18/100</f>
        <v/>
      </c>
      <c r="H59" s="14">
        <f>-E59*$C$20/100</f>
        <v/>
      </c>
      <c r="I59" s="47">
        <f>G59+H59</f>
        <v/>
      </c>
    </row>
    <row r="60">
      <c r="B60" s="48" t="inlineStr">
        <is>
          <t>السنة كاملةً</t>
        </is>
      </c>
      <c r="C60" s="49">
        <f>SUM(C48:C59)</f>
        <v/>
      </c>
      <c r="D60" s="49">
        <f>AVERAGE(D48:D59)</f>
        <v/>
      </c>
      <c r="E60" s="49">
        <f>SUM(E48:E59)</f>
        <v/>
      </c>
      <c r="F60" s="47">
        <f>SUM(F48:F59)</f>
        <v/>
      </c>
      <c r="G60" s="47">
        <f>SUM(G48:G59)</f>
        <v/>
      </c>
      <c r="H60" s="47">
        <f>SUM(H48:H59)</f>
        <v/>
      </c>
      <c r="I60" s="47">
        <f>SUM(I48:I59)</f>
        <v/>
      </c>
    </row>
    <row r="61" ht="32" customHeight="1">
      <c r="B61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1" s="20" t="n"/>
      <c r="D61" s="20" t="n"/>
      <c r="E61" s="20" t="n"/>
      <c r="F61" s="20" t="n"/>
      <c r="G61" s="20" t="n"/>
      <c r="H61" s="20" t="n"/>
      <c r="I61" s="20" t="n"/>
    </row>
  </sheetData>
  <mergeCells count="38">
    <mergeCell ref="E21:I21"/>
    <mergeCell ref="E43:I43"/>
    <mergeCell ref="E24:I24"/>
    <mergeCell ref="E23:I23"/>
    <mergeCell ref="E14:I14"/>
    <mergeCell ref="E8:I8"/>
    <mergeCell ref="E17:I17"/>
    <mergeCell ref="B12:I12"/>
    <mergeCell ref="E44:I44"/>
    <mergeCell ref="A2:I2"/>
    <mergeCell ref="E20:I20"/>
    <mergeCell ref="B39:I39"/>
    <mergeCell ref="D37:I37"/>
    <mergeCell ref="E10:I10"/>
    <mergeCell ref="B42:I42"/>
    <mergeCell ref="E13:I13"/>
    <mergeCell ref="E19:I19"/>
    <mergeCell ref="B61:I61"/>
    <mergeCell ref="E9:I9"/>
    <mergeCell ref="E15:I15"/>
    <mergeCell ref="D38:I38"/>
    <mergeCell ref="E6:I6"/>
    <mergeCell ref="E46:I46"/>
    <mergeCell ref="E27:I27"/>
    <mergeCell ref="D35:I35"/>
    <mergeCell ref="E45:I45"/>
    <mergeCell ref="E26:I26"/>
    <mergeCell ref="B40:I40"/>
    <mergeCell ref="D34:I34"/>
    <mergeCell ref="E7:I7"/>
    <mergeCell ref="E16:I16"/>
    <mergeCell ref="E25:I25"/>
    <mergeCell ref="A1:I1"/>
    <mergeCell ref="B5:I5"/>
    <mergeCell ref="D36:I36"/>
    <mergeCell ref="E22:I22"/>
    <mergeCell ref="B4:I4"/>
    <mergeCell ref="E18:I18"/>
  </mergeCells>
  <conditionalFormatting sqref="E48:E59">
    <cfRule type="dataBar" priority="1">
      <dataBar showValue="1">
        <cfvo type="num" val="0"/>
        <cfvo type="max"/>
        <color rgb="00F5831F"/>
      </dataBar>
    </cfRule>
  </conditionalFormatting>
  <conditionalFormatting sqref="I48:I60">
    <cfRule type="cellIs" priority="2" operator="lessThan" dxfId="0">
      <formula>0</formula>
    </cfRule>
  </conditionalFormatting>
  <dataValidations count="1">
    <dataValidation sqref="C19" showDropDown="0" showInputMessage="0" showErrorMessage="0" allowBlank="0" type="list">
      <formula1>"مصاريف نموذج «امتياز» — 0.04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الطاولة  ·  BH050</t>
        </is>
      </c>
    </row>
    <row r="2" ht="16" customHeight="1">
      <c r="A2" s="2" t="inlineStr">
        <is>
          <t>نموذج العمل إيجاري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1937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-34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-0.0176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0.0607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2" ht="22" customHeight="1">
      <c r="B12" s="19" t="inlineStr">
        <is>
          <t>② حاسبة اللتر — قيمته وهامشه ومصاريفه وصافيه</t>
        </is>
      </c>
      <c r="C12" s="20" t="n"/>
      <c r="D12" s="20" t="n"/>
      <c r="E12" s="20" t="n"/>
      <c r="F12" s="20" t="n"/>
      <c r="G12" s="20" t="n"/>
      <c r="H12" s="20" t="n"/>
      <c r="I12" s="20" t="n"/>
    </row>
    <row r="13" ht="30" customHeight="1">
      <c r="A13" s="4" t="inlineStr"/>
      <c r="B13" s="4" t="inlineStr">
        <is>
          <t>البند</t>
        </is>
      </c>
      <c r="C13" s="4" t="inlineStr">
        <is>
          <t>القيمة</t>
        </is>
      </c>
      <c r="D13" s="4" t="inlineStr">
        <is>
          <t>الوحدة</t>
        </is>
      </c>
      <c r="E13" s="4" t="inlineStr">
        <is>
          <t>من أين جاءت</t>
        </is>
      </c>
      <c r="F13" s="21" t="n"/>
      <c r="G13" s="21" t="n"/>
      <c r="H13" s="21" t="n"/>
      <c r="I13" s="22" t="n"/>
    </row>
    <row r="14">
      <c r="B14" s="32" t="inlineStr">
        <is>
          <t>لترات الشهر</t>
        </is>
      </c>
      <c r="C14" s="33" t="n">
        <v>0</v>
      </c>
      <c r="D14" s="24" t="inlineStr">
        <is>
          <t>لتر/شهر</t>
        </is>
      </c>
      <c r="E14" s="25" t="inlineStr">
        <is>
          <t>افتراضيّها معدّل الأداء: — × ٣٠٫٤ يوماً</t>
        </is>
      </c>
      <c r="F14" s="26" t="n"/>
      <c r="G14" s="26" t="n"/>
      <c r="H14" s="26" t="n"/>
      <c r="I14" s="26" t="n"/>
    </row>
    <row r="15">
      <c r="B15" s="32" t="inlineStr">
        <is>
          <t>سعر المضخة — شاملاً الضريبة</t>
        </is>
      </c>
      <c r="C15" s="34" t="n">
        <v>0</v>
      </c>
      <c r="D15" s="24" t="inlineStr">
        <is>
          <t>ريال/لتر</t>
        </is>
      </c>
      <c r="E15" s="45" t="inlineStr">
        <is>
          <t>⛔ لا سعر مقيس لهذه المحطة</t>
        </is>
      </c>
      <c r="F15" s="18" t="n"/>
      <c r="G15" s="18" t="n"/>
      <c r="H15" s="18" t="n"/>
      <c r="I15" s="18" t="n"/>
    </row>
    <row r="16">
      <c r="B16" s="32" t="inlineStr">
        <is>
          <t>هامش الوقود</t>
        </is>
      </c>
      <c r="C16" s="35" t="n">
        <v>0.0607</v>
      </c>
      <c r="D16" s="24" t="inlineStr">
        <is>
          <t>٪ من الإيراد قبل الضريبة</t>
        </is>
      </c>
      <c r="E16" s="25" t="inlineStr">
        <is>
          <t>هامش الوقود المقيس في تقرير المالية</t>
        </is>
      </c>
      <c r="F16" s="26" t="n"/>
      <c r="G16" s="26" t="n"/>
      <c r="H16" s="26" t="n"/>
      <c r="I16" s="26" t="n"/>
    </row>
    <row r="17">
      <c r="B17" s="36" t="inlineStr">
        <is>
          <t>① قيمة اللتر — قبل الضريبة</t>
        </is>
      </c>
      <c r="C17" s="37">
        <f>$C$15/1.15</f>
        <v/>
      </c>
      <c r="D17" s="24" t="inlineStr">
        <is>
          <t>ريال/لتر</t>
        </is>
      </c>
      <c r="E17" s="25" t="inlineStr">
        <is>
          <t>الصيغة: سعر المضخة ÷ ١٫١٥ · وهي قيمته التي يُحسب عليها الهامش</t>
        </is>
      </c>
      <c r="F17" s="26" t="n"/>
      <c r="G17" s="26" t="n"/>
      <c r="H17" s="26" t="n"/>
      <c r="I17" s="26" t="n"/>
    </row>
    <row r="18">
      <c r="B18" s="36" t="inlineStr">
        <is>
          <t>② هامش الربح للتر</t>
        </is>
      </c>
      <c r="C18" s="38">
        <f>$C$17*$C$16*100</f>
        <v/>
      </c>
      <c r="D18" s="24" t="inlineStr">
        <is>
          <t>هللة/لتر</t>
        </is>
      </c>
      <c r="E18" s="25" t="inlineStr">
        <is>
          <t>الصيغة: قيمة اللتر قبل الضريبة × هامش الوقود · هامش المساهمة قبل أي مصروف</t>
        </is>
      </c>
      <c r="F18" s="26" t="n"/>
      <c r="G18" s="26" t="n"/>
      <c r="H18" s="26" t="n"/>
      <c r="I18" s="26" t="n"/>
    </row>
    <row r="19">
      <c r="B19" s="32" t="inlineStr">
        <is>
          <t>أساس المصاريف</t>
        </is>
      </c>
      <c r="C19" s="39" t="inlineStr">
        <is>
          <t>مصاريف نموذج «إيجاري» — 5.63 هللة/لتر</t>
        </is>
      </c>
      <c r="D19" s="24" t="inlineStr">
        <is>
          <t>اختر</t>
        </is>
      </c>
      <c r="E19" s="25" t="inlineStr">
        <is>
          <t>ثلاثة أُسُس ولكلٍّ مصدره — الجدول أسفل الحاسبة</t>
        </is>
      </c>
      <c r="F19" s="26" t="n"/>
      <c r="G19" s="26" t="n"/>
      <c r="H19" s="26" t="n"/>
      <c r="I19" s="26" t="n"/>
    </row>
    <row r="20">
      <c r="B20" s="36" t="inlineStr">
        <is>
          <t>③ المصاريف للتر</t>
        </is>
      </c>
      <c r="C20" s="38">
        <f>VLOOKUP($C$19,$B$35:$C$38,2,FALSE)</f>
        <v/>
      </c>
      <c r="D20" s="24" t="inlineStr">
        <is>
          <t>هللة/لتر</t>
        </is>
      </c>
      <c r="E20" s="25" t="inlineStr">
        <is>
          <t>من الأساس المختار أعلاه</t>
        </is>
      </c>
      <c r="F20" s="26" t="n"/>
      <c r="G20" s="26" t="n"/>
      <c r="H20" s="26" t="n"/>
      <c r="I20" s="26" t="n"/>
    </row>
    <row r="21">
      <c r="B21" s="36" t="inlineStr">
        <is>
          <t>④ صافي اللتر</t>
        </is>
      </c>
      <c r="C21" s="38">
        <f>$C$18-$C$20</f>
        <v/>
      </c>
      <c r="D21" s="24" t="inlineStr">
        <is>
          <t>هللة/لتر</t>
        </is>
      </c>
      <c r="E21" s="25" t="inlineStr">
        <is>
          <t>الصيغة: الهامش − المصاريف · وهو ما يبقى فعلاً من كل لتر</t>
        </is>
      </c>
      <c r="F21" s="26" t="n"/>
      <c r="G21" s="26" t="n"/>
      <c r="H21" s="26" t="n"/>
      <c r="I21" s="26" t="n"/>
    </row>
    <row r="22" ht="30" customHeight="1">
      <c r="A22" s="4" t="inlineStr"/>
      <c r="B22" s="4" t="inlineStr">
        <is>
          <t>وبالريال لشهرٍ كامل</t>
        </is>
      </c>
      <c r="C22" s="4" t="inlineStr">
        <is>
          <t>في الشهر</t>
        </is>
      </c>
      <c r="D22" s="4" t="inlineStr">
        <is>
          <t>الوحدة</t>
        </is>
      </c>
      <c r="E22" s="4" t="inlineStr">
        <is>
          <t>الصيغة</t>
        </is>
      </c>
      <c r="F22" s="21" t="n"/>
      <c r="G22" s="21" t="n"/>
      <c r="H22" s="21" t="n"/>
      <c r="I22" s="22" t="n"/>
    </row>
    <row r="23">
      <c r="B23" s="32" t="inlineStr">
        <is>
          <t>المبيعات قبل الضريبة</t>
        </is>
      </c>
      <c r="C23" s="40">
        <f>$C$14*$C$17</f>
        <v/>
      </c>
      <c r="D23" s="24" t="inlineStr">
        <is>
          <t>ريال</t>
        </is>
      </c>
      <c r="E23" s="25" t="inlineStr">
        <is>
          <t>لترات الشهر × قيمة اللتر قبل الضريبة</t>
        </is>
      </c>
      <c r="F23" s="26" t="n"/>
      <c r="G23" s="26" t="n"/>
      <c r="H23" s="26" t="n"/>
      <c r="I23" s="26" t="n"/>
    </row>
    <row r="24">
      <c r="B24" s="32" t="inlineStr">
        <is>
          <t>وشاملةً الضريبة</t>
        </is>
      </c>
      <c r="C24" s="40">
        <f>C23*1.15</f>
        <v/>
      </c>
      <c r="D24" s="24" t="inlineStr">
        <is>
          <t>ريال</t>
        </is>
      </c>
      <c r="E24" s="25" t="inlineStr">
        <is>
          <t>وهو ما يُسجَّل على المضخة</t>
        </is>
      </c>
      <c r="F24" s="26" t="n"/>
      <c r="G24" s="26" t="n"/>
      <c r="H24" s="26" t="n"/>
      <c r="I24" s="26" t="n"/>
    </row>
    <row r="25">
      <c r="B25" s="32" t="inlineStr">
        <is>
          <t>هامش الربح</t>
        </is>
      </c>
      <c r="C25" s="27">
        <f>$C$14*$C$18/100</f>
        <v/>
      </c>
      <c r="D25" s="24" t="inlineStr">
        <is>
          <t>ريال</t>
        </is>
      </c>
      <c r="E25" s="25" t="inlineStr">
        <is>
          <t>لترات الشهر × هامش اللتر</t>
        </is>
      </c>
      <c r="F25" s="26" t="n"/>
      <c r="G25" s="26" t="n"/>
      <c r="H25" s="26" t="n"/>
      <c r="I25" s="26" t="n"/>
    </row>
    <row r="26">
      <c r="B26" s="32" t="inlineStr">
        <is>
          <t>المصاريف</t>
        </is>
      </c>
      <c r="C26" s="41">
        <f>-$C$14*$C$20/100</f>
        <v/>
      </c>
      <c r="D26" s="24" t="inlineStr">
        <is>
          <t>ريال</t>
        </is>
      </c>
      <c r="E26" s="25" t="inlineStr">
        <is>
          <t>لترات الشهر × مصاريف اللتر</t>
        </is>
      </c>
      <c r="F26" s="26" t="n"/>
      <c r="G26" s="26" t="n"/>
      <c r="H26" s="26" t="n"/>
      <c r="I26" s="26" t="n"/>
    </row>
    <row r="27">
      <c r="B27" s="36" t="inlineStr">
        <is>
          <t>الصافي</t>
        </is>
      </c>
      <c r="C27" s="42">
        <f>C25+C26</f>
        <v/>
      </c>
      <c r="D27" s="24" t="inlineStr">
        <is>
          <t>ريال</t>
        </is>
      </c>
      <c r="E27" s="25" t="inlineStr">
        <is>
          <t>الهامش − المصاريف</t>
        </is>
      </c>
      <c r="F27" s="26" t="n"/>
      <c r="G27" s="26" t="n"/>
      <c r="H27" s="26" t="n"/>
      <c r="I27" s="26" t="n"/>
    </row>
    <row r="34" ht="30" customHeight="1">
      <c r="A34" s="4" t="inlineStr"/>
      <c r="B34" s="4" t="inlineStr">
        <is>
          <t>أساس المصاريف</t>
        </is>
      </c>
      <c r="C34" s="4" t="inlineStr">
        <is>
          <t>هللة/لتر</t>
        </is>
      </c>
      <c r="D34" s="4" t="inlineStr">
        <is>
          <t>المصدر والتحفّظ</t>
        </is>
      </c>
      <c r="E34" s="21" t="n"/>
      <c r="F34" s="21" t="n"/>
      <c r="G34" s="21" t="n"/>
      <c r="H34" s="21" t="n"/>
      <c r="I34" s="22" t="n"/>
    </row>
    <row r="35">
      <c r="B35" s="5" t="inlineStr">
        <is>
          <t>مصاريف نموذج «إيجاري» — 5.63 هللة/لتر</t>
        </is>
      </c>
      <c r="C35" s="13" t="n">
        <v>5.63</v>
      </c>
      <c r="D35" s="25" t="inlineStr">
        <is>
          <t>مصاريف تشغيل محطات إيجاري في قائمة الدخل ÷ لتراتها — وهو الأقرب لهذه المحطة</t>
        </is>
      </c>
      <c r="E35" s="26" t="n"/>
      <c r="F35" s="26" t="n"/>
      <c r="G35" s="26" t="n"/>
      <c r="H35" s="26" t="n"/>
      <c r="I35" s="26" t="n"/>
    </row>
    <row r="36">
      <c r="B36" s="43" t="inlineStr">
        <is>
          <t>متوسط محطاتنا — ٩٫١٥ هللة/لتر</t>
        </is>
      </c>
      <c r="C36" s="44" t="n">
        <v>9.15</v>
      </c>
      <c r="D36" s="25" t="inlineStr">
        <is>
          <t>مصاريف تشغيل محطاتنا الـ٤٩ (دون الامتياز) ÷ لتراتها</t>
        </is>
      </c>
      <c r="E36" s="26" t="n"/>
      <c r="F36" s="26" t="n"/>
      <c r="G36" s="26" t="n"/>
      <c r="H36" s="26" t="n"/>
      <c r="I36" s="26" t="n"/>
    </row>
    <row r="37">
      <c r="B37" s="43" t="inlineStr">
        <is>
          <t>المحمَّل الكامل — ١٣٫٥٦ هللة/لتر</t>
        </is>
      </c>
      <c r="C37" s="44" t="n">
        <v>13.56</v>
      </c>
      <c r="D37" s="25" t="inlineStr">
        <is>
          <t>يُضاف إليها بيعٌ وتسويق وإدارة وفوائد — لقرار رأس المال لا للتشغيل</t>
        </is>
      </c>
      <c r="E37" s="26" t="n"/>
      <c r="F37" s="26" t="n"/>
      <c r="G37" s="26" t="n"/>
      <c r="H37" s="26" t="n"/>
      <c r="I37" s="26" t="n"/>
    </row>
    <row r="38">
      <c r="B38" s="43" t="inlineStr">
        <is>
          <t>المقيس في تقرير الربع الثاني</t>
        </is>
      </c>
      <c r="C38" s="44" t="n">
        <v>0</v>
      </c>
      <c r="D38" s="45" t="inlineStr">
        <is>
          <t>⛔ لا أجور ولا مرافق مسجَّلة لهذه المحطة — لا تختر هذا الأساس</t>
        </is>
      </c>
      <c r="E38" s="18" t="n"/>
      <c r="F38" s="18" t="n"/>
      <c r="G38" s="18" t="n"/>
      <c r="H38" s="18" t="n"/>
      <c r="I38" s="18" t="n"/>
    </row>
    <row r="39" ht="26" customHeight="1">
      <c r="B39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39" s="18" t="n"/>
      <c r="D39" s="18" t="n"/>
      <c r="E39" s="18" t="n"/>
      <c r="F39" s="18" t="n"/>
      <c r="G39" s="18" t="n"/>
      <c r="H39" s="18" t="n"/>
      <c r="I39" s="18" t="n"/>
    </row>
    <row r="40" ht="32" customHeight="1">
      <c r="B40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0" s="18" t="n"/>
      <c r="D40" s="18" t="n"/>
      <c r="E40" s="18" t="n"/>
      <c r="F40" s="18" t="n"/>
      <c r="G40" s="18" t="n"/>
      <c r="H40" s="18" t="n"/>
      <c r="I40" s="18" t="n"/>
    </row>
    <row r="42" ht="22" customHeight="1">
      <c r="B42" s="19" t="inlineStr">
        <is>
          <t>③ المستهدف الشهري — اثنا عشر شهراً</t>
        </is>
      </c>
      <c r="C42" s="20" t="n"/>
      <c r="D42" s="20" t="n"/>
      <c r="E42" s="20" t="n"/>
      <c r="F42" s="20" t="n"/>
      <c r="G42" s="20" t="n"/>
      <c r="H42" s="20" t="n"/>
      <c r="I42" s="20" t="n"/>
    </row>
    <row r="43" ht="30" customHeight="1">
      <c r="A43" s="4" t="inlineStr"/>
      <c r="B43" s="4" t="inlineStr">
        <is>
          <t>الأساس</t>
        </is>
      </c>
      <c r="C43" s="4" t="inlineStr">
        <is>
          <t>القيمة</t>
        </is>
      </c>
      <c r="D43" s="4" t="inlineStr">
        <is>
          <t>الوحدة</t>
        </is>
      </c>
      <c r="E43" s="4" t="inlineStr">
        <is>
          <t>من أين جاءت</t>
        </is>
      </c>
      <c r="F43" s="21" t="n"/>
      <c r="G43" s="21" t="n"/>
      <c r="H43" s="21" t="n"/>
      <c r="I43" s="22" t="n"/>
    </row>
    <row r="44">
      <c r="B44" s="5" t="inlineStr">
        <is>
          <t>خط الأساس</t>
        </is>
      </c>
      <c r="C44" s="11" t="n">
        <v>0</v>
      </c>
      <c r="D44" s="24" t="inlineStr">
        <is>
          <t>لتر/يوم</t>
        </is>
      </c>
      <c r="E44" s="25" t="inlineStr">
        <is>
          <t>—</t>
        </is>
      </c>
      <c r="F44" s="26" t="n"/>
      <c r="G44" s="26" t="n"/>
      <c r="H44" s="26" t="n"/>
      <c r="I44" s="26" t="n"/>
    </row>
    <row r="45">
      <c r="B45" s="5" t="inlineStr">
        <is>
          <t>الإضافة المستهدفة</t>
        </is>
      </c>
      <c r="C45" s="33" t="n">
        <v>0</v>
      </c>
      <c r="D45" s="24" t="inlineStr">
        <is>
          <t>لتر/يوم</t>
        </is>
      </c>
      <c r="E45" s="25" t="inlineStr">
        <is>
          <t>لا فجوة ذروة مقيسة لهذه المحطة — المستهدف ثباتُ الأداء</t>
        </is>
      </c>
      <c r="F45" s="26" t="n"/>
      <c r="G45" s="26" t="n"/>
      <c r="H45" s="26" t="n"/>
      <c r="I45" s="26" t="n"/>
    </row>
    <row r="46">
      <c r="B46" s="5" t="inlineStr">
        <is>
          <t>أشهر التدرّج</t>
        </is>
      </c>
      <c r="C46" s="33" t="n">
        <v>6</v>
      </c>
      <c r="D46" s="24" t="inlineStr">
        <is>
          <t>شهر</t>
        </is>
      </c>
      <c r="E46" s="25" t="inlineStr">
        <is>
          <t>يُبلغ المستهدف كاملاً في الشهر السادس ثم يثبت</t>
        </is>
      </c>
      <c r="F46" s="26" t="n"/>
      <c r="G46" s="26" t="n"/>
      <c r="H46" s="26" t="n"/>
      <c r="I46" s="26" t="n"/>
    </row>
    <row r="47" ht="26" customHeight="1">
      <c r="A47" s="4" t="inlineStr"/>
      <c r="B47" s="4" t="inlineStr">
        <is>
          <t>الشهر</t>
        </is>
      </c>
      <c r="C47" s="4" t="inlineStr">
        <is>
          <t>أيام</t>
        </is>
      </c>
      <c r="D47" s="4" t="inlineStr">
        <is>
          <t>لتر/يوم</t>
        </is>
      </c>
      <c r="E47" s="4" t="inlineStr">
        <is>
          <t>لترات الشهر</t>
        </is>
      </c>
      <c r="F47" s="4" t="inlineStr">
        <is>
          <t>المبيعات قبل الضريبة</t>
        </is>
      </c>
      <c r="G47" s="4" t="inlineStr">
        <is>
          <t>هامش الربح</t>
        </is>
      </c>
      <c r="H47" s="4" t="inlineStr">
        <is>
          <t>المصاريف</t>
        </is>
      </c>
      <c r="I47" s="4" t="inlineStr">
        <is>
          <t>الصافي</t>
        </is>
      </c>
    </row>
    <row r="48">
      <c r="B48" s="5" t="inlineStr">
        <is>
          <t>أكتوبر ٢٠٢٦</t>
        </is>
      </c>
      <c r="C48" s="11" t="n">
        <v>31</v>
      </c>
      <c r="D48" s="11">
        <f>$C$44+$C$45*MIN(1,1/$C$46)</f>
        <v/>
      </c>
      <c r="E48" s="46">
        <f>D48*C48</f>
        <v/>
      </c>
      <c r="F48" s="14">
        <f>E48*$C$17</f>
        <v/>
      </c>
      <c r="G48" s="14">
        <f>E48*$C$18/100</f>
        <v/>
      </c>
      <c r="H48" s="14">
        <f>-E48*$C$20/100</f>
        <v/>
      </c>
      <c r="I48" s="47">
        <f>G48+H48</f>
        <v/>
      </c>
    </row>
    <row r="49">
      <c r="B49" s="5" t="inlineStr">
        <is>
          <t>نوفمبر ٢٠٢٦</t>
        </is>
      </c>
      <c r="C49" s="11" t="n">
        <v>30</v>
      </c>
      <c r="D49" s="11">
        <f>$C$44+$C$45*MIN(1,2/$C$46)</f>
        <v/>
      </c>
      <c r="E49" s="46">
        <f>D49*C49</f>
        <v/>
      </c>
      <c r="F49" s="14">
        <f>E49*$C$17</f>
        <v/>
      </c>
      <c r="G49" s="14">
        <f>E49*$C$18/100</f>
        <v/>
      </c>
      <c r="H49" s="14">
        <f>-E49*$C$20/100</f>
        <v/>
      </c>
      <c r="I49" s="47">
        <f>G49+H49</f>
        <v/>
      </c>
    </row>
    <row r="50">
      <c r="B50" s="5" t="inlineStr">
        <is>
          <t>ديسمبر ٢٠٢٦</t>
        </is>
      </c>
      <c r="C50" s="11" t="n">
        <v>31</v>
      </c>
      <c r="D50" s="11">
        <f>$C$44+$C$45*MIN(1,3/$C$46)</f>
        <v/>
      </c>
      <c r="E50" s="46">
        <f>D50*C50</f>
        <v/>
      </c>
      <c r="F50" s="14">
        <f>E50*$C$17</f>
        <v/>
      </c>
      <c r="G50" s="14">
        <f>E50*$C$18/100</f>
        <v/>
      </c>
      <c r="H50" s="14">
        <f>-E50*$C$20/100</f>
        <v/>
      </c>
      <c r="I50" s="47">
        <f>G50+H50</f>
        <v/>
      </c>
    </row>
    <row r="51">
      <c r="B51" s="5" t="inlineStr">
        <is>
          <t>يناير ٢٠٢٧</t>
        </is>
      </c>
      <c r="C51" s="11" t="n">
        <v>31</v>
      </c>
      <c r="D51" s="11">
        <f>$C$44+$C$45*MIN(1,4/$C$46)</f>
        <v/>
      </c>
      <c r="E51" s="46">
        <f>D51*C51</f>
        <v/>
      </c>
      <c r="F51" s="14">
        <f>E51*$C$17</f>
        <v/>
      </c>
      <c r="G51" s="14">
        <f>E51*$C$18/100</f>
        <v/>
      </c>
      <c r="H51" s="14">
        <f>-E51*$C$20/100</f>
        <v/>
      </c>
      <c r="I51" s="47">
        <f>G51+H51</f>
        <v/>
      </c>
    </row>
    <row r="52">
      <c r="B52" s="5" t="inlineStr">
        <is>
          <t>فبراير ٢٠٢٧</t>
        </is>
      </c>
      <c r="C52" s="11" t="n">
        <v>28</v>
      </c>
      <c r="D52" s="11">
        <f>$C$44+$C$45*MIN(1,5/$C$46)</f>
        <v/>
      </c>
      <c r="E52" s="46">
        <f>D52*C52</f>
        <v/>
      </c>
      <c r="F52" s="14">
        <f>E52*$C$17</f>
        <v/>
      </c>
      <c r="G52" s="14">
        <f>E52*$C$18/100</f>
        <v/>
      </c>
      <c r="H52" s="14">
        <f>-E52*$C$20/100</f>
        <v/>
      </c>
      <c r="I52" s="47">
        <f>G52+H52</f>
        <v/>
      </c>
    </row>
    <row r="53">
      <c r="B53" s="5" t="inlineStr">
        <is>
          <t>مارس ٢٠٢٧</t>
        </is>
      </c>
      <c r="C53" s="11" t="n">
        <v>31</v>
      </c>
      <c r="D53" s="11">
        <f>$C$44+$C$45*MIN(1,6/$C$46)</f>
        <v/>
      </c>
      <c r="E53" s="46">
        <f>D53*C53</f>
        <v/>
      </c>
      <c r="F53" s="14">
        <f>E53*$C$17</f>
        <v/>
      </c>
      <c r="G53" s="14">
        <f>E53*$C$18/100</f>
        <v/>
      </c>
      <c r="H53" s="14">
        <f>-E53*$C$20/100</f>
        <v/>
      </c>
      <c r="I53" s="47">
        <f>G53+H53</f>
        <v/>
      </c>
    </row>
    <row r="54">
      <c r="B54" s="5" t="inlineStr">
        <is>
          <t>أبريل ٢٠٢٧</t>
        </is>
      </c>
      <c r="C54" s="11" t="n">
        <v>30</v>
      </c>
      <c r="D54" s="11">
        <f>$C$44+$C$45*MIN(1,7/$C$46)</f>
        <v/>
      </c>
      <c r="E54" s="46">
        <f>D54*C54</f>
        <v/>
      </c>
      <c r="F54" s="14">
        <f>E54*$C$17</f>
        <v/>
      </c>
      <c r="G54" s="14">
        <f>E54*$C$18/100</f>
        <v/>
      </c>
      <c r="H54" s="14">
        <f>-E54*$C$20/100</f>
        <v/>
      </c>
      <c r="I54" s="47">
        <f>G54+H54</f>
        <v/>
      </c>
    </row>
    <row r="55">
      <c r="B55" s="5" t="inlineStr">
        <is>
          <t>مايو ٢٠٢٧</t>
        </is>
      </c>
      <c r="C55" s="11" t="n">
        <v>31</v>
      </c>
      <c r="D55" s="11">
        <f>$C$44+$C$45*MIN(1,8/$C$46)</f>
        <v/>
      </c>
      <c r="E55" s="46">
        <f>D55*C55</f>
        <v/>
      </c>
      <c r="F55" s="14">
        <f>E55*$C$17</f>
        <v/>
      </c>
      <c r="G55" s="14">
        <f>E55*$C$18/100</f>
        <v/>
      </c>
      <c r="H55" s="14">
        <f>-E55*$C$20/100</f>
        <v/>
      </c>
      <c r="I55" s="47">
        <f>G55+H55</f>
        <v/>
      </c>
    </row>
    <row r="56">
      <c r="B56" s="5" t="inlineStr">
        <is>
          <t>يونيو ٢٠٢٧</t>
        </is>
      </c>
      <c r="C56" s="11" t="n">
        <v>30</v>
      </c>
      <c r="D56" s="11">
        <f>$C$44+$C$45*MIN(1,9/$C$46)</f>
        <v/>
      </c>
      <c r="E56" s="46">
        <f>D56*C56</f>
        <v/>
      </c>
      <c r="F56" s="14">
        <f>E56*$C$17</f>
        <v/>
      </c>
      <c r="G56" s="14">
        <f>E56*$C$18/100</f>
        <v/>
      </c>
      <c r="H56" s="14">
        <f>-E56*$C$20/100</f>
        <v/>
      </c>
      <c r="I56" s="47">
        <f>G56+H56</f>
        <v/>
      </c>
    </row>
    <row r="57">
      <c r="B57" s="5" t="inlineStr">
        <is>
          <t>يوليو ٢٠٢٧</t>
        </is>
      </c>
      <c r="C57" s="11" t="n">
        <v>31</v>
      </c>
      <c r="D57" s="11">
        <f>$C$44+$C$45*MIN(1,10/$C$46)</f>
        <v/>
      </c>
      <c r="E57" s="46">
        <f>D57*C57</f>
        <v/>
      </c>
      <c r="F57" s="14">
        <f>E57*$C$17</f>
        <v/>
      </c>
      <c r="G57" s="14">
        <f>E57*$C$18/100</f>
        <v/>
      </c>
      <c r="H57" s="14">
        <f>-E57*$C$20/100</f>
        <v/>
      </c>
      <c r="I57" s="47">
        <f>G57+H57</f>
        <v/>
      </c>
    </row>
    <row r="58">
      <c r="B58" s="5" t="inlineStr">
        <is>
          <t>أغسطس ٢٠٢٧</t>
        </is>
      </c>
      <c r="C58" s="11" t="n">
        <v>31</v>
      </c>
      <c r="D58" s="11">
        <f>$C$44+$C$45*MIN(1,11/$C$46)</f>
        <v/>
      </c>
      <c r="E58" s="46">
        <f>D58*C58</f>
        <v/>
      </c>
      <c r="F58" s="14">
        <f>E58*$C$17</f>
        <v/>
      </c>
      <c r="G58" s="14">
        <f>E58*$C$18/100</f>
        <v/>
      </c>
      <c r="H58" s="14">
        <f>-E58*$C$20/100</f>
        <v/>
      </c>
      <c r="I58" s="47">
        <f>G58+H58</f>
        <v/>
      </c>
    </row>
    <row r="59">
      <c r="B59" s="5" t="inlineStr">
        <is>
          <t>سبتمبر ٢٠٢٧</t>
        </is>
      </c>
      <c r="C59" s="11" t="n">
        <v>30</v>
      </c>
      <c r="D59" s="11">
        <f>$C$44+$C$45*MIN(1,12/$C$46)</f>
        <v/>
      </c>
      <c r="E59" s="46">
        <f>D59*C59</f>
        <v/>
      </c>
      <c r="F59" s="14">
        <f>E59*$C$17</f>
        <v/>
      </c>
      <c r="G59" s="14">
        <f>E59*$C$18/100</f>
        <v/>
      </c>
      <c r="H59" s="14">
        <f>-E59*$C$20/100</f>
        <v/>
      </c>
      <c r="I59" s="47">
        <f>G59+H59</f>
        <v/>
      </c>
    </row>
    <row r="60">
      <c r="B60" s="48" t="inlineStr">
        <is>
          <t>السنة كاملةً</t>
        </is>
      </c>
      <c r="C60" s="49">
        <f>SUM(C48:C59)</f>
        <v/>
      </c>
      <c r="D60" s="49">
        <f>AVERAGE(D48:D59)</f>
        <v/>
      </c>
      <c r="E60" s="49">
        <f>SUM(E48:E59)</f>
        <v/>
      </c>
      <c r="F60" s="47">
        <f>SUM(F48:F59)</f>
        <v/>
      </c>
      <c r="G60" s="47">
        <f>SUM(G48:G59)</f>
        <v/>
      </c>
      <c r="H60" s="47">
        <f>SUM(H48:H59)</f>
        <v/>
      </c>
      <c r="I60" s="47">
        <f>SUM(I48:I59)</f>
        <v/>
      </c>
    </row>
    <row r="61" ht="32" customHeight="1">
      <c r="B61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1" s="20" t="n"/>
      <c r="D61" s="20" t="n"/>
      <c r="E61" s="20" t="n"/>
      <c r="F61" s="20" t="n"/>
      <c r="G61" s="20" t="n"/>
      <c r="H61" s="20" t="n"/>
      <c r="I61" s="20" t="n"/>
    </row>
  </sheetData>
  <mergeCells count="38">
    <mergeCell ref="E21:I21"/>
    <mergeCell ref="E43:I43"/>
    <mergeCell ref="E24:I24"/>
    <mergeCell ref="E23:I23"/>
    <mergeCell ref="E14:I14"/>
    <mergeCell ref="E8:I8"/>
    <mergeCell ref="E17:I17"/>
    <mergeCell ref="B12:I12"/>
    <mergeCell ref="E44:I44"/>
    <mergeCell ref="A2:I2"/>
    <mergeCell ref="E20:I20"/>
    <mergeCell ref="B39:I39"/>
    <mergeCell ref="D37:I37"/>
    <mergeCell ref="E10:I10"/>
    <mergeCell ref="B42:I42"/>
    <mergeCell ref="E13:I13"/>
    <mergeCell ref="E19:I19"/>
    <mergeCell ref="B61:I61"/>
    <mergeCell ref="E9:I9"/>
    <mergeCell ref="E15:I15"/>
    <mergeCell ref="D38:I38"/>
    <mergeCell ref="E6:I6"/>
    <mergeCell ref="E46:I46"/>
    <mergeCell ref="E27:I27"/>
    <mergeCell ref="D35:I35"/>
    <mergeCell ref="E45:I45"/>
    <mergeCell ref="E26:I26"/>
    <mergeCell ref="B40:I40"/>
    <mergeCell ref="D34:I34"/>
    <mergeCell ref="E7:I7"/>
    <mergeCell ref="E16:I16"/>
    <mergeCell ref="E25:I25"/>
    <mergeCell ref="A1:I1"/>
    <mergeCell ref="B5:I5"/>
    <mergeCell ref="D36:I36"/>
    <mergeCell ref="E22:I22"/>
    <mergeCell ref="B4:I4"/>
    <mergeCell ref="E18:I18"/>
  </mergeCells>
  <conditionalFormatting sqref="E48:E59">
    <cfRule type="dataBar" priority="1">
      <dataBar showValue="1">
        <cfvo type="num" val="0"/>
        <cfvo type="max"/>
        <color rgb="00F5831F"/>
      </dataBar>
    </cfRule>
  </conditionalFormatting>
  <conditionalFormatting sqref="I48:I60">
    <cfRule type="cellIs" priority="2" operator="lessThan" dxfId="0">
      <formula>0</formula>
    </cfRule>
  </conditionalFormatting>
  <dataValidations count="1">
    <dataValidation sqref="C19" showDropDown="0" showInputMessage="0" showErrorMessage="0" allowBlank="0" type="list">
      <formula1>"مصاريف نموذج «إيجاري» — 5.63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العزيزية بن دهيش  ·  MK072</t>
        </is>
      </c>
    </row>
    <row r="2" ht="16" customHeight="1">
      <c r="A2" s="2" t="inlineStr">
        <is>
          <t>نموذج العمل تشغيلي · رابحة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20945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27" t="n">
        <v>621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0.0296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0.063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2" ht="22" customHeight="1">
      <c r="B12" s="19" t="inlineStr">
        <is>
          <t>② حاسبة اللتر — قيمته وهامشه ومصاريفه وصافيه</t>
        </is>
      </c>
      <c r="C12" s="20" t="n"/>
      <c r="D12" s="20" t="n"/>
      <c r="E12" s="20" t="n"/>
      <c r="F12" s="20" t="n"/>
      <c r="G12" s="20" t="n"/>
      <c r="H12" s="20" t="n"/>
      <c r="I12" s="20" t="n"/>
    </row>
    <row r="13" ht="30" customHeight="1">
      <c r="A13" s="4" t="inlineStr"/>
      <c r="B13" s="4" t="inlineStr">
        <is>
          <t>البند</t>
        </is>
      </c>
      <c r="C13" s="4" t="inlineStr">
        <is>
          <t>القيمة</t>
        </is>
      </c>
      <c r="D13" s="4" t="inlineStr">
        <is>
          <t>الوحدة</t>
        </is>
      </c>
      <c r="E13" s="4" t="inlineStr">
        <is>
          <t>من أين جاءت</t>
        </is>
      </c>
      <c r="F13" s="21" t="n"/>
      <c r="G13" s="21" t="n"/>
      <c r="H13" s="21" t="n"/>
      <c r="I13" s="22" t="n"/>
    </row>
    <row r="14">
      <c r="B14" s="32" t="inlineStr">
        <is>
          <t>لترات الشهر</t>
        </is>
      </c>
      <c r="C14" s="33" t="n">
        <v>0</v>
      </c>
      <c r="D14" s="24" t="inlineStr">
        <is>
          <t>لتر/شهر</t>
        </is>
      </c>
      <c r="E14" s="25" t="inlineStr">
        <is>
          <t>افتراضيّها معدّل الأداء: — × ٣٠٫٤ يوماً</t>
        </is>
      </c>
      <c r="F14" s="26" t="n"/>
      <c r="G14" s="26" t="n"/>
      <c r="H14" s="26" t="n"/>
      <c r="I14" s="26" t="n"/>
    </row>
    <row r="15">
      <c r="B15" s="32" t="inlineStr">
        <is>
          <t>سعر المضخة — شاملاً الضريبة</t>
        </is>
      </c>
      <c r="C15" s="34" t="n">
        <v>0</v>
      </c>
      <c r="D15" s="24" t="inlineStr">
        <is>
          <t>ريال/لتر</t>
        </is>
      </c>
      <c r="E15" s="45" t="inlineStr">
        <is>
          <t>⛔ لا سعر مقيس لهذه المحطة</t>
        </is>
      </c>
      <c r="F15" s="18" t="n"/>
      <c r="G15" s="18" t="n"/>
      <c r="H15" s="18" t="n"/>
      <c r="I15" s="18" t="n"/>
    </row>
    <row r="16">
      <c r="B16" s="32" t="inlineStr">
        <is>
          <t>هامش الوقود</t>
        </is>
      </c>
      <c r="C16" s="35" t="n">
        <v>0.063</v>
      </c>
      <c r="D16" s="24" t="inlineStr">
        <is>
          <t>٪ من الإيراد قبل الضريبة</t>
        </is>
      </c>
      <c r="E16" s="25" t="inlineStr">
        <is>
          <t>هامش الوقود المقيس في تقرير المالية</t>
        </is>
      </c>
      <c r="F16" s="26" t="n"/>
      <c r="G16" s="26" t="n"/>
      <c r="H16" s="26" t="n"/>
      <c r="I16" s="26" t="n"/>
    </row>
    <row r="17">
      <c r="B17" s="36" t="inlineStr">
        <is>
          <t>① قيمة اللتر — قبل الضريبة</t>
        </is>
      </c>
      <c r="C17" s="37">
        <f>$C$15/1.15</f>
        <v/>
      </c>
      <c r="D17" s="24" t="inlineStr">
        <is>
          <t>ريال/لتر</t>
        </is>
      </c>
      <c r="E17" s="25" t="inlineStr">
        <is>
          <t>الصيغة: سعر المضخة ÷ ١٫١٥ · وهي قيمته التي يُحسب عليها الهامش</t>
        </is>
      </c>
      <c r="F17" s="26" t="n"/>
      <c r="G17" s="26" t="n"/>
      <c r="H17" s="26" t="n"/>
      <c r="I17" s="26" t="n"/>
    </row>
    <row r="18">
      <c r="B18" s="36" t="inlineStr">
        <is>
          <t>② هامش الربح للتر</t>
        </is>
      </c>
      <c r="C18" s="38">
        <f>$C$17*$C$16*100</f>
        <v/>
      </c>
      <c r="D18" s="24" t="inlineStr">
        <is>
          <t>هللة/لتر</t>
        </is>
      </c>
      <c r="E18" s="25" t="inlineStr">
        <is>
          <t>الصيغة: قيمة اللتر قبل الضريبة × هامش الوقود · هامش المساهمة قبل أي مصروف</t>
        </is>
      </c>
      <c r="F18" s="26" t="n"/>
      <c r="G18" s="26" t="n"/>
      <c r="H18" s="26" t="n"/>
      <c r="I18" s="26" t="n"/>
    </row>
    <row r="19">
      <c r="B19" s="32" t="inlineStr">
        <is>
          <t>أساس المصاريف</t>
        </is>
      </c>
      <c r="C19" s="39" t="inlineStr">
        <is>
          <t>مصاريف نموذج «تشغيلي» — 9.84 هللة/لتر</t>
        </is>
      </c>
      <c r="D19" s="24" t="inlineStr">
        <is>
          <t>اختر</t>
        </is>
      </c>
      <c r="E19" s="25" t="inlineStr">
        <is>
          <t>ثلاثة أُسُس ولكلٍّ مصدره — الجدول أسفل الحاسبة</t>
        </is>
      </c>
      <c r="F19" s="26" t="n"/>
      <c r="G19" s="26" t="n"/>
      <c r="H19" s="26" t="n"/>
      <c r="I19" s="26" t="n"/>
    </row>
    <row r="20">
      <c r="B20" s="36" t="inlineStr">
        <is>
          <t>③ المصاريف للتر</t>
        </is>
      </c>
      <c r="C20" s="38">
        <f>VLOOKUP($C$19,$B$35:$C$38,2,FALSE)</f>
        <v/>
      </c>
      <c r="D20" s="24" t="inlineStr">
        <is>
          <t>هللة/لتر</t>
        </is>
      </c>
      <c r="E20" s="25" t="inlineStr">
        <is>
          <t>من الأساس المختار أعلاه</t>
        </is>
      </c>
      <c r="F20" s="26" t="n"/>
      <c r="G20" s="26" t="n"/>
      <c r="H20" s="26" t="n"/>
      <c r="I20" s="26" t="n"/>
    </row>
    <row r="21">
      <c r="B21" s="36" t="inlineStr">
        <is>
          <t>④ صافي اللتر</t>
        </is>
      </c>
      <c r="C21" s="38">
        <f>$C$18-$C$20</f>
        <v/>
      </c>
      <c r="D21" s="24" t="inlineStr">
        <is>
          <t>هللة/لتر</t>
        </is>
      </c>
      <c r="E21" s="25" t="inlineStr">
        <is>
          <t>الصيغة: الهامش − المصاريف · وهو ما يبقى فعلاً من كل لتر</t>
        </is>
      </c>
      <c r="F21" s="26" t="n"/>
      <c r="G21" s="26" t="n"/>
      <c r="H21" s="26" t="n"/>
      <c r="I21" s="26" t="n"/>
    </row>
    <row r="22" ht="30" customHeight="1">
      <c r="A22" s="4" t="inlineStr"/>
      <c r="B22" s="4" t="inlineStr">
        <is>
          <t>وبالريال لشهرٍ كامل</t>
        </is>
      </c>
      <c r="C22" s="4" t="inlineStr">
        <is>
          <t>في الشهر</t>
        </is>
      </c>
      <c r="D22" s="4" t="inlineStr">
        <is>
          <t>الوحدة</t>
        </is>
      </c>
      <c r="E22" s="4" t="inlineStr">
        <is>
          <t>الصيغة</t>
        </is>
      </c>
      <c r="F22" s="21" t="n"/>
      <c r="G22" s="21" t="n"/>
      <c r="H22" s="21" t="n"/>
      <c r="I22" s="22" t="n"/>
    </row>
    <row r="23">
      <c r="B23" s="32" t="inlineStr">
        <is>
          <t>المبيعات قبل الضريبة</t>
        </is>
      </c>
      <c r="C23" s="40">
        <f>$C$14*$C$17</f>
        <v/>
      </c>
      <c r="D23" s="24" t="inlineStr">
        <is>
          <t>ريال</t>
        </is>
      </c>
      <c r="E23" s="25" t="inlineStr">
        <is>
          <t>لترات الشهر × قيمة اللتر قبل الضريبة</t>
        </is>
      </c>
      <c r="F23" s="26" t="n"/>
      <c r="G23" s="26" t="n"/>
      <c r="H23" s="26" t="n"/>
      <c r="I23" s="26" t="n"/>
    </row>
    <row r="24">
      <c r="B24" s="32" t="inlineStr">
        <is>
          <t>وشاملةً الضريبة</t>
        </is>
      </c>
      <c r="C24" s="40">
        <f>C23*1.15</f>
        <v/>
      </c>
      <c r="D24" s="24" t="inlineStr">
        <is>
          <t>ريال</t>
        </is>
      </c>
      <c r="E24" s="25" t="inlineStr">
        <is>
          <t>وهو ما يُسجَّل على المضخة</t>
        </is>
      </c>
      <c r="F24" s="26" t="n"/>
      <c r="G24" s="26" t="n"/>
      <c r="H24" s="26" t="n"/>
      <c r="I24" s="26" t="n"/>
    </row>
    <row r="25">
      <c r="B25" s="32" t="inlineStr">
        <is>
          <t>هامش الربح</t>
        </is>
      </c>
      <c r="C25" s="27">
        <f>$C$14*$C$18/100</f>
        <v/>
      </c>
      <c r="D25" s="24" t="inlineStr">
        <is>
          <t>ريال</t>
        </is>
      </c>
      <c r="E25" s="25" t="inlineStr">
        <is>
          <t>لترات الشهر × هامش اللتر</t>
        </is>
      </c>
      <c r="F25" s="26" t="n"/>
      <c r="G25" s="26" t="n"/>
      <c r="H25" s="26" t="n"/>
      <c r="I25" s="26" t="n"/>
    </row>
    <row r="26">
      <c r="B26" s="32" t="inlineStr">
        <is>
          <t>المصاريف</t>
        </is>
      </c>
      <c r="C26" s="41">
        <f>-$C$14*$C$20/100</f>
        <v/>
      </c>
      <c r="D26" s="24" t="inlineStr">
        <is>
          <t>ريال</t>
        </is>
      </c>
      <c r="E26" s="25" t="inlineStr">
        <is>
          <t>لترات الشهر × مصاريف اللتر</t>
        </is>
      </c>
      <c r="F26" s="26" t="n"/>
      <c r="G26" s="26" t="n"/>
      <c r="H26" s="26" t="n"/>
      <c r="I26" s="26" t="n"/>
    </row>
    <row r="27">
      <c r="B27" s="36" t="inlineStr">
        <is>
          <t>الصافي</t>
        </is>
      </c>
      <c r="C27" s="42">
        <f>C25+C26</f>
        <v/>
      </c>
      <c r="D27" s="24" t="inlineStr">
        <is>
          <t>ريال</t>
        </is>
      </c>
      <c r="E27" s="25" t="inlineStr">
        <is>
          <t>الهامش − المصاريف</t>
        </is>
      </c>
      <c r="F27" s="26" t="n"/>
      <c r="G27" s="26" t="n"/>
      <c r="H27" s="26" t="n"/>
      <c r="I27" s="26" t="n"/>
    </row>
    <row r="34" ht="30" customHeight="1">
      <c r="A34" s="4" t="inlineStr"/>
      <c r="B34" s="4" t="inlineStr">
        <is>
          <t>أساس المصاريف</t>
        </is>
      </c>
      <c r="C34" s="4" t="inlineStr">
        <is>
          <t>هللة/لتر</t>
        </is>
      </c>
      <c r="D34" s="4" t="inlineStr">
        <is>
          <t>المصدر والتحفّظ</t>
        </is>
      </c>
      <c r="E34" s="21" t="n"/>
      <c r="F34" s="21" t="n"/>
      <c r="G34" s="21" t="n"/>
      <c r="H34" s="21" t="n"/>
      <c r="I34" s="22" t="n"/>
    </row>
    <row r="35">
      <c r="B35" s="5" t="inlineStr">
        <is>
          <t>مصاريف نموذج «تشغيلي» — 9.84 هللة/لتر</t>
        </is>
      </c>
      <c r="C35" s="13" t="n">
        <v>9.84</v>
      </c>
      <c r="D35" s="25" t="inlineStr">
        <is>
          <t>مصاريف تشغيل محطات تشغيلي في قائمة الدخل ÷ لتراتها — وهو الأقرب لهذه المحطة</t>
        </is>
      </c>
      <c r="E35" s="26" t="n"/>
      <c r="F35" s="26" t="n"/>
      <c r="G35" s="26" t="n"/>
      <c r="H35" s="26" t="n"/>
      <c r="I35" s="26" t="n"/>
    </row>
    <row r="36">
      <c r="B36" s="43" t="inlineStr">
        <is>
          <t>متوسط محطاتنا — ٩٫١٥ هللة/لتر</t>
        </is>
      </c>
      <c r="C36" s="44" t="n">
        <v>9.15</v>
      </c>
      <c r="D36" s="25" t="inlineStr">
        <is>
          <t>مصاريف تشغيل محطاتنا الـ٤٩ (دون الامتياز) ÷ لتراتها</t>
        </is>
      </c>
      <c r="E36" s="26" t="n"/>
      <c r="F36" s="26" t="n"/>
      <c r="G36" s="26" t="n"/>
      <c r="H36" s="26" t="n"/>
      <c r="I36" s="26" t="n"/>
    </row>
    <row r="37">
      <c r="B37" s="43" t="inlineStr">
        <is>
          <t>المحمَّل الكامل — ١٣٫٥٦ هللة/لتر</t>
        </is>
      </c>
      <c r="C37" s="44" t="n">
        <v>13.56</v>
      </c>
      <c r="D37" s="25" t="inlineStr">
        <is>
          <t>يُضاف إليها بيعٌ وتسويق وإدارة وفوائد — لقرار رأس المال لا للتشغيل</t>
        </is>
      </c>
      <c r="E37" s="26" t="n"/>
      <c r="F37" s="26" t="n"/>
      <c r="G37" s="26" t="n"/>
      <c r="H37" s="26" t="n"/>
      <c r="I37" s="26" t="n"/>
    </row>
    <row r="38">
      <c r="B38" s="43" t="inlineStr">
        <is>
          <t>المقيس في تقرير الربع الثاني</t>
        </is>
      </c>
      <c r="C38" s="44" t="n">
        <v>0</v>
      </c>
      <c r="D38" s="45" t="inlineStr">
        <is>
          <t>⛔ لا أجور ولا مرافق مسجَّلة لهذه المحطة — لا تختر هذا الأساس</t>
        </is>
      </c>
      <c r="E38" s="18" t="n"/>
      <c r="F38" s="18" t="n"/>
      <c r="G38" s="18" t="n"/>
      <c r="H38" s="18" t="n"/>
      <c r="I38" s="18" t="n"/>
    </row>
    <row r="39" ht="26" customHeight="1">
      <c r="B39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39" s="18" t="n"/>
      <c r="D39" s="18" t="n"/>
      <c r="E39" s="18" t="n"/>
      <c r="F39" s="18" t="n"/>
      <c r="G39" s="18" t="n"/>
      <c r="H39" s="18" t="n"/>
      <c r="I39" s="18" t="n"/>
    </row>
    <row r="40" ht="32" customHeight="1">
      <c r="B40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0" s="18" t="n"/>
      <c r="D40" s="18" t="n"/>
      <c r="E40" s="18" t="n"/>
      <c r="F40" s="18" t="n"/>
      <c r="G40" s="18" t="n"/>
      <c r="H40" s="18" t="n"/>
      <c r="I40" s="18" t="n"/>
    </row>
    <row r="42" ht="22" customHeight="1">
      <c r="B42" s="19" t="inlineStr">
        <is>
          <t>③ المستهدف الشهري — اثنا عشر شهراً</t>
        </is>
      </c>
      <c r="C42" s="20" t="n"/>
      <c r="D42" s="20" t="n"/>
      <c r="E42" s="20" t="n"/>
      <c r="F42" s="20" t="n"/>
      <c r="G42" s="20" t="n"/>
      <c r="H42" s="20" t="n"/>
      <c r="I42" s="20" t="n"/>
    </row>
    <row r="43" ht="30" customHeight="1">
      <c r="A43" s="4" t="inlineStr"/>
      <c r="B43" s="4" t="inlineStr">
        <is>
          <t>الأساس</t>
        </is>
      </c>
      <c r="C43" s="4" t="inlineStr">
        <is>
          <t>القيمة</t>
        </is>
      </c>
      <c r="D43" s="4" t="inlineStr">
        <is>
          <t>الوحدة</t>
        </is>
      </c>
      <c r="E43" s="4" t="inlineStr">
        <is>
          <t>من أين جاءت</t>
        </is>
      </c>
      <c r="F43" s="21" t="n"/>
      <c r="G43" s="21" t="n"/>
      <c r="H43" s="21" t="n"/>
      <c r="I43" s="22" t="n"/>
    </row>
    <row r="44">
      <c r="B44" s="5" t="inlineStr">
        <is>
          <t>خط الأساس</t>
        </is>
      </c>
      <c r="C44" s="11" t="n">
        <v>0</v>
      </c>
      <c r="D44" s="24" t="inlineStr">
        <is>
          <t>لتر/يوم</t>
        </is>
      </c>
      <c r="E44" s="25" t="inlineStr">
        <is>
          <t>—</t>
        </is>
      </c>
      <c r="F44" s="26" t="n"/>
      <c r="G44" s="26" t="n"/>
      <c r="H44" s="26" t="n"/>
      <c r="I44" s="26" t="n"/>
    </row>
    <row r="45">
      <c r="B45" s="5" t="inlineStr">
        <is>
          <t>الإضافة المستهدفة</t>
        </is>
      </c>
      <c r="C45" s="33" t="n">
        <v>0</v>
      </c>
      <c r="D45" s="24" t="inlineStr">
        <is>
          <t>لتر/يوم</t>
        </is>
      </c>
      <c r="E45" s="25" t="inlineStr">
        <is>
          <t>لا فجوة ذروة مقيسة لهذه المحطة — المستهدف ثباتُ الأداء</t>
        </is>
      </c>
      <c r="F45" s="26" t="n"/>
      <c r="G45" s="26" t="n"/>
      <c r="H45" s="26" t="n"/>
      <c r="I45" s="26" t="n"/>
    </row>
    <row r="46">
      <c r="B46" s="5" t="inlineStr">
        <is>
          <t>أشهر التدرّج</t>
        </is>
      </c>
      <c r="C46" s="33" t="n">
        <v>6</v>
      </c>
      <c r="D46" s="24" t="inlineStr">
        <is>
          <t>شهر</t>
        </is>
      </c>
      <c r="E46" s="25" t="inlineStr">
        <is>
          <t>يُبلغ المستهدف كاملاً في الشهر السادس ثم يثبت</t>
        </is>
      </c>
      <c r="F46" s="26" t="n"/>
      <c r="G46" s="26" t="n"/>
      <c r="H46" s="26" t="n"/>
      <c r="I46" s="26" t="n"/>
    </row>
    <row r="47" ht="26" customHeight="1">
      <c r="A47" s="4" t="inlineStr"/>
      <c r="B47" s="4" t="inlineStr">
        <is>
          <t>الشهر</t>
        </is>
      </c>
      <c r="C47" s="4" t="inlineStr">
        <is>
          <t>أيام</t>
        </is>
      </c>
      <c r="D47" s="4" t="inlineStr">
        <is>
          <t>لتر/يوم</t>
        </is>
      </c>
      <c r="E47" s="4" t="inlineStr">
        <is>
          <t>لترات الشهر</t>
        </is>
      </c>
      <c r="F47" s="4" t="inlineStr">
        <is>
          <t>المبيعات قبل الضريبة</t>
        </is>
      </c>
      <c r="G47" s="4" t="inlineStr">
        <is>
          <t>هامش الربح</t>
        </is>
      </c>
      <c r="H47" s="4" t="inlineStr">
        <is>
          <t>المصاريف</t>
        </is>
      </c>
      <c r="I47" s="4" t="inlineStr">
        <is>
          <t>الصافي</t>
        </is>
      </c>
    </row>
    <row r="48">
      <c r="B48" s="5" t="inlineStr">
        <is>
          <t>أكتوبر ٢٠٢٦</t>
        </is>
      </c>
      <c r="C48" s="11" t="n">
        <v>31</v>
      </c>
      <c r="D48" s="11">
        <f>$C$44+$C$45*MIN(1,1/$C$46)</f>
        <v/>
      </c>
      <c r="E48" s="46">
        <f>D48*C48</f>
        <v/>
      </c>
      <c r="F48" s="14">
        <f>E48*$C$17</f>
        <v/>
      </c>
      <c r="G48" s="14">
        <f>E48*$C$18/100</f>
        <v/>
      </c>
      <c r="H48" s="14">
        <f>-E48*$C$20/100</f>
        <v/>
      </c>
      <c r="I48" s="47">
        <f>G48+H48</f>
        <v/>
      </c>
    </row>
    <row r="49">
      <c r="B49" s="5" t="inlineStr">
        <is>
          <t>نوفمبر ٢٠٢٦</t>
        </is>
      </c>
      <c r="C49" s="11" t="n">
        <v>30</v>
      </c>
      <c r="D49" s="11">
        <f>$C$44+$C$45*MIN(1,2/$C$46)</f>
        <v/>
      </c>
      <c r="E49" s="46">
        <f>D49*C49</f>
        <v/>
      </c>
      <c r="F49" s="14">
        <f>E49*$C$17</f>
        <v/>
      </c>
      <c r="G49" s="14">
        <f>E49*$C$18/100</f>
        <v/>
      </c>
      <c r="H49" s="14">
        <f>-E49*$C$20/100</f>
        <v/>
      </c>
      <c r="I49" s="47">
        <f>G49+H49</f>
        <v/>
      </c>
    </row>
    <row r="50">
      <c r="B50" s="5" t="inlineStr">
        <is>
          <t>ديسمبر ٢٠٢٦</t>
        </is>
      </c>
      <c r="C50" s="11" t="n">
        <v>31</v>
      </c>
      <c r="D50" s="11">
        <f>$C$44+$C$45*MIN(1,3/$C$46)</f>
        <v/>
      </c>
      <c r="E50" s="46">
        <f>D50*C50</f>
        <v/>
      </c>
      <c r="F50" s="14">
        <f>E50*$C$17</f>
        <v/>
      </c>
      <c r="G50" s="14">
        <f>E50*$C$18/100</f>
        <v/>
      </c>
      <c r="H50" s="14">
        <f>-E50*$C$20/100</f>
        <v/>
      </c>
      <c r="I50" s="47">
        <f>G50+H50</f>
        <v/>
      </c>
    </row>
    <row r="51">
      <c r="B51" s="5" t="inlineStr">
        <is>
          <t>يناير ٢٠٢٧</t>
        </is>
      </c>
      <c r="C51" s="11" t="n">
        <v>31</v>
      </c>
      <c r="D51" s="11">
        <f>$C$44+$C$45*MIN(1,4/$C$46)</f>
        <v/>
      </c>
      <c r="E51" s="46">
        <f>D51*C51</f>
        <v/>
      </c>
      <c r="F51" s="14">
        <f>E51*$C$17</f>
        <v/>
      </c>
      <c r="G51" s="14">
        <f>E51*$C$18/100</f>
        <v/>
      </c>
      <c r="H51" s="14">
        <f>-E51*$C$20/100</f>
        <v/>
      </c>
      <c r="I51" s="47">
        <f>G51+H51</f>
        <v/>
      </c>
    </row>
    <row r="52">
      <c r="B52" s="5" t="inlineStr">
        <is>
          <t>فبراير ٢٠٢٧</t>
        </is>
      </c>
      <c r="C52" s="11" t="n">
        <v>28</v>
      </c>
      <c r="D52" s="11">
        <f>$C$44+$C$45*MIN(1,5/$C$46)</f>
        <v/>
      </c>
      <c r="E52" s="46">
        <f>D52*C52</f>
        <v/>
      </c>
      <c r="F52" s="14">
        <f>E52*$C$17</f>
        <v/>
      </c>
      <c r="G52" s="14">
        <f>E52*$C$18/100</f>
        <v/>
      </c>
      <c r="H52" s="14">
        <f>-E52*$C$20/100</f>
        <v/>
      </c>
      <c r="I52" s="47">
        <f>G52+H52</f>
        <v/>
      </c>
    </row>
    <row r="53">
      <c r="B53" s="5" t="inlineStr">
        <is>
          <t>مارس ٢٠٢٧</t>
        </is>
      </c>
      <c r="C53" s="11" t="n">
        <v>31</v>
      </c>
      <c r="D53" s="11">
        <f>$C$44+$C$45*MIN(1,6/$C$46)</f>
        <v/>
      </c>
      <c r="E53" s="46">
        <f>D53*C53</f>
        <v/>
      </c>
      <c r="F53" s="14">
        <f>E53*$C$17</f>
        <v/>
      </c>
      <c r="G53" s="14">
        <f>E53*$C$18/100</f>
        <v/>
      </c>
      <c r="H53" s="14">
        <f>-E53*$C$20/100</f>
        <v/>
      </c>
      <c r="I53" s="47">
        <f>G53+H53</f>
        <v/>
      </c>
    </row>
    <row r="54">
      <c r="B54" s="5" t="inlineStr">
        <is>
          <t>أبريل ٢٠٢٧</t>
        </is>
      </c>
      <c r="C54" s="11" t="n">
        <v>30</v>
      </c>
      <c r="D54" s="11">
        <f>$C$44+$C$45*MIN(1,7/$C$46)</f>
        <v/>
      </c>
      <c r="E54" s="46">
        <f>D54*C54</f>
        <v/>
      </c>
      <c r="F54" s="14">
        <f>E54*$C$17</f>
        <v/>
      </c>
      <c r="G54" s="14">
        <f>E54*$C$18/100</f>
        <v/>
      </c>
      <c r="H54" s="14">
        <f>-E54*$C$20/100</f>
        <v/>
      </c>
      <c r="I54" s="47">
        <f>G54+H54</f>
        <v/>
      </c>
    </row>
    <row r="55">
      <c r="B55" s="5" t="inlineStr">
        <is>
          <t>مايو ٢٠٢٧</t>
        </is>
      </c>
      <c r="C55" s="11" t="n">
        <v>31</v>
      </c>
      <c r="D55" s="11">
        <f>$C$44+$C$45*MIN(1,8/$C$46)</f>
        <v/>
      </c>
      <c r="E55" s="46">
        <f>D55*C55</f>
        <v/>
      </c>
      <c r="F55" s="14">
        <f>E55*$C$17</f>
        <v/>
      </c>
      <c r="G55" s="14">
        <f>E55*$C$18/100</f>
        <v/>
      </c>
      <c r="H55" s="14">
        <f>-E55*$C$20/100</f>
        <v/>
      </c>
      <c r="I55" s="47">
        <f>G55+H55</f>
        <v/>
      </c>
    </row>
    <row r="56">
      <c r="B56" s="5" t="inlineStr">
        <is>
          <t>يونيو ٢٠٢٧</t>
        </is>
      </c>
      <c r="C56" s="11" t="n">
        <v>30</v>
      </c>
      <c r="D56" s="11">
        <f>$C$44+$C$45*MIN(1,9/$C$46)</f>
        <v/>
      </c>
      <c r="E56" s="46">
        <f>D56*C56</f>
        <v/>
      </c>
      <c r="F56" s="14">
        <f>E56*$C$17</f>
        <v/>
      </c>
      <c r="G56" s="14">
        <f>E56*$C$18/100</f>
        <v/>
      </c>
      <c r="H56" s="14">
        <f>-E56*$C$20/100</f>
        <v/>
      </c>
      <c r="I56" s="47">
        <f>G56+H56</f>
        <v/>
      </c>
    </row>
    <row r="57">
      <c r="B57" s="5" t="inlineStr">
        <is>
          <t>يوليو ٢٠٢٧</t>
        </is>
      </c>
      <c r="C57" s="11" t="n">
        <v>31</v>
      </c>
      <c r="D57" s="11">
        <f>$C$44+$C$45*MIN(1,10/$C$46)</f>
        <v/>
      </c>
      <c r="E57" s="46">
        <f>D57*C57</f>
        <v/>
      </c>
      <c r="F57" s="14">
        <f>E57*$C$17</f>
        <v/>
      </c>
      <c r="G57" s="14">
        <f>E57*$C$18/100</f>
        <v/>
      </c>
      <c r="H57" s="14">
        <f>-E57*$C$20/100</f>
        <v/>
      </c>
      <c r="I57" s="47">
        <f>G57+H57</f>
        <v/>
      </c>
    </row>
    <row r="58">
      <c r="B58" s="5" t="inlineStr">
        <is>
          <t>أغسطس ٢٠٢٧</t>
        </is>
      </c>
      <c r="C58" s="11" t="n">
        <v>31</v>
      </c>
      <c r="D58" s="11">
        <f>$C$44+$C$45*MIN(1,11/$C$46)</f>
        <v/>
      </c>
      <c r="E58" s="46">
        <f>D58*C58</f>
        <v/>
      </c>
      <c r="F58" s="14">
        <f>E58*$C$17</f>
        <v/>
      </c>
      <c r="G58" s="14">
        <f>E58*$C$18/100</f>
        <v/>
      </c>
      <c r="H58" s="14">
        <f>-E58*$C$20/100</f>
        <v/>
      </c>
      <c r="I58" s="47">
        <f>G58+H58</f>
        <v/>
      </c>
    </row>
    <row r="59">
      <c r="B59" s="5" t="inlineStr">
        <is>
          <t>سبتمبر ٢٠٢٧</t>
        </is>
      </c>
      <c r="C59" s="11" t="n">
        <v>30</v>
      </c>
      <c r="D59" s="11">
        <f>$C$44+$C$45*MIN(1,12/$C$46)</f>
        <v/>
      </c>
      <c r="E59" s="46">
        <f>D59*C59</f>
        <v/>
      </c>
      <c r="F59" s="14">
        <f>E59*$C$17</f>
        <v/>
      </c>
      <c r="G59" s="14">
        <f>E59*$C$18/100</f>
        <v/>
      </c>
      <c r="H59" s="14">
        <f>-E59*$C$20/100</f>
        <v/>
      </c>
      <c r="I59" s="47">
        <f>G59+H59</f>
        <v/>
      </c>
    </row>
    <row r="60">
      <c r="B60" s="48" t="inlineStr">
        <is>
          <t>السنة كاملةً</t>
        </is>
      </c>
      <c r="C60" s="49">
        <f>SUM(C48:C59)</f>
        <v/>
      </c>
      <c r="D60" s="49">
        <f>AVERAGE(D48:D59)</f>
        <v/>
      </c>
      <c r="E60" s="49">
        <f>SUM(E48:E59)</f>
        <v/>
      </c>
      <c r="F60" s="47">
        <f>SUM(F48:F59)</f>
        <v/>
      </c>
      <c r="G60" s="47">
        <f>SUM(G48:G59)</f>
        <v/>
      </c>
      <c r="H60" s="47">
        <f>SUM(H48:H59)</f>
        <v/>
      </c>
      <c r="I60" s="47">
        <f>SUM(I48:I59)</f>
        <v/>
      </c>
    </row>
    <row r="61" ht="32" customHeight="1">
      <c r="B61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1" s="20" t="n"/>
      <c r="D61" s="20" t="n"/>
      <c r="E61" s="20" t="n"/>
      <c r="F61" s="20" t="n"/>
      <c r="G61" s="20" t="n"/>
      <c r="H61" s="20" t="n"/>
      <c r="I61" s="20" t="n"/>
    </row>
  </sheetData>
  <mergeCells count="38">
    <mergeCell ref="E21:I21"/>
    <mergeCell ref="E43:I43"/>
    <mergeCell ref="E24:I24"/>
    <mergeCell ref="E23:I23"/>
    <mergeCell ref="E14:I14"/>
    <mergeCell ref="E8:I8"/>
    <mergeCell ref="E17:I17"/>
    <mergeCell ref="B12:I12"/>
    <mergeCell ref="E44:I44"/>
    <mergeCell ref="A2:I2"/>
    <mergeCell ref="E20:I20"/>
    <mergeCell ref="B39:I39"/>
    <mergeCell ref="D37:I37"/>
    <mergeCell ref="E10:I10"/>
    <mergeCell ref="B42:I42"/>
    <mergeCell ref="E13:I13"/>
    <mergeCell ref="E19:I19"/>
    <mergeCell ref="B61:I61"/>
    <mergeCell ref="E9:I9"/>
    <mergeCell ref="E15:I15"/>
    <mergeCell ref="D38:I38"/>
    <mergeCell ref="E6:I6"/>
    <mergeCell ref="E46:I46"/>
    <mergeCell ref="E27:I27"/>
    <mergeCell ref="D35:I35"/>
    <mergeCell ref="E45:I45"/>
    <mergeCell ref="E26:I26"/>
    <mergeCell ref="B40:I40"/>
    <mergeCell ref="D34:I34"/>
    <mergeCell ref="E7:I7"/>
    <mergeCell ref="E16:I16"/>
    <mergeCell ref="E25:I25"/>
    <mergeCell ref="A1:I1"/>
    <mergeCell ref="B5:I5"/>
    <mergeCell ref="D36:I36"/>
    <mergeCell ref="E22:I22"/>
    <mergeCell ref="B4:I4"/>
    <mergeCell ref="E18:I18"/>
  </mergeCells>
  <conditionalFormatting sqref="E48:E59">
    <cfRule type="dataBar" priority="1">
      <dataBar showValue="1">
        <cfvo type="num" val="0"/>
        <cfvo type="max"/>
        <color rgb="00F5831F"/>
      </dataBar>
    </cfRule>
  </conditionalFormatting>
  <conditionalFormatting sqref="I48:I60">
    <cfRule type="cellIs" priority="2" operator="lessThan" dxfId="0">
      <formula>0</formula>
    </cfRule>
  </conditionalFormatting>
  <dataValidations count="1">
    <dataValidation sqref="C19" showDropDown="0" showInputMessage="0" showErrorMessage="0" allowBlank="0" type="list">
      <formula1>"مصاريف نموذج «تشغيلي» — 9.84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بئر الروة  ·  MK205</t>
        </is>
      </c>
    </row>
    <row r="2" ht="16" customHeight="1">
      <c r="A2" s="2" t="inlineStr">
        <is>
          <t>نموذج العمل امتياز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8768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-19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-0.0022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-0.002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2" ht="22" customHeight="1">
      <c r="B12" s="19" t="inlineStr">
        <is>
          <t>② حاسبة اللتر — قيمته وهامشه ومصاريفه وصافيه</t>
        </is>
      </c>
      <c r="C12" s="20" t="n"/>
      <c r="D12" s="20" t="n"/>
      <c r="E12" s="20" t="n"/>
      <c r="F12" s="20" t="n"/>
      <c r="G12" s="20" t="n"/>
      <c r="H12" s="20" t="n"/>
      <c r="I12" s="20" t="n"/>
    </row>
    <row r="13" ht="30" customHeight="1">
      <c r="A13" s="4" t="inlineStr"/>
      <c r="B13" s="4" t="inlineStr">
        <is>
          <t>البند</t>
        </is>
      </c>
      <c r="C13" s="4" t="inlineStr">
        <is>
          <t>القيمة</t>
        </is>
      </c>
      <c r="D13" s="4" t="inlineStr">
        <is>
          <t>الوحدة</t>
        </is>
      </c>
      <c r="E13" s="4" t="inlineStr">
        <is>
          <t>من أين جاءت</t>
        </is>
      </c>
      <c r="F13" s="21" t="n"/>
      <c r="G13" s="21" t="n"/>
      <c r="H13" s="21" t="n"/>
      <c r="I13" s="22" t="n"/>
    </row>
    <row r="14">
      <c r="B14" s="32" t="inlineStr">
        <is>
          <t>لترات الشهر</t>
        </is>
      </c>
      <c r="C14" s="33" t="n">
        <v>0</v>
      </c>
      <c r="D14" s="24" t="inlineStr">
        <is>
          <t>لتر/شهر</t>
        </is>
      </c>
      <c r="E14" s="25" t="inlineStr">
        <is>
          <t>افتراضيّها معدّل الأداء: — × ٣٠٫٤ يوماً</t>
        </is>
      </c>
      <c r="F14" s="26" t="n"/>
      <c r="G14" s="26" t="n"/>
      <c r="H14" s="26" t="n"/>
      <c r="I14" s="26" t="n"/>
    </row>
    <row r="15">
      <c r="B15" s="32" t="inlineStr">
        <is>
          <t>سعر المضخة — شاملاً الضريبة</t>
        </is>
      </c>
      <c r="C15" s="34" t="n">
        <v>0</v>
      </c>
      <c r="D15" s="24" t="inlineStr">
        <is>
          <t>ريال/لتر</t>
        </is>
      </c>
      <c r="E15" s="45" t="inlineStr">
        <is>
          <t>⛔ لا سعر مقيس لهذه المحطة</t>
        </is>
      </c>
      <c r="F15" s="18" t="n"/>
      <c r="G15" s="18" t="n"/>
      <c r="H15" s="18" t="n"/>
      <c r="I15" s="18" t="n"/>
    </row>
    <row r="16">
      <c r="B16" s="32" t="inlineStr">
        <is>
          <t>هامش الوقود</t>
        </is>
      </c>
      <c r="C16" s="35" t="n">
        <v>-0.002</v>
      </c>
      <c r="D16" s="24" t="inlineStr">
        <is>
          <t>٪ من الإيراد قبل الضريبة</t>
        </is>
      </c>
      <c r="E16" s="25" t="inlineStr">
        <is>
          <t>هامش الوقود المقيس في تقرير المالية</t>
        </is>
      </c>
      <c r="F16" s="26" t="n"/>
      <c r="G16" s="26" t="n"/>
      <c r="H16" s="26" t="n"/>
      <c r="I16" s="26" t="n"/>
    </row>
    <row r="17">
      <c r="B17" s="36" t="inlineStr">
        <is>
          <t>① قيمة اللتر — قبل الضريبة</t>
        </is>
      </c>
      <c r="C17" s="37">
        <f>$C$15/1.15</f>
        <v/>
      </c>
      <c r="D17" s="24" t="inlineStr">
        <is>
          <t>ريال/لتر</t>
        </is>
      </c>
      <c r="E17" s="25" t="inlineStr">
        <is>
          <t>الصيغة: سعر المضخة ÷ ١٫١٥ · وهي قيمته التي يُحسب عليها الهامش</t>
        </is>
      </c>
      <c r="F17" s="26" t="n"/>
      <c r="G17" s="26" t="n"/>
      <c r="H17" s="26" t="n"/>
      <c r="I17" s="26" t="n"/>
    </row>
    <row r="18">
      <c r="B18" s="36" t="inlineStr">
        <is>
          <t>② هامش الربح للتر</t>
        </is>
      </c>
      <c r="C18" s="38">
        <f>$C$17*$C$16*100</f>
        <v/>
      </c>
      <c r="D18" s="24" t="inlineStr">
        <is>
          <t>هللة/لتر</t>
        </is>
      </c>
      <c r="E18" s="25" t="inlineStr">
        <is>
          <t>الصيغة: قيمة اللتر قبل الضريبة × هامش الوقود · هامش المساهمة قبل أي مصروف</t>
        </is>
      </c>
      <c r="F18" s="26" t="n"/>
      <c r="G18" s="26" t="n"/>
      <c r="H18" s="26" t="n"/>
      <c r="I18" s="26" t="n"/>
    </row>
    <row r="19">
      <c r="B19" s="32" t="inlineStr">
        <is>
          <t>أساس المصاريف</t>
        </is>
      </c>
      <c r="C19" s="39" t="inlineStr">
        <is>
          <t>مصاريف نموذج «امتياز» — 0.04 هللة/لتر</t>
        </is>
      </c>
      <c r="D19" s="24" t="inlineStr">
        <is>
          <t>اختر</t>
        </is>
      </c>
      <c r="E19" s="25" t="inlineStr">
        <is>
          <t>ثلاثة أُسُس ولكلٍّ مصدره — الجدول أسفل الحاسبة</t>
        </is>
      </c>
      <c r="F19" s="26" t="n"/>
      <c r="G19" s="26" t="n"/>
      <c r="H19" s="26" t="n"/>
      <c r="I19" s="26" t="n"/>
    </row>
    <row r="20">
      <c r="B20" s="36" t="inlineStr">
        <is>
          <t>③ المصاريف للتر</t>
        </is>
      </c>
      <c r="C20" s="38">
        <f>VLOOKUP($C$19,$B$35:$C$38,2,FALSE)</f>
        <v/>
      </c>
      <c r="D20" s="24" t="inlineStr">
        <is>
          <t>هللة/لتر</t>
        </is>
      </c>
      <c r="E20" s="25" t="inlineStr">
        <is>
          <t>من الأساس المختار أعلاه</t>
        </is>
      </c>
      <c r="F20" s="26" t="n"/>
      <c r="G20" s="26" t="n"/>
      <c r="H20" s="26" t="n"/>
      <c r="I20" s="26" t="n"/>
    </row>
    <row r="21">
      <c r="B21" s="36" t="inlineStr">
        <is>
          <t>④ صافي اللتر</t>
        </is>
      </c>
      <c r="C21" s="38">
        <f>$C$18-$C$20</f>
        <v/>
      </c>
      <c r="D21" s="24" t="inlineStr">
        <is>
          <t>هللة/لتر</t>
        </is>
      </c>
      <c r="E21" s="25" t="inlineStr">
        <is>
          <t>الصيغة: الهامش − المصاريف · وهو ما يبقى فعلاً من كل لتر</t>
        </is>
      </c>
      <c r="F21" s="26" t="n"/>
      <c r="G21" s="26" t="n"/>
      <c r="H21" s="26" t="n"/>
      <c r="I21" s="26" t="n"/>
    </row>
    <row r="22" ht="30" customHeight="1">
      <c r="A22" s="4" t="inlineStr"/>
      <c r="B22" s="4" t="inlineStr">
        <is>
          <t>وبالريال لشهرٍ كامل</t>
        </is>
      </c>
      <c r="C22" s="4" t="inlineStr">
        <is>
          <t>في الشهر</t>
        </is>
      </c>
      <c r="D22" s="4" t="inlineStr">
        <is>
          <t>الوحدة</t>
        </is>
      </c>
      <c r="E22" s="4" t="inlineStr">
        <is>
          <t>الصيغة</t>
        </is>
      </c>
      <c r="F22" s="21" t="n"/>
      <c r="G22" s="21" t="n"/>
      <c r="H22" s="21" t="n"/>
      <c r="I22" s="22" t="n"/>
    </row>
    <row r="23">
      <c r="B23" s="32" t="inlineStr">
        <is>
          <t>المبيعات قبل الضريبة</t>
        </is>
      </c>
      <c r="C23" s="40">
        <f>$C$14*$C$17</f>
        <v/>
      </c>
      <c r="D23" s="24" t="inlineStr">
        <is>
          <t>ريال</t>
        </is>
      </c>
      <c r="E23" s="25" t="inlineStr">
        <is>
          <t>لترات الشهر × قيمة اللتر قبل الضريبة</t>
        </is>
      </c>
      <c r="F23" s="26" t="n"/>
      <c r="G23" s="26" t="n"/>
      <c r="H23" s="26" t="n"/>
      <c r="I23" s="26" t="n"/>
    </row>
    <row r="24">
      <c r="B24" s="32" t="inlineStr">
        <is>
          <t>وشاملةً الضريبة</t>
        </is>
      </c>
      <c r="C24" s="40">
        <f>C23*1.15</f>
        <v/>
      </c>
      <c r="D24" s="24" t="inlineStr">
        <is>
          <t>ريال</t>
        </is>
      </c>
      <c r="E24" s="25" t="inlineStr">
        <is>
          <t>وهو ما يُسجَّل على المضخة</t>
        </is>
      </c>
      <c r="F24" s="26" t="n"/>
      <c r="G24" s="26" t="n"/>
      <c r="H24" s="26" t="n"/>
      <c r="I24" s="26" t="n"/>
    </row>
    <row r="25">
      <c r="B25" s="32" t="inlineStr">
        <is>
          <t>هامش الربح</t>
        </is>
      </c>
      <c r="C25" s="27">
        <f>$C$14*$C$18/100</f>
        <v/>
      </c>
      <c r="D25" s="24" t="inlineStr">
        <is>
          <t>ريال</t>
        </is>
      </c>
      <c r="E25" s="25" t="inlineStr">
        <is>
          <t>لترات الشهر × هامش اللتر</t>
        </is>
      </c>
      <c r="F25" s="26" t="n"/>
      <c r="G25" s="26" t="n"/>
      <c r="H25" s="26" t="n"/>
      <c r="I25" s="26" t="n"/>
    </row>
    <row r="26">
      <c r="B26" s="32" t="inlineStr">
        <is>
          <t>المصاريف</t>
        </is>
      </c>
      <c r="C26" s="41">
        <f>-$C$14*$C$20/100</f>
        <v/>
      </c>
      <c r="D26" s="24" t="inlineStr">
        <is>
          <t>ريال</t>
        </is>
      </c>
      <c r="E26" s="25" t="inlineStr">
        <is>
          <t>لترات الشهر × مصاريف اللتر</t>
        </is>
      </c>
      <c r="F26" s="26" t="n"/>
      <c r="G26" s="26" t="n"/>
      <c r="H26" s="26" t="n"/>
      <c r="I26" s="26" t="n"/>
    </row>
    <row r="27">
      <c r="B27" s="36" t="inlineStr">
        <is>
          <t>الصافي</t>
        </is>
      </c>
      <c r="C27" s="42">
        <f>C25+C26</f>
        <v/>
      </c>
      <c r="D27" s="24" t="inlineStr">
        <is>
          <t>ريال</t>
        </is>
      </c>
      <c r="E27" s="25" t="inlineStr">
        <is>
          <t>الهامش − المصاريف</t>
        </is>
      </c>
      <c r="F27" s="26" t="n"/>
      <c r="G27" s="26" t="n"/>
      <c r="H27" s="26" t="n"/>
      <c r="I27" s="26" t="n"/>
    </row>
    <row r="34" ht="30" customHeight="1">
      <c r="A34" s="4" t="inlineStr"/>
      <c r="B34" s="4" t="inlineStr">
        <is>
          <t>أساس المصاريف</t>
        </is>
      </c>
      <c r="C34" s="4" t="inlineStr">
        <is>
          <t>هللة/لتر</t>
        </is>
      </c>
      <c r="D34" s="4" t="inlineStr">
        <is>
          <t>المصدر والتحفّظ</t>
        </is>
      </c>
      <c r="E34" s="21" t="n"/>
      <c r="F34" s="21" t="n"/>
      <c r="G34" s="21" t="n"/>
      <c r="H34" s="21" t="n"/>
      <c r="I34" s="22" t="n"/>
    </row>
    <row r="35">
      <c r="B35" s="5" t="inlineStr">
        <is>
          <t>مصاريف نموذج «امتياز» — 0.04 هللة/لتر</t>
        </is>
      </c>
      <c r="C35" s="13" t="n">
        <v>0.04</v>
      </c>
      <c r="D35" s="25" t="inlineStr">
        <is>
          <t>مصاريف تشغيل محطات امتياز في قائمة الدخل ÷ لتراتها — وهو الأقرب لهذه المحطة</t>
        </is>
      </c>
      <c r="E35" s="26" t="n"/>
      <c r="F35" s="26" t="n"/>
      <c r="G35" s="26" t="n"/>
      <c r="H35" s="26" t="n"/>
      <c r="I35" s="26" t="n"/>
    </row>
    <row r="36">
      <c r="B36" s="43" t="inlineStr">
        <is>
          <t>متوسط محطاتنا — ٩٫١٥ هللة/لتر</t>
        </is>
      </c>
      <c r="C36" s="44" t="n">
        <v>9.15</v>
      </c>
      <c r="D36" s="25" t="inlineStr">
        <is>
          <t>مصاريف تشغيل محطاتنا الـ٤٩ (دون الامتياز) ÷ لتراتها</t>
        </is>
      </c>
      <c r="E36" s="26" t="n"/>
      <c r="F36" s="26" t="n"/>
      <c r="G36" s="26" t="n"/>
      <c r="H36" s="26" t="n"/>
      <c r="I36" s="26" t="n"/>
    </row>
    <row r="37">
      <c r="B37" s="43" t="inlineStr">
        <is>
          <t>المحمَّل الكامل — ١٣٫٥٦ هللة/لتر</t>
        </is>
      </c>
      <c r="C37" s="44" t="n">
        <v>13.56</v>
      </c>
      <c r="D37" s="25" t="inlineStr">
        <is>
          <t>يُضاف إليها بيعٌ وتسويق وإدارة وفوائد — لقرار رأس المال لا للتشغيل</t>
        </is>
      </c>
      <c r="E37" s="26" t="n"/>
      <c r="F37" s="26" t="n"/>
      <c r="G37" s="26" t="n"/>
      <c r="H37" s="26" t="n"/>
      <c r="I37" s="26" t="n"/>
    </row>
    <row r="38">
      <c r="B38" s="43" t="inlineStr">
        <is>
          <t>المقيس في تقرير الربع الثاني</t>
        </is>
      </c>
      <c r="C38" s="44" t="n">
        <v>0</v>
      </c>
      <c r="D38" s="45" t="inlineStr">
        <is>
          <t>⛔ لا أجور ولا مرافق مسجَّلة لهذه المحطة — لا تختر هذا الأساس</t>
        </is>
      </c>
      <c r="E38" s="18" t="n"/>
      <c r="F38" s="18" t="n"/>
      <c r="G38" s="18" t="n"/>
      <c r="H38" s="18" t="n"/>
      <c r="I38" s="18" t="n"/>
    </row>
    <row r="39" ht="26" customHeight="1">
      <c r="B39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39" s="18" t="n"/>
      <c r="D39" s="18" t="n"/>
      <c r="E39" s="18" t="n"/>
      <c r="F39" s="18" t="n"/>
      <c r="G39" s="18" t="n"/>
      <c r="H39" s="18" t="n"/>
      <c r="I39" s="18" t="n"/>
    </row>
    <row r="40" ht="32" customHeight="1">
      <c r="B40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0" s="18" t="n"/>
      <c r="D40" s="18" t="n"/>
      <c r="E40" s="18" t="n"/>
      <c r="F40" s="18" t="n"/>
      <c r="G40" s="18" t="n"/>
      <c r="H40" s="18" t="n"/>
      <c r="I40" s="18" t="n"/>
    </row>
    <row r="42" ht="22" customHeight="1">
      <c r="B42" s="19" t="inlineStr">
        <is>
          <t>③ المستهدف الشهري — اثنا عشر شهراً</t>
        </is>
      </c>
      <c r="C42" s="20" t="n"/>
      <c r="D42" s="20" t="n"/>
      <c r="E42" s="20" t="n"/>
      <c r="F42" s="20" t="n"/>
      <c r="G42" s="20" t="n"/>
      <c r="H42" s="20" t="n"/>
      <c r="I42" s="20" t="n"/>
    </row>
    <row r="43" ht="30" customHeight="1">
      <c r="A43" s="4" t="inlineStr"/>
      <c r="B43" s="4" t="inlineStr">
        <is>
          <t>الأساس</t>
        </is>
      </c>
      <c r="C43" s="4" t="inlineStr">
        <is>
          <t>القيمة</t>
        </is>
      </c>
      <c r="D43" s="4" t="inlineStr">
        <is>
          <t>الوحدة</t>
        </is>
      </c>
      <c r="E43" s="4" t="inlineStr">
        <is>
          <t>من أين جاءت</t>
        </is>
      </c>
      <c r="F43" s="21" t="n"/>
      <c r="G43" s="21" t="n"/>
      <c r="H43" s="21" t="n"/>
      <c r="I43" s="22" t="n"/>
    </row>
    <row r="44">
      <c r="B44" s="5" t="inlineStr">
        <is>
          <t>خط الأساس</t>
        </is>
      </c>
      <c r="C44" s="11" t="n">
        <v>0</v>
      </c>
      <c r="D44" s="24" t="inlineStr">
        <is>
          <t>لتر/يوم</t>
        </is>
      </c>
      <c r="E44" s="25" t="inlineStr">
        <is>
          <t>—</t>
        </is>
      </c>
      <c r="F44" s="26" t="n"/>
      <c r="G44" s="26" t="n"/>
      <c r="H44" s="26" t="n"/>
      <c r="I44" s="26" t="n"/>
    </row>
    <row r="45">
      <c r="B45" s="5" t="inlineStr">
        <is>
          <t>الإضافة المستهدفة</t>
        </is>
      </c>
      <c r="C45" s="33" t="n">
        <v>0</v>
      </c>
      <c r="D45" s="24" t="inlineStr">
        <is>
          <t>لتر/يوم</t>
        </is>
      </c>
      <c r="E45" s="25" t="inlineStr">
        <is>
          <t>لا فجوة ذروة مقيسة لهذه المحطة — المستهدف ثباتُ الأداء</t>
        </is>
      </c>
      <c r="F45" s="26" t="n"/>
      <c r="G45" s="26" t="n"/>
      <c r="H45" s="26" t="n"/>
      <c r="I45" s="26" t="n"/>
    </row>
    <row r="46">
      <c r="B46" s="5" t="inlineStr">
        <is>
          <t>أشهر التدرّج</t>
        </is>
      </c>
      <c r="C46" s="33" t="n">
        <v>6</v>
      </c>
      <c r="D46" s="24" t="inlineStr">
        <is>
          <t>شهر</t>
        </is>
      </c>
      <c r="E46" s="25" t="inlineStr">
        <is>
          <t>يُبلغ المستهدف كاملاً في الشهر السادس ثم يثبت</t>
        </is>
      </c>
      <c r="F46" s="26" t="n"/>
      <c r="G46" s="26" t="n"/>
      <c r="H46" s="26" t="n"/>
      <c r="I46" s="26" t="n"/>
    </row>
    <row r="47" ht="26" customHeight="1">
      <c r="A47" s="4" t="inlineStr"/>
      <c r="B47" s="4" t="inlineStr">
        <is>
          <t>الشهر</t>
        </is>
      </c>
      <c r="C47" s="4" t="inlineStr">
        <is>
          <t>أيام</t>
        </is>
      </c>
      <c r="D47" s="4" t="inlineStr">
        <is>
          <t>لتر/يوم</t>
        </is>
      </c>
      <c r="E47" s="4" t="inlineStr">
        <is>
          <t>لترات الشهر</t>
        </is>
      </c>
      <c r="F47" s="4" t="inlineStr">
        <is>
          <t>المبيعات قبل الضريبة</t>
        </is>
      </c>
      <c r="G47" s="4" t="inlineStr">
        <is>
          <t>هامش الربح</t>
        </is>
      </c>
      <c r="H47" s="4" t="inlineStr">
        <is>
          <t>المصاريف</t>
        </is>
      </c>
      <c r="I47" s="4" t="inlineStr">
        <is>
          <t>الصافي</t>
        </is>
      </c>
    </row>
    <row r="48">
      <c r="B48" s="5" t="inlineStr">
        <is>
          <t>أكتوبر ٢٠٢٦</t>
        </is>
      </c>
      <c r="C48" s="11" t="n">
        <v>31</v>
      </c>
      <c r="D48" s="11">
        <f>$C$44+$C$45*MIN(1,1/$C$46)</f>
        <v/>
      </c>
      <c r="E48" s="46">
        <f>D48*C48</f>
        <v/>
      </c>
      <c r="F48" s="14">
        <f>E48*$C$17</f>
        <v/>
      </c>
      <c r="G48" s="14">
        <f>E48*$C$18/100</f>
        <v/>
      </c>
      <c r="H48" s="14">
        <f>-E48*$C$20/100</f>
        <v/>
      </c>
      <c r="I48" s="47">
        <f>G48+H48</f>
        <v/>
      </c>
    </row>
    <row r="49">
      <c r="B49" s="5" t="inlineStr">
        <is>
          <t>نوفمبر ٢٠٢٦</t>
        </is>
      </c>
      <c r="C49" s="11" t="n">
        <v>30</v>
      </c>
      <c r="D49" s="11">
        <f>$C$44+$C$45*MIN(1,2/$C$46)</f>
        <v/>
      </c>
      <c r="E49" s="46">
        <f>D49*C49</f>
        <v/>
      </c>
      <c r="F49" s="14">
        <f>E49*$C$17</f>
        <v/>
      </c>
      <c r="G49" s="14">
        <f>E49*$C$18/100</f>
        <v/>
      </c>
      <c r="H49" s="14">
        <f>-E49*$C$20/100</f>
        <v/>
      </c>
      <c r="I49" s="47">
        <f>G49+H49</f>
        <v/>
      </c>
    </row>
    <row r="50">
      <c r="B50" s="5" t="inlineStr">
        <is>
          <t>ديسمبر ٢٠٢٦</t>
        </is>
      </c>
      <c r="C50" s="11" t="n">
        <v>31</v>
      </c>
      <c r="D50" s="11">
        <f>$C$44+$C$45*MIN(1,3/$C$46)</f>
        <v/>
      </c>
      <c r="E50" s="46">
        <f>D50*C50</f>
        <v/>
      </c>
      <c r="F50" s="14">
        <f>E50*$C$17</f>
        <v/>
      </c>
      <c r="G50" s="14">
        <f>E50*$C$18/100</f>
        <v/>
      </c>
      <c r="H50" s="14">
        <f>-E50*$C$20/100</f>
        <v/>
      </c>
      <c r="I50" s="47">
        <f>G50+H50</f>
        <v/>
      </c>
    </row>
    <row r="51">
      <c r="B51" s="5" t="inlineStr">
        <is>
          <t>يناير ٢٠٢٧</t>
        </is>
      </c>
      <c r="C51" s="11" t="n">
        <v>31</v>
      </c>
      <c r="D51" s="11">
        <f>$C$44+$C$45*MIN(1,4/$C$46)</f>
        <v/>
      </c>
      <c r="E51" s="46">
        <f>D51*C51</f>
        <v/>
      </c>
      <c r="F51" s="14">
        <f>E51*$C$17</f>
        <v/>
      </c>
      <c r="G51" s="14">
        <f>E51*$C$18/100</f>
        <v/>
      </c>
      <c r="H51" s="14">
        <f>-E51*$C$20/100</f>
        <v/>
      </c>
      <c r="I51" s="47">
        <f>G51+H51</f>
        <v/>
      </c>
    </row>
    <row r="52">
      <c r="B52" s="5" t="inlineStr">
        <is>
          <t>فبراير ٢٠٢٧</t>
        </is>
      </c>
      <c r="C52" s="11" t="n">
        <v>28</v>
      </c>
      <c r="D52" s="11">
        <f>$C$44+$C$45*MIN(1,5/$C$46)</f>
        <v/>
      </c>
      <c r="E52" s="46">
        <f>D52*C52</f>
        <v/>
      </c>
      <c r="F52" s="14">
        <f>E52*$C$17</f>
        <v/>
      </c>
      <c r="G52" s="14">
        <f>E52*$C$18/100</f>
        <v/>
      </c>
      <c r="H52" s="14">
        <f>-E52*$C$20/100</f>
        <v/>
      </c>
      <c r="I52" s="47">
        <f>G52+H52</f>
        <v/>
      </c>
    </row>
    <row r="53">
      <c r="B53" s="5" t="inlineStr">
        <is>
          <t>مارس ٢٠٢٧</t>
        </is>
      </c>
      <c r="C53" s="11" t="n">
        <v>31</v>
      </c>
      <c r="D53" s="11">
        <f>$C$44+$C$45*MIN(1,6/$C$46)</f>
        <v/>
      </c>
      <c r="E53" s="46">
        <f>D53*C53</f>
        <v/>
      </c>
      <c r="F53" s="14">
        <f>E53*$C$17</f>
        <v/>
      </c>
      <c r="G53" s="14">
        <f>E53*$C$18/100</f>
        <v/>
      </c>
      <c r="H53" s="14">
        <f>-E53*$C$20/100</f>
        <v/>
      </c>
      <c r="I53" s="47">
        <f>G53+H53</f>
        <v/>
      </c>
    </row>
    <row r="54">
      <c r="B54" s="5" t="inlineStr">
        <is>
          <t>أبريل ٢٠٢٧</t>
        </is>
      </c>
      <c r="C54" s="11" t="n">
        <v>30</v>
      </c>
      <c r="D54" s="11">
        <f>$C$44+$C$45*MIN(1,7/$C$46)</f>
        <v/>
      </c>
      <c r="E54" s="46">
        <f>D54*C54</f>
        <v/>
      </c>
      <c r="F54" s="14">
        <f>E54*$C$17</f>
        <v/>
      </c>
      <c r="G54" s="14">
        <f>E54*$C$18/100</f>
        <v/>
      </c>
      <c r="H54" s="14">
        <f>-E54*$C$20/100</f>
        <v/>
      </c>
      <c r="I54" s="47">
        <f>G54+H54</f>
        <v/>
      </c>
    </row>
    <row r="55">
      <c r="B55" s="5" t="inlineStr">
        <is>
          <t>مايو ٢٠٢٧</t>
        </is>
      </c>
      <c r="C55" s="11" t="n">
        <v>31</v>
      </c>
      <c r="D55" s="11">
        <f>$C$44+$C$45*MIN(1,8/$C$46)</f>
        <v/>
      </c>
      <c r="E55" s="46">
        <f>D55*C55</f>
        <v/>
      </c>
      <c r="F55" s="14">
        <f>E55*$C$17</f>
        <v/>
      </c>
      <c r="G55" s="14">
        <f>E55*$C$18/100</f>
        <v/>
      </c>
      <c r="H55" s="14">
        <f>-E55*$C$20/100</f>
        <v/>
      </c>
      <c r="I55" s="47">
        <f>G55+H55</f>
        <v/>
      </c>
    </row>
    <row r="56">
      <c r="B56" s="5" t="inlineStr">
        <is>
          <t>يونيو ٢٠٢٧</t>
        </is>
      </c>
      <c r="C56" s="11" t="n">
        <v>30</v>
      </c>
      <c r="D56" s="11">
        <f>$C$44+$C$45*MIN(1,9/$C$46)</f>
        <v/>
      </c>
      <c r="E56" s="46">
        <f>D56*C56</f>
        <v/>
      </c>
      <c r="F56" s="14">
        <f>E56*$C$17</f>
        <v/>
      </c>
      <c r="G56" s="14">
        <f>E56*$C$18/100</f>
        <v/>
      </c>
      <c r="H56" s="14">
        <f>-E56*$C$20/100</f>
        <v/>
      </c>
      <c r="I56" s="47">
        <f>G56+H56</f>
        <v/>
      </c>
    </row>
    <row r="57">
      <c r="B57" s="5" t="inlineStr">
        <is>
          <t>يوليو ٢٠٢٧</t>
        </is>
      </c>
      <c r="C57" s="11" t="n">
        <v>31</v>
      </c>
      <c r="D57" s="11">
        <f>$C$44+$C$45*MIN(1,10/$C$46)</f>
        <v/>
      </c>
      <c r="E57" s="46">
        <f>D57*C57</f>
        <v/>
      </c>
      <c r="F57" s="14">
        <f>E57*$C$17</f>
        <v/>
      </c>
      <c r="G57" s="14">
        <f>E57*$C$18/100</f>
        <v/>
      </c>
      <c r="H57" s="14">
        <f>-E57*$C$20/100</f>
        <v/>
      </c>
      <c r="I57" s="47">
        <f>G57+H57</f>
        <v/>
      </c>
    </row>
    <row r="58">
      <c r="B58" s="5" t="inlineStr">
        <is>
          <t>أغسطس ٢٠٢٧</t>
        </is>
      </c>
      <c r="C58" s="11" t="n">
        <v>31</v>
      </c>
      <c r="D58" s="11">
        <f>$C$44+$C$45*MIN(1,11/$C$46)</f>
        <v/>
      </c>
      <c r="E58" s="46">
        <f>D58*C58</f>
        <v/>
      </c>
      <c r="F58" s="14">
        <f>E58*$C$17</f>
        <v/>
      </c>
      <c r="G58" s="14">
        <f>E58*$C$18/100</f>
        <v/>
      </c>
      <c r="H58" s="14">
        <f>-E58*$C$20/100</f>
        <v/>
      </c>
      <c r="I58" s="47">
        <f>G58+H58</f>
        <v/>
      </c>
    </row>
    <row r="59">
      <c r="B59" s="5" t="inlineStr">
        <is>
          <t>سبتمبر ٢٠٢٧</t>
        </is>
      </c>
      <c r="C59" s="11" t="n">
        <v>30</v>
      </c>
      <c r="D59" s="11">
        <f>$C$44+$C$45*MIN(1,12/$C$46)</f>
        <v/>
      </c>
      <c r="E59" s="46">
        <f>D59*C59</f>
        <v/>
      </c>
      <c r="F59" s="14">
        <f>E59*$C$17</f>
        <v/>
      </c>
      <c r="G59" s="14">
        <f>E59*$C$18/100</f>
        <v/>
      </c>
      <c r="H59" s="14">
        <f>-E59*$C$20/100</f>
        <v/>
      </c>
      <c r="I59" s="47">
        <f>G59+H59</f>
        <v/>
      </c>
    </row>
    <row r="60">
      <c r="B60" s="48" t="inlineStr">
        <is>
          <t>السنة كاملةً</t>
        </is>
      </c>
      <c r="C60" s="49">
        <f>SUM(C48:C59)</f>
        <v/>
      </c>
      <c r="D60" s="49">
        <f>AVERAGE(D48:D59)</f>
        <v/>
      </c>
      <c r="E60" s="49">
        <f>SUM(E48:E59)</f>
        <v/>
      </c>
      <c r="F60" s="47">
        <f>SUM(F48:F59)</f>
        <v/>
      </c>
      <c r="G60" s="47">
        <f>SUM(G48:G59)</f>
        <v/>
      </c>
      <c r="H60" s="47">
        <f>SUM(H48:H59)</f>
        <v/>
      </c>
      <c r="I60" s="47">
        <f>SUM(I48:I59)</f>
        <v/>
      </c>
    </row>
    <row r="61" ht="32" customHeight="1">
      <c r="B61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1" s="20" t="n"/>
      <c r="D61" s="20" t="n"/>
      <c r="E61" s="20" t="n"/>
      <c r="F61" s="20" t="n"/>
      <c r="G61" s="20" t="n"/>
      <c r="H61" s="20" t="n"/>
      <c r="I61" s="20" t="n"/>
    </row>
  </sheetData>
  <mergeCells count="38">
    <mergeCell ref="E21:I21"/>
    <mergeCell ref="E43:I43"/>
    <mergeCell ref="E24:I24"/>
    <mergeCell ref="E23:I23"/>
    <mergeCell ref="E14:I14"/>
    <mergeCell ref="E8:I8"/>
    <mergeCell ref="E17:I17"/>
    <mergeCell ref="B12:I12"/>
    <mergeCell ref="E44:I44"/>
    <mergeCell ref="A2:I2"/>
    <mergeCell ref="E20:I20"/>
    <mergeCell ref="B39:I39"/>
    <mergeCell ref="D37:I37"/>
    <mergeCell ref="E10:I10"/>
    <mergeCell ref="B42:I42"/>
    <mergeCell ref="E13:I13"/>
    <mergeCell ref="E19:I19"/>
    <mergeCell ref="B61:I61"/>
    <mergeCell ref="E9:I9"/>
    <mergeCell ref="E15:I15"/>
    <mergeCell ref="D38:I38"/>
    <mergeCell ref="E6:I6"/>
    <mergeCell ref="E46:I46"/>
    <mergeCell ref="E27:I27"/>
    <mergeCell ref="D35:I35"/>
    <mergeCell ref="E45:I45"/>
    <mergeCell ref="E26:I26"/>
    <mergeCell ref="B40:I40"/>
    <mergeCell ref="D34:I34"/>
    <mergeCell ref="E7:I7"/>
    <mergeCell ref="E16:I16"/>
    <mergeCell ref="E25:I25"/>
    <mergeCell ref="A1:I1"/>
    <mergeCell ref="B5:I5"/>
    <mergeCell ref="D36:I36"/>
    <mergeCell ref="E22:I22"/>
    <mergeCell ref="B4:I4"/>
    <mergeCell ref="E18:I18"/>
  </mergeCells>
  <conditionalFormatting sqref="E48:E59">
    <cfRule type="dataBar" priority="1">
      <dataBar showValue="1">
        <cfvo type="num" val="0"/>
        <cfvo type="max"/>
        <color rgb="00F5831F"/>
      </dataBar>
    </cfRule>
  </conditionalFormatting>
  <conditionalFormatting sqref="I48:I60">
    <cfRule type="cellIs" priority="2" operator="lessThan" dxfId="0">
      <formula>0</formula>
    </cfRule>
  </conditionalFormatting>
  <dataValidations count="1">
    <dataValidation sqref="C19" showDropDown="0" showInputMessage="0" showErrorMessage="0" allowBlank="0" type="list">
      <formula1>"مصاريف نموذج «امتياز» — 0.04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نوير  ·  MK311-F</t>
        </is>
      </c>
    </row>
    <row r="2" ht="16" customHeight="1">
      <c r="A2" s="2" t="inlineStr">
        <is>
          <t>نموذج العمل امتياز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2647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-38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-0.0144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0.0052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2" ht="22" customHeight="1">
      <c r="B12" s="19" t="inlineStr">
        <is>
          <t>② حاسبة اللتر — قيمته وهامشه ومصاريفه وصافيه</t>
        </is>
      </c>
      <c r="C12" s="20" t="n"/>
      <c r="D12" s="20" t="n"/>
      <c r="E12" s="20" t="n"/>
      <c r="F12" s="20" t="n"/>
      <c r="G12" s="20" t="n"/>
      <c r="H12" s="20" t="n"/>
      <c r="I12" s="20" t="n"/>
    </row>
    <row r="13" ht="30" customHeight="1">
      <c r="A13" s="4" t="inlineStr"/>
      <c r="B13" s="4" t="inlineStr">
        <is>
          <t>البند</t>
        </is>
      </c>
      <c r="C13" s="4" t="inlineStr">
        <is>
          <t>القيمة</t>
        </is>
      </c>
      <c r="D13" s="4" t="inlineStr">
        <is>
          <t>الوحدة</t>
        </is>
      </c>
      <c r="E13" s="4" t="inlineStr">
        <is>
          <t>من أين جاءت</t>
        </is>
      </c>
      <c r="F13" s="21" t="n"/>
      <c r="G13" s="21" t="n"/>
      <c r="H13" s="21" t="n"/>
      <c r="I13" s="22" t="n"/>
    </row>
    <row r="14">
      <c r="B14" s="32" t="inlineStr">
        <is>
          <t>لترات الشهر</t>
        </is>
      </c>
      <c r="C14" s="33" t="n">
        <v>0</v>
      </c>
      <c r="D14" s="24" t="inlineStr">
        <is>
          <t>لتر/شهر</t>
        </is>
      </c>
      <c r="E14" s="25" t="inlineStr">
        <is>
          <t>افتراضيّها معدّل الأداء: — × ٣٠٫٤ يوماً</t>
        </is>
      </c>
      <c r="F14" s="26" t="n"/>
      <c r="G14" s="26" t="n"/>
      <c r="H14" s="26" t="n"/>
      <c r="I14" s="26" t="n"/>
    </row>
    <row r="15">
      <c r="B15" s="32" t="inlineStr">
        <is>
          <t>سعر المضخة — شاملاً الضريبة</t>
        </is>
      </c>
      <c r="C15" s="34" t="n">
        <v>0</v>
      </c>
      <c r="D15" s="24" t="inlineStr">
        <is>
          <t>ريال/لتر</t>
        </is>
      </c>
      <c r="E15" s="45" t="inlineStr">
        <is>
          <t>⛔ لا سعر مقيس لهذه المحطة</t>
        </is>
      </c>
      <c r="F15" s="18" t="n"/>
      <c r="G15" s="18" t="n"/>
      <c r="H15" s="18" t="n"/>
      <c r="I15" s="18" t="n"/>
    </row>
    <row r="16">
      <c r="B16" s="32" t="inlineStr">
        <is>
          <t>هامش الوقود</t>
        </is>
      </c>
      <c r="C16" s="35" t="n">
        <v>0.0052</v>
      </c>
      <c r="D16" s="24" t="inlineStr">
        <is>
          <t>٪ من الإيراد قبل الضريبة</t>
        </is>
      </c>
      <c r="E16" s="25" t="inlineStr">
        <is>
          <t>هامش الوقود المقيس في تقرير المالية</t>
        </is>
      </c>
      <c r="F16" s="26" t="n"/>
      <c r="G16" s="26" t="n"/>
      <c r="H16" s="26" t="n"/>
      <c r="I16" s="26" t="n"/>
    </row>
    <row r="17">
      <c r="B17" s="36" t="inlineStr">
        <is>
          <t>① قيمة اللتر — قبل الضريبة</t>
        </is>
      </c>
      <c r="C17" s="37">
        <f>$C$15/1.15</f>
        <v/>
      </c>
      <c r="D17" s="24" t="inlineStr">
        <is>
          <t>ريال/لتر</t>
        </is>
      </c>
      <c r="E17" s="25" t="inlineStr">
        <is>
          <t>الصيغة: سعر المضخة ÷ ١٫١٥ · وهي قيمته التي يُحسب عليها الهامش</t>
        </is>
      </c>
      <c r="F17" s="26" t="n"/>
      <c r="G17" s="26" t="n"/>
      <c r="H17" s="26" t="n"/>
      <c r="I17" s="26" t="n"/>
    </row>
    <row r="18">
      <c r="B18" s="36" t="inlineStr">
        <is>
          <t>② هامش الربح للتر</t>
        </is>
      </c>
      <c r="C18" s="38">
        <f>$C$17*$C$16*100</f>
        <v/>
      </c>
      <c r="D18" s="24" t="inlineStr">
        <is>
          <t>هللة/لتر</t>
        </is>
      </c>
      <c r="E18" s="25" t="inlineStr">
        <is>
          <t>الصيغة: قيمة اللتر قبل الضريبة × هامش الوقود · هامش المساهمة قبل أي مصروف</t>
        </is>
      </c>
      <c r="F18" s="26" t="n"/>
      <c r="G18" s="26" t="n"/>
      <c r="H18" s="26" t="n"/>
      <c r="I18" s="26" t="n"/>
    </row>
    <row r="19">
      <c r="B19" s="32" t="inlineStr">
        <is>
          <t>أساس المصاريف</t>
        </is>
      </c>
      <c r="C19" s="39" t="inlineStr">
        <is>
          <t>مصاريف نموذج «امتياز» — 0.04 هللة/لتر</t>
        </is>
      </c>
      <c r="D19" s="24" t="inlineStr">
        <is>
          <t>اختر</t>
        </is>
      </c>
      <c r="E19" s="25" t="inlineStr">
        <is>
          <t>ثلاثة أُسُس ولكلٍّ مصدره — الجدول أسفل الحاسبة</t>
        </is>
      </c>
      <c r="F19" s="26" t="n"/>
      <c r="G19" s="26" t="n"/>
      <c r="H19" s="26" t="n"/>
      <c r="I19" s="26" t="n"/>
    </row>
    <row r="20">
      <c r="B20" s="36" t="inlineStr">
        <is>
          <t>③ المصاريف للتر</t>
        </is>
      </c>
      <c r="C20" s="38">
        <f>VLOOKUP($C$19,$B$35:$C$38,2,FALSE)</f>
        <v/>
      </c>
      <c r="D20" s="24" t="inlineStr">
        <is>
          <t>هللة/لتر</t>
        </is>
      </c>
      <c r="E20" s="25" t="inlineStr">
        <is>
          <t>من الأساس المختار أعلاه</t>
        </is>
      </c>
      <c r="F20" s="26" t="n"/>
      <c r="G20" s="26" t="n"/>
      <c r="H20" s="26" t="n"/>
      <c r="I20" s="26" t="n"/>
    </row>
    <row r="21">
      <c r="B21" s="36" t="inlineStr">
        <is>
          <t>④ صافي اللتر</t>
        </is>
      </c>
      <c r="C21" s="38">
        <f>$C$18-$C$20</f>
        <v/>
      </c>
      <c r="D21" s="24" t="inlineStr">
        <is>
          <t>هللة/لتر</t>
        </is>
      </c>
      <c r="E21" s="25" t="inlineStr">
        <is>
          <t>الصيغة: الهامش − المصاريف · وهو ما يبقى فعلاً من كل لتر</t>
        </is>
      </c>
      <c r="F21" s="26" t="n"/>
      <c r="G21" s="26" t="n"/>
      <c r="H21" s="26" t="n"/>
      <c r="I21" s="26" t="n"/>
    </row>
    <row r="22" ht="30" customHeight="1">
      <c r="A22" s="4" t="inlineStr"/>
      <c r="B22" s="4" t="inlineStr">
        <is>
          <t>وبالريال لشهرٍ كامل</t>
        </is>
      </c>
      <c r="C22" s="4" t="inlineStr">
        <is>
          <t>في الشهر</t>
        </is>
      </c>
      <c r="D22" s="4" t="inlineStr">
        <is>
          <t>الوحدة</t>
        </is>
      </c>
      <c r="E22" s="4" t="inlineStr">
        <is>
          <t>الصيغة</t>
        </is>
      </c>
      <c r="F22" s="21" t="n"/>
      <c r="G22" s="21" t="n"/>
      <c r="H22" s="21" t="n"/>
      <c r="I22" s="22" t="n"/>
    </row>
    <row r="23">
      <c r="B23" s="32" t="inlineStr">
        <is>
          <t>المبيعات قبل الضريبة</t>
        </is>
      </c>
      <c r="C23" s="40">
        <f>$C$14*$C$17</f>
        <v/>
      </c>
      <c r="D23" s="24" t="inlineStr">
        <is>
          <t>ريال</t>
        </is>
      </c>
      <c r="E23" s="25" t="inlineStr">
        <is>
          <t>لترات الشهر × قيمة اللتر قبل الضريبة</t>
        </is>
      </c>
      <c r="F23" s="26" t="n"/>
      <c r="G23" s="26" t="n"/>
      <c r="H23" s="26" t="n"/>
      <c r="I23" s="26" t="n"/>
    </row>
    <row r="24">
      <c r="B24" s="32" t="inlineStr">
        <is>
          <t>وشاملةً الضريبة</t>
        </is>
      </c>
      <c r="C24" s="40">
        <f>C23*1.15</f>
        <v/>
      </c>
      <c r="D24" s="24" t="inlineStr">
        <is>
          <t>ريال</t>
        </is>
      </c>
      <c r="E24" s="25" t="inlineStr">
        <is>
          <t>وهو ما يُسجَّل على المضخة</t>
        </is>
      </c>
      <c r="F24" s="26" t="n"/>
      <c r="G24" s="26" t="n"/>
      <c r="H24" s="26" t="n"/>
      <c r="I24" s="26" t="n"/>
    </row>
    <row r="25">
      <c r="B25" s="32" t="inlineStr">
        <is>
          <t>هامش الربح</t>
        </is>
      </c>
      <c r="C25" s="27">
        <f>$C$14*$C$18/100</f>
        <v/>
      </c>
      <c r="D25" s="24" t="inlineStr">
        <is>
          <t>ريال</t>
        </is>
      </c>
      <c r="E25" s="25" t="inlineStr">
        <is>
          <t>لترات الشهر × هامش اللتر</t>
        </is>
      </c>
      <c r="F25" s="26" t="n"/>
      <c r="G25" s="26" t="n"/>
      <c r="H25" s="26" t="n"/>
      <c r="I25" s="26" t="n"/>
    </row>
    <row r="26">
      <c r="B26" s="32" t="inlineStr">
        <is>
          <t>المصاريف</t>
        </is>
      </c>
      <c r="C26" s="41">
        <f>-$C$14*$C$20/100</f>
        <v/>
      </c>
      <c r="D26" s="24" t="inlineStr">
        <is>
          <t>ريال</t>
        </is>
      </c>
      <c r="E26" s="25" t="inlineStr">
        <is>
          <t>لترات الشهر × مصاريف اللتر</t>
        </is>
      </c>
      <c r="F26" s="26" t="n"/>
      <c r="G26" s="26" t="n"/>
      <c r="H26" s="26" t="n"/>
      <c r="I26" s="26" t="n"/>
    </row>
    <row r="27">
      <c r="B27" s="36" t="inlineStr">
        <is>
          <t>الصافي</t>
        </is>
      </c>
      <c r="C27" s="42">
        <f>C25+C26</f>
        <v/>
      </c>
      <c r="D27" s="24" t="inlineStr">
        <is>
          <t>ريال</t>
        </is>
      </c>
      <c r="E27" s="25" t="inlineStr">
        <is>
          <t>الهامش − المصاريف</t>
        </is>
      </c>
      <c r="F27" s="26" t="n"/>
      <c r="G27" s="26" t="n"/>
      <c r="H27" s="26" t="n"/>
      <c r="I27" s="26" t="n"/>
    </row>
    <row r="34" ht="30" customHeight="1">
      <c r="A34" s="4" t="inlineStr"/>
      <c r="B34" s="4" t="inlineStr">
        <is>
          <t>أساس المصاريف</t>
        </is>
      </c>
      <c r="C34" s="4" t="inlineStr">
        <is>
          <t>هللة/لتر</t>
        </is>
      </c>
      <c r="D34" s="4" t="inlineStr">
        <is>
          <t>المصدر والتحفّظ</t>
        </is>
      </c>
      <c r="E34" s="21" t="n"/>
      <c r="F34" s="21" t="n"/>
      <c r="G34" s="21" t="n"/>
      <c r="H34" s="21" t="n"/>
      <c r="I34" s="22" t="n"/>
    </row>
    <row r="35">
      <c r="B35" s="5" t="inlineStr">
        <is>
          <t>مصاريف نموذج «امتياز» — 0.04 هللة/لتر</t>
        </is>
      </c>
      <c r="C35" s="13" t="n">
        <v>0.04</v>
      </c>
      <c r="D35" s="25" t="inlineStr">
        <is>
          <t>مصاريف تشغيل محطات امتياز في قائمة الدخل ÷ لتراتها — وهو الأقرب لهذه المحطة</t>
        </is>
      </c>
      <c r="E35" s="26" t="n"/>
      <c r="F35" s="26" t="n"/>
      <c r="G35" s="26" t="n"/>
      <c r="H35" s="26" t="n"/>
      <c r="I35" s="26" t="n"/>
    </row>
    <row r="36">
      <c r="B36" s="43" t="inlineStr">
        <is>
          <t>متوسط محطاتنا — ٩٫١٥ هللة/لتر</t>
        </is>
      </c>
      <c r="C36" s="44" t="n">
        <v>9.15</v>
      </c>
      <c r="D36" s="25" t="inlineStr">
        <is>
          <t>مصاريف تشغيل محطاتنا الـ٤٩ (دون الامتياز) ÷ لتراتها</t>
        </is>
      </c>
      <c r="E36" s="26" t="n"/>
      <c r="F36" s="26" t="n"/>
      <c r="G36" s="26" t="n"/>
      <c r="H36" s="26" t="n"/>
      <c r="I36" s="26" t="n"/>
    </row>
    <row r="37">
      <c r="B37" s="43" t="inlineStr">
        <is>
          <t>المحمَّل الكامل — ١٣٫٥٦ هللة/لتر</t>
        </is>
      </c>
      <c r="C37" s="44" t="n">
        <v>13.56</v>
      </c>
      <c r="D37" s="25" t="inlineStr">
        <is>
          <t>يُضاف إليها بيعٌ وتسويق وإدارة وفوائد — لقرار رأس المال لا للتشغيل</t>
        </is>
      </c>
      <c r="E37" s="26" t="n"/>
      <c r="F37" s="26" t="n"/>
      <c r="G37" s="26" t="n"/>
      <c r="H37" s="26" t="n"/>
      <c r="I37" s="26" t="n"/>
    </row>
    <row r="38">
      <c r="B38" s="43" t="inlineStr">
        <is>
          <t>المقيس في تقرير الربع الثاني</t>
        </is>
      </c>
      <c r="C38" s="44" t="n">
        <v>0</v>
      </c>
      <c r="D38" s="45" t="inlineStr">
        <is>
          <t>⛔ لا أجور ولا مرافق مسجَّلة لهذه المحطة — لا تختر هذا الأساس</t>
        </is>
      </c>
      <c r="E38" s="18" t="n"/>
      <c r="F38" s="18" t="n"/>
      <c r="G38" s="18" t="n"/>
      <c r="H38" s="18" t="n"/>
      <c r="I38" s="18" t="n"/>
    </row>
    <row r="39" ht="26" customHeight="1">
      <c r="B39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39" s="18" t="n"/>
      <c r="D39" s="18" t="n"/>
      <c r="E39" s="18" t="n"/>
      <c r="F39" s="18" t="n"/>
      <c r="G39" s="18" t="n"/>
      <c r="H39" s="18" t="n"/>
      <c r="I39" s="18" t="n"/>
    </row>
    <row r="40" ht="32" customHeight="1">
      <c r="B40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0" s="18" t="n"/>
      <c r="D40" s="18" t="n"/>
      <c r="E40" s="18" t="n"/>
      <c r="F40" s="18" t="n"/>
      <c r="G40" s="18" t="n"/>
      <c r="H40" s="18" t="n"/>
      <c r="I40" s="18" t="n"/>
    </row>
    <row r="42" ht="22" customHeight="1">
      <c r="B42" s="19" t="inlineStr">
        <is>
          <t>③ المستهدف الشهري — اثنا عشر شهراً</t>
        </is>
      </c>
      <c r="C42" s="20" t="n"/>
      <c r="D42" s="20" t="n"/>
      <c r="E42" s="20" t="n"/>
      <c r="F42" s="20" t="n"/>
      <c r="G42" s="20" t="n"/>
      <c r="H42" s="20" t="n"/>
      <c r="I42" s="20" t="n"/>
    </row>
    <row r="43" ht="30" customHeight="1">
      <c r="A43" s="4" t="inlineStr"/>
      <c r="B43" s="4" t="inlineStr">
        <is>
          <t>الأساس</t>
        </is>
      </c>
      <c r="C43" s="4" t="inlineStr">
        <is>
          <t>القيمة</t>
        </is>
      </c>
      <c r="D43" s="4" t="inlineStr">
        <is>
          <t>الوحدة</t>
        </is>
      </c>
      <c r="E43" s="4" t="inlineStr">
        <is>
          <t>من أين جاءت</t>
        </is>
      </c>
      <c r="F43" s="21" t="n"/>
      <c r="G43" s="21" t="n"/>
      <c r="H43" s="21" t="n"/>
      <c r="I43" s="22" t="n"/>
    </row>
    <row r="44">
      <c r="B44" s="5" t="inlineStr">
        <is>
          <t>خط الأساس</t>
        </is>
      </c>
      <c r="C44" s="11" t="n">
        <v>0</v>
      </c>
      <c r="D44" s="24" t="inlineStr">
        <is>
          <t>لتر/يوم</t>
        </is>
      </c>
      <c r="E44" s="25" t="inlineStr">
        <is>
          <t>—</t>
        </is>
      </c>
      <c r="F44" s="26" t="n"/>
      <c r="G44" s="26" t="n"/>
      <c r="H44" s="26" t="n"/>
      <c r="I44" s="26" t="n"/>
    </row>
    <row r="45">
      <c r="B45" s="5" t="inlineStr">
        <is>
          <t>الإضافة المستهدفة</t>
        </is>
      </c>
      <c r="C45" s="33" t="n">
        <v>0</v>
      </c>
      <c r="D45" s="24" t="inlineStr">
        <is>
          <t>لتر/يوم</t>
        </is>
      </c>
      <c r="E45" s="25" t="inlineStr">
        <is>
          <t>لا فجوة ذروة مقيسة لهذه المحطة — المستهدف ثباتُ الأداء</t>
        </is>
      </c>
      <c r="F45" s="26" t="n"/>
      <c r="G45" s="26" t="n"/>
      <c r="H45" s="26" t="n"/>
      <c r="I45" s="26" t="n"/>
    </row>
    <row r="46">
      <c r="B46" s="5" t="inlineStr">
        <is>
          <t>أشهر التدرّج</t>
        </is>
      </c>
      <c r="C46" s="33" t="n">
        <v>6</v>
      </c>
      <c r="D46" s="24" t="inlineStr">
        <is>
          <t>شهر</t>
        </is>
      </c>
      <c r="E46" s="25" t="inlineStr">
        <is>
          <t>يُبلغ المستهدف كاملاً في الشهر السادس ثم يثبت</t>
        </is>
      </c>
      <c r="F46" s="26" t="n"/>
      <c r="G46" s="26" t="n"/>
      <c r="H46" s="26" t="n"/>
      <c r="I46" s="26" t="n"/>
    </row>
    <row r="47" ht="26" customHeight="1">
      <c r="A47" s="4" t="inlineStr"/>
      <c r="B47" s="4" t="inlineStr">
        <is>
          <t>الشهر</t>
        </is>
      </c>
      <c r="C47" s="4" t="inlineStr">
        <is>
          <t>أيام</t>
        </is>
      </c>
      <c r="D47" s="4" t="inlineStr">
        <is>
          <t>لتر/يوم</t>
        </is>
      </c>
      <c r="E47" s="4" t="inlineStr">
        <is>
          <t>لترات الشهر</t>
        </is>
      </c>
      <c r="F47" s="4" t="inlineStr">
        <is>
          <t>المبيعات قبل الضريبة</t>
        </is>
      </c>
      <c r="G47" s="4" t="inlineStr">
        <is>
          <t>هامش الربح</t>
        </is>
      </c>
      <c r="H47" s="4" t="inlineStr">
        <is>
          <t>المصاريف</t>
        </is>
      </c>
      <c r="I47" s="4" t="inlineStr">
        <is>
          <t>الصافي</t>
        </is>
      </c>
    </row>
    <row r="48">
      <c r="B48" s="5" t="inlineStr">
        <is>
          <t>أكتوبر ٢٠٢٦</t>
        </is>
      </c>
      <c r="C48" s="11" t="n">
        <v>31</v>
      </c>
      <c r="D48" s="11">
        <f>$C$44+$C$45*MIN(1,1/$C$46)</f>
        <v/>
      </c>
      <c r="E48" s="46">
        <f>D48*C48</f>
        <v/>
      </c>
      <c r="F48" s="14">
        <f>E48*$C$17</f>
        <v/>
      </c>
      <c r="G48" s="14">
        <f>E48*$C$18/100</f>
        <v/>
      </c>
      <c r="H48" s="14">
        <f>-E48*$C$20/100</f>
        <v/>
      </c>
      <c r="I48" s="47">
        <f>G48+H48</f>
        <v/>
      </c>
    </row>
    <row r="49">
      <c r="B49" s="5" t="inlineStr">
        <is>
          <t>نوفمبر ٢٠٢٦</t>
        </is>
      </c>
      <c r="C49" s="11" t="n">
        <v>30</v>
      </c>
      <c r="D49" s="11">
        <f>$C$44+$C$45*MIN(1,2/$C$46)</f>
        <v/>
      </c>
      <c r="E49" s="46">
        <f>D49*C49</f>
        <v/>
      </c>
      <c r="F49" s="14">
        <f>E49*$C$17</f>
        <v/>
      </c>
      <c r="G49" s="14">
        <f>E49*$C$18/100</f>
        <v/>
      </c>
      <c r="H49" s="14">
        <f>-E49*$C$20/100</f>
        <v/>
      </c>
      <c r="I49" s="47">
        <f>G49+H49</f>
        <v/>
      </c>
    </row>
    <row r="50">
      <c r="B50" s="5" t="inlineStr">
        <is>
          <t>ديسمبر ٢٠٢٦</t>
        </is>
      </c>
      <c r="C50" s="11" t="n">
        <v>31</v>
      </c>
      <c r="D50" s="11">
        <f>$C$44+$C$45*MIN(1,3/$C$46)</f>
        <v/>
      </c>
      <c r="E50" s="46">
        <f>D50*C50</f>
        <v/>
      </c>
      <c r="F50" s="14">
        <f>E50*$C$17</f>
        <v/>
      </c>
      <c r="G50" s="14">
        <f>E50*$C$18/100</f>
        <v/>
      </c>
      <c r="H50" s="14">
        <f>-E50*$C$20/100</f>
        <v/>
      </c>
      <c r="I50" s="47">
        <f>G50+H50</f>
        <v/>
      </c>
    </row>
    <row r="51">
      <c r="B51" s="5" t="inlineStr">
        <is>
          <t>يناير ٢٠٢٧</t>
        </is>
      </c>
      <c r="C51" s="11" t="n">
        <v>31</v>
      </c>
      <c r="D51" s="11">
        <f>$C$44+$C$45*MIN(1,4/$C$46)</f>
        <v/>
      </c>
      <c r="E51" s="46">
        <f>D51*C51</f>
        <v/>
      </c>
      <c r="F51" s="14">
        <f>E51*$C$17</f>
        <v/>
      </c>
      <c r="G51" s="14">
        <f>E51*$C$18/100</f>
        <v/>
      </c>
      <c r="H51" s="14">
        <f>-E51*$C$20/100</f>
        <v/>
      </c>
      <c r="I51" s="47">
        <f>G51+H51</f>
        <v/>
      </c>
    </row>
    <row r="52">
      <c r="B52" s="5" t="inlineStr">
        <is>
          <t>فبراير ٢٠٢٧</t>
        </is>
      </c>
      <c r="C52" s="11" t="n">
        <v>28</v>
      </c>
      <c r="D52" s="11">
        <f>$C$44+$C$45*MIN(1,5/$C$46)</f>
        <v/>
      </c>
      <c r="E52" s="46">
        <f>D52*C52</f>
        <v/>
      </c>
      <c r="F52" s="14">
        <f>E52*$C$17</f>
        <v/>
      </c>
      <c r="G52" s="14">
        <f>E52*$C$18/100</f>
        <v/>
      </c>
      <c r="H52" s="14">
        <f>-E52*$C$20/100</f>
        <v/>
      </c>
      <c r="I52" s="47">
        <f>G52+H52</f>
        <v/>
      </c>
    </row>
    <row r="53">
      <c r="B53" s="5" t="inlineStr">
        <is>
          <t>مارس ٢٠٢٧</t>
        </is>
      </c>
      <c r="C53" s="11" t="n">
        <v>31</v>
      </c>
      <c r="D53" s="11">
        <f>$C$44+$C$45*MIN(1,6/$C$46)</f>
        <v/>
      </c>
      <c r="E53" s="46">
        <f>D53*C53</f>
        <v/>
      </c>
      <c r="F53" s="14">
        <f>E53*$C$17</f>
        <v/>
      </c>
      <c r="G53" s="14">
        <f>E53*$C$18/100</f>
        <v/>
      </c>
      <c r="H53" s="14">
        <f>-E53*$C$20/100</f>
        <v/>
      </c>
      <c r="I53" s="47">
        <f>G53+H53</f>
        <v/>
      </c>
    </row>
    <row r="54">
      <c r="B54" s="5" t="inlineStr">
        <is>
          <t>أبريل ٢٠٢٧</t>
        </is>
      </c>
      <c r="C54" s="11" t="n">
        <v>30</v>
      </c>
      <c r="D54" s="11">
        <f>$C$44+$C$45*MIN(1,7/$C$46)</f>
        <v/>
      </c>
      <c r="E54" s="46">
        <f>D54*C54</f>
        <v/>
      </c>
      <c r="F54" s="14">
        <f>E54*$C$17</f>
        <v/>
      </c>
      <c r="G54" s="14">
        <f>E54*$C$18/100</f>
        <v/>
      </c>
      <c r="H54" s="14">
        <f>-E54*$C$20/100</f>
        <v/>
      </c>
      <c r="I54" s="47">
        <f>G54+H54</f>
        <v/>
      </c>
    </row>
    <row r="55">
      <c r="B55" s="5" t="inlineStr">
        <is>
          <t>مايو ٢٠٢٧</t>
        </is>
      </c>
      <c r="C55" s="11" t="n">
        <v>31</v>
      </c>
      <c r="D55" s="11">
        <f>$C$44+$C$45*MIN(1,8/$C$46)</f>
        <v/>
      </c>
      <c r="E55" s="46">
        <f>D55*C55</f>
        <v/>
      </c>
      <c r="F55" s="14">
        <f>E55*$C$17</f>
        <v/>
      </c>
      <c r="G55" s="14">
        <f>E55*$C$18/100</f>
        <v/>
      </c>
      <c r="H55" s="14">
        <f>-E55*$C$20/100</f>
        <v/>
      </c>
      <c r="I55" s="47">
        <f>G55+H55</f>
        <v/>
      </c>
    </row>
    <row r="56">
      <c r="B56" s="5" t="inlineStr">
        <is>
          <t>يونيو ٢٠٢٧</t>
        </is>
      </c>
      <c r="C56" s="11" t="n">
        <v>30</v>
      </c>
      <c r="D56" s="11">
        <f>$C$44+$C$45*MIN(1,9/$C$46)</f>
        <v/>
      </c>
      <c r="E56" s="46">
        <f>D56*C56</f>
        <v/>
      </c>
      <c r="F56" s="14">
        <f>E56*$C$17</f>
        <v/>
      </c>
      <c r="G56" s="14">
        <f>E56*$C$18/100</f>
        <v/>
      </c>
      <c r="H56" s="14">
        <f>-E56*$C$20/100</f>
        <v/>
      </c>
      <c r="I56" s="47">
        <f>G56+H56</f>
        <v/>
      </c>
    </row>
    <row r="57">
      <c r="B57" s="5" t="inlineStr">
        <is>
          <t>يوليو ٢٠٢٧</t>
        </is>
      </c>
      <c r="C57" s="11" t="n">
        <v>31</v>
      </c>
      <c r="D57" s="11">
        <f>$C$44+$C$45*MIN(1,10/$C$46)</f>
        <v/>
      </c>
      <c r="E57" s="46">
        <f>D57*C57</f>
        <v/>
      </c>
      <c r="F57" s="14">
        <f>E57*$C$17</f>
        <v/>
      </c>
      <c r="G57" s="14">
        <f>E57*$C$18/100</f>
        <v/>
      </c>
      <c r="H57" s="14">
        <f>-E57*$C$20/100</f>
        <v/>
      </c>
      <c r="I57" s="47">
        <f>G57+H57</f>
        <v/>
      </c>
    </row>
    <row r="58">
      <c r="B58" s="5" t="inlineStr">
        <is>
          <t>أغسطس ٢٠٢٧</t>
        </is>
      </c>
      <c r="C58" s="11" t="n">
        <v>31</v>
      </c>
      <c r="D58" s="11">
        <f>$C$44+$C$45*MIN(1,11/$C$46)</f>
        <v/>
      </c>
      <c r="E58" s="46">
        <f>D58*C58</f>
        <v/>
      </c>
      <c r="F58" s="14">
        <f>E58*$C$17</f>
        <v/>
      </c>
      <c r="G58" s="14">
        <f>E58*$C$18/100</f>
        <v/>
      </c>
      <c r="H58" s="14">
        <f>-E58*$C$20/100</f>
        <v/>
      </c>
      <c r="I58" s="47">
        <f>G58+H58</f>
        <v/>
      </c>
    </row>
    <row r="59">
      <c r="B59" s="5" t="inlineStr">
        <is>
          <t>سبتمبر ٢٠٢٧</t>
        </is>
      </c>
      <c r="C59" s="11" t="n">
        <v>30</v>
      </c>
      <c r="D59" s="11">
        <f>$C$44+$C$45*MIN(1,12/$C$46)</f>
        <v/>
      </c>
      <c r="E59" s="46">
        <f>D59*C59</f>
        <v/>
      </c>
      <c r="F59" s="14">
        <f>E59*$C$17</f>
        <v/>
      </c>
      <c r="G59" s="14">
        <f>E59*$C$18/100</f>
        <v/>
      </c>
      <c r="H59" s="14">
        <f>-E59*$C$20/100</f>
        <v/>
      </c>
      <c r="I59" s="47">
        <f>G59+H59</f>
        <v/>
      </c>
    </row>
    <row r="60">
      <c r="B60" s="48" t="inlineStr">
        <is>
          <t>السنة كاملةً</t>
        </is>
      </c>
      <c r="C60" s="49">
        <f>SUM(C48:C59)</f>
        <v/>
      </c>
      <c r="D60" s="49">
        <f>AVERAGE(D48:D59)</f>
        <v/>
      </c>
      <c r="E60" s="49">
        <f>SUM(E48:E59)</f>
        <v/>
      </c>
      <c r="F60" s="47">
        <f>SUM(F48:F59)</f>
        <v/>
      </c>
      <c r="G60" s="47">
        <f>SUM(G48:G59)</f>
        <v/>
      </c>
      <c r="H60" s="47">
        <f>SUM(H48:H59)</f>
        <v/>
      </c>
      <c r="I60" s="47">
        <f>SUM(I48:I59)</f>
        <v/>
      </c>
    </row>
    <row r="61" ht="32" customHeight="1">
      <c r="B61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1" s="20" t="n"/>
      <c r="D61" s="20" t="n"/>
      <c r="E61" s="20" t="n"/>
      <c r="F61" s="20" t="n"/>
      <c r="G61" s="20" t="n"/>
      <c r="H61" s="20" t="n"/>
      <c r="I61" s="20" t="n"/>
    </row>
  </sheetData>
  <mergeCells count="38">
    <mergeCell ref="E21:I21"/>
    <mergeCell ref="E43:I43"/>
    <mergeCell ref="E24:I24"/>
    <mergeCell ref="E23:I23"/>
    <mergeCell ref="E14:I14"/>
    <mergeCell ref="E8:I8"/>
    <mergeCell ref="E17:I17"/>
    <mergeCell ref="B12:I12"/>
    <mergeCell ref="E44:I44"/>
    <mergeCell ref="A2:I2"/>
    <mergeCell ref="E20:I20"/>
    <mergeCell ref="B39:I39"/>
    <mergeCell ref="D37:I37"/>
    <mergeCell ref="E10:I10"/>
    <mergeCell ref="B42:I42"/>
    <mergeCell ref="E13:I13"/>
    <mergeCell ref="E19:I19"/>
    <mergeCell ref="B61:I61"/>
    <mergeCell ref="E9:I9"/>
    <mergeCell ref="E15:I15"/>
    <mergeCell ref="D38:I38"/>
    <mergeCell ref="E6:I6"/>
    <mergeCell ref="E46:I46"/>
    <mergeCell ref="E27:I27"/>
    <mergeCell ref="D35:I35"/>
    <mergeCell ref="E45:I45"/>
    <mergeCell ref="E26:I26"/>
    <mergeCell ref="B40:I40"/>
    <mergeCell ref="D34:I34"/>
    <mergeCell ref="E7:I7"/>
    <mergeCell ref="E16:I16"/>
    <mergeCell ref="E25:I25"/>
    <mergeCell ref="A1:I1"/>
    <mergeCell ref="B5:I5"/>
    <mergeCell ref="D36:I36"/>
    <mergeCell ref="E22:I22"/>
    <mergeCell ref="B4:I4"/>
    <mergeCell ref="E18:I18"/>
  </mergeCells>
  <conditionalFormatting sqref="E48:E59">
    <cfRule type="dataBar" priority="1">
      <dataBar showValue="1">
        <cfvo type="num" val="0"/>
        <cfvo type="max"/>
        <color rgb="00F5831F"/>
      </dataBar>
    </cfRule>
  </conditionalFormatting>
  <conditionalFormatting sqref="I48:I60">
    <cfRule type="cellIs" priority="2" operator="lessThan" dxfId="0">
      <formula>0</formula>
    </cfRule>
  </conditionalFormatting>
  <dataValidations count="1">
    <dataValidation sqref="C19" showDropDown="0" showInputMessage="0" showErrorMessage="0" allowBlank="0" type="list">
      <formula1>"مصاريف نموذج «امتياز» — 0.04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طريق الأمير سلطان  ·  NB130</t>
        </is>
      </c>
    </row>
    <row r="2" ht="16" customHeight="1">
      <c r="A2" s="2" t="inlineStr">
        <is>
          <t>نموذج العمل امتياز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223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-1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-0.004500000000000001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-0.0036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2" ht="22" customHeight="1">
      <c r="B12" s="19" t="inlineStr">
        <is>
          <t>② حاسبة اللتر — قيمته وهامشه ومصاريفه وصافيه</t>
        </is>
      </c>
      <c r="C12" s="20" t="n"/>
      <c r="D12" s="20" t="n"/>
      <c r="E12" s="20" t="n"/>
      <c r="F12" s="20" t="n"/>
      <c r="G12" s="20" t="n"/>
      <c r="H12" s="20" t="n"/>
      <c r="I12" s="20" t="n"/>
    </row>
    <row r="13" ht="30" customHeight="1">
      <c r="A13" s="4" t="inlineStr"/>
      <c r="B13" s="4" t="inlineStr">
        <is>
          <t>البند</t>
        </is>
      </c>
      <c r="C13" s="4" t="inlineStr">
        <is>
          <t>القيمة</t>
        </is>
      </c>
      <c r="D13" s="4" t="inlineStr">
        <is>
          <t>الوحدة</t>
        </is>
      </c>
      <c r="E13" s="4" t="inlineStr">
        <is>
          <t>من أين جاءت</t>
        </is>
      </c>
      <c r="F13" s="21" t="n"/>
      <c r="G13" s="21" t="n"/>
      <c r="H13" s="21" t="n"/>
      <c r="I13" s="22" t="n"/>
    </row>
    <row r="14">
      <c r="B14" s="32" t="inlineStr">
        <is>
          <t>لترات الشهر</t>
        </is>
      </c>
      <c r="C14" s="33" t="n">
        <v>0</v>
      </c>
      <c r="D14" s="24" t="inlineStr">
        <is>
          <t>لتر/شهر</t>
        </is>
      </c>
      <c r="E14" s="25" t="inlineStr">
        <is>
          <t>افتراضيّها معدّل الأداء: — × ٣٠٫٤ يوماً</t>
        </is>
      </c>
      <c r="F14" s="26" t="n"/>
      <c r="G14" s="26" t="n"/>
      <c r="H14" s="26" t="n"/>
      <c r="I14" s="26" t="n"/>
    </row>
    <row r="15">
      <c r="B15" s="32" t="inlineStr">
        <is>
          <t>سعر المضخة — شاملاً الضريبة</t>
        </is>
      </c>
      <c r="C15" s="34" t="n">
        <v>0</v>
      </c>
      <c r="D15" s="24" t="inlineStr">
        <is>
          <t>ريال/لتر</t>
        </is>
      </c>
      <c r="E15" s="45" t="inlineStr">
        <is>
          <t>⛔ لا سعر مقيس لهذه المحطة</t>
        </is>
      </c>
      <c r="F15" s="18" t="n"/>
      <c r="G15" s="18" t="n"/>
      <c r="H15" s="18" t="n"/>
      <c r="I15" s="18" t="n"/>
    </row>
    <row r="16">
      <c r="B16" s="32" t="inlineStr">
        <is>
          <t>هامش الوقود</t>
        </is>
      </c>
      <c r="C16" s="35" t="n">
        <v>-0.0036</v>
      </c>
      <c r="D16" s="24" t="inlineStr">
        <is>
          <t>٪ من الإيراد قبل الضريبة</t>
        </is>
      </c>
      <c r="E16" s="25" t="inlineStr">
        <is>
          <t>هامش الوقود المقيس في تقرير المالية</t>
        </is>
      </c>
      <c r="F16" s="26" t="n"/>
      <c r="G16" s="26" t="n"/>
      <c r="H16" s="26" t="n"/>
      <c r="I16" s="26" t="n"/>
    </row>
    <row r="17">
      <c r="B17" s="36" t="inlineStr">
        <is>
          <t>① قيمة اللتر — قبل الضريبة</t>
        </is>
      </c>
      <c r="C17" s="37">
        <f>$C$15/1.15</f>
        <v/>
      </c>
      <c r="D17" s="24" t="inlineStr">
        <is>
          <t>ريال/لتر</t>
        </is>
      </c>
      <c r="E17" s="25" t="inlineStr">
        <is>
          <t>الصيغة: سعر المضخة ÷ ١٫١٥ · وهي قيمته التي يُحسب عليها الهامش</t>
        </is>
      </c>
      <c r="F17" s="26" t="n"/>
      <c r="G17" s="26" t="n"/>
      <c r="H17" s="26" t="n"/>
      <c r="I17" s="26" t="n"/>
    </row>
    <row r="18">
      <c r="B18" s="36" t="inlineStr">
        <is>
          <t>② هامش الربح للتر</t>
        </is>
      </c>
      <c r="C18" s="38">
        <f>$C$17*$C$16*100</f>
        <v/>
      </c>
      <c r="D18" s="24" t="inlineStr">
        <is>
          <t>هللة/لتر</t>
        </is>
      </c>
      <c r="E18" s="25" t="inlineStr">
        <is>
          <t>الصيغة: قيمة اللتر قبل الضريبة × هامش الوقود · هامش المساهمة قبل أي مصروف</t>
        </is>
      </c>
      <c r="F18" s="26" t="n"/>
      <c r="G18" s="26" t="n"/>
      <c r="H18" s="26" t="n"/>
      <c r="I18" s="26" t="n"/>
    </row>
    <row r="19">
      <c r="B19" s="32" t="inlineStr">
        <is>
          <t>أساس المصاريف</t>
        </is>
      </c>
      <c r="C19" s="39" t="inlineStr">
        <is>
          <t>مصاريف نموذج «امتياز» — 0.04 هللة/لتر</t>
        </is>
      </c>
      <c r="D19" s="24" t="inlineStr">
        <is>
          <t>اختر</t>
        </is>
      </c>
      <c r="E19" s="25" t="inlineStr">
        <is>
          <t>ثلاثة أُسُس ولكلٍّ مصدره — الجدول أسفل الحاسبة</t>
        </is>
      </c>
      <c r="F19" s="26" t="n"/>
      <c r="G19" s="26" t="n"/>
      <c r="H19" s="26" t="n"/>
      <c r="I19" s="26" t="n"/>
    </row>
    <row r="20">
      <c r="B20" s="36" t="inlineStr">
        <is>
          <t>③ المصاريف للتر</t>
        </is>
      </c>
      <c r="C20" s="38">
        <f>VLOOKUP($C$19,$B$35:$C$38,2,FALSE)</f>
        <v/>
      </c>
      <c r="D20" s="24" t="inlineStr">
        <is>
          <t>هللة/لتر</t>
        </is>
      </c>
      <c r="E20" s="25" t="inlineStr">
        <is>
          <t>من الأساس المختار أعلاه</t>
        </is>
      </c>
      <c r="F20" s="26" t="n"/>
      <c r="G20" s="26" t="n"/>
      <c r="H20" s="26" t="n"/>
      <c r="I20" s="26" t="n"/>
    </row>
    <row r="21">
      <c r="B21" s="36" t="inlineStr">
        <is>
          <t>④ صافي اللتر</t>
        </is>
      </c>
      <c r="C21" s="38">
        <f>$C$18-$C$20</f>
        <v/>
      </c>
      <c r="D21" s="24" t="inlineStr">
        <is>
          <t>هللة/لتر</t>
        </is>
      </c>
      <c r="E21" s="25" t="inlineStr">
        <is>
          <t>الصيغة: الهامش − المصاريف · وهو ما يبقى فعلاً من كل لتر</t>
        </is>
      </c>
      <c r="F21" s="26" t="n"/>
      <c r="G21" s="26" t="n"/>
      <c r="H21" s="26" t="n"/>
      <c r="I21" s="26" t="n"/>
    </row>
    <row r="22" ht="30" customHeight="1">
      <c r="A22" s="4" t="inlineStr"/>
      <c r="B22" s="4" t="inlineStr">
        <is>
          <t>وبالريال لشهرٍ كامل</t>
        </is>
      </c>
      <c r="C22" s="4" t="inlineStr">
        <is>
          <t>في الشهر</t>
        </is>
      </c>
      <c r="D22" s="4" t="inlineStr">
        <is>
          <t>الوحدة</t>
        </is>
      </c>
      <c r="E22" s="4" t="inlineStr">
        <is>
          <t>الصيغة</t>
        </is>
      </c>
      <c r="F22" s="21" t="n"/>
      <c r="G22" s="21" t="n"/>
      <c r="H22" s="21" t="n"/>
      <c r="I22" s="22" t="n"/>
    </row>
    <row r="23">
      <c r="B23" s="32" t="inlineStr">
        <is>
          <t>المبيعات قبل الضريبة</t>
        </is>
      </c>
      <c r="C23" s="40">
        <f>$C$14*$C$17</f>
        <v/>
      </c>
      <c r="D23" s="24" t="inlineStr">
        <is>
          <t>ريال</t>
        </is>
      </c>
      <c r="E23" s="25" t="inlineStr">
        <is>
          <t>لترات الشهر × قيمة اللتر قبل الضريبة</t>
        </is>
      </c>
      <c r="F23" s="26" t="n"/>
      <c r="G23" s="26" t="n"/>
      <c r="H23" s="26" t="n"/>
      <c r="I23" s="26" t="n"/>
    </row>
    <row r="24">
      <c r="B24" s="32" t="inlineStr">
        <is>
          <t>وشاملةً الضريبة</t>
        </is>
      </c>
      <c r="C24" s="40">
        <f>C23*1.15</f>
        <v/>
      </c>
      <c r="D24" s="24" t="inlineStr">
        <is>
          <t>ريال</t>
        </is>
      </c>
      <c r="E24" s="25" t="inlineStr">
        <is>
          <t>وهو ما يُسجَّل على المضخة</t>
        </is>
      </c>
      <c r="F24" s="26" t="n"/>
      <c r="G24" s="26" t="n"/>
      <c r="H24" s="26" t="n"/>
      <c r="I24" s="26" t="n"/>
    </row>
    <row r="25">
      <c r="B25" s="32" t="inlineStr">
        <is>
          <t>هامش الربح</t>
        </is>
      </c>
      <c r="C25" s="27">
        <f>$C$14*$C$18/100</f>
        <v/>
      </c>
      <c r="D25" s="24" t="inlineStr">
        <is>
          <t>ريال</t>
        </is>
      </c>
      <c r="E25" s="25" t="inlineStr">
        <is>
          <t>لترات الشهر × هامش اللتر</t>
        </is>
      </c>
      <c r="F25" s="26" t="n"/>
      <c r="G25" s="26" t="n"/>
      <c r="H25" s="26" t="n"/>
      <c r="I25" s="26" t="n"/>
    </row>
    <row r="26">
      <c r="B26" s="32" t="inlineStr">
        <is>
          <t>المصاريف</t>
        </is>
      </c>
      <c r="C26" s="41">
        <f>-$C$14*$C$20/100</f>
        <v/>
      </c>
      <c r="D26" s="24" t="inlineStr">
        <is>
          <t>ريال</t>
        </is>
      </c>
      <c r="E26" s="25" t="inlineStr">
        <is>
          <t>لترات الشهر × مصاريف اللتر</t>
        </is>
      </c>
      <c r="F26" s="26" t="n"/>
      <c r="G26" s="26" t="n"/>
      <c r="H26" s="26" t="n"/>
      <c r="I26" s="26" t="n"/>
    </row>
    <row r="27">
      <c r="B27" s="36" t="inlineStr">
        <is>
          <t>الصافي</t>
        </is>
      </c>
      <c r="C27" s="42">
        <f>C25+C26</f>
        <v/>
      </c>
      <c r="D27" s="24" t="inlineStr">
        <is>
          <t>ريال</t>
        </is>
      </c>
      <c r="E27" s="25" t="inlineStr">
        <is>
          <t>الهامش − المصاريف</t>
        </is>
      </c>
      <c r="F27" s="26" t="n"/>
      <c r="G27" s="26" t="n"/>
      <c r="H27" s="26" t="n"/>
      <c r="I27" s="26" t="n"/>
    </row>
    <row r="34" ht="30" customHeight="1">
      <c r="A34" s="4" t="inlineStr"/>
      <c r="B34" s="4" t="inlineStr">
        <is>
          <t>أساس المصاريف</t>
        </is>
      </c>
      <c r="C34" s="4" t="inlineStr">
        <is>
          <t>هللة/لتر</t>
        </is>
      </c>
      <c r="D34" s="4" t="inlineStr">
        <is>
          <t>المصدر والتحفّظ</t>
        </is>
      </c>
      <c r="E34" s="21" t="n"/>
      <c r="F34" s="21" t="n"/>
      <c r="G34" s="21" t="n"/>
      <c r="H34" s="21" t="n"/>
      <c r="I34" s="22" t="n"/>
    </row>
    <row r="35">
      <c r="B35" s="5" t="inlineStr">
        <is>
          <t>مصاريف نموذج «امتياز» — 0.04 هللة/لتر</t>
        </is>
      </c>
      <c r="C35" s="13" t="n">
        <v>0.04</v>
      </c>
      <c r="D35" s="25" t="inlineStr">
        <is>
          <t>مصاريف تشغيل محطات امتياز في قائمة الدخل ÷ لتراتها — وهو الأقرب لهذه المحطة</t>
        </is>
      </c>
      <c r="E35" s="26" t="n"/>
      <c r="F35" s="26" t="n"/>
      <c r="G35" s="26" t="n"/>
      <c r="H35" s="26" t="n"/>
      <c r="I35" s="26" t="n"/>
    </row>
    <row r="36">
      <c r="B36" s="43" t="inlineStr">
        <is>
          <t>متوسط محطاتنا — ٩٫١٥ هللة/لتر</t>
        </is>
      </c>
      <c r="C36" s="44" t="n">
        <v>9.15</v>
      </c>
      <c r="D36" s="25" t="inlineStr">
        <is>
          <t>مصاريف تشغيل محطاتنا الـ٤٩ (دون الامتياز) ÷ لتراتها</t>
        </is>
      </c>
      <c r="E36" s="26" t="n"/>
      <c r="F36" s="26" t="n"/>
      <c r="G36" s="26" t="n"/>
      <c r="H36" s="26" t="n"/>
      <c r="I36" s="26" t="n"/>
    </row>
    <row r="37">
      <c r="B37" s="43" t="inlineStr">
        <is>
          <t>المحمَّل الكامل — ١٣٫٥٦ هللة/لتر</t>
        </is>
      </c>
      <c r="C37" s="44" t="n">
        <v>13.56</v>
      </c>
      <c r="D37" s="25" t="inlineStr">
        <is>
          <t>يُضاف إليها بيعٌ وتسويق وإدارة وفوائد — لقرار رأس المال لا للتشغيل</t>
        </is>
      </c>
      <c r="E37" s="26" t="n"/>
      <c r="F37" s="26" t="n"/>
      <c r="G37" s="26" t="n"/>
      <c r="H37" s="26" t="n"/>
      <c r="I37" s="26" t="n"/>
    </row>
    <row r="38">
      <c r="B38" s="43" t="inlineStr">
        <is>
          <t>المقيس في تقرير الربع الثاني</t>
        </is>
      </c>
      <c r="C38" s="44" t="n">
        <v>0</v>
      </c>
      <c r="D38" s="45" t="inlineStr">
        <is>
          <t>⛔ لا أجور ولا مرافق مسجَّلة لهذه المحطة — لا تختر هذا الأساس</t>
        </is>
      </c>
      <c r="E38" s="18" t="n"/>
      <c r="F38" s="18" t="n"/>
      <c r="G38" s="18" t="n"/>
      <c r="H38" s="18" t="n"/>
      <c r="I38" s="18" t="n"/>
    </row>
    <row r="39" ht="26" customHeight="1">
      <c r="B39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39" s="18" t="n"/>
      <c r="D39" s="18" t="n"/>
      <c r="E39" s="18" t="n"/>
      <c r="F39" s="18" t="n"/>
      <c r="G39" s="18" t="n"/>
      <c r="H39" s="18" t="n"/>
      <c r="I39" s="18" t="n"/>
    </row>
    <row r="40" ht="32" customHeight="1">
      <c r="B40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0" s="18" t="n"/>
      <c r="D40" s="18" t="n"/>
      <c r="E40" s="18" t="n"/>
      <c r="F40" s="18" t="n"/>
      <c r="G40" s="18" t="n"/>
      <c r="H40" s="18" t="n"/>
      <c r="I40" s="18" t="n"/>
    </row>
    <row r="42" ht="22" customHeight="1">
      <c r="B42" s="19" t="inlineStr">
        <is>
          <t>③ المستهدف الشهري — اثنا عشر شهراً</t>
        </is>
      </c>
      <c r="C42" s="20" t="n"/>
      <c r="D42" s="20" t="n"/>
      <c r="E42" s="20" t="n"/>
      <c r="F42" s="20" t="n"/>
      <c r="G42" s="20" t="n"/>
      <c r="H42" s="20" t="n"/>
      <c r="I42" s="20" t="n"/>
    </row>
    <row r="43" ht="30" customHeight="1">
      <c r="A43" s="4" t="inlineStr"/>
      <c r="B43" s="4" t="inlineStr">
        <is>
          <t>الأساس</t>
        </is>
      </c>
      <c r="C43" s="4" t="inlineStr">
        <is>
          <t>القيمة</t>
        </is>
      </c>
      <c r="D43" s="4" t="inlineStr">
        <is>
          <t>الوحدة</t>
        </is>
      </c>
      <c r="E43" s="4" t="inlineStr">
        <is>
          <t>من أين جاءت</t>
        </is>
      </c>
      <c r="F43" s="21" t="n"/>
      <c r="G43" s="21" t="n"/>
      <c r="H43" s="21" t="n"/>
      <c r="I43" s="22" t="n"/>
    </row>
    <row r="44">
      <c r="B44" s="5" t="inlineStr">
        <is>
          <t>خط الأساس</t>
        </is>
      </c>
      <c r="C44" s="11" t="n">
        <v>0</v>
      </c>
      <c r="D44" s="24" t="inlineStr">
        <is>
          <t>لتر/يوم</t>
        </is>
      </c>
      <c r="E44" s="25" t="inlineStr">
        <is>
          <t>—</t>
        </is>
      </c>
      <c r="F44" s="26" t="n"/>
      <c r="G44" s="26" t="n"/>
      <c r="H44" s="26" t="n"/>
      <c r="I44" s="26" t="n"/>
    </row>
    <row r="45">
      <c r="B45" s="5" t="inlineStr">
        <is>
          <t>الإضافة المستهدفة</t>
        </is>
      </c>
      <c r="C45" s="33" t="n">
        <v>0</v>
      </c>
      <c r="D45" s="24" t="inlineStr">
        <is>
          <t>لتر/يوم</t>
        </is>
      </c>
      <c r="E45" s="25" t="inlineStr">
        <is>
          <t>لا فجوة ذروة مقيسة لهذه المحطة — المستهدف ثباتُ الأداء</t>
        </is>
      </c>
      <c r="F45" s="26" t="n"/>
      <c r="G45" s="26" t="n"/>
      <c r="H45" s="26" t="n"/>
      <c r="I45" s="26" t="n"/>
    </row>
    <row r="46">
      <c r="B46" s="5" t="inlineStr">
        <is>
          <t>أشهر التدرّج</t>
        </is>
      </c>
      <c r="C46" s="33" t="n">
        <v>6</v>
      </c>
      <c r="D46" s="24" t="inlineStr">
        <is>
          <t>شهر</t>
        </is>
      </c>
      <c r="E46" s="25" t="inlineStr">
        <is>
          <t>يُبلغ المستهدف كاملاً في الشهر السادس ثم يثبت</t>
        </is>
      </c>
      <c r="F46" s="26" t="n"/>
      <c r="G46" s="26" t="n"/>
      <c r="H46" s="26" t="n"/>
      <c r="I46" s="26" t="n"/>
    </row>
    <row r="47" ht="26" customHeight="1">
      <c r="A47" s="4" t="inlineStr"/>
      <c r="B47" s="4" t="inlineStr">
        <is>
          <t>الشهر</t>
        </is>
      </c>
      <c r="C47" s="4" t="inlineStr">
        <is>
          <t>أيام</t>
        </is>
      </c>
      <c r="D47" s="4" t="inlineStr">
        <is>
          <t>لتر/يوم</t>
        </is>
      </c>
      <c r="E47" s="4" t="inlineStr">
        <is>
          <t>لترات الشهر</t>
        </is>
      </c>
      <c r="F47" s="4" t="inlineStr">
        <is>
          <t>المبيعات قبل الضريبة</t>
        </is>
      </c>
      <c r="G47" s="4" t="inlineStr">
        <is>
          <t>هامش الربح</t>
        </is>
      </c>
      <c r="H47" s="4" t="inlineStr">
        <is>
          <t>المصاريف</t>
        </is>
      </c>
      <c r="I47" s="4" t="inlineStr">
        <is>
          <t>الصافي</t>
        </is>
      </c>
    </row>
    <row r="48">
      <c r="B48" s="5" t="inlineStr">
        <is>
          <t>أكتوبر ٢٠٢٦</t>
        </is>
      </c>
      <c r="C48" s="11" t="n">
        <v>31</v>
      </c>
      <c r="D48" s="11">
        <f>$C$44+$C$45*MIN(1,1/$C$46)</f>
        <v/>
      </c>
      <c r="E48" s="46">
        <f>D48*C48</f>
        <v/>
      </c>
      <c r="F48" s="14">
        <f>E48*$C$17</f>
        <v/>
      </c>
      <c r="G48" s="14">
        <f>E48*$C$18/100</f>
        <v/>
      </c>
      <c r="H48" s="14">
        <f>-E48*$C$20/100</f>
        <v/>
      </c>
      <c r="I48" s="47">
        <f>G48+H48</f>
        <v/>
      </c>
    </row>
    <row r="49">
      <c r="B49" s="5" t="inlineStr">
        <is>
          <t>نوفمبر ٢٠٢٦</t>
        </is>
      </c>
      <c r="C49" s="11" t="n">
        <v>30</v>
      </c>
      <c r="D49" s="11">
        <f>$C$44+$C$45*MIN(1,2/$C$46)</f>
        <v/>
      </c>
      <c r="E49" s="46">
        <f>D49*C49</f>
        <v/>
      </c>
      <c r="F49" s="14">
        <f>E49*$C$17</f>
        <v/>
      </c>
      <c r="G49" s="14">
        <f>E49*$C$18/100</f>
        <v/>
      </c>
      <c r="H49" s="14">
        <f>-E49*$C$20/100</f>
        <v/>
      </c>
      <c r="I49" s="47">
        <f>G49+H49</f>
        <v/>
      </c>
    </row>
    <row r="50">
      <c r="B50" s="5" t="inlineStr">
        <is>
          <t>ديسمبر ٢٠٢٦</t>
        </is>
      </c>
      <c r="C50" s="11" t="n">
        <v>31</v>
      </c>
      <c r="D50" s="11">
        <f>$C$44+$C$45*MIN(1,3/$C$46)</f>
        <v/>
      </c>
      <c r="E50" s="46">
        <f>D50*C50</f>
        <v/>
      </c>
      <c r="F50" s="14">
        <f>E50*$C$17</f>
        <v/>
      </c>
      <c r="G50" s="14">
        <f>E50*$C$18/100</f>
        <v/>
      </c>
      <c r="H50" s="14">
        <f>-E50*$C$20/100</f>
        <v/>
      </c>
      <c r="I50" s="47">
        <f>G50+H50</f>
        <v/>
      </c>
    </row>
    <row r="51">
      <c r="B51" s="5" t="inlineStr">
        <is>
          <t>يناير ٢٠٢٧</t>
        </is>
      </c>
      <c r="C51" s="11" t="n">
        <v>31</v>
      </c>
      <c r="D51" s="11">
        <f>$C$44+$C$45*MIN(1,4/$C$46)</f>
        <v/>
      </c>
      <c r="E51" s="46">
        <f>D51*C51</f>
        <v/>
      </c>
      <c r="F51" s="14">
        <f>E51*$C$17</f>
        <v/>
      </c>
      <c r="G51" s="14">
        <f>E51*$C$18/100</f>
        <v/>
      </c>
      <c r="H51" s="14">
        <f>-E51*$C$20/100</f>
        <v/>
      </c>
      <c r="I51" s="47">
        <f>G51+H51</f>
        <v/>
      </c>
    </row>
    <row r="52">
      <c r="B52" s="5" t="inlineStr">
        <is>
          <t>فبراير ٢٠٢٧</t>
        </is>
      </c>
      <c r="C52" s="11" t="n">
        <v>28</v>
      </c>
      <c r="D52" s="11">
        <f>$C$44+$C$45*MIN(1,5/$C$46)</f>
        <v/>
      </c>
      <c r="E52" s="46">
        <f>D52*C52</f>
        <v/>
      </c>
      <c r="F52" s="14">
        <f>E52*$C$17</f>
        <v/>
      </c>
      <c r="G52" s="14">
        <f>E52*$C$18/100</f>
        <v/>
      </c>
      <c r="H52" s="14">
        <f>-E52*$C$20/100</f>
        <v/>
      </c>
      <c r="I52" s="47">
        <f>G52+H52</f>
        <v/>
      </c>
    </row>
    <row r="53">
      <c r="B53" s="5" t="inlineStr">
        <is>
          <t>مارس ٢٠٢٧</t>
        </is>
      </c>
      <c r="C53" s="11" t="n">
        <v>31</v>
      </c>
      <c r="D53" s="11">
        <f>$C$44+$C$45*MIN(1,6/$C$46)</f>
        <v/>
      </c>
      <c r="E53" s="46">
        <f>D53*C53</f>
        <v/>
      </c>
      <c r="F53" s="14">
        <f>E53*$C$17</f>
        <v/>
      </c>
      <c r="G53" s="14">
        <f>E53*$C$18/100</f>
        <v/>
      </c>
      <c r="H53" s="14">
        <f>-E53*$C$20/100</f>
        <v/>
      </c>
      <c r="I53" s="47">
        <f>G53+H53</f>
        <v/>
      </c>
    </row>
    <row r="54">
      <c r="B54" s="5" t="inlineStr">
        <is>
          <t>أبريل ٢٠٢٧</t>
        </is>
      </c>
      <c r="C54" s="11" t="n">
        <v>30</v>
      </c>
      <c r="D54" s="11">
        <f>$C$44+$C$45*MIN(1,7/$C$46)</f>
        <v/>
      </c>
      <c r="E54" s="46">
        <f>D54*C54</f>
        <v/>
      </c>
      <c r="F54" s="14">
        <f>E54*$C$17</f>
        <v/>
      </c>
      <c r="G54" s="14">
        <f>E54*$C$18/100</f>
        <v/>
      </c>
      <c r="H54" s="14">
        <f>-E54*$C$20/100</f>
        <v/>
      </c>
      <c r="I54" s="47">
        <f>G54+H54</f>
        <v/>
      </c>
    </row>
    <row r="55">
      <c r="B55" s="5" t="inlineStr">
        <is>
          <t>مايو ٢٠٢٧</t>
        </is>
      </c>
      <c r="C55" s="11" t="n">
        <v>31</v>
      </c>
      <c r="D55" s="11">
        <f>$C$44+$C$45*MIN(1,8/$C$46)</f>
        <v/>
      </c>
      <c r="E55" s="46">
        <f>D55*C55</f>
        <v/>
      </c>
      <c r="F55" s="14">
        <f>E55*$C$17</f>
        <v/>
      </c>
      <c r="G55" s="14">
        <f>E55*$C$18/100</f>
        <v/>
      </c>
      <c r="H55" s="14">
        <f>-E55*$C$20/100</f>
        <v/>
      </c>
      <c r="I55" s="47">
        <f>G55+H55</f>
        <v/>
      </c>
    </row>
    <row r="56">
      <c r="B56" s="5" t="inlineStr">
        <is>
          <t>يونيو ٢٠٢٧</t>
        </is>
      </c>
      <c r="C56" s="11" t="n">
        <v>30</v>
      </c>
      <c r="D56" s="11">
        <f>$C$44+$C$45*MIN(1,9/$C$46)</f>
        <v/>
      </c>
      <c r="E56" s="46">
        <f>D56*C56</f>
        <v/>
      </c>
      <c r="F56" s="14">
        <f>E56*$C$17</f>
        <v/>
      </c>
      <c r="G56" s="14">
        <f>E56*$C$18/100</f>
        <v/>
      </c>
      <c r="H56" s="14">
        <f>-E56*$C$20/100</f>
        <v/>
      </c>
      <c r="I56" s="47">
        <f>G56+H56</f>
        <v/>
      </c>
    </row>
    <row r="57">
      <c r="B57" s="5" t="inlineStr">
        <is>
          <t>يوليو ٢٠٢٧</t>
        </is>
      </c>
      <c r="C57" s="11" t="n">
        <v>31</v>
      </c>
      <c r="D57" s="11">
        <f>$C$44+$C$45*MIN(1,10/$C$46)</f>
        <v/>
      </c>
      <c r="E57" s="46">
        <f>D57*C57</f>
        <v/>
      </c>
      <c r="F57" s="14">
        <f>E57*$C$17</f>
        <v/>
      </c>
      <c r="G57" s="14">
        <f>E57*$C$18/100</f>
        <v/>
      </c>
      <c r="H57" s="14">
        <f>-E57*$C$20/100</f>
        <v/>
      </c>
      <c r="I57" s="47">
        <f>G57+H57</f>
        <v/>
      </c>
    </row>
    <row r="58">
      <c r="B58" s="5" t="inlineStr">
        <is>
          <t>أغسطس ٢٠٢٧</t>
        </is>
      </c>
      <c r="C58" s="11" t="n">
        <v>31</v>
      </c>
      <c r="D58" s="11">
        <f>$C$44+$C$45*MIN(1,11/$C$46)</f>
        <v/>
      </c>
      <c r="E58" s="46">
        <f>D58*C58</f>
        <v/>
      </c>
      <c r="F58" s="14">
        <f>E58*$C$17</f>
        <v/>
      </c>
      <c r="G58" s="14">
        <f>E58*$C$18/100</f>
        <v/>
      </c>
      <c r="H58" s="14">
        <f>-E58*$C$20/100</f>
        <v/>
      </c>
      <c r="I58" s="47">
        <f>G58+H58</f>
        <v/>
      </c>
    </row>
    <row r="59">
      <c r="B59" s="5" t="inlineStr">
        <is>
          <t>سبتمبر ٢٠٢٧</t>
        </is>
      </c>
      <c r="C59" s="11" t="n">
        <v>30</v>
      </c>
      <c r="D59" s="11">
        <f>$C$44+$C$45*MIN(1,12/$C$46)</f>
        <v/>
      </c>
      <c r="E59" s="46">
        <f>D59*C59</f>
        <v/>
      </c>
      <c r="F59" s="14">
        <f>E59*$C$17</f>
        <v/>
      </c>
      <c r="G59" s="14">
        <f>E59*$C$18/100</f>
        <v/>
      </c>
      <c r="H59" s="14">
        <f>-E59*$C$20/100</f>
        <v/>
      </c>
      <c r="I59" s="47">
        <f>G59+H59</f>
        <v/>
      </c>
    </row>
    <row r="60">
      <c r="B60" s="48" t="inlineStr">
        <is>
          <t>السنة كاملةً</t>
        </is>
      </c>
      <c r="C60" s="49">
        <f>SUM(C48:C59)</f>
        <v/>
      </c>
      <c r="D60" s="49">
        <f>AVERAGE(D48:D59)</f>
        <v/>
      </c>
      <c r="E60" s="49">
        <f>SUM(E48:E59)</f>
        <v/>
      </c>
      <c r="F60" s="47">
        <f>SUM(F48:F59)</f>
        <v/>
      </c>
      <c r="G60" s="47">
        <f>SUM(G48:G59)</f>
        <v/>
      </c>
      <c r="H60" s="47">
        <f>SUM(H48:H59)</f>
        <v/>
      </c>
      <c r="I60" s="47">
        <f>SUM(I48:I59)</f>
        <v/>
      </c>
    </row>
    <row r="61" ht="32" customHeight="1">
      <c r="B61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1" s="20" t="n"/>
      <c r="D61" s="20" t="n"/>
      <c r="E61" s="20" t="n"/>
      <c r="F61" s="20" t="n"/>
      <c r="G61" s="20" t="n"/>
      <c r="H61" s="20" t="n"/>
      <c r="I61" s="20" t="n"/>
    </row>
  </sheetData>
  <mergeCells count="38">
    <mergeCell ref="E21:I21"/>
    <mergeCell ref="E43:I43"/>
    <mergeCell ref="E24:I24"/>
    <mergeCell ref="E23:I23"/>
    <mergeCell ref="E14:I14"/>
    <mergeCell ref="E8:I8"/>
    <mergeCell ref="E17:I17"/>
    <mergeCell ref="B12:I12"/>
    <mergeCell ref="E44:I44"/>
    <mergeCell ref="A2:I2"/>
    <mergeCell ref="E20:I20"/>
    <mergeCell ref="B39:I39"/>
    <mergeCell ref="D37:I37"/>
    <mergeCell ref="E10:I10"/>
    <mergeCell ref="B42:I42"/>
    <mergeCell ref="E13:I13"/>
    <mergeCell ref="E19:I19"/>
    <mergeCell ref="B61:I61"/>
    <mergeCell ref="E9:I9"/>
    <mergeCell ref="E15:I15"/>
    <mergeCell ref="D38:I38"/>
    <mergeCell ref="E6:I6"/>
    <mergeCell ref="E46:I46"/>
    <mergeCell ref="E27:I27"/>
    <mergeCell ref="D35:I35"/>
    <mergeCell ref="E45:I45"/>
    <mergeCell ref="E26:I26"/>
    <mergeCell ref="B40:I40"/>
    <mergeCell ref="D34:I34"/>
    <mergeCell ref="E7:I7"/>
    <mergeCell ref="E16:I16"/>
    <mergeCell ref="E25:I25"/>
    <mergeCell ref="A1:I1"/>
    <mergeCell ref="B5:I5"/>
    <mergeCell ref="D36:I36"/>
    <mergeCell ref="E22:I22"/>
    <mergeCell ref="B4:I4"/>
    <mergeCell ref="E18:I18"/>
  </mergeCells>
  <conditionalFormatting sqref="E48:E59">
    <cfRule type="dataBar" priority="1">
      <dataBar showValue="1">
        <cfvo type="num" val="0"/>
        <cfvo type="max"/>
        <color rgb="00F5831F"/>
      </dataBar>
    </cfRule>
  </conditionalFormatting>
  <conditionalFormatting sqref="I48:I60">
    <cfRule type="cellIs" priority="2" operator="lessThan" dxfId="0">
      <formula>0</formula>
    </cfRule>
  </conditionalFormatting>
  <dataValidations count="1">
    <dataValidation sqref="C19" showDropDown="0" showInputMessage="0" showErrorMessage="0" allowBlank="0" type="list">
      <formula1>"مصاريف نموذج «امتياز» — 0.04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</cols>
  <sheetData>
    <row r="1" ht="26" customHeight="1">
      <c r="A1" s="1" t="inlineStr">
        <is>
          <t>السيا  ·  TB032</t>
        </is>
      </c>
    </row>
    <row r="2" ht="16" customHeight="1">
      <c r="A2" s="2" t="inlineStr">
        <is>
          <t>نموذج العمل امتياز · خاسرة في تقرير المالية · مصدر الأداء: تقرير المالية وكاش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B4" s="19" t="inlineStr">
        <is>
          <t>① الأداء — كما وصلنا من التقارير</t>
        </is>
      </c>
      <c r="C4" s="20" t="n"/>
      <c r="D4" s="20" t="n"/>
      <c r="E4" s="20" t="n"/>
      <c r="F4" s="20" t="n"/>
      <c r="G4" s="20" t="n"/>
      <c r="H4" s="20" t="n"/>
      <c r="I4" s="20" t="n"/>
    </row>
    <row r="5" ht="26" customHeight="1">
      <c r="B5" s="17" t="inlineStr">
        <is>
          <t>لا تقرير ربعيّ لهذه المحطة — تقرير الربحية يغطّي المحطات المشغّلة وحدها. والمتاح عنها أدناه.</t>
        </is>
      </c>
      <c r="C5" s="18" t="n"/>
      <c r="D5" s="18" t="n"/>
      <c r="E5" s="18" t="n"/>
      <c r="F5" s="18" t="n"/>
      <c r="G5" s="18" t="n"/>
      <c r="H5" s="18" t="n"/>
      <c r="I5" s="18" t="n"/>
    </row>
    <row r="6" ht="30" customHeight="1">
      <c r="A6" s="4" t="inlineStr"/>
      <c r="B6" s="4" t="inlineStr">
        <is>
          <t>من تقرير المالية</t>
        </is>
      </c>
      <c r="C6" s="4" t="inlineStr">
        <is>
          <t>القيمة</t>
        </is>
      </c>
      <c r="D6" s="4" t="inlineStr">
        <is>
          <t>الوحدة</t>
        </is>
      </c>
      <c r="E6" s="4" t="inlineStr">
        <is>
          <t>الملاحظة</t>
        </is>
      </c>
      <c r="F6" s="21" t="n"/>
      <c r="G6" s="21" t="n"/>
      <c r="H6" s="21" t="n"/>
      <c r="I6" s="22" t="n"/>
    </row>
    <row r="7">
      <c r="B7" s="5" t="inlineStr">
        <is>
          <t>الإيراد</t>
        </is>
      </c>
      <c r="C7" s="23" t="n">
        <v>346</v>
      </c>
      <c r="D7" s="24" t="inlineStr">
        <is>
          <t>ألف ريال</t>
        </is>
      </c>
      <c r="E7" s="25" t="inlineStr">
        <is>
          <t>تراكمي يوليو ٢٠٢٦</t>
        </is>
      </c>
      <c r="F7" s="26" t="n"/>
      <c r="G7" s="26" t="n"/>
      <c r="H7" s="26" t="n"/>
      <c r="I7" s="26" t="n"/>
    </row>
    <row r="8">
      <c r="B8" s="5" t="inlineStr">
        <is>
          <t>صافي الدخل</t>
        </is>
      </c>
      <c r="C8" s="41" t="n">
        <v>-12</v>
      </c>
      <c r="D8" s="24" t="inlineStr">
        <is>
          <t>ألف ريال</t>
        </is>
      </c>
      <c r="E8" s="25" t="inlineStr">
        <is>
          <t>بعد المحمَّلات والفوائد</t>
        </is>
      </c>
      <c r="F8" s="26" t="n"/>
      <c r="G8" s="26" t="n"/>
      <c r="H8" s="26" t="n"/>
      <c r="I8" s="26" t="n"/>
    </row>
    <row r="9">
      <c r="B9" s="5" t="inlineStr">
        <is>
          <t>هامش الصافي</t>
        </is>
      </c>
      <c r="C9" s="28" t="n">
        <v>-0.0347</v>
      </c>
      <c r="D9" s="24" t="inlineStr">
        <is>
          <t>٪</t>
        </is>
      </c>
      <c r="E9" s="25" t="inlineStr"/>
      <c r="F9" s="26" t="n"/>
      <c r="G9" s="26" t="n"/>
      <c r="H9" s="26" t="n"/>
      <c r="I9" s="26" t="n"/>
    </row>
    <row r="10">
      <c r="B10" s="5" t="inlineStr">
        <is>
          <t>هامش الوقود</t>
        </is>
      </c>
      <c r="C10" s="28" t="n">
        <v>0.0192</v>
      </c>
      <c r="D10" s="24" t="inlineStr">
        <is>
          <t>٪ من الإيراد</t>
        </is>
      </c>
      <c r="E10" s="25" t="inlineStr">
        <is>
          <t>وهو أساس حاسبة اللتر أدناه</t>
        </is>
      </c>
      <c r="F10" s="26" t="n"/>
      <c r="G10" s="26" t="n"/>
      <c r="H10" s="26" t="n"/>
      <c r="I10" s="26" t="n"/>
    </row>
    <row r="12" ht="22" customHeight="1">
      <c r="B12" s="19" t="inlineStr">
        <is>
          <t>② حاسبة اللتر — قيمته وهامشه ومصاريفه وصافيه</t>
        </is>
      </c>
      <c r="C12" s="20" t="n"/>
      <c r="D12" s="20" t="n"/>
      <c r="E12" s="20" t="n"/>
      <c r="F12" s="20" t="n"/>
      <c r="G12" s="20" t="n"/>
      <c r="H12" s="20" t="n"/>
      <c r="I12" s="20" t="n"/>
    </row>
    <row r="13" ht="30" customHeight="1">
      <c r="A13" s="4" t="inlineStr"/>
      <c r="B13" s="4" t="inlineStr">
        <is>
          <t>البند</t>
        </is>
      </c>
      <c r="C13" s="4" t="inlineStr">
        <is>
          <t>القيمة</t>
        </is>
      </c>
      <c r="D13" s="4" t="inlineStr">
        <is>
          <t>الوحدة</t>
        </is>
      </c>
      <c r="E13" s="4" t="inlineStr">
        <is>
          <t>من أين جاءت</t>
        </is>
      </c>
      <c r="F13" s="21" t="n"/>
      <c r="G13" s="21" t="n"/>
      <c r="H13" s="21" t="n"/>
      <c r="I13" s="22" t="n"/>
    </row>
    <row r="14">
      <c r="B14" s="32" t="inlineStr">
        <is>
          <t>لترات الشهر</t>
        </is>
      </c>
      <c r="C14" s="33" t="n">
        <v>0</v>
      </c>
      <c r="D14" s="24" t="inlineStr">
        <is>
          <t>لتر/شهر</t>
        </is>
      </c>
      <c r="E14" s="25" t="inlineStr">
        <is>
          <t>افتراضيّها معدّل الأداء: — × ٣٠٫٤ يوماً</t>
        </is>
      </c>
      <c r="F14" s="26" t="n"/>
      <c r="G14" s="26" t="n"/>
      <c r="H14" s="26" t="n"/>
      <c r="I14" s="26" t="n"/>
    </row>
    <row r="15">
      <c r="B15" s="32" t="inlineStr">
        <is>
          <t>سعر المضخة — شاملاً الضريبة</t>
        </is>
      </c>
      <c r="C15" s="34" t="n">
        <v>0</v>
      </c>
      <c r="D15" s="24" t="inlineStr">
        <is>
          <t>ريال/لتر</t>
        </is>
      </c>
      <c r="E15" s="45" t="inlineStr">
        <is>
          <t>⛔ لا سعر مقيس لهذه المحطة</t>
        </is>
      </c>
      <c r="F15" s="18" t="n"/>
      <c r="G15" s="18" t="n"/>
      <c r="H15" s="18" t="n"/>
      <c r="I15" s="18" t="n"/>
    </row>
    <row r="16">
      <c r="B16" s="32" t="inlineStr">
        <is>
          <t>هامش الوقود</t>
        </is>
      </c>
      <c r="C16" s="35" t="n">
        <v>0.0192</v>
      </c>
      <c r="D16" s="24" t="inlineStr">
        <is>
          <t>٪ من الإيراد قبل الضريبة</t>
        </is>
      </c>
      <c r="E16" s="25" t="inlineStr">
        <is>
          <t>هامش الوقود المقيس في تقرير المالية</t>
        </is>
      </c>
      <c r="F16" s="26" t="n"/>
      <c r="G16" s="26" t="n"/>
      <c r="H16" s="26" t="n"/>
      <c r="I16" s="26" t="n"/>
    </row>
    <row r="17">
      <c r="B17" s="36" t="inlineStr">
        <is>
          <t>① قيمة اللتر — قبل الضريبة</t>
        </is>
      </c>
      <c r="C17" s="37">
        <f>$C$15/1.15</f>
        <v/>
      </c>
      <c r="D17" s="24" t="inlineStr">
        <is>
          <t>ريال/لتر</t>
        </is>
      </c>
      <c r="E17" s="25" t="inlineStr">
        <is>
          <t>الصيغة: سعر المضخة ÷ ١٫١٥ · وهي قيمته التي يُحسب عليها الهامش</t>
        </is>
      </c>
      <c r="F17" s="26" t="n"/>
      <c r="G17" s="26" t="n"/>
      <c r="H17" s="26" t="n"/>
      <c r="I17" s="26" t="n"/>
    </row>
    <row r="18">
      <c r="B18" s="36" t="inlineStr">
        <is>
          <t>② هامش الربح للتر</t>
        </is>
      </c>
      <c r="C18" s="38">
        <f>$C$17*$C$16*100</f>
        <v/>
      </c>
      <c r="D18" s="24" t="inlineStr">
        <is>
          <t>هللة/لتر</t>
        </is>
      </c>
      <c r="E18" s="25" t="inlineStr">
        <is>
          <t>الصيغة: قيمة اللتر قبل الضريبة × هامش الوقود · هامش المساهمة قبل أي مصروف</t>
        </is>
      </c>
      <c r="F18" s="26" t="n"/>
      <c r="G18" s="26" t="n"/>
      <c r="H18" s="26" t="n"/>
      <c r="I18" s="26" t="n"/>
    </row>
    <row r="19">
      <c r="B19" s="32" t="inlineStr">
        <is>
          <t>أساس المصاريف</t>
        </is>
      </c>
      <c r="C19" s="39" t="inlineStr">
        <is>
          <t>مصاريف نموذج «امتياز» — 0.04 هللة/لتر</t>
        </is>
      </c>
      <c r="D19" s="24" t="inlineStr">
        <is>
          <t>اختر</t>
        </is>
      </c>
      <c r="E19" s="25" t="inlineStr">
        <is>
          <t>ثلاثة أُسُس ولكلٍّ مصدره — الجدول أسفل الحاسبة</t>
        </is>
      </c>
      <c r="F19" s="26" t="n"/>
      <c r="G19" s="26" t="n"/>
      <c r="H19" s="26" t="n"/>
      <c r="I19" s="26" t="n"/>
    </row>
    <row r="20">
      <c r="B20" s="36" t="inlineStr">
        <is>
          <t>③ المصاريف للتر</t>
        </is>
      </c>
      <c r="C20" s="38">
        <f>VLOOKUP($C$19,$B$35:$C$38,2,FALSE)</f>
        <v/>
      </c>
      <c r="D20" s="24" t="inlineStr">
        <is>
          <t>هللة/لتر</t>
        </is>
      </c>
      <c r="E20" s="25" t="inlineStr">
        <is>
          <t>من الأساس المختار أعلاه</t>
        </is>
      </c>
      <c r="F20" s="26" t="n"/>
      <c r="G20" s="26" t="n"/>
      <c r="H20" s="26" t="n"/>
      <c r="I20" s="26" t="n"/>
    </row>
    <row r="21">
      <c r="B21" s="36" t="inlineStr">
        <is>
          <t>④ صافي اللتر</t>
        </is>
      </c>
      <c r="C21" s="38">
        <f>$C$18-$C$20</f>
        <v/>
      </c>
      <c r="D21" s="24" t="inlineStr">
        <is>
          <t>هللة/لتر</t>
        </is>
      </c>
      <c r="E21" s="25" t="inlineStr">
        <is>
          <t>الصيغة: الهامش − المصاريف · وهو ما يبقى فعلاً من كل لتر</t>
        </is>
      </c>
      <c r="F21" s="26" t="n"/>
      <c r="G21" s="26" t="n"/>
      <c r="H21" s="26" t="n"/>
      <c r="I21" s="26" t="n"/>
    </row>
    <row r="22" ht="30" customHeight="1">
      <c r="A22" s="4" t="inlineStr"/>
      <c r="B22" s="4" t="inlineStr">
        <is>
          <t>وبالريال لشهرٍ كامل</t>
        </is>
      </c>
      <c r="C22" s="4" t="inlineStr">
        <is>
          <t>في الشهر</t>
        </is>
      </c>
      <c r="D22" s="4" t="inlineStr">
        <is>
          <t>الوحدة</t>
        </is>
      </c>
      <c r="E22" s="4" t="inlineStr">
        <is>
          <t>الصيغة</t>
        </is>
      </c>
      <c r="F22" s="21" t="n"/>
      <c r="G22" s="21" t="n"/>
      <c r="H22" s="21" t="n"/>
      <c r="I22" s="22" t="n"/>
    </row>
    <row r="23">
      <c r="B23" s="32" t="inlineStr">
        <is>
          <t>المبيعات قبل الضريبة</t>
        </is>
      </c>
      <c r="C23" s="40">
        <f>$C$14*$C$17</f>
        <v/>
      </c>
      <c r="D23" s="24" t="inlineStr">
        <is>
          <t>ريال</t>
        </is>
      </c>
      <c r="E23" s="25" t="inlineStr">
        <is>
          <t>لترات الشهر × قيمة اللتر قبل الضريبة</t>
        </is>
      </c>
      <c r="F23" s="26" t="n"/>
      <c r="G23" s="26" t="n"/>
      <c r="H23" s="26" t="n"/>
      <c r="I23" s="26" t="n"/>
    </row>
    <row r="24">
      <c r="B24" s="32" t="inlineStr">
        <is>
          <t>وشاملةً الضريبة</t>
        </is>
      </c>
      <c r="C24" s="40">
        <f>C23*1.15</f>
        <v/>
      </c>
      <c r="D24" s="24" t="inlineStr">
        <is>
          <t>ريال</t>
        </is>
      </c>
      <c r="E24" s="25" t="inlineStr">
        <is>
          <t>وهو ما يُسجَّل على المضخة</t>
        </is>
      </c>
      <c r="F24" s="26" t="n"/>
      <c r="G24" s="26" t="n"/>
      <c r="H24" s="26" t="n"/>
      <c r="I24" s="26" t="n"/>
    </row>
    <row r="25">
      <c r="B25" s="32" t="inlineStr">
        <is>
          <t>هامش الربح</t>
        </is>
      </c>
      <c r="C25" s="27">
        <f>$C$14*$C$18/100</f>
        <v/>
      </c>
      <c r="D25" s="24" t="inlineStr">
        <is>
          <t>ريال</t>
        </is>
      </c>
      <c r="E25" s="25" t="inlineStr">
        <is>
          <t>لترات الشهر × هامش اللتر</t>
        </is>
      </c>
      <c r="F25" s="26" t="n"/>
      <c r="G25" s="26" t="n"/>
      <c r="H25" s="26" t="n"/>
      <c r="I25" s="26" t="n"/>
    </row>
    <row r="26">
      <c r="B26" s="32" t="inlineStr">
        <is>
          <t>المصاريف</t>
        </is>
      </c>
      <c r="C26" s="41">
        <f>-$C$14*$C$20/100</f>
        <v/>
      </c>
      <c r="D26" s="24" t="inlineStr">
        <is>
          <t>ريال</t>
        </is>
      </c>
      <c r="E26" s="25" t="inlineStr">
        <is>
          <t>لترات الشهر × مصاريف اللتر</t>
        </is>
      </c>
      <c r="F26" s="26" t="n"/>
      <c r="G26" s="26" t="n"/>
      <c r="H26" s="26" t="n"/>
      <c r="I26" s="26" t="n"/>
    </row>
    <row r="27">
      <c r="B27" s="36" t="inlineStr">
        <is>
          <t>الصافي</t>
        </is>
      </c>
      <c r="C27" s="42">
        <f>C25+C26</f>
        <v/>
      </c>
      <c r="D27" s="24" t="inlineStr">
        <is>
          <t>ريال</t>
        </is>
      </c>
      <c r="E27" s="25" t="inlineStr">
        <is>
          <t>الهامش − المصاريف</t>
        </is>
      </c>
      <c r="F27" s="26" t="n"/>
      <c r="G27" s="26" t="n"/>
      <c r="H27" s="26" t="n"/>
      <c r="I27" s="26" t="n"/>
    </row>
    <row r="34" ht="30" customHeight="1">
      <c r="A34" s="4" t="inlineStr"/>
      <c r="B34" s="4" t="inlineStr">
        <is>
          <t>أساس المصاريف</t>
        </is>
      </c>
      <c r="C34" s="4" t="inlineStr">
        <is>
          <t>هللة/لتر</t>
        </is>
      </c>
      <c r="D34" s="4" t="inlineStr">
        <is>
          <t>المصدر والتحفّظ</t>
        </is>
      </c>
      <c r="E34" s="21" t="n"/>
      <c r="F34" s="21" t="n"/>
      <c r="G34" s="21" t="n"/>
      <c r="H34" s="21" t="n"/>
      <c r="I34" s="22" t="n"/>
    </row>
    <row r="35">
      <c r="B35" s="5" t="inlineStr">
        <is>
          <t>مصاريف نموذج «امتياز» — 0.04 هللة/لتر</t>
        </is>
      </c>
      <c r="C35" s="13" t="n">
        <v>0.04</v>
      </c>
      <c r="D35" s="25" t="inlineStr">
        <is>
          <t>مصاريف تشغيل محطات امتياز في قائمة الدخل ÷ لتراتها — وهو الأقرب لهذه المحطة</t>
        </is>
      </c>
      <c r="E35" s="26" t="n"/>
      <c r="F35" s="26" t="n"/>
      <c r="G35" s="26" t="n"/>
      <c r="H35" s="26" t="n"/>
      <c r="I35" s="26" t="n"/>
    </row>
    <row r="36">
      <c r="B36" s="43" t="inlineStr">
        <is>
          <t>متوسط محطاتنا — ٩٫١٥ هللة/لتر</t>
        </is>
      </c>
      <c r="C36" s="44" t="n">
        <v>9.15</v>
      </c>
      <c r="D36" s="25" t="inlineStr">
        <is>
          <t>مصاريف تشغيل محطاتنا الـ٤٩ (دون الامتياز) ÷ لتراتها</t>
        </is>
      </c>
      <c r="E36" s="26" t="n"/>
      <c r="F36" s="26" t="n"/>
      <c r="G36" s="26" t="n"/>
      <c r="H36" s="26" t="n"/>
      <c r="I36" s="26" t="n"/>
    </row>
    <row r="37">
      <c r="B37" s="43" t="inlineStr">
        <is>
          <t>المحمَّل الكامل — ١٣٫٥٦ هللة/لتر</t>
        </is>
      </c>
      <c r="C37" s="44" t="n">
        <v>13.56</v>
      </c>
      <c r="D37" s="25" t="inlineStr">
        <is>
          <t>يُضاف إليها بيعٌ وتسويق وإدارة وفوائد — لقرار رأس المال لا للتشغيل</t>
        </is>
      </c>
      <c r="E37" s="26" t="n"/>
      <c r="F37" s="26" t="n"/>
      <c r="G37" s="26" t="n"/>
      <c r="H37" s="26" t="n"/>
      <c r="I37" s="26" t="n"/>
    </row>
    <row r="38">
      <c r="B38" s="43" t="inlineStr">
        <is>
          <t>المقيس في تقرير الربع الثاني</t>
        </is>
      </c>
      <c r="C38" s="44" t="n">
        <v>0</v>
      </c>
      <c r="D38" s="45" t="inlineStr">
        <is>
          <t>⛔ لا أجور ولا مرافق مسجَّلة لهذه المحطة — لا تختر هذا الأساس</t>
        </is>
      </c>
      <c r="E38" s="18" t="n"/>
      <c r="F38" s="18" t="n"/>
      <c r="G38" s="18" t="n"/>
      <c r="H38" s="18" t="n"/>
      <c r="I38" s="18" t="n"/>
    </row>
    <row r="39" ht="26" customHeight="1">
      <c r="B39" s="17" t="inlineStr">
        <is>
          <t>المصاريف هنا مصاريفُ تشغيل المحطة — أجورٌ ومرافق وصيانة. أمّا شراء الوقود فمطروحٌ أصلاً داخل «هامش الوقود»، فلا يُطرح مرتين.</t>
        </is>
      </c>
      <c r="C39" s="18" t="n"/>
      <c r="D39" s="18" t="n"/>
      <c r="E39" s="18" t="n"/>
      <c r="F39" s="18" t="n"/>
      <c r="G39" s="18" t="n"/>
      <c r="H39" s="18" t="n"/>
      <c r="I39" s="18" t="n"/>
    </row>
    <row r="40" ht="32" customHeight="1">
      <c r="B40" s="17" t="inlineStr">
        <is>
          <t>⚠ وصافي اللتر هنا صافي الوقود وحده: لا يشمل دخل الوحدات التجارية ولا خصومات الإيجار ولا محمَّلات المركز. فقد يخرج سالباً في محطةٍ رابحة يحملها دخلُ وحداتها — وصافي المحطة الكامل في القسم ① كما جاء من تقرير المالية.</t>
        </is>
      </c>
      <c r="C40" s="18" t="n"/>
      <c r="D40" s="18" t="n"/>
      <c r="E40" s="18" t="n"/>
      <c r="F40" s="18" t="n"/>
      <c r="G40" s="18" t="n"/>
      <c r="H40" s="18" t="n"/>
      <c r="I40" s="18" t="n"/>
    </row>
    <row r="42" ht="22" customHeight="1">
      <c r="B42" s="19" t="inlineStr">
        <is>
          <t>③ المستهدف الشهري — اثنا عشر شهراً</t>
        </is>
      </c>
      <c r="C42" s="20" t="n"/>
      <c r="D42" s="20" t="n"/>
      <c r="E42" s="20" t="n"/>
      <c r="F42" s="20" t="n"/>
      <c r="G42" s="20" t="n"/>
      <c r="H42" s="20" t="n"/>
      <c r="I42" s="20" t="n"/>
    </row>
    <row r="43" ht="30" customHeight="1">
      <c r="A43" s="4" t="inlineStr"/>
      <c r="B43" s="4" t="inlineStr">
        <is>
          <t>الأساس</t>
        </is>
      </c>
      <c r="C43" s="4" t="inlineStr">
        <is>
          <t>القيمة</t>
        </is>
      </c>
      <c r="D43" s="4" t="inlineStr">
        <is>
          <t>الوحدة</t>
        </is>
      </c>
      <c r="E43" s="4" t="inlineStr">
        <is>
          <t>من أين جاءت</t>
        </is>
      </c>
      <c r="F43" s="21" t="n"/>
      <c r="G43" s="21" t="n"/>
      <c r="H43" s="21" t="n"/>
      <c r="I43" s="22" t="n"/>
    </row>
    <row r="44">
      <c r="B44" s="5" t="inlineStr">
        <is>
          <t>خط الأساس</t>
        </is>
      </c>
      <c r="C44" s="11" t="n">
        <v>0</v>
      </c>
      <c r="D44" s="24" t="inlineStr">
        <is>
          <t>لتر/يوم</t>
        </is>
      </c>
      <c r="E44" s="25" t="inlineStr">
        <is>
          <t>—</t>
        </is>
      </c>
      <c r="F44" s="26" t="n"/>
      <c r="G44" s="26" t="n"/>
      <c r="H44" s="26" t="n"/>
      <c r="I44" s="26" t="n"/>
    </row>
    <row r="45">
      <c r="B45" s="5" t="inlineStr">
        <is>
          <t>الإضافة المستهدفة</t>
        </is>
      </c>
      <c r="C45" s="33" t="n">
        <v>0</v>
      </c>
      <c r="D45" s="24" t="inlineStr">
        <is>
          <t>لتر/يوم</t>
        </is>
      </c>
      <c r="E45" s="25" t="inlineStr">
        <is>
          <t>لا فجوة ذروة مقيسة لهذه المحطة — المستهدف ثباتُ الأداء</t>
        </is>
      </c>
      <c r="F45" s="26" t="n"/>
      <c r="G45" s="26" t="n"/>
      <c r="H45" s="26" t="n"/>
      <c r="I45" s="26" t="n"/>
    </row>
    <row r="46">
      <c r="B46" s="5" t="inlineStr">
        <is>
          <t>أشهر التدرّج</t>
        </is>
      </c>
      <c r="C46" s="33" t="n">
        <v>6</v>
      </c>
      <c r="D46" s="24" t="inlineStr">
        <is>
          <t>شهر</t>
        </is>
      </c>
      <c r="E46" s="25" t="inlineStr">
        <is>
          <t>يُبلغ المستهدف كاملاً في الشهر السادس ثم يثبت</t>
        </is>
      </c>
      <c r="F46" s="26" t="n"/>
      <c r="G46" s="26" t="n"/>
      <c r="H46" s="26" t="n"/>
      <c r="I46" s="26" t="n"/>
    </row>
    <row r="47" ht="26" customHeight="1">
      <c r="A47" s="4" t="inlineStr"/>
      <c r="B47" s="4" t="inlineStr">
        <is>
          <t>الشهر</t>
        </is>
      </c>
      <c r="C47" s="4" t="inlineStr">
        <is>
          <t>أيام</t>
        </is>
      </c>
      <c r="D47" s="4" t="inlineStr">
        <is>
          <t>لتر/يوم</t>
        </is>
      </c>
      <c r="E47" s="4" t="inlineStr">
        <is>
          <t>لترات الشهر</t>
        </is>
      </c>
      <c r="F47" s="4" t="inlineStr">
        <is>
          <t>المبيعات قبل الضريبة</t>
        </is>
      </c>
      <c r="G47" s="4" t="inlineStr">
        <is>
          <t>هامش الربح</t>
        </is>
      </c>
      <c r="H47" s="4" t="inlineStr">
        <is>
          <t>المصاريف</t>
        </is>
      </c>
      <c r="I47" s="4" t="inlineStr">
        <is>
          <t>الصافي</t>
        </is>
      </c>
    </row>
    <row r="48">
      <c r="B48" s="5" t="inlineStr">
        <is>
          <t>أكتوبر ٢٠٢٦</t>
        </is>
      </c>
      <c r="C48" s="11" t="n">
        <v>31</v>
      </c>
      <c r="D48" s="11">
        <f>$C$44+$C$45*MIN(1,1/$C$46)</f>
        <v/>
      </c>
      <c r="E48" s="46">
        <f>D48*C48</f>
        <v/>
      </c>
      <c r="F48" s="14">
        <f>E48*$C$17</f>
        <v/>
      </c>
      <c r="G48" s="14">
        <f>E48*$C$18/100</f>
        <v/>
      </c>
      <c r="H48" s="14">
        <f>-E48*$C$20/100</f>
        <v/>
      </c>
      <c r="I48" s="47">
        <f>G48+H48</f>
        <v/>
      </c>
    </row>
    <row r="49">
      <c r="B49" s="5" t="inlineStr">
        <is>
          <t>نوفمبر ٢٠٢٦</t>
        </is>
      </c>
      <c r="C49" s="11" t="n">
        <v>30</v>
      </c>
      <c r="D49" s="11">
        <f>$C$44+$C$45*MIN(1,2/$C$46)</f>
        <v/>
      </c>
      <c r="E49" s="46">
        <f>D49*C49</f>
        <v/>
      </c>
      <c r="F49" s="14">
        <f>E49*$C$17</f>
        <v/>
      </c>
      <c r="G49" s="14">
        <f>E49*$C$18/100</f>
        <v/>
      </c>
      <c r="H49" s="14">
        <f>-E49*$C$20/100</f>
        <v/>
      </c>
      <c r="I49" s="47">
        <f>G49+H49</f>
        <v/>
      </c>
    </row>
    <row r="50">
      <c r="B50" s="5" t="inlineStr">
        <is>
          <t>ديسمبر ٢٠٢٦</t>
        </is>
      </c>
      <c r="C50" s="11" t="n">
        <v>31</v>
      </c>
      <c r="D50" s="11">
        <f>$C$44+$C$45*MIN(1,3/$C$46)</f>
        <v/>
      </c>
      <c r="E50" s="46">
        <f>D50*C50</f>
        <v/>
      </c>
      <c r="F50" s="14">
        <f>E50*$C$17</f>
        <v/>
      </c>
      <c r="G50" s="14">
        <f>E50*$C$18/100</f>
        <v/>
      </c>
      <c r="H50" s="14">
        <f>-E50*$C$20/100</f>
        <v/>
      </c>
      <c r="I50" s="47">
        <f>G50+H50</f>
        <v/>
      </c>
    </row>
    <row r="51">
      <c r="B51" s="5" t="inlineStr">
        <is>
          <t>يناير ٢٠٢٧</t>
        </is>
      </c>
      <c r="C51" s="11" t="n">
        <v>31</v>
      </c>
      <c r="D51" s="11">
        <f>$C$44+$C$45*MIN(1,4/$C$46)</f>
        <v/>
      </c>
      <c r="E51" s="46">
        <f>D51*C51</f>
        <v/>
      </c>
      <c r="F51" s="14">
        <f>E51*$C$17</f>
        <v/>
      </c>
      <c r="G51" s="14">
        <f>E51*$C$18/100</f>
        <v/>
      </c>
      <c r="H51" s="14">
        <f>-E51*$C$20/100</f>
        <v/>
      </c>
      <c r="I51" s="47">
        <f>G51+H51</f>
        <v/>
      </c>
    </row>
    <row r="52">
      <c r="B52" s="5" t="inlineStr">
        <is>
          <t>فبراير ٢٠٢٧</t>
        </is>
      </c>
      <c r="C52" s="11" t="n">
        <v>28</v>
      </c>
      <c r="D52" s="11">
        <f>$C$44+$C$45*MIN(1,5/$C$46)</f>
        <v/>
      </c>
      <c r="E52" s="46">
        <f>D52*C52</f>
        <v/>
      </c>
      <c r="F52" s="14">
        <f>E52*$C$17</f>
        <v/>
      </c>
      <c r="G52" s="14">
        <f>E52*$C$18/100</f>
        <v/>
      </c>
      <c r="H52" s="14">
        <f>-E52*$C$20/100</f>
        <v/>
      </c>
      <c r="I52" s="47">
        <f>G52+H52</f>
        <v/>
      </c>
    </row>
    <row r="53">
      <c r="B53" s="5" t="inlineStr">
        <is>
          <t>مارس ٢٠٢٧</t>
        </is>
      </c>
      <c r="C53" s="11" t="n">
        <v>31</v>
      </c>
      <c r="D53" s="11">
        <f>$C$44+$C$45*MIN(1,6/$C$46)</f>
        <v/>
      </c>
      <c r="E53" s="46">
        <f>D53*C53</f>
        <v/>
      </c>
      <c r="F53" s="14">
        <f>E53*$C$17</f>
        <v/>
      </c>
      <c r="G53" s="14">
        <f>E53*$C$18/100</f>
        <v/>
      </c>
      <c r="H53" s="14">
        <f>-E53*$C$20/100</f>
        <v/>
      </c>
      <c r="I53" s="47">
        <f>G53+H53</f>
        <v/>
      </c>
    </row>
    <row r="54">
      <c r="B54" s="5" t="inlineStr">
        <is>
          <t>أبريل ٢٠٢٧</t>
        </is>
      </c>
      <c r="C54" s="11" t="n">
        <v>30</v>
      </c>
      <c r="D54" s="11">
        <f>$C$44+$C$45*MIN(1,7/$C$46)</f>
        <v/>
      </c>
      <c r="E54" s="46">
        <f>D54*C54</f>
        <v/>
      </c>
      <c r="F54" s="14">
        <f>E54*$C$17</f>
        <v/>
      </c>
      <c r="G54" s="14">
        <f>E54*$C$18/100</f>
        <v/>
      </c>
      <c r="H54" s="14">
        <f>-E54*$C$20/100</f>
        <v/>
      </c>
      <c r="I54" s="47">
        <f>G54+H54</f>
        <v/>
      </c>
    </row>
    <row r="55">
      <c r="B55" s="5" t="inlineStr">
        <is>
          <t>مايو ٢٠٢٧</t>
        </is>
      </c>
      <c r="C55" s="11" t="n">
        <v>31</v>
      </c>
      <c r="D55" s="11">
        <f>$C$44+$C$45*MIN(1,8/$C$46)</f>
        <v/>
      </c>
      <c r="E55" s="46">
        <f>D55*C55</f>
        <v/>
      </c>
      <c r="F55" s="14">
        <f>E55*$C$17</f>
        <v/>
      </c>
      <c r="G55" s="14">
        <f>E55*$C$18/100</f>
        <v/>
      </c>
      <c r="H55" s="14">
        <f>-E55*$C$20/100</f>
        <v/>
      </c>
      <c r="I55" s="47">
        <f>G55+H55</f>
        <v/>
      </c>
    </row>
    <row r="56">
      <c r="B56" s="5" t="inlineStr">
        <is>
          <t>يونيو ٢٠٢٧</t>
        </is>
      </c>
      <c r="C56" s="11" t="n">
        <v>30</v>
      </c>
      <c r="D56" s="11">
        <f>$C$44+$C$45*MIN(1,9/$C$46)</f>
        <v/>
      </c>
      <c r="E56" s="46">
        <f>D56*C56</f>
        <v/>
      </c>
      <c r="F56" s="14">
        <f>E56*$C$17</f>
        <v/>
      </c>
      <c r="G56" s="14">
        <f>E56*$C$18/100</f>
        <v/>
      </c>
      <c r="H56" s="14">
        <f>-E56*$C$20/100</f>
        <v/>
      </c>
      <c r="I56" s="47">
        <f>G56+H56</f>
        <v/>
      </c>
    </row>
    <row r="57">
      <c r="B57" s="5" t="inlineStr">
        <is>
          <t>يوليو ٢٠٢٧</t>
        </is>
      </c>
      <c r="C57" s="11" t="n">
        <v>31</v>
      </c>
      <c r="D57" s="11">
        <f>$C$44+$C$45*MIN(1,10/$C$46)</f>
        <v/>
      </c>
      <c r="E57" s="46">
        <f>D57*C57</f>
        <v/>
      </c>
      <c r="F57" s="14">
        <f>E57*$C$17</f>
        <v/>
      </c>
      <c r="G57" s="14">
        <f>E57*$C$18/100</f>
        <v/>
      </c>
      <c r="H57" s="14">
        <f>-E57*$C$20/100</f>
        <v/>
      </c>
      <c r="I57" s="47">
        <f>G57+H57</f>
        <v/>
      </c>
    </row>
    <row r="58">
      <c r="B58" s="5" t="inlineStr">
        <is>
          <t>أغسطس ٢٠٢٧</t>
        </is>
      </c>
      <c r="C58" s="11" t="n">
        <v>31</v>
      </c>
      <c r="D58" s="11">
        <f>$C$44+$C$45*MIN(1,11/$C$46)</f>
        <v/>
      </c>
      <c r="E58" s="46">
        <f>D58*C58</f>
        <v/>
      </c>
      <c r="F58" s="14">
        <f>E58*$C$17</f>
        <v/>
      </c>
      <c r="G58" s="14">
        <f>E58*$C$18/100</f>
        <v/>
      </c>
      <c r="H58" s="14">
        <f>-E58*$C$20/100</f>
        <v/>
      </c>
      <c r="I58" s="47">
        <f>G58+H58</f>
        <v/>
      </c>
    </row>
    <row r="59">
      <c r="B59" s="5" t="inlineStr">
        <is>
          <t>سبتمبر ٢٠٢٧</t>
        </is>
      </c>
      <c r="C59" s="11" t="n">
        <v>30</v>
      </c>
      <c r="D59" s="11">
        <f>$C$44+$C$45*MIN(1,12/$C$46)</f>
        <v/>
      </c>
      <c r="E59" s="46">
        <f>D59*C59</f>
        <v/>
      </c>
      <c r="F59" s="14">
        <f>E59*$C$17</f>
        <v/>
      </c>
      <c r="G59" s="14">
        <f>E59*$C$18/100</f>
        <v/>
      </c>
      <c r="H59" s="14">
        <f>-E59*$C$20/100</f>
        <v/>
      </c>
      <c r="I59" s="47">
        <f>G59+H59</f>
        <v/>
      </c>
    </row>
    <row r="60">
      <c r="B60" s="48" t="inlineStr">
        <is>
          <t>السنة كاملةً</t>
        </is>
      </c>
      <c r="C60" s="49">
        <f>SUM(C48:C59)</f>
        <v/>
      </c>
      <c r="D60" s="49">
        <f>AVERAGE(D48:D59)</f>
        <v/>
      </c>
      <c r="E60" s="49">
        <f>SUM(E48:E59)</f>
        <v/>
      </c>
      <c r="F60" s="47">
        <f>SUM(F48:F59)</f>
        <v/>
      </c>
      <c r="G60" s="47">
        <f>SUM(G48:G59)</f>
        <v/>
      </c>
      <c r="H60" s="47">
        <f>SUM(H48:H59)</f>
        <v/>
      </c>
      <c r="I60" s="47">
        <f>SUM(I48:I59)</f>
        <v/>
      </c>
    </row>
    <row r="61" ht="32" customHeight="1">
      <c r="B61" s="50" t="inlineStr">
        <is>
          <t>المستهدف مبنيٌّ على أداء هذه المحطة وحدها: خطُّ أساسها من حجمها المقيس، وإضافتُها من فجوة ساعات ذروتها مقارنةً بشكل تصنيفها — لا من نسبة نموٍّ مفروضة على الشبكة كلها. وإن أردت مستهدفاً آخر فغيّر «الإضافة المستهدفة» وحدها.</t>
        </is>
      </c>
      <c r="C61" s="20" t="n"/>
      <c r="D61" s="20" t="n"/>
      <c r="E61" s="20" t="n"/>
      <c r="F61" s="20" t="n"/>
      <c r="G61" s="20" t="n"/>
      <c r="H61" s="20" t="n"/>
      <c r="I61" s="20" t="n"/>
    </row>
  </sheetData>
  <mergeCells count="38">
    <mergeCell ref="E21:I21"/>
    <mergeCell ref="E43:I43"/>
    <mergeCell ref="E24:I24"/>
    <mergeCell ref="E23:I23"/>
    <mergeCell ref="E14:I14"/>
    <mergeCell ref="E8:I8"/>
    <mergeCell ref="E17:I17"/>
    <mergeCell ref="B12:I12"/>
    <mergeCell ref="E44:I44"/>
    <mergeCell ref="A2:I2"/>
    <mergeCell ref="E20:I20"/>
    <mergeCell ref="B39:I39"/>
    <mergeCell ref="D37:I37"/>
    <mergeCell ref="E10:I10"/>
    <mergeCell ref="B42:I42"/>
    <mergeCell ref="E13:I13"/>
    <mergeCell ref="E19:I19"/>
    <mergeCell ref="B61:I61"/>
    <mergeCell ref="E9:I9"/>
    <mergeCell ref="E15:I15"/>
    <mergeCell ref="D38:I38"/>
    <mergeCell ref="E6:I6"/>
    <mergeCell ref="E46:I46"/>
    <mergeCell ref="E27:I27"/>
    <mergeCell ref="D35:I35"/>
    <mergeCell ref="E45:I45"/>
    <mergeCell ref="E26:I26"/>
    <mergeCell ref="B40:I40"/>
    <mergeCell ref="D34:I34"/>
    <mergeCell ref="E7:I7"/>
    <mergeCell ref="E16:I16"/>
    <mergeCell ref="E25:I25"/>
    <mergeCell ref="A1:I1"/>
    <mergeCell ref="B5:I5"/>
    <mergeCell ref="D36:I36"/>
    <mergeCell ref="E22:I22"/>
    <mergeCell ref="B4:I4"/>
    <mergeCell ref="E18:I18"/>
  </mergeCells>
  <conditionalFormatting sqref="E48:E59">
    <cfRule type="dataBar" priority="1">
      <dataBar showValue="1">
        <cfvo type="num" val="0"/>
        <cfvo type="max"/>
        <color rgb="00F5831F"/>
      </dataBar>
    </cfRule>
  </conditionalFormatting>
  <conditionalFormatting sqref="I48:I60">
    <cfRule type="cellIs" priority="2" operator="lessThan" dxfId="0">
      <formula>0</formula>
    </cfRule>
  </conditionalFormatting>
  <dataValidations count="1">
    <dataValidation sqref="C19" showDropDown="0" showInputMessage="0" showErrorMessage="0" allowBlank="0" type="list">
      <formula1>"مصاريف نموذج «امتياز» — 0.04 هللة/لتر,متوسط محطاتنا — ٩٫١٥ هللة/لتر,المحمَّل الكامل — ١٣٫٥٦ هللة/لتر,المقيس في تقرير الربع الثاني"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القسم التجاري — درب</dc:creator>
  <dc:title>شيت كل محطة — أداء وحاسبة ومستهدف</dc:title>
  <dcterms:created xsi:type="dcterms:W3CDTF">2026-09-22T07:03:37Z</dcterms:created>
  <dcterms:modified xsi:type="dcterms:W3CDTF">2026-09-22T07:03:39Z</dcterms:modified>
</cp:coreProperties>
</file>