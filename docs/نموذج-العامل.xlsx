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نموذج العامل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<sst xmlns="http://schemas.openxmlformats.org/spreadsheetml/2006/main" count="81" uniqueCount="79">
  <si>
    <t xml:space="preserve">نموذج مبيعات العامل — مستهدف وحافز</t>
  </si>
  <si>
    <t xml:space="preserve">لكل عامل مستهدف وردية · والحافز على الزيادة فوق خط الأساس · مشروط ببوابة الجودة</t>
  </si>
  <si>
    <t xml:space="preserve">① مُدخلات المحطة — تُعبّأ مرة واحدة</t>
  </si>
  <si>
    <t xml:space="preserve">اسم المحطة</t>
  </si>
  <si>
    <t xml:space="preserve">الشهر</t>
  </si>
  <si>
    <t xml:space="preserve">لتر لكل زيارة</t>
  </si>
  <si>
    <t xml:space="preserve">من بيانات المحطة</t>
  </si>
  <si>
    <t xml:space="preserve">هامش المساهمة (هللة/لتر)</t>
  </si>
  <si>
    <t xml:space="preserve">من قائمة الدخل</t>
  </si>
  <si>
    <t xml:space="preserve">نسبة الحافز من الهامش الإضافي</t>
  </si>
  <si>
    <t xml:space="preserve">قرار الإدارة</t>
  </si>
  <si>
    <t xml:space="preserve">سقف الحافز الشهري للعامل</t>
  </si>
  <si>
    <t xml:space="preserve">يمنع المبالغة في شهر استثنائي</t>
  </si>
  <si>
    <t xml:space="preserve">أيام الشهر</t>
  </si>
  <si>
    <t xml:space="preserve">② بطاقة العامل — تُعبّأ شهرياً</t>
  </si>
  <si>
    <t xml:space="preserve">#</t>
  </si>
  <si>
    <t xml:space="preserve">اسم العامل</t>
  </si>
  <si>
    <t xml:space="preserve">الوردية</t>
  </si>
  <si>
    <t xml:space="preserve">المضخات</t>
  </si>
  <si>
    <t xml:space="preserve">خط الأساس (زيارة/يوم)</t>
  </si>
  <si>
    <t xml:space="preserve">المستهدف (زيارة/يوم)</t>
  </si>
  <si>
    <t xml:space="preserve">الفعلي (زيارة/يوم)</t>
  </si>
  <si>
    <t xml:space="preserve">الفارق</t>
  </si>
  <si>
    <t xml:space="preserve">نسبة الإنجاز</t>
  </si>
  <si>
    <t xml:space="preserve">بوابة الجودة</t>
  </si>
  <si>
    <t xml:space="preserve">الحافز (ريال)</t>
  </si>
  <si>
    <t xml:space="preserve">ملاحظة</t>
  </si>
  <si>
    <t xml:space="preserve">الإجمالي</t>
  </si>
  <si>
    <t xml:space="preserve">③ ملخص المحطة</t>
  </si>
  <si>
    <t xml:space="preserve">البند</t>
  </si>
  <si>
    <t xml:space="preserve">القيمة</t>
  </si>
  <si>
    <t xml:space="preserve">الدلالة</t>
  </si>
  <si>
    <t xml:space="preserve">الزيادة الإجمالية (زيارة/يوم)</t>
  </si>
  <si>
    <t xml:space="preserve">مجموع فروق العمال</t>
  </si>
  <si>
    <t xml:space="preserve">اللترات الإضافية شهرياً</t>
  </si>
  <si>
    <t xml:space="preserve">الزيادة × لتر/زيارة × الأيام</t>
  </si>
  <si>
    <t xml:space="preserve">الهامش الإضافي شهرياً (ريال)</t>
  </si>
  <si>
    <t xml:space="preserve">قبل خصم الحافز</t>
  </si>
  <si>
    <t xml:space="preserve">إجمالي الحافز شهرياً (ريال)</t>
  </si>
  <si>
    <t xml:space="preserve">ما يُصرف للعمال</t>
  </si>
  <si>
    <t xml:space="preserve">صافي المكسب للشركة (ريال)</t>
  </si>
  <si>
    <t xml:space="preserve">الهامش ناقص الحافز</t>
  </si>
  <si>
    <t xml:space="preserve">نسبة الحافز من الهامش</t>
  </si>
  <si>
    <t xml:space="preserve">يجب أن تساوي النسبة المعتمدة</t>
  </si>
  <si>
    <t xml:space="preserve">④ بوابة الجودة — تُقيَّم شهرياً لكل عامل</t>
  </si>
  <si>
    <t xml:space="preserve">الشرط</t>
  </si>
  <si>
    <t xml:space="preserve">المقياس</t>
  </si>
  <si>
    <t xml:space="preserve">الحد</t>
  </si>
  <si>
    <t xml:space="preserve">لماذا</t>
  </si>
  <si>
    <t xml:space="preserve">لا شكوى مثبتة</t>
  </si>
  <si>
    <t xml:space="preserve">شكاوى العامل في الشهر</t>
  </si>
  <si>
    <t xml:space="preserve">صفر</t>
  </si>
  <si>
    <t xml:space="preserve">الحافز مكافأة أداء لا مكافأة حجم</t>
  </si>
  <si>
    <t xml:space="preserve">زمن التعبئة</t>
  </si>
  <si>
    <t xml:space="preserve">متوسط الزمن في الذروة</t>
  </si>
  <si>
    <t xml:space="preserve">≤ الحد المعتمد</t>
  </si>
  <si>
    <t xml:space="preserve">سرعة الخدمة هي ما يطلبه العميل</t>
  </si>
  <si>
    <t xml:space="preserve">الحضور في الذروة</t>
  </si>
  <si>
    <t xml:space="preserve">نسبة الحضور</t>
  </si>
  <si>
    <t xml:space="preserve">100%</t>
  </si>
  <si>
    <t xml:space="preserve">الذروة هي حيث تُكسب الزيارة أو تُفقد</t>
  </si>
  <si>
    <t xml:space="preserve">النظافة والمظهر</t>
  </si>
  <si>
    <t xml:space="preserve">تقييم المشرف الأسبوعي</t>
  </si>
  <si>
    <t xml:space="preserve">مقبول فأعلى</t>
  </si>
  <si>
    <t xml:space="preserve">أول ما يراه العميل</t>
  </si>
  <si>
    <t xml:space="preserve">في عمود «بوابة الجودة» اكتب: مستوفاة / غير مستوفاة</t>
  </si>
  <si>
    <t xml:space="preserve">قواعد الاحتساب</t>
  </si>
  <si>
    <t xml:space="preserve">•  الحافز على الزيادة فوق خط الأساس فقط — لا على الحجم الكلي</t>
  </si>
  <si>
    <t xml:space="preserve">•  لا يُصرف إطلاقاً إذا كانت بوابة الجودة غير مستوفاة</t>
  </si>
  <si>
    <t xml:space="preserve">•  سقف شهري لكل عامل يمنع المبالغة في شهر استثنائي</t>
  </si>
  <si>
    <t xml:space="preserve">•  الفارق السالب لا يُخصم — لكنه لا يُكافأ</t>
  </si>
  <si>
    <t xml:space="preserve">قواعد خط الأساس</t>
  </si>
  <si>
    <t xml:space="preserve">•  يُحسب من متوسط الثلاثة أشهر السابقة لنفس الوردية</t>
  </si>
  <si>
    <t xml:space="preserve">•  يُراجع كل ربع حتى لا يصبح الحافز دائماً على نفس المستوى</t>
  </si>
  <si>
    <t xml:space="preserve">•  يُعدَّل إذا تغيّر عدد المضخات أو ساعات الوردية</t>
  </si>
  <si>
    <t xml:space="preserve">ما يُبطل النموذج</t>
  </si>
  <si>
    <t xml:space="preserve">•  خط أساس متساهل يحوّل الحافز إلى تكلفة ثابتة بلا مقابل</t>
  </si>
  <si>
    <t xml:space="preserve">•  غياب قياس زمن الخدمة يفرّغ بوابة الجودة من معناها</t>
  </si>
  <si>
    <t xml:space="preserve">•  احتساب الحافز على الحجم الكلي يكافئ الموسم لا الأداء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</si>
</sst>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%"/>
    <numFmt numFmtId="167" formatCode="#,##0"/>
    <numFmt numFmtId="168" formatCode="0"/>
    <numFmt numFmtId="169" formatCode="\+#,##0;\-#,##0"/>
    <numFmt numFmtId="170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44546A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44546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2F3"/>
        <bgColor rgb="FFDDEBF7"/>
      </patternFill>
    </fill>
    <fill>
      <patternFill patternType="solid">
        <fgColor rgb="FFC6E0B4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8" fontId="8" fillId="3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0" fillId="0" borderId="2" xfId="0" applyFont="fals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9" fontId="11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11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1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70" fontId="7" fillId="5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7" fontId="11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1" fillId="0" borderId="2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9" fontId="11" fillId="6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 readingOrder="2"/>
      <protection locked="true" hidden="false"/>
    </xf>
    <xf numFmtId="164" fontId="11" fillId="0" borderId="0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8"/>
    <col collapsed="false" customWidth="true" hidden="false" outlineLevel="0" max="4" min="3" style="0" width="11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1" min="11" style="0" width="11"/>
    <col collapsed="false" customWidth="true" hidden="false" outlineLevel="0" max="12" min="12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1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customFormat="false" ht="15" hidden="false" customHeight="false" outlineLevel="0" collapsed="false">
      <c r="B4" s="4" t="s">
        <v>3</v>
      </c>
      <c r="C4" s="5"/>
      <c r="E4" s="6"/>
    </row>
    <row r="5" customFormat="false" ht="15" hidden="false" customHeight="false" outlineLevel="0" collapsed="false">
      <c r="B5" s="4" t="s">
        <v>4</v>
      </c>
      <c r="C5" s="5"/>
      <c r="E5" s="6"/>
    </row>
    <row r="6" customFormat="false" ht="15" hidden="false" customHeight="false" outlineLevel="0" collapsed="false">
      <c r="B6" s="4" t="s">
        <v>5</v>
      </c>
      <c r="C6" s="7"/>
      <c r="E6" s="6" t="s">
        <v>6</v>
      </c>
    </row>
    <row r="7" customFormat="false" ht="15" hidden="false" customHeight="false" outlineLevel="0" collapsed="false">
      <c r="B7" s="4" t="s">
        <v>7</v>
      </c>
      <c r="C7" s="7" t="n">
        <v>13.36</v>
      </c>
      <c r="E7" s="6" t="s">
        <v>8</v>
      </c>
    </row>
    <row r="8" customFormat="false" ht="15" hidden="false" customHeight="false" outlineLevel="0" collapsed="false">
      <c r="B8" s="4" t="s">
        <v>9</v>
      </c>
      <c r="C8" s="8" t="n">
        <v>0.15</v>
      </c>
      <c r="E8" s="6" t="s">
        <v>10</v>
      </c>
    </row>
    <row r="9" customFormat="false" ht="15" hidden="false" customHeight="false" outlineLevel="0" collapsed="false">
      <c r="B9" s="4" t="s">
        <v>11</v>
      </c>
      <c r="C9" s="9" t="n">
        <v>800</v>
      </c>
      <c r="E9" s="6" t="s">
        <v>12</v>
      </c>
    </row>
    <row r="10" customFormat="false" ht="15" hidden="false" customHeight="false" outlineLevel="0" collapsed="false">
      <c r="B10" s="4" t="s">
        <v>13</v>
      </c>
      <c r="C10" s="10" t="n">
        <v>30</v>
      </c>
      <c r="E10" s="6"/>
    </row>
    <row r="12" customFormat="false" ht="21.75" hidden="false" customHeight="true" outlineLevel="0" collapsed="false">
      <c r="A12" s="3" t="s">
        <v>14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customFormat="false" ht="30" hidden="false" customHeight="true" outlineLevel="0" collapsed="false">
      <c r="A13" s="11" t="s">
        <v>15</v>
      </c>
      <c r="B13" s="11" t="s">
        <v>16</v>
      </c>
      <c r="C13" s="11" t="s">
        <v>17</v>
      </c>
      <c r="D13" s="11" t="s">
        <v>18</v>
      </c>
      <c r="E13" s="11" t="s">
        <v>19</v>
      </c>
      <c r="F13" s="11" t="s">
        <v>20</v>
      </c>
      <c r="G13" s="11" t="s">
        <v>21</v>
      </c>
      <c r="H13" s="11" t="s">
        <v>22</v>
      </c>
      <c r="I13" s="11" t="s">
        <v>23</v>
      </c>
      <c r="J13" s="11" t="s">
        <v>24</v>
      </c>
      <c r="K13" s="11" t="s">
        <v>25</v>
      </c>
      <c r="L13" s="11" t="s">
        <v>26</v>
      </c>
    </row>
    <row r="14" customFormat="false" ht="18.75" hidden="false" customHeight="true" outlineLevel="0" collapsed="false">
      <c r="A14" s="12" t="n">
        <v>1</v>
      </c>
      <c r="B14" s="5"/>
      <c r="C14" s="5"/>
      <c r="D14" s="5"/>
      <c r="E14" s="9"/>
      <c r="F14" s="9"/>
      <c r="G14" s="9"/>
      <c r="H14" s="13" t="str">
        <f aca="false">IF(OR(G14="",F14=""),"",G14-F14)</f>
        <v/>
      </c>
      <c r="I14" s="14" t="str">
        <f aca="false">IFERROR(IF(F14="","",G14/F14),"")</f>
        <v/>
      </c>
      <c r="J14" s="5"/>
      <c r="K14" s="15" t="n">
        <f aca="false">IF(OR(H14="",J14&lt;&gt;"مستوفاة"),0,MIN(MAX(H14,0)*$C$6*$C$7/100*$C$8*$C$10,$C$9))</f>
        <v>0</v>
      </c>
      <c r="L14" s="5"/>
    </row>
    <row r="15" customFormat="false" ht="18.75" hidden="false" customHeight="true" outlineLevel="0" collapsed="false">
      <c r="A15" s="12" t="n">
        <v>2</v>
      </c>
      <c r="B15" s="5"/>
      <c r="C15" s="5"/>
      <c r="D15" s="5"/>
      <c r="E15" s="9"/>
      <c r="F15" s="9"/>
      <c r="G15" s="9"/>
      <c r="H15" s="13" t="str">
        <f aca="false">IF(OR(G15="",F15=""),"",G15-F15)</f>
        <v/>
      </c>
      <c r="I15" s="14" t="str">
        <f aca="false">IFERROR(IF(F15="","",G15/F15),"")</f>
        <v/>
      </c>
      <c r="J15" s="5"/>
      <c r="K15" s="15" t="n">
        <f aca="false">IF(OR(H15="",J15&lt;&gt;"مستوفاة"),0,MIN(MAX(H15,0)*$C$6*$C$7/100*$C$8*$C$10,$C$9))</f>
        <v>0</v>
      </c>
      <c r="L15" s="5"/>
    </row>
    <row r="16" customFormat="false" ht="18.75" hidden="false" customHeight="true" outlineLevel="0" collapsed="false">
      <c r="A16" s="12" t="n">
        <v>3</v>
      </c>
      <c r="B16" s="5"/>
      <c r="C16" s="5"/>
      <c r="D16" s="5"/>
      <c r="E16" s="9"/>
      <c r="F16" s="9"/>
      <c r="G16" s="9"/>
      <c r="H16" s="13" t="str">
        <f aca="false">IF(OR(G16="",F16=""),"",G16-F16)</f>
        <v/>
      </c>
      <c r="I16" s="14" t="str">
        <f aca="false">IFERROR(IF(F16="","",G16/F16),"")</f>
        <v/>
      </c>
      <c r="J16" s="5"/>
      <c r="K16" s="15" t="n">
        <f aca="false">IF(OR(H16="",J16&lt;&gt;"مستوفاة"),0,MIN(MAX(H16,0)*$C$6*$C$7/100*$C$8*$C$10,$C$9))</f>
        <v>0</v>
      </c>
      <c r="L16" s="5"/>
    </row>
    <row r="17" customFormat="false" ht="18.75" hidden="false" customHeight="true" outlineLevel="0" collapsed="false">
      <c r="A17" s="12" t="n">
        <v>4</v>
      </c>
      <c r="B17" s="5"/>
      <c r="C17" s="5"/>
      <c r="D17" s="5"/>
      <c r="E17" s="9"/>
      <c r="F17" s="9"/>
      <c r="G17" s="9"/>
      <c r="H17" s="13" t="str">
        <f aca="false">IF(OR(G17="",F17=""),"",G17-F17)</f>
        <v/>
      </c>
      <c r="I17" s="14" t="str">
        <f aca="false">IFERROR(IF(F17="","",G17/F17),"")</f>
        <v/>
      </c>
      <c r="J17" s="5"/>
      <c r="K17" s="15" t="n">
        <f aca="false">IF(OR(H17="",J17&lt;&gt;"مستوفاة"),0,MIN(MAX(H17,0)*$C$6*$C$7/100*$C$8*$C$10,$C$9))</f>
        <v>0</v>
      </c>
      <c r="L17" s="5"/>
    </row>
    <row r="18" customFormat="false" ht="18.75" hidden="false" customHeight="true" outlineLevel="0" collapsed="false">
      <c r="A18" s="12" t="n">
        <v>5</v>
      </c>
      <c r="B18" s="5"/>
      <c r="C18" s="5"/>
      <c r="D18" s="5"/>
      <c r="E18" s="9"/>
      <c r="F18" s="9"/>
      <c r="G18" s="9"/>
      <c r="H18" s="13" t="str">
        <f aca="false">IF(OR(G18="",F18=""),"",G18-F18)</f>
        <v/>
      </c>
      <c r="I18" s="14" t="str">
        <f aca="false">IFERROR(IF(F18="","",G18/F18),"")</f>
        <v/>
      </c>
      <c r="J18" s="5"/>
      <c r="K18" s="15" t="n">
        <f aca="false">IF(OR(H18="",J18&lt;&gt;"مستوفاة"),0,MIN(MAX(H18,0)*$C$6*$C$7/100*$C$8*$C$10,$C$9))</f>
        <v>0</v>
      </c>
      <c r="L18" s="5"/>
    </row>
    <row r="19" customFormat="false" ht="18.75" hidden="false" customHeight="true" outlineLevel="0" collapsed="false">
      <c r="A19" s="12" t="n">
        <v>6</v>
      </c>
      <c r="B19" s="5"/>
      <c r="C19" s="5"/>
      <c r="D19" s="5"/>
      <c r="E19" s="9"/>
      <c r="F19" s="9"/>
      <c r="G19" s="9"/>
      <c r="H19" s="13" t="str">
        <f aca="false">IF(OR(G19="",F19=""),"",G19-F19)</f>
        <v/>
      </c>
      <c r="I19" s="14" t="str">
        <f aca="false">IFERROR(IF(F19="","",G19/F19),"")</f>
        <v/>
      </c>
      <c r="J19" s="5"/>
      <c r="K19" s="15" t="n">
        <f aca="false">IF(OR(H19="",J19&lt;&gt;"مستوفاة"),0,MIN(MAX(H19,0)*$C$6*$C$7/100*$C$8*$C$10,$C$9))</f>
        <v>0</v>
      </c>
      <c r="L19" s="5"/>
    </row>
    <row r="20" customFormat="false" ht="18.75" hidden="false" customHeight="true" outlineLevel="0" collapsed="false">
      <c r="A20" s="12" t="n">
        <v>7</v>
      </c>
      <c r="B20" s="5"/>
      <c r="C20" s="5"/>
      <c r="D20" s="5"/>
      <c r="E20" s="9"/>
      <c r="F20" s="9"/>
      <c r="G20" s="9"/>
      <c r="H20" s="13" t="str">
        <f aca="false">IF(OR(G20="",F20=""),"",G20-F20)</f>
        <v/>
      </c>
      <c r="I20" s="14" t="str">
        <f aca="false">IFERROR(IF(F20="","",G20/F20),"")</f>
        <v/>
      </c>
      <c r="J20" s="5"/>
      <c r="K20" s="15" t="n">
        <f aca="false">IF(OR(H20="",J20&lt;&gt;"مستوفاة"),0,MIN(MAX(H20,0)*$C$6*$C$7/100*$C$8*$C$10,$C$9))</f>
        <v>0</v>
      </c>
      <c r="L20" s="5"/>
    </row>
    <row r="21" customFormat="false" ht="18.75" hidden="false" customHeight="true" outlineLevel="0" collapsed="false">
      <c r="A21" s="12" t="n">
        <v>8</v>
      </c>
      <c r="B21" s="5"/>
      <c r="C21" s="5"/>
      <c r="D21" s="5"/>
      <c r="E21" s="9"/>
      <c r="F21" s="9"/>
      <c r="G21" s="9"/>
      <c r="H21" s="13" t="str">
        <f aca="false">IF(OR(G21="",F21=""),"",G21-F21)</f>
        <v/>
      </c>
      <c r="I21" s="14" t="str">
        <f aca="false">IFERROR(IF(F21="","",G21/F21),"")</f>
        <v/>
      </c>
      <c r="J21" s="5"/>
      <c r="K21" s="15" t="n">
        <f aca="false">IF(OR(H21="",J21&lt;&gt;"مستوفاة"),0,MIN(MAX(H21,0)*$C$6*$C$7/100*$C$8*$C$10,$C$9))</f>
        <v>0</v>
      </c>
      <c r="L21" s="5"/>
    </row>
    <row r="22" customFormat="false" ht="18.75" hidden="false" customHeight="true" outlineLevel="0" collapsed="false">
      <c r="A22" s="12" t="n">
        <v>9</v>
      </c>
      <c r="B22" s="5"/>
      <c r="C22" s="5"/>
      <c r="D22" s="5"/>
      <c r="E22" s="9"/>
      <c r="F22" s="9"/>
      <c r="G22" s="9"/>
      <c r="H22" s="13" t="str">
        <f aca="false">IF(OR(G22="",F22=""),"",G22-F22)</f>
        <v/>
      </c>
      <c r="I22" s="14" t="str">
        <f aca="false">IFERROR(IF(F22="","",G22/F22),"")</f>
        <v/>
      </c>
      <c r="J22" s="5"/>
      <c r="K22" s="15" t="n">
        <f aca="false">IF(OR(H22="",J22&lt;&gt;"مستوفاة"),0,MIN(MAX(H22,0)*$C$6*$C$7/100*$C$8*$C$10,$C$9))</f>
        <v>0</v>
      </c>
      <c r="L22" s="5"/>
    </row>
    <row r="23" customFormat="false" ht="18.75" hidden="false" customHeight="true" outlineLevel="0" collapsed="false">
      <c r="A23" s="12" t="n">
        <v>10</v>
      </c>
      <c r="B23" s="5"/>
      <c r="C23" s="5"/>
      <c r="D23" s="5"/>
      <c r="E23" s="9"/>
      <c r="F23" s="9"/>
      <c r="G23" s="9"/>
      <c r="H23" s="13" t="str">
        <f aca="false">IF(OR(G23="",F23=""),"",G23-F23)</f>
        <v/>
      </c>
      <c r="I23" s="14" t="str">
        <f aca="false">IFERROR(IF(F23="","",G23/F23),"")</f>
        <v/>
      </c>
      <c r="J23" s="5"/>
      <c r="K23" s="15" t="n">
        <f aca="false">IF(OR(H23="",J23&lt;&gt;"مستوفاة"),0,MIN(MAX(H23,0)*$C$6*$C$7/100*$C$8*$C$10,$C$9))</f>
        <v>0</v>
      </c>
      <c r="L23" s="5"/>
    </row>
    <row r="24" customFormat="false" ht="18.75" hidden="false" customHeight="true" outlineLevel="0" collapsed="false">
      <c r="A24" s="12" t="n">
        <v>11</v>
      </c>
      <c r="B24" s="5"/>
      <c r="C24" s="5"/>
      <c r="D24" s="5"/>
      <c r="E24" s="9"/>
      <c r="F24" s="9"/>
      <c r="G24" s="9"/>
      <c r="H24" s="13" t="str">
        <f aca="false">IF(OR(G24="",F24=""),"",G24-F24)</f>
        <v/>
      </c>
      <c r="I24" s="14" t="str">
        <f aca="false">IFERROR(IF(F24="","",G24/F24),"")</f>
        <v/>
      </c>
      <c r="J24" s="5"/>
      <c r="K24" s="15" t="n">
        <f aca="false">IF(OR(H24="",J24&lt;&gt;"مستوفاة"),0,MIN(MAX(H24,0)*$C$6*$C$7/100*$C$8*$C$10,$C$9))</f>
        <v>0</v>
      </c>
      <c r="L24" s="5"/>
    </row>
    <row r="25" customFormat="false" ht="18.75" hidden="false" customHeight="true" outlineLevel="0" collapsed="false">
      <c r="A25" s="12" t="n">
        <v>12</v>
      </c>
      <c r="B25" s="5"/>
      <c r="C25" s="5"/>
      <c r="D25" s="5"/>
      <c r="E25" s="9"/>
      <c r="F25" s="9"/>
      <c r="G25" s="9"/>
      <c r="H25" s="13" t="str">
        <f aca="false">IF(OR(G25="",F25=""),"",G25-F25)</f>
        <v/>
      </c>
      <c r="I25" s="14" t="str">
        <f aca="false">IFERROR(IF(F25="","",G25/F25),"")</f>
        <v/>
      </c>
      <c r="J25" s="5"/>
      <c r="K25" s="15" t="n">
        <f aca="false">IF(OR(H25="",J25&lt;&gt;"مستوفاة"),0,MIN(MAX(H25,0)*$C$6*$C$7/100*$C$8*$C$10,$C$9))</f>
        <v>0</v>
      </c>
      <c r="L25" s="5"/>
    </row>
    <row r="26" customFormat="false" ht="18.75" hidden="false" customHeight="true" outlineLevel="0" collapsed="false">
      <c r="A26" s="12" t="n">
        <v>13</v>
      </c>
      <c r="B26" s="5"/>
      <c r="C26" s="5"/>
      <c r="D26" s="5"/>
      <c r="E26" s="9"/>
      <c r="F26" s="9"/>
      <c r="G26" s="9"/>
      <c r="H26" s="13" t="str">
        <f aca="false">IF(OR(G26="",F26=""),"",G26-F26)</f>
        <v/>
      </c>
      <c r="I26" s="14" t="str">
        <f aca="false">IFERROR(IF(F26="","",G26/F26),"")</f>
        <v/>
      </c>
      <c r="J26" s="5"/>
      <c r="K26" s="15" t="n">
        <f aca="false">IF(OR(H26="",J26&lt;&gt;"مستوفاة"),0,MIN(MAX(H26,0)*$C$6*$C$7/100*$C$8*$C$10,$C$9))</f>
        <v>0</v>
      </c>
      <c r="L26" s="5"/>
    </row>
    <row r="27" customFormat="false" ht="18.75" hidden="false" customHeight="true" outlineLevel="0" collapsed="false">
      <c r="A27" s="12" t="n">
        <v>14</v>
      </c>
      <c r="B27" s="5"/>
      <c r="C27" s="5"/>
      <c r="D27" s="5"/>
      <c r="E27" s="9"/>
      <c r="F27" s="9"/>
      <c r="G27" s="9"/>
      <c r="H27" s="13" t="str">
        <f aca="false">IF(OR(G27="",F27=""),"",G27-F27)</f>
        <v/>
      </c>
      <c r="I27" s="14" t="str">
        <f aca="false">IFERROR(IF(F27="","",G27/F27),"")</f>
        <v/>
      </c>
      <c r="J27" s="5"/>
      <c r="K27" s="15" t="n">
        <f aca="false">IF(OR(H27="",J27&lt;&gt;"مستوفاة"),0,MIN(MAX(H27,0)*$C$6*$C$7/100*$C$8*$C$10,$C$9))</f>
        <v>0</v>
      </c>
      <c r="L27" s="5"/>
    </row>
    <row r="28" customFormat="false" ht="18.75" hidden="false" customHeight="true" outlineLevel="0" collapsed="false">
      <c r="A28" s="12" t="n">
        <v>15</v>
      </c>
      <c r="B28" s="5"/>
      <c r="C28" s="5"/>
      <c r="D28" s="5"/>
      <c r="E28" s="9"/>
      <c r="F28" s="9"/>
      <c r="G28" s="9"/>
      <c r="H28" s="13" t="str">
        <f aca="false">IF(OR(G28="",F28=""),"",G28-F28)</f>
        <v/>
      </c>
      <c r="I28" s="14" t="str">
        <f aca="false">IFERROR(IF(F28="","",G28/F28),"")</f>
        <v/>
      </c>
      <c r="J28" s="5"/>
      <c r="K28" s="15" t="n">
        <f aca="false">IF(OR(H28="",J28&lt;&gt;"مستوفاة"),0,MIN(MAX(H28,0)*$C$6*$C$7/100*$C$8*$C$10,$C$9))</f>
        <v>0</v>
      </c>
      <c r="L28" s="5"/>
    </row>
    <row r="29" customFormat="false" ht="18.75" hidden="false" customHeight="true" outlineLevel="0" collapsed="false">
      <c r="A29" s="12" t="n">
        <v>16</v>
      </c>
      <c r="B29" s="5"/>
      <c r="C29" s="5"/>
      <c r="D29" s="5"/>
      <c r="E29" s="9"/>
      <c r="F29" s="9"/>
      <c r="G29" s="9"/>
      <c r="H29" s="13" t="str">
        <f aca="false">IF(OR(G29="",F29=""),"",G29-F29)</f>
        <v/>
      </c>
      <c r="I29" s="14" t="str">
        <f aca="false">IFERROR(IF(F29="","",G29/F29),"")</f>
        <v/>
      </c>
      <c r="J29" s="5"/>
      <c r="K29" s="15" t="n">
        <f aca="false">IF(OR(H29="",J29&lt;&gt;"مستوفاة"),0,MIN(MAX(H29,0)*$C$6*$C$7/100*$C$8*$C$10,$C$9))</f>
        <v>0</v>
      </c>
      <c r="L29" s="5"/>
    </row>
    <row r="30" customFormat="false" ht="18.75" hidden="false" customHeight="true" outlineLevel="0" collapsed="false">
      <c r="A30" s="12" t="n">
        <v>17</v>
      </c>
      <c r="B30" s="5"/>
      <c r="C30" s="5"/>
      <c r="D30" s="5"/>
      <c r="E30" s="9"/>
      <c r="F30" s="9"/>
      <c r="G30" s="9"/>
      <c r="H30" s="13" t="str">
        <f aca="false">IF(OR(G30="",F30=""),"",G30-F30)</f>
        <v/>
      </c>
      <c r="I30" s="14" t="str">
        <f aca="false">IFERROR(IF(F30="","",G30/F30),"")</f>
        <v/>
      </c>
      <c r="J30" s="5"/>
      <c r="K30" s="15" t="n">
        <f aca="false">IF(OR(H30="",J30&lt;&gt;"مستوفاة"),0,MIN(MAX(H30,0)*$C$6*$C$7/100*$C$8*$C$10,$C$9))</f>
        <v>0</v>
      </c>
      <c r="L30" s="5"/>
    </row>
    <row r="31" customFormat="false" ht="18.75" hidden="false" customHeight="true" outlineLevel="0" collapsed="false">
      <c r="A31" s="12" t="n">
        <v>18</v>
      </c>
      <c r="B31" s="5"/>
      <c r="C31" s="5"/>
      <c r="D31" s="5"/>
      <c r="E31" s="9"/>
      <c r="F31" s="9"/>
      <c r="G31" s="9"/>
      <c r="H31" s="13" t="str">
        <f aca="false">IF(OR(G31="",F31=""),"",G31-F31)</f>
        <v/>
      </c>
      <c r="I31" s="14" t="str">
        <f aca="false">IFERROR(IF(F31="","",G31/F31),"")</f>
        <v/>
      </c>
      <c r="J31" s="5"/>
      <c r="K31" s="15" t="n">
        <f aca="false">IF(OR(H31="",J31&lt;&gt;"مستوفاة"),0,MIN(MAX(H31,0)*$C$6*$C$7/100*$C$8*$C$10,$C$9))</f>
        <v>0</v>
      </c>
      <c r="L31" s="5"/>
    </row>
    <row r="32" customFormat="false" ht="18.75" hidden="false" customHeight="true" outlineLevel="0" collapsed="false">
      <c r="A32" s="12" t="n">
        <v>19</v>
      </c>
      <c r="B32" s="5"/>
      <c r="C32" s="5"/>
      <c r="D32" s="5"/>
      <c r="E32" s="9"/>
      <c r="F32" s="9"/>
      <c r="G32" s="9"/>
      <c r="H32" s="13" t="str">
        <f aca="false">IF(OR(G32="",F32=""),"",G32-F32)</f>
        <v/>
      </c>
      <c r="I32" s="14" t="str">
        <f aca="false">IFERROR(IF(F32="","",G32/F32),"")</f>
        <v/>
      </c>
      <c r="J32" s="5"/>
      <c r="K32" s="15" t="n">
        <f aca="false">IF(OR(H32="",J32&lt;&gt;"مستوفاة"),0,MIN(MAX(H32,0)*$C$6*$C$7/100*$C$8*$C$10,$C$9))</f>
        <v>0</v>
      </c>
      <c r="L32" s="5"/>
    </row>
    <row r="33" customFormat="false" ht="18.75" hidden="false" customHeight="true" outlineLevel="0" collapsed="false">
      <c r="A33" s="12" t="n">
        <v>20</v>
      </c>
      <c r="B33" s="5"/>
      <c r="C33" s="5"/>
      <c r="D33" s="5"/>
      <c r="E33" s="9"/>
      <c r="F33" s="9"/>
      <c r="G33" s="9"/>
      <c r="H33" s="13" t="str">
        <f aca="false">IF(OR(G33="",F33=""),"",G33-F33)</f>
        <v/>
      </c>
      <c r="I33" s="14" t="str">
        <f aca="false">IFERROR(IF(F33="","",G33/F33),"")</f>
        <v/>
      </c>
      <c r="J33" s="5"/>
      <c r="K33" s="15" t="n">
        <f aca="false">IF(OR(H33="",J33&lt;&gt;"مستوفاة"),0,MIN(MAX(H33,0)*$C$6*$C$7/100*$C$8*$C$10,$C$9))</f>
        <v>0</v>
      </c>
      <c r="L33" s="5"/>
    </row>
    <row r="34" customFormat="false" ht="15" hidden="false" customHeight="false" outlineLevel="0" collapsed="false">
      <c r="A34" s="16"/>
      <c r="B34" s="16" t="s">
        <v>27</v>
      </c>
      <c r="C34" s="16"/>
      <c r="D34" s="16"/>
      <c r="E34" s="17" t="n">
        <f aca="false">SUM(E14:E33)</f>
        <v>0</v>
      </c>
      <c r="F34" s="17" t="n">
        <f aca="false">SUM(F14:F33)</f>
        <v>0</v>
      </c>
      <c r="G34" s="17" t="n">
        <f aca="false">SUM(G14:G33)</f>
        <v>0</v>
      </c>
      <c r="H34" s="17" t="n">
        <f aca="false">SUM(H14:H33)</f>
        <v>0</v>
      </c>
      <c r="I34" s="18" t="str">
        <f aca="false">IFERROR(G34/F34,"")</f>
        <v/>
      </c>
      <c r="J34" s="16"/>
      <c r="K34" s="17" t="n">
        <f aca="false">SUM(K14:K33)</f>
        <v>0</v>
      </c>
      <c r="L34" s="16"/>
    </row>
    <row r="36" customFormat="false" ht="21.75" hidden="false" customHeight="true" outlineLevel="0" collapsed="false">
      <c r="A36" s="3" t="s">
        <v>28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</row>
    <row r="37" customFormat="false" ht="30" hidden="false" customHeight="true" outlineLevel="0" collapsed="false">
      <c r="A37" s="11" t="s">
        <v>15</v>
      </c>
      <c r="B37" s="11" t="s">
        <v>29</v>
      </c>
      <c r="C37" s="11" t="s">
        <v>30</v>
      </c>
      <c r="D37" s="11"/>
      <c r="E37" s="11"/>
      <c r="F37" s="11"/>
      <c r="G37" s="11"/>
      <c r="H37" s="11"/>
      <c r="I37" s="11"/>
      <c r="J37" s="11"/>
      <c r="K37" s="11"/>
      <c r="L37" s="11" t="s">
        <v>31</v>
      </c>
    </row>
    <row r="38" customFormat="false" ht="19.5" hidden="false" customHeight="true" outlineLevel="0" collapsed="false">
      <c r="A38" s="19" t="n">
        <v>1</v>
      </c>
      <c r="B38" s="20" t="s">
        <v>32</v>
      </c>
      <c r="C38" s="21" t="n">
        <f aca="false">H34</f>
        <v>0</v>
      </c>
      <c r="D38" s="19"/>
      <c r="E38" s="19"/>
      <c r="F38" s="19"/>
      <c r="G38" s="19"/>
      <c r="H38" s="19"/>
      <c r="I38" s="19"/>
      <c r="J38" s="19"/>
      <c r="K38" s="19"/>
      <c r="L38" s="22" t="s">
        <v>33</v>
      </c>
    </row>
    <row r="39" customFormat="false" ht="19.5" hidden="false" customHeight="true" outlineLevel="0" collapsed="false">
      <c r="A39" s="19" t="n">
        <v>2</v>
      </c>
      <c r="B39" s="20" t="s">
        <v>34</v>
      </c>
      <c r="C39" s="21" t="n">
        <f aca="false">C38*$C$6*$C$10</f>
        <v>0</v>
      </c>
      <c r="D39" s="19"/>
      <c r="E39" s="19"/>
      <c r="F39" s="19"/>
      <c r="G39" s="19"/>
      <c r="H39" s="19"/>
      <c r="I39" s="19"/>
      <c r="J39" s="19"/>
      <c r="K39" s="19"/>
      <c r="L39" s="22" t="s">
        <v>35</v>
      </c>
    </row>
    <row r="40" customFormat="false" ht="19.5" hidden="false" customHeight="true" outlineLevel="0" collapsed="false">
      <c r="A40" s="19" t="n">
        <v>3</v>
      </c>
      <c r="B40" s="20" t="s">
        <v>36</v>
      </c>
      <c r="C40" s="21" t="n">
        <f aca="false">C39*$C$7/100</f>
        <v>0</v>
      </c>
      <c r="D40" s="19"/>
      <c r="E40" s="19"/>
      <c r="F40" s="19"/>
      <c r="G40" s="19"/>
      <c r="H40" s="19"/>
      <c r="I40" s="19"/>
      <c r="J40" s="19"/>
      <c r="K40" s="19"/>
      <c r="L40" s="22" t="s">
        <v>37</v>
      </c>
    </row>
    <row r="41" customFormat="false" ht="19.5" hidden="false" customHeight="true" outlineLevel="0" collapsed="false">
      <c r="A41" s="19" t="n">
        <v>4</v>
      </c>
      <c r="B41" s="20" t="s">
        <v>38</v>
      </c>
      <c r="C41" s="21" t="n">
        <f aca="false">K34</f>
        <v>0</v>
      </c>
      <c r="D41" s="19"/>
      <c r="E41" s="19"/>
      <c r="F41" s="19"/>
      <c r="G41" s="19"/>
      <c r="H41" s="19"/>
      <c r="I41" s="19"/>
      <c r="J41" s="19"/>
      <c r="K41" s="19"/>
      <c r="L41" s="22" t="s">
        <v>39</v>
      </c>
    </row>
    <row r="42" customFormat="false" ht="19.5" hidden="false" customHeight="true" outlineLevel="0" collapsed="false">
      <c r="A42" s="19" t="n">
        <v>5</v>
      </c>
      <c r="B42" s="20" t="s">
        <v>40</v>
      </c>
      <c r="C42" s="23" t="n">
        <f aca="false">C40-C41</f>
        <v>0</v>
      </c>
      <c r="D42" s="19"/>
      <c r="E42" s="19"/>
      <c r="F42" s="19"/>
      <c r="G42" s="19"/>
      <c r="H42" s="19"/>
      <c r="I42" s="19"/>
      <c r="J42" s="19"/>
      <c r="K42" s="19"/>
      <c r="L42" s="22" t="s">
        <v>41</v>
      </c>
    </row>
    <row r="43" customFormat="false" ht="19.5" hidden="false" customHeight="true" outlineLevel="0" collapsed="false">
      <c r="A43" s="19" t="n">
        <v>6</v>
      </c>
      <c r="B43" s="20" t="s">
        <v>42</v>
      </c>
      <c r="C43" s="24" t="str">
        <f aca="false">IFERROR(C41/C40,"")</f>
        <v/>
      </c>
      <c r="D43" s="19"/>
      <c r="E43" s="19"/>
      <c r="F43" s="19"/>
      <c r="G43" s="19"/>
      <c r="H43" s="19"/>
      <c r="I43" s="19"/>
      <c r="J43" s="19"/>
      <c r="K43" s="19"/>
      <c r="L43" s="22" t="s">
        <v>43</v>
      </c>
    </row>
    <row r="45" customFormat="false" ht="21.75" hidden="false" customHeight="true" outlineLevel="0" collapsed="false">
      <c r="A45" s="3" t="s">
        <v>44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</row>
    <row r="46" customFormat="false" ht="30" hidden="false" customHeight="true" outlineLevel="0" collapsed="false">
      <c r="A46" s="11" t="s">
        <v>15</v>
      </c>
      <c r="B46" s="11" t="s">
        <v>45</v>
      </c>
      <c r="C46" s="11" t="s">
        <v>46</v>
      </c>
      <c r="D46" s="11" t="s">
        <v>47</v>
      </c>
      <c r="E46" s="11"/>
      <c r="F46" s="11"/>
      <c r="G46" s="11"/>
      <c r="H46" s="11"/>
      <c r="I46" s="11"/>
      <c r="J46" s="11"/>
      <c r="K46" s="11"/>
      <c r="L46" s="11" t="s">
        <v>48</v>
      </c>
    </row>
    <row r="47" customFormat="false" ht="21" hidden="false" customHeight="true" outlineLevel="0" collapsed="false">
      <c r="A47" s="19" t="n">
        <v>1</v>
      </c>
      <c r="B47" s="20" t="s">
        <v>49</v>
      </c>
      <c r="C47" s="19" t="s">
        <v>50</v>
      </c>
      <c r="D47" s="19" t="s">
        <v>51</v>
      </c>
      <c r="E47" s="19"/>
      <c r="F47" s="19"/>
      <c r="G47" s="19"/>
      <c r="H47" s="19"/>
      <c r="I47" s="19"/>
      <c r="J47" s="19"/>
      <c r="K47" s="19"/>
      <c r="L47" s="22" t="s">
        <v>52</v>
      </c>
    </row>
    <row r="48" customFormat="false" ht="21" hidden="false" customHeight="true" outlineLevel="0" collapsed="false">
      <c r="A48" s="19" t="n">
        <v>2</v>
      </c>
      <c r="B48" s="20" t="s">
        <v>53</v>
      </c>
      <c r="C48" s="19" t="s">
        <v>54</v>
      </c>
      <c r="D48" s="19" t="s">
        <v>55</v>
      </c>
      <c r="E48" s="19"/>
      <c r="F48" s="19"/>
      <c r="G48" s="19"/>
      <c r="H48" s="19"/>
      <c r="I48" s="19"/>
      <c r="J48" s="19"/>
      <c r="K48" s="19"/>
      <c r="L48" s="22" t="s">
        <v>56</v>
      </c>
    </row>
    <row r="49" customFormat="false" ht="21" hidden="false" customHeight="true" outlineLevel="0" collapsed="false">
      <c r="A49" s="19" t="n">
        <v>3</v>
      </c>
      <c r="B49" s="20" t="s">
        <v>57</v>
      </c>
      <c r="C49" s="19" t="s">
        <v>58</v>
      </c>
      <c r="D49" s="19" t="s">
        <v>59</v>
      </c>
      <c r="E49" s="19"/>
      <c r="F49" s="19"/>
      <c r="G49" s="19"/>
      <c r="H49" s="19"/>
      <c r="I49" s="19"/>
      <c r="J49" s="19"/>
      <c r="K49" s="19"/>
      <c r="L49" s="22" t="s">
        <v>60</v>
      </c>
    </row>
    <row r="50" customFormat="false" ht="21" hidden="false" customHeight="true" outlineLevel="0" collapsed="false">
      <c r="A50" s="19" t="n">
        <v>4</v>
      </c>
      <c r="B50" s="20" t="s">
        <v>61</v>
      </c>
      <c r="C50" s="19" t="s">
        <v>62</v>
      </c>
      <c r="D50" s="19" t="s">
        <v>63</v>
      </c>
      <c r="E50" s="19"/>
      <c r="F50" s="19"/>
      <c r="G50" s="19"/>
      <c r="H50" s="19"/>
      <c r="I50" s="19"/>
      <c r="J50" s="19"/>
      <c r="K50" s="19"/>
      <c r="L50" s="22" t="s">
        <v>64</v>
      </c>
    </row>
    <row r="51" customFormat="false" ht="15" hidden="false" customHeight="false" outlineLevel="0" collapsed="false">
      <c r="B51" s="25" t="s">
        <v>65</v>
      </c>
    </row>
    <row r="53" customFormat="false" ht="15" hidden="false" customHeight="false" outlineLevel="0" collapsed="false">
      <c r="B53" s="26" t="s">
        <v>66</v>
      </c>
    </row>
    <row r="54" customFormat="false" ht="15.75" hidden="false" customHeight="true" outlineLevel="0" collapsed="false">
      <c r="C54" s="27" t="s">
        <v>67</v>
      </c>
      <c r="D54" s="27"/>
      <c r="E54" s="27"/>
      <c r="F54" s="27"/>
      <c r="G54" s="27"/>
      <c r="H54" s="27"/>
      <c r="I54" s="27"/>
      <c r="J54" s="27"/>
      <c r="K54" s="27"/>
      <c r="L54" s="27"/>
    </row>
    <row r="55" customFormat="false" ht="15.75" hidden="false" customHeight="true" outlineLevel="0" collapsed="false">
      <c r="C55" s="27" t="s">
        <v>68</v>
      </c>
      <c r="D55" s="27"/>
      <c r="E55" s="27"/>
      <c r="F55" s="27"/>
      <c r="G55" s="27"/>
      <c r="H55" s="27"/>
      <c r="I55" s="27"/>
      <c r="J55" s="27"/>
      <c r="K55" s="27"/>
      <c r="L55" s="27"/>
    </row>
    <row r="56" customFormat="false" ht="15.75" hidden="false" customHeight="true" outlineLevel="0" collapsed="false">
      <c r="C56" s="27" t="s">
        <v>69</v>
      </c>
      <c r="D56" s="27"/>
      <c r="E56" s="27"/>
      <c r="F56" s="27"/>
      <c r="G56" s="27"/>
      <c r="H56" s="27"/>
      <c r="I56" s="27"/>
      <c r="J56" s="27"/>
      <c r="K56" s="27"/>
      <c r="L56" s="27"/>
    </row>
    <row r="57" customFormat="false" ht="15.75" hidden="false" customHeight="true" outlineLevel="0" collapsed="false">
      <c r="C57" s="27" t="s">
        <v>70</v>
      </c>
      <c r="D57" s="27"/>
      <c r="E57" s="27"/>
      <c r="F57" s="27"/>
      <c r="G57" s="27"/>
      <c r="H57" s="27"/>
      <c r="I57" s="27"/>
      <c r="J57" s="27"/>
      <c r="K57" s="27"/>
      <c r="L57" s="27"/>
    </row>
    <row r="59" customFormat="false" ht="15" hidden="false" customHeight="false" outlineLevel="0" collapsed="false">
      <c r="B59" s="26" t="s">
        <v>71</v>
      </c>
    </row>
    <row r="60" customFormat="false" ht="15.75" hidden="false" customHeight="true" outlineLevel="0" collapsed="false">
      <c r="C60" s="27" t="s">
        <v>72</v>
      </c>
      <c r="D60" s="27"/>
      <c r="E60" s="27"/>
      <c r="F60" s="27"/>
      <c r="G60" s="27"/>
      <c r="H60" s="27"/>
      <c r="I60" s="27"/>
      <c r="J60" s="27"/>
      <c r="K60" s="27"/>
      <c r="L60" s="27"/>
    </row>
    <row r="61" customFormat="false" ht="15.75" hidden="false" customHeight="true" outlineLevel="0" collapsed="false">
      <c r="C61" s="27" t="s">
        <v>73</v>
      </c>
      <c r="D61" s="27"/>
      <c r="E61" s="27"/>
      <c r="F61" s="27"/>
      <c r="G61" s="27"/>
      <c r="H61" s="27"/>
      <c r="I61" s="27"/>
      <c r="J61" s="27"/>
      <c r="K61" s="27"/>
      <c r="L61" s="27"/>
    </row>
    <row r="62" customFormat="false" ht="15.75" hidden="false" customHeight="true" outlineLevel="0" collapsed="false">
      <c r="C62" s="27" t="s">
        <v>74</v>
      </c>
      <c r="D62" s="27"/>
      <c r="E62" s="27"/>
      <c r="F62" s="27"/>
      <c r="G62" s="27"/>
      <c r="H62" s="27"/>
      <c r="I62" s="27"/>
      <c r="J62" s="27"/>
      <c r="K62" s="27"/>
      <c r="L62" s="27"/>
    </row>
    <row r="64" customFormat="false" ht="15" hidden="false" customHeight="false" outlineLevel="0" collapsed="false">
      <c r="B64" s="25" t="s">
        <v>75</v>
      </c>
    </row>
    <row r="65" customFormat="false" ht="15.75" hidden="false" customHeight="true" outlineLevel="0" collapsed="false">
      <c r="C65" s="27" t="s">
        <v>76</v>
      </c>
      <c r="D65" s="27"/>
      <c r="E65" s="27"/>
      <c r="F65" s="27"/>
      <c r="G65" s="27"/>
      <c r="H65" s="27"/>
      <c r="I65" s="27"/>
      <c r="J65" s="27"/>
      <c r="K65" s="27"/>
      <c r="L65" s="27"/>
    </row>
    <row r="66" customFormat="false" ht="15.75" hidden="false" customHeight="true" outlineLevel="0" collapsed="false">
      <c r="C66" s="27" t="s">
        <v>77</v>
      </c>
      <c r="D66" s="27"/>
      <c r="E66" s="27"/>
      <c r="F66" s="27"/>
      <c r="G66" s="27"/>
      <c r="H66" s="27"/>
      <c r="I66" s="27"/>
      <c r="J66" s="27"/>
      <c r="K66" s="27"/>
      <c r="L66" s="27"/>
    </row>
    <row r="67" customFormat="false" ht="15.75" hidden="false" customHeight="true" outlineLevel="0" collapsed="false">
      <c r="C67" s="27" t="s">
        <v>78</v>
      </c>
      <c r="D67" s="27"/>
      <c r="E67" s="27"/>
      <c r="F67" s="27"/>
      <c r="G67" s="27"/>
      <c r="H67" s="27"/>
      <c r="I67" s="27"/>
      <c r="J67" s="27"/>
      <c r="K67" s="27"/>
      <c r="L67" s="27"/>
    </row>
  </sheetData>
  <mergeCells count="16">
    <mergeCell ref="A1:L1"/>
    <mergeCell ref="A2:L2"/>
    <mergeCell ref="A3:L3"/>
    <mergeCell ref="A12:L12"/>
    <mergeCell ref="A36:L36"/>
    <mergeCell ref="A45:L45"/>
    <mergeCell ref="C54:L54"/>
    <mergeCell ref="C55:L55"/>
    <mergeCell ref="C56:L56"/>
    <mergeCell ref="C57:L57"/>
    <mergeCell ref="C60:L60"/>
    <mergeCell ref="C61:L61"/>
    <mergeCell ref="C62:L62"/>
    <mergeCell ref="C65:L65"/>
    <mergeCell ref="C66:L66"/>
    <mergeCell ref="C67:L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2026-08-06T11:51:58Z</dcterms:created>
  <dc:creator>openpyxl</dc:creator>
  <dc:description/>
  <dc:language>en-US</dc:language>
  <cp:lastModifiedBy/>
  <dcterms:modified xsi:type="dcterms:W3CDTF">2026-08-06T11:51:58Z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