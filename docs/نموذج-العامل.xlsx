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نموذج العامل" sheetId="1" state="visible" r:id="rId3"/>
    <sheet name="مطابقة الوردية مع الطلب" sheetId="2" state="visible" r:id="rId4"/>
    <sheet name="بيانات الورديا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<sst xmlns="http://schemas.openxmlformats.org/spreadsheetml/2006/main" count="210" uniqueCount="181">
  <si>
    <t xml:space="preserve">نموذج مبيعات العامل — مستهدف وحافز</t>
  </si>
  <si>
    <t xml:space="preserve">خط الأساس يُشتق من حصة الوردية الفعلية من الزيارات ÷ عدد عمالها — لا يُقدَّر يدوياً</t>
  </si>
  <si>
    <t xml:space="preserve">① مُدخلات المحطة — اختر المحطة والباقي يُعبَّأ من بيانات التشغيل</t>
  </si>
  <si>
    <t xml:space="preserve">المحطة</t>
  </si>
  <si>
    <t xml:space="preserve">اختر من القائمة ▼</t>
  </si>
  <si>
    <t xml:space="preserve">الشهر</t>
  </si>
  <si>
    <t xml:space="preserve">مثال: أغسطس ٢٠٢٦</t>
  </si>
  <si>
    <t xml:space="preserve">لتر لكل زيارة</t>
  </si>
  <si>
    <t xml:space="preserve">من بيانات المحطة</t>
  </si>
  <si>
    <t xml:space="preserve">زيارات المحطة (زيارة/يوم)</t>
  </si>
  <si>
    <t xml:space="preserve">متوسط ٢١٢ يوماً</t>
  </si>
  <si>
    <t xml:space="preserve">عمال المضخات — صباحية</t>
  </si>
  <si>
    <t xml:space="preserve">٦ ص – ٦ م</t>
  </si>
  <si>
    <t xml:space="preserve">عمال المضخات — مسائية</t>
  </si>
  <si>
    <t xml:space="preserve">٦ م – ٦ ص</t>
  </si>
  <si>
    <t xml:space="preserve">حصة الصباح من الزيارات</t>
  </si>
  <si>
    <t xml:space="preserve">من الحركة الفعلية</t>
  </si>
  <si>
    <t xml:space="preserve">حصة المساء من الزيارات</t>
  </si>
  <si>
    <t xml:space="preserve">هامش المساهمة (هللة/لتر)</t>
  </si>
  <si>
    <t xml:space="preserve">من قائمة الدخل</t>
  </si>
  <si>
    <t xml:space="preserve">نسبة الحافز من الهامش</t>
  </si>
  <si>
    <t xml:space="preserve">قرار الإدارة</t>
  </si>
  <si>
    <t xml:space="preserve">سقف الحافز الشهري للعامل</t>
  </si>
  <si>
    <t xml:space="preserve">معتمد: ١٠٠ ريال</t>
  </si>
  <si>
    <t xml:space="preserve">أيام الشهر</t>
  </si>
  <si>
    <t xml:space="preserve">نسبة النمو المستهدف</t>
  </si>
  <si>
    <t xml:space="preserve">حرّكها ← تتحرك كل المستهدفات</t>
  </si>
  <si>
    <t xml:space="preserve">يُشترط صافي محطة موجب</t>
  </si>
  <si>
    <t xml:space="preserve">نعم</t>
  </si>
  <si>
    <t xml:space="preserve">يحمي نسبة الـ١٥٪</t>
  </si>
  <si>
    <t xml:space="preserve">② بطاقة العامل — اختر الوردية فيُشتق خط الأساس · عبّئ الفعلي وبوابة الجودة</t>
  </si>
  <si>
    <t xml:space="preserve">#</t>
  </si>
  <si>
    <t xml:space="preserve">اسم العامل</t>
  </si>
  <si>
    <t xml:space="preserve">الوردية</t>
  </si>
  <si>
    <t xml:space="preserve">خط الأساس المشتق</t>
  </si>
  <si>
    <t xml:space="preserve">تعديل معتمد</t>
  </si>
  <si>
    <t xml:space="preserve">المستهدف</t>
  </si>
  <si>
    <t xml:space="preserve">الفعلي</t>
  </si>
  <si>
    <t xml:space="preserve">الفارق</t>
  </si>
  <si>
    <t xml:space="preserve">نسبة الإنجاز</t>
  </si>
  <si>
    <t xml:space="preserve">بوابة الجودة</t>
  </si>
  <si>
    <t xml:space="preserve">الحافز (ريال)</t>
  </si>
  <si>
    <t xml:space="preserve">ملاحظة</t>
  </si>
  <si>
    <t xml:space="preserve">الإجمالي</t>
  </si>
  <si>
    <t xml:space="preserve">③ ملخص المحطة — يتحدّث مع كل رقم تُدخله</t>
  </si>
  <si>
    <t xml:space="preserve">البند</t>
  </si>
  <si>
    <t xml:space="preserve">القيمة</t>
  </si>
  <si>
    <t xml:space="preserve">الدلالة</t>
  </si>
  <si>
    <t xml:space="preserve">الزيادة الإجمالية (زيارة/يوم)</t>
  </si>
  <si>
    <t xml:space="preserve">مجموع فروق العمال</t>
  </si>
  <si>
    <t xml:space="preserve">اللترات الإضافية شهرياً</t>
  </si>
  <si>
    <t xml:space="preserve">الزيادة × لتر/زيارة × الأيام</t>
  </si>
  <si>
    <t xml:space="preserve">الهامش الإضافي شهرياً (ريال)</t>
  </si>
  <si>
    <t xml:space="preserve">قبل خصم الحافز</t>
  </si>
  <si>
    <t xml:space="preserve">إجمالي الحافز شهرياً (ريال)</t>
  </si>
  <si>
    <t xml:space="preserve">ما يُصرف للعمال</t>
  </si>
  <si>
    <t xml:space="preserve">صافي المكسب للشركة (ريال)</t>
  </si>
  <si>
    <t xml:space="preserve">الهامش ناقص الحافز</t>
  </si>
  <si>
    <t xml:space="preserve">نسبة الحافز من الهامش الفعلي</t>
  </si>
  <si>
    <t xml:space="preserve">تتجاوز المعتمدة إذا ربح بعض العمال وخسر غيرهم — الحافز فردي والهامش صافٍ</t>
  </si>
  <si>
    <t xml:space="preserve">عدد من بلغوا السقف</t>
  </si>
  <si>
    <t xml:space="preserve">إن ارتفع العدد فالسقف يكبح التحفيز</t>
  </si>
  <si>
    <t xml:space="preserve">تعديلات يدوية على خط الأساس</t>
  </si>
  <si>
    <t xml:space="preserve">كل تعديل يحتاج مبرراً مكتوباً</t>
  </si>
  <si>
    <t xml:space="preserve">إذا تجاوزت النسبة الفعلية المعتمدة فالسبب أن الحافز يُصرف على مكسب كل عامل بينما الشركة تقبض الصافي فقط — شرط «صافي محطة موجب» أعلاه يمنع الصرف في شهر خاسر.</t>
  </si>
  <si>
    <t xml:space="preserve">④ ماذا لو — حرّك نسبة النمو وقارن</t>
  </si>
  <si>
    <t xml:space="preserve">السيناريو</t>
  </si>
  <si>
    <t xml:space="preserve">نسبة النمو</t>
  </si>
  <si>
    <t xml:space="preserve">زيارة/يوم إضافية</t>
  </si>
  <si>
    <t xml:space="preserve">لترات شهرياً</t>
  </si>
  <si>
    <t xml:space="preserve">الهامش الإضافي</t>
  </si>
  <si>
    <t xml:space="preserve">الحافز المتوقع</t>
  </si>
  <si>
    <t xml:space="preserve">صافي المكسب</t>
  </si>
  <si>
    <t xml:space="preserve">متحفظ</t>
  </si>
  <si>
    <t xml:space="preserve">زيادة يومية بسيطة تُدرَك بالانضباط وحده</t>
  </si>
  <si>
    <t xml:space="preserve">أساسي</t>
  </si>
  <si>
    <t xml:space="preserve">النسبة المعتمدة في النموذج أعلاه</t>
  </si>
  <si>
    <t xml:space="preserve">طموح</t>
  </si>
  <si>
    <t xml:space="preserve">يتطلب حملة ميدانية مصاحبة لا انضباطاً فقط</t>
  </si>
  <si>
    <t xml:space="preserve">الخانة البرتقالية تعني أن السقف بلغ حدّه — الزيادة بعده تذهب كاملة للشركة</t>
  </si>
  <si>
    <t xml:space="preserve">⑤ بوابة الجودة — تُقيَّم شهرياً لكل عامل</t>
  </si>
  <si>
    <t xml:space="preserve">الشرط</t>
  </si>
  <si>
    <t xml:space="preserve">المقياس</t>
  </si>
  <si>
    <t xml:space="preserve">الحد</t>
  </si>
  <si>
    <t xml:space="preserve">لماذا</t>
  </si>
  <si>
    <t xml:space="preserve">لا شكوى مثبتة</t>
  </si>
  <si>
    <t xml:space="preserve">شكاوى العامل في الشهر</t>
  </si>
  <si>
    <t xml:space="preserve">صفر</t>
  </si>
  <si>
    <t xml:space="preserve">الحافز مكافأة أداء لا مكافأة حجم</t>
  </si>
  <si>
    <t xml:space="preserve">زمن التعبئة</t>
  </si>
  <si>
    <t xml:space="preserve">متوسط الزمن في الذروة</t>
  </si>
  <si>
    <t xml:space="preserve">≤ الحد المعتمد</t>
  </si>
  <si>
    <t xml:space="preserve">سرعة الخدمة هي ما يطلبه العميل</t>
  </si>
  <si>
    <t xml:space="preserve">الحضور في ساعات الذروة</t>
  </si>
  <si>
    <t xml:space="preserve">نسبة الحضور في ساعات المحطة</t>
  </si>
  <si>
    <t xml:space="preserve">100%</t>
  </si>
  <si>
    <t xml:space="preserve">ساعات الذروة معروفة لكل محطة — انظر خانة المحطة أعلاه</t>
  </si>
  <si>
    <t xml:space="preserve">النظافة والمظهر</t>
  </si>
  <si>
    <t xml:space="preserve">تقييم المشرف الأسبوعي</t>
  </si>
  <si>
    <t xml:space="preserve">مقبول فأعلى</t>
  </si>
  <si>
    <t xml:space="preserve">أول ما يراه العميل</t>
  </si>
  <si>
    <t xml:space="preserve">كيف تستخدم الملف</t>
  </si>
  <si>
    <t xml:space="preserve">•  اختر المحطة ← تُعبَّأ الزيارات وحصص الورديات وعدد العمال من بيانات التشغيل</t>
  </si>
  <si>
    <t xml:space="preserve">•  اختر وردية العامل ← يُشتق خط أساسه تلقائياً من حصة ورديته ÷ عدد عمالها</t>
  </si>
  <si>
    <t xml:space="preserve">•  لا تعبّئ إلا: الاسم · الوردية · الفعلي · بوابة الجودة</t>
  </si>
  <si>
    <t xml:space="preserve">•  الأصفر مُدخل · الرمادي محسوب · الأخضر مسحوب من ورقة البيانات</t>
  </si>
  <si>
    <t xml:space="preserve">لماذا يُشتق خط الأساس ولا يُقدَّر</t>
  </si>
  <si>
    <t xml:space="preserve">•  خط الأساس المتساهل هو الطريقة الأولى لتفريغ الحافز من معناه</t>
  </si>
  <si>
    <t xml:space="preserve">•  عامل المساء يخدم زيارات أكثر من عامل الصباح بنفس العدد — الاشتقاق ينصفه</t>
  </si>
  <si>
    <t xml:space="preserve">•  خانة «تعديل معتمد» تُظهر أي تخفيض بالأحمر ويُحصى في الملخص</t>
  </si>
  <si>
    <t xml:space="preserve">قواعد الاحتساب</t>
  </si>
  <si>
    <t xml:space="preserve">•  الحافز على الزيادة فوق المستهدف فقط — لا على الحجم الكلي</t>
  </si>
  <si>
    <t xml:space="preserve">•  لا يُصرف إطلاقاً إذا كانت بوابة الجودة غير مستوفاة</t>
  </si>
  <si>
    <t xml:space="preserve">•  سقف ١٠٠ ريال شهرياً لكل عامل يمنع المبالغة في شهر استثنائي</t>
  </si>
  <si>
    <t xml:space="preserve">•  الفارق السالب لا يُخصم — لكنه لا يُكافأ</t>
  </si>
  <si>
    <t xml:space="preserve">ما يُبطل النموذج</t>
  </si>
  <si>
    <t xml:space="preserve">•  تعديل خط الأساس بالخفض دون مبرر مكتوب</t>
  </si>
  <si>
    <t xml:space="preserve">•  غياب قياس زمن الخدمة يفرّغ بوابة الجودة من معناها</t>
  </si>
  <si>
    <t xml:space="preserve">•  الصرف في شهر صافيه سالب — الحافز فردي والشركة تقبض الصافي</t>
  </si>
  <si>
    <t xml:space="preserve">مطابقة الوردية مع الطلب</t>
  </si>
  <si>
    <t xml:space="preserve">كل المحطات توزّع العمالة نصفين متساويين — بينما الطلب ليس نصفين</t>
  </si>
  <si>
    <t xml:space="preserve">زيارات الصباح</t>
  </si>
  <si>
    <t xml:space="preserve">زيارات المساء</t>
  </si>
  <si>
    <t xml:space="preserve">عمال صباحاً</t>
  </si>
  <si>
    <t xml:space="preserve">عمال مساءً</t>
  </si>
  <si>
    <t xml:space="preserve">حصة العمالة مساءً</t>
  </si>
  <si>
    <t xml:space="preserve">الفجوة</t>
  </si>
  <si>
    <t xml:space="preserve">حِمل عامل الصباح</t>
  </si>
  <si>
    <t xml:space="preserve">حِمل عامل المساء</t>
  </si>
  <si>
    <t xml:space="preserve">القرار</t>
  </si>
  <si>
    <t xml:space="preserve">النورية</t>
  </si>
  <si>
    <t xml:space="preserve">انقل 1 عامل من الصباح إلى المساء</t>
  </si>
  <si>
    <t xml:space="preserve">عرفات الشوقية</t>
  </si>
  <si>
    <t xml:space="preserve">الفجوة أقل من عامل — عالجها بمواعيد الدخول لا بالعدد</t>
  </si>
  <si>
    <t xml:space="preserve">المعيصم</t>
  </si>
  <si>
    <t xml:space="preserve">الفردوس</t>
  </si>
  <si>
    <t xml:space="preserve">عرفات الشرائع</t>
  </si>
  <si>
    <t xml:space="preserve">ما تقوله الأرقام</t>
  </si>
  <si>
    <t xml:space="preserve">•  عامل المساء يخدم ٢٢–٢٨٪ زيارات أكثر من عامل الصباح في أربع محطات من خمس</t>
  </si>
  <si>
    <t xml:space="preserve">•  السبب أن العمالة موزّعة ٥٠/٥٠ بينما الطلب المسائي ٥٥–٥٦٪ من الزيارات</t>
  </si>
  <si>
    <t xml:space="preserve">•  المعيصم وحدها متوازنة — لأن ذروتها ٥ إلى ٧ مساءً لا بعد التاسعة</t>
  </si>
  <si>
    <t xml:space="preserve">لماذا يهم هذا في نموذج الحافز</t>
  </si>
  <si>
    <t xml:space="preserve">•  خط أساس موحّد لكل العمال يظلم عامل المساء ويكافئ عامل الصباح على أقل جهد</t>
  </si>
  <si>
    <t xml:space="preserve">•  لذلك يُشتق خط الأساس من حصة الوردية الفعلية — لا من متوسط المحطة</t>
  </si>
  <si>
    <t xml:space="preserve">•  الاشتقاق يجعل ٥٪ نمو تعني الجهد نفسه على الورديتين</t>
  </si>
  <si>
    <t xml:space="preserve">حدود ما يمكن تنفيذه</t>
  </si>
  <si>
    <t xml:space="preserve">•  النورية وحدها فيها عمالة تكفي لنقل عامل كامل (٢٠ عاملاً على المضخات)</t>
  </si>
  <si>
    <t xml:space="preserve">•  بقية المحطات فجوتها أقل من عامل — الحل تعديل مواعيد الدخول لا زيادة العدد</t>
  </si>
  <si>
    <t xml:space="preserve">•  تكديس الورديات بين ٨ و١٠ مساءً يغطي الذروة دون تكلفة إضافية</t>
  </si>
  <si>
    <t xml:space="preserve">بيانات المحطات المرجعية</t>
  </si>
  <si>
    <t xml:space="preserve">من تقرير المطابقة التشغيلية — يناير إلى يوليو ٢٠٢٦ (٢١٢ يوماً فعلياً)</t>
  </si>
  <si>
    <t xml:space="preserve">لتر/زيارة</t>
  </si>
  <si>
    <t xml:space="preserve">زيارات/يوم</t>
  </si>
  <si>
    <t xml:space="preserve">عمال صباحية</t>
  </si>
  <si>
    <t xml:space="preserve">عمال مسائية</t>
  </si>
  <si>
    <t xml:space="preserve">حصة الصباح</t>
  </si>
  <si>
    <t xml:space="preserve">حصة المساء</t>
  </si>
  <si>
    <t xml:space="preserve">ساعات الذروة</t>
  </si>
  <si>
    <t xml:space="preserve">الطاقم المعياري</t>
  </si>
  <si>
    <t xml:space="preserve">الكود</t>
  </si>
  <si>
    <t xml:space="preserve">اسم المقياس</t>
  </si>
  <si>
    <t xml:space="preserve">العقد</t>
  </si>
  <si>
    <t xml:space="preserve">المضخات</t>
  </si>
  <si>
    <t xml:space="preserve">الورديات</t>
  </si>
  <si>
    <t xml:space="preserve">17:00 · 21:00 · 22:00</t>
  </si>
  <si>
    <t xml:space="preserve">MK007</t>
  </si>
  <si>
    <t xml:space="preserve">العمرة</t>
  </si>
  <si>
    <t xml:space="preserve">ايجار</t>
  </si>
  <si>
    <t xml:space="preserve">صباحية</t>
  </si>
  <si>
    <t xml:space="preserve">مستوفاة</t>
  </si>
  <si>
    <t xml:space="preserve">MK017</t>
  </si>
  <si>
    <t xml:space="preserve">مسائية</t>
  </si>
  <si>
    <t xml:space="preserve">غير مستوفاة</t>
  </si>
  <si>
    <t xml:space="preserve">17:00 · 18:00 · 19:00</t>
  </si>
  <si>
    <t xml:space="preserve">MK002</t>
  </si>
  <si>
    <t xml:space="preserve">MK023</t>
  </si>
  <si>
    <t xml:space="preserve">بن درويش</t>
  </si>
  <si>
    <t xml:space="preserve">تشغيل</t>
  </si>
  <si>
    <t xml:space="preserve">MK019</t>
  </si>
  <si>
    <t xml:space="preserve">«حصة الصباح/المساء» من عدد الزيارات الفعلي — الوردية الصباحية ٦ ص إلى ٦ م والمسائية ٦ م إلى ٦ ص</t>
  </si>
  <si>
    <t xml:space="preserve">«اسم المقياس» هو الاسم المستخدم في ملف العمالة — يختلف عن اسم السجل في محطتين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</si>
</sst>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;\-0.00;&quot;&quot;"/>
    <numFmt numFmtId="166" formatCode="#,##0;;&quot;&quot;"/>
    <numFmt numFmtId="167" formatCode="0;;&quot;&quot;"/>
    <numFmt numFmtId="168" formatCode="0.0%;;&quot;&quot;"/>
    <numFmt numFmtId="169" formatCode="0.00"/>
    <numFmt numFmtId="170" formatCode="0.0%"/>
    <numFmt numFmtId="171" formatCode="#,##0"/>
    <numFmt numFmtId="172" formatCode="0"/>
    <numFmt numFmtId="173" formatCode="\+#,##0;\-#,##0"/>
    <numFmt numFmtId="174" formatCode="0%"/>
    <numFmt numFmtId="175" formatCode="\+0.0%;\-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44546A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4546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9" fontId="8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0" fontId="8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8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2" fontId="8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12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3" fontId="12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4" fontId="12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12" fillId="6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7" fillId="6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4" fontId="7" fillId="6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12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0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73" fontId="12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72" fontId="12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5" fontId="12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color rgb="FF375623"/>
        <sz val="10"/>
      </font>
      <fill>
        <patternFill>
          <bgColor rgb="FFC6E0B4"/>
        </patternFill>
      </fill>
    </dxf>
    <dxf>
      <font>
        <name val="Arial"/>
        <charset val="1"/>
        <family val="0"/>
        <color rgb="FFC00000"/>
        <sz val="1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833C00"/>
        <sz val="10"/>
      </font>
      <fill>
        <patternFill>
          <bgColor rgb="FFFFE699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3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B4" s="4" t="s">
        <v>3</v>
      </c>
      <c r="C4" s="5"/>
      <c r="D4" s="6" t="str">
        <f aca="false">IFERROR("ذروة "&amp;INDEX('بيانات الورديات'!$I$4:$I$8,MATCH($C$4,'بيانات الورديات'!$B$4:$B$8,0)),"")</f>
        <v/>
      </c>
      <c r="E4" s="7" t="s">
        <v>4</v>
      </c>
    </row>
    <row r="5" customFormat="false" ht="15" hidden="false" customHeight="false" outlineLevel="0" collapsed="false">
      <c r="B5" s="4" t="s">
        <v>5</v>
      </c>
      <c r="C5" s="5"/>
      <c r="E5" s="7" t="s">
        <v>6</v>
      </c>
    </row>
    <row r="6" customFormat="false" ht="15" hidden="false" customHeight="false" outlineLevel="0" collapsed="false">
      <c r="B6" s="4" t="s">
        <v>7</v>
      </c>
      <c r="C6" s="8" t="n">
        <f aca="false">IFERROR(INDEX('بيانات الورديات'!$C$4:$C$8,MATCH($C$4,'بيانات الورديات'!$B$4:$B$8,0)),0)</f>
        <v>0</v>
      </c>
      <c r="E6" s="7" t="s">
        <v>8</v>
      </c>
    </row>
    <row r="7" customFormat="false" ht="15" hidden="false" customHeight="false" outlineLevel="0" collapsed="false">
      <c r="B7" s="4" t="s">
        <v>9</v>
      </c>
      <c r="C7" s="9" t="n">
        <f aca="false">IFERROR(INDEX('بيانات الورديات'!$D$4:$D$8,MATCH($C$4,'بيانات الورديات'!$B$4:$B$8,0)),0)</f>
        <v>0</v>
      </c>
      <c r="E7" s="7" t="s">
        <v>10</v>
      </c>
    </row>
    <row r="8" customFormat="false" ht="15" hidden="false" customHeight="false" outlineLevel="0" collapsed="false">
      <c r="B8" s="4" t="s">
        <v>11</v>
      </c>
      <c r="C8" s="10" t="n">
        <f aca="false">IFERROR(INDEX('بيانات الورديات'!$E$4:$E$8,MATCH($C$4,'بيانات الورديات'!$B$4:$B$8,0)),0)</f>
        <v>0</v>
      </c>
      <c r="E8" s="7" t="s">
        <v>12</v>
      </c>
    </row>
    <row r="9" customFormat="false" ht="15" hidden="false" customHeight="false" outlineLevel="0" collapsed="false">
      <c r="B9" s="4" t="s">
        <v>13</v>
      </c>
      <c r="C9" s="10" t="n">
        <f aca="false">IFERROR(INDEX('بيانات الورديات'!$F$4:$F$8,MATCH($C$4,'بيانات الورديات'!$B$4:$B$8,0)),0)</f>
        <v>0</v>
      </c>
      <c r="E9" s="7" t="s">
        <v>14</v>
      </c>
    </row>
    <row r="10" customFormat="false" ht="15" hidden="false" customHeight="false" outlineLevel="0" collapsed="false">
      <c r="B10" s="4" t="s">
        <v>15</v>
      </c>
      <c r="C10" s="11" t="n">
        <f aca="false">IFERROR(INDEX('بيانات الورديات'!$G$4:$G$8,MATCH($C$4,'بيانات الورديات'!$B$4:$B$8,0)),0)</f>
        <v>0</v>
      </c>
      <c r="E10" s="7" t="s">
        <v>16</v>
      </c>
    </row>
    <row r="11" customFormat="false" ht="15" hidden="false" customHeight="false" outlineLevel="0" collapsed="false">
      <c r="B11" s="4" t="s">
        <v>17</v>
      </c>
      <c r="C11" s="11" t="n">
        <f aca="false">IFERROR(INDEX('بيانات الورديات'!$H$4:$H$8,MATCH($C$4,'بيانات الورديات'!$B$4:$B$8,0)),0)</f>
        <v>0</v>
      </c>
      <c r="E11" s="7" t="s">
        <v>16</v>
      </c>
    </row>
    <row r="12" customFormat="false" ht="15" hidden="false" customHeight="false" outlineLevel="0" collapsed="false">
      <c r="B12" s="4" t="s">
        <v>18</v>
      </c>
      <c r="C12" s="12" t="n">
        <v>13.36</v>
      </c>
      <c r="E12" s="7" t="s">
        <v>19</v>
      </c>
    </row>
    <row r="13" customFormat="false" ht="15" hidden="false" customHeight="false" outlineLevel="0" collapsed="false">
      <c r="B13" s="4" t="s">
        <v>20</v>
      </c>
      <c r="C13" s="13" t="n">
        <v>0.15</v>
      </c>
      <c r="E13" s="7" t="s">
        <v>21</v>
      </c>
    </row>
    <row r="14" customFormat="false" ht="15" hidden="false" customHeight="false" outlineLevel="0" collapsed="false">
      <c r="B14" s="4" t="s">
        <v>22</v>
      </c>
      <c r="C14" s="14" t="n">
        <v>100</v>
      </c>
      <c r="E14" s="7" t="s">
        <v>23</v>
      </c>
    </row>
    <row r="15" customFormat="false" ht="15" hidden="false" customHeight="false" outlineLevel="0" collapsed="false">
      <c r="B15" s="4" t="s">
        <v>24</v>
      </c>
      <c r="C15" s="15" t="n">
        <v>30</v>
      </c>
      <c r="E15" s="7"/>
    </row>
    <row r="16" customFormat="false" ht="15" hidden="false" customHeight="false" outlineLevel="0" collapsed="false">
      <c r="B16" s="4" t="s">
        <v>25</v>
      </c>
      <c r="C16" s="13" t="n">
        <v>0.05</v>
      </c>
      <c r="E16" s="7" t="s">
        <v>26</v>
      </c>
    </row>
    <row r="17" customFormat="false" ht="15" hidden="false" customHeight="false" outlineLevel="0" collapsed="false">
      <c r="B17" s="4" t="s">
        <v>27</v>
      </c>
      <c r="C17" s="5" t="s">
        <v>28</v>
      </c>
      <c r="E17" s="7" t="s">
        <v>29</v>
      </c>
    </row>
    <row r="19" customFormat="false" ht="21.75" hidden="false" customHeight="true" outlineLevel="0" collapsed="false">
      <c r="A19" s="3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30" hidden="false" customHeight="true" outlineLevel="0" collapsed="false">
      <c r="A20" s="16" t="s">
        <v>31</v>
      </c>
      <c r="B20" s="16" t="s">
        <v>32</v>
      </c>
      <c r="C20" s="16" t="s">
        <v>33</v>
      </c>
      <c r="D20" s="16" t="s">
        <v>34</v>
      </c>
      <c r="E20" s="16" t="s">
        <v>35</v>
      </c>
      <c r="F20" s="16" t="s">
        <v>36</v>
      </c>
      <c r="G20" s="16" t="s">
        <v>37</v>
      </c>
      <c r="H20" s="16" t="s">
        <v>38</v>
      </c>
      <c r="I20" s="16" t="s">
        <v>39</v>
      </c>
      <c r="J20" s="16" t="s">
        <v>40</v>
      </c>
      <c r="K20" s="16" t="s">
        <v>41</v>
      </c>
      <c r="L20" s="16" t="s">
        <v>42</v>
      </c>
    </row>
    <row r="21" customFormat="false" ht="18.75" hidden="false" customHeight="true" outlineLevel="0" collapsed="false">
      <c r="A21" s="17" t="n">
        <v>1</v>
      </c>
      <c r="B21" s="5"/>
      <c r="C21" s="5"/>
      <c r="D21" s="18" t="str">
        <f aca="false">IF(OR($C21="",$C$7=0),"",ROUND(IF($C21="صباحية",$C$7*$C$10/MAX($C$8,1),$C$7*$C$11/MAX($C$9,1)),0))</f>
        <v/>
      </c>
      <c r="E21" s="19"/>
      <c r="F21" s="20" t="str">
        <f aca="false">IF($D21="","",ROUND(IF($E21="",$D21,$E21)*(1+$C$16),0))</f>
        <v/>
      </c>
      <c r="G21" s="14"/>
      <c r="H21" s="21" t="str">
        <f aca="false">IF(OR($G21="",$F21=""),"",$G21-$F21)</f>
        <v/>
      </c>
      <c r="I21" s="22" t="str">
        <f aca="false">IFERROR(IF($F21="","",$G21/$F21),"")</f>
        <v/>
      </c>
      <c r="J21" s="5"/>
      <c r="K21" s="23" t="n">
        <f aca="false">IF(OR($H21="",$J21&lt;&gt;"مستوفاة"),0,IF(AND($C$17="نعم",$H$41&lt;=0),0,MIN(MAX($H21,0)*$C$6*$C$12/100*$C$13*$C$15,$C$14)))</f>
        <v>0</v>
      </c>
      <c r="L21" s="5"/>
    </row>
    <row r="22" customFormat="false" ht="18.75" hidden="false" customHeight="true" outlineLevel="0" collapsed="false">
      <c r="A22" s="17" t="n">
        <v>2</v>
      </c>
      <c r="B22" s="5"/>
      <c r="C22" s="5"/>
      <c r="D22" s="18" t="str">
        <f aca="false">IF(OR($C22="",$C$7=0),"",ROUND(IF($C22="صباحية",$C$7*$C$10/MAX($C$8,1),$C$7*$C$11/MAX($C$9,1)),0))</f>
        <v/>
      </c>
      <c r="E22" s="19"/>
      <c r="F22" s="20" t="str">
        <f aca="false">IF($D22="","",ROUND(IF($E22="",$D22,$E22)*(1+$C$16),0))</f>
        <v/>
      </c>
      <c r="G22" s="14"/>
      <c r="H22" s="21" t="str">
        <f aca="false">IF(OR($G22="",$F22=""),"",$G22-$F22)</f>
        <v/>
      </c>
      <c r="I22" s="22" t="str">
        <f aca="false">IFERROR(IF($F22="","",$G22/$F22),"")</f>
        <v/>
      </c>
      <c r="J22" s="5"/>
      <c r="K22" s="23" t="n">
        <f aca="false">IF(OR($H22="",$J22&lt;&gt;"مستوفاة"),0,IF(AND($C$17="نعم",$H$41&lt;=0),0,MIN(MAX($H22,0)*$C$6*$C$12/100*$C$13*$C$15,$C$14)))</f>
        <v>0</v>
      </c>
      <c r="L22" s="5"/>
    </row>
    <row r="23" customFormat="false" ht="18.75" hidden="false" customHeight="true" outlineLevel="0" collapsed="false">
      <c r="A23" s="17" t="n">
        <v>3</v>
      </c>
      <c r="B23" s="5"/>
      <c r="C23" s="5"/>
      <c r="D23" s="18" t="str">
        <f aca="false">IF(OR($C23="",$C$7=0),"",ROUND(IF($C23="صباحية",$C$7*$C$10/MAX($C$8,1),$C$7*$C$11/MAX($C$9,1)),0))</f>
        <v/>
      </c>
      <c r="E23" s="19"/>
      <c r="F23" s="20" t="str">
        <f aca="false">IF($D23="","",ROUND(IF($E23="",$D23,$E23)*(1+$C$16),0))</f>
        <v/>
      </c>
      <c r="G23" s="14"/>
      <c r="H23" s="21" t="str">
        <f aca="false">IF(OR($G23="",$F23=""),"",$G23-$F23)</f>
        <v/>
      </c>
      <c r="I23" s="22" t="str">
        <f aca="false">IFERROR(IF($F23="","",$G23/$F23),"")</f>
        <v/>
      </c>
      <c r="J23" s="5"/>
      <c r="K23" s="23" t="n">
        <f aca="false">IF(OR($H23="",$J23&lt;&gt;"مستوفاة"),0,IF(AND($C$17="نعم",$H$41&lt;=0),0,MIN(MAX($H23,0)*$C$6*$C$12/100*$C$13*$C$15,$C$14)))</f>
        <v>0</v>
      </c>
      <c r="L23" s="5"/>
    </row>
    <row r="24" customFormat="false" ht="18.75" hidden="false" customHeight="true" outlineLevel="0" collapsed="false">
      <c r="A24" s="17" t="n">
        <v>4</v>
      </c>
      <c r="B24" s="5"/>
      <c r="C24" s="5"/>
      <c r="D24" s="18" t="str">
        <f aca="false">IF(OR($C24="",$C$7=0),"",ROUND(IF($C24="صباحية",$C$7*$C$10/MAX($C$8,1),$C$7*$C$11/MAX($C$9,1)),0))</f>
        <v/>
      </c>
      <c r="E24" s="19"/>
      <c r="F24" s="20" t="str">
        <f aca="false">IF($D24="","",ROUND(IF($E24="",$D24,$E24)*(1+$C$16),0))</f>
        <v/>
      </c>
      <c r="G24" s="14"/>
      <c r="H24" s="21" t="str">
        <f aca="false">IF(OR($G24="",$F24=""),"",$G24-$F24)</f>
        <v/>
      </c>
      <c r="I24" s="22" t="str">
        <f aca="false">IFERROR(IF($F24="","",$G24/$F24),"")</f>
        <v/>
      </c>
      <c r="J24" s="5"/>
      <c r="K24" s="23" t="n">
        <f aca="false">IF(OR($H24="",$J24&lt;&gt;"مستوفاة"),0,IF(AND($C$17="نعم",$H$41&lt;=0),0,MIN(MAX($H24,0)*$C$6*$C$12/100*$C$13*$C$15,$C$14)))</f>
        <v>0</v>
      </c>
      <c r="L24" s="5"/>
    </row>
    <row r="25" customFormat="false" ht="18.75" hidden="false" customHeight="true" outlineLevel="0" collapsed="false">
      <c r="A25" s="17" t="n">
        <v>5</v>
      </c>
      <c r="B25" s="5"/>
      <c r="C25" s="5"/>
      <c r="D25" s="18" t="str">
        <f aca="false">IF(OR($C25="",$C$7=0),"",ROUND(IF($C25="صباحية",$C$7*$C$10/MAX($C$8,1),$C$7*$C$11/MAX($C$9,1)),0))</f>
        <v/>
      </c>
      <c r="E25" s="19"/>
      <c r="F25" s="20" t="str">
        <f aca="false">IF($D25="","",ROUND(IF($E25="",$D25,$E25)*(1+$C$16),0))</f>
        <v/>
      </c>
      <c r="G25" s="14"/>
      <c r="H25" s="21" t="str">
        <f aca="false">IF(OR($G25="",$F25=""),"",$G25-$F25)</f>
        <v/>
      </c>
      <c r="I25" s="22" t="str">
        <f aca="false">IFERROR(IF($F25="","",$G25/$F25),"")</f>
        <v/>
      </c>
      <c r="J25" s="5"/>
      <c r="K25" s="23" t="n">
        <f aca="false">IF(OR($H25="",$J25&lt;&gt;"مستوفاة"),0,IF(AND($C$17="نعم",$H$41&lt;=0),0,MIN(MAX($H25,0)*$C$6*$C$12/100*$C$13*$C$15,$C$14)))</f>
        <v>0</v>
      </c>
      <c r="L25" s="5"/>
    </row>
    <row r="26" customFormat="false" ht="18.75" hidden="false" customHeight="true" outlineLevel="0" collapsed="false">
      <c r="A26" s="17" t="n">
        <v>6</v>
      </c>
      <c r="B26" s="5"/>
      <c r="C26" s="5"/>
      <c r="D26" s="18" t="str">
        <f aca="false">IF(OR($C26="",$C$7=0),"",ROUND(IF($C26="صباحية",$C$7*$C$10/MAX($C$8,1),$C$7*$C$11/MAX($C$9,1)),0))</f>
        <v/>
      </c>
      <c r="E26" s="19"/>
      <c r="F26" s="20" t="str">
        <f aca="false">IF($D26="","",ROUND(IF($E26="",$D26,$E26)*(1+$C$16),0))</f>
        <v/>
      </c>
      <c r="G26" s="14"/>
      <c r="H26" s="21" t="str">
        <f aca="false">IF(OR($G26="",$F26=""),"",$G26-$F26)</f>
        <v/>
      </c>
      <c r="I26" s="22" t="str">
        <f aca="false">IFERROR(IF($F26="","",$G26/$F26),"")</f>
        <v/>
      </c>
      <c r="J26" s="5"/>
      <c r="K26" s="23" t="n">
        <f aca="false">IF(OR($H26="",$J26&lt;&gt;"مستوفاة"),0,IF(AND($C$17="نعم",$H$41&lt;=0),0,MIN(MAX($H26,0)*$C$6*$C$12/100*$C$13*$C$15,$C$14)))</f>
        <v>0</v>
      </c>
      <c r="L26" s="5"/>
    </row>
    <row r="27" customFormat="false" ht="18.75" hidden="false" customHeight="true" outlineLevel="0" collapsed="false">
      <c r="A27" s="17" t="n">
        <v>7</v>
      </c>
      <c r="B27" s="5"/>
      <c r="C27" s="5"/>
      <c r="D27" s="18" t="str">
        <f aca="false">IF(OR($C27="",$C$7=0),"",ROUND(IF($C27="صباحية",$C$7*$C$10/MAX($C$8,1),$C$7*$C$11/MAX($C$9,1)),0))</f>
        <v/>
      </c>
      <c r="E27" s="19"/>
      <c r="F27" s="20" t="str">
        <f aca="false">IF($D27="","",ROUND(IF($E27="",$D27,$E27)*(1+$C$16),0))</f>
        <v/>
      </c>
      <c r="G27" s="14"/>
      <c r="H27" s="21" t="str">
        <f aca="false">IF(OR($G27="",$F27=""),"",$G27-$F27)</f>
        <v/>
      </c>
      <c r="I27" s="22" t="str">
        <f aca="false">IFERROR(IF($F27="","",$G27/$F27),"")</f>
        <v/>
      </c>
      <c r="J27" s="5"/>
      <c r="K27" s="23" t="n">
        <f aca="false">IF(OR($H27="",$J27&lt;&gt;"مستوفاة"),0,IF(AND($C$17="نعم",$H$41&lt;=0),0,MIN(MAX($H27,0)*$C$6*$C$12/100*$C$13*$C$15,$C$14)))</f>
        <v>0</v>
      </c>
      <c r="L27" s="5"/>
    </row>
    <row r="28" customFormat="false" ht="18.75" hidden="false" customHeight="true" outlineLevel="0" collapsed="false">
      <c r="A28" s="17" t="n">
        <v>8</v>
      </c>
      <c r="B28" s="5"/>
      <c r="C28" s="5"/>
      <c r="D28" s="18" t="str">
        <f aca="false">IF(OR($C28="",$C$7=0),"",ROUND(IF($C28="صباحية",$C$7*$C$10/MAX($C$8,1),$C$7*$C$11/MAX($C$9,1)),0))</f>
        <v/>
      </c>
      <c r="E28" s="19"/>
      <c r="F28" s="20" t="str">
        <f aca="false">IF($D28="","",ROUND(IF($E28="",$D28,$E28)*(1+$C$16),0))</f>
        <v/>
      </c>
      <c r="G28" s="14"/>
      <c r="H28" s="21" t="str">
        <f aca="false">IF(OR($G28="",$F28=""),"",$G28-$F28)</f>
        <v/>
      </c>
      <c r="I28" s="22" t="str">
        <f aca="false">IFERROR(IF($F28="","",$G28/$F28),"")</f>
        <v/>
      </c>
      <c r="J28" s="5"/>
      <c r="K28" s="23" t="n">
        <f aca="false">IF(OR($H28="",$J28&lt;&gt;"مستوفاة"),0,IF(AND($C$17="نعم",$H$41&lt;=0),0,MIN(MAX($H28,0)*$C$6*$C$12/100*$C$13*$C$15,$C$14)))</f>
        <v>0</v>
      </c>
      <c r="L28" s="5"/>
    </row>
    <row r="29" customFormat="false" ht="18.75" hidden="false" customHeight="true" outlineLevel="0" collapsed="false">
      <c r="A29" s="17" t="n">
        <v>9</v>
      </c>
      <c r="B29" s="5"/>
      <c r="C29" s="5"/>
      <c r="D29" s="18" t="str">
        <f aca="false">IF(OR($C29="",$C$7=0),"",ROUND(IF($C29="صباحية",$C$7*$C$10/MAX($C$8,1),$C$7*$C$11/MAX($C$9,1)),0))</f>
        <v/>
      </c>
      <c r="E29" s="19"/>
      <c r="F29" s="20" t="str">
        <f aca="false">IF($D29="","",ROUND(IF($E29="",$D29,$E29)*(1+$C$16),0))</f>
        <v/>
      </c>
      <c r="G29" s="14"/>
      <c r="H29" s="21" t="str">
        <f aca="false">IF(OR($G29="",$F29=""),"",$G29-$F29)</f>
        <v/>
      </c>
      <c r="I29" s="22" t="str">
        <f aca="false">IFERROR(IF($F29="","",$G29/$F29),"")</f>
        <v/>
      </c>
      <c r="J29" s="5"/>
      <c r="K29" s="23" t="n">
        <f aca="false">IF(OR($H29="",$J29&lt;&gt;"مستوفاة"),0,IF(AND($C$17="نعم",$H$41&lt;=0),0,MIN(MAX($H29,0)*$C$6*$C$12/100*$C$13*$C$15,$C$14)))</f>
        <v>0</v>
      </c>
      <c r="L29" s="5"/>
    </row>
    <row r="30" customFormat="false" ht="18.75" hidden="false" customHeight="true" outlineLevel="0" collapsed="false">
      <c r="A30" s="17" t="n">
        <v>10</v>
      </c>
      <c r="B30" s="5"/>
      <c r="C30" s="5"/>
      <c r="D30" s="18" t="str">
        <f aca="false">IF(OR($C30="",$C$7=0),"",ROUND(IF($C30="صباحية",$C$7*$C$10/MAX($C$8,1),$C$7*$C$11/MAX($C$9,1)),0))</f>
        <v/>
      </c>
      <c r="E30" s="19"/>
      <c r="F30" s="20" t="str">
        <f aca="false">IF($D30="","",ROUND(IF($E30="",$D30,$E30)*(1+$C$16),0))</f>
        <v/>
      </c>
      <c r="G30" s="14"/>
      <c r="H30" s="21" t="str">
        <f aca="false">IF(OR($G30="",$F30=""),"",$G30-$F30)</f>
        <v/>
      </c>
      <c r="I30" s="22" t="str">
        <f aca="false">IFERROR(IF($F30="","",$G30/$F30),"")</f>
        <v/>
      </c>
      <c r="J30" s="5"/>
      <c r="K30" s="23" t="n">
        <f aca="false">IF(OR($H30="",$J30&lt;&gt;"مستوفاة"),0,IF(AND($C$17="نعم",$H$41&lt;=0),0,MIN(MAX($H30,0)*$C$6*$C$12/100*$C$13*$C$15,$C$14)))</f>
        <v>0</v>
      </c>
      <c r="L30" s="5"/>
    </row>
    <row r="31" customFormat="false" ht="18.75" hidden="false" customHeight="true" outlineLevel="0" collapsed="false">
      <c r="A31" s="17" t="n">
        <v>11</v>
      </c>
      <c r="B31" s="5"/>
      <c r="C31" s="5"/>
      <c r="D31" s="18" t="str">
        <f aca="false">IF(OR($C31="",$C$7=0),"",ROUND(IF($C31="صباحية",$C$7*$C$10/MAX($C$8,1),$C$7*$C$11/MAX($C$9,1)),0))</f>
        <v/>
      </c>
      <c r="E31" s="19"/>
      <c r="F31" s="20" t="str">
        <f aca="false">IF($D31="","",ROUND(IF($E31="",$D31,$E31)*(1+$C$16),0))</f>
        <v/>
      </c>
      <c r="G31" s="14"/>
      <c r="H31" s="21" t="str">
        <f aca="false">IF(OR($G31="",$F31=""),"",$G31-$F31)</f>
        <v/>
      </c>
      <c r="I31" s="22" t="str">
        <f aca="false">IFERROR(IF($F31="","",$G31/$F31),"")</f>
        <v/>
      </c>
      <c r="J31" s="5"/>
      <c r="K31" s="23" t="n">
        <f aca="false">IF(OR($H31="",$J31&lt;&gt;"مستوفاة"),0,IF(AND($C$17="نعم",$H$41&lt;=0),0,MIN(MAX($H31,0)*$C$6*$C$12/100*$C$13*$C$15,$C$14)))</f>
        <v>0</v>
      </c>
      <c r="L31" s="5"/>
    </row>
    <row r="32" customFormat="false" ht="18.75" hidden="false" customHeight="true" outlineLevel="0" collapsed="false">
      <c r="A32" s="17" t="n">
        <v>12</v>
      </c>
      <c r="B32" s="5"/>
      <c r="C32" s="5"/>
      <c r="D32" s="18" t="str">
        <f aca="false">IF(OR($C32="",$C$7=0),"",ROUND(IF($C32="صباحية",$C$7*$C$10/MAX($C$8,1),$C$7*$C$11/MAX($C$9,1)),0))</f>
        <v/>
      </c>
      <c r="E32" s="19"/>
      <c r="F32" s="20" t="str">
        <f aca="false">IF($D32="","",ROUND(IF($E32="",$D32,$E32)*(1+$C$16),0))</f>
        <v/>
      </c>
      <c r="G32" s="14"/>
      <c r="H32" s="21" t="str">
        <f aca="false">IF(OR($G32="",$F32=""),"",$G32-$F32)</f>
        <v/>
      </c>
      <c r="I32" s="22" t="str">
        <f aca="false">IFERROR(IF($F32="","",$G32/$F32),"")</f>
        <v/>
      </c>
      <c r="J32" s="5"/>
      <c r="K32" s="23" t="n">
        <f aca="false">IF(OR($H32="",$J32&lt;&gt;"مستوفاة"),0,IF(AND($C$17="نعم",$H$41&lt;=0),0,MIN(MAX($H32,0)*$C$6*$C$12/100*$C$13*$C$15,$C$14)))</f>
        <v>0</v>
      </c>
      <c r="L32" s="5"/>
    </row>
    <row r="33" customFormat="false" ht="18.75" hidden="false" customHeight="true" outlineLevel="0" collapsed="false">
      <c r="A33" s="17" t="n">
        <v>13</v>
      </c>
      <c r="B33" s="5"/>
      <c r="C33" s="5"/>
      <c r="D33" s="18" t="str">
        <f aca="false">IF(OR($C33="",$C$7=0),"",ROUND(IF($C33="صباحية",$C$7*$C$10/MAX($C$8,1),$C$7*$C$11/MAX($C$9,1)),0))</f>
        <v/>
      </c>
      <c r="E33" s="19"/>
      <c r="F33" s="20" t="str">
        <f aca="false">IF($D33="","",ROUND(IF($E33="",$D33,$E33)*(1+$C$16),0))</f>
        <v/>
      </c>
      <c r="G33" s="14"/>
      <c r="H33" s="21" t="str">
        <f aca="false">IF(OR($G33="",$F33=""),"",$G33-$F33)</f>
        <v/>
      </c>
      <c r="I33" s="22" t="str">
        <f aca="false">IFERROR(IF($F33="","",$G33/$F33),"")</f>
        <v/>
      </c>
      <c r="J33" s="5"/>
      <c r="K33" s="23" t="n">
        <f aca="false">IF(OR($H33="",$J33&lt;&gt;"مستوفاة"),0,IF(AND($C$17="نعم",$H$41&lt;=0),0,MIN(MAX($H33,0)*$C$6*$C$12/100*$C$13*$C$15,$C$14)))</f>
        <v>0</v>
      </c>
      <c r="L33" s="5"/>
    </row>
    <row r="34" customFormat="false" ht="18.75" hidden="false" customHeight="true" outlineLevel="0" collapsed="false">
      <c r="A34" s="17" t="n">
        <v>14</v>
      </c>
      <c r="B34" s="5"/>
      <c r="C34" s="5"/>
      <c r="D34" s="18" t="str">
        <f aca="false">IF(OR($C34="",$C$7=0),"",ROUND(IF($C34="صباحية",$C$7*$C$10/MAX($C$8,1),$C$7*$C$11/MAX($C$9,1)),0))</f>
        <v/>
      </c>
      <c r="E34" s="19"/>
      <c r="F34" s="20" t="str">
        <f aca="false">IF($D34="","",ROUND(IF($E34="",$D34,$E34)*(1+$C$16),0))</f>
        <v/>
      </c>
      <c r="G34" s="14"/>
      <c r="H34" s="21" t="str">
        <f aca="false">IF(OR($G34="",$F34=""),"",$G34-$F34)</f>
        <v/>
      </c>
      <c r="I34" s="22" t="str">
        <f aca="false">IFERROR(IF($F34="","",$G34/$F34),"")</f>
        <v/>
      </c>
      <c r="J34" s="5"/>
      <c r="K34" s="23" t="n">
        <f aca="false">IF(OR($H34="",$J34&lt;&gt;"مستوفاة"),0,IF(AND($C$17="نعم",$H$41&lt;=0),0,MIN(MAX($H34,0)*$C$6*$C$12/100*$C$13*$C$15,$C$14)))</f>
        <v>0</v>
      </c>
      <c r="L34" s="5"/>
    </row>
    <row r="35" customFormat="false" ht="18.75" hidden="false" customHeight="true" outlineLevel="0" collapsed="false">
      <c r="A35" s="17" t="n">
        <v>15</v>
      </c>
      <c r="B35" s="5"/>
      <c r="C35" s="5"/>
      <c r="D35" s="18" t="str">
        <f aca="false">IF(OR($C35="",$C$7=0),"",ROUND(IF($C35="صباحية",$C$7*$C$10/MAX($C$8,1),$C$7*$C$11/MAX($C$9,1)),0))</f>
        <v/>
      </c>
      <c r="E35" s="19"/>
      <c r="F35" s="20" t="str">
        <f aca="false">IF($D35="","",ROUND(IF($E35="",$D35,$E35)*(1+$C$16),0))</f>
        <v/>
      </c>
      <c r="G35" s="14"/>
      <c r="H35" s="21" t="str">
        <f aca="false">IF(OR($G35="",$F35=""),"",$G35-$F35)</f>
        <v/>
      </c>
      <c r="I35" s="22" t="str">
        <f aca="false">IFERROR(IF($F35="","",$G35/$F35),"")</f>
        <v/>
      </c>
      <c r="J35" s="5"/>
      <c r="K35" s="23" t="n">
        <f aca="false">IF(OR($H35="",$J35&lt;&gt;"مستوفاة"),0,IF(AND($C$17="نعم",$H$41&lt;=0),0,MIN(MAX($H35,0)*$C$6*$C$12/100*$C$13*$C$15,$C$14)))</f>
        <v>0</v>
      </c>
      <c r="L35" s="5"/>
    </row>
    <row r="36" customFormat="false" ht="18.75" hidden="false" customHeight="true" outlineLevel="0" collapsed="false">
      <c r="A36" s="17" t="n">
        <v>16</v>
      </c>
      <c r="B36" s="5"/>
      <c r="C36" s="5"/>
      <c r="D36" s="18" t="str">
        <f aca="false">IF(OR($C36="",$C$7=0),"",ROUND(IF($C36="صباحية",$C$7*$C$10/MAX($C$8,1),$C$7*$C$11/MAX($C$9,1)),0))</f>
        <v/>
      </c>
      <c r="E36" s="19"/>
      <c r="F36" s="20" t="str">
        <f aca="false">IF($D36="","",ROUND(IF($E36="",$D36,$E36)*(1+$C$16),0))</f>
        <v/>
      </c>
      <c r="G36" s="14"/>
      <c r="H36" s="21" t="str">
        <f aca="false">IF(OR($G36="",$F36=""),"",$G36-$F36)</f>
        <v/>
      </c>
      <c r="I36" s="22" t="str">
        <f aca="false">IFERROR(IF($F36="","",$G36/$F36),"")</f>
        <v/>
      </c>
      <c r="J36" s="5"/>
      <c r="K36" s="23" t="n">
        <f aca="false">IF(OR($H36="",$J36&lt;&gt;"مستوفاة"),0,IF(AND($C$17="نعم",$H$41&lt;=0),0,MIN(MAX($H36,0)*$C$6*$C$12/100*$C$13*$C$15,$C$14)))</f>
        <v>0</v>
      </c>
      <c r="L36" s="5"/>
    </row>
    <row r="37" customFormat="false" ht="18.75" hidden="false" customHeight="true" outlineLevel="0" collapsed="false">
      <c r="A37" s="17" t="n">
        <v>17</v>
      </c>
      <c r="B37" s="5"/>
      <c r="C37" s="5"/>
      <c r="D37" s="18" t="str">
        <f aca="false">IF(OR($C37="",$C$7=0),"",ROUND(IF($C37="صباحية",$C$7*$C$10/MAX($C$8,1),$C$7*$C$11/MAX($C$9,1)),0))</f>
        <v/>
      </c>
      <c r="E37" s="19"/>
      <c r="F37" s="20" t="str">
        <f aca="false">IF($D37="","",ROUND(IF($E37="",$D37,$E37)*(1+$C$16),0))</f>
        <v/>
      </c>
      <c r="G37" s="14"/>
      <c r="H37" s="21" t="str">
        <f aca="false">IF(OR($G37="",$F37=""),"",$G37-$F37)</f>
        <v/>
      </c>
      <c r="I37" s="22" t="str">
        <f aca="false">IFERROR(IF($F37="","",$G37/$F37),"")</f>
        <v/>
      </c>
      <c r="J37" s="5"/>
      <c r="K37" s="23" t="n">
        <f aca="false">IF(OR($H37="",$J37&lt;&gt;"مستوفاة"),0,IF(AND($C$17="نعم",$H$41&lt;=0),0,MIN(MAX($H37,0)*$C$6*$C$12/100*$C$13*$C$15,$C$14)))</f>
        <v>0</v>
      </c>
      <c r="L37" s="5"/>
    </row>
    <row r="38" customFormat="false" ht="18.75" hidden="false" customHeight="true" outlineLevel="0" collapsed="false">
      <c r="A38" s="17" t="n">
        <v>18</v>
      </c>
      <c r="B38" s="5"/>
      <c r="C38" s="5"/>
      <c r="D38" s="18" t="str">
        <f aca="false">IF(OR($C38="",$C$7=0),"",ROUND(IF($C38="صباحية",$C$7*$C$10/MAX($C$8,1),$C$7*$C$11/MAX($C$9,1)),0))</f>
        <v/>
      </c>
      <c r="E38" s="19"/>
      <c r="F38" s="20" t="str">
        <f aca="false">IF($D38="","",ROUND(IF($E38="",$D38,$E38)*(1+$C$16),0))</f>
        <v/>
      </c>
      <c r="G38" s="14"/>
      <c r="H38" s="21" t="str">
        <f aca="false">IF(OR($G38="",$F38=""),"",$G38-$F38)</f>
        <v/>
      </c>
      <c r="I38" s="22" t="str">
        <f aca="false">IFERROR(IF($F38="","",$G38/$F38),"")</f>
        <v/>
      </c>
      <c r="J38" s="5"/>
      <c r="K38" s="23" t="n">
        <f aca="false">IF(OR($H38="",$J38&lt;&gt;"مستوفاة"),0,IF(AND($C$17="نعم",$H$41&lt;=0),0,MIN(MAX($H38,0)*$C$6*$C$12/100*$C$13*$C$15,$C$14)))</f>
        <v>0</v>
      </c>
      <c r="L38" s="5"/>
    </row>
    <row r="39" customFormat="false" ht="18.75" hidden="false" customHeight="true" outlineLevel="0" collapsed="false">
      <c r="A39" s="17" t="n">
        <v>19</v>
      </c>
      <c r="B39" s="5"/>
      <c r="C39" s="5"/>
      <c r="D39" s="18" t="str">
        <f aca="false">IF(OR($C39="",$C$7=0),"",ROUND(IF($C39="صباحية",$C$7*$C$10/MAX($C$8,1),$C$7*$C$11/MAX($C$9,1)),0))</f>
        <v/>
      </c>
      <c r="E39" s="19"/>
      <c r="F39" s="20" t="str">
        <f aca="false">IF($D39="","",ROUND(IF($E39="",$D39,$E39)*(1+$C$16),0))</f>
        <v/>
      </c>
      <c r="G39" s="14"/>
      <c r="H39" s="21" t="str">
        <f aca="false">IF(OR($G39="",$F39=""),"",$G39-$F39)</f>
        <v/>
      </c>
      <c r="I39" s="22" t="str">
        <f aca="false">IFERROR(IF($F39="","",$G39/$F39),"")</f>
        <v/>
      </c>
      <c r="J39" s="5"/>
      <c r="K39" s="23" t="n">
        <f aca="false">IF(OR($H39="",$J39&lt;&gt;"مستوفاة"),0,IF(AND($C$17="نعم",$H$41&lt;=0),0,MIN(MAX($H39,0)*$C$6*$C$12/100*$C$13*$C$15,$C$14)))</f>
        <v>0</v>
      </c>
      <c r="L39" s="5"/>
    </row>
    <row r="40" customFormat="false" ht="18.75" hidden="false" customHeight="true" outlineLevel="0" collapsed="false">
      <c r="A40" s="17" t="n">
        <v>20</v>
      </c>
      <c r="B40" s="5"/>
      <c r="C40" s="5"/>
      <c r="D40" s="18" t="str">
        <f aca="false">IF(OR($C40="",$C$7=0),"",ROUND(IF($C40="صباحية",$C$7*$C$10/MAX($C$8,1),$C$7*$C$11/MAX($C$9,1)),0))</f>
        <v/>
      </c>
      <c r="E40" s="19"/>
      <c r="F40" s="20" t="str">
        <f aca="false">IF($D40="","",ROUND(IF($E40="",$D40,$E40)*(1+$C$16),0))</f>
        <v/>
      </c>
      <c r="G40" s="14"/>
      <c r="H40" s="21" t="str">
        <f aca="false">IF(OR($G40="",$F40=""),"",$G40-$F40)</f>
        <v/>
      </c>
      <c r="I40" s="22" t="str">
        <f aca="false">IFERROR(IF($F40="","",$G40/$F40),"")</f>
        <v/>
      </c>
      <c r="J40" s="5"/>
      <c r="K40" s="23" t="n">
        <f aca="false">IF(OR($H40="",$J40&lt;&gt;"مستوفاة"),0,IF(AND($C$17="نعم",$H$41&lt;=0),0,MIN(MAX($H40,0)*$C$6*$C$12/100*$C$13*$C$15,$C$14)))</f>
        <v>0</v>
      </c>
      <c r="L40" s="5"/>
    </row>
    <row r="41" customFormat="false" ht="15" hidden="false" customHeight="false" outlineLevel="0" collapsed="false">
      <c r="A41" s="24"/>
      <c r="B41" s="24" t="s">
        <v>43</v>
      </c>
      <c r="C41" s="24" t="str">
        <f aca="false">COUNTA($B21:$B40)&amp;" عامل"</f>
        <v>0 عامل</v>
      </c>
      <c r="D41" s="25" t="n">
        <f aca="false">SUM(D21:D40)</f>
        <v>0</v>
      </c>
      <c r="E41" s="24"/>
      <c r="F41" s="25" t="n">
        <f aca="false">SUM(F21:F40)</f>
        <v>0</v>
      </c>
      <c r="G41" s="25" t="n">
        <f aca="false">SUM(G21:G40)</f>
        <v>0</v>
      </c>
      <c r="H41" s="25" t="n">
        <f aca="false">SUM(H21:H40)</f>
        <v>0</v>
      </c>
      <c r="I41" s="26" t="str">
        <f aca="false">IFERROR($G41/$F41,"")</f>
        <v/>
      </c>
      <c r="J41" s="24"/>
      <c r="K41" s="25" t="n">
        <f aca="false">SUM(K21:K40)</f>
        <v>0</v>
      </c>
      <c r="L41" s="24"/>
    </row>
    <row r="43" customFormat="false" ht="21.75" hidden="false" customHeight="true" outlineLevel="0" collapsed="false">
      <c r="A43" s="3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30" hidden="false" customHeight="true" outlineLevel="0" collapsed="false">
      <c r="A44" s="16" t="s">
        <v>31</v>
      </c>
      <c r="B44" s="16" t="s">
        <v>45</v>
      </c>
      <c r="C44" s="16" t="s">
        <v>46</v>
      </c>
      <c r="D44" s="16"/>
      <c r="E44" s="16"/>
      <c r="F44" s="16"/>
      <c r="G44" s="16"/>
      <c r="H44" s="16"/>
      <c r="I44" s="16"/>
      <c r="J44" s="16"/>
      <c r="K44" s="16"/>
      <c r="L44" s="16" t="s">
        <v>47</v>
      </c>
    </row>
    <row r="45" customFormat="false" ht="19.5" hidden="false" customHeight="true" outlineLevel="0" collapsed="false">
      <c r="A45" s="27" t="n">
        <v>1</v>
      </c>
      <c r="B45" s="28" t="s">
        <v>48</v>
      </c>
      <c r="C45" s="29" t="n">
        <f aca="false">$H$41</f>
        <v>0</v>
      </c>
      <c r="D45" s="27"/>
      <c r="E45" s="27"/>
      <c r="F45" s="27"/>
      <c r="G45" s="27"/>
      <c r="H45" s="27"/>
      <c r="I45" s="27"/>
      <c r="J45" s="27"/>
      <c r="K45" s="27"/>
      <c r="L45" s="30" t="s">
        <v>49</v>
      </c>
    </row>
    <row r="46" customFormat="false" ht="19.5" hidden="false" customHeight="true" outlineLevel="0" collapsed="false">
      <c r="A46" s="27" t="n">
        <v>2</v>
      </c>
      <c r="B46" s="28" t="s">
        <v>50</v>
      </c>
      <c r="C46" s="29" t="n">
        <f aca="false">$C$45*$C$6*$C$15</f>
        <v>0</v>
      </c>
      <c r="D46" s="27"/>
      <c r="E46" s="27"/>
      <c r="F46" s="27"/>
      <c r="G46" s="27"/>
      <c r="H46" s="27"/>
      <c r="I46" s="27"/>
      <c r="J46" s="27"/>
      <c r="K46" s="27"/>
      <c r="L46" s="30" t="s">
        <v>51</v>
      </c>
    </row>
    <row r="47" customFormat="false" ht="19.5" hidden="false" customHeight="true" outlineLevel="0" collapsed="false">
      <c r="A47" s="27" t="n">
        <v>3</v>
      </c>
      <c r="B47" s="28" t="s">
        <v>52</v>
      </c>
      <c r="C47" s="29" t="n">
        <f aca="false">$C$46*$C$12/100</f>
        <v>0</v>
      </c>
      <c r="D47" s="27"/>
      <c r="E47" s="27"/>
      <c r="F47" s="27"/>
      <c r="G47" s="27"/>
      <c r="H47" s="27"/>
      <c r="I47" s="27"/>
      <c r="J47" s="27"/>
      <c r="K47" s="27"/>
      <c r="L47" s="30" t="s">
        <v>53</v>
      </c>
    </row>
    <row r="48" customFormat="false" ht="19.5" hidden="false" customHeight="true" outlineLevel="0" collapsed="false">
      <c r="A48" s="27" t="n">
        <v>4</v>
      </c>
      <c r="B48" s="28" t="s">
        <v>54</v>
      </c>
      <c r="C48" s="29" t="n">
        <f aca="false">$K$41</f>
        <v>0</v>
      </c>
      <c r="D48" s="27"/>
      <c r="E48" s="27"/>
      <c r="F48" s="27"/>
      <c r="G48" s="27"/>
      <c r="H48" s="27"/>
      <c r="I48" s="27"/>
      <c r="J48" s="27"/>
      <c r="K48" s="27"/>
      <c r="L48" s="30" t="s">
        <v>55</v>
      </c>
    </row>
    <row r="49" customFormat="false" ht="19.5" hidden="false" customHeight="true" outlineLevel="0" collapsed="false">
      <c r="A49" s="27" t="n">
        <v>5</v>
      </c>
      <c r="B49" s="28" t="s">
        <v>56</v>
      </c>
      <c r="C49" s="31" t="n">
        <f aca="false">$C$47-$C$48</f>
        <v>0</v>
      </c>
      <c r="D49" s="27"/>
      <c r="E49" s="27"/>
      <c r="F49" s="27"/>
      <c r="G49" s="27"/>
      <c r="H49" s="27"/>
      <c r="I49" s="27"/>
      <c r="J49" s="27"/>
      <c r="K49" s="27"/>
      <c r="L49" s="30" t="s">
        <v>57</v>
      </c>
    </row>
    <row r="50" customFormat="false" ht="19.5" hidden="false" customHeight="true" outlineLevel="0" collapsed="false">
      <c r="A50" s="27" t="n">
        <v>6</v>
      </c>
      <c r="B50" s="28" t="s">
        <v>58</v>
      </c>
      <c r="C50" s="32" t="str">
        <f aca="false">IFERROR($C$48/$C$47,"")</f>
        <v/>
      </c>
      <c r="D50" s="27"/>
      <c r="E50" s="27"/>
      <c r="F50" s="27"/>
      <c r="G50" s="27"/>
      <c r="H50" s="27"/>
      <c r="I50" s="27"/>
      <c r="J50" s="27"/>
      <c r="K50" s="27"/>
      <c r="L50" s="30" t="s">
        <v>59</v>
      </c>
    </row>
    <row r="51" customFormat="false" ht="19.5" hidden="false" customHeight="true" outlineLevel="0" collapsed="false">
      <c r="A51" s="27" t="n">
        <v>7</v>
      </c>
      <c r="B51" s="28" t="s">
        <v>60</v>
      </c>
      <c r="C51" s="29" t="n">
        <f aca="false">COUNTIFS($K$21:$K$40,"="&amp;$C$14)</f>
        <v>0</v>
      </c>
      <c r="D51" s="27"/>
      <c r="E51" s="27"/>
      <c r="F51" s="27"/>
      <c r="G51" s="27"/>
      <c r="H51" s="27"/>
      <c r="I51" s="27"/>
      <c r="J51" s="27"/>
      <c r="K51" s="27"/>
      <c r="L51" s="30" t="s">
        <v>61</v>
      </c>
    </row>
    <row r="52" customFormat="false" ht="19.5" hidden="false" customHeight="true" outlineLevel="0" collapsed="false">
      <c r="A52" s="27" t="n">
        <v>8</v>
      </c>
      <c r="B52" s="28" t="s">
        <v>62</v>
      </c>
      <c r="C52" s="29" t="n">
        <f aca="false">COUNTA($E$21:$E$40)</f>
        <v>0</v>
      </c>
      <c r="D52" s="27"/>
      <c r="E52" s="27"/>
      <c r="F52" s="27"/>
      <c r="G52" s="27"/>
      <c r="H52" s="27"/>
      <c r="I52" s="27"/>
      <c r="J52" s="27"/>
      <c r="K52" s="27"/>
      <c r="L52" s="30" t="s">
        <v>63</v>
      </c>
    </row>
    <row r="53" customFormat="false" ht="15" hidden="false" customHeight="false" outlineLevel="0" collapsed="false">
      <c r="B53" s="33" t="s">
        <v>64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customFormat="false" ht="21.75" hidden="false" customHeight="true" outlineLevel="0" collapsed="false">
      <c r="A54" s="3" t="s">
        <v>65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30" hidden="false" customHeight="true" outlineLevel="0" collapsed="false">
      <c r="A55" s="16" t="s">
        <v>31</v>
      </c>
      <c r="B55" s="16" t="s">
        <v>66</v>
      </c>
      <c r="C55" s="16" t="s">
        <v>67</v>
      </c>
      <c r="D55" s="16" t="s">
        <v>68</v>
      </c>
      <c r="E55" s="16" t="s">
        <v>69</v>
      </c>
      <c r="F55" s="16" t="s">
        <v>70</v>
      </c>
      <c r="G55" s="16" t="s">
        <v>71</v>
      </c>
      <c r="H55" s="16" t="s">
        <v>72</v>
      </c>
      <c r="I55" s="16"/>
      <c r="J55" s="16"/>
      <c r="K55" s="16"/>
      <c r="L55" s="16" t="s">
        <v>47</v>
      </c>
    </row>
    <row r="56" customFormat="false" ht="19.5" hidden="false" customHeight="true" outlineLevel="0" collapsed="false">
      <c r="A56" s="27" t="n">
        <v>1</v>
      </c>
      <c r="B56" s="28" t="s">
        <v>73</v>
      </c>
      <c r="C56" s="13" t="n">
        <v>0.03</v>
      </c>
      <c r="D56" s="29" t="n">
        <f aca="false">ROUND($D$41*$C56,0)</f>
        <v>0</v>
      </c>
      <c r="E56" s="29" t="n">
        <f aca="false">$D56*$C$6*$C$15</f>
        <v>0</v>
      </c>
      <c r="F56" s="29" t="n">
        <f aca="false">$E56*$C$12/100</f>
        <v>0</v>
      </c>
      <c r="G56" s="29" t="n">
        <f aca="false">MIN($F56*$C$13,COUNTA($B$21:$B$40)*$C$14)</f>
        <v>0</v>
      </c>
      <c r="H56" s="31" t="n">
        <f aca="false">$F56-$G56</f>
        <v>0</v>
      </c>
      <c r="I56" s="27"/>
      <c r="J56" s="27"/>
      <c r="K56" s="27"/>
      <c r="L56" s="30" t="s">
        <v>74</v>
      </c>
    </row>
    <row r="57" customFormat="false" ht="19.5" hidden="false" customHeight="true" outlineLevel="0" collapsed="false">
      <c r="A57" s="27" t="n">
        <v>2</v>
      </c>
      <c r="B57" s="28" t="s">
        <v>75</v>
      </c>
      <c r="C57" s="13" t="n">
        <v>0.05</v>
      </c>
      <c r="D57" s="29" t="n">
        <f aca="false">ROUND($D$41*$C57,0)</f>
        <v>0</v>
      </c>
      <c r="E57" s="29" t="n">
        <f aca="false">$D57*$C$6*$C$15</f>
        <v>0</v>
      </c>
      <c r="F57" s="29" t="n">
        <f aca="false">$E57*$C$12/100</f>
        <v>0</v>
      </c>
      <c r="G57" s="29" t="n">
        <f aca="false">MIN($F57*$C$13,COUNTA($B$21:$B$40)*$C$14)</f>
        <v>0</v>
      </c>
      <c r="H57" s="31" t="n">
        <f aca="false">$F57-$G57</f>
        <v>0</v>
      </c>
      <c r="I57" s="27"/>
      <c r="J57" s="27"/>
      <c r="K57" s="27"/>
      <c r="L57" s="30" t="s">
        <v>76</v>
      </c>
    </row>
    <row r="58" customFormat="false" ht="19.5" hidden="false" customHeight="true" outlineLevel="0" collapsed="false">
      <c r="A58" s="27" t="n">
        <v>3</v>
      </c>
      <c r="B58" s="28" t="s">
        <v>77</v>
      </c>
      <c r="C58" s="13" t="n">
        <v>0.1</v>
      </c>
      <c r="D58" s="29" t="n">
        <f aca="false">ROUND($D$41*$C58,0)</f>
        <v>0</v>
      </c>
      <c r="E58" s="29" t="n">
        <f aca="false">$D58*$C$6*$C$15</f>
        <v>0</v>
      </c>
      <c r="F58" s="29" t="n">
        <f aca="false">$E58*$C$12/100</f>
        <v>0</v>
      </c>
      <c r="G58" s="29" t="n">
        <f aca="false">MIN($F58*$C$13,COUNTA($B$21:$B$40)*$C$14)</f>
        <v>0</v>
      </c>
      <c r="H58" s="31" t="n">
        <f aca="false">$F58-$G58</f>
        <v>0</v>
      </c>
      <c r="I58" s="27"/>
      <c r="J58" s="27"/>
      <c r="K58" s="27"/>
      <c r="L58" s="30" t="s">
        <v>78</v>
      </c>
    </row>
    <row r="59" customFormat="false" ht="15" hidden="false" customHeight="false" outlineLevel="0" collapsed="false">
      <c r="B59" s="7" t="s">
        <v>79</v>
      </c>
    </row>
    <row r="61" customFormat="false" ht="21.75" hidden="false" customHeight="true" outlineLevel="0" collapsed="false">
      <c r="A61" s="3" t="s">
        <v>80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30" hidden="false" customHeight="true" outlineLevel="0" collapsed="false">
      <c r="A62" s="16" t="s">
        <v>31</v>
      </c>
      <c r="B62" s="16" t="s">
        <v>81</v>
      </c>
      <c r="C62" s="16" t="s">
        <v>82</v>
      </c>
      <c r="D62" s="16" t="s">
        <v>83</v>
      </c>
      <c r="E62" s="16"/>
      <c r="F62" s="16"/>
      <c r="G62" s="16"/>
      <c r="H62" s="16"/>
      <c r="I62" s="16"/>
      <c r="J62" s="16"/>
      <c r="K62" s="16"/>
      <c r="L62" s="16" t="s">
        <v>84</v>
      </c>
    </row>
    <row r="63" customFormat="false" ht="21" hidden="false" customHeight="true" outlineLevel="0" collapsed="false">
      <c r="A63" s="27" t="n">
        <v>1</v>
      </c>
      <c r="B63" s="28" t="s">
        <v>85</v>
      </c>
      <c r="C63" s="27" t="s">
        <v>86</v>
      </c>
      <c r="D63" s="27" t="s">
        <v>87</v>
      </c>
      <c r="E63" s="27"/>
      <c r="F63" s="27"/>
      <c r="G63" s="27"/>
      <c r="H63" s="27"/>
      <c r="I63" s="27"/>
      <c r="J63" s="27"/>
      <c r="K63" s="27"/>
      <c r="L63" s="30" t="s">
        <v>88</v>
      </c>
    </row>
    <row r="64" customFormat="false" ht="21" hidden="false" customHeight="true" outlineLevel="0" collapsed="false">
      <c r="A64" s="27" t="n">
        <v>2</v>
      </c>
      <c r="B64" s="28" t="s">
        <v>89</v>
      </c>
      <c r="C64" s="27" t="s">
        <v>90</v>
      </c>
      <c r="D64" s="27" t="s">
        <v>91</v>
      </c>
      <c r="E64" s="27"/>
      <c r="F64" s="27"/>
      <c r="G64" s="27"/>
      <c r="H64" s="27"/>
      <c r="I64" s="27"/>
      <c r="J64" s="27"/>
      <c r="K64" s="27"/>
      <c r="L64" s="30" t="s">
        <v>92</v>
      </c>
    </row>
    <row r="65" customFormat="false" ht="21" hidden="false" customHeight="true" outlineLevel="0" collapsed="false">
      <c r="A65" s="27" t="n">
        <v>3</v>
      </c>
      <c r="B65" s="28" t="s">
        <v>93</v>
      </c>
      <c r="C65" s="27" t="s">
        <v>94</v>
      </c>
      <c r="D65" s="27" t="s">
        <v>95</v>
      </c>
      <c r="E65" s="27"/>
      <c r="F65" s="27"/>
      <c r="G65" s="27"/>
      <c r="H65" s="27"/>
      <c r="I65" s="27"/>
      <c r="J65" s="27"/>
      <c r="K65" s="27"/>
      <c r="L65" s="30" t="s">
        <v>96</v>
      </c>
    </row>
    <row r="66" customFormat="false" ht="21" hidden="false" customHeight="true" outlineLevel="0" collapsed="false">
      <c r="A66" s="27" t="n">
        <v>4</v>
      </c>
      <c r="B66" s="28" t="s">
        <v>97</v>
      </c>
      <c r="C66" s="27" t="s">
        <v>98</v>
      </c>
      <c r="D66" s="27" t="s">
        <v>99</v>
      </c>
      <c r="E66" s="27"/>
      <c r="F66" s="27"/>
      <c r="G66" s="27"/>
      <c r="H66" s="27"/>
      <c r="I66" s="27"/>
      <c r="J66" s="27"/>
      <c r="K66" s="27"/>
      <c r="L66" s="30" t="s">
        <v>100</v>
      </c>
    </row>
    <row r="68" customFormat="false" ht="15" hidden="false" customHeight="false" outlineLevel="0" collapsed="false">
      <c r="B68" s="34" t="s">
        <v>101</v>
      </c>
    </row>
    <row r="69" customFormat="false" ht="15.75" hidden="false" customHeight="true" outlineLevel="0" collapsed="false">
      <c r="C69" s="35" t="s">
        <v>102</v>
      </c>
      <c r="D69" s="35"/>
      <c r="E69" s="35"/>
      <c r="F69" s="35"/>
      <c r="G69" s="35"/>
      <c r="H69" s="35"/>
      <c r="I69" s="35"/>
      <c r="J69" s="35"/>
      <c r="K69" s="35"/>
      <c r="L69" s="35"/>
    </row>
    <row r="70" customFormat="false" ht="15.75" hidden="false" customHeight="true" outlineLevel="0" collapsed="false">
      <c r="C70" s="35" t="s">
        <v>103</v>
      </c>
      <c r="D70" s="35"/>
      <c r="E70" s="35"/>
      <c r="F70" s="35"/>
      <c r="G70" s="35"/>
      <c r="H70" s="35"/>
      <c r="I70" s="35"/>
      <c r="J70" s="35"/>
      <c r="K70" s="35"/>
      <c r="L70" s="35"/>
    </row>
    <row r="71" customFormat="false" ht="15.75" hidden="false" customHeight="true" outlineLevel="0" collapsed="false">
      <c r="C71" s="35" t="s">
        <v>104</v>
      </c>
      <c r="D71" s="35"/>
      <c r="E71" s="35"/>
      <c r="F71" s="35"/>
      <c r="G71" s="35"/>
      <c r="H71" s="35"/>
      <c r="I71" s="35"/>
      <c r="J71" s="35"/>
      <c r="K71" s="35"/>
      <c r="L71" s="35"/>
    </row>
    <row r="72" customFormat="false" ht="15.75" hidden="false" customHeight="true" outlineLevel="0" collapsed="false">
      <c r="C72" s="35" t="s">
        <v>105</v>
      </c>
      <c r="D72" s="35"/>
      <c r="E72" s="35"/>
      <c r="F72" s="35"/>
      <c r="G72" s="35"/>
      <c r="H72" s="35"/>
      <c r="I72" s="35"/>
      <c r="J72" s="35"/>
      <c r="K72" s="35"/>
      <c r="L72" s="35"/>
    </row>
    <row r="74" customFormat="false" ht="15" hidden="false" customHeight="false" outlineLevel="0" collapsed="false">
      <c r="B74" s="34" t="s">
        <v>106</v>
      </c>
    </row>
    <row r="75" customFormat="false" ht="15.75" hidden="false" customHeight="true" outlineLevel="0" collapsed="false">
      <c r="C75" s="35" t="s">
        <v>107</v>
      </c>
      <c r="D75" s="35"/>
      <c r="E75" s="35"/>
      <c r="F75" s="35"/>
      <c r="G75" s="35"/>
      <c r="H75" s="35"/>
      <c r="I75" s="35"/>
      <c r="J75" s="35"/>
      <c r="K75" s="35"/>
      <c r="L75" s="35"/>
    </row>
    <row r="76" customFormat="false" ht="15.75" hidden="false" customHeight="true" outlineLevel="0" collapsed="false">
      <c r="C76" s="35" t="s">
        <v>108</v>
      </c>
      <c r="D76" s="35"/>
      <c r="E76" s="35"/>
      <c r="F76" s="35"/>
      <c r="G76" s="35"/>
      <c r="H76" s="35"/>
      <c r="I76" s="35"/>
      <c r="J76" s="35"/>
      <c r="K76" s="35"/>
      <c r="L76" s="35"/>
    </row>
    <row r="77" customFormat="false" ht="15.75" hidden="false" customHeight="true" outlineLevel="0" collapsed="false">
      <c r="C77" s="35" t="s">
        <v>109</v>
      </c>
      <c r="D77" s="35"/>
      <c r="E77" s="35"/>
      <c r="F77" s="35"/>
      <c r="G77" s="35"/>
      <c r="H77" s="35"/>
      <c r="I77" s="35"/>
      <c r="J77" s="35"/>
      <c r="K77" s="35"/>
      <c r="L77" s="35"/>
    </row>
    <row r="79" customFormat="false" ht="15" hidden="false" customHeight="false" outlineLevel="0" collapsed="false">
      <c r="B79" s="34" t="s">
        <v>110</v>
      </c>
    </row>
    <row r="80" customFormat="false" ht="15.75" hidden="false" customHeight="true" outlineLevel="0" collapsed="false">
      <c r="C80" s="35" t="s">
        <v>111</v>
      </c>
      <c r="D80" s="35"/>
      <c r="E80" s="35"/>
      <c r="F80" s="35"/>
      <c r="G80" s="35"/>
      <c r="H80" s="35"/>
      <c r="I80" s="35"/>
      <c r="J80" s="35"/>
      <c r="K80" s="35"/>
      <c r="L80" s="35"/>
    </row>
    <row r="81" customFormat="false" ht="15.75" hidden="false" customHeight="true" outlineLevel="0" collapsed="false">
      <c r="C81" s="35" t="s">
        <v>112</v>
      </c>
      <c r="D81" s="35"/>
      <c r="E81" s="35"/>
      <c r="F81" s="35"/>
      <c r="G81" s="35"/>
      <c r="H81" s="35"/>
      <c r="I81" s="35"/>
      <c r="J81" s="35"/>
      <c r="K81" s="35"/>
      <c r="L81" s="35"/>
    </row>
    <row r="82" customFormat="false" ht="15.75" hidden="false" customHeight="true" outlineLevel="0" collapsed="false">
      <c r="C82" s="35" t="s">
        <v>113</v>
      </c>
      <c r="D82" s="35"/>
      <c r="E82" s="35"/>
      <c r="F82" s="35"/>
      <c r="G82" s="35"/>
      <c r="H82" s="35"/>
      <c r="I82" s="35"/>
      <c r="J82" s="35"/>
      <c r="K82" s="35"/>
      <c r="L82" s="35"/>
    </row>
    <row r="83" customFormat="false" ht="15.75" hidden="false" customHeight="true" outlineLevel="0" collapsed="false">
      <c r="C83" s="35" t="s">
        <v>114</v>
      </c>
      <c r="D83" s="35"/>
      <c r="E83" s="35"/>
      <c r="F83" s="35"/>
      <c r="G83" s="35"/>
      <c r="H83" s="35"/>
      <c r="I83" s="35"/>
      <c r="J83" s="35"/>
      <c r="K83" s="35"/>
      <c r="L83" s="35"/>
    </row>
    <row r="85" customFormat="false" ht="15" hidden="false" customHeight="false" outlineLevel="0" collapsed="false">
      <c r="B85" s="36" t="s">
        <v>115</v>
      </c>
    </row>
    <row r="86" customFormat="false" ht="15.75" hidden="false" customHeight="true" outlineLevel="0" collapsed="false">
      <c r="C86" s="35" t="s">
        <v>116</v>
      </c>
      <c r="D86" s="35"/>
      <c r="E86" s="35"/>
      <c r="F86" s="35"/>
      <c r="G86" s="35"/>
      <c r="H86" s="35"/>
      <c r="I86" s="35"/>
      <c r="J86" s="35"/>
      <c r="K86" s="35"/>
      <c r="L86" s="35"/>
    </row>
    <row r="87" customFormat="false" ht="15.75" hidden="false" customHeight="true" outlineLevel="0" collapsed="false">
      <c r="C87" s="35" t="s">
        <v>117</v>
      </c>
      <c r="D87" s="35"/>
      <c r="E87" s="35"/>
      <c r="F87" s="35"/>
      <c r="G87" s="35"/>
      <c r="H87" s="35"/>
      <c r="I87" s="35"/>
      <c r="J87" s="35"/>
      <c r="K87" s="35"/>
      <c r="L87" s="35"/>
    </row>
    <row r="88" customFormat="false" ht="15.75" hidden="false" customHeight="true" outlineLevel="0" collapsed="false">
      <c r="C88" s="35" t="s">
        <v>118</v>
      </c>
      <c r="D88" s="35"/>
      <c r="E88" s="35"/>
      <c r="F88" s="35"/>
      <c r="G88" s="35"/>
      <c r="H88" s="35"/>
      <c r="I88" s="35"/>
      <c r="J88" s="35"/>
      <c r="K88" s="35"/>
      <c r="L88" s="35"/>
    </row>
  </sheetData>
  <mergeCells count="22">
    <mergeCell ref="A1:L1"/>
    <mergeCell ref="A2:L2"/>
    <mergeCell ref="A3:L3"/>
    <mergeCell ref="A19:L19"/>
    <mergeCell ref="A43:L43"/>
    <mergeCell ref="B53:L53"/>
    <mergeCell ref="A54:L54"/>
    <mergeCell ref="A61:L61"/>
    <mergeCell ref="C69:L69"/>
    <mergeCell ref="C70:L70"/>
    <mergeCell ref="C71:L71"/>
    <mergeCell ref="C72:L72"/>
    <mergeCell ref="C75:L75"/>
    <mergeCell ref="C76:L76"/>
    <mergeCell ref="C77:L77"/>
    <mergeCell ref="C80:L80"/>
    <mergeCell ref="C81:L81"/>
    <mergeCell ref="C82:L82"/>
    <mergeCell ref="C83:L83"/>
    <mergeCell ref="C86:L86"/>
    <mergeCell ref="C87:L87"/>
    <mergeCell ref="C88:L88"/>
  </mergeCells>
  <conditionalFormatting sqref="H21:H40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I21:I40">
    <cfRule type="dataBar" priority="4">
      <dataBar showValue="1" minLength="10" maxLength="90">
        <cfvo type="num" val="0"/>
        <cfvo type="num" val="1.3"/>
        <color rgb="FF5B9BD5"/>
      </dataBar>
      <extLst>
        <ext xmlns:x14="http://schemas.microsoft.com/office/spreadsheetml/2009/9/main" uri="{B025F937-C7B1-47D3-B67F-A62EFF666E3E}">
          <x14:id>{E8DE3F7D-D783-44FF-80DB-CF78C8DBF710}</x14:id>
        </ext>
      </extLst>
    </cfRule>
  </conditionalFormatting>
  <conditionalFormatting sqref="K21:K40">
    <cfRule type="cellIs" priority="5" operator="greaterThan" aboveAverage="0" equalAverage="0" bottom="0" percent="0" rank="0" text="" dxfId="2">
      <formula>0</formula>
    </cfRule>
    <cfRule type="expression" priority="6" aboveAverage="0" equalAverage="0" bottom="0" percent="0" rank="0" text="" dxfId="3">
      <formula>AND($K21&gt;0,$K21=$C$14)</formula>
    </cfRule>
  </conditionalFormatting>
  <conditionalFormatting sqref="J21:J40">
    <cfRule type="expression" priority="7" aboveAverage="0" equalAverage="0" bottom="0" percent="0" rank="0" text="" dxfId="4">
      <formula>$J21="مستوفاة"</formula>
    </cfRule>
    <cfRule type="expression" priority="8" aboveAverage="0" equalAverage="0" bottom="0" percent="0" rank="0" text="" dxfId="5">
      <formula>$J21="غير مستوفاة"</formula>
    </cfRule>
  </conditionalFormatting>
  <conditionalFormatting sqref="B21:B40">
    <cfRule type="expression" priority="9" aboveAverage="0" equalAverage="0" bottom="0" percent="0" rank="0" text="" dxfId="6">
      <formula>AND($H21&gt;0,$J21="غير مستوفاة")</formula>
    </cfRule>
  </conditionalFormatting>
  <conditionalFormatting sqref="E21:E40">
    <cfRule type="expression" priority="10" aboveAverage="0" equalAverage="0" bottom="0" percent="0" rank="0" text="" dxfId="5">
      <formula>AND($E21&lt;&gt;"",$E21&lt;$D21)</formula>
    </cfRule>
  </conditionalFormatting>
  <conditionalFormatting sqref="C49">
    <cfRule type="cellIs" priority="11" operator="greaterThan" aboveAverage="0" equalAverage="0" bottom="0" percent="0" rank="0" text="" dxfId="2">
      <formula>0</formula>
    </cfRule>
    <cfRule type="cellIs" priority="12" operator="lessThan" aboveAverage="0" equalAverage="0" bottom="0" percent="0" rank="0" text="" dxfId="5">
      <formula>0</formula>
    </cfRule>
  </conditionalFormatting>
  <conditionalFormatting sqref="C52">
    <cfRule type="cellIs" priority="13" operator="greaterThan" aboveAverage="0" equalAverage="0" bottom="0" percent="0" rank="0" text="" dxfId="3">
      <formula>0</formula>
    </cfRule>
  </conditionalFormatting>
  <conditionalFormatting sqref="C50">
    <cfRule type="expression" priority="14" aboveAverage="0" equalAverage="0" bottom="0" percent="0" rank="0" text="" dxfId="5">
      <formula>$C$50&gt;$C$13</formula>
    </cfRule>
  </conditionalFormatting>
  <conditionalFormatting sqref="H56:H58">
    <cfRule type="colorScale" priority="15">
      <colorScale>
        <cfvo type="min" val="0"/>
        <cfvo type="max" val="0"/>
        <color rgb="FFFFFFFF"/>
        <color rgb="FFC6E0B4"/>
      </colorScale>
    </cfRule>
  </conditionalFormatting>
  <conditionalFormatting sqref="G56:G58">
    <cfRule type="expression" priority="16" aboveAverage="0" equalAverage="0" bottom="0" percent="0" rank="0" text="" dxfId="3">
      <formula>$G56&gt;=(COUNTA($B$21:$B$40))*$C$14*0.99</formula>
    </cfRule>
  </conditionalFormatting>
  <dataValidations count="4">
    <dataValidation allowBlank="true" error="اختر محطة من القائمة" errorStyle="stop" errorTitle="قيمة غير معتمدة" operator="between" showDropDown="false" showErrorMessage="false" showInputMessage="false" sqref="C4" type="list">
      <formula1>'بيانات الورديات'!$B$4:$B$8</formula1>
      <formula2>0</formula2>
    </dataValidation>
    <dataValidation allowBlank="false" errorStyle="stop" operator="between" showDropDown="false" showErrorMessage="false" showInputMessage="false" sqref="C17" type="list">
      <formula1>"نعم,لا"</formula1>
      <formula2>0</formula2>
    </dataValidation>
    <dataValidation allowBlank="true" errorStyle="stop" operator="between" showDropDown="false" showErrorMessage="false" showInputMessage="false" sqref="C21:C40" type="list">
      <formula1>'بيانات الورديات'!$Q$4:$Q$5</formula1>
      <formula2>0</formula2>
    </dataValidation>
    <dataValidation allowBlank="true" error="اكتب: مستوفاة أو غير مستوفاة" errorStyle="stop" errorTitle="قيمة غير معتمدة" operator="between" showDropDown="false" showErrorMessage="false" showInputMessage="false" sqref="J21:J40" type="list">
      <formula1>'بيانات الورديات'!$R$4:$R$5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DE3F7D-D783-44FF-80DB-CF78C8DBF710}">
            <x14:dataBar minLength="10" maxLength="90" axisPosition="none" gradient="true">
              <x14:cfvo type="num">
                <xm:f>0</xm:f>
              </x14:cfvo>
              <x14:cfvo type="num">
                <xm:f>1.3</xm:f>
              </x14:cfvo>
              <x14:negativeFillColor rgb="FF5B9BD5"/>
              <x14:axisColor rgb="FF000000"/>
            </x14:dataBar>
          </x14:cfRule>
          <xm:sqref>I21:I40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4" min="3" style="0" width="11"/>
    <col collapsed="false" customWidth="true" hidden="false" outlineLevel="0" max="6" min="5" style="0" width="10"/>
    <col collapsed="false" customWidth="true" hidden="false" outlineLevel="0" max="10" min="7" style="0" width="11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25.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16" t="s">
        <v>31</v>
      </c>
      <c r="B3" s="16" t="s">
        <v>3</v>
      </c>
      <c r="C3" s="16" t="s">
        <v>121</v>
      </c>
      <c r="D3" s="16" t="s">
        <v>122</v>
      </c>
      <c r="E3" s="16" t="s">
        <v>123</v>
      </c>
      <c r="F3" s="16" t="s">
        <v>124</v>
      </c>
      <c r="G3" s="16" t="s">
        <v>125</v>
      </c>
      <c r="H3" s="16" t="s">
        <v>126</v>
      </c>
      <c r="I3" s="16" t="s">
        <v>127</v>
      </c>
      <c r="J3" s="16" t="s">
        <v>128</v>
      </c>
      <c r="K3" s="16" t="s">
        <v>38</v>
      </c>
      <c r="L3" s="16" t="s">
        <v>129</v>
      </c>
    </row>
    <row r="4" customFormat="false" ht="21.75" hidden="false" customHeight="true" outlineLevel="0" collapsed="false">
      <c r="A4" s="27" t="n">
        <v>1</v>
      </c>
      <c r="B4" s="28" t="s">
        <v>130</v>
      </c>
      <c r="C4" s="29" t="n">
        <v>2087</v>
      </c>
      <c r="D4" s="29" t="n">
        <v>2174</v>
      </c>
      <c r="E4" s="37" t="n">
        <v>11</v>
      </c>
      <c r="F4" s="37" t="n">
        <v>9</v>
      </c>
      <c r="G4" s="32" t="n">
        <v>0.45</v>
      </c>
      <c r="H4" s="38" t="n">
        <v>0.0601</v>
      </c>
      <c r="I4" s="29" t="n">
        <v>190</v>
      </c>
      <c r="J4" s="29" t="n">
        <v>242</v>
      </c>
      <c r="K4" s="38" t="n">
        <v>0.272617994602073</v>
      </c>
      <c r="L4" s="30" t="s">
        <v>131</v>
      </c>
    </row>
    <row r="5" customFormat="false" ht="21.75" hidden="false" customHeight="true" outlineLevel="0" collapsed="false">
      <c r="A5" s="27" t="n">
        <v>2</v>
      </c>
      <c r="B5" s="28" t="s">
        <v>132</v>
      </c>
      <c r="C5" s="29" t="n">
        <v>567</v>
      </c>
      <c r="D5" s="29" t="n">
        <v>702</v>
      </c>
      <c r="E5" s="37" t="n">
        <v>3</v>
      </c>
      <c r="F5" s="37" t="n">
        <v>3</v>
      </c>
      <c r="G5" s="32" t="n">
        <v>0.5</v>
      </c>
      <c r="H5" s="38" t="n">
        <v>0.0529</v>
      </c>
      <c r="I5" s="29" t="n">
        <v>189</v>
      </c>
      <c r="J5" s="29" t="n">
        <v>234</v>
      </c>
      <c r="K5" s="38" t="n">
        <v>0.236636099306643</v>
      </c>
      <c r="L5" s="30" t="s">
        <v>133</v>
      </c>
    </row>
    <row r="6" customFormat="false" ht="21.75" hidden="false" customHeight="true" outlineLevel="0" collapsed="false">
      <c r="A6" s="27" t="n">
        <v>3</v>
      </c>
      <c r="B6" s="28" t="s">
        <v>134</v>
      </c>
      <c r="C6" s="29" t="n">
        <v>429</v>
      </c>
      <c r="D6" s="29" t="n">
        <v>435</v>
      </c>
      <c r="E6" s="37" t="n">
        <v>2</v>
      </c>
      <c r="F6" s="37" t="n">
        <v>2</v>
      </c>
      <c r="G6" s="32" t="n">
        <v>0.5</v>
      </c>
      <c r="H6" s="38" t="n">
        <v>0.00360000000000005</v>
      </c>
      <c r="I6" s="29" t="n">
        <v>214</v>
      </c>
      <c r="J6" s="29" t="n">
        <v>218</v>
      </c>
      <c r="K6" s="38" t="n">
        <v>0.0145044319097503</v>
      </c>
      <c r="L6" s="30" t="s">
        <v>133</v>
      </c>
    </row>
    <row r="7" customFormat="false" ht="21.75" hidden="false" customHeight="true" outlineLevel="0" collapsed="false">
      <c r="A7" s="27" t="n">
        <v>4</v>
      </c>
      <c r="B7" s="28" t="s">
        <v>135</v>
      </c>
      <c r="C7" s="29" t="n">
        <v>356</v>
      </c>
      <c r="D7" s="29" t="n">
        <v>434</v>
      </c>
      <c r="E7" s="37" t="n">
        <v>2</v>
      </c>
      <c r="F7" s="37" t="n">
        <v>2</v>
      </c>
      <c r="G7" s="32" t="n">
        <v>0.5</v>
      </c>
      <c r="H7" s="38" t="n">
        <v>0.0489000000000001</v>
      </c>
      <c r="I7" s="29" t="n">
        <v>178</v>
      </c>
      <c r="J7" s="29" t="n">
        <v>217</v>
      </c>
      <c r="K7" s="38" t="n">
        <v>0.216803369541122</v>
      </c>
      <c r="L7" s="30" t="s">
        <v>133</v>
      </c>
    </row>
    <row r="8" customFormat="false" ht="21.75" hidden="false" customHeight="true" outlineLevel="0" collapsed="false">
      <c r="A8" s="27" t="n">
        <v>5</v>
      </c>
      <c r="B8" s="28" t="s">
        <v>136</v>
      </c>
      <c r="C8" s="29" t="n">
        <v>194</v>
      </c>
      <c r="D8" s="29" t="n">
        <v>249</v>
      </c>
      <c r="E8" s="37" t="n">
        <v>2</v>
      </c>
      <c r="F8" s="37" t="n">
        <v>2</v>
      </c>
      <c r="G8" s="32" t="n">
        <v>0.5</v>
      </c>
      <c r="H8" s="38" t="n">
        <v>0.0610000000000001</v>
      </c>
      <c r="I8" s="29" t="n">
        <v>97</v>
      </c>
      <c r="J8" s="29" t="n">
        <v>124</v>
      </c>
      <c r="K8" s="38" t="n">
        <v>0.277904328018223</v>
      </c>
      <c r="L8" s="30" t="s">
        <v>133</v>
      </c>
    </row>
    <row r="10" customFormat="false" ht="15" hidden="false" customHeight="false" outlineLevel="0" collapsed="false">
      <c r="B10" s="34" t="s">
        <v>137</v>
      </c>
    </row>
    <row r="11" customFormat="false" ht="15.75" hidden="false" customHeight="true" outlineLevel="0" collapsed="false">
      <c r="C11" s="35" t="s">
        <v>138</v>
      </c>
      <c r="D11" s="35"/>
      <c r="E11" s="35"/>
      <c r="F11" s="35"/>
      <c r="G11" s="35"/>
      <c r="H11" s="35"/>
      <c r="I11" s="35"/>
      <c r="J11" s="35"/>
      <c r="K11" s="35"/>
      <c r="L11" s="35"/>
    </row>
    <row r="12" customFormat="false" ht="15.75" hidden="false" customHeight="true" outlineLevel="0" collapsed="false">
      <c r="C12" s="35" t="s">
        <v>139</v>
      </c>
      <c r="D12" s="35"/>
      <c r="E12" s="35"/>
      <c r="F12" s="35"/>
      <c r="G12" s="35"/>
      <c r="H12" s="35"/>
      <c r="I12" s="35"/>
      <c r="J12" s="35"/>
      <c r="K12" s="35"/>
      <c r="L12" s="35"/>
    </row>
    <row r="13" customFormat="false" ht="15.75" hidden="false" customHeight="true" outlineLevel="0" collapsed="false">
      <c r="C13" s="35" t="s">
        <v>140</v>
      </c>
      <c r="D13" s="35"/>
      <c r="E13" s="35"/>
      <c r="F13" s="35"/>
      <c r="G13" s="35"/>
      <c r="H13" s="35"/>
      <c r="I13" s="35"/>
      <c r="J13" s="35"/>
      <c r="K13" s="35"/>
      <c r="L13" s="35"/>
    </row>
    <row r="15" customFormat="false" ht="15" hidden="false" customHeight="false" outlineLevel="0" collapsed="false">
      <c r="B15" s="34" t="s">
        <v>141</v>
      </c>
    </row>
    <row r="16" customFormat="false" ht="15.75" hidden="false" customHeight="true" outlineLevel="0" collapsed="false">
      <c r="C16" s="35" t="s">
        <v>142</v>
      </c>
      <c r="D16" s="35"/>
      <c r="E16" s="35"/>
      <c r="F16" s="35"/>
      <c r="G16" s="35"/>
      <c r="H16" s="35"/>
      <c r="I16" s="35"/>
      <c r="J16" s="35"/>
      <c r="K16" s="35"/>
      <c r="L16" s="35"/>
    </row>
    <row r="17" customFormat="false" ht="15.75" hidden="false" customHeight="true" outlineLevel="0" collapsed="false">
      <c r="C17" s="35" t="s">
        <v>143</v>
      </c>
      <c r="D17" s="35"/>
      <c r="E17" s="35"/>
      <c r="F17" s="35"/>
      <c r="G17" s="35"/>
      <c r="H17" s="35"/>
      <c r="I17" s="35"/>
      <c r="J17" s="35"/>
      <c r="K17" s="35"/>
      <c r="L17" s="35"/>
    </row>
    <row r="18" customFormat="false" ht="15.75" hidden="false" customHeight="true" outlineLevel="0" collapsed="false">
      <c r="C18" s="35" t="s">
        <v>144</v>
      </c>
      <c r="D18" s="35"/>
      <c r="E18" s="35"/>
      <c r="F18" s="35"/>
      <c r="G18" s="35"/>
      <c r="H18" s="35"/>
      <c r="I18" s="35"/>
      <c r="J18" s="35"/>
      <c r="K18" s="35"/>
      <c r="L18" s="35"/>
    </row>
    <row r="20" customFormat="false" ht="15" hidden="false" customHeight="false" outlineLevel="0" collapsed="false">
      <c r="B20" s="36" t="s">
        <v>145</v>
      </c>
    </row>
    <row r="21" customFormat="false" ht="15.75" hidden="false" customHeight="true" outlineLevel="0" collapsed="false">
      <c r="C21" s="35" t="s">
        <v>146</v>
      </c>
      <c r="D21" s="35"/>
      <c r="E21" s="35"/>
      <c r="F21" s="35"/>
      <c r="G21" s="35"/>
      <c r="H21" s="35"/>
      <c r="I21" s="35"/>
      <c r="J21" s="35"/>
      <c r="K21" s="35"/>
      <c r="L21" s="35"/>
    </row>
    <row r="22" customFormat="false" ht="15.75" hidden="false" customHeight="true" outlineLevel="0" collapsed="false">
      <c r="C22" s="35" t="s">
        <v>147</v>
      </c>
      <c r="D22" s="35"/>
      <c r="E22" s="35"/>
      <c r="F22" s="35"/>
      <c r="G22" s="35"/>
      <c r="H22" s="35"/>
      <c r="I22" s="35"/>
      <c r="J22" s="35"/>
      <c r="K22" s="35"/>
      <c r="L22" s="35"/>
    </row>
    <row r="23" customFormat="false" ht="15.75" hidden="false" customHeight="true" outlineLevel="0" collapsed="false">
      <c r="C23" s="35" t="s">
        <v>148</v>
      </c>
      <c r="D23" s="35"/>
      <c r="E23" s="35"/>
      <c r="F23" s="35"/>
      <c r="G23" s="35"/>
      <c r="H23" s="35"/>
      <c r="I23" s="35"/>
      <c r="J23" s="35"/>
      <c r="K23" s="35"/>
      <c r="L23" s="35"/>
    </row>
  </sheetData>
  <mergeCells count="11">
    <mergeCell ref="A1:L1"/>
    <mergeCell ref="A2:L2"/>
    <mergeCell ref="C11:L11"/>
    <mergeCell ref="C12:L12"/>
    <mergeCell ref="C13:L13"/>
    <mergeCell ref="C16:L16"/>
    <mergeCell ref="C17:L17"/>
    <mergeCell ref="C18:L18"/>
    <mergeCell ref="C21:L21"/>
    <mergeCell ref="C22:L22"/>
    <mergeCell ref="C23:L23"/>
  </mergeCells>
  <conditionalFormatting sqref="H4:H8">
    <cfRule type="cellIs" priority="2" operator="greaterThan" aboveAverage="0" equalAverage="0" bottom="0" percent="0" rank="0" text="" dxfId="5">
      <formula>0.02</formula>
    </cfRule>
  </conditionalFormatting>
  <conditionalFormatting sqref="K4:K8">
    <cfRule type="colorScale" priority="3">
      <colorScale>
        <cfvo type="min" val="0"/>
        <cfvo type="max" val="0"/>
        <color rgb="FFFFFFFF"/>
        <color rgb="FFF8CBA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15"/>
    <col collapsed="false" customWidth="true" hidden="false" outlineLevel="0" max="15" min="14" style="0" width="9"/>
    <col collapsed="false" customWidth="true" hidden="false" outlineLevel="0" max="17" min="17" style="0" width="12"/>
    <col collapsed="false" customWidth="true" hidden="false" outlineLevel="0" max="18" min="18" style="0" width="14"/>
  </cols>
  <sheetData>
    <row r="1" customFormat="false" ht="25.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0" hidden="false" customHeight="true" outlineLevel="0" collapsed="false">
      <c r="A3" s="16" t="s">
        <v>31</v>
      </c>
      <c r="B3" s="16" t="s">
        <v>3</v>
      </c>
      <c r="C3" s="16" t="s">
        <v>151</v>
      </c>
      <c r="D3" s="16" t="s">
        <v>152</v>
      </c>
      <c r="E3" s="16" t="s">
        <v>153</v>
      </c>
      <c r="F3" s="16" t="s">
        <v>154</v>
      </c>
      <c r="G3" s="16" t="s">
        <v>155</v>
      </c>
      <c r="H3" s="16" t="s">
        <v>156</v>
      </c>
      <c r="I3" s="16" t="s">
        <v>157</v>
      </c>
      <c r="J3" s="16" t="s">
        <v>158</v>
      </c>
      <c r="K3" s="16" t="s">
        <v>37</v>
      </c>
      <c r="L3" s="16" t="s">
        <v>159</v>
      </c>
      <c r="M3" s="16" t="s">
        <v>160</v>
      </c>
      <c r="N3" s="16" t="s">
        <v>161</v>
      </c>
      <c r="O3" s="16" t="s">
        <v>162</v>
      </c>
      <c r="Q3" s="39" t="s">
        <v>163</v>
      </c>
      <c r="R3" s="39" t="s">
        <v>40</v>
      </c>
    </row>
    <row r="4" customFormat="false" ht="19.5" hidden="false" customHeight="true" outlineLevel="0" collapsed="false">
      <c r="A4" s="27" t="n">
        <v>1</v>
      </c>
      <c r="B4" s="28" t="s">
        <v>130</v>
      </c>
      <c r="C4" s="40" t="n">
        <v>30.56</v>
      </c>
      <c r="D4" s="29" t="n">
        <v>4261</v>
      </c>
      <c r="E4" s="37" t="n">
        <v>11</v>
      </c>
      <c r="F4" s="37" t="n">
        <v>9</v>
      </c>
      <c r="G4" s="32" t="n">
        <v>0.4899</v>
      </c>
      <c r="H4" s="32" t="n">
        <v>0.5101</v>
      </c>
      <c r="I4" s="27" t="s">
        <v>164</v>
      </c>
      <c r="J4" s="37" t="n">
        <v>32</v>
      </c>
      <c r="K4" s="37" t="n">
        <v>34</v>
      </c>
      <c r="L4" s="27" t="s">
        <v>165</v>
      </c>
      <c r="M4" s="27" t="s">
        <v>166</v>
      </c>
      <c r="N4" s="27" t="s">
        <v>167</v>
      </c>
      <c r="O4" s="37" t="n">
        <v>18</v>
      </c>
      <c r="Q4" s="41" t="s">
        <v>168</v>
      </c>
      <c r="R4" s="41" t="s">
        <v>169</v>
      </c>
    </row>
    <row r="5" customFormat="false" ht="19.5" hidden="false" customHeight="true" outlineLevel="0" collapsed="false">
      <c r="A5" s="27" t="n">
        <v>2</v>
      </c>
      <c r="B5" s="28" t="s">
        <v>132</v>
      </c>
      <c r="C5" s="40" t="n">
        <v>21.07</v>
      </c>
      <c r="D5" s="29" t="n">
        <v>1269</v>
      </c>
      <c r="E5" s="37" t="n">
        <v>3</v>
      </c>
      <c r="F5" s="37" t="n">
        <v>3</v>
      </c>
      <c r="G5" s="32" t="n">
        <v>0.4471</v>
      </c>
      <c r="H5" s="32" t="n">
        <v>0.5529</v>
      </c>
      <c r="I5" s="27" t="s">
        <v>164</v>
      </c>
      <c r="J5" s="37" t="n">
        <v>9</v>
      </c>
      <c r="K5" s="37" t="n">
        <v>9</v>
      </c>
      <c r="L5" s="27" t="s">
        <v>170</v>
      </c>
      <c r="M5" s="27" t="s">
        <v>132</v>
      </c>
      <c r="N5" s="27" t="s">
        <v>167</v>
      </c>
      <c r="O5" s="37" t="n">
        <v>9</v>
      </c>
      <c r="Q5" s="41" t="s">
        <v>171</v>
      </c>
      <c r="R5" s="41" t="s">
        <v>172</v>
      </c>
    </row>
    <row r="6" customFormat="false" ht="19.5" hidden="false" customHeight="true" outlineLevel="0" collapsed="false">
      <c r="A6" s="27" t="n">
        <v>3</v>
      </c>
      <c r="B6" s="28" t="s">
        <v>134</v>
      </c>
      <c r="C6" s="40" t="n">
        <v>20.99</v>
      </c>
      <c r="D6" s="29" t="n">
        <v>864</v>
      </c>
      <c r="E6" s="37" t="n">
        <v>2</v>
      </c>
      <c r="F6" s="37" t="n">
        <v>2</v>
      </c>
      <c r="G6" s="32" t="n">
        <v>0.4964</v>
      </c>
      <c r="H6" s="32" t="n">
        <v>0.5036</v>
      </c>
      <c r="I6" s="27" t="s">
        <v>173</v>
      </c>
      <c r="J6" s="37" t="n">
        <v>7</v>
      </c>
      <c r="K6" s="37" t="n">
        <v>8</v>
      </c>
      <c r="L6" s="27" t="s">
        <v>174</v>
      </c>
      <c r="M6" s="27" t="s">
        <v>134</v>
      </c>
      <c r="N6" s="27" t="s">
        <v>167</v>
      </c>
      <c r="O6" s="37" t="n">
        <v>10</v>
      </c>
    </row>
    <row r="7" customFormat="false" ht="19.5" hidden="false" customHeight="true" outlineLevel="0" collapsed="false">
      <c r="A7" s="27" t="n">
        <v>4</v>
      </c>
      <c r="B7" s="28" t="s">
        <v>135</v>
      </c>
      <c r="C7" s="40" t="n">
        <v>20.01</v>
      </c>
      <c r="D7" s="29" t="n">
        <v>790</v>
      </c>
      <c r="E7" s="37" t="n">
        <v>2</v>
      </c>
      <c r="F7" s="37" t="n">
        <v>2</v>
      </c>
      <c r="G7" s="32" t="n">
        <v>0.4511</v>
      </c>
      <c r="H7" s="32" t="n">
        <v>0.5489</v>
      </c>
      <c r="I7" s="27" t="s">
        <v>164</v>
      </c>
      <c r="J7" s="37" t="n">
        <v>7</v>
      </c>
      <c r="K7" s="37" t="n">
        <v>7</v>
      </c>
      <c r="L7" s="27" t="s">
        <v>175</v>
      </c>
      <c r="M7" s="27" t="s">
        <v>176</v>
      </c>
      <c r="N7" s="27" t="s">
        <v>177</v>
      </c>
      <c r="O7" s="37" t="n">
        <v>4</v>
      </c>
    </row>
    <row r="8" customFormat="false" ht="19.5" hidden="false" customHeight="true" outlineLevel="0" collapsed="false">
      <c r="A8" s="27" t="n">
        <v>5</v>
      </c>
      <c r="B8" s="28" t="s">
        <v>136</v>
      </c>
      <c r="C8" s="40" t="n">
        <v>23.16</v>
      </c>
      <c r="D8" s="29" t="n">
        <v>443</v>
      </c>
      <c r="E8" s="37" t="n">
        <v>2</v>
      </c>
      <c r="F8" s="37" t="n">
        <v>2</v>
      </c>
      <c r="G8" s="32" t="n">
        <v>0.439</v>
      </c>
      <c r="H8" s="32" t="n">
        <v>0.561</v>
      </c>
      <c r="I8" s="27" t="s">
        <v>164</v>
      </c>
      <c r="J8" s="37" t="n">
        <v>5</v>
      </c>
      <c r="K8" s="37" t="n">
        <v>6</v>
      </c>
      <c r="L8" s="27" t="s">
        <v>178</v>
      </c>
      <c r="M8" s="27" t="s">
        <v>136</v>
      </c>
      <c r="N8" s="27" t="s">
        <v>167</v>
      </c>
      <c r="O8" s="37" t="n">
        <v>6</v>
      </c>
    </row>
    <row r="10" customFormat="false" ht="15" hidden="false" customHeight="false" outlineLevel="0" collapsed="false">
      <c r="B10" s="7" t="s">
        <v>179</v>
      </c>
    </row>
    <row r="11" customFormat="false" ht="15" hidden="false" customHeight="false" outlineLevel="0" collapsed="false">
      <c r="B11" s="7" t="s">
        <v>180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2026-08-12T13:13:27Z</dcterms:created>
  <dc:creator>openpyxl</dc:creator>
  <dc:description/>
  <dc:language>en-US</dc:language>
  <cp:lastModifiedBy/>
  <dcterms:modified xsi:type="dcterms:W3CDTF">2026-08-12T13:13:27Z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