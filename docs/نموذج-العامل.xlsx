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نموذج العامل" sheetId="1" state="visible" r:id="rId3"/>
    <sheet name="البيانات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<sst xmlns="http://schemas.openxmlformats.org/spreadsheetml/2006/main" count="145" uniqueCount="134">
  <si>
    <t xml:space="preserve">نموذج مبيعات العامل — مستهدف وحافز</t>
  </si>
  <si>
    <t xml:space="preserve">اختر المحطة ونسبة النمو ← يحتسب الملف المستهدف والحافز وصافي المكسب تلقائياً</t>
  </si>
  <si>
    <t xml:space="preserve">① مُدخلات المحطة — اختر من القائمة والباقي يُعبَّأ تلقائياً</t>
  </si>
  <si>
    <t xml:space="preserve">المحطة</t>
  </si>
  <si>
    <t xml:space="preserve">اختر من القائمة ▼</t>
  </si>
  <si>
    <t xml:space="preserve">الشهر</t>
  </si>
  <si>
    <t xml:space="preserve">مثال: أغسطس ٢٠٢٦</t>
  </si>
  <si>
    <t xml:space="preserve">لتر لكل زيارة</t>
  </si>
  <si>
    <t xml:space="preserve">يُعبَّأ تلقائياً من المحطة</t>
  </si>
  <si>
    <t xml:space="preserve">هامش المساهمة (هللة/لتر)</t>
  </si>
  <si>
    <t xml:space="preserve">من قائمة الدخل</t>
  </si>
  <si>
    <t xml:space="preserve">نسبة الحافز من الهامش الإضافي</t>
  </si>
  <si>
    <t xml:space="preserve">قرار الإدارة</t>
  </si>
  <si>
    <t xml:space="preserve">سقف الحافز الشهري للعامل</t>
  </si>
  <si>
    <t xml:space="preserve">معتمد: ١٠٠ ريال</t>
  </si>
  <si>
    <t xml:space="preserve">أيام الشهر</t>
  </si>
  <si>
    <t xml:space="preserve">نسبة النمو المستهدف</t>
  </si>
  <si>
    <t xml:space="preserve">حرّكها ← تتحرك كل المستهدفات</t>
  </si>
  <si>
    <t xml:space="preserve">② بطاقة العامل — عبّئ خط الأساس والفعلي فقط · الباقي يُحتسب</t>
  </si>
  <si>
    <t xml:space="preserve">#</t>
  </si>
  <si>
    <t xml:space="preserve">اسم العامل</t>
  </si>
  <si>
    <t xml:space="preserve">الوردية</t>
  </si>
  <si>
    <t xml:space="preserve">المضخات</t>
  </si>
  <si>
    <t xml:space="preserve">خط الأساس (زيارة/يوم)</t>
  </si>
  <si>
    <t xml:space="preserve">المستهدف (زيارة/يوم)</t>
  </si>
  <si>
    <t xml:space="preserve">الفعلي (زيارة/يوم)</t>
  </si>
  <si>
    <t xml:space="preserve">الفارق</t>
  </si>
  <si>
    <t xml:space="preserve">نسبة الإنجاز</t>
  </si>
  <si>
    <t xml:space="preserve">بوابة الجودة</t>
  </si>
  <si>
    <t xml:space="preserve">الحافز (ريال)</t>
  </si>
  <si>
    <t xml:space="preserve">ملاحظة</t>
  </si>
  <si>
    <t xml:space="preserve">الإجمالي</t>
  </si>
  <si>
    <t xml:space="preserve">③ ملخص المحطة — يتحدّث مع كل رقم تُدخله</t>
  </si>
  <si>
    <t xml:space="preserve">البند</t>
  </si>
  <si>
    <t xml:space="preserve">القيمة</t>
  </si>
  <si>
    <t xml:space="preserve">الدلالة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</si>
  <si>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</si>
  <si>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</si>
  <si>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</si>
  <si>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</si>
  <si>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</si>
  <si>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</si>
  <si>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</si>
  <si>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</si>
  <si>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</si>
  <si>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</si>
  <si>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</t>
  </si>
  <si>
    <t xml:space="preserve">يجب ألا تتجاوز النسبة المعتمدة</t>
  </si>
  <si>
    <t xml:space="preserve">عدد من بلغوا السقف</t>
  </si>
  <si>
    <t xml:space="preserve">إن ارتفع العدد فالسقف يكبح التحفيز</t>
  </si>
  <si>
    <t xml:space="preserve">④ ماذا لو — حرّك نسبة النمو وقارن</t>
  </si>
  <si>
    <t xml:space="preserve">السيناريو</t>
  </si>
  <si>
    <t xml:space="preserve">نسبة النمو</t>
  </si>
  <si>
    <t xml:space="preserve">زيارة/يوم إضافية</t>
  </si>
  <si>
    <t xml:space="preserve">لترات شهرياً</t>
  </si>
  <si>
    <t xml:space="preserve">الهامش الإضافي</t>
  </si>
  <si>
    <t xml:space="preserve">الحافز المتوقع</t>
  </si>
  <si>
    <t xml:space="preserve">صافي المكسب</t>
  </si>
  <si>
    <t xml:space="preserve">متحفظ</t>
  </si>
  <si>
    <t xml:space="preserve">زيادة يومية بسيطة تُدرَك بالانضباط وحده</t>
  </si>
  <si>
    <t xml:space="preserve">أساسي</t>
  </si>
  <si>
    <t xml:space="preserve">النسبة المعتمدة في النموذج أعلاه</t>
  </si>
  <si>
    <t xml:space="preserve">طموح</t>
  </si>
  <si>
    <t xml:space="preserve">يتطلب حملة ميدانية مصاحبة لا انضباطاً فقط</t>
  </si>
  <si>
    <t xml:space="preserve">الخانة البرتقالية في «الحافز المتوقع» تعني أن السقف بلغ حدّه — الزيادة بعدها تذهب كاملة للشركة</t>
  </si>
  <si>
    <t xml:space="preserve">⑤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</si>
  <si>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</si>
  <si>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</si>
  <si>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</si>
  <si>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</si>
  <si>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</si>
  <si>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</si>
  <si>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</si>
  <si>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</si>
  <si>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</si>
  <si>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</si>
  <si>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</si>
  <si>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</si>
  <si>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الذروة</t>
  </si>
  <si>
    <t xml:space="preserve">نسبة الحضور</t>
  </si>
  <si>
    <t xml:space="preserve">100%</t>
  </si>
  <si>
    <t xml:space="preserve">الذروة هي حيث تُكسب الزيارة أو تُفقد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</si>
  <si>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</si>
  <si>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</si>
  <si>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</si>
  <si>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</si>
  <si>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كيف تستخدم الملف</t>
  </si>
  <si>
    <t xml:space="preserve">•  اختر المحطة من القائمة ← يُعبَّأ «لتر لكل زيارة» تلقائياً</t>
  </si>
  <si>
    <t xml:space="preserve">•  حرّك «نسبة النمو المستهدف» ← تتحرك كل مستهدفات العمال معها</t>
  </si>
  <si>
    <t xml:space="preserve">•  عبّئ خط الأساس والفعلي وبوابة الجودة فقط — الباقي محسوب</t>
  </si>
  <si>
    <t xml:space="preserve">•  الأصفر مُدخل · الرمادي والأزرق محسوب · لا تكتب فوق المحسوب</t>
  </si>
  <si>
    <t xml:space="preserve">قواعد الاحتساب</t>
  </si>
  <si>
    <t xml:space="preserve">•  الحافز على الزيادة فوق المستهدف فقط — لا على الحجم الكلي</t>
  </si>
  <si>
    <t xml:space="preserve">•  لا يُصرف إطلاقاً إذا كانت بوابة الجودة غير مستوفاة</t>
  </si>
  <si>
    <t xml:space="preserve">•  سقف ١٠٠ ريال شهرياً لكل عامل يمنع المبالغة في شهر استثنائي</t>
  </si>
  <si>
    <t xml:space="preserve">•  الفارق السالب لا يُخصم — لكنه لا يُكافأ</t>
  </si>
  <si>
    <t xml:space="preserve">قواعد خط الأساس</t>
  </si>
  <si>
    <t xml:space="preserve">•  يُحسب من متوسط الثلاثة أشهر السابقة لنفس الوردية</t>
  </si>
  <si>
    <t xml:space="preserve">•  يُراجع كل ربع حتى لا يصبح الحافز دائماً على نفس المستوى</t>
  </si>
  <si>
    <t xml:space="preserve">•  يُعدَّل إذا تغيّر عدد المضخات أو ساعات الوردية</t>
  </si>
  <si>
    <t xml:space="preserve">ما يُبطل النموذج</t>
  </si>
  <si>
    <t xml:space="preserve">•  خط أساس متساهل يحوّل الحافز إلى تكلفة ثابتة بلا مقابل</t>
  </si>
  <si>
    <t xml:space="preserve">•  غياب قياس زمن الخدمة يفرّغ بوابة الجودة من معناها</t>
  </si>
  <si>
    <t xml:space="preserve">•  احتساب الحافز على الحجم الكلي يكافئ الموسم لا الأداء</t>
  </si>
  <si>
    <t xml:space="preserve">بيانات المحطات المرجعية</t>
  </si>
  <si>
    <t xml:space="preserve">تُغذّي القوائم المنسدلة والتعبئة التلقائية في ورقة النموذج</t>
  </si>
  <si>
    <t xml:space="preserve">لتر/زيارة</t>
  </si>
  <si>
    <t xml:space="preserve">زيارة/يوم (المحطة)</t>
  </si>
  <si>
    <t xml:space="preserve">الكود</t>
  </si>
  <si>
    <t xml:space="preserve">الفترة</t>
  </si>
  <si>
    <t xml:space="preserve">الورديات</t>
  </si>
  <si>
    <t xml:space="preserve">العمرة الجديدة</t>
  </si>
  <si>
    <t xml:space="preserve">MK007</t>
  </si>
  <si>
    <t xml:space="preserve">يونيو–أغسطس ٢٠٢٦</t>
  </si>
  <si>
    <t xml:space="preserve">الأعلى حجماً</t>
  </si>
  <si>
    <t xml:space="preserve">صباحية</t>
  </si>
  <si>
    <t xml:space="preserve">مستوفاة</t>
  </si>
  <si>
    <t xml:space="preserve">العزيزية</t>
  </si>
  <si>
    <t xml:space="preserve">MK072</t>
  </si>
  <si>
    <t xml:space="preserve">تعافت بعد الحج</t>
  </si>
  <si>
    <t xml:space="preserve">مسائية</t>
  </si>
  <si>
    <t xml:space="preserve">غير مستوفاة</t>
  </si>
  <si>
    <t xml:space="preserve">عرفات الشوقية</t>
  </si>
  <si>
    <t xml:space="preserve">MK017</t>
  </si>
  <si>
    <t xml:space="preserve">مايو–يوليو ٢٠٢٦</t>
  </si>
  <si>
    <t xml:space="preserve">محطة تجريبية — بنزين</t>
  </si>
  <si>
    <t xml:space="preserve">ليلية</t>
  </si>
  <si>
    <t xml:space="preserve">المعيصم</t>
  </si>
  <si>
    <t xml:space="preserve">MK002</t>
  </si>
  <si>
    <t xml:space="preserve">تغيّر مسار الطريق</t>
  </si>
  <si>
    <t xml:space="preserve">الشرايع</t>
  </si>
  <si>
    <t xml:space="preserve">MK019</t>
  </si>
  <si>
    <t xml:space="preserve">محطة تجريبية — مناديل وخدمة</t>
  </si>
  <si>
    <t xml:space="preserve">خط الأساس محسوب من متوسط آخر ثلاثة أشهر فعلية — لا من أعلى شهر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</si>
</sst>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;\-0.00;&quot;&quot;"/>
    <numFmt numFmtId="166" formatCode="0.00"/>
    <numFmt numFmtId="167" formatCode="0.0%"/>
    <numFmt numFmtId="168" formatCode="#,##0"/>
    <numFmt numFmtId="169" formatCode="0"/>
    <numFmt numFmtId="170" formatCode="\+#,##0;\-#,##0"/>
    <numFmt numFmtId="171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4546A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1F3864"/>
        <bgColor rgb="FF333399"/>
      </patternFill>
    </fill>
    <fill>
      <patternFill patternType="solid">
        <fgColor rgb="FFD9E2F3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833C00"/>
        <sz val="10"/>
      </font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4" min="3" style="0" width="11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B4" s="4" t="s">
        <v>3</v>
      </c>
      <c r="C4" s="5"/>
      <c r="D4" s="6" t="str">
        <f aca="false">IFERROR("("&amp;TEXT(INDEX(البيانات!$D$4:$D$8,MATCH($C$4,البيانات!$B$4:$B$8,0)),"#,##0")&amp;" زيارة/يوم)","")</f>
        <v/>
      </c>
      <c r="E4" s="7" t="s">
        <v>4</v>
      </c>
    </row>
    <row r="5" customFormat="false" ht="15" hidden="false" customHeight="false" outlineLevel="0" collapsed="false">
      <c r="B5" s="4" t="s">
        <v>5</v>
      </c>
      <c r="C5" s="5"/>
      <c r="E5" s="7" t="s">
        <v>6</v>
      </c>
    </row>
    <row r="6" customFormat="false" ht="15" hidden="false" customHeight="false" outlineLevel="0" collapsed="false">
      <c r="B6" s="4" t="s">
        <v>7</v>
      </c>
      <c r="C6" s="8" t="n">
        <f aca="false">IFERROR(INDEX(البيانات!$C$4:$C$8,MATCH($C$4,البيانات!$B$4:$B$8,0)),0)</f>
        <v>0</v>
      </c>
      <c r="E6" s="7" t="s">
        <v>8</v>
      </c>
    </row>
    <row r="7" customFormat="false" ht="15" hidden="false" customHeight="false" outlineLevel="0" collapsed="false">
      <c r="B7" s="4" t="s">
        <v>9</v>
      </c>
      <c r="C7" s="9" t="n">
        <v>13.36</v>
      </c>
      <c r="E7" s="7" t="s">
        <v>10</v>
      </c>
    </row>
    <row r="8" customFormat="false" ht="15" hidden="false" customHeight="false" outlineLevel="0" collapsed="false">
      <c r="B8" s="4" t="s">
        <v>11</v>
      </c>
      <c r="C8" s="10" t="n">
        <v>0.15</v>
      </c>
      <c r="E8" s="7" t="s">
        <v>12</v>
      </c>
    </row>
    <row r="9" customFormat="false" ht="15" hidden="false" customHeight="false" outlineLevel="0" collapsed="false">
      <c r="B9" s="4" t="s">
        <v>13</v>
      </c>
      <c r="C9" s="11" t="n">
        <v>100</v>
      </c>
      <c r="E9" s="7" t="s">
        <v>14</v>
      </c>
    </row>
    <row r="10" customFormat="false" ht="15" hidden="false" customHeight="false" outlineLevel="0" collapsed="false">
      <c r="B10" s="4" t="s">
        <v>15</v>
      </c>
      <c r="C10" s="12" t="n">
        <v>30</v>
      </c>
      <c r="E10" s="7"/>
    </row>
    <row r="11" customFormat="false" ht="15" hidden="false" customHeight="false" outlineLevel="0" collapsed="false">
      <c r="B11" s="4" t="s">
        <v>16</v>
      </c>
      <c r="C11" s="10" t="n">
        <v>0.05</v>
      </c>
      <c r="E11" s="7" t="s">
        <v>17</v>
      </c>
    </row>
    <row r="13" customFormat="false" ht="21.75" hidden="false" customHeight="true" outlineLevel="0" collapsed="false">
      <c r="A13" s="3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customFormat="false" ht="30" hidden="false" customHeight="true" outlineLevel="0" collapsed="false">
      <c r="A14" s="13" t="s">
        <v>19</v>
      </c>
      <c r="B14" s="13" t="s">
        <v>20</v>
      </c>
      <c r="C14" s="13" t="s">
        <v>21</v>
      </c>
      <c r="D14" s="13" t="s">
        <v>22</v>
      </c>
      <c r="E14" s="13" t="s">
        <v>23</v>
      </c>
      <c r="F14" s="13" t="s">
        <v>24</v>
      </c>
      <c r="G14" s="13" t="s">
        <v>25</v>
      </c>
      <c r="H14" s="13" t="s">
        <v>26</v>
      </c>
      <c r="I14" s="13" t="s">
        <v>27</v>
      </c>
      <c r="J14" s="13" t="s">
        <v>28</v>
      </c>
      <c r="K14" s="13" t="s">
        <v>29</v>
      </c>
      <c r="L14" s="13" t="s">
        <v>30</v>
      </c>
    </row>
    <row r="15" customFormat="false" ht="18.75" hidden="false" customHeight="true" outlineLevel="0" collapsed="false">
      <c r="A15" s="14" t="n">
        <v>1</v>
      </c>
      <c r="B15" s="5"/>
      <c r="C15" s="5"/>
      <c r="D15" s="5"/>
      <c r="E15" s="11"/>
      <c r="F15" s="15" t="str">
        <f aca="false">IF($E15="","",ROUND($E15*(1+$C$11),0))</f>
        <v/>
      </c>
      <c r="G15" s="11"/>
      <c r="H15" s="16" t="str">
        <f aca="false">IF(OR($G15="",$F15=""),"",$G15-$F15)</f>
        <v/>
      </c>
      <c r="I15" s="17" t="str">
        <f aca="false">IFERROR(IF($F15="","",$G15/$F15),"")</f>
        <v/>
      </c>
      <c r="J15" s="5"/>
      <c r="K15" s="18" t="n">
        <f aca="false">IF(OR($H15="",$J15&lt;&gt;"مستوفاة"),0,MIN(MAX($H15,0)*$C$6*$C$7/100*$C$8*$C$10,$C$9))</f>
        <v>0</v>
      </c>
      <c r="L15" s="5"/>
    </row>
    <row r="16" customFormat="false" ht="18.75" hidden="false" customHeight="true" outlineLevel="0" collapsed="false">
      <c r="A16" s="14" t="n">
        <v>2</v>
      </c>
      <c r="B16" s="5"/>
      <c r="C16" s="5"/>
      <c r="D16" s="5"/>
      <c r="E16" s="11"/>
      <c r="F16" s="15" t="str">
        <f aca="false">IF($E16="","",ROUND($E16*(1+$C$11),0))</f>
        <v/>
      </c>
      <c r="G16" s="11"/>
      <c r="H16" s="16" t="str">
        <f aca="false">IF(OR($G16="",$F16=""),"",$G16-$F16)</f>
        <v/>
      </c>
      <c r="I16" s="17" t="str">
        <f aca="false">IFERROR(IF($F16="","",$G16/$F16),"")</f>
        <v/>
      </c>
      <c r="J16" s="5"/>
      <c r="K16" s="18" t="n">
        <f aca="false">IF(OR($H16="",$J16&lt;&gt;"مستوفاة"),0,MIN(MAX($H16,0)*$C$6*$C$7/100*$C$8*$C$10,$C$9))</f>
        <v>0</v>
      </c>
      <c r="L16" s="5"/>
    </row>
    <row r="17" customFormat="false" ht="18.75" hidden="false" customHeight="true" outlineLevel="0" collapsed="false">
      <c r="A17" s="14" t="n">
        <v>3</v>
      </c>
      <c r="B17" s="5"/>
      <c r="C17" s="5"/>
      <c r="D17" s="5"/>
      <c r="E17" s="11"/>
      <c r="F17" s="15" t="str">
        <f aca="false">IF($E17="","",ROUND($E17*(1+$C$11),0))</f>
        <v/>
      </c>
      <c r="G17" s="11"/>
      <c r="H17" s="16" t="str">
        <f aca="false">IF(OR($G17="",$F17=""),"",$G17-$F17)</f>
        <v/>
      </c>
      <c r="I17" s="17" t="str">
        <f aca="false">IFERROR(IF($F17="","",$G17/$F17),"")</f>
        <v/>
      </c>
      <c r="J17" s="5"/>
      <c r="K17" s="18" t="n">
        <f aca="false">IF(OR($H17="",$J17&lt;&gt;"مستوفاة"),0,MIN(MAX($H17,0)*$C$6*$C$7/100*$C$8*$C$10,$C$9))</f>
        <v>0</v>
      </c>
      <c r="L17" s="5"/>
    </row>
    <row r="18" customFormat="false" ht="18.75" hidden="false" customHeight="true" outlineLevel="0" collapsed="false">
      <c r="A18" s="14" t="n">
        <v>4</v>
      </c>
      <c r="B18" s="5"/>
      <c r="C18" s="5"/>
      <c r="D18" s="5"/>
      <c r="E18" s="11"/>
      <c r="F18" s="15" t="str">
        <f aca="false">IF($E18="","",ROUND($E18*(1+$C$11),0))</f>
        <v/>
      </c>
      <c r="G18" s="11"/>
      <c r="H18" s="16" t="str">
        <f aca="false">IF(OR($G18="",$F18=""),"",$G18-$F18)</f>
        <v/>
      </c>
      <c r="I18" s="17" t="str">
        <f aca="false">IFERROR(IF($F18="","",$G18/$F18),"")</f>
        <v/>
      </c>
      <c r="J18" s="5"/>
      <c r="K18" s="18" t="n">
        <f aca="false">IF(OR($H18="",$J18&lt;&gt;"مستوفاة"),0,MIN(MAX($H18,0)*$C$6*$C$7/100*$C$8*$C$10,$C$9))</f>
        <v>0</v>
      </c>
      <c r="L18" s="5"/>
    </row>
    <row r="19" customFormat="false" ht="18.75" hidden="false" customHeight="true" outlineLevel="0" collapsed="false">
      <c r="A19" s="14" t="n">
        <v>5</v>
      </c>
      <c r="B19" s="5"/>
      <c r="C19" s="5"/>
      <c r="D19" s="5"/>
      <c r="E19" s="11"/>
      <c r="F19" s="15" t="str">
        <f aca="false">IF($E19="","",ROUND($E19*(1+$C$11),0))</f>
        <v/>
      </c>
      <c r="G19" s="11"/>
      <c r="H19" s="16" t="str">
        <f aca="false">IF(OR($G19="",$F19=""),"",$G19-$F19)</f>
        <v/>
      </c>
      <c r="I19" s="17" t="str">
        <f aca="false">IFERROR(IF($F19="","",$G19/$F19),"")</f>
        <v/>
      </c>
      <c r="J19" s="5"/>
      <c r="K19" s="18" t="n">
        <f aca="false">IF(OR($H19="",$J19&lt;&gt;"مستوفاة"),0,MIN(MAX($H19,0)*$C$6*$C$7/100*$C$8*$C$10,$C$9))</f>
        <v>0</v>
      </c>
      <c r="L19" s="5"/>
    </row>
    <row r="20" customFormat="false" ht="18.75" hidden="false" customHeight="true" outlineLevel="0" collapsed="false">
      <c r="A20" s="14" t="n">
        <v>6</v>
      </c>
      <c r="B20" s="5"/>
      <c r="C20" s="5"/>
      <c r="D20" s="5"/>
      <c r="E20" s="11"/>
      <c r="F20" s="15" t="str">
        <f aca="false">IF($E20="","",ROUND($E20*(1+$C$11),0))</f>
        <v/>
      </c>
      <c r="G20" s="11"/>
      <c r="H20" s="16" t="str">
        <f aca="false">IF(OR($G20="",$F20=""),"",$G20-$F20)</f>
        <v/>
      </c>
      <c r="I20" s="17" t="str">
        <f aca="false">IFERROR(IF($F20="","",$G20/$F20),"")</f>
        <v/>
      </c>
      <c r="J20" s="5"/>
      <c r="K20" s="18" t="n">
        <f aca="false">IF(OR($H20="",$J20&lt;&gt;"مستوفاة"),0,MIN(MAX($H20,0)*$C$6*$C$7/100*$C$8*$C$10,$C$9))</f>
        <v>0</v>
      </c>
      <c r="L20" s="5"/>
    </row>
    <row r="21" customFormat="false" ht="18.75" hidden="false" customHeight="true" outlineLevel="0" collapsed="false">
      <c r="A21" s="14" t="n">
        <v>7</v>
      </c>
      <c r="B21" s="5"/>
      <c r="C21" s="5"/>
      <c r="D21" s="5"/>
      <c r="E21" s="11"/>
      <c r="F21" s="15" t="str">
        <f aca="false">IF($E21="","",ROUND($E21*(1+$C$11),0))</f>
        <v/>
      </c>
      <c r="G21" s="11"/>
      <c r="H21" s="16" t="str">
        <f aca="false">IF(OR($G21="",$F21=""),"",$G21-$F21)</f>
        <v/>
      </c>
      <c r="I21" s="17" t="str">
        <f aca="false">IFERROR(IF($F21="","",$G21/$F21),"")</f>
        <v/>
      </c>
      <c r="J21" s="5"/>
      <c r="K21" s="18" t="n">
        <f aca="false">IF(OR($H21="",$J21&lt;&gt;"مستوفاة"),0,MIN(MAX($H21,0)*$C$6*$C$7/100*$C$8*$C$10,$C$9))</f>
        <v>0</v>
      </c>
      <c r="L21" s="5"/>
    </row>
    <row r="22" customFormat="false" ht="18.75" hidden="false" customHeight="true" outlineLevel="0" collapsed="false">
      <c r="A22" s="14" t="n">
        <v>8</v>
      </c>
      <c r="B22" s="5"/>
      <c r="C22" s="5"/>
      <c r="D22" s="5"/>
      <c r="E22" s="11"/>
      <c r="F22" s="15" t="str">
        <f aca="false">IF($E22="","",ROUND($E22*(1+$C$11),0))</f>
        <v/>
      </c>
      <c r="G22" s="11"/>
      <c r="H22" s="16" t="str">
        <f aca="false">IF(OR($G22="",$F22=""),"",$G22-$F22)</f>
        <v/>
      </c>
      <c r="I22" s="17" t="str">
        <f aca="false">IFERROR(IF($F22="","",$G22/$F22),"")</f>
        <v/>
      </c>
      <c r="J22" s="5"/>
      <c r="K22" s="18" t="n">
        <f aca="false">IF(OR($H22="",$J22&lt;&gt;"مستوفاة"),0,MIN(MAX($H22,0)*$C$6*$C$7/100*$C$8*$C$10,$C$9))</f>
        <v>0</v>
      </c>
      <c r="L22" s="5"/>
    </row>
    <row r="23" customFormat="false" ht="18.75" hidden="false" customHeight="true" outlineLevel="0" collapsed="false">
      <c r="A23" s="14" t="n">
        <v>9</v>
      </c>
      <c r="B23" s="5"/>
      <c r="C23" s="5"/>
      <c r="D23" s="5"/>
      <c r="E23" s="11"/>
      <c r="F23" s="15" t="str">
        <f aca="false">IF($E23="","",ROUND($E23*(1+$C$11),0))</f>
        <v/>
      </c>
      <c r="G23" s="11"/>
      <c r="H23" s="16" t="str">
        <f aca="false">IF(OR($G23="",$F23=""),"",$G23-$F23)</f>
        <v/>
      </c>
      <c r="I23" s="17" t="str">
        <f aca="false">IFERROR(IF($F23="","",$G23/$F23),"")</f>
        <v/>
      </c>
      <c r="J23" s="5"/>
      <c r="K23" s="18" t="n">
        <f aca="false">IF(OR($H23="",$J23&lt;&gt;"مستوفاة"),0,MIN(MAX($H23,0)*$C$6*$C$7/100*$C$8*$C$10,$C$9))</f>
        <v>0</v>
      </c>
      <c r="L23" s="5"/>
    </row>
    <row r="24" customFormat="false" ht="18.75" hidden="false" customHeight="true" outlineLevel="0" collapsed="false">
      <c r="A24" s="14" t="n">
        <v>10</v>
      </c>
      <c r="B24" s="5"/>
      <c r="C24" s="5"/>
      <c r="D24" s="5"/>
      <c r="E24" s="11"/>
      <c r="F24" s="15" t="str">
        <f aca="false">IF($E24="","",ROUND($E24*(1+$C$11),0))</f>
        <v/>
      </c>
      <c r="G24" s="11"/>
      <c r="H24" s="16" t="str">
        <f aca="false">IF(OR($G24="",$F24=""),"",$G24-$F24)</f>
        <v/>
      </c>
      <c r="I24" s="17" t="str">
        <f aca="false">IFERROR(IF($F24="","",$G24/$F24),"")</f>
        <v/>
      </c>
      <c r="J24" s="5"/>
      <c r="K24" s="18" t="n">
        <f aca="false">IF(OR($H24="",$J24&lt;&gt;"مستوفاة"),0,MIN(MAX($H24,0)*$C$6*$C$7/100*$C$8*$C$10,$C$9))</f>
        <v>0</v>
      </c>
      <c r="L24" s="5"/>
    </row>
    <row r="25" customFormat="false" ht="18.75" hidden="false" customHeight="true" outlineLevel="0" collapsed="false">
      <c r="A25" s="14" t="n">
        <v>11</v>
      </c>
      <c r="B25" s="5"/>
      <c r="C25" s="5"/>
      <c r="D25" s="5"/>
      <c r="E25" s="11"/>
      <c r="F25" s="15" t="str">
        <f aca="false">IF($E25="","",ROUND($E25*(1+$C$11),0))</f>
        <v/>
      </c>
      <c r="G25" s="11"/>
      <c r="H25" s="16" t="str">
        <f aca="false">IF(OR($G25="",$F25=""),"",$G25-$F25)</f>
        <v/>
      </c>
      <c r="I25" s="17" t="str">
        <f aca="false">IFERROR(IF($F25="","",$G25/$F25),"")</f>
        <v/>
      </c>
      <c r="J25" s="5"/>
      <c r="K25" s="18" t="n">
        <f aca="false">IF(OR($H25="",$J25&lt;&gt;"مستوفاة"),0,MIN(MAX($H25,0)*$C$6*$C$7/100*$C$8*$C$10,$C$9))</f>
        <v>0</v>
      </c>
      <c r="L25" s="5"/>
    </row>
    <row r="26" customFormat="false" ht="18.75" hidden="false" customHeight="true" outlineLevel="0" collapsed="false">
      <c r="A26" s="14" t="n">
        <v>12</v>
      </c>
      <c r="B26" s="5"/>
      <c r="C26" s="5"/>
      <c r="D26" s="5"/>
      <c r="E26" s="11"/>
      <c r="F26" s="15" t="str">
        <f aca="false">IF($E26="","",ROUND($E26*(1+$C$11),0))</f>
        <v/>
      </c>
      <c r="G26" s="11"/>
      <c r="H26" s="16" t="str">
        <f aca="false">IF(OR($G26="",$F26=""),"",$G26-$F26)</f>
        <v/>
      </c>
      <c r="I26" s="17" t="str">
        <f aca="false">IFERROR(IF($F26="","",$G26/$F26),"")</f>
        <v/>
      </c>
      <c r="J26" s="5"/>
      <c r="K26" s="18" t="n">
        <f aca="false">IF(OR($H26="",$J26&lt;&gt;"مستوفاة"),0,MIN(MAX($H26,0)*$C$6*$C$7/100*$C$8*$C$10,$C$9))</f>
        <v>0</v>
      </c>
      <c r="L26" s="5"/>
    </row>
    <row r="27" customFormat="false" ht="18.75" hidden="false" customHeight="true" outlineLevel="0" collapsed="false">
      <c r="A27" s="14" t="n">
        <v>13</v>
      </c>
      <c r="B27" s="5"/>
      <c r="C27" s="5"/>
      <c r="D27" s="5"/>
      <c r="E27" s="11"/>
      <c r="F27" s="15" t="str">
        <f aca="false">IF($E27="","",ROUND($E27*(1+$C$11),0))</f>
        <v/>
      </c>
      <c r="G27" s="11"/>
      <c r="H27" s="16" t="str">
        <f aca="false">IF(OR($G27="",$F27=""),"",$G27-$F27)</f>
        <v/>
      </c>
      <c r="I27" s="17" t="str">
        <f aca="false">IFERROR(IF($F27="","",$G27/$F27),"")</f>
        <v/>
      </c>
      <c r="J27" s="5"/>
      <c r="K27" s="18" t="n">
        <f aca="false">IF(OR($H27="",$J27&lt;&gt;"مستوفاة"),0,MIN(MAX($H27,0)*$C$6*$C$7/100*$C$8*$C$10,$C$9))</f>
        <v>0</v>
      </c>
      <c r="L27" s="5"/>
    </row>
    <row r="28" customFormat="false" ht="18.75" hidden="false" customHeight="true" outlineLevel="0" collapsed="false">
      <c r="A28" s="14" t="n">
        <v>14</v>
      </c>
      <c r="B28" s="5"/>
      <c r="C28" s="5"/>
      <c r="D28" s="5"/>
      <c r="E28" s="11"/>
      <c r="F28" s="15" t="str">
        <f aca="false">IF($E28="","",ROUND($E28*(1+$C$11),0))</f>
        <v/>
      </c>
      <c r="G28" s="11"/>
      <c r="H28" s="16" t="str">
        <f aca="false">IF(OR($G28="",$F28=""),"",$G28-$F28)</f>
        <v/>
      </c>
      <c r="I28" s="17" t="str">
        <f aca="false">IFERROR(IF($F28="","",$G28/$F28),"")</f>
        <v/>
      </c>
      <c r="J28" s="5"/>
      <c r="K28" s="18" t="n">
        <f aca="false">IF(OR($H28="",$J28&lt;&gt;"مستوفاة"),0,MIN(MAX($H28,0)*$C$6*$C$7/100*$C$8*$C$10,$C$9))</f>
        <v>0</v>
      </c>
      <c r="L28" s="5"/>
    </row>
    <row r="29" customFormat="false" ht="18.75" hidden="false" customHeight="true" outlineLevel="0" collapsed="false">
      <c r="A29" s="14" t="n">
        <v>15</v>
      </c>
      <c r="B29" s="5"/>
      <c r="C29" s="5"/>
      <c r="D29" s="5"/>
      <c r="E29" s="11"/>
      <c r="F29" s="15" t="str">
        <f aca="false">IF($E29="","",ROUND($E29*(1+$C$11),0))</f>
        <v/>
      </c>
      <c r="G29" s="11"/>
      <c r="H29" s="16" t="str">
        <f aca="false">IF(OR($G29="",$F29=""),"",$G29-$F29)</f>
        <v/>
      </c>
      <c r="I29" s="17" t="str">
        <f aca="false">IFERROR(IF($F29="","",$G29/$F29),"")</f>
        <v/>
      </c>
      <c r="J29" s="5"/>
      <c r="K29" s="18" t="n">
        <f aca="false">IF(OR($H29="",$J29&lt;&gt;"مستوفاة"),0,MIN(MAX($H29,0)*$C$6*$C$7/100*$C$8*$C$10,$C$9))</f>
        <v>0</v>
      </c>
      <c r="L29" s="5"/>
    </row>
    <row r="30" customFormat="false" ht="18.75" hidden="false" customHeight="true" outlineLevel="0" collapsed="false">
      <c r="A30" s="14" t="n">
        <v>16</v>
      </c>
      <c r="B30" s="5"/>
      <c r="C30" s="5"/>
      <c r="D30" s="5"/>
      <c r="E30" s="11"/>
      <c r="F30" s="15" t="str">
        <f aca="false">IF($E30="","",ROUND($E30*(1+$C$11),0))</f>
        <v/>
      </c>
      <c r="G30" s="11"/>
      <c r="H30" s="16" t="str">
        <f aca="false">IF(OR($G30="",$F30=""),"",$G30-$F30)</f>
        <v/>
      </c>
      <c r="I30" s="17" t="str">
        <f aca="false">IFERROR(IF($F30="","",$G30/$F30),"")</f>
        <v/>
      </c>
      <c r="J30" s="5"/>
      <c r="K30" s="18" t="n">
        <f aca="false">IF(OR($H30="",$J30&lt;&gt;"مستوفاة"),0,MIN(MAX($H30,0)*$C$6*$C$7/100*$C$8*$C$10,$C$9))</f>
        <v>0</v>
      </c>
      <c r="L30" s="5"/>
    </row>
    <row r="31" customFormat="false" ht="18.75" hidden="false" customHeight="true" outlineLevel="0" collapsed="false">
      <c r="A31" s="14" t="n">
        <v>17</v>
      </c>
      <c r="B31" s="5"/>
      <c r="C31" s="5"/>
      <c r="D31" s="5"/>
      <c r="E31" s="11"/>
      <c r="F31" s="15" t="str">
        <f aca="false">IF($E31="","",ROUND($E31*(1+$C$11),0))</f>
        <v/>
      </c>
      <c r="G31" s="11"/>
      <c r="H31" s="16" t="str">
        <f aca="false">IF(OR($G31="",$F31=""),"",$G31-$F31)</f>
        <v/>
      </c>
      <c r="I31" s="17" t="str">
        <f aca="false">IFERROR(IF($F31="","",$G31/$F31),"")</f>
        <v/>
      </c>
      <c r="J31" s="5"/>
      <c r="K31" s="18" t="n">
        <f aca="false">IF(OR($H31="",$J31&lt;&gt;"مستوفاة"),0,MIN(MAX($H31,0)*$C$6*$C$7/100*$C$8*$C$10,$C$9))</f>
        <v>0</v>
      </c>
      <c r="L31" s="5"/>
    </row>
    <row r="32" customFormat="false" ht="18.75" hidden="false" customHeight="true" outlineLevel="0" collapsed="false">
      <c r="A32" s="14" t="n">
        <v>18</v>
      </c>
      <c r="B32" s="5"/>
      <c r="C32" s="5"/>
      <c r="D32" s="5"/>
      <c r="E32" s="11"/>
      <c r="F32" s="15" t="str">
        <f aca="false">IF($E32="","",ROUND($E32*(1+$C$11),0))</f>
        <v/>
      </c>
      <c r="G32" s="11"/>
      <c r="H32" s="16" t="str">
        <f aca="false">IF(OR($G32="",$F32=""),"",$G32-$F32)</f>
        <v/>
      </c>
      <c r="I32" s="17" t="str">
        <f aca="false">IFERROR(IF($F32="","",$G32/$F32),"")</f>
        <v/>
      </c>
      <c r="J32" s="5"/>
      <c r="K32" s="18" t="n">
        <f aca="false">IF(OR($H32="",$J32&lt;&gt;"مستوفاة"),0,MIN(MAX($H32,0)*$C$6*$C$7/100*$C$8*$C$10,$C$9))</f>
        <v>0</v>
      </c>
      <c r="L32" s="5"/>
    </row>
    <row r="33" customFormat="false" ht="18.75" hidden="false" customHeight="true" outlineLevel="0" collapsed="false">
      <c r="A33" s="14" t="n">
        <v>19</v>
      </c>
      <c r="B33" s="5"/>
      <c r="C33" s="5"/>
      <c r="D33" s="5"/>
      <c r="E33" s="11"/>
      <c r="F33" s="15" t="str">
        <f aca="false">IF($E33="","",ROUND($E33*(1+$C$11),0))</f>
        <v/>
      </c>
      <c r="G33" s="11"/>
      <c r="H33" s="16" t="str">
        <f aca="false">IF(OR($G33="",$F33=""),"",$G33-$F33)</f>
        <v/>
      </c>
      <c r="I33" s="17" t="str">
        <f aca="false">IFERROR(IF($F33="","",$G33/$F33),"")</f>
        <v/>
      </c>
      <c r="J33" s="5"/>
      <c r="K33" s="18" t="n">
        <f aca="false">IF(OR($H33="",$J33&lt;&gt;"مستوفاة"),0,MIN(MAX($H33,0)*$C$6*$C$7/100*$C$8*$C$10,$C$9))</f>
        <v>0</v>
      </c>
      <c r="L33" s="5"/>
    </row>
    <row r="34" customFormat="false" ht="18.75" hidden="false" customHeight="true" outlineLevel="0" collapsed="false">
      <c r="A34" s="14" t="n">
        <v>20</v>
      </c>
      <c r="B34" s="5"/>
      <c r="C34" s="5"/>
      <c r="D34" s="5"/>
      <c r="E34" s="11"/>
      <c r="F34" s="15" t="str">
        <f aca="false">IF($E34="","",ROUND($E34*(1+$C$11),0))</f>
        <v/>
      </c>
      <c r="G34" s="11"/>
      <c r="H34" s="16" t="str">
        <f aca="false">IF(OR($G34="",$F34=""),"",$G34-$F34)</f>
        <v/>
      </c>
      <c r="I34" s="17" t="str">
        <f aca="false">IFERROR(IF($F34="","",$G34/$F34),"")</f>
        <v/>
      </c>
      <c r="J34" s="5"/>
      <c r="K34" s="18" t="n">
        <f aca="false">IF(OR($H34="",$J34&lt;&gt;"مستوفاة"),0,MIN(MAX($H34,0)*$C$6*$C$7/100*$C$8*$C$10,$C$9))</f>
        <v>0</v>
      </c>
      <c r="L34" s="5"/>
    </row>
    <row r="35" customFormat="false" ht="15" hidden="false" customHeight="false" outlineLevel="0" collapsed="false">
      <c r="A35" s="19"/>
      <c r="B35" s="19" t="s">
        <v>31</v>
      </c>
      <c r="C35" s="19"/>
      <c r="D35" s="19" t="str">
        <f aca="false">COUNTA($B15:$B34)&amp;" عامل"</f>
        <v>0 عامل</v>
      </c>
      <c r="E35" s="20" t="n">
        <f aca="false">SUM(E15:E34)</f>
        <v>0</v>
      </c>
      <c r="F35" s="20" t="n">
        <f aca="false">SUM(F15:F34)</f>
        <v>0</v>
      </c>
      <c r="G35" s="20" t="n">
        <f aca="false">SUM(G15:G34)</f>
        <v>0</v>
      </c>
      <c r="H35" s="20" t="n">
        <f aca="false">SUM(H15:H34)</f>
        <v>0</v>
      </c>
      <c r="I35" s="21" t="str">
        <f aca="false">IFERROR($G35/$F35,"")</f>
        <v/>
      </c>
      <c r="J35" s="19"/>
      <c r="K35" s="20" t="n">
        <f aca="false">SUM(K15:K34)</f>
        <v>0</v>
      </c>
      <c r="L35" s="19"/>
    </row>
    <row r="37" customFormat="false" ht="21.75" hidden="false" customHeight="true" outlineLevel="0" collapsed="false">
      <c r="A37" s="3" t="s">
        <v>32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customFormat="false" ht="30" hidden="false" customHeight="true" outlineLevel="0" collapsed="false">
      <c r="A38" s="13" t="s">
        <v>19</v>
      </c>
      <c r="B38" s="13" t="s">
        <v>33</v>
      </c>
      <c r="C38" s="13" t="s">
        <v>34</v>
      </c>
      <c r="D38" s="13"/>
      <c r="E38" s="13"/>
      <c r="F38" s="13"/>
      <c r="G38" s="13"/>
      <c r="H38" s="13"/>
      <c r="I38" s="13"/>
      <c r="J38" s="13"/>
      <c r="K38" s="13"/>
      <c r="L38" s="13" t="s">
        <v>35</v>
      </c>
    </row>
    <row r="39" customFormat="false" ht="19.5" hidden="false" customHeight="true" outlineLevel="0" collapsed="false">
      <c r="A39" s="22" t="n">
        <v>1</v>
      </c>
      <c r="B39" s="23" t="s">
        <v>36</v>
      </c>
      <c r="C39" s="24" t="n">
        <f aca="false">$H$35</f>
        <v>0</v>
      </c>
      <c r="D39" s="22"/>
      <c r="E39" s="22"/>
      <c r="F39" s="22"/>
      <c r="G39" s="22"/>
      <c r="H39" s="22"/>
      <c r="I39" s="22"/>
      <c r="J39" s="22"/>
      <c r="K39" s="22"/>
      <c r="L39" s="25" t="s">
        <v>37</v>
      </c>
    </row>
    <row r="40" customFormat="false" ht="19.5" hidden="false" customHeight="true" outlineLevel="0" collapsed="false">
      <c r="A40" s="22" t="n">
        <v>2</v>
      </c>
      <c r="B40" s="23" t="s">
        <v>38</v>
      </c>
      <c r="C40" s="24" t="n">
        <f aca="false">$C$39*$C$6*$C$10</f>
        <v>0</v>
      </c>
      <c r="D40" s="22"/>
      <c r="E40" s="22"/>
      <c r="F40" s="22"/>
      <c r="G40" s="22"/>
      <c r="H40" s="22"/>
      <c r="I40" s="22"/>
      <c r="J40" s="22"/>
      <c r="K40" s="22"/>
      <c r="L40" s="25" t="s">
        <v>39</v>
      </c>
    </row>
    <row r="41" customFormat="false" ht="19.5" hidden="false" customHeight="true" outlineLevel="0" collapsed="false">
      <c r="A41" s="22" t="n">
        <v>3</v>
      </c>
      <c r="B41" s="23" t="s">
        <v>40</v>
      </c>
      <c r="C41" s="24" t="n">
        <f aca="false">$C$40*$C$7/100</f>
        <v>0</v>
      </c>
      <c r="D41" s="22"/>
      <c r="E41" s="22"/>
      <c r="F41" s="22"/>
      <c r="G41" s="22"/>
      <c r="H41" s="22"/>
      <c r="I41" s="22"/>
      <c r="J41" s="22"/>
      <c r="K41" s="22"/>
      <c r="L41" s="25" t="s">
        <v>41</v>
      </c>
    </row>
    <row r="42" customFormat="false" ht="19.5" hidden="false" customHeight="true" outlineLevel="0" collapsed="false">
      <c r="A42" s="22" t="n">
        <v>4</v>
      </c>
      <c r="B42" s="23" t="s">
        <v>42</v>
      </c>
      <c r="C42" s="24" t="n">
        <f aca="false">$K$35</f>
        <v>0</v>
      </c>
      <c r="D42" s="22"/>
      <c r="E42" s="22"/>
      <c r="F42" s="22"/>
      <c r="G42" s="22"/>
      <c r="H42" s="22"/>
      <c r="I42" s="22"/>
      <c r="J42" s="22"/>
      <c r="K42" s="22"/>
      <c r="L42" s="25" t="s">
        <v>43</v>
      </c>
    </row>
    <row r="43" customFormat="false" ht="19.5" hidden="false" customHeight="true" outlineLevel="0" collapsed="false">
      <c r="A43" s="22" t="n">
        <v>5</v>
      </c>
      <c r="B43" s="23" t="s">
        <v>44</v>
      </c>
      <c r="C43" s="16" t="n">
        <f aca="false">$C$41-$C$42</f>
        <v>0</v>
      </c>
      <c r="D43" s="22"/>
      <c r="E43" s="22"/>
      <c r="F43" s="22"/>
      <c r="G43" s="22"/>
      <c r="H43" s="22"/>
      <c r="I43" s="22"/>
      <c r="J43" s="22"/>
      <c r="K43" s="22"/>
      <c r="L43" s="25" t="s">
        <v>45</v>
      </c>
    </row>
    <row r="44" customFormat="false" ht="19.5" hidden="false" customHeight="true" outlineLevel="0" collapsed="false">
      <c r="A44" s="22" t="n">
        <v>6</v>
      </c>
      <c r="B44" s="23" t="s">
        <v>46</v>
      </c>
      <c r="C44" s="26" t="str">
        <f aca="false">IFERROR($C$42/$C$41,"")</f>
        <v/>
      </c>
      <c r="D44" s="22"/>
      <c r="E44" s="22"/>
      <c r="F44" s="22"/>
      <c r="G44" s="22"/>
      <c r="H44" s="22"/>
      <c r="I44" s="22"/>
      <c r="J44" s="22"/>
      <c r="K44" s="22"/>
      <c r="L44" s="25" t="s">
        <v>47</v>
      </c>
    </row>
    <row r="45" customFormat="false" ht="19.5" hidden="false" customHeight="true" outlineLevel="0" collapsed="false">
      <c r="A45" s="22" t="n">
        <v>7</v>
      </c>
      <c r="B45" s="23" t="s">
        <v>48</v>
      </c>
      <c r="C45" s="24" t="n">
        <f aca="false">COUNTIFS($K$15:$K$34,"="&amp;$C$9)</f>
        <v>0</v>
      </c>
      <c r="D45" s="22"/>
      <c r="E45" s="22"/>
      <c r="F45" s="22"/>
      <c r="G45" s="22"/>
      <c r="H45" s="22"/>
      <c r="I45" s="22"/>
      <c r="J45" s="22"/>
      <c r="K45" s="22"/>
      <c r="L45" s="25" t="s">
        <v>49</v>
      </c>
    </row>
    <row r="47" customFormat="false" ht="21.75" hidden="false" customHeight="true" outlineLevel="0" collapsed="false">
      <c r="A47" s="3" t="s">
        <v>50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</row>
    <row r="48" customFormat="false" ht="30" hidden="false" customHeight="true" outlineLevel="0" collapsed="false">
      <c r="A48" s="13" t="s">
        <v>19</v>
      </c>
      <c r="B48" s="13" t="s">
        <v>51</v>
      </c>
      <c r="C48" s="13" t="s">
        <v>52</v>
      </c>
      <c r="D48" s="13" t="s">
        <v>53</v>
      </c>
      <c r="E48" s="13" t="s">
        <v>54</v>
      </c>
      <c r="F48" s="13" t="s">
        <v>55</v>
      </c>
      <c r="G48" s="13" t="s">
        <v>56</v>
      </c>
      <c r="H48" s="13" t="s">
        <v>57</v>
      </c>
      <c r="I48" s="13"/>
      <c r="J48" s="13"/>
      <c r="K48" s="13"/>
      <c r="L48" s="13" t="s">
        <v>35</v>
      </c>
    </row>
    <row r="49" customFormat="false" ht="19.5" hidden="false" customHeight="true" outlineLevel="0" collapsed="false">
      <c r="A49" s="22" t="n">
        <v>1</v>
      </c>
      <c r="B49" s="23" t="s">
        <v>58</v>
      </c>
      <c r="C49" s="10" t="n">
        <v>0.03</v>
      </c>
      <c r="D49" s="24" t="n">
        <f aca="false">ROUND($E$35*$C49,0)</f>
        <v>0</v>
      </c>
      <c r="E49" s="24" t="n">
        <f aca="false">$D49*$C$6*$C$10</f>
        <v>0</v>
      </c>
      <c r="F49" s="24" t="n">
        <f aca="false">$E49*$C$7/100</f>
        <v>0</v>
      </c>
      <c r="G49" s="24" t="n">
        <f aca="false">MIN($F49*$C$8,COUNTA($B$15:$B$34)*$C$9)</f>
        <v>0</v>
      </c>
      <c r="H49" s="16" t="n">
        <f aca="false">$F49-$G49</f>
        <v>0</v>
      </c>
      <c r="I49" s="22"/>
      <c r="J49" s="22"/>
      <c r="K49" s="22"/>
      <c r="L49" s="25" t="s">
        <v>59</v>
      </c>
    </row>
    <row r="50" customFormat="false" ht="19.5" hidden="false" customHeight="true" outlineLevel="0" collapsed="false">
      <c r="A50" s="22" t="n">
        <v>2</v>
      </c>
      <c r="B50" s="23" t="s">
        <v>60</v>
      </c>
      <c r="C50" s="10" t="n">
        <v>0.05</v>
      </c>
      <c r="D50" s="24" t="n">
        <f aca="false">ROUND($E$35*$C50,0)</f>
        <v>0</v>
      </c>
      <c r="E50" s="24" t="n">
        <f aca="false">$D50*$C$6*$C$10</f>
        <v>0</v>
      </c>
      <c r="F50" s="24" t="n">
        <f aca="false">$E50*$C$7/100</f>
        <v>0</v>
      </c>
      <c r="G50" s="24" t="n">
        <f aca="false">MIN($F50*$C$8,COUNTA($B$15:$B$34)*$C$9)</f>
        <v>0</v>
      </c>
      <c r="H50" s="16" t="n">
        <f aca="false">$F50-$G50</f>
        <v>0</v>
      </c>
      <c r="I50" s="22"/>
      <c r="J50" s="22"/>
      <c r="K50" s="22"/>
      <c r="L50" s="25" t="s">
        <v>61</v>
      </c>
    </row>
    <row r="51" customFormat="false" ht="19.5" hidden="false" customHeight="true" outlineLevel="0" collapsed="false">
      <c r="A51" s="22" t="n">
        <v>3</v>
      </c>
      <c r="B51" s="23" t="s">
        <v>62</v>
      </c>
      <c r="C51" s="10" t="n">
        <v>0.1</v>
      </c>
      <c r="D51" s="24" t="n">
        <f aca="false">ROUND($E$35*$C51,0)</f>
        <v>0</v>
      </c>
      <c r="E51" s="24" t="n">
        <f aca="false">$D51*$C$6*$C$10</f>
        <v>0</v>
      </c>
      <c r="F51" s="24" t="n">
        <f aca="false">$E51*$C$7/100</f>
        <v>0</v>
      </c>
      <c r="G51" s="24" t="n">
        <f aca="false">MIN($F51*$C$8,COUNTA($B$15:$B$34)*$C$9)</f>
        <v>0</v>
      </c>
      <c r="H51" s="16" t="n">
        <f aca="false">$F51-$G51</f>
        <v>0</v>
      </c>
      <c r="I51" s="22"/>
      <c r="J51" s="22"/>
      <c r="K51" s="22"/>
      <c r="L51" s="25" t="s">
        <v>63</v>
      </c>
    </row>
    <row r="52" customFormat="false" ht="15" hidden="false" customHeight="false" outlineLevel="0" collapsed="false">
      <c r="B52" s="7" t="s">
        <v>64</v>
      </c>
    </row>
    <row r="54" customFormat="false" ht="21.75" hidden="false" customHeight="true" outlineLevel="0" collapsed="false">
      <c r="A54" s="3" t="s">
        <v>65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customFormat="false" ht="30" hidden="false" customHeight="true" outlineLevel="0" collapsed="false">
      <c r="A55" s="13" t="s">
        <v>19</v>
      </c>
      <c r="B55" s="13" t="s">
        <v>66</v>
      </c>
      <c r="C55" s="13" t="s">
        <v>67</v>
      </c>
      <c r="D55" s="13" t="s">
        <v>68</v>
      </c>
      <c r="E55" s="13"/>
      <c r="F55" s="13"/>
      <c r="G55" s="13"/>
      <c r="H55" s="13"/>
      <c r="I55" s="13"/>
      <c r="J55" s="13"/>
      <c r="K55" s="13"/>
      <c r="L55" s="13" t="s">
        <v>69</v>
      </c>
    </row>
    <row r="56" customFormat="false" ht="21" hidden="false" customHeight="true" outlineLevel="0" collapsed="false">
      <c r="A56" s="22" t="n">
        <v>1</v>
      </c>
      <c r="B56" s="23" t="s">
        <v>70</v>
      </c>
      <c r="C56" s="22" t="s">
        <v>71</v>
      </c>
      <c r="D56" s="22" t="s">
        <v>72</v>
      </c>
      <c r="E56" s="22"/>
      <c r="F56" s="22"/>
      <c r="G56" s="22"/>
      <c r="H56" s="22"/>
      <c r="I56" s="22"/>
      <c r="J56" s="22"/>
      <c r="K56" s="22"/>
      <c r="L56" s="25" t="s">
        <v>73</v>
      </c>
    </row>
    <row r="57" customFormat="false" ht="21" hidden="false" customHeight="true" outlineLevel="0" collapsed="false">
      <c r="A57" s="22" t="n">
        <v>2</v>
      </c>
      <c r="B57" s="23" t="s">
        <v>74</v>
      </c>
      <c r="C57" s="22" t="s">
        <v>75</v>
      </c>
      <c r="D57" s="22" t="s">
        <v>76</v>
      </c>
      <c r="E57" s="22"/>
      <c r="F57" s="22"/>
      <c r="G57" s="22"/>
      <c r="H57" s="22"/>
      <c r="I57" s="22"/>
      <c r="J57" s="22"/>
      <c r="K57" s="22"/>
      <c r="L57" s="25" t="s">
        <v>77</v>
      </c>
    </row>
    <row r="58" customFormat="false" ht="21" hidden="false" customHeight="true" outlineLevel="0" collapsed="false">
      <c r="A58" s="22" t="n">
        <v>3</v>
      </c>
      <c r="B58" s="23" t="s">
        <v>78</v>
      </c>
      <c r="C58" s="22" t="s">
        <v>79</v>
      </c>
      <c r="D58" s="22" t="s">
        <v>80</v>
      </c>
      <c r="E58" s="22"/>
      <c r="F58" s="22"/>
      <c r="G58" s="22"/>
      <c r="H58" s="22"/>
      <c r="I58" s="22"/>
      <c r="J58" s="22"/>
      <c r="K58" s="22"/>
      <c r="L58" s="25" t="s">
        <v>81</v>
      </c>
    </row>
    <row r="59" customFormat="false" ht="21" hidden="false" customHeight="true" outlineLevel="0" collapsed="false">
      <c r="A59" s="22" t="n">
        <v>4</v>
      </c>
      <c r="B59" s="23" t="s">
        <v>82</v>
      </c>
      <c r="C59" s="22" t="s">
        <v>83</v>
      </c>
      <c r="D59" s="22" t="s">
        <v>84</v>
      </c>
      <c r="E59" s="22"/>
      <c r="F59" s="22"/>
      <c r="G59" s="22"/>
      <c r="H59" s="22"/>
      <c r="I59" s="22"/>
      <c r="J59" s="22"/>
      <c r="K59" s="22"/>
      <c r="L59" s="25" t="s">
        <v>85</v>
      </c>
    </row>
    <row r="61" customFormat="false" ht="15" hidden="false" customHeight="false" outlineLevel="0" collapsed="false">
      <c r="B61" s="27" t="s">
        <v>86</v>
      </c>
    </row>
    <row r="62" customFormat="false" ht="15.75" hidden="false" customHeight="true" outlineLevel="0" collapsed="false">
      <c r="C62" s="28" t="s">
        <v>87</v>
      </c>
      <c r="D62" s="28"/>
      <c r="E62" s="28"/>
      <c r="F62" s="28"/>
      <c r="G62" s="28"/>
      <c r="H62" s="28"/>
      <c r="I62" s="28"/>
      <c r="J62" s="28"/>
      <c r="K62" s="28"/>
      <c r="L62" s="28"/>
    </row>
    <row r="63" customFormat="false" ht="15.75" hidden="false" customHeight="true" outlineLevel="0" collapsed="false">
      <c r="C63" s="28" t="s">
        <v>88</v>
      </c>
      <c r="D63" s="28"/>
      <c r="E63" s="28"/>
      <c r="F63" s="28"/>
      <c r="G63" s="28"/>
      <c r="H63" s="28"/>
      <c r="I63" s="28"/>
      <c r="J63" s="28"/>
      <c r="K63" s="28"/>
      <c r="L63" s="28"/>
    </row>
    <row r="64" customFormat="false" ht="15.75" hidden="false" customHeight="true" outlineLevel="0" collapsed="false">
      <c r="C64" s="28" t="s">
        <v>89</v>
      </c>
      <c r="D64" s="28"/>
      <c r="E64" s="28"/>
      <c r="F64" s="28"/>
      <c r="G64" s="28"/>
      <c r="H64" s="28"/>
      <c r="I64" s="28"/>
      <c r="J64" s="28"/>
      <c r="K64" s="28"/>
      <c r="L64" s="28"/>
    </row>
    <row r="65" customFormat="false" ht="15.75" hidden="false" customHeight="true" outlineLevel="0" collapsed="false">
      <c r="C65" s="28" t="s">
        <v>90</v>
      </c>
      <c r="D65" s="28"/>
      <c r="E65" s="28"/>
      <c r="F65" s="28"/>
      <c r="G65" s="28"/>
      <c r="H65" s="28"/>
      <c r="I65" s="28"/>
      <c r="J65" s="28"/>
      <c r="K65" s="28"/>
      <c r="L65" s="28"/>
    </row>
    <row r="67" customFormat="false" ht="15" hidden="false" customHeight="false" outlineLevel="0" collapsed="false">
      <c r="B67" s="27" t="s">
        <v>91</v>
      </c>
    </row>
    <row r="68" customFormat="false" ht="15.75" hidden="false" customHeight="true" outlineLevel="0" collapsed="false">
      <c r="C68" s="28" t="s">
        <v>92</v>
      </c>
      <c r="D68" s="28"/>
      <c r="E68" s="28"/>
      <c r="F68" s="28"/>
      <c r="G68" s="28"/>
      <c r="H68" s="28"/>
      <c r="I68" s="28"/>
      <c r="J68" s="28"/>
      <c r="K68" s="28"/>
      <c r="L68" s="28"/>
    </row>
    <row r="69" customFormat="false" ht="15.75" hidden="false" customHeight="true" outlineLevel="0" collapsed="false">
      <c r="C69" s="28" t="s">
        <v>93</v>
      </c>
      <c r="D69" s="28"/>
      <c r="E69" s="28"/>
      <c r="F69" s="28"/>
      <c r="G69" s="28"/>
      <c r="H69" s="28"/>
      <c r="I69" s="28"/>
      <c r="J69" s="28"/>
      <c r="K69" s="28"/>
      <c r="L69" s="28"/>
    </row>
    <row r="70" customFormat="false" ht="15.75" hidden="false" customHeight="true" outlineLevel="0" collapsed="false">
      <c r="C70" s="28" t="s">
        <v>94</v>
      </c>
      <c r="D70" s="28"/>
      <c r="E70" s="28"/>
      <c r="F70" s="28"/>
      <c r="G70" s="28"/>
      <c r="H70" s="28"/>
      <c r="I70" s="28"/>
      <c r="J70" s="28"/>
      <c r="K70" s="28"/>
      <c r="L70" s="28"/>
    </row>
    <row r="71" customFormat="false" ht="15.75" hidden="false" customHeight="true" outlineLevel="0" collapsed="false">
      <c r="C71" s="28" t="s">
        <v>95</v>
      </c>
      <c r="D71" s="28"/>
      <c r="E71" s="28"/>
      <c r="F71" s="28"/>
      <c r="G71" s="28"/>
      <c r="H71" s="28"/>
      <c r="I71" s="28"/>
      <c r="J71" s="28"/>
      <c r="K71" s="28"/>
      <c r="L71" s="28"/>
    </row>
    <row r="73" customFormat="false" ht="15" hidden="false" customHeight="false" outlineLevel="0" collapsed="false">
      <c r="B73" s="27" t="s">
        <v>96</v>
      </c>
    </row>
    <row r="74" customFormat="false" ht="15.75" hidden="false" customHeight="true" outlineLevel="0" collapsed="false">
      <c r="C74" s="28" t="s">
        <v>97</v>
      </c>
      <c r="D74" s="28"/>
      <c r="E74" s="28"/>
      <c r="F74" s="28"/>
      <c r="G74" s="28"/>
      <c r="H74" s="28"/>
      <c r="I74" s="28"/>
      <c r="J74" s="28"/>
      <c r="K74" s="28"/>
      <c r="L74" s="28"/>
    </row>
    <row r="75" customFormat="false" ht="15.75" hidden="false" customHeight="true" outlineLevel="0" collapsed="false">
      <c r="C75" s="28" t="s">
        <v>98</v>
      </c>
      <c r="D75" s="28"/>
      <c r="E75" s="28"/>
      <c r="F75" s="28"/>
      <c r="G75" s="28"/>
      <c r="H75" s="28"/>
      <c r="I75" s="28"/>
      <c r="J75" s="28"/>
      <c r="K75" s="28"/>
      <c r="L75" s="28"/>
    </row>
    <row r="76" customFormat="false" ht="15.75" hidden="false" customHeight="true" outlineLevel="0" collapsed="false">
      <c r="C76" s="28" t="s">
        <v>99</v>
      </c>
      <c r="D76" s="28"/>
      <c r="E76" s="28"/>
      <c r="F76" s="28"/>
      <c r="G76" s="28"/>
      <c r="H76" s="28"/>
      <c r="I76" s="28"/>
      <c r="J76" s="28"/>
      <c r="K76" s="28"/>
      <c r="L76" s="28"/>
    </row>
    <row r="78" customFormat="false" ht="15" hidden="false" customHeight="false" outlineLevel="0" collapsed="false">
      <c r="B78" s="29" t="s">
        <v>100</v>
      </c>
    </row>
    <row r="79" customFormat="false" ht="15.75" hidden="false" customHeight="true" outlineLevel="0" collapsed="false">
      <c r="C79" s="28" t="s">
        <v>101</v>
      </c>
      <c r="D79" s="28"/>
      <c r="E79" s="28"/>
      <c r="F79" s="28"/>
      <c r="G79" s="28"/>
      <c r="H79" s="28"/>
      <c r="I79" s="28"/>
      <c r="J79" s="28"/>
      <c r="K79" s="28"/>
      <c r="L79" s="28"/>
    </row>
    <row r="80" customFormat="false" ht="15.75" hidden="false" customHeight="true" outlineLevel="0" collapsed="false">
      <c r="C80" s="28" t="s">
        <v>102</v>
      </c>
      <c r="D80" s="28"/>
      <c r="E80" s="28"/>
      <c r="F80" s="28"/>
      <c r="G80" s="28"/>
      <c r="H80" s="28"/>
      <c r="I80" s="28"/>
      <c r="J80" s="28"/>
      <c r="K80" s="28"/>
      <c r="L80" s="28"/>
    </row>
    <row r="81" customFormat="false" ht="15.75" hidden="false" customHeight="true" outlineLevel="0" collapsed="false">
      <c r="C81" s="28" t="s">
        <v>103</v>
      </c>
      <c r="D81" s="28"/>
      <c r="E81" s="28"/>
      <c r="F81" s="28"/>
      <c r="G81" s="28"/>
      <c r="H81" s="28"/>
      <c r="I81" s="28"/>
      <c r="J81" s="28"/>
      <c r="K81" s="28"/>
      <c r="L81" s="28"/>
    </row>
  </sheetData>
  <mergeCells count="21">
    <mergeCell ref="A1:L1"/>
    <mergeCell ref="A2:L2"/>
    <mergeCell ref="A3:L3"/>
    <mergeCell ref="A13:L13"/>
    <mergeCell ref="A37:L37"/>
    <mergeCell ref="A47:L47"/>
    <mergeCell ref="A54:L54"/>
    <mergeCell ref="C62:L62"/>
    <mergeCell ref="C63:L63"/>
    <mergeCell ref="C64:L64"/>
    <mergeCell ref="C65:L65"/>
    <mergeCell ref="C68:L68"/>
    <mergeCell ref="C69:L69"/>
    <mergeCell ref="C70:L70"/>
    <mergeCell ref="C71:L71"/>
    <mergeCell ref="C74:L74"/>
    <mergeCell ref="C75:L75"/>
    <mergeCell ref="C76:L76"/>
    <mergeCell ref="C79:L79"/>
    <mergeCell ref="C80:L80"/>
    <mergeCell ref="C81:L81"/>
  </mergeCells>
  <conditionalFormatting sqref="H15:H34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I15:I34">
    <cfRule type="dataBar" priority="4">
      <dataBar showValue="1" minLength="10" maxLength="90">
        <cfvo type="num" val="0"/>
        <cfvo type="num" val="1.3"/>
        <color rgb="FF5B9BD5"/>
      </dataBar>
      <extLst>
        <ext xmlns:x14="http://schemas.microsoft.com/office/spreadsheetml/2009/9/main" uri="{B025F937-C7B1-47D3-B67F-A62EFF666E3E}">
          <x14:id>{AEB52079-49CD-47B0-8B14-D8E12A5F4FFF}</x14:id>
        </ext>
      </extLst>
    </cfRule>
  </conditionalFormatting>
  <conditionalFormatting sqref="K15:K34">
    <cfRule type="cellIs" priority="5" operator="greaterThan" aboveAverage="0" equalAverage="0" bottom="0" percent="0" rank="0" text="" dxfId="2">
      <formula>0</formula>
    </cfRule>
    <cfRule type="expression" priority="6" aboveAverage="0" equalAverage="0" bottom="0" percent="0" rank="0" text="" dxfId="3">
      <formula>AND($K15&gt;0,$K15=$C$9)</formula>
    </cfRule>
  </conditionalFormatting>
  <conditionalFormatting sqref="J15:J34">
    <cfRule type="expression" priority="7" aboveAverage="0" equalAverage="0" bottom="0" percent="0" rank="0" text="" dxfId="4">
      <formula>$J15="مستوفاة"</formula>
    </cfRule>
    <cfRule type="expression" priority="8" aboveAverage="0" equalAverage="0" bottom="0" percent="0" rank="0" text="" dxfId="5">
      <formula>$J15="غير مستوفاة"</formula>
    </cfRule>
  </conditionalFormatting>
  <conditionalFormatting sqref="B15:B34">
    <cfRule type="expression" priority="9" aboveAverage="0" equalAverage="0" bottom="0" percent="0" rank="0" text="" dxfId="6">
      <formula>AND($H15&gt;0,$J15="غير مستوفاة")</formula>
    </cfRule>
  </conditionalFormatting>
  <conditionalFormatting sqref="C43">
    <cfRule type="cellIs" priority="10" operator="greaterThan" aboveAverage="0" equalAverage="0" bottom="0" percent="0" rank="0" text="" dxfId="2">
      <formula>0</formula>
    </cfRule>
    <cfRule type="cellIs" priority="11" operator="lessThan" aboveAverage="0" equalAverage="0" bottom="0" percent="0" rank="0" text="" dxfId="5">
      <formula>0</formula>
    </cfRule>
  </conditionalFormatting>
  <conditionalFormatting sqref="H49:H51">
    <cfRule type="colorScale" priority="12">
      <colorScale>
        <cfvo type="min" val="0"/>
        <cfvo type="max" val="0"/>
        <color rgb="FFFFFFFF"/>
        <color rgb="FFC6E0B4"/>
      </colorScale>
    </cfRule>
  </conditionalFormatting>
  <conditionalFormatting sqref="G49:G51">
    <cfRule type="expression" priority="13" aboveAverage="0" equalAverage="0" bottom="0" percent="0" rank="0" text="" dxfId="3">
      <formula>$G49&gt;=(COUNTA($B$15:$B$34))*$C$9*0.99</formula>
    </cfRule>
  </conditionalFormatting>
  <dataValidations count="3">
    <dataValidation allowBlank="true" error="اختر محطة من القائمة" errorStyle="stop" errorTitle="قيمة غير معتمدة" operator="between" showDropDown="false" showErrorMessage="false" showInputMessage="false" sqref="C4" type="list">
      <formula1>البيانات!$B$4:$B$8</formula1>
      <formula2>0</formula2>
    </dataValidation>
    <dataValidation allowBlank="true" errorStyle="stop" operator="between" showDropDown="false" showErrorMessage="false" showInputMessage="false" sqref="C15:C34" type="list">
      <formula1>البيانات!$I$4:$I$6</formula1>
      <formula2>0</formula2>
    </dataValidation>
    <dataValidation allowBlank="true" error="اكتب: مستوفاة أو غير مستوفاة" errorStyle="stop" errorTitle="قيمة غير معتمدة" operator="between" showDropDown="false" showErrorMessage="false" showInputMessage="false" sqref="J15:J34" type="list">
      <formula1>البيانات!$J$4:$J$5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B52079-49CD-47B0-8B14-D8E12A5F4FFF}">
            <x14:dataBar minLength="10" maxLength="90" axisPosition="none" gradient="true">
              <x14:cfvo type="num">
                <xm:f>0</xm:f>
              </x14:cfvo>
              <x14:cfvo type="num">
                <xm:f>1.3</xm:f>
              </x14:cfvo>
              <x14:negativeFillColor rgb="FF5B9BD5"/>
              <x14:axisColor rgb="FF000000"/>
            </x14:dataBar>
          </x14:cfRule>
          <xm:sqref>I15:I34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25.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105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13" t="s">
        <v>19</v>
      </c>
      <c r="B3" s="13" t="s">
        <v>3</v>
      </c>
      <c r="C3" s="13" t="s">
        <v>106</v>
      </c>
      <c r="D3" s="13" t="s">
        <v>107</v>
      </c>
      <c r="E3" s="13" t="s">
        <v>108</v>
      </c>
      <c r="F3" s="13" t="s">
        <v>109</v>
      </c>
      <c r="G3" s="13" t="s">
        <v>30</v>
      </c>
      <c r="I3" s="30" t="s">
        <v>110</v>
      </c>
      <c r="J3" s="30" t="s">
        <v>28</v>
      </c>
    </row>
    <row r="4" customFormat="false" ht="19.5" hidden="false" customHeight="true" outlineLevel="0" collapsed="false">
      <c r="A4" s="22" t="n">
        <v>1</v>
      </c>
      <c r="B4" s="23" t="s">
        <v>111</v>
      </c>
      <c r="C4" s="31" t="n">
        <v>29.1</v>
      </c>
      <c r="D4" s="24" t="n">
        <v>4274</v>
      </c>
      <c r="E4" s="22" t="s">
        <v>112</v>
      </c>
      <c r="F4" s="22" t="s">
        <v>113</v>
      </c>
      <c r="G4" s="22" t="s">
        <v>114</v>
      </c>
      <c r="I4" s="32" t="s">
        <v>115</v>
      </c>
      <c r="J4" s="32" t="s">
        <v>116</v>
      </c>
    </row>
    <row r="5" customFormat="false" ht="19.5" hidden="false" customHeight="true" outlineLevel="0" collapsed="false">
      <c r="A5" s="22" t="n">
        <v>2</v>
      </c>
      <c r="B5" s="23" t="s">
        <v>117</v>
      </c>
      <c r="C5" s="31" t="n">
        <v>20.31</v>
      </c>
      <c r="D5" s="24" t="n">
        <v>2500</v>
      </c>
      <c r="E5" s="22" t="s">
        <v>118</v>
      </c>
      <c r="F5" s="22" t="s">
        <v>113</v>
      </c>
      <c r="G5" s="22" t="s">
        <v>119</v>
      </c>
      <c r="I5" s="32" t="s">
        <v>120</v>
      </c>
      <c r="J5" s="32" t="s">
        <v>121</v>
      </c>
    </row>
    <row r="6" customFormat="false" ht="19.5" hidden="false" customHeight="true" outlineLevel="0" collapsed="false">
      <c r="A6" s="22" t="n">
        <v>3</v>
      </c>
      <c r="B6" s="23" t="s">
        <v>122</v>
      </c>
      <c r="C6" s="31" t="n">
        <v>21.32</v>
      </c>
      <c r="D6" s="24" t="n">
        <v>1290</v>
      </c>
      <c r="E6" s="22" t="s">
        <v>123</v>
      </c>
      <c r="F6" s="22" t="s">
        <v>124</v>
      </c>
      <c r="G6" s="22" t="s">
        <v>125</v>
      </c>
      <c r="I6" s="32" t="s">
        <v>126</v>
      </c>
    </row>
    <row r="7" customFormat="false" ht="19.5" hidden="false" customHeight="true" outlineLevel="0" collapsed="false">
      <c r="A7" s="22" t="n">
        <v>4</v>
      </c>
      <c r="B7" s="23" t="s">
        <v>127</v>
      </c>
      <c r="C7" s="31" t="n">
        <v>20.92</v>
      </c>
      <c r="D7" s="24" t="n">
        <v>600</v>
      </c>
      <c r="E7" s="22" t="s">
        <v>128</v>
      </c>
      <c r="F7" s="22" t="s">
        <v>113</v>
      </c>
      <c r="G7" s="22" t="s">
        <v>129</v>
      </c>
    </row>
    <row r="8" customFormat="false" ht="19.5" hidden="false" customHeight="true" outlineLevel="0" collapsed="false">
      <c r="A8" s="22" t="n">
        <v>5</v>
      </c>
      <c r="B8" s="23" t="s">
        <v>130</v>
      </c>
      <c r="C8" s="31" t="n">
        <v>23.15</v>
      </c>
      <c r="D8" s="24" t="n">
        <v>378</v>
      </c>
      <c r="E8" s="22" t="s">
        <v>131</v>
      </c>
      <c r="F8" s="22" t="s">
        <v>113</v>
      </c>
      <c r="G8" s="22" t="s">
        <v>132</v>
      </c>
    </row>
    <row r="10" customFormat="false" ht="15" hidden="false" customHeight="false" outlineLevel="0" collapsed="false">
      <c r="B10" s="7" t="s">
        <v>133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2026-08-06T13:17:05Z</dcterms:created>
  <dc:creator>openpyxl</dc:creator>
  <dc:description/>
  <dc:language>en-US</dc:language>
  <cp:lastModifiedBy/>
  <dcterms:modified xsi:type="dcterms:W3CDTF">2026-08-06T13:17:06Z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