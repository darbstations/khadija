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نموذج العامل" sheetId="1" state="visible" r:id="rId1"/>
    <sheet xmlns:r="http://schemas.openxmlformats.org/officeDocument/2006/relationships" name="مطابقة الوردية مع الطلب" sheetId="2" state="visible" r:id="rId2"/>
    <sheet xmlns:r="http://schemas.openxmlformats.org/officeDocument/2006/relationships" name="بيانات الورديات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0.00;-0.00;&quot;&quot;"/>
    <numFmt numFmtId="166" formatCode="#,##0;;&quot;&quot;"/>
    <numFmt numFmtId="167" formatCode="0;;&quot;&quot;"/>
    <numFmt numFmtId="168" formatCode="0.0%;;&quot;&quot;"/>
    <numFmt numFmtId="169" formatCode="0.00;;&quot;&quot;"/>
    <numFmt numFmtId="170" formatCode="+#,##0;-#,##0"/>
    <numFmt numFmtId="171" formatCode="+0.0%;-0.0%"/>
  </numFmts>
  <fonts count="14">
    <font>
      <name val="Calibri"/>
      <family val="2"/>
      <color theme="1"/>
      <sz val="11"/>
      <scheme val="minor"/>
    </font>
    <font>
      <name val="DIN Next Arabic"/>
      <b val="1"/>
      <color rgb="0055565A"/>
      <sz val="16"/>
    </font>
    <font>
      <name val="DIN Next Arabic"/>
      <color rgb="006E6A64"/>
      <sz val="10"/>
    </font>
    <font>
      <name val="DIN Next Arabic"/>
      <b val="1"/>
      <color rgb="00FFFFFF"/>
      <sz val="10"/>
    </font>
    <font>
      <name val="DIN Next Arabic"/>
      <color rgb="003D3D3D"/>
      <sz val="10"/>
    </font>
    <font>
      <name val="DIN Next Arabic"/>
      <b val="1"/>
      <color rgb="003D3D3D"/>
      <sz val="10"/>
    </font>
    <font>
      <name val="DIN Next Arabic"/>
      <color rgb="009B968E"/>
      <sz val="9"/>
    </font>
    <font>
      <name val="DIN Next Arabic"/>
      <b val="1"/>
      <color rgb="00F5831F"/>
      <sz val="12"/>
    </font>
    <font>
      <name val="DIN Next Arabic"/>
      <color rgb="003E6E8E"/>
      <sz val="10"/>
    </font>
    <font>
      <name val="DIN Next Arabic"/>
      <color rgb="002E8B6F"/>
      <sz val="10"/>
    </font>
    <font>
      <name val="DIN Next Arabic"/>
      <color rgb="009A3E2C"/>
      <sz val="9"/>
    </font>
    <font>
      <name val="DIN Next Arabic"/>
      <b val="1"/>
      <color rgb="0055565A"/>
      <sz val="10"/>
    </font>
    <font>
      <name val="DIN Next Arabic"/>
      <sz val="10"/>
    </font>
    <font>
      <name val="DIN Next Arabic"/>
      <b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0055565A"/>
      </patternFill>
    </fill>
    <fill>
      <patternFill patternType="solid">
        <fgColor rgb="00FBEEE0"/>
      </patternFill>
    </fill>
    <fill>
      <patternFill patternType="solid">
        <fgColor rgb="00FCE7C8"/>
      </patternFill>
    </fill>
    <fill>
      <patternFill patternType="solid">
        <fgColor rgb="00F5F2ED"/>
      </patternFill>
    </fill>
    <fill>
      <patternFill patternType="solid">
        <fgColor rgb="00EDE7DE"/>
      </patternFill>
    </fill>
  </fills>
  <borders count="2">
    <border>
      <left/>
      <right/>
      <top/>
      <bottom/>
      <diagonal/>
    </border>
    <border>
      <left style="thin">
        <color rgb="00E3DCD1"/>
      </left>
      <right style="thin">
        <color rgb="00E3DCD1"/>
      </right>
      <top style="thin">
        <color rgb="00E3DCD1"/>
      </top>
      <bottom style="thin">
        <color rgb="00E3DCD1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horizontal="right" vertical="center" readingOrder="2"/>
    </xf>
    <xf numFmtId="0" fontId="2" fillId="0" borderId="0" applyAlignment="1" pivotButton="0" quotePrefix="0" xfId="0">
      <alignment horizontal="right" vertical="center" readingOrder="2"/>
    </xf>
    <xf numFmtId="0" fontId="7" fillId="3" borderId="1" applyAlignment="1" pivotButton="0" quotePrefix="0" xfId="0">
      <alignment horizontal="right" vertical="center" readingOrder="2"/>
    </xf>
    <xf numFmtId="0" fontId="5" fillId="0" borderId="0" applyAlignment="1" pivotButton="0" quotePrefix="0" xfId="0">
      <alignment horizontal="right" vertical="center" readingOrder="2"/>
    </xf>
    <xf numFmtId="0" fontId="8" fillId="4" borderId="1" applyAlignment="1" pivotButton="0" quotePrefix="0" xfId="0">
      <alignment horizontal="center" vertical="center" wrapText="1" readingOrder="2"/>
    </xf>
    <xf numFmtId="0" fontId="6" fillId="0" borderId="0" applyAlignment="1" pivotButton="0" quotePrefix="0" xfId="0">
      <alignment horizontal="center" vertical="center" wrapText="1" readingOrder="2"/>
    </xf>
    <xf numFmtId="0" fontId="6" fillId="0" borderId="0" applyAlignment="1" pivotButton="0" quotePrefix="0" xfId="0">
      <alignment horizontal="right" vertical="center" readingOrder="2"/>
    </xf>
    <xf numFmtId="165" fontId="9" fillId="5" borderId="1" applyAlignment="1" pivotButton="0" quotePrefix="0" xfId="0">
      <alignment horizontal="center" vertical="center" wrapText="1" readingOrder="2"/>
    </xf>
    <xf numFmtId="166" fontId="9" fillId="5" borderId="1" applyAlignment="1" pivotButton="0" quotePrefix="0" xfId="0">
      <alignment horizontal="center" vertical="center" wrapText="1" readingOrder="2"/>
    </xf>
    <xf numFmtId="167" fontId="9" fillId="5" borderId="1" applyAlignment="1" pivotButton="0" quotePrefix="0" xfId="0">
      <alignment horizontal="center" vertical="center" wrapText="1" readingOrder="2"/>
    </xf>
    <xf numFmtId="168" fontId="9" fillId="5" borderId="1" applyAlignment="1" pivotButton="0" quotePrefix="0" xfId="0">
      <alignment horizontal="center" vertical="center" wrapText="1" readingOrder="2"/>
    </xf>
    <xf numFmtId="169" fontId="9" fillId="5" borderId="1" applyAlignment="1" pivotButton="0" quotePrefix="0" xfId="0">
      <alignment horizontal="center" vertical="center" wrapText="1" readingOrder="2"/>
    </xf>
    <xf numFmtId="164" fontId="8" fillId="4" borderId="1" applyAlignment="1" pivotButton="0" quotePrefix="0" xfId="0">
      <alignment horizontal="center" vertical="center" wrapText="1" readingOrder="2"/>
    </xf>
    <xf numFmtId="3" fontId="8" fillId="4" borderId="1" applyAlignment="1" pivotButton="0" quotePrefix="0" xfId="0">
      <alignment horizontal="center" vertical="center" wrapText="1" readingOrder="2"/>
    </xf>
    <xf numFmtId="1" fontId="8" fillId="4" borderId="1" applyAlignment="1" pivotButton="0" quotePrefix="0" xfId="0">
      <alignment horizontal="center" vertical="center" wrapText="1" readingOrder="2"/>
    </xf>
    <xf numFmtId="0" fontId="3" fillId="2" borderId="1" applyAlignment="1" pivotButton="0" quotePrefix="0" xfId="0">
      <alignment horizontal="center" vertical="center" wrapText="1" readingOrder="2"/>
    </xf>
    <xf numFmtId="0" fontId="0" fillId="0" borderId="1" applyAlignment="1" pivotButton="0" quotePrefix="0" xfId="0">
      <alignment horizontal="center" vertical="center" wrapText="1" readingOrder="2"/>
    </xf>
    <xf numFmtId="166" fontId="4" fillId="5" borderId="1" applyAlignment="1" pivotButton="0" quotePrefix="0" xfId="0">
      <alignment horizontal="center" vertical="center" wrapText="1" readingOrder="2"/>
    </xf>
    <xf numFmtId="166" fontId="8" fillId="4" borderId="1" applyAlignment="1" pivotButton="0" quotePrefix="0" xfId="0">
      <alignment horizontal="center" vertical="center" wrapText="1" readingOrder="2"/>
    </xf>
    <xf numFmtId="3" fontId="4" fillId="5" borderId="1" applyAlignment="1" pivotButton="0" quotePrefix="0" xfId="0">
      <alignment horizontal="center" vertical="center" wrapText="1" readingOrder="2"/>
    </xf>
    <xf numFmtId="170" fontId="4" fillId="5" borderId="1" applyAlignment="1" pivotButton="0" quotePrefix="0" xfId="0">
      <alignment horizontal="center" vertical="center" wrapText="1" readingOrder="2"/>
    </xf>
    <xf numFmtId="9" fontId="4" fillId="5" borderId="1" applyAlignment="1" pivotButton="0" quotePrefix="0" xfId="0">
      <alignment horizontal="center" vertical="center" wrapText="1" readingOrder="2"/>
    </xf>
    <xf numFmtId="3" fontId="4" fillId="6" borderId="1" applyAlignment="1" pivotButton="0" quotePrefix="0" xfId="0">
      <alignment horizontal="center" vertical="center" wrapText="1" readingOrder="2"/>
    </xf>
    <xf numFmtId="0" fontId="5" fillId="6" borderId="1" applyAlignment="1" pivotButton="0" quotePrefix="0" xfId="0">
      <alignment horizontal="center" vertical="center" wrapText="1" readingOrder="2"/>
    </xf>
    <xf numFmtId="3" fontId="5" fillId="6" borderId="1" applyAlignment="1" pivotButton="0" quotePrefix="0" xfId="0">
      <alignment horizontal="center" vertical="center" wrapText="1" readingOrder="2"/>
    </xf>
    <xf numFmtId="9" fontId="5" fillId="6" borderId="1" applyAlignment="1" pivotButton="0" quotePrefix="0" xfId="0">
      <alignment horizontal="center" vertical="center" wrapText="1" readingOrder="2"/>
    </xf>
    <xf numFmtId="0" fontId="4" fillId="0" borderId="1" applyAlignment="1" pivotButton="0" quotePrefix="0" xfId="0">
      <alignment horizontal="center" vertical="center" wrapText="1" readingOrder="2"/>
    </xf>
    <xf numFmtId="0" fontId="5" fillId="0" borderId="1" applyAlignment="1" pivotButton="0" quotePrefix="0" xfId="0">
      <alignment horizontal="center" vertical="center" wrapText="1" readingOrder="2"/>
    </xf>
    <xf numFmtId="3" fontId="4" fillId="0" borderId="1" applyAlignment="1" pivotButton="0" quotePrefix="0" xfId="0">
      <alignment horizontal="center" vertical="center" wrapText="1" readingOrder="2"/>
    </xf>
    <xf numFmtId="0" fontId="4" fillId="0" borderId="1" applyAlignment="1" pivotButton="0" quotePrefix="0" xfId="0">
      <alignment horizontal="right" vertical="top" wrapText="1" readingOrder="2"/>
    </xf>
    <xf numFmtId="170" fontId="4" fillId="0" borderId="1" applyAlignment="1" pivotButton="0" quotePrefix="0" xfId="0">
      <alignment horizontal="center" vertical="center" wrapText="1" readingOrder="2"/>
    </xf>
    <xf numFmtId="164" fontId="4" fillId="0" borderId="1" applyAlignment="1" pivotButton="0" quotePrefix="0" xfId="0">
      <alignment horizontal="center" vertical="center" wrapText="1" readingOrder="2"/>
    </xf>
    <xf numFmtId="0" fontId="10" fillId="0" borderId="0" applyAlignment="1" pivotButton="0" quotePrefix="0" xfId="0">
      <alignment horizontal="right" vertical="center" readingOrder="2"/>
    </xf>
    <xf numFmtId="0" fontId="11" fillId="0" borderId="0" applyAlignment="1" pivotButton="0" quotePrefix="0" xfId="0">
      <alignment horizontal="right" vertical="center" readingOrder="2"/>
    </xf>
    <xf numFmtId="0" fontId="12" fillId="0" borderId="0" applyAlignment="1" pivotButton="0" quotePrefix="0" xfId="0">
      <alignment horizontal="right" vertical="center" readingOrder="2"/>
    </xf>
    <xf numFmtId="0" fontId="13" fillId="0" borderId="0" applyAlignment="1" pivotButton="0" quotePrefix="0" xfId="0">
      <alignment horizontal="right" vertical="center" readingOrder="2"/>
    </xf>
    <xf numFmtId="1" fontId="4" fillId="0" borderId="1" applyAlignment="1" pivotButton="0" quotePrefix="0" xfId="0">
      <alignment horizontal="center" vertical="center" wrapText="1" readingOrder="2"/>
    </xf>
    <xf numFmtId="171" fontId="4" fillId="0" borderId="1" applyAlignment="1" pivotButton="0" quotePrefix="0" xfId="0">
      <alignment horizontal="center" vertical="center" wrapText="1" readingOrder="2"/>
    </xf>
    <xf numFmtId="0" fontId="5" fillId="0" borderId="0" pivotButton="0" quotePrefix="0" xfId="0"/>
    <xf numFmtId="2" fontId="4" fillId="0" borderId="1" applyAlignment="1" pivotButton="0" quotePrefix="0" xfId="0">
      <alignment horizontal="center" vertical="center" wrapText="1" readingOrder="2"/>
    </xf>
    <xf numFmtId="0" fontId="0" fillId="0" borderId="0" applyAlignment="1" pivotButton="0" quotePrefix="0" xfId="0">
      <alignment horizontal="center" vertical="center" wrapText="1" readingOrder="2"/>
    </xf>
  </cellXfs>
  <cellStyles count="1">
    <cellStyle name="Normal" xfId="0" builtinId="0" hidden="0"/>
  </cellStyles>
  <dxfs count="7">
    <dxf>
      <font>
        <name val="DIN Next Arabic"/>
        <color rgb="001F5E4A"/>
        <sz val="10"/>
      </font>
      <fill>
        <patternFill patternType="solid">
          <fgColor rgb="00D6E9E1"/>
        </patternFill>
      </fill>
    </dxf>
    <dxf>
      <font>
        <name val="DIN Next Arabic"/>
        <color rgb="009A3E2C"/>
        <sz val="10"/>
      </font>
      <fill>
        <patternFill patternType="solid">
          <fgColor rgb="00F2DAD4"/>
        </patternFill>
      </fill>
    </dxf>
    <dxf>
      <font>
        <name val="DIN Next Arabic"/>
        <b val="1"/>
        <color rgb="001F5E4A"/>
        <sz val="10"/>
      </font>
      <fill>
        <patternFill patternType="solid">
          <fgColor rgb="00D6E9E1"/>
        </patternFill>
      </fill>
    </dxf>
    <dxf>
      <font>
        <name val="DIN Next Arabic"/>
        <b val="1"/>
        <color rgb="00A8681A"/>
        <sz val="10"/>
      </font>
      <fill>
        <patternFill patternType="solid">
          <fgColor rgb="00FCE7C8"/>
        </patternFill>
      </fill>
    </dxf>
    <dxf>
      <fill>
        <patternFill patternType="solid">
          <fgColor rgb="00D6E9E1"/>
        </patternFill>
      </fill>
    </dxf>
    <dxf>
      <font>
        <name val="DIN Next Arabic"/>
        <b val="1"/>
        <color rgb="009A3E2C"/>
        <sz val="10"/>
      </font>
      <fill>
        <patternFill patternType="solid">
          <fgColor rgb="00F2DAD4"/>
        </patternFill>
      </fill>
    </dxf>
    <dxf>
      <fill>
        <patternFill patternType="solid">
          <fgColor rgb="00FCE7C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88"/>
  <sheetViews>
    <sheetView showGridLines="0" rightToLeft="1" workbookViewId="0">
      <pane xSplit="2" ySplit="17" topLeftCell="C1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7" customWidth="1" min="2" max="2"/>
    <col width="11" customWidth="1" min="3" max="3"/>
    <col width="14" customWidth="1" min="4" max="4"/>
    <col width="11" customWidth="1" min="5" max="5"/>
    <col width="12" customWidth="1" min="6" max="6"/>
    <col width="11" customWidth="1" min="7" max="7"/>
    <col width="10" customWidth="1" min="8" max="8"/>
    <col width="11" customWidth="1" min="9" max="9"/>
    <col width="13" customWidth="1" min="10" max="10"/>
    <col width="11" customWidth="1" min="11" max="11"/>
    <col width="32" customWidth="1" min="12" max="12"/>
  </cols>
  <sheetData>
    <row r="1" ht="26" customHeight="1">
      <c r="A1" s="1" t="inlineStr">
        <is>
          <t>نموذج مبيعات العامل — مستهدف وحافز</t>
        </is>
      </c>
    </row>
    <row r="2" ht="16" customHeight="1">
      <c r="A2" s="2" t="inlineStr">
        <is>
          <t>خط الأساس يُشتق من حصة الوردية الفعلية من الزيارات ÷ عدد عمالها — لا يُقدَّر يدوياً</t>
        </is>
      </c>
    </row>
    <row r="3" ht="22" customHeight="1">
      <c r="A3" s="3" t="inlineStr">
        <is>
          <t>① مُدخلات المحطة — اختر المحطة والباقي يُعبَّأ من بيانات التشغيل</t>
        </is>
      </c>
    </row>
    <row r="4">
      <c r="B4" s="4" t="inlineStr">
        <is>
          <t>المحطة</t>
        </is>
      </c>
      <c r="C4" s="5" t="n"/>
      <c r="D4" s="6">
        <f>IFERROR("ذروة "&amp;INDEX('بيانات الورديات'!$I$4:$I$8,MATCH($C$4,'بيانات الورديات'!$B$4:$B$8,0)),"")</f>
        <v/>
      </c>
      <c r="E4" s="7" t="inlineStr">
        <is>
          <t>اختر من القائمة ▼</t>
        </is>
      </c>
    </row>
    <row r="5">
      <c r="B5" s="4" t="inlineStr">
        <is>
          <t>الشهر</t>
        </is>
      </c>
      <c r="C5" s="5" t="n"/>
      <c r="E5" s="7" t="inlineStr">
        <is>
          <t>مثال: أغسطس ٢٠٢٦</t>
        </is>
      </c>
    </row>
    <row r="6">
      <c r="B6" s="4" t="inlineStr">
        <is>
          <t>لتر لكل زيارة</t>
        </is>
      </c>
      <c r="C6" s="8">
        <f>IFERROR(INDEX('بيانات الورديات'!$C$4:$C$8,MATCH($C$4,'بيانات الورديات'!$B$4:$B$8,0)),0)</f>
        <v/>
      </c>
      <c r="E6" s="7" t="inlineStr">
        <is>
          <t>من بيانات المحطة</t>
        </is>
      </c>
    </row>
    <row r="7">
      <c r="B7" s="4" t="inlineStr">
        <is>
          <t>زيارات المحطة (زيارة/يوم)</t>
        </is>
      </c>
      <c r="C7" s="9">
        <f>IFERROR(INDEX('بيانات الورديات'!$D$4:$D$8,MATCH($C$4,'بيانات الورديات'!$B$4:$B$8,0)),0)</f>
        <v/>
      </c>
      <c r="E7" s="7" t="inlineStr">
        <is>
          <t>متوسط ٢١٢ يوماً</t>
        </is>
      </c>
    </row>
    <row r="8">
      <c r="B8" s="4" t="inlineStr">
        <is>
          <t>عمال المضخات — صباحية</t>
        </is>
      </c>
      <c r="C8" s="10">
        <f>IFERROR(INDEX('بيانات الورديات'!$E$4:$E$8,MATCH($C$4,'بيانات الورديات'!$B$4:$B$8,0)),0)</f>
        <v/>
      </c>
      <c r="E8" s="7" t="inlineStr">
        <is>
          <t>٦ ص – ٦ م</t>
        </is>
      </c>
    </row>
    <row r="9">
      <c r="B9" s="4" t="inlineStr">
        <is>
          <t>عمال المضخات — مسائية</t>
        </is>
      </c>
      <c r="C9" s="10">
        <f>IFERROR(INDEX('بيانات الورديات'!$F$4:$F$8,MATCH($C$4,'بيانات الورديات'!$B$4:$B$8,0)),0)</f>
        <v/>
      </c>
      <c r="E9" s="7" t="inlineStr">
        <is>
          <t>٦ م – ٦ ص</t>
        </is>
      </c>
    </row>
    <row r="10">
      <c r="B10" s="4" t="inlineStr">
        <is>
          <t>حصة الصباح من الزيارات</t>
        </is>
      </c>
      <c r="C10" s="11">
        <f>IFERROR(INDEX('بيانات الورديات'!$G$4:$G$8,MATCH($C$4,'بيانات الورديات'!$B$4:$B$8,0)),0)</f>
        <v/>
      </c>
      <c r="E10" s="7" t="inlineStr">
        <is>
          <t>من الحركة الفعلية</t>
        </is>
      </c>
    </row>
    <row r="11">
      <c r="B11" s="4" t="inlineStr">
        <is>
          <t>حصة المساء من الزيارات</t>
        </is>
      </c>
      <c r="C11" s="11">
        <f>IFERROR(INDEX('بيانات الورديات'!$H$4:$H$8,MATCH($C$4,'بيانات الورديات'!$B$4:$B$8,0)),0)</f>
        <v/>
      </c>
      <c r="E11" s="7" t="inlineStr">
        <is>
          <t>من الحركة الفعلية</t>
        </is>
      </c>
    </row>
    <row r="12">
      <c r="B12" s="4" t="inlineStr">
        <is>
          <t>هامش المساهمة (هللة/لتر)</t>
        </is>
      </c>
      <c r="C12" s="12">
        <f>IFERROR(INDEX('بيانات الورديات'!$P$4:$P$8,MATCH($C$4,'بيانات الورديات'!$B$4:$B$8,0)),0)</f>
        <v/>
      </c>
      <c r="E12" s="7" t="inlineStr">
        <is>
          <t>من تقرير يوليو ٢٠٢٦</t>
        </is>
      </c>
    </row>
    <row r="13">
      <c r="B13" s="4" t="inlineStr">
        <is>
          <t>نسبة الحافز من الهامش</t>
        </is>
      </c>
      <c r="C13" s="13" t="n">
        <v>0.15</v>
      </c>
      <c r="E13" s="7" t="inlineStr">
        <is>
          <t>قرار الإدارة</t>
        </is>
      </c>
    </row>
    <row r="14">
      <c r="B14" s="4" t="inlineStr">
        <is>
          <t>سقف الحافز الشهري للعامل</t>
        </is>
      </c>
      <c r="C14" s="14" t="n">
        <v>100</v>
      </c>
      <c r="E14" s="7" t="inlineStr">
        <is>
          <t>معتمد: ١٠٠ ريال</t>
        </is>
      </c>
    </row>
    <row r="15">
      <c r="B15" s="4" t="inlineStr">
        <is>
          <t>أيام الشهر</t>
        </is>
      </c>
      <c r="C15" s="15" t="n">
        <v>30</v>
      </c>
      <c r="E15" s="7" t="inlineStr"/>
    </row>
    <row r="16">
      <c r="B16" s="4" t="inlineStr">
        <is>
          <t>نسبة النمو المستهدف</t>
        </is>
      </c>
      <c r="C16" s="13" t="n">
        <v>0.05</v>
      </c>
      <c r="E16" s="7" t="inlineStr">
        <is>
          <t>حرّكها ← تتحرك كل المستهدفات</t>
        </is>
      </c>
    </row>
    <row r="17">
      <c r="B17" s="4" t="inlineStr">
        <is>
          <t>يُشترط صافي محطة موجب</t>
        </is>
      </c>
      <c r="C17" s="5" t="inlineStr">
        <is>
          <t>نعم</t>
        </is>
      </c>
      <c r="E17" s="7" t="inlineStr">
        <is>
          <t>يحمي نسبة الـ١٥٪</t>
        </is>
      </c>
    </row>
    <row r="19" ht="22" customHeight="1">
      <c r="A19" s="3" t="inlineStr">
        <is>
          <t>② بطاقة العامل — اختر الوردية فيُشتق خط الأساس · عبّئ الفعلي وبوابة الجودة</t>
        </is>
      </c>
    </row>
    <row r="20" ht="30" customHeight="1">
      <c r="A20" s="16" t="inlineStr">
        <is>
          <t>#</t>
        </is>
      </c>
      <c r="B20" s="16" t="inlineStr">
        <is>
          <t>اسم العامل</t>
        </is>
      </c>
      <c r="C20" s="16" t="inlineStr">
        <is>
          <t>الوردية</t>
        </is>
      </c>
      <c r="D20" s="16" t="inlineStr">
        <is>
          <t>خط الأساس المشتق</t>
        </is>
      </c>
      <c r="E20" s="16" t="inlineStr">
        <is>
          <t>تعديل معتمد</t>
        </is>
      </c>
      <c r="F20" s="16" t="inlineStr">
        <is>
          <t>المستهدف</t>
        </is>
      </c>
      <c r="G20" s="16" t="inlineStr">
        <is>
          <t>الفعلي</t>
        </is>
      </c>
      <c r="H20" s="16" t="inlineStr">
        <is>
          <t>الفارق</t>
        </is>
      </c>
      <c r="I20" s="16" t="inlineStr">
        <is>
          <t>نسبة الإنجاز</t>
        </is>
      </c>
      <c r="J20" s="16" t="inlineStr">
        <is>
          <t>بوابة الجودة</t>
        </is>
      </c>
      <c r="K20" s="16" t="inlineStr">
        <is>
          <t>الحافز (ريال)</t>
        </is>
      </c>
      <c r="L20" s="16" t="inlineStr">
        <is>
          <t>ملاحظة</t>
        </is>
      </c>
    </row>
    <row r="21" ht="19" customHeight="1">
      <c r="A21" s="17" t="n">
        <v>1</v>
      </c>
      <c r="B21" s="5" t="n"/>
      <c r="C21" s="5" t="n"/>
      <c r="D21" s="18">
        <f>IF(OR($C21="",$C$7=0),"",ROUND(IF($C21="صباحية",$C$7*$C$10/MAX($C$8,1),$C$7*$C$11/MAX($C$9,1)),0))</f>
        <v/>
      </c>
      <c r="E21" s="19" t="n"/>
      <c r="F21" s="20">
        <f>IF($D21="","",ROUND(IF($E21="",$D21,$E21)*(1+$C$16),0))</f>
        <v/>
      </c>
      <c r="G21" s="14" t="n"/>
      <c r="H21" s="21">
        <f>IF(OR($G21="",$F21=""),"",$G21-$F21)</f>
        <v/>
      </c>
      <c r="I21" s="22">
        <f>IFERROR(IF($F21="","",$G21/$F21),"")</f>
        <v/>
      </c>
      <c r="J21" s="5" t="n"/>
      <c r="K21" s="23">
        <f>IF(OR($H21="",$J21&lt;&gt;"مستوفاة"),0,IF(AND($C$17="نعم",$H$41&lt;=0),0,MIN(MAX($H21,0)*$C$6*$C$12/100*$C$13*$C$15,$C$14)))</f>
        <v/>
      </c>
      <c r="L21" s="5" t="n"/>
    </row>
    <row r="22" ht="19" customHeight="1">
      <c r="A22" s="17" t="n">
        <v>2</v>
      </c>
      <c r="B22" s="5" t="n"/>
      <c r="C22" s="5" t="n"/>
      <c r="D22" s="18">
        <f>IF(OR($C22="",$C$7=0),"",ROUND(IF($C22="صباحية",$C$7*$C$10/MAX($C$8,1),$C$7*$C$11/MAX($C$9,1)),0))</f>
        <v/>
      </c>
      <c r="E22" s="19" t="n"/>
      <c r="F22" s="20">
        <f>IF($D22="","",ROUND(IF($E22="",$D22,$E22)*(1+$C$16),0))</f>
        <v/>
      </c>
      <c r="G22" s="14" t="n"/>
      <c r="H22" s="21">
        <f>IF(OR($G22="",$F22=""),"",$G22-$F22)</f>
        <v/>
      </c>
      <c r="I22" s="22">
        <f>IFERROR(IF($F22="","",$G22/$F22),"")</f>
        <v/>
      </c>
      <c r="J22" s="5" t="n"/>
      <c r="K22" s="23">
        <f>IF(OR($H22="",$J22&lt;&gt;"مستوفاة"),0,IF(AND($C$17="نعم",$H$41&lt;=0),0,MIN(MAX($H22,0)*$C$6*$C$12/100*$C$13*$C$15,$C$14)))</f>
        <v/>
      </c>
      <c r="L22" s="5" t="n"/>
    </row>
    <row r="23" ht="19" customHeight="1">
      <c r="A23" s="17" t="n">
        <v>3</v>
      </c>
      <c r="B23" s="5" t="n"/>
      <c r="C23" s="5" t="n"/>
      <c r="D23" s="18">
        <f>IF(OR($C23="",$C$7=0),"",ROUND(IF($C23="صباحية",$C$7*$C$10/MAX($C$8,1),$C$7*$C$11/MAX($C$9,1)),0))</f>
        <v/>
      </c>
      <c r="E23" s="19" t="n"/>
      <c r="F23" s="20">
        <f>IF($D23="","",ROUND(IF($E23="",$D23,$E23)*(1+$C$16),0))</f>
        <v/>
      </c>
      <c r="G23" s="14" t="n"/>
      <c r="H23" s="21">
        <f>IF(OR($G23="",$F23=""),"",$G23-$F23)</f>
        <v/>
      </c>
      <c r="I23" s="22">
        <f>IFERROR(IF($F23="","",$G23/$F23),"")</f>
        <v/>
      </c>
      <c r="J23" s="5" t="n"/>
      <c r="K23" s="23">
        <f>IF(OR($H23="",$J23&lt;&gt;"مستوفاة"),0,IF(AND($C$17="نعم",$H$41&lt;=0),0,MIN(MAX($H23,0)*$C$6*$C$12/100*$C$13*$C$15,$C$14)))</f>
        <v/>
      </c>
      <c r="L23" s="5" t="n"/>
    </row>
    <row r="24" ht="19" customHeight="1">
      <c r="A24" s="17" t="n">
        <v>4</v>
      </c>
      <c r="B24" s="5" t="n"/>
      <c r="C24" s="5" t="n"/>
      <c r="D24" s="18">
        <f>IF(OR($C24="",$C$7=0),"",ROUND(IF($C24="صباحية",$C$7*$C$10/MAX($C$8,1),$C$7*$C$11/MAX($C$9,1)),0))</f>
        <v/>
      </c>
      <c r="E24" s="19" t="n"/>
      <c r="F24" s="20">
        <f>IF($D24="","",ROUND(IF($E24="",$D24,$E24)*(1+$C$16),0))</f>
        <v/>
      </c>
      <c r="G24" s="14" t="n"/>
      <c r="H24" s="21">
        <f>IF(OR($G24="",$F24=""),"",$G24-$F24)</f>
        <v/>
      </c>
      <c r="I24" s="22">
        <f>IFERROR(IF($F24="","",$G24/$F24),"")</f>
        <v/>
      </c>
      <c r="J24" s="5" t="n"/>
      <c r="K24" s="23">
        <f>IF(OR($H24="",$J24&lt;&gt;"مستوفاة"),0,IF(AND($C$17="نعم",$H$41&lt;=0),0,MIN(MAX($H24,0)*$C$6*$C$12/100*$C$13*$C$15,$C$14)))</f>
        <v/>
      </c>
      <c r="L24" s="5" t="n"/>
    </row>
    <row r="25" ht="19" customHeight="1">
      <c r="A25" s="17" t="n">
        <v>5</v>
      </c>
      <c r="B25" s="5" t="n"/>
      <c r="C25" s="5" t="n"/>
      <c r="D25" s="18">
        <f>IF(OR($C25="",$C$7=0),"",ROUND(IF($C25="صباحية",$C$7*$C$10/MAX($C$8,1),$C$7*$C$11/MAX($C$9,1)),0))</f>
        <v/>
      </c>
      <c r="E25" s="19" t="n"/>
      <c r="F25" s="20">
        <f>IF($D25="","",ROUND(IF($E25="",$D25,$E25)*(1+$C$16),0))</f>
        <v/>
      </c>
      <c r="G25" s="14" t="n"/>
      <c r="H25" s="21">
        <f>IF(OR($G25="",$F25=""),"",$G25-$F25)</f>
        <v/>
      </c>
      <c r="I25" s="22">
        <f>IFERROR(IF($F25="","",$G25/$F25),"")</f>
        <v/>
      </c>
      <c r="J25" s="5" t="n"/>
      <c r="K25" s="23">
        <f>IF(OR($H25="",$J25&lt;&gt;"مستوفاة"),0,IF(AND($C$17="نعم",$H$41&lt;=0),0,MIN(MAX($H25,0)*$C$6*$C$12/100*$C$13*$C$15,$C$14)))</f>
        <v/>
      </c>
      <c r="L25" s="5" t="n"/>
    </row>
    <row r="26" ht="19" customHeight="1">
      <c r="A26" s="17" t="n">
        <v>6</v>
      </c>
      <c r="B26" s="5" t="n"/>
      <c r="C26" s="5" t="n"/>
      <c r="D26" s="18">
        <f>IF(OR($C26="",$C$7=0),"",ROUND(IF($C26="صباحية",$C$7*$C$10/MAX($C$8,1),$C$7*$C$11/MAX($C$9,1)),0))</f>
        <v/>
      </c>
      <c r="E26" s="19" t="n"/>
      <c r="F26" s="20">
        <f>IF($D26="","",ROUND(IF($E26="",$D26,$E26)*(1+$C$16),0))</f>
        <v/>
      </c>
      <c r="G26" s="14" t="n"/>
      <c r="H26" s="21">
        <f>IF(OR($G26="",$F26=""),"",$G26-$F26)</f>
        <v/>
      </c>
      <c r="I26" s="22">
        <f>IFERROR(IF($F26="","",$G26/$F26),"")</f>
        <v/>
      </c>
      <c r="J26" s="5" t="n"/>
      <c r="K26" s="23">
        <f>IF(OR($H26="",$J26&lt;&gt;"مستوفاة"),0,IF(AND($C$17="نعم",$H$41&lt;=0),0,MIN(MAX($H26,0)*$C$6*$C$12/100*$C$13*$C$15,$C$14)))</f>
        <v/>
      </c>
      <c r="L26" s="5" t="n"/>
    </row>
    <row r="27" ht="19" customHeight="1">
      <c r="A27" s="17" t="n">
        <v>7</v>
      </c>
      <c r="B27" s="5" t="n"/>
      <c r="C27" s="5" t="n"/>
      <c r="D27" s="18">
        <f>IF(OR($C27="",$C$7=0),"",ROUND(IF($C27="صباحية",$C$7*$C$10/MAX($C$8,1),$C$7*$C$11/MAX($C$9,1)),0))</f>
        <v/>
      </c>
      <c r="E27" s="19" t="n"/>
      <c r="F27" s="20">
        <f>IF($D27="","",ROUND(IF($E27="",$D27,$E27)*(1+$C$16),0))</f>
        <v/>
      </c>
      <c r="G27" s="14" t="n"/>
      <c r="H27" s="21">
        <f>IF(OR($G27="",$F27=""),"",$G27-$F27)</f>
        <v/>
      </c>
      <c r="I27" s="22">
        <f>IFERROR(IF($F27="","",$G27/$F27),"")</f>
        <v/>
      </c>
      <c r="J27" s="5" t="n"/>
      <c r="K27" s="23">
        <f>IF(OR($H27="",$J27&lt;&gt;"مستوفاة"),0,IF(AND($C$17="نعم",$H$41&lt;=0),0,MIN(MAX($H27,0)*$C$6*$C$12/100*$C$13*$C$15,$C$14)))</f>
        <v/>
      </c>
      <c r="L27" s="5" t="n"/>
    </row>
    <row r="28" ht="19" customHeight="1">
      <c r="A28" s="17" t="n">
        <v>8</v>
      </c>
      <c r="B28" s="5" t="n"/>
      <c r="C28" s="5" t="n"/>
      <c r="D28" s="18">
        <f>IF(OR($C28="",$C$7=0),"",ROUND(IF($C28="صباحية",$C$7*$C$10/MAX($C$8,1),$C$7*$C$11/MAX($C$9,1)),0))</f>
        <v/>
      </c>
      <c r="E28" s="19" t="n"/>
      <c r="F28" s="20">
        <f>IF($D28="","",ROUND(IF($E28="",$D28,$E28)*(1+$C$16),0))</f>
        <v/>
      </c>
      <c r="G28" s="14" t="n"/>
      <c r="H28" s="21">
        <f>IF(OR($G28="",$F28=""),"",$G28-$F28)</f>
        <v/>
      </c>
      <c r="I28" s="22">
        <f>IFERROR(IF($F28="","",$G28/$F28),"")</f>
        <v/>
      </c>
      <c r="J28" s="5" t="n"/>
      <c r="K28" s="23">
        <f>IF(OR($H28="",$J28&lt;&gt;"مستوفاة"),0,IF(AND($C$17="نعم",$H$41&lt;=0),0,MIN(MAX($H28,0)*$C$6*$C$12/100*$C$13*$C$15,$C$14)))</f>
        <v/>
      </c>
      <c r="L28" s="5" t="n"/>
    </row>
    <row r="29" ht="19" customHeight="1">
      <c r="A29" s="17" t="n">
        <v>9</v>
      </c>
      <c r="B29" s="5" t="n"/>
      <c r="C29" s="5" t="n"/>
      <c r="D29" s="18">
        <f>IF(OR($C29="",$C$7=0),"",ROUND(IF($C29="صباحية",$C$7*$C$10/MAX($C$8,1),$C$7*$C$11/MAX($C$9,1)),0))</f>
        <v/>
      </c>
      <c r="E29" s="19" t="n"/>
      <c r="F29" s="20">
        <f>IF($D29="","",ROUND(IF($E29="",$D29,$E29)*(1+$C$16),0))</f>
        <v/>
      </c>
      <c r="G29" s="14" t="n"/>
      <c r="H29" s="21">
        <f>IF(OR($G29="",$F29=""),"",$G29-$F29)</f>
        <v/>
      </c>
      <c r="I29" s="22">
        <f>IFERROR(IF($F29="","",$G29/$F29),"")</f>
        <v/>
      </c>
      <c r="J29" s="5" t="n"/>
      <c r="K29" s="23">
        <f>IF(OR($H29="",$J29&lt;&gt;"مستوفاة"),0,IF(AND($C$17="نعم",$H$41&lt;=0),0,MIN(MAX($H29,0)*$C$6*$C$12/100*$C$13*$C$15,$C$14)))</f>
        <v/>
      </c>
      <c r="L29" s="5" t="n"/>
    </row>
    <row r="30" ht="19" customHeight="1">
      <c r="A30" s="17" t="n">
        <v>10</v>
      </c>
      <c r="B30" s="5" t="n"/>
      <c r="C30" s="5" t="n"/>
      <c r="D30" s="18">
        <f>IF(OR($C30="",$C$7=0),"",ROUND(IF($C30="صباحية",$C$7*$C$10/MAX($C$8,1),$C$7*$C$11/MAX($C$9,1)),0))</f>
        <v/>
      </c>
      <c r="E30" s="19" t="n"/>
      <c r="F30" s="20">
        <f>IF($D30="","",ROUND(IF($E30="",$D30,$E30)*(1+$C$16),0))</f>
        <v/>
      </c>
      <c r="G30" s="14" t="n"/>
      <c r="H30" s="21">
        <f>IF(OR($G30="",$F30=""),"",$G30-$F30)</f>
        <v/>
      </c>
      <c r="I30" s="22">
        <f>IFERROR(IF($F30="","",$G30/$F30),"")</f>
        <v/>
      </c>
      <c r="J30" s="5" t="n"/>
      <c r="K30" s="23">
        <f>IF(OR($H30="",$J30&lt;&gt;"مستوفاة"),0,IF(AND($C$17="نعم",$H$41&lt;=0),0,MIN(MAX($H30,0)*$C$6*$C$12/100*$C$13*$C$15,$C$14)))</f>
        <v/>
      </c>
      <c r="L30" s="5" t="n"/>
    </row>
    <row r="31" ht="19" customHeight="1">
      <c r="A31" s="17" t="n">
        <v>11</v>
      </c>
      <c r="B31" s="5" t="n"/>
      <c r="C31" s="5" t="n"/>
      <c r="D31" s="18">
        <f>IF(OR($C31="",$C$7=0),"",ROUND(IF($C31="صباحية",$C$7*$C$10/MAX($C$8,1),$C$7*$C$11/MAX($C$9,1)),0))</f>
        <v/>
      </c>
      <c r="E31" s="19" t="n"/>
      <c r="F31" s="20">
        <f>IF($D31="","",ROUND(IF($E31="",$D31,$E31)*(1+$C$16),0))</f>
        <v/>
      </c>
      <c r="G31" s="14" t="n"/>
      <c r="H31" s="21">
        <f>IF(OR($G31="",$F31=""),"",$G31-$F31)</f>
        <v/>
      </c>
      <c r="I31" s="22">
        <f>IFERROR(IF($F31="","",$G31/$F31),"")</f>
        <v/>
      </c>
      <c r="J31" s="5" t="n"/>
      <c r="K31" s="23">
        <f>IF(OR($H31="",$J31&lt;&gt;"مستوفاة"),0,IF(AND($C$17="نعم",$H$41&lt;=0),0,MIN(MAX($H31,0)*$C$6*$C$12/100*$C$13*$C$15,$C$14)))</f>
        <v/>
      </c>
      <c r="L31" s="5" t="n"/>
    </row>
    <row r="32" ht="19" customHeight="1">
      <c r="A32" s="17" t="n">
        <v>12</v>
      </c>
      <c r="B32" s="5" t="n"/>
      <c r="C32" s="5" t="n"/>
      <c r="D32" s="18">
        <f>IF(OR($C32="",$C$7=0),"",ROUND(IF($C32="صباحية",$C$7*$C$10/MAX($C$8,1),$C$7*$C$11/MAX($C$9,1)),0))</f>
        <v/>
      </c>
      <c r="E32" s="19" t="n"/>
      <c r="F32" s="20">
        <f>IF($D32="","",ROUND(IF($E32="",$D32,$E32)*(1+$C$16),0))</f>
        <v/>
      </c>
      <c r="G32" s="14" t="n"/>
      <c r="H32" s="21">
        <f>IF(OR($G32="",$F32=""),"",$G32-$F32)</f>
        <v/>
      </c>
      <c r="I32" s="22">
        <f>IFERROR(IF($F32="","",$G32/$F32),"")</f>
        <v/>
      </c>
      <c r="J32" s="5" t="n"/>
      <c r="K32" s="23">
        <f>IF(OR($H32="",$J32&lt;&gt;"مستوفاة"),0,IF(AND($C$17="نعم",$H$41&lt;=0),0,MIN(MAX($H32,0)*$C$6*$C$12/100*$C$13*$C$15,$C$14)))</f>
        <v/>
      </c>
      <c r="L32" s="5" t="n"/>
    </row>
    <row r="33" ht="19" customHeight="1">
      <c r="A33" s="17" t="n">
        <v>13</v>
      </c>
      <c r="B33" s="5" t="n"/>
      <c r="C33" s="5" t="n"/>
      <c r="D33" s="18">
        <f>IF(OR($C33="",$C$7=0),"",ROUND(IF($C33="صباحية",$C$7*$C$10/MAX($C$8,1),$C$7*$C$11/MAX($C$9,1)),0))</f>
        <v/>
      </c>
      <c r="E33" s="19" t="n"/>
      <c r="F33" s="20">
        <f>IF($D33="","",ROUND(IF($E33="",$D33,$E33)*(1+$C$16),0))</f>
        <v/>
      </c>
      <c r="G33" s="14" t="n"/>
      <c r="H33" s="21">
        <f>IF(OR($G33="",$F33=""),"",$G33-$F33)</f>
        <v/>
      </c>
      <c r="I33" s="22">
        <f>IFERROR(IF($F33="","",$G33/$F33),"")</f>
        <v/>
      </c>
      <c r="J33" s="5" t="n"/>
      <c r="K33" s="23">
        <f>IF(OR($H33="",$J33&lt;&gt;"مستوفاة"),0,IF(AND($C$17="نعم",$H$41&lt;=0),0,MIN(MAX($H33,0)*$C$6*$C$12/100*$C$13*$C$15,$C$14)))</f>
        <v/>
      </c>
      <c r="L33" s="5" t="n"/>
    </row>
    <row r="34" ht="19" customHeight="1">
      <c r="A34" s="17" t="n">
        <v>14</v>
      </c>
      <c r="B34" s="5" t="n"/>
      <c r="C34" s="5" t="n"/>
      <c r="D34" s="18">
        <f>IF(OR($C34="",$C$7=0),"",ROUND(IF($C34="صباحية",$C$7*$C$10/MAX($C$8,1),$C$7*$C$11/MAX($C$9,1)),0))</f>
        <v/>
      </c>
      <c r="E34" s="19" t="n"/>
      <c r="F34" s="20">
        <f>IF($D34="","",ROUND(IF($E34="",$D34,$E34)*(1+$C$16),0))</f>
        <v/>
      </c>
      <c r="G34" s="14" t="n"/>
      <c r="H34" s="21">
        <f>IF(OR($G34="",$F34=""),"",$G34-$F34)</f>
        <v/>
      </c>
      <c r="I34" s="22">
        <f>IFERROR(IF($F34="","",$G34/$F34),"")</f>
        <v/>
      </c>
      <c r="J34" s="5" t="n"/>
      <c r="K34" s="23">
        <f>IF(OR($H34="",$J34&lt;&gt;"مستوفاة"),0,IF(AND($C$17="نعم",$H$41&lt;=0),0,MIN(MAX($H34,0)*$C$6*$C$12/100*$C$13*$C$15,$C$14)))</f>
        <v/>
      </c>
      <c r="L34" s="5" t="n"/>
    </row>
    <row r="35" ht="19" customHeight="1">
      <c r="A35" s="17" t="n">
        <v>15</v>
      </c>
      <c r="B35" s="5" t="n"/>
      <c r="C35" s="5" t="n"/>
      <c r="D35" s="18">
        <f>IF(OR($C35="",$C$7=0),"",ROUND(IF($C35="صباحية",$C$7*$C$10/MAX($C$8,1),$C$7*$C$11/MAX($C$9,1)),0))</f>
        <v/>
      </c>
      <c r="E35" s="19" t="n"/>
      <c r="F35" s="20">
        <f>IF($D35="","",ROUND(IF($E35="",$D35,$E35)*(1+$C$16),0))</f>
        <v/>
      </c>
      <c r="G35" s="14" t="n"/>
      <c r="H35" s="21">
        <f>IF(OR($G35="",$F35=""),"",$G35-$F35)</f>
        <v/>
      </c>
      <c r="I35" s="22">
        <f>IFERROR(IF($F35="","",$G35/$F35),"")</f>
        <v/>
      </c>
      <c r="J35" s="5" t="n"/>
      <c r="K35" s="23">
        <f>IF(OR($H35="",$J35&lt;&gt;"مستوفاة"),0,IF(AND($C$17="نعم",$H$41&lt;=0),0,MIN(MAX($H35,0)*$C$6*$C$12/100*$C$13*$C$15,$C$14)))</f>
        <v/>
      </c>
      <c r="L35" s="5" t="n"/>
    </row>
    <row r="36" ht="19" customHeight="1">
      <c r="A36" s="17" t="n">
        <v>16</v>
      </c>
      <c r="B36" s="5" t="n"/>
      <c r="C36" s="5" t="n"/>
      <c r="D36" s="18">
        <f>IF(OR($C36="",$C$7=0),"",ROUND(IF($C36="صباحية",$C$7*$C$10/MAX($C$8,1),$C$7*$C$11/MAX($C$9,1)),0))</f>
        <v/>
      </c>
      <c r="E36" s="19" t="n"/>
      <c r="F36" s="20">
        <f>IF($D36="","",ROUND(IF($E36="",$D36,$E36)*(1+$C$16),0))</f>
        <v/>
      </c>
      <c r="G36" s="14" t="n"/>
      <c r="H36" s="21">
        <f>IF(OR($G36="",$F36=""),"",$G36-$F36)</f>
        <v/>
      </c>
      <c r="I36" s="22">
        <f>IFERROR(IF($F36="","",$G36/$F36),"")</f>
        <v/>
      </c>
      <c r="J36" s="5" t="n"/>
      <c r="K36" s="23">
        <f>IF(OR($H36="",$J36&lt;&gt;"مستوفاة"),0,IF(AND($C$17="نعم",$H$41&lt;=0),0,MIN(MAX($H36,0)*$C$6*$C$12/100*$C$13*$C$15,$C$14)))</f>
        <v/>
      </c>
      <c r="L36" s="5" t="n"/>
    </row>
    <row r="37" ht="19" customHeight="1">
      <c r="A37" s="17" t="n">
        <v>17</v>
      </c>
      <c r="B37" s="5" t="n"/>
      <c r="C37" s="5" t="n"/>
      <c r="D37" s="18">
        <f>IF(OR($C37="",$C$7=0),"",ROUND(IF($C37="صباحية",$C$7*$C$10/MAX($C$8,1),$C$7*$C$11/MAX($C$9,1)),0))</f>
        <v/>
      </c>
      <c r="E37" s="19" t="n"/>
      <c r="F37" s="20">
        <f>IF($D37="","",ROUND(IF($E37="",$D37,$E37)*(1+$C$16),0))</f>
        <v/>
      </c>
      <c r="G37" s="14" t="n"/>
      <c r="H37" s="21">
        <f>IF(OR($G37="",$F37=""),"",$G37-$F37)</f>
        <v/>
      </c>
      <c r="I37" s="22">
        <f>IFERROR(IF($F37="","",$G37/$F37),"")</f>
        <v/>
      </c>
      <c r="J37" s="5" t="n"/>
      <c r="K37" s="23">
        <f>IF(OR($H37="",$J37&lt;&gt;"مستوفاة"),0,IF(AND($C$17="نعم",$H$41&lt;=0),0,MIN(MAX($H37,0)*$C$6*$C$12/100*$C$13*$C$15,$C$14)))</f>
        <v/>
      </c>
      <c r="L37" s="5" t="n"/>
    </row>
    <row r="38" ht="19" customHeight="1">
      <c r="A38" s="17" t="n">
        <v>18</v>
      </c>
      <c r="B38" s="5" t="n"/>
      <c r="C38" s="5" t="n"/>
      <c r="D38" s="18">
        <f>IF(OR($C38="",$C$7=0),"",ROUND(IF($C38="صباحية",$C$7*$C$10/MAX($C$8,1),$C$7*$C$11/MAX($C$9,1)),0))</f>
        <v/>
      </c>
      <c r="E38" s="19" t="n"/>
      <c r="F38" s="20">
        <f>IF($D38="","",ROUND(IF($E38="",$D38,$E38)*(1+$C$16),0))</f>
        <v/>
      </c>
      <c r="G38" s="14" t="n"/>
      <c r="H38" s="21">
        <f>IF(OR($G38="",$F38=""),"",$G38-$F38)</f>
        <v/>
      </c>
      <c r="I38" s="22">
        <f>IFERROR(IF($F38="","",$G38/$F38),"")</f>
        <v/>
      </c>
      <c r="J38" s="5" t="n"/>
      <c r="K38" s="23">
        <f>IF(OR($H38="",$J38&lt;&gt;"مستوفاة"),0,IF(AND($C$17="نعم",$H$41&lt;=0),0,MIN(MAX($H38,0)*$C$6*$C$12/100*$C$13*$C$15,$C$14)))</f>
        <v/>
      </c>
      <c r="L38" s="5" t="n"/>
    </row>
    <row r="39" ht="19" customHeight="1">
      <c r="A39" s="17" t="n">
        <v>19</v>
      </c>
      <c r="B39" s="5" t="n"/>
      <c r="C39" s="5" t="n"/>
      <c r="D39" s="18">
        <f>IF(OR($C39="",$C$7=0),"",ROUND(IF($C39="صباحية",$C$7*$C$10/MAX($C$8,1),$C$7*$C$11/MAX($C$9,1)),0))</f>
        <v/>
      </c>
      <c r="E39" s="19" t="n"/>
      <c r="F39" s="20">
        <f>IF($D39="","",ROUND(IF($E39="",$D39,$E39)*(1+$C$16),0))</f>
        <v/>
      </c>
      <c r="G39" s="14" t="n"/>
      <c r="H39" s="21">
        <f>IF(OR($G39="",$F39=""),"",$G39-$F39)</f>
        <v/>
      </c>
      <c r="I39" s="22">
        <f>IFERROR(IF($F39="","",$G39/$F39),"")</f>
        <v/>
      </c>
      <c r="J39" s="5" t="n"/>
      <c r="K39" s="23">
        <f>IF(OR($H39="",$J39&lt;&gt;"مستوفاة"),0,IF(AND($C$17="نعم",$H$41&lt;=0),0,MIN(MAX($H39,0)*$C$6*$C$12/100*$C$13*$C$15,$C$14)))</f>
        <v/>
      </c>
      <c r="L39" s="5" t="n"/>
    </row>
    <row r="40" ht="19" customHeight="1">
      <c r="A40" s="17" t="n">
        <v>20</v>
      </c>
      <c r="B40" s="5" t="n"/>
      <c r="C40" s="5" t="n"/>
      <c r="D40" s="18">
        <f>IF(OR($C40="",$C$7=0),"",ROUND(IF($C40="صباحية",$C$7*$C$10/MAX($C$8,1),$C$7*$C$11/MAX($C$9,1)),0))</f>
        <v/>
      </c>
      <c r="E40" s="19" t="n"/>
      <c r="F40" s="20">
        <f>IF($D40="","",ROUND(IF($E40="",$D40,$E40)*(1+$C$16),0))</f>
        <v/>
      </c>
      <c r="G40" s="14" t="n"/>
      <c r="H40" s="21">
        <f>IF(OR($G40="",$F40=""),"",$G40-$F40)</f>
        <v/>
      </c>
      <c r="I40" s="22">
        <f>IFERROR(IF($F40="","",$G40/$F40),"")</f>
        <v/>
      </c>
      <c r="J40" s="5" t="n"/>
      <c r="K40" s="23">
        <f>IF(OR($H40="",$J40&lt;&gt;"مستوفاة"),0,IF(AND($C$17="نعم",$H$41&lt;=0),0,MIN(MAX($H40,0)*$C$6*$C$12/100*$C$13*$C$15,$C$14)))</f>
        <v/>
      </c>
      <c r="L40" s="5" t="n"/>
    </row>
    <row r="41">
      <c r="A41" s="24" t="n"/>
      <c r="B41" s="24" t="inlineStr">
        <is>
          <t>الإجمالي</t>
        </is>
      </c>
      <c r="C41" s="24">
        <f>COUNTA($B21:$B40)&amp;" عامل"</f>
        <v/>
      </c>
      <c r="D41" s="25">
        <f>SUM(D21:D40)</f>
        <v/>
      </c>
      <c r="E41" s="24" t="n"/>
      <c r="F41" s="25">
        <f>SUM(F21:F40)</f>
        <v/>
      </c>
      <c r="G41" s="25">
        <f>SUM(G21:G40)</f>
        <v/>
      </c>
      <c r="H41" s="25">
        <f>SUM(H21:H40)</f>
        <v/>
      </c>
      <c r="I41" s="26">
        <f>IFERROR($G41/$F41,"")</f>
        <v/>
      </c>
      <c r="J41" s="24" t="n"/>
      <c r="K41" s="25">
        <f>SUM(K21:K40)</f>
        <v/>
      </c>
      <c r="L41" s="24" t="n"/>
    </row>
    <row r="43" ht="22" customHeight="1">
      <c r="A43" s="3" t="inlineStr">
        <is>
          <t>③ ملخص المحطة — يتحدّث مع كل رقم تُدخله</t>
        </is>
      </c>
    </row>
    <row r="44" ht="30" customHeight="1">
      <c r="A44" s="16" t="inlineStr">
        <is>
          <t>#</t>
        </is>
      </c>
      <c r="B44" s="16" t="inlineStr">
        <is>
          <t>البند</t>
        </is>
      </c>
      <c r="C44" s="16" t="inlineStr">
        <is>
          <t>القيمة</t>
        </is>
      </c>
      <c r="D44" s="16" t="inlineStr"/>
      <c r="E44" s="16" t="inlineStr"/>
      <c r="F44" s="16" t="inlineStr"/>
      <c r="G44" s="16" t="inlineStr"/>
      <c r="H44" s="16" t="inlineStr"/>
      <c r="I44" s="16" t="inlineStr"/>
      <c r="J44" s="16" t="inlineStr"/>
      <c r="K44" s="16" t="inlineStr"/>
      <c r="L44" s="16" t="inlineStr">
        <is>
          <t>الدلالة</t>
        </is>
      </c>
    </row>
    <row r="45" ht="20" customHeight="1">
      <c r="A45" s="27" t="n">
        <v>1</v>
      </c>
      <c r="B45" s="28" t="inlineStr">
        <is>
          <t>الزيادة الإجمالية (زيارة/يوم)</t>
        </is>
      </c>
      <c r="C45" s="29">
        <f>$H$41</f>
        <v/>
      </c>
      <c r="D45" s="27" t="n"/>
      <c r="E45" s="27" t="n"/>
      <c r="F45" s="27" t="n"/>
      <c r="G45" s="27" t="n"/>
      <c r="H45" s="27" t="n"/>
      <c r="I45" s="27" t="n"/>
      <c r="J45" s="27" t="n"/>
      <c r="K45" s="27" t="n"/>
      <c r="L45" s="30" t="inlineStr">
        <is>
          <t>مجموع فروق العمال</t>
        </is>
      </c>
    </row>
    <row r="46" ht="20" customHeight="1">
      <c r="A46" s="27" t="n">
        <v>2</v>
      </c>
      <c r="B46" s="28" t="inlineStr">
        <is>
          <t>اللترات الإضافية شهرياً</t>
        </is>
      </c>
      <c r="C46" s="29">
        <f>$C$45*$C$6*$C$15</f>
        <v/>
      </c>
      <c r="D46" s="27" t="n"/>
      <c r="E46" s="27" t="n"/>
      <c r="F46" s="27" t="n"/>
      <c r="G46" s="27" t="n"/>
      <c r="H46" s="27" t="n"/>
      <c r="I46" s="27" t="n"/>
      <c r="J46" s="27" t="n"/>
      <c r="K46" s="27" t="n"/>
      <c r="L46" s="30" t="inlineStr">
        <is>
          <t>الزيادة × لتر/زيارة × الأيام</t>
        </is>
      </c>
    </row>
    <row r="47" ht="20" customHeight="1">
      <c r="A47" s="27" t="n">
        <v>3</v>
      </c>
      <c r="B47" s="28" t="inlineStr">
        <is>
          <t>الهامش الإضافي شهرياً (ريال)</t>
        </is>
      </c>
      <c r="C47" s="29">
        <f>$C$46*$C$12/100</f>
        <v/>
      </c>
      <c r="D47" s="27" t="n"/>
      <c r="E47" s="27" t="n"/>
      <c r="F47" s="27" t="n"/>
      <c r="G47" s="27" t="n"/>
      <c r="H47" s="27" t="n"/>
      <c r="I47" s="27" t="n"/>
      <c r="J47" s="27" t="n"/>
      <c r="K47" s="27" t="n"/>
      <c r="L47" s="30" t="inlineStr">
        <is>
          <t>قبل خصم الحافز</t>
        </is>
      </c>
    </row>
    <row r="48" ht="20" customHeight="1">
      <c r="A48" s="27" t="n">
        <v>4</v>
      </c>
      <c r="B48" s="28" t="inlineStr">
        <is>
          <t>إجمالي الحافز شهرياً (ريال)</t>
        </is>
      </c>
      <c r="C48" s="29">
        <f>$K$41</f>
        <v/>
      </c>
      <c r="D48" s="27" t="n"/>
      <c r="E48" s="27" t="n"/>
      <c r="F48" s="27" t="n"/>
      <c r="G48" s="27" t="n"/>
      <c r="H48" s="27" t="n"/>
      <c r="I48" s="27" t="n"/>
      <c r="J48" s="27" t="n"/>
      <c r="K48" s="27" t="n"/>
      <c r="L48" s="30" t="inlineStr">
        <is>
          <t>ما يُصرف للعمال</t>
        </is>
      </c>
    </row>
    <row r="49" ht="20" customHeight="1">
      <c r="A49" s="27" t="n">
        <v>5</v>
      </c>
      <c r="B49" s="28" t="inlineStr">
        <is>
          <t>صافي المكسب للشركة (ريال)</t>
        </is>
      </c>
      <c r="C49" s="31">
        <f>$C$47-$C$48</f>
        <v/>
      </c>
      <c r="D49" s="27" t="n"/>
      <c r="E49" s="27" t="n"/>
      <c r="F49" s="27" t="n"/>
      <c r="G49" s="27" t="n"/>
      <c r="H49" s="27" t="n"/>
      <c r="I49" s="27" t="n"/>
      <c r="J49" s="27" t="n"/>
      <c r="K49" s="27" t="n"/>
      <c r="L49" s="30" t="inlineStr">
        <is>
          <t>الهامش ناقص الحافز</t>
        </is>
      </c>
    </row>
    <row r="50" ht="20" customHeight="1">
      <c r="A50" s="27" t="n">
        <v>6</v>
      </c>
      <c r="B50" s="28" t="inlineStr">
        <is>
          <t>نسبة الحافز من الهامش الفعلي</t>
        </is>
      </c>
      <c r="C50" s="32">
        <f>IFERROR($C$48/$C$47,"")</f>
        <v/>
      </c>
      <c r="D50" s="27" t="n"/>
      <c r="E50" s="27" t="n"/>
      <c r="F50" s="27" t="n"/>
      <c r="G50" s="27" t="n"/>
      <c r="H50" s="27" t="n"/>
      <c r="I50" s="27" t="n"/>
      <c r="J50" s="27" t="n"/>
      <c r="K50" s="27" t="n"/>
      <c r="L50" s="30" t="inlineStr">
        <is>
          <t>تتجاوز المعتمدة إذا ربح بعض العمال وخسر غيرهم — الحافز فردي والهامش صافٍ</t>
        </is>
      </c>
    </row>
    <row r="51" ht="20" customHeight="1">
      <c r="A51" s="27" t="n">
        <v>7</v>
      </c>
      <c r="B51" s="28" t="inlineStr">
        <is>
          <t>عدد من بلغوا السقف</t>
        </is>
      </c>
      <c r="C51" s="29">
        <f>COUNTIFS($K$21:$K$40,"="&amp;$C$14)</f>
        <v/>
      </c>
      <c r="D51" s="27" t="n"/>
      <c r="E51" s="27" t="n"/>
      <c r="F51" s="27" t="n"/>
      <c r="G51" s="27" t="n"/>
      <c r="H51" s="27" t="n"/>
      <c r="I51" s="27" t="n"/>
      <c r="J51" s="27" t="n"/>
      <c r="K51" s="27" t="n"/>
      <c r="L51" s="30" t="inlineStr">
        <is>
          <t>إن ارتفع العدد فالسقف يكبح التحفيز</t>
        </is>
      </c>
    </row>
    <row r="52" ht="20" customHeight="1">
      <c r="A52" s="27" t="n">
        <v>8</v>
      </c>
      <c r="B52" s="28" t="inlineStr">
        <is>
          <t>تعديلات يدوية على خط الأساس</t>
        </is>
      </c>
      <c r="C52" s="29">
        <f>COUNTA($E$21:$E$40)</f>
        <v/>
      </c>
      <c r="D52" s="27" t="n"/>
      <c r="E52" s="27" t="n"/>
      <c r="F52" s="27" t="n"/>
      <c r="G52" s="27" t="n"/>
      <c r="H52" s="27" t="n"/>
      <c r="I52" s="27" t="n"/>
      <c r="J52" s="27" t="n"/>
      <c r="K52" s="27" t="n"/>
      <c r="L52" s="30" t="inlineStr">
        <is>
          <t>كل تعديل يحتاج مبرراً مكتوباً</t>
        </is>
      </c>
    </row>
    <row r="53">
      <c r="B53" s="33" t="inlineStr">
        <is>
          <t>إذا تجاوزت النسبة الفعلية المعتمدة فالسبب أن الحافز يُصرف على مكسب كل عامل بينما الشركة تقبض الصافي فقط — شرط «صافي محطة موجب» أعلاه يمنع الصرف في شهر خاسر.</t>
        </is>
      </c>
    </row>
    <row r="54" ht="22" customHeight="1">
      <c r="A54" s="3" t="inlineStr">
        <is>
          <t>④ ماذا لو — حرّك نسبة النمو وقارن</t>
        </is>
      </c>
    </row>
    <row r="55" ht="30" customHeight="1">
      <c r="A55" s="16" t="inlineStr">
        <is>
          <t>#</t>
        </is>
      </c>
      <c r="B55" s="16" t="inlineStr">
        <is>
          <t>السيناريو</t>
        </is>
      </c>
      <c r="C55" s="16" t="inlineStr">
        <is>
          <t>نسبة النمو</t>
        </is>
      </c>
      <c r="D55" s="16" t="inlineStr">
        <is>
          <t>زيارة/يوم إضافية</t>
        </is>
      </c>
      <c r="E55" s="16" t="inlineStr">
        <is>
          <t>لترات شهرياً</t>
        </is>
      </c>
      <c r="F55" s="16" t="inlineStr">
        <is>
          <t>الهامش الإضافي</t>
        </is>
      </c>
      <c r="G55" s="16" t="inlineStr">
        <is>
          <t>الحافز المتوقع</t>
        </is>
      </c>
      <c r="H55" s="16" t="inlineStr">
        <is>
          <t>صافي المكسب</t>
        </is>
      </c>
      <c r="I55" s="16" t="inlineStr"/>
      <c r="J55" s="16" t="inlineStr"/>
      <c r="K55" s="16" t="inlineStr"/>
      <c r="L55" s="16" t="inlineStr">
        <is>
          <t>الدلالة</t>
        </is>
      </c>
    </row>
    <row r="56" ht="20" customHeight="1">
      <c r="A56" s="27" t="n">
        <v>1</v>
      </c>
      <c r="B56" s="28" t="inlineStr">
        <is>
          <t>متحفظ</t>
        </is>
      </c>
      <c r="C56" s="13" t="n">
        <v>0.03</v>
      </c>
      <c r="D56" s="29">
        <f>ROUND($D$41*$C56,0)</f>
        <v/>
      </c>
      <c r="E56" s="29">
        <f>$D56*$C$6*$C$15</f>
        <v/>
      </c>
      <c r="F56" s="29">
        <f>$E56*$C$12/100</f>
        <v/>
      </c>
      <c r="G56" s="29">
        <f>MIN($F56*$C$13,COUNTA($B$21:$B$40)*$C$14)</f>
        <v/>
      </c>
      <c r="H56" s="31">
        <f>$F56-$G56</f>
        <v/>
      </c>
      <c r="I56" s="27" t="n"/>
      <c r="J56" s="27" t="n"/>
      <c r="K56" s="27" t="n"/>
      <c r="L56" s="30" t="inlineStr">
        <is>
          <t>زيادة يومية بسيطة تُدرَك بالانضباط وحده</t>
        </is>
      </c>
    </row>
    <row r="57" ht="20" customHeight="1">
      <c r="A57" s="27" t="n">
        <v>2</v>
      </c>
      <c r="B57" s="28" t="inlineStr">
        <is>
          <t>أساسي</t>
        </is>
      </c>
      <c r="C57" s="13" t="n">
        <v>0.05</v>
      </c>
      <c r="D57" s="29">
        <f>ROUND($D$41*$C57,0)</f>
        <v/>
      </c>
      <c r="E57" s="29">
        <f>$D57*$C$6*$C$15</f>
        <v/>
      </c>
      <c r="F57" s="29">
        <f>$E57*$C$12/100</f>
        <v/>
      </c>
      <c r="G57" s="29">
        <f>MIN($F57*$C$13,COUNTA($B$21:$B$40)*$C$14)</f>
        <v/>
      </c>
      <c r="H57" s="31">
        <f>$F57-$G57</f>
        <v/>
      </c>
      <c r="I57" s="27" t="n"/>
      <c r="J57" s="27" t="n"/>
      <c r="K57" s="27" t="n"/>
      <c r="L57" s="30" t="inlineStr">
        <is>
          <t>النسبة المعتمدة في النموذج أعلاه</t>
        </is>
      </c>
    </row>
    <row r="58" ht="20" customHeight="1">
      <c r="A58" s="27" t="n">
        <v>3</v>
      </c>
      <c r="B58" s="28" t="inlineStr">
        <is>
          <t>طموح</t>
        </is>
      </c>
      <c r="C58" s="13" t="n">
        <v>0.1</v>
      </c>
      <c r="D58" s="29">
        <f>ROUND($D$41*$C58,0)</f>
        <v/>
      </c>
      <c r="E58" s="29">
        <f>$D58*$C$6*$C$15</f>
        <v/>
      </c>
      <c r="F58" s="29">
        <f>$E58*$C$12/100</f>
        <v/>
      </c>
      <c r="G58" s="29">
        <f>MIN($F58*$C$13,COUNTA($B$21:$B$40)*$C$14)</f>
        <v/>
      </c>
      <c r="H58" s="31">
        <f>$F58-$G58</f>
        <v/>
      </c>
      <c r="I58" s="27" t="n"/>
      <c r="J58" s="27" t="n"/>
      <c r="K58" s="27" t="n"/>
      <c r="L58" s="30" t="inlineStr">
        <is>
          <t>يتطلب حملة ميدانية مصاحبة لا انضباطاً فقط</t>
        </is>
      </c>
    </row>
    <row r="59">
      <c r="B59" s="7" t="inlineStr">
        <is>
          <t>الخانة البرتقالية تعني أن السقف بلغ حدّه — الزيادة بعده تذهب كاملة للشركة</t>
        </is>
      </c>
    </row>
    <row r="61" ht="22" customHeight="1">
      <c r="A61" s="3" t="inlineStr">
        <is>
          <t>⑤ بوابة الجودة — تُقيَّم شهرياً لكل عامل</t>
        </is>
      </c>
    </row>
    <row r="62" ht="30" customHeight="1">
      <c r="A62" s="16" t="inlineStr">
        <is>
          <t>#</t>
        </is>
      </c>
      <c r="B62" s="16" t="inlineStr">
        <is>
          <t>الشرط</t>
        </is>
      </c>
      <c r="C62" s="16" t="inlineStr">
        <is>
          <t>المقياس</t>
        </is>
      </c>
      <c r="D62" s="16" t="inlineStr">
        <is>
          <t>الحد</t>
        </is>
      </c>
      <c r="E62" s="16" t="inlineStr"/>
      <c r="F62" s="16" t="inlineStr"/>
      <c r="G62" s="16" t="inlineStr"/>
      <c r="H62" s="16" t="inlineStr"/>
      <c r="I62" s="16" t="inlineStr"/>
      <c r="J62" s="16" t="inlineStr"/>
      <c r="K62" s="16" t="inlineStr"/>
      <c r="L62" s="16" t="inlineStr">
        <is>
          <t>لماذا</t>
        </is>
      </c>
    </row>
    <row r="63" ht="21" customHeight="1">
      <c r="A63" s="27" t="n">
        <v>1</v>
      </c>
      <c r="B63" s="28" t="inlineStr">
        <is>
          <t>لا شكوى مثبتة</t>
        </is>
      </c>
      <c r="C63" s="27" t="inlineStr">
        <is>
          <t>شكاوى العامل في الشهر</t>
        </is>
      </c>
      <c r="D63" s="27" t="inlineStr">
        <is>
          <t>صفر</t>
        </is>
      </c>
      <c r="E63" s="27" t="n"/>
      <c r="F63" s="27" t="n"/>
      <c r="G63" s="27" t="n"/>
      <c r="H63" s="27" t="n"/>
      <c r="I63" s="27" t="n"/>
      <c r="J63" s="27" t="n"/>
      <c r="K63" s="27" t="n"/>
      <c r="L63" s="30" t="inlineStr">
        <is>
          <t>الحافز مكافأة أداء لا مكافأة حجم</t>
        </is>
      </c>
    </row>
    <row r="64" ht="21" customHeight="1">
      <c r="A64" s="27" t="n">
        <v>2</v>
      </c>
      <c r="B64" s="28" t="inlineStr">
        <is>
          <t>زمن التعبئة</t>
        </is>
      </c>
      <c r="C64" s="27" t="inlineStr">
        <is>
          <t>متوسط الزمن في الذروة</t>
        </is>
      </c>
      <c r="D64" s="27" t="inlineStr">
        <is>
          <t>≤ الحد المعتمد</t>
        </is>
      </c>
      <c r="E64" s="27" t="n"/>
      <c r="F64" s="27" t="n"/>
      <c r="G64" s="27" t="n"/>
      <c r="H64" s="27" t="n"/>
      <c r="I64" s="27" t="n"/>
      <c r="J64" s="27" t="n"/>
      <c r="K64" s="27" t="n"/>
      <c r="L64" s="30" t="inlineStr">
        <is>
          <t>سرعة الخدمة هي ما يطلبه العميل</t>
        </is>
      </c>
    </row>
    <row r="65" ht="21" customHeight="1">
      <c r="A65" s="27" t="n">
        <v>3</v>
      </c>
      <c r="B65" s="28" t="inlineStr">
        <is>
          <t>الحضور في ساعات الذروة</t>
        </is>
      </c>
      <c r="C65" s="27" t="inlineStr">
        <is>
          <t>نسبة الحضور في ساعات المحطة</t>
        </is>
      </c>
      <c r="D65" s="27" t="inlineStr">
        <is>
          <t>100%</t>
        </is>
      </c>
      <c r="E65" s="27" t="n"/>
      <c r="F65" s="27" t="n"/>
      <c r="G65" s="27" t="n"/>
      <c r="H65" s="27" t="n"/>
      <c r="I65" s="27" t="n"/>
      <c r="J65" s="27" t="n"/>
      <c r="K65" s="27" t="n"/>
      <c r="L65" s="30" t="inlineStr">
        <is>
          <t>ساعات الذروة معروفة لكل محطة — انظر خانة المحطة أعلاه</t>
        </is>
      </c>
    </row>
    <row r="66" ht="21" customHeight="1">
      <c r="A66" s="27" t="n">
        <v>4</v>
      </c>
      <c r="B66" s="28" t="inlineStr">
        <is>
          <t>النظافة والمظهر</t>
        </is>
      </c>
      <c r="C66" s="27" t="inlineStr">
        <is>
          <t>تقييم المشرف الأسبوعي</t>
        </is>
      </c>
      <c r="D66" s="27" t="inlineStr">
        <is>
          <t>مقبول فأعلى</t>
        </is>
      </c>
      <c r="E66" s="27" t="n"/>
      <c r="F66" s="27" t="n"/>
      <c r="G66" s="27" t="n"/>
      <c r="H66" s="27" t="n"/>
      <c r="I66" s="27" t="n"/>
      <c r="J66" s="27" t="n"/>
      <c r="K66" s="27" t="n"/>
      <c r="L66" s="30" t="inlineStr">
        <is>
          <t>أول ما يراه العميل</t>
        </is>
      </c>
    </row>
    <row r="68">
      <c r="B68" s="34" t="inlineStr">
        <is>
          <t>كيف تستخدم الملف</t>
        </is>
      </c>
    </row>
    <row r="69" ht="16" customHeight="1">
      <c r="C69" s="35" t="inlineStr">
        <is>
          <t>•  اختر المحطة ← تُعبَّأ الزيارات وحصص الورديات وعدد العمال من بيانات التشغيل</t>
        </is>
      </c>
    </row>
    <row r="70" ht="16" customHeight="1">
      <c r="C70" s="35" t="inlineStr">
        <is>
          <t>•  اختر وردية العامل ← يُشتق خط أساسه تلقائياً من حصة ورديته ÷ عدد عمالها</t>
        </is>
      </c>
    </row>
    <row r="71" ht="16" customHeight="1">
      <c r="C71" s="35" t="inlineStr">
        <is>
          <t>•  لا تعبّئ إلا: الاسم · الوردية · الفعلي · بوابة الجودة</t>
        </is>
      </c>
    </row>
    <row r="72" ht="16" customHeight="1">
      <c r="C72" s="35" t="inlineStr">
        <is>
          <t>•  الأصفر مُدخل · الرمادي محسوب · الأخضر مسحوب من ورقة البيانات</t>
        </is>
      </c>
    </row>
    <row r="74">
      <c r="B74" s="34" t="inlineStr">
        <is>
          <t>لماذا يُشتق خط الأساس ولا يُقدَّر</t>
        </is>
      </c>
    </row>
    <row r="75" ht="16" customHeight="1">
      <c r="C75" s="35" t="inlineStr">
        <is>
          <t>•  خط الأساس المتساهل هو الطريقة الأولى لتفريغ الحافز من معناه</t>
        </is>
      </c>
    </row>
    <row r="76" ht="16" customHeight="1">
      <c r="C76" s="35" t="inlineStr">
        <is>
          <t>•  عامل المساء يخدم زيارات أكثر من عامل الصباح بنفس العدد — الاشتقاق ينصفه</t>
        </is>
      </c>
    </row>
    <row r="77" ht="16" customHeight="1">
      <c r="C77" s="35" t="inlineStr">
        <is>
          <t>•  خانة «تعديل معتمد» تُظهر أي تخفيض بالأحمر ويُحصى في الملخص</t>
        </is>
      </c>
    </row>
    <row r="79">
      <c r="B79" s="34" t="inlineStr">
        <is>
          <t>قواعد الاحتساب</t>
        </is>
      </c>
    </row>
    <row r="80" ht="16" customHeight="1">
      <c r="C80" s="35" t="inlineStr">
        <is>
          <t>•  الحافز على الزيادة فوق المستهدف فقط — لا على الحجم الكلي</t>
        </is>
      </c>
    </row>
    <row r="81" ht="16" customHeight="1">
      <c r="C81" s="35" t="inlineStr">
        <is>
          <t>•  لا يُصرف إطلاقاً إذا كانت بوابة الجودة غير مستوفاة</t>
        </is>
      </c>
    </row>
    <row r="82" ht="16" customHeight="1">
      <c r="C82" s="35" t="inlineStr">
        <is>
          <t>•  سقف ١٠٠ ريال شهرياً لكل عامل يمنع المبالغة في شهر استثنائي</t>
        </is>
      </c>
    </row>
    <row r="83" ht="16" customHeight="1">
      <c r="C83" s="35" t="inlineStr">
        <is>
          <t>•  الفارق السالب لا يُخصم — لكنه لا يُكافأ</t>
        </is>
      </c>
    </row>
    <row r="85">
      <c r="B85" s="36" t="inlineStr">
        <is>
          <t>ما يُبطل النموذج</t>
        </is>
      </c>
    </row>
    <row r="86" ht="16" customHeight="1">
      <c r="C86" s="35" t="inlineStr">
        <is>
          <t>•  تعديل خط الأساس بالخفض دون مبرر مكتوب</t>
        </is>
      </c>
    </row>
    <row r="87" ht="16" customHeight="1">
      <c r="C87" s="35" t="inlineStr">
        <is>
          <t>•  غياب قياس زمن الخدمة يفرّغ بوابة الجودة من معناها</t>
        </is>
      </c>
    </row>
    <row r="88" ht="16" customHeight="1">
      <c r="C88" s="35" t="inlineStr">
        <is>
          <t>•  الصرف في شهر صافيه سالب — الحافز فردي والشركة تقبض الصافي</t>
        </is>
      </c>
    </row>
  </sheetData>
  <mergeCells count="22">
    <mergeCell ref="C76:L76"/>
    <mergeCell ref="C71:L71"/>
    <mergeCell ref="A54:L54"/>
    <mergeCell ref="C70:L70"/>
    <mergeCell ref="C82:L82"/>
    <mergeCell ref="C81:L81"/>
    <mergeCell ref="A3:L3"/>
    <mergeCell ref="C72:L72"/>
    <mergeCell ref="A2:L2"/>
    <mergeCell ref="C69:L69"/>
    <mergeCell ref="C87:L87"/>
    <mergeCell ref="C77:L77"/>
    <mergeCell ref="C83:L83"/>
    <mergeCell ref="C86:L86"/>
    <mergeCell ref="B53:L53"/>
    <mergeCell ref="A43:L43"/>
    <mergeCell ref="A19:L19"/>
    <mergeCell ref="C88:L88"/>
    <mergeCell ref="C80:L80"/>
    <mergeCell ref="C75:L75"/>
    <mergeCell ref="A1:L1"/>
    <mergeCell ref="A61:L61"/>
  </mergeCells>
  <conditionalFormatting sqref="H21:H4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21:I40">
    <cfRule type="dataBar" priority="3">
      <dataBar>
        <cfvo type="num" val="0"/>
        <cfvo type="num" val="1.3"/>
        <color rgb="00F5831F"/>
      </dataBar>
    </cfRule>
  </conditionalFormatting>
  <conditionalFormatting sqref="K21:K40">
    <cfRule type="cellIs" priority="4" operator="greaterThan" dxfId="2">
      <formula>0</formula>
    </cfRule>
    <cfRule type="expression" priority="8" dxfId="3">
      <formula>AND($K21&gt;0,$K21=$C$14)</formula>
    </cfRule>
  </conditionalFormatting>
  <conditionalFormatting sqref="J21:J40">
    <cfRule type="expression" priority="5" dxfId="4">
      <formula>$J21="مستوفاة"</formula>
    </cfRule>
    <cfRule type="expression" priority="6" dxfId="5">
      <formula>$J21="غير مستوفاة"</formula>
    </cfRule>
  </conditionalFormatting>
  <conditionalFormatting sqref="B21:B40">
    <cfRule type="expression" priority="7" dxfId="6">
      <formula>AND($H21&gt;0,$J21="غير مستوفاة")</formula>
    </cfRule>
  </conditionalFormatting>
  <conditionalFormatting sqref="E21:E40">
    <cfRule type="expression" priority="9" dxfId="5">
      <formula>AND($E21&lt;&gt;"",$E21&lt;$D21)</formula>
    </cfRule>
  </conditionalFormatting>
  <conditionalFormatting sqref="C49">
    <cfRule type="cellIs" priority="10" operator="greaterThan" dxfId="2">
      <formula>0</formula>
    </cfRule>
    <cfRule type="cellIs" priority="11" operator="lessThan" dxfId="5">
      <formula>0</formula>
    </cfRule>
  </conditionalFormatting>
  <conditionalFormatting sqref="C52">
    <cfRule type="cellIs" priority="12" operator="greaterThan" dxfId="3">
      <formula>0</formula>
    </cfRule>
  </conditionalFormatting>
  <conditionalFormatting sqref="C50">
    <cfRule type="expression" priority="13" dxfId="5">
      <formula>$C$50&gt;$C$13</formula>
    </cfRule>
  </conditionalFormatting>
  <conditionalFormatting sqref="H56:H58">
    <cfRule type="colorScale" priority="14">
      <colorScale>
        <cfvo type="min"/>
        <cfvo type="max"/>
        <color rgb="00FFFFFF"/>
        <color rgb="00C6E0B4"/>
      </colorScale>
    </cfRule>
  </conditionalFormatting>
  <conditionalFormatting sqref="G56:G58">
    <cfRule type="expression" priority="15" dxfId="3">
      <formula>$G56&gt;=(COUNTA($B$21:$B$40))*$C$14*0.99</formula>
    </cfRule>
  </conditionalFormatting>
  <dataValidations count="4">
    <dataValidation sqref="C4" showDropDown="0" showInputMessage="0" showErrorMessage="0" allowBlank="1" errorTitle="قيمة غير معتمدة" error="اختر محطة من القائمة" type="list">
      <formula1>='بيانات الورديات'!$B$4:$B$8</formula1>
    </dataValidation>
    <dataValidation sqref="C17" showDropDown="0" showInputMessage="0" showErrorMessage="0" allowBlank="0" type="list">
      <formula1>"نعم,لا"</formula1>
    </dataValidation>
    <dataValidation sqref="C21 C22 C23 C24 C25 C26 C27 C28 C29 C30 C31 C32 C33 C34 C35 C36 C37 C38 C39 C40" showDropDown="0" showInputMessage="0" showErrorMessage="0" allowBlank="1" type="list">
      <formula1>='بيانات الورديات'!$T$4:$T$5</formula1>
    </dataValidation>
    <dataValidation sqref="J21 J22 J23 J24 J25 J26 J27 J28 J29 J30 J31 J32 J33 J34 J35 J36 J37 J38 J39 J40" showDropDown="0" showInputMessage="0" showErrorMessage="0" allowBlank="1" errorTitle="قيمة غير معتمدة" error="اكتب: مستوفاة أو غير مستوفاة" type="list">
      <formula1>='بيانات الورديات'!$U$4:$U$5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7" customWidth="1" min="2" max="2"/>
    <col width="11" customWidth="1" min="3" max="3"/>
    <col width="11" customWidth="1" min="4" max="4"/>
    <col width="10" customWidth="1" min="5" max="5"/>
    <col width="10" customWidth="1" min="6" max="6"/>
    <col width="11" customWidth="1" min="7" max="7"/>
    <col width="11" customWidth="1" min="8" max="8"/>
    <col width="11" customWidth="1" min="9" max="9"/>
    <col width="11" customWidth="1" min="10" max="10"/>
    <col width="10" customWidth="1" min="11" max="11"/>
    <col width="34" customWidth="1" min="12" max="12"/>
  </cols>
  <sheetData>
    <row r="1" ht="26" customHeight="1">
      <c r="A1" s="1" t="inlineStr">
        <is>
          <t>مطابقة الوردية مع الطلب</t>
        </is>
      </c>
    </row>
    <row r="2" ht="16" customHeight="1">
      <c r="A2" s="2" t="inlineStr">
        <is>
          <t>كل المحطات توزّع العمالة نصفين متساويين — بينما الطلب ليس نصفين</t>
        </is>
      </c>
    </row>
    <row r="3" ht="30" customHeight="1">
      <c r="A3" s="16" t="inlineStr">
        <is>
          <t>#</t>
        </is>
      </c>
      <c r="B3" s="16" t="inlineStr">
        <is>
          <t>المحطة</t>
        </is>
      </c>
      <c r="C3" s="16" t="inlineStr">
        <is>
          <t>زيارات الصباح</t>
        </is>
      </c>
      <c r="D3" s="16" t="inlineStr">
        <is>
          <t>زيارات المساء</t>
        </is>
      </c>
      <c r="E3" s="16" t="inlineStr">
        <is>
          <t>عمال صباحاً</t>
        </is>
      </c>
      <c r="F3" s="16" t="inlineStr">
        <is>
          <t>عمال مساءً</t>
        </is>
      </c>
      <c r="G3" s="16" t="inlineStr">
        <is>
          <t>حصة العمالة مساءً</t>
        </is>
      </c>
      <c r="H3" s="16" t="inlineStr">
        <is>
          <t>الفجوة</t>
        </is>
      </c>
      <c r="I3" s="16" t="inlineStr">
        <is>
          <t>حِمل عامل الصباح</t>
        </is>
      </c>
      <c r="J3" s="16" t="inlineStr">
        <is>
          <t>حِمل عامل المساء</t>
        </is>
      </c>
      <c r="K3" s="16" t="inlineStr">
        <is>
          <t>الفارق</t>
        </is>
      </c>
      <c r="L3" s="16" t="inlineStr">
        <is>
          <t>القرار</t>
        </is>
      </c>
    </row>
    <row r="4" ht="22" customHeight="1">
      <c r="A4" s="27" t="n">
        <v>1</v>
      </c>
      <c r="B4" s="28" t="inlineStr">
        <is>
          <t>النورية</t>
        </is>
      </c>
      <c r="C4" s="29" t="n">
        <v>2087</v>
      </c>
      <c r="D4" s="29" t="n">
        <v>2174</v>
      </c>
      <c r="E4" s="37" t="n">
        <v>11</v>
      </c>
      <c r="F4" s="37" t="n">
        <v>9</v>
      </c>
      <c r="G4" s="32" t="n">
        <v>0.45</v>
      </c>
      <c r="H4" s="38" t="n">
        <v>0.06009999999999999</v>
      </c>
      <c r="I4" s="29" t="n">
        <v>190</v>
      </c>
      <c r="J4" s="29" t="n">
        <v>242</v>
      </c>
      <c r="K4" s="38" t="n">
        <v>0.2726179946020728</v>
      </c>
      <c r="L4" s="30" t="inlineStr">
        <is>
          <t>انقل 1 عامل من الصباح إلى المساء</t>
        </is>
      </c>
    </row>
    <row r="5" ht="22" customHeight="1">
      <c r="A5" s="27" t="n">
        <v>2</v>
      </c>
      <c r="B5" s="28" t="inlineStr">
        <is>
          <t>عرفات الشوقية</t>
        </is>
      </c>
      <c r="C5" s="29" t="n">
        <v>567</v>
      </c>
      <c r="D5" s="29" t="n">
        <v>702</v>
      </c>
      <c r="E5" s="37" t="n">
        <v>3</v>
      </c>
      <c r="F5" s="37" t="n">
        <v>3</v>
      </c>
      <c r="G5" s="32" t="n">
        <v>0.5</v>
      </c>
      <c r="H5" s="38" t="n">
        <v>0.05289999999999995</v>
      </c>
      <c r="I5" s="29" t="n">
        <v>189</v>
      </c>
      <c r="J5" s="29" t="n">
        <v>234</v>
      </c>
      <c r="K5" s="38" t="n">
        <v>0.2366360993066428</v>
      </c>
      <c r="L5" s="30" t="inlineStr">
        <is>
          <t>الفجوة أقل من عامل — عالجها بمواعيد الدخول لا بالعدد</t>
        </is>
      </c>
    </row>
    <row r="6" ht="22" customHeight="1">
      <c r="A6" s="27" t="n">
        <v>3</v>
      </c>
      <c r="B6" s="28" t="inlineStr">
        <is>
          <t>المعيصم</t>
        </is>
      </c>
      <c r="C6" s="29" t="n">
        <v>429</v>
      </c>
      <c r="D6" s="29" t="n">
        <v>435</v>
      </c>
      <c r="E6" s="37" t="n">
        <v>2</v>
      </c>
      <c r="F6" s="37" t="n">
        <v>2</v>
      </c>
      <c r="G6" s="32" t="n">
        <v>0.5</v>
      </c>
      <c r="H6" s="38" t="n">
        <v>0.003600000000000048</v>
      </c>
      <c r="I6" s="29" t="n">
        <v>214</v>
      </c>
      <c r="J6" s="29" t="n">
        <v>218</v>
      </c>
      <c r="K6" s="38" t="n">
        <v>0.01450443190975026</v>
      </c>
      <c r="L6" s="30" t="inlineStr">
        <is>
          <t>الفجوة أقل من عامل — عالجها بمواعيد الدخول لا بالعدد</t>
        </is>
      </c>
    </row>
    <row r="7" ht="22" customHeight="1">
      <c r="A7" s="27" t="n">
        <v>4</v>
      </c>
      <c r="B7" s="28" t="inlineStr">
        <is>
          <t>الفردوس</t>
        </is>
      </c>
      <c r="C7" s="29" t="n">
        <v>356</v>
      </c>
      <c r="D7" s="29" t="n">
        <v>434</v>
      </c>
      <c r="E7" s="37" t="n">
        <v>2</v>
      </c>
      <c r="F7" s="37" t="n">
        <v>2</v>
      </c>
      <c r="G7" s="32" t="n">
        <v>0.5</v>
      </c>
      <c r="H7" s="38" t="n">
        <v>0.04890000000000005</v>
      </c>
      <c r="I7" s="29" t="n">
        <v>178</v>
      </c>
      <c r="J7" s="29" t="n">
        <v>217</v>
      </c>
      <c r="K7" s="38" t="n">
        <v>0.2168033695411218</v>
      </c>
      <c r="L7" s="30" t="inlineStr">
        <is>
          <t>الفجوة أقل من عامل — عالجها بمواعيد الدخول لا بالعدد</t>
        </is>
      </c>
    </row>
    <row r="8" ht="22" customHeight="1">
      <c r="A8" s="27" t="n">
        <v>5</v>
      </c>
      <c r="B8" s="28" t="inlineStr">
        <is>
          <t>عرفات الشرائع</t>
        </is>
      </c>
      <c r="C8" s="29" t="n">
        <v>194</v>
      </c>
      <c r="D8" s="29" t="n">
        <v>249</v>
      </c>
      <c r="E8" s="37" t="n">
        <v>2</v>
      </c>
      <c r="F8" s="37" t="n">
        <v>2</v>
      </c>
      <c r="G8" s="32" t="n">
        <v>0.5</v>
      </c>
      <c r="H8" s="38" t="n">
        <v>0.06100000000000005</v>
      </c>
      <c r="I8" s="29" t="n">
        <v>97</v>
      </c>
      <c r="J8" s="29" t="n">
        <v>124</v>
      </c>
      <c r="K8" s="38" t="n">
        <v>0.2779043280182234</v>
      </c>
      <c r="L8" s="30" t="inlineStr">
        <is>
          <t>الفجوة أقل من عامل — عالجها بمواعيد الدخول لا بالعدد</t>
        </is>
      </c>
    </row>
    <row r="10">
      <c r="B10" s="34" t="inlineStr">
        <is>
          <t>ما تقوله الأرقام</t>
        </is>
      </c>
    </row>
    <row r="11" ht="16" customHeight="1">
      <c r="C11" s="35" t="inlineStr">
        <is>
          <t>•  عامل المساء يخدم ٢٢–٢٨٪ زيارات أكثر من عامل الصباح في أربع محطات من خمس</t>
        </is>
      </c>
    </row>
    <row r="12" ht="16" customHeight="1">
      <c r="C12" s="35" t="inlineStr">
        <is>
          <t>•  السبب أن العمالة موزّعة ٥٠/٥٠ بينما الطلب المسائي ٥٥–٥٦٪ من الزيارات</t>
        </is>
      </c>
    </row>
    <row r="13" ht="16" customHeight="1">
      <c r="C13" s="35" t="inlineStr">
        <is>
          <t>•  المعيصم وحدها متوازنة — لأن ذروتها ٥ إلى ٧ مساءً لا بعد التاسعة</t>
        </is>
      </c>
    </row>
    <row r="15">
      <c r="B15" s="34" t="inlineStr">
        <is>
          <t>لماذا يهم هذا في نموذج الحافز</t>
        </is>
      </c>
    </row>
    <row r="16" ht="16" customHeight="1">
      <c r="C16" s="35" t="inlineStr">
        <is>
          <t>•  خط أساس موحّد لكل العمال يظلم عامل المساء ويكافئ عامل الصباح على أقل جهد</t>
        </is>
      </c>
    </row>
    <row r="17" ht="16" customHeight="1">
      <c r="C17" s="35" t="inlineStr">
        <is>
          <t>•  لذلك يُشتق خط الأساس من حصة الوردية الفعلية — لا من متوسط المحطة</t>
        </is>
      </c>
    </row>
    <row r="18" ht="16" customHeight="1">
      <c r="C18" s="35" t="inlineStr">
        <is>
          <t>•  الاشتقاق يجعل ٥٪ نمو تعني الجهد نفسه على الورديتين</t>
        </is>
      </c>
    </row>
    <row r="20">
      <c r="B20" s="36" t="inlineStr">
        <is>
          <t>حدود ما يمكن تنفيذه</t>
        </is>
      </c>
    </row>
    <row r="21" ht="16" customHeight="1">
      <c r="C21" s="35" t="inlineStr">
        <is>
          <t>•  النورية وحدها فيها عمالة تكفي لنقل عامل كامل (٢٠ عاملاً على المضخات)</t>
        </is>
      </c>
    </row>
    <row r="22" ht="16" customHeight="1">
      <c r="C22" s="35" t="inlineStr">
        <is>
          <t>•  بقية المحطات فجوتها أقل من عامل — الحل تعديل مواعيد الدخول لا زيادة العدد</t>
        </is>
      </c>
    </row>
    <row r="23" ht="16" customHeight="1">
      <c r="C23" s="35" t="inlineStr">
        <is>
          <t>•  تكديس الورديات بين ٨ و١٠ مساءً يغطي الذروة دون تكلفة إضافية</t>
        </is>
      </c>
    </row>
  </sheetData>
  <mergeCells count="11">
    <mergeCell ref="C13:L13"/>
    <mergeCell ref="A2:L2"/>
    <mergeCell ref="C23:L23"/>
    <mergeCell ref="C22:L22"/>
    <mergeCell ref="C18:L18"/>
    <mergeCell ref="A1:L1"/>
    <mergeCell ref="C17:L17"/>
    <mergeCell ref="C21:L21"/>
    <mergeCell ref="C12:L12"/>
    <mergeCell ref="C16:L16"/>
    <mergeCell ref="C11:L11"/>
  </mergeCells>
  <conditionalFormatting sqref="H4:H8">
    <cfRule type="cellIs" priority="1" operator="greaterThan" dxfId="5">
      <formula>0.02</formula>
    </cfRule>
  </conditionalFormatting>
  <conditionalFormatting sqref="K4:K8">
    <cfRule type="colorScale" priority="2">
      <colorScale>
        <cfvo type="min"/>
        <cfvo type="max"/>
        <color rgb="00FFFFFF"/>
        <color rgb="00F2DAD4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U1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7" customWidth="1" min="2" max="2"/>
    <col width="10" customWidth="1" min="3" max="3"/>
    <col width="11" customWidth="1" min="4" max="4"/>
    <col width="12" customWidth="1" min="5" max="5"/>
    <col width="12" customWidth="1" min="6" max="6"/>
    <col width="11" customWidth="1" min="7" max="7"/>
    <col width="11" customWidth="1" min="8" max="8"/>
    <col width="20" customWidth="1" min="9" max="9"/>
    <col width="12" customWidth="1" min="10" max="10"/>
    <col width="9" customWidth="1" min="11" max="11"/>
    <col width="9" customWidth="1" min="12" max="12"/>
    <col width="15" customWidth="1" min="13" max="13"/>
    <col width="9" customWidth="1" min="14" max="14"/>
    <col width="9" customWidth="1" min="15" max="15"/>
    <col width="16" customWidth="1" min="16" max="16"/>
    <col width="11" customWidth="1" min="17" max="17"/>
    <col width="12" customWidth="1" min="20" max="20"/>
    <col width="14" customWidth="1" min="21" max="21"/>
  </cols>
  <sheetData>
    <row r="1" ht="26" customHeight="1">
      <c r="A1" s="1" t="inlineStr">
        <is>
          <t>بيانات المحطات المرجعية</t>
        </is>
      </c>
    </row>
    <row r="2" ht="16" customHeight="1">
      <c r="A2" s="2" t="inlineStr">
        <is>
          <t>من تقرير المطابقة التشغيلية — يناير إلى يوليو ٢٠٢٦ (٢١٢ يوماً فعلياً)</t>
        </is>
      </c>
    </row>
    <row r="3" ht="30" customHeight="1">
      <c r="A3" s="16" t="inlineStr">
        <is>
          <t>#</t>
        </is>
      </c>
      <c r="B3" s="16" t="inlineStr">
        <is>
          <t>المحطة</t>
        </is>
      </c>
      <c r="C3" s="16" t="inlineStr">
        <is>
          <t>لتر/زيارة</t>
        </is>
      </c>
      <c r="D3" s="16" t="inlineStr">
        <is>
          <t>زيارات/يوم</t>
        </is>
      </c>
      <c r="E3" s="16" t="inlineStr">
        <is>
          <t>عمال صباحية</t>
        </is>
      </c>
      <c r="F3" s="16" t="inlineStr">
        <is>
          <t>عمال مسائية</t>
        </is>
      </c>
      <c r="G3" s="16" t="inlineStr">
        <is>
          <t>حصة الصباح</t>
        </is>
      </c>
      <c r="H3" s="16" t="inlineStr">
        <is>
          <t>حصة المساء</t>
        </is>
      </c>
      <c r="I3" s="16" t="inlineStr">
        <is>
          <t>ساعات الذروة</t>
        </is>
      </c>
      <c r="J3" s="16" t="inlineStr">
        <is>
          <t>الطاقم المعياري</t>
        </is>
      </c>
      <c r="K3" s="16" t="inlineStr">
        <is>
          <t>الفعلي</t>
        </is>
      </c>
      <c r="L3" s="16" t="inlineStr">
        <is>
          <t>الكود</t>
        </is>
      </c>
      <c r="M3" s="16" t="inlineStr">
        <is>
          <t>اسم المقياس</t>
        </is>
      </c>
      <c r="N3" s="16" t="inlineStr">
        <is>
          <t>العقد</t>
        </is>
      </c>
      <c r="O3" s="16" t="inlineStr">
        <is>
          <t>المضخات</t>
        </is>
      </c>
      <c r="P3" s="16" t="inlineStr">
        <is>
          <t>هامش المساهمة (هللة/لتر)</t>
        </is>
      </c>
      <c r="Q3" s="16" t="inlineStr">
        <is>
          <t>نموذج العمل</t>
        </is>
      </c>
      <c r="T3" s="39" t="inlineStr">
        <is>
          <t>الورديات</t>
        </is>
      </c>
      <c r="U3" s="39" t="inlineStr">
        <is>
          <t>بوابة الجودة</t>
        </is>
      </c>
    </row>
    <row r="4" ht="20" customHeight="1">
      <c r="A4" s="27" t="n">
        <v>1</v>
      </c>
      <c r="B4" s="28" t="inlineStr">
        <is>
          <t>النورية</t>
        </is>
      </c>
      <c r="C4" s="40" t="n">
        <v>30.56</v>
      </c>
      <c r="D4" s="29" t="n">
        <v>4261</v>
      </c>
      <c r="E4" s="37" t="n">
        <v>11</v>
      </c>
      <c r="F4" s="37" t="n">
        <v>9</v>
      </c>
      <c r="G4" s="32" t="n">
        <v>0.4899</v>
      </c>
      <c r="H4" s="32" t="n">
        <v>0.5101</v>
      </c>
      <c r="I4" s="27" t="inlineStr">
        <is>
          <t>17:00 · 21:00 · 22:00</t>
        </is>
      </c>
      <c r="J4" s="37" t="n">
        <v>32</v>
      </c>
      <c r="K4" s="37" t="n">
        <v>34</v>
      </c>
      <c r="L4" s="27" t="inlineStr">
        <is>
          <t>MK007</t>
        </is>
      </c>
      <c r="M4" s="27" t="inlineStr">
        <is>
          <t>العمرة</t>
        </is>
      </c>
      <c r="N4" s="27" t="inlineStr">
        <is>
          <t>ايجار</t>
        </is>
      </c>
      <c r="O4" s="37" t="n">
        <v>18</v>
      </c>
      <c r="P4" s="40" t="n">
        <v>10.15</v>
      </c>
      <c r="Q4" s="27" t="inlineStr">
        <is>
          <t>استثماري</t>
        </is>
      </c>
      <c r="T4" s="41" t="inlineStr">
        <is>
          <t>صباحية</t>
        </is>
      </c>
      <c r="U4" s="41" t="inlineStr">
        <is>
          <t>مستوفاة</t>
        </is>
      </c>
    </row>
    <row r="5" ht="20" customHeight="1">
      <c r="A5" s="27" t="n">
        <v>2</v>
      </c>
      <c r="B5" s="28" t="inlineStr">
        <is>
          <t>عرفات الشوقية</t>
        </is>
      </c>
      <c r="C5" s="40" t="n">
        <v>21.07</v>
      </c>
      <c r="D5" s="29" t="n">
        <v>1269</v>
      </c>
      <c r="E5" s="37" t="n">
        <v>3</v>
      </c>
      <c r="F5" s="37" t="n">
        <v>3</v>
      </c>
      <c r="G5" s="32" t="n">
        <v>0.4471</v>
      </c>
      <c r="H5" s="32" t="n">
        <v>0.5528999999999999</v>
      </c>
      <c r="I5" s="27" t="inlineStr">
        <is>
          <t>17:00 · 21:00 · 22:00</t>
        </is>
      </c>
      <c r="J5" s="37" t="n">
        <v>9</v>
      </c>
      <c r="K5" s="37" t="n">
        <v>9</v>
      </c>
      <c r="L5" s="27" t="inlineStr">
        <is>
          <t>MK017</t>
        </is>
      </c>
      <c r="M5" s="27" t="inlineStr">
        <is>
          <t>عرفات الشوقية</t>
        </is>
      </c>
      <c r="N5" s="27" t="inlineStr">
        <is>
          <t>ايجار</t>
        </is>
      </c>
      <c r="O5" s="37" t="n">
        <v>9</v>
      </c>
      <c r="P5" s="40" t="n">
        <v>12.58</v>
      </c>
      <c r="Q5" s="27" t="inlineStr">
        <is>
          <t>إيجاري</t>
        </is>
      </c>
      <c r="T5" s="41" t="inlineStr">
        <is>
          <t>مسائية</t>
        </is>
      </c>
      <c r="U5" s="41" t="inlineStr">
        <is>
          <t>غير مستوفاة</t>
        </is>
      </c>
    </row>
    <row r="6" ht="20" customHeight="1">
      <c r="A6" s="27" t="n">
        <v>3</v>
      </c>
      <c r="B6" s="28" t="inlineStr">
        <is>
          <t>المعيصم</t>
        </is>
      </c>
      <c r="C6" s="40" t="n">
        <v>20.99</v>
      </c>
      <c r="D6" s="29" t="n">
        <v>864</v>
      </c>
      <c r="E6" s="37" t="n">
        <v>2</v>
      </c>
      <c r="F6" s="37" t="n">
        <v>2</v>
      </c>
      <c r="G6" s="32" t="n">
        <v>0.4964</v>
      </c>
      <c r="H6" s="32" t="n">
        <v>0.5036</v>
      </c>
      <c r="I6" s="27" t="inlineStr">
        <is>
          <t>17:00 · 18:00 · 19:00</t>
        </is>
      </c>
      <c r="J6" s="37" t="n">
        <v>7</v>
      </c>
      <c r="K6" s="37" t="n">
        <v>8</v>
      </c>
      <c r="L6" s="27" t="inlineStr">
        <is>
          <t>MK002</t>
        </is>
      </c>
      <c r="M6" s="27" t="inlineStr">
        <is>
          <t>المعيصم</t>
        </is>
      </c>
      <c r="N6" s="27" t="inlineStr">
        <is>
          <t>ايجار</t>
        </is>
      </c>
      <c r="O6" s="37" t="n">
        <v>10</v>
      </c>
      <c r="P6" s="40" t="n">
        <v>13.11</v>
      </c>
      <c r="Q6" s="27" t="inlineStr">
        <is>
          <t>إيجاري</t>
        </is>
      </c>
    </row>
    <row r="7" ht="20" customHeight="1">
      <c r="A7" s="27" t="n">
        <v>4</v>
      </c>
      <c r="B7" s="28" t="inlineStr">
        <is>
          <t>الفردوس</t>
        </is>
      </c>
      <c r="C7" s="40" t="n">
        <v>20.01</v>
      </c>
      <c r="D7" s="29" t="n">
        <v>790</v>
      </c>
      <c r="E7" s="37" t="n">
        <v>2</v>
      </c>
      <c r="F7" s="37" t="n">
        <v>2</v>
      </c>
      <c r="G7" s="32" t="n">
        <v>0.4511</v>
      </c>
      <c r="H7" s="32" t="n">
        <v>0.5489000000000001</v>
      </c>
      <c r="I7" s="27" t="inlineStr">
        <is>
          <t>17:00 · 21:00 · 22:00</t>
        </is>
      </c>
      <c r="J7" s="37" t="n">
        <v>7</v>
      </c>
      <c r="K7" s="37" t="n">
        <v>7</v>
      </c>
      <c r="L7" s="27" t="inlineStr">
        <is>
          <t>MK023</t>
        </is>
      </c>
      <c r="M7" s="27" t="inlineStr">
        <is>
          <t>بن درويش</t>
        </is>
      </c>
      <c r="N7" s="27" t="inlineStr">
        <is>
          <t>تشغيل</t>
        </is>
      </c>
      <c r="O7" s="37" t="n">
        <v>4</v>
      </c>
      <c r="P7" s="40" t="n">
        <v>11.29</v>
      </c>
      <c r="Q7" s="27" t="inlineStr">
        <is>
          <t>تشغيلي</t>
        </is>
      </c>
    </row>
    <row r="8" ht="20" customHeight="1">
      <c r="A8" s="27" t="n">
        <v>5</v>
      </c>
      <c r="B8" s="28" t="inlineStr">
        <is>
          <t>عرفات الشرائع</t>
        </is>
      </c>
      <c r="C8" s="40" t="n">
        <v>23.16</v>
      </c>
      <c r="D8" s="29" t="n">
        <v>443</v>
      </c>
      <c r="E8" s="37" t="n">
        <v>2</v>
      </c>
      <c r="F8" s="37" t="n">
        <v>2</v>
      </c>
      <c r="G8" s="32" t="n">
        <v>0.439</v>
      </c>
      <c r="H8" s="32" t="n">
        <v>0.5610000000000001</v>
      </c>
      <c r="I8" s="27" t="inlineStr">
        <is>
          <t>17:00 · 21:00 · 22:00</t>
        </is>
      </c>
      <c r="J8" s="37" t="n">
        <v>5</v>
      </c>
      <c r="K8" s="37" t="n">
        <v>6</v>
      </c>
      <c r="L8" s="27" t="inlineStr">
        <is>
          <t>MK019</t>
        </is>
      </c>
      <c r="M8" s="27" t="inlineStr">
        <is>
          <t>عرفات الشرائع</t>
        </is>
      </c>
      <c r="N8" s="27" t="inlineStr">
        <is>
          <t>ايجار</t>
        </is>
      </c>
      <c r="O8" s="37" t="n">
        <v>6</v>
      </c>
      <c r="P8" s="40" t="n">
        <v>11.4</v>
      </c>
      <c r="Q8" s="27" t="inlineStr">
        <is>
          <t>إيجاري</t>
        </is>
      </c>
    </row>
    <row r="10">
      <c r="B10" s="7" t="inlineStr">
        <is>
          <t>«حصة الصباح/المساء» من عدد الزيارات الفعلي — الوردية الصباحية ٦ ص إلى ٦ م والمسائية ٦ م إلى ٦ ص</t>
        </is>
      </c>
    </row>
    <row r="11">
      <c r="B11" s="7" t="inlineStr">
        <is>
          <t>«اسم المقياس» هو الاسم المستخدم في ملف العمالة — يختلف عن اسم السجل في محطتين</t>
        </is>
      </c>
    </row>
  </sheetData>
  <mergeCells count="2">
    <mergeCell ref="A2:Q2"/>
    <mergeCell ref="A1:Q1"/>
  </mergeCells>
  <printOptions horizontalCentered="1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2026-08-24T10:33:39Z</dcterms:created>
  <dcterms:modified xmlns:dcterms="http://purl.org/dc/terms/" xmlns:xsi="http://www.w3.org/2001/XMLSchema-instance" xsi:type="dcterms:W3CDTF">2026-08-24T10:33:39Z</dcterms:modified>
</cp:coreProperties>
</file>