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📊 ملخص آلي + KPIs" sheetId="1" state="visible" r:id="rId1"/>
    <sheet name="📊 لوحة مُكثّفة (٩ مؤشرات)" sheetId="2" state="visible" r:id="rId2"/>
    <sheet name="📋 مؤشرات الإدارة" sheetId="3" state="visible" r:id="rId3"/>
    <sheet name="🛢️ انقطاعات الوقود" sheetId="4" state="visible" r:id="rId4"/>
    <sheet name="💧 الردود والفاقد" sheetId="5" state="visible" r:id="rId5"/>
    <sheet name="📦 المخزون" sheetId="6" state="visible" r:id="rId6"/>
    <sheet name="🛒 الطلبات والمشتريات" sheetId="7" state="visible" r:id="rId7"/>
    <sheet name="🚚 النقل والرحلات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6">
    <numFmt numFmtId="164" formatCode="0.0%"/>
    <numFmt numFmtId="165" formatCode="0.0"/>
    <numFmt numFmtId="166" formatCode="yyyy\-mm\-dd"/>
    <numFmt numFmtId="167" formatCode="#,##0;\-#,##0;\-"/>
    <numFmt numFmtId="168" formatCode="#,##0.0;\-#,##0.0;\-"/>
    <numFmt numFmtId="169" formatCode="yyyy\-mm\-dd\ hh:mm"/>
  </numFmts>
  <fonts count="26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DIN Next LT Arabic"/>
      <charset val="1"/>
      <family val="0"/>
      <b val="1"/>
      <color rgb="FFFFFFFF"/>
      <sz val="16"/>
    </font>
    <font>
      <name val="DIN Next LT Arabic"/>
      <charset val="1"/>
      <family val="0"/>
      <color rgb="FF3D3D3D"/>
      <sz val="9"/>
    </font>
    <font>
      <name val="DIN Next LT Arabic"/>
      <charset val="1"/>
      <family val="0"/>
      <b val="1"/>
      <color rgb="FFFFFFFF"/>
      <sz val="11"/>
    </font>
    <font>
      <name val="DIN Next LT Arabic"/>
      <charset val="1"/>
      <family val="0"/>
      <b val="1"/>
      <color rgb="FFFFFFFF"/>
      <sz val="9"/>
    </font>
    <font>
      <name val="DIN Next LT Arabic"/>
      <charset val="1"/>
      <family val="0"/>
      <b val="1"/>
      <color rgb="FF3D3D3D"/>
      <sz val="10"/>
    </font>
    <font>
      <name val="DIN Next LT Arabic"/>
      <charset val="1"/>
      <family val="0"/>
      <b val="1"/>
      <color rgb="FF3D3D3D"/>
      <sz val="9"/>
    </font>
    <font>
      <name val="DIN Next LT Arabic"/>
      <charset val="1"/>
      <family val="0"/>
      <color rgb="FF6E6F73"/>
      <sz val="9"/>
    </font>
    <font>
      <name val="DIN Next LT Arabic"/>
      <charset val="1"/>
      <family val="0"/>
      <b val="1"/>
      <color rgb="FFC04E0E"/>
      <sz val="10"/>
    </font>
    <font>
      <name val="DIN Next LT Arabic"/>
      <charset val="1"/>
      <family val="0"/>
      <b val="1"/>
      <color rgb="FF1565C0"/>
      <sz val="9"/>
    </font>
    <font>
      <name val="DIN Next LT Arabic"/>
      <charset val="1"/>
      <family val="0"/>
      <color rgb="FF1565C0"/>
      <sz val="9"/>
    </font>
    <font>
      <name val="DIN Next LT Arabic"/>
      <charset val="1"/>
      <family val="0"/>
      <b val="1"/>
      <color rgb="FFC04E0E"/>
      <sz val="9"/>
    </font>
    <font>
      <name val="DIN Next LT Arabic"/>
      <b val="1"/>
      <color rgb="FFFFFFFF"/>
      <sz val="11"/>
    </font>
    <font>
      <name val="DIN Next LT Arabic"/>
      <b val="1"/>
      <color rgb="FF3D3D3D"/>
      <sz val="9"/>
    </font>
    <font>
      <name val="DIN Next LT Arabic"/>
      <b val="1"/>
      <color rgb="FF1565C0"/>
      <sz val="11"/>
    </font>
    <font>
      <name val="DIN Next LT Arabic"/>
      <i val="1"/>
      <color rgb="FF3D3D3D"/>
      <sz val="8"/>
    </font>
    <font>
      <name val="DIN Next LT Arabic"/>
      <b val="1"/>
      <color rgb="FFFFFFFF"/>
      <sz val="15"/>
    </font>
    <font>
      <name val="DIN Next LT Arabic"/>
      <color rgb="FF3D3D3D"/>
      <sz val="10"/>
    </font>
    <font>
      <name val="DIN Next LT Arabic"/>
      <b val="1"/>
      <color rgb="FFFFFFFF"/>
      <sz val="9"/>
    </font>
    <font>
      <name val="DIN Next LT Arabic"/>
      <color rgb="FF3D3D3D"/>
      <sz val="9"/>
    </font>
    <font>
      <name val="DIN Next LT Arabic"/>
      <b val="1"/>
      <color rgb="FF3D3D3D"/>
      <sz val="10"/>
    </font>
    <font>
      <name val="DIN Next LT Arabic"/>
      <b val="1"/>
      <color rgb="FF1565C0"/>
      <sz val="9"/>
    </font>
    <font>
      <name val="DIN Next LT Arabic"/>
      <color rgb="FF1565C0"/>
      <sz val="9"/>
    </font>
  </fonts>
  <fills count="18">
    <fill>
      <patternFill/>
    </fill>
    <fill>
      <patternFill patternType="gray125"/>
    </fill>
    <fill>
      <patternFill patternType="solid">
        <fgColor rgb="FFC04E0E"/>
        <bgColor rgb="FFC62828"/>
      </patternFill>
    </fill>
    <fill>
      <patternFill patternType="solid">
        <fgColor rgb="FFFEF0E6"/>
        <bgColor rgb="FFFFEBEE"/>
      </patternFill>
    </fill>
    <fill>
      <patternFill patternType="solid">
        <fgColor rgb="FFF3741F"/>
        <bgColor rgb="FFFF8080"/>
      </patternFill>
    </fill>
    <fill>
      <patternFill patternType="solid">
        <fgColor rgb="FF3D3D3D"/>
        <bgColor rgb="FF333300"/>
      </patternFill>
    </fill>
    <fill>
      <patternFill patternType="solid">
        <fgColor rgb="FFDCEBFA"/>
        <bgColor rgb="FFE8F5E9"/>
      </patternFill>
    </fill>
    <fill>
      <patternFill patternType="solid">
        <fgColor rgb="FFFFF9D6"/>
        <bgColor rgb="FFFFF8E1"/>
      </patternFill>
    </fill>
    <fill>
      <patternFill patternType="solid">
        <fgColor rgb="FFF2F2F2"/>
        <bgColor rgb="FFE8F5E9"/>
      </patternFill>
    </fill>
    <fill>
      <patternFill patternType="solid">
        <fgColor rgb="FF1565C0"/>
        <bgColor rgb="FF3366FF"/>
      </patternFill>
    </fill>
    <fill>
      <patternFill patternType="solid">
        <fgColor rgb="FF6A1B9A"/>
        <bgColor rgb="FF800080"/>
      </patternFill>
    </fill>
    <fill>
      <patternFill patternType="solid">
        <fgColor rgb="FF6E6F73"/>
        <bgColor rgb="FF808080"/>
      </patternFill>
    </fill>
    <fill>
      <patternFill patternType="solid">
        <fgColor rgb="FFC04E0E"/>
      </patternFill>
    </fill>
    <fill>
      <patternFill patternType="solid">
        <fgColor rgb="FFFFF9D6"/>
      </patternFill>
    </fill>
    <fill>
      <patternFill patternType="solid">
        <fgColor rgb="FFFEF0E6"/>
      </patternFill>
    </fill>
    <fill>
      <patternFill patternType="solid">
        <fgColor rgb="FF3D3D3D"/>
      </patternFill>
    </fill>
    <fill>
      <patternFill patternType="solid">
        <fgColor rgb="FFFFFFFF"/>
      </patternFill>
    </fill>
    <fill>
      <patternFill patternType="solid">
        <fgColor rgb="FFF3741F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09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right" vertical="center" indent="1"/>
    </xf>
    <xf numFmtId="0" fontId="8" fillId="3" borderId="2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right" vertical="center" wrapText="1" indent="1"/>
    </xf>
    <xf numFmtId="0" fontId="10" fillId="3" borderId="2" applyAlignment="1" pivotButton="0" quotePrefix="0" xfId="0">
      <alignment horizontal="center" vertical="center" wrapText="1"/>
    </xf>
    <xf numFmtId="0" fontId="11" fillId="3" borderId="2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general" vertical="bottom"/>
    </xf>
    <xf numFmtId="10" fontId="13" fillId="7" borderId="1" applyAlignment="1" pivotButton="0" quotePrefix="0" xfId="0">
      <alignment horizontal="center" vertical="center" wrapText="1"/>
    </xf>
    <xf numFmtId="0" fontId="14" fillId="3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10" fontId="5" fillId="8" borderId="1" applyAlignment="1" pivotButton="0" quotePrefix="0" xfId="0">
      <alignment horizontal="center" vertical="center" wrapText="1"/>
    </xf>
    <xf numFmtId="3" fontId="13" fillId="7" borderId="1" applyAlignment="1" pivotButton="0" quotePrefix="0" xfId="0">
      <alignment horizontal="center" vertical="center" wrapText="1"/>
    </xf>
    <xf numFmtId="3" fontId="5" fillId="8" borderId="1" applyAlignment="1" pivotButton="0" quotePrefix="0" xfId="0">
      <alignment horizontal="center" vertical="center" wrapText="1"/>
    </xf>
    <xf numFmtId="164" fontId="13" fillId="7" borderId="1" applyAlignment="1" pivotButton="0" quotePrefix="0" xfId="0">
      <alignment horizontal="center" vertical="center" wrapText="1"/>
    </xf>
    <xf numFmtId="164" fontId="5" fillId="8" borderId="1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right" vertical="center" indent="1"/>
    </xf>
    <xf numFmtId="165" fontId="13" fillId="7" borderId="1" applyAlignment="1" pivotButton="0" quotePrefix="0" xfId="0">
      <alignment horizontal="center" vertical="center" wrapText="1"/>
    </xf>
    <xf numFmtId="165" fontId="5" fillId="8" borderId="1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right" vertical="center" indent="1"/>
    </xf>
    <xf numFmtId="0" fontId="6" fillId="10" borderId="0" applyAlignment="1" pivotButton="0" quotePrefix="0" xfId="0">
      <alignment horizontal="right" vertical="center" indent="1"/>
    </xf>
    <xf numFmtId="0" fontId="6" fillId="11" borderId="0" applyAlignment="1" pivotButton="0" quotePrefix="0" xfId="0">
      <alignment horizontal="right" vertical="center" indent="1"/>
    </xf>
    <xf numFmtId="0" fontId="6" fillId="5" borderId="0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166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right" vertical="center" wrapText="1"/>
    </xf>
    <xf numFmtId="167" fontId="5" fillId="7" borderId="1" applyAlignment="1" pivotButton="0" quotePrefix="0" xfId="0">
      <alignment horizontal="center" vertical="center" wrapText="1"/>
    </xf>
    <xf numFmtId="168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9" fillId="8" borderId="1" applyAlignment="1" pivotButton="0" quotePrefix="0" xfId="0">
      <alignment horizontal="center" vertical="center" wrapText="1"/>
    </xf>
    <xf numFmtId="1" fontId="9" fillId="8" borderId="1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 vertical="center" wrapText="1"/>
    </xf>
    <xf numFmtId="169" fontId="5" fillId="7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center" vertical="center" wrapText="1"/>
    </xf>
    <xf numFmtId="0" fontId="7" fillId="5" borderId="1" applyAlignment="1" pivotButton="0" quotePrefix="0" xfId="0">
      <alignment horizontal="center" vertical="center" wrapText="1"/>
    </xf>
    <xf numFmtId="0" fontId="6" fillId="2" borderId="0" applyAlignment="1" pivotButton="0" quotePrefix="0" xfId="0">
      <alignment horizontal="right" vertical="center" indent="1"/>
    </xf>
    <xf numFmtId="0" fontId="8" fillId="3" borderId="2" applyAlignment="1" pivotButton="0" quotePrefix="0" xfId="0">
      <alignment horizontal="center" vertical="center" wrapText="1"/>
    </xf>
    <xf numFmtId="0" fontId="9" fillId="3" borderId="2" applyAlignment="1" pivotButton="0" quotePrefix="0" xfId="0">
      <alignment horizontal="right" vertical="center" wrapText="1" indent="1"/>
    </xf>
    <xf numFmtId="0" fontId="10" fillId="3" borderId="2" applyAlignment="1" pivotButton="0" quotePrefix="0" xfId="0">
      <alignment horizontal="center" vertical="center" wrapText="1"/>
    </xf>
    <xf numFmtId="0" fontId="11" fillId="3" borderId="2" applyAlignment="1" pivotButton="0" quotePrefix="0" xfId="0">
      <alignment horizontal="center" vertical="center" wrapText="1"/>
    </xf>
    <xf numFmtId="0" fontId="12" fillId="6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general" vertical="bottom"/>
    </xf>
    <xf numFmtId="10" fontId="13" fillId="7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14" fillId="3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10" fontId="5" fillId="8" borderId="1" applyAlignment="1" pivotButton="0" quotePrefix="0" xfId="0">
      <alignment horizontal="center" vertical="center" wrapText="1"/>
    </xf>
    <xf numFmtId="3" fontId="13" fillId="7" borderId="1" applyAlignment="1" pivotButton="0" quotePrefix="0" xfId="0">
      <alignment horizontal="center" vertical="center" wrapText="1"/>
    </xf>
    <xf numFmtId="3" fontId="5" fillId="8" borderId="1" applyAlignment="1" pivotButton="0" quotePrefix="0" xfId="0">
      <alignment horizontal="center" vertical="center" wrapText="1"/>
    </xf>
    <xf numFmtId="164" fontId="13" fillId="7" borderId="1" applyAlignment="1" pivotButton="0" quotePrefix="0" xfId="0">
      <alignment horizontal="center" vertical="center" wrapText="1"/>
    </xf>
    <xf numFmtId="164" fontId="5" fillId="8" borderId="1" applyAlignment="1" pivotButton="0" quotePrefix="0" xfId="0">
      <alignment horizontal="center" vertical="center" wrapText="1"/>
    </xf>
    <xf numFmtId="0" fontId="6" fillId="4" borderId="0" applyAlignment="1" pivotButton="0" quotePrefix="0" xfId="0">
      <alignment horizontal="right" vertical="center" indent="1"/>
    </xf>
    <xf numFmtId="165" fontId="13" fillId="7" borderId="1" applyAlignment="1" pivotButton="0" quotePrefix="0" xfId="0">
      <alignment horizontal="center" vertical="center" wrapText="1"/>
    </xf>
    <xf numFmtId="165" fontId="5" fillId="8" borderId="1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right" vertical="center" indent="1"/>
    </xf>
    <xf numFmtId="0" fontId="6" fillId="10" borderId="0" applyAlignment="1" pivotButton="0" quotePrefix="0" xfId="0">
      <alignment horizontal="right" vertical="center" indent="1"/>
    </xf>
    <xf numFmtId="0" fontId="6" fillId="11" borderId="0" applyAlignment="1" pivotButton="0" quotePrefix="0" xfId="0">
      <alignment horizontal="right" vertical="center" indent="1"/>
    </xf>
    <xf numFmtId="0" fontId="15" fillId="12" borderId="0" applyAlignment="1" pivotButton="0" quotePrefix="0" xfId="0">
      <alignment horizontal="right" vertical="center"/>
    </xf>
    <xf numFmtId="0" fontId="16" fillId="0" borderId="0" applyAlignment="1" pivotButton="0" quotePrefix="0" xfId="0">
      <alignment horizontal="right" vertical="center"/>
    </xf>
    <xf numFmtId="0" fontId="17" fillId="13" borderId="5" applyAlignment="1" pivotButton="0" quotePrefix="0" xfId="0">
      <alignment horizontal="center" vertical="center"/>
    </xf>
    <xf numFmtId="0" fontId="18" fillId="0" borderId="0" applyAlignment="1" pivotButton="0" quotePrefix="0" xfId="0">
      <alignment horizontal="right" vertical="center"/>
    </xf>
    <xf numFmtId="0" fontId="19" fillId="12" borderId="0" applyAlignment="1" pivotButton="0" quotePrefix="0" xfId="0">
      <alignment horizontal="center" vertical="center"/>
    </xf>
    <xf numFmtId="0" fontId="20" fillId="14" borderId="0" applyAlignment="1" pivotButton="0" quotePrefix="0" xfId="0">
      <alignment horizontal="center" vertical="center"/>
    </xf>
    <xf numFmtId="0" fontId="21" fillId="15" borderId="5" applyAlignment="1" pivotButton="0" quotePrefix="0" xfId="0">
      <alignment horizontal="center" vertical="center" wrapText="1"/>
    </xf>
    <xf numFmtId="0" fontId="22" fillId="14" borderId="5" applyAlignment="1" pivotButton="0" quotePrefix="0" xfId="0">
      <alignment horizontal="center" vertical="center" wrapText="1"/>
    </xf>
    <xf numFmtId="0" fontId="16" fillId="14" borderId="5" applyAlignment="1" pivotButton="0" quotePrefix="0" xfId="0">
      <alignment horizontal="right" vertical="center" wrapText="1"/>
    </xf>
    <xf numFmtId="0" fontId="22" fillId="14" borderId="5" applyAlignment="1" pivotButton="0" quotePrefix="0" xfId="0">
      <alignment horizontal="right" vertical="center" wrapText="1"/>
    </xf>
    <xf numFmtId="0" fontId="16" fillId="14" borderId="5" applyAlignment="1" pivotButton="0" quotePrefix="0" xfId="0">
      <alignment horizontal="center" vertical="center" wrapText="1"/>
    </xf>
    <xf numFmtId="0" fontId="22" fillId="16" borderId="5" applyAlignment="1" pivotButton="0" quotePrefix="0" xfId="0">
      <alignment horizontal="center" vertical="center" wrapText="1"/>
    </xf>
    <xf numFmtId="0" fontId="16" fillId="16" borderId="5" applyAlignment="1" pivotButton="0" quotePrefix="0" xfId="0">
      <alignment horizontal="right" vertical="center" wrapText="1"/>
    </xf>
    <xf numFmtId="0" fontId="22" fillId="16" borderId="5" applyAlignment="1" pivotButton="0" quotePrefix="0" xfId="0">
      <alignment horizontal="right" vertical="center" wrapText="1"/>
    </xf>
    <xf numFmtId="0" fontId="16" fillId="16" borderId="5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right" vertical="center" wrapText="1"/>
    </xf>
    <xf numFmtId="0" fontId="6" fillId="5" borderId="0" applyAlignment="1" pivotButton="0" quotePrefix="0" xfId="0">
      <alignment horizontal="center" vertical="center" wrapText="1"/>
    </xf>
    <xf numFmtId="0" fontId="9" fillId="3" borderId="1" applyAlignment="1" pivotButton="0" quotePrefix="0" xfId="0">
      <alignment horizontal="center" vertical="center" wrapText="1"/>
    </xf>
    <xf numFmtId="166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right" vertical="center" wrapText="1"/>
    </xf>
    <xf numFmtId="167" fontId="5" fillId="7" borderId="1" applyAlignment="1" pivotButton="0" quotePrefix="0" xfId="0">
      <alignment horizontal="center" vertical="center" wrapText="1"/>
    </xf>
    <xf numFmtId="168" fontId="5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165" fontId="9" fillId="8" borderId="1" applyAlignment="1" pivotButton="0" quotePrefix="0" xfId="0">
      <alignment horizontal="center" vertical="center" wrapText="1"/>
    </xf>
    <xf numFmtId="1" fontId="9" fillId="8" borderId="1" applyAlignment="1" pivotButton="0" quotePrefix="0" xfId="0">
      <alignment horizontal="center" vertical="center" wrapText="1"/>
    </xf>
    <xf numFmtId="0" fontId="6" fillId="9" borderId="0" applyAlignment="1" pivotButton="0" quotePrefix="0" xfId="0">
      <alignment horizontal="center" vertical="center" wrapText="1"/>
    </xf>
    <xf numFmtId="169" fontId="5" fillId="7" borderId="1" applyAlignment="1" pivotButton="0" quotePrefix="0" xfId="0">
      <alignment horizontal="center" vertical="center" wrapText="1"/>
    </xf>
    <xf numFmtId="0" fontId="19" fillId="12" borderId="0" applyAlignment="1" pivotButton="0" quotePrefix="0" xfId="0">
      <alignment horizontal="center" vertical="center" wrapText="1"/>
    </xf>
    <xf numFmtId="0" fontId="22" fillId="14" borderId="0" applyAlignment="1" pivotButton="0" quotePrefix="0" xfId="0">
      <alignment horizontal="center" vertical="center" wrapText="1"/>
    </xf>
    <xf numFmtId="0" fontId="15" fillId="12" borderId="0" applyAlignment="1" pivotButton="0" quotePrefix="0" xfId="0">
      <alignment horizontal="center" vertical="center" wrapText="1"/>
    </xf>
    <xf numFmtId="0" fontId="21" fillId="15" borderId="0" applyAlignment="1" pivotButton="0" quotePrefix="0" xfId="0">
      <alignment horizontal="center" vertical="center" wrapText="1"/>
    </xf>
    <xf numFmtId="0" fontId="15" fillId="17" borderId="0" applyAlignment="1" pivotButton="0" quotePrefix="0" xfId="0">
      <alignment horizontal="right" vertical="center" wrapText="1"/>
    </xf>
    <xf numFmtId="0" fontId="23" fillId="14" borderId="0" applyAlignment="1" pivotButton="0" quotePrefix="0" xfId="0">
      <alignment horizontal="center" vertical="center" wrapText="1"/>
    </xf>
    <xf numFmtId="0" fontId="16" fillId="14" borderId="0" applyAlignment="1" pivotButton="0" quotePrefix="0" xfId="0">
      <alignment horizontal="right" vertical="center" wrapText="1"/>
    </xf>
    <xf numFmtId="0" fontId="24" fillId="14" borderId="0" applyAlignment="1" pivotButton="0" quotePrefix="0" xfId="0">
      <alignment horizontal="center" vertical="center" wrapText="1"/>
    </xf>
    <xf numFmtId="10" fontId="25" fillId="13" borderId="0" applyAlignment="1" pivotButton="0" quotePrefix="0" xfId="0">
      <alignment horizontal="center" vertical="center" wrapText="1"/>
    </xf>
    <xf numFmtId="0" fontId="22" fillId="16" borderId="0" applyAlignment="1" pivotButton="0" quotePrefix="0" xfId="0">
      <alignment horizontal="center" vertical="center" wrapText="1"/>
    </xf>
    <xf numFmtId="10" fontId="22" fillId="16" borderId="0" applyAlignment="1" pivotButton="0" quotePrefix="0" xfId="0">
      <alignment horizontal="center" vertical="center" wrapText="1"/>
    </xf>
    <xf numFmtId="165" fontId="25" fillId="13" borderId="0" applyAlignment="1" pivotButton="0" quotePrefix="0" xfId="0">
      <alignment horizontal="center" vertical="center" wrapText="1"/>
    </xf>
    <xf numFmtId="165" fontId="22" fillId="16" borderId="0" applyAlignment="1" pivotButton="0" quotePrefix="0" xfId="0">
      <alignment horizontal="center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6">
    <dxf>
      <font>
        <name val="DIN Next LT Arabic"/>
        <charset val="1"/>
        <family val="0"/>
        <b val="1"/>
        <color rgb="FF2E7D32"/>
        <sz val="9"/>
      </font>
      <fill>
        <patternFill>
          <bgColor rgb="FFE8F5E9"/>
        </patternFill>
      </fill>
    </dxf>
    <dxf>
      <font>
        <name val="DIN Next LT Arabic"/>
        <charset val="1"/>
        <family val="0"/>
        <b val="1"/>
        <color rgb="FFF9A825"/>
        <sz val="9"/>
      </font>
      <fill>
        <patternFill>
          <bgColor rgb="FFFFF8E1"/>
        </patternFill>
      </fill>
    </dxf>
    <dxf>
      <font>
        <name val="DIN Next LT Arabic"/>
        <charset val="1"/>
        <family val="0"/>
        <b val="1"/>
        <color rgb="FFC62828"/>
        <sz val="9"/>
      </font>
      <fill>
        <patternFill>
          <bgColor rgb="FFFFEBEE"/>
        </patternFill>
      </fill>
    </dxf>
    <dxf>
      <font>
        <color rgb="FF2E7D32"/>
      </font>
      <fill>
        <patternFill>
          <bgColor rgb="FFE8F5E9"/>
        </patternFill>
      </fill>
    </dxf>
    <dxf>
      <font>
        <color rgb="FFF9A825"/>
      </font>
      <fill>
        <patternFill>
          <bgColor rgb="FFFFF8E1"/>
        </patternFill>
      </fill>
    </dxf>
    <dxf>
      <font>
        <color rgb="FFC62828"/>
      </font>
      <fill>
        <patternFill>
          <bgColor rgb="FFFFEBE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6A1B9A"/>
      <rgbColor rgb="FF008080"/>
      <rgbColor rgb="FFBFBFBF"/>
      <rgbColor rgb="FF808080"/>
      <rgbColor rgb="FF9999FF"/>
      <rgbColor rgb="FFC04E0E"/>
      <rgbColor rgb="FFFFF9D6"/>
      <rgbColor rgb="FFDCEBFA"/>
      <rgbColor rgb="FF660066"/>
      <rgbColor rgb="FFFF8080"/>
      <rgbColor rgb="FF1565C0"/>
      <rgbColor rgb="FFFEF0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8F5E9"/>
      <rgbColor rgb="FFF2F2F2"/>
      <rgbColor rgb="FFFFF8E1"/>
      <rgbColor rgb="FF99CCFF"/>
      <rgbColor rgb="FFFF99CC"/>
      <rgbColor rgb="FFCC99FF"/>
      <rgbColor rgb="FFFFEBEE"/>
      <rgbColor rgb="FF3366FF"/>
      <rgbColor rgb="FF33CCCC"/>
      <rgbColor rgb="FF99CC00"/>
      <rgbColor rgb="FFFFCC00"/>
      <rgbColor rgb="FFF9A825"/>
      <rgbColor rgb="FFF3741F"/>
      <rgbColor rgb="FF6E6F73"/>
      <rgbColor rgb="FF969696"/>
      <rgbColor rgb="FF003366"/>
      <rgbColor rgb="FF2E7D32"/>
      <rgbColor rgb="FF003300"/>
      <rgbColor rgb="FF333300"/>
      <rgbColor rgb="FFC62828"/>
      <rgbColor rgb="FF993366"/>
      <rgbColor rgb="FF333399"/>
      <rgbColor rgb="FF3D3D3D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R39"/>
  <sheetViews>
    <sheetView showFormulas="0" showGridLines="1" showRowColHeaders="1" showZeros="1" rightToLeft="1" tabSelected="1" showOutlineSymbols="1" defaultGridColor="1" view="normal" topLeftCell="A1" colorId="64" zoomScale="100" zoomScaleNormal="100" zoomScalePageLayoutView="100" workbookViewId="0">
      <pane xSplit="6" ySplit="5" topLeftCell="G6" activePane="bottomRight" state="frozen"/>
      <selection pane="topLeft" activeCell="A1" activeCellId="0" sqref="A1"/>
      <selection pane="topRight" activeCell="G1" activeCellId="0" sqref="G1"/>
      <selection pane="bottomLeft" activeCell="A6" activeCellId="0" sqref="A6"/>
      <selection pane="bottomRight" activeCell="A1" activeCellId="0" sqref="A1"/>
    </sheetView>
  </sheetViews>
  <sheetFormatPr baseColWidth="8" defaultColWidth="8.6796875" defaultRowHeight="15" zeroHeight="0" outlineLevelRow="0"/>
  <cols>
    <col width="4" customWidth="1" style="39" min="1" max="1"/>
    <col width="36" customWidth="1" style="39" min="2" max="2"/>
    <col width="10" customWidth="1" style="39" min="3" max="3"/>
    <col width="12" customWidth="1" style="39" min="4" max="4"/>
    <col width="8" customWidth="1" style="39" min="5" max="5"/>
    <col width="14" customWidth="1" style="39" min="6" max="6"/>
    <col width="9" customWidth="1" style="39" min="7" max="18"/>
  </cols>
  <sheetData>
    <row r="1" ht="31.5" customHeight="1" s="40">
      <c r="A1" s="41" t="inlineStr">
        <is>
          <t>📊 مؤشرات أداء سلاسل الإمداد 2026</t>
        </is>
      </c>
    </row>
    <row r="2" ht="27.75" customHeight="1" s="40">
      <c r="A2" s="42" t="inlineStr">
        <is>
          <t>🎯 13 مؤشر عبر 5 محاور · خطة (يدوي) vs فعلي (آلي) · الانحراف يقارن المتوسطين</t>
        </is>
      </c>
    </row>
    <row r="3" ht="24" customHeight="1" s="40">
      <c r="A3" s="43" t="inlineStr">
        <is>
          <t>📌 المؤشر</t>
        </is>
      </c>
      <c r="G3" s="44" t="inlineStr">
        <is>
          <t>📅 الأشهر — خطة (يدوي) vs فعلي (آلي)</t>
        </is>
      </c>
    </row>
    <row r="4" ht="30" customHeight="1" s="40">
      <c r="A4" s="45" t="inlineStr">
        <is>
          <t>#</t>
        </is>
      </c>
      <c r="B4" s="45" t="inlineStr">
        <is>
          <t>المؤشر</t>
        </is>
      </c>
      <c r="C4" s="45" t="inlineStr">
        <is>
          <t>الوحدة</t>
        </is>
      </c>
      <c r="D4" s="45" t="inlineStr">
        <is>
          <t>الهدف</t>
        </is>
      </c>
      <c r="E4" s="45" t="inlineStr">
        <is>
          <t>النوع</t>
        </is>
      </c>
      <c r="F4" s="45" t="inlineStr">
        <is>
          <t>الانحراف</t>
        </is>
      </c>
      <c r="G4" s="45" t="inlineStr">
        <is>
          <t>يناير</t>
        </is>
      </c>
      <c r="H4" s="45" t="inlineStr">
        <is>
          <t>فبراير</t>
        </is>
      </c>
      <c r="I4" s="45" t="inlineStr">
        <is>
          <t>مارس</t>
        </is>
      </c>
      <c r="J4" s="45" t="inlineStr">
        <is>
          <t>أبريل</t>
        </is>
      </c>
      <c r="K4" s="45" t="inlineStr">
        <is>
          <t>مايو</t>
        </is>
      </c>
      <c r="L4" s="45" t="inlineStr">
        <is>
          <t>يونيو</t>
        </is>
      </c>
      <c r="M4" s="45" t="inlineStr">
        <is>
          <t>يوليو</t>
        </is>
      </c>
      <c r="N4" s="45" t="inlineStr">
        <is>
          <t>أغسطس</t>
        </is>
      </c>
      <c r="O4" s="45" t="inlineStr">
        <is>
          <t>سبتمبر</t>
        </is>
      </c>
      <c r="P4" s="45" t="inlineStr">
        <is>
          <t>أكتوبر</t>
        </is>
      </c>
      <c r="Q4" s="45" t="inlineStr">
        <is>
          <t>نوفمبر</t>
        </is>
      </c>
      <c r="R4" s="45" t="inlineStr">
        <is>
          <t>ديسمبر</t>
        </is>
      </c>
    </row>
    <row r="5" ht="25.5" customHeight="1" s="40">
      <c r="A5" s="46" t="inlineStr">
        <is>
          <t xml:space="preserve">  ◀ 👥 خدمة العميل</t>
        </is>
      </c>
    </row>
    <row r="6" ht="21.75" customHeight="1" s="40">
      <c r="A6" s="47" t="n">
        <v>1</v>
      </c>
      <c r="B6" s="48" t="inlineStr">
        <is>
          <t>توفر الوقود (1 - نسبة الانقطاع)</t>
        </is>
      </c>
      <c r="C6" s="49" t="inlineStr">
        <is>
          <t>%</t>
        </is>
      </c>
      <c r="D6" s="50" t="inlineStr">
        <is>
          <t>≥ 99.5%</t>
        </is>
      </c>
      <c r="E6" s="51" t="inlineStr">
        <is>
          <t>خطة</t>
        </is>
      </c>
      <c r="F6" s="52" t="n"/>
      <c r="G6" s="53" t="n">
        <v>0.995</v>
      </c>
      <c r="H6" s="53" t="n">
        <v>0.995</v>
      </c>
      <c r="I6" s="53" t="n">
        <v>0.995</v>
      </c>
      <c r="J6" s="53" t="n">
        <v>0.995</v>
      </c>
      <c r="K6" s="53" t="n">
        <v>0.995</v>
      </c>
      <c r="L6" s="53" t="n">
        <v>0.995</v>
      </c>
      <c r="M6" s="53" t="n">
        <v>0.995</v>
      </c>
      <c r="N6" s="53" t="n">
        <v>0.995</v>
      </c>
      <c r="O6" s="53" t="n">
        <v>0.995</v>
      </c>
      <c r="P6" s="53" t="n">
        <v>0.995</v>
      </c>
      <c r="Q6" s="53" t="n">
        <v>0.995</v>
      </c>
      <c r="R6" s="53" t="n">
        <v>0.995</v>
      </c>
    </row>
    <row r="7" ht="21.75" customHeight="1" s="40">
      <c r="A7" s="54" t="n"/>
      <c r="B7" s="54" t="n"/>
      <c r="C7" s="54" t="n"/>
      <c r="D7" s="54" t="n"/>
      <c r="E7" s="55" t="inlineStr">
        <is>
          <t>فعلي</t>
        </is>
      </c>
      <c r="F7" s="56">
        <f>IFERROR(IF(AVERAGE(G6:R6)=0,"",IF(IFERROR(AVERAGEIF(G7:R7,"&gt;0",G7:R7),0)&gt;=AVERAGE(G6:R6),"✅ ",IF(IFERROR(AVERAGEIF(G7:R7,"&gt;0",G7:R7),0)&gt;=AVERAGE(G6:R6)*0.85,"🟡 ","🔴 "))&amp;TEXT((IFERROR(AVERAGEIF(G7:R7,"&gt;0",G7:R7),0)-AVERAGE(G6:R6))/AVERAGE(G6:R6),"+0.0%;-0.0%")),"")</f>
        <v/>
      </c>
      <c r="G7" s="57">
        <f>IFERROR(1-(SUMIFS('🛢️ انقطاعات الوقود'!F5:F104,'🛢️ انقطاعات الوقود'!B5:B104,"&gt;="&amp;DATE(2026,1,1),'🛢️ انقطاعات الوقود'!B5:B104,"&lt;"&amp;DATE(2026,1+1,1))/($F$38*DAY(DATE(2026,1+1,1)-1))),1)</f>
        <v/>
      </c>
      <c r="H7" s="57">
        <f>IFERROR(1-(SUMIFS('🛢️ انقطاعات الوقود'!F5:F104,'🛢️ انقطاعات الوقود'!B5:B104,"&gt;="&amp;DATE(2026,2,1),'🛢️ انقطاعات الوقود'!B5:B104,"&lt;"&amp;DATE(2026,2+1,1))/($F$38*DAY(DATE(2026,2+1,1)-1))),1)</f>
        <v/>
      </c>
      <c r="I7" s="57">
        <f>IFERROR(1-(SUMIFS('🛢️ انقطاعات الوقود'!F5:F104,'🛢️ انقطاعات الوقود'!B5:B104,"&gt;="&amp;DATE(2026,3,1),'🛢️ انقطاعات الوقود'!B5:B104,"&lt;"&amp;DATE(2026,3+1,1))/($F$38*DAY(DATE(2026,3+1,1)-1))),1)</f>
        <v/>
      </c>
      <c r="J7" s="57">
        <f>IFERROR(1-(SUMIFS('🛢️ انقطاعات الوقود'!F5:F104,'🛢️ انقطاعات الوقود'!B5:B104,"&gt;="&amp;DATE(2026,4,1),'🛢️ انقطاعات الوقود'!B5:B104,"&lt;"&amp;DATE(2026,4+1,1))/($F$38*DAY(DATE(2026,4+1,1)-1))),1)</f>
        <v/>
      </c>
      <c r="K7" s="57">
        <f>IFERROR(1-(SUMIFS('🛢️ انقطاعات الوقود'!F5:F104,'🛢️ انقطاعات الوقود'!B5:B104,"&gt;="&amp;DATE(2026,5,1),'🛢️ انقطاعات الوقود'!B5:B104,"&lt;"&amp;DATE(2026,5+1,1))/($F$38*DAY(DATE(2026,5+1,1)-1))),1)</f>
        <v/>
      </c>
      <c r="L7" s="57">
        <f>IFERROR(1-(SUMIFS('🛢️ انقطاعات الوقود'!F5:F104,'🛢️ انقطاعات الوقود'!B5:B104,"&gt;="&amp;DATE(2026,6,1),'🛢️ انقطاعات الوقود'!B5:B104,"&lt;"&amp;DATE(2026,6+1,1))/($F$38*DAY(DATE(2026,6+1,1)-1))),1)</f>
        <v/>
      </c>
      <c r="M7" s="57">
        <f>IFERROR(1-(SUMIFS('🛢️ انقطاعات الوقود'!F5:F104,'🛢️ انقطاعات الوقود'!B5:B104,"&gt;="&amp;DATE(2026,7,1),'🛢️ انقطاعات الوقود'!B5:B104,"&lt;"&amp;DATE(2026,7+1,1))/($F$38*DAY(DATE(2026,7+1,1)-1))),1)</f>
        <v/>
      </c>
      <c r="N7" s="57">
        <f>IFERROR(1-(SUMIFS('🛢️ انقطاعات الوقود'!F5:F104,'🛢️ انقطاعات الوقود'!B5:B104,"&gt;="&amp;DATE(2026,8,1),'🛢️ انقطاعات الوقود'!B5:B104,"&lt;"&amp;DATE(2026,8+1,1))/($F$38*DAY(DATE(2026,8+1,1)-1))),1)</f>
        <v/>
      </c>
      <c r="O7" s="57">
        <f>IFERROR(1-(SUMIFS('🛢️ انقطاعات الوقود'!F5:F104,'🛢️ انقطاعات الوقود'!B5:B104,"&gt;="&amp;DATE(2026,9,1),'🛢️ انقطاعات الوقود'!B5:B104,"&lt;"&amp;DATE(2026,9+1,1))/($F$38*DAY(DATE(2026,9+1,1)-1))),1)</f>
        <v/>
      </c>
      <c r="P7" s="57">
        <f>IFERROR(1-(SUMIFS('🛢️ انقطاعات الوقود'!F5:F104,'🛢️ انقطاعات الوقود'!B5:B104,"&gt;="&amp;DATE(2026,10,1),'🛢️ انقطاعات الوقود'!B5:B104,"&lt;"&amp;DATE(2026,10+1,1))/($F$38*DAY(DATE(2026,10+1,1)-1))),1)</f>
        <v/>
      </c>
      <c r="Q7" s="57">
        <f>IFERROR(1-(SUMIFS('🛢️ انقطاعات الوقود'!F5:F104,'🛢️ انقطاعات الوقود'!B5:B104,"&gt;="&amp;DATE(2026,11,1),'🛢️ انقطاعات الوقود'!B5:B104,"&lt;"&amp;DATE(2026,11+1,1))/($F$38*DAY(DATE(2026,11+1,1)-1))),1)</f>
        <v/>
      </c>
      <c r="R7" s="57">
        <f>IFERROR(1-(SUMIFS('🛢️ انقطاعات الوقود'!F5:F104,'🛢️ انقطاعات الوقود'!B5:B104,"&gt;="&amp;DATE(2026,12,1),'🛢️ انقطاعات الوقود'!B5:B104,"&lt;"&amp;DATE(2026,12+1,1))/($F$38*DAY(DATE(2026,12+1,1)-1))),1)</f>
        <v/>
      </c>
    </row>
    <row r="8" ht="21.75" customHeight="1" s="40">
      <c r="A8" s="47" t="n">
        <v>2</v>
      </c>
      <c r="B8" s="48" t="inlineStr">
        <is>
          <t>عدد الانقطاعات الشهرية</t>
        </is>
      </c>
      <c r="C8" s="49" t="inlineStr">
        <is>
          <t>انقطاع</t>
        </is>
      </c>
      <c r="D8" s="50" t="inlineStr">
        <is>
          <t>≤ 5</t>
        </is>
      </c>
      <c r="E8" s="51" t="inlineStr">
        <is>
          <t>خطة</t>
        </is>
      </c>
      <c r="F8" s="52" t="n"/>
      <c r="G8" s="58" t="n">
        <v>5</v>
      </c>
      <c r="H8" s="58" t="n">
        <v>5</v>
      </c>
      <c r="I8" s="58" t="n">
        <v>5</v>
      </c>
      <c r="J8" s="58" t="n">
        <v>5</v>
      </c>
      <c r="K8" s="58" t="n">
        <v>5</v>
      </c>
      <c r="L8" s="58" t="n">
        <v>5</v>
      </c>
      <c r="M8" s="58" t="n">
        <v>5</v>
      </c>
      <c r="N8" s="58" t="n">
        <v>5</v>
      </c>
      <c r="O8" s="58" t="n">
        <v>5</v>
      </c>
      <c r="P8" s="58" t="n">
        <v>5</v>
      </c>
      <c r="Q8" s="58" t="n">
        <v>5</v>
      </c>
      <c r="R8" s="58" t="n">
        <v>5</v>
      </c>
    </row>
    <row r="9" ht="21.75" customHeight="1" s="40">
      <c r="A9" s="54" t="n"/>
      <c r="B9" s="54" t="n"/>
      <c r="C9" s="54" t="n"/>
      <c r="D9" s="54" t="n"/>
      <c r="E9" s="55" t="inlineStr">
        <is>
          <t>فعلي</t>
        </is>
      </c>
      <c r="F9" s="56">
        <f>IFERROR(IF(AVERAGE(G8:R8)=0,"",IF(IFERROR(AVERAGEIF(G9:R9,"&gt;0",G9:R9),0)&lt;=AVERAGE(G8:R8),"✅ ",IF(IFERROR(AVERAGEIF(G9:R9,"&gt;0",G9:R9),0)&lt;=AVERAGE(G8:R8)*1.3,"🟡 ","🔴 "))&amp;TEXT((IFERROR(AVERAGEIF(G9:R9,"&gt;0",G9:R9),0)-AVERAGE(G8:R8))/AVERAGE(G8:R8),"+0.0%;-0.0%")),"")</f>
        <v/>
      </c>
      <c r="G9" s="59">
        <f>COUNTIFS('🛢️ انقطاعات الوقود'!B5:B104,"&gt;="&amp;DATE(2026,1,1),'🛢️ انقطاعات الوقود'!B5:B104,"&lt;"&amp;DATE(2026,1+1,1))</f>
        <v/>
      </c>
      <c r="H9" s="59">
        <f>COUNTIFS('🛢️ انقطاعات الوقود'!B5:B104,"&gt;="&amp;DATE(2026,2,1),'🛢️ انقطاعات الوقود'!B5:B104,"&lt;"&amp;DATE(2026,2+1,1))</f>
        <v/>
      </c>
      <c r="I9" s="59">
        <f>COUNTIFS('🛢️ انقطاعات الوقود'!B5:B104,"&gt;="&amp;DATE(2026,3,1),'🛢️ انقطاعات الوقود'!B5:B104,"&lt;"&amp;DATE(2026,3+1,1))</f>
        <v/>
      </c>
      <c r="J9" s="59">
        <f>COUNTIFS('🛢️ انقطاعات الوقود'!B5:B104,"&gt;="&amp;DATE(2026,4,1),'🛢️ انقطاعات الوقود'!B5:B104,"&lt;"&amp;DATE(2026,4+1,1))</f>
        <v/>
      </c>
      <c r="K9" s="59">
        <f>COUNTIFS('🛢️ انقطاعات الوقود'!B5:B104,"&gt;="&amp;DATE(2026,5,1),'🛢️ انقطاعات الوقود'!B5:B104,"&lt;"&amp;DATE(2026,5+1,1))</f>
        <v/>
      </c>
      <c r="L9" s="59">
        <f>COUNTIFS('🛢️ انقطاعات الوقود'!B5:B104,"&gt;="&amp;DATE(2026,6,1),'🛢️ انقطاعات الوقود'!B5:B104,"&lt;"&amp;DATE(2026,6+1,1))</f>
        <v/>
      </c>
      <c r="M9" s="59">
        <f>COUNTIFS('🛢️ انقطاعات الوقود'!B5:B104,"&gt;="&amp;DATE(2026,7,1),'🛢️ انقطاعات الوقود'!B5:B104,"&lt;"&amp;DATE(2026,7+1,1))</f>
        <v/>
      </c>
      <c r="N9" s="59">
        <f>COUNTIFS('🛢️ انقطاعات الوقود'!B5:B104,"&gt;="&amp;DATE(2026,8,1),'🛢️ انقطاعات الوقود'!B5:B104,"&lt;"&amp;DATE(2026,8+1,1))</f>
        <v/>
      </c>
      <c r="O9" s="59">
        <f>COUNTIFS('🛢️ انقطاعات الوقود'!B5:B104,"&gt;="&amp;DATE(2026,9,1),'🛢️ انقطاعات الوقود'!B5:B104,"&lt;"&amp;DATE(2026,9+1,1))</f>
        <v/>
      </c>
      <c r="P9" s="59">
        <f>COUNTIFS('🛢️ انقطاعات الوقود'!B5:B104,"&gt;="&amp;DATE(2026,10,1),'🛢️ انقطاعات الوقود'!B5:B104,"&lt;"&amp;DATE(2026,10+1,1))</f>
        <v/>
      </c>
      <c r="Q9" s="59">
        <f>COUNTIFS('🛢️ انقطاعات الوقود'!B5:B104,"&gt;="&amp;DATE(2026,11,1),'🛢️ انقطاعات الوقود'!B5:B104,"&lt;"&amp;DATE(2026,11+1,1))</f>
        <v/>
      </c>
      <c r="R9" s="59">
        <f>COUNTIFS('🛢️ انقطاعات الوقود'!B5:B104,"&gt;="&amp;DATE(2026,12,1),'🛢️ انقطاعات الوقود'!B5:B104,"&lt;"&amp;DATE(2026,12+1,1))</f>
        <v/>
      </c>
    </row>
    <row r="10" ht="21.75" customHeight="1" s="40">
      <c r="A10" s="47" t="n">
        <v>3</v>
      </c>
      <c r="B10" s="48" t="inlineStr">
        <is>
          <t>توفر المواد المخزنية (تسليم ≤ 3 أيام)</t>
        </is>
      </c>
      <c r="C10" s="49" t="inlineStr">
        <is>
          <t>%</t>
        </is>
      </c>
      <c r="D10" s="50" t="inlineStr">
        <is>
          <t>100%</t>
        </is>
      </c>
      <c r="E10" s="51" t="inlineStr">
        <is>
          <t>خطة</t>
        </is>
      </c>
      <c r="F10" s="52" t="n"/>
      <c r="G10" s="60" t="n">
        <v>1</v>
      </c>
      <c r="H10" s="60" t="n">
        <v>1</v>
      </c>
      <c r="I10" s="60" t="n">
        <v>1</v>
      </c>
      <c r="J10" s="60" t="n">
        <v>1</v>
      </c>
      <c r="K10" s="60" t="n">
        <v>1</v>
      </c>
      <c r="L10" s="60" t="n">
        <v>1</v>
      </c>
      <c r="M10" s="60" t="n">
        <v>1</v>
      </c>
      <c r="N10" s="60" t="n">
        <v>1</v>
      </c>
      <c r="O10" s="60" t="n">
        <v>1</v>
      </c>
      <c r="P10" s="60" t="n">
        <v>1</v>
      </c>
      <c r="Q10" s="60" t="n">
        <v>1</v>
      </c>
      <c r="R10" s="60" t="n">
        <v>1</v>
      </c>
    </row>
    <row r="11" ht="21.75" customHeight="1" s="40">
      <c r="A11" s="54" t="n"/>
      <c r="B11" s="54" t="n"/>
      <c r="C11" s="54" t="n"/>
      <c r="D11" s="54" t="n"/>
      <c r="E11" s="55" t="inlineStr">
        <is>
          <t>فعلي</t>
        </is>
      </c>
      <c r="F11" s="56">
        <f>IFERROR(IF(AVERAGE(G10:R10)=0,"",IF(IFERROR(AVERAGEIF(G11:R11,"&gt;0",G11:R11),0)&gt;=AVERAGE(G10:R10),"✅ ",IF(IFERROR(AVERAGEIF(G11:R11,"&gt;0",G11:R11),0)&gt;=AVERAGE(G10:R10)*0.85,"🟡 ","🔴 "))&amp;TEXT((IFERROR(AVERAGEIF(G11:R11,"&gt;0",G11:R11),0)-AVERAGE(G10:R10))/AVERAGE(G10:R10),"+0.0%;-0.0%")),"")</f>
        <v/>
      </c>
      <c r="G11" s="61">
        <f>IFERROR(COUNTIFS('🛒 الطلبات والمشتريات'!C5:C204,"&gt;="&amp;DATE(2026,1,1),'🛒 الطلبات والمشتريات'!C5:C204,"&lt;"&amp;DATE(2026,1+1,1),'🛒 الطلبات والمشتريات'!D5:D204,"مواد مخزنية",'🛒 الطلبات والمشتريات'!I5:I204,"*ضمن*")/MAX(1,COUNTIFS('🛒 الطلبات والمشتريات'!C5:C204,"&gt;="&amp;DATE(2026,1,1),'🛒 الطلبات والمشتريات'!C5:C204,"&lt;"&amp;DATE(2026,1+1,1),'🛒 الطلبات والمشتريات'!D5:D204,"مواد مخزنية")),0)</f>
        <v/>
      </c>
      <c r="H11" s="61">
        <f>IFERROR(COUNTIFS('🛒 الطلبات والمشتريات'!C5:C204,"&gt;="&amp;DATE(2026,2,1),'🛒 الطلبات والمشتريات'!C5:C204,"&lt;"&amp;DATE(2026,2+1,1),'🛒 الطلبات والمشتريات'!D5:D204,"مواد مخزنية",'🛒 الطلبات والمشتريات'!I5:I204,"*ضمن*")/MAX(1,COUNTIFS('🛒 الطلبات والمشتريات'!C5:C204,"&gt;="&amp;DATE(2026,2,1),'🛒 الطلبات والمشتريات'!C5:C204,"&lt;"&amp;DATE(2026,2+1,1),'🛒 الطلبات والمشتريات'!D5:D204,"مواد مخزنية")),0)</f>
        <v/>
      </c>
      <c r="I11" s="61">
        <f>IFERROR(COUNTIFS('🛒 الطلبات والمشتريات'!C5:C204,"&gt;="&amp;DATE(2026,3,1),'🛒 الطلبات والمشتريات'!C5:C204,"&lt;"&amp;DATE(2026,3+1,1),'🛒 الطلبات والمشتريات'!D5:D204,"مواد مخزنية",'🛒 الطلبات والمشتريات'!I5:I204,"*ضمن*")/MAX(1,COUNTIFS('🛒 الطلبات والمشتريات'!C5:C204,"&gt;="&amp;DATE(2026,3,1),'🛒 الطلبات والمشتريات'!C5:C204,"&lt;"&amp;DATE(2026,3+1,1),'🛒 الطلبات والمشتريات'!D5:D204,"مواد مخزنية")),0)</f>
        <v/>
      </c>
      <c r="J11" s="61">
        <f>IFERROR(COUNTIFS('🛒 الطلبات والمشتريات'!C5:C204,"&gt;="&amp;DATE(2026,4,1),'🛒 الطلبات والمشتريات'!C5:C204,"&lt;"&amp;DATE(2026,4+1,1),'🛒 الطلبات والمشتريات'!D5:D204,"مواد مخزنية",'🛒 الطلبات والمشتريات'!I5:I204,"*ضمن*")/MAX(1,COUNTIFS('🛒 الطلبات والمشتريات'!C5:C204,"&gt;="&amp;DATE(2026,4,1),'🛒 الطلبات والمشتريات'!C5:C204,"&lt;"&amp;DATE(2026,4+1,1),'🛒 الطلبات والمشتريات'!D5:D204,"مواد مخزنية")),0)</f>
        <v/>
      </c>
      <c r="K11" s="61">
        <f>IFERROR(COUNTIFS('🛒 الطلبات والمشتريات'!C5:C204,"&gt;="&amp;DATE(2026,5,1),'🛒 الطلبات والمشتريات'!C5:C204,"&lt;"&amp;DATE(2026,5+1,1),'🛒 الطلبات والمشتريات'!D5:D204,"مواد مخزنية",'🛒 الطلبات والمشتريات'!I5:I204,"*ضمن*")/MAX(1,COUNTIFS('🛒 الطلبات والمشتريات'!C5:C204,"&gt;="&amp;DATE(2026,5,1),'🛒 الطلبات والمشتريات'!C5:C204,"&lt;"&amp;DATE(2026,5+1,1),'🛒 الطلبات والمشتريات'!D5:D204,"مواد مخزنية")),0)</f>
        <v/>
      </c>
      <c r="L11" s="61">
        <f>IFERROR(COUNTIFS('🛒 الطلبات والمشتريات'!C5:C204,"&gt;="&amp;DATE(2026,6,1),'🛒 الطلبات والمشتريات'!C5:C204,"&lt;"&amp;DATE(2026,6+1,1),'🛒 الطلبات والمشتريات'!D5:D204,"مواد مخزنية",'🛒 الطلبات والمشتريات'!I5:I204,"*ضمن*")/MAX(1,COUNTIFS('🛒 الطلبات والمشتريات'!C5:C204,"&gt;="&amp;DATE(2026,6,1),'🛒 الطلبات والمشتريات'!C5:C204,"&lt;"&amp;DATE(2026,6+1,1),'🛒 الطلبات والمشتريات'!D5:D204,"مواد مخزنية")),0)</f>
        <v/>
      </c>
      <c r="M11" s="61">
        <f>IFERROR(COUNTIFS('🛒 الطلبات والمشتريات'!C5:C204,"&gt;="&amp;DATE(2026,7,1),'🛒 الطلبات والمشتريات'!C5:C204,"&lt;"&amp;DATE(2026,7+1,1),'🛒 الطلبات والمشتريات'!D5:D204,"مواد مخزنية",'🛒 الطلبات والمشتريات'!I5:I204,"*ضمن*")/MAX(1,COUNTIFS('🛒 الطلبات والمشتريات'!C5:C204,"&gt;="&amp;DATE(2026,7,1),'🛒 الطلبات والمشتريات'!C5:C204,"&lt;"&amp;DATE(2026,7+1,1),'🛒 الطلبات والمشتريات'!D5:D204,"مواد مخزنية")),0)</f>
        <v/>
      </c>
      <c r="N11" s="61">
        <f>IFERROR(COUNTIFS('🛒 الطلبات والمشتريات'!C5:C204,"&gt;="&amp;DATE(2026,8,1),'🛒 الطلبات والمشتريات'!C5:C204,"&lt;"&amp;DATE(2026,8+1,1),'🛒 الطلبات والمشتريات'!D5:D204,"مواد مخزنية",'🛒 الطلبات والمشتريات'!I5:I204,"*ضمن*")/MAX(1,COUNTIFS('🛒 الطلبات والمشتريات'!C5:C204,"&gt;="&amp;DATE(2026,8,1),'🛒 الطلبات والمشتريات'!C5:C204,"&lt;"&amp;DATE(2026,8+1,1),'🛒 الطلبات والمشتريات'!D5:D204,"مواد مخزنية")),0)</f>
        <v/>
      </c>
      <c r="O11" s="61">
        <f>IFERROR(COUNTIFS('🛒 الطلبات والمشتريات'!C5:C204,"&gt;="&amp;DATE(2026,9,1),'🛒 الطلبات والمشتريات'!C5:C204,"&lt;"&amp;DATE(2026,9+1,1),'🛒 الطلبات والمشتريات'!D5:D204,"مواد مخزنية",'🛒 الطلبات والمشتريات'!I5:I204,"*ضمن*")/MAX(1,COUNTIFS('🛒 الطلبات والمشتريات'!C5:C204,"&gt;="&amp;DATE(2026,9,1),'🛒 الطلبات والمشتريات'!C5:C204,"&lt;"&amp;DATE(2026,9+1,1),'🛒 الطلبات والمشتريات'!D5:D204,"مواد مخزنية")),0)</f>
        <v/>
      </c>
      <c r="P11" s="61">
        <f>IFERROR(COUNTIFS('🛒 الطلبات والمشتريات'!C5:C204,"&gt;="&amp;DATE(2026,10,1),'🛒 الطلبات والمشتريات'!C5:C204,"&lt;"&amp;DATE(2026,10+1,1),'🛒 الطلبات والمشتريات'!D5:D204,"مواد مخزنية",'🛒 الطلبات والمشتريات'!I5:I204,"*ضمن*")/MAX(1,COUNTIFS('🛒 الطلبات والمشتريات'!C5:C204,"&gt;="&amp;DATE(2026,10,1),'🛒 الطلبات والمشتريات'!C5:C204,"&lt;"&amp;DATE(2026,10+1,1),'🛒 الطلبات والمشتريات'!D5:D204,"مواد مخزنية")),0)</f>
        <v/>
      </c>
      <c r="Q11" s="61">
        <f>IFERROR(COUNTIFS('🛒 الطلبات والمشتريات'!C5:C204,"&gt;="&amp;DATE(2026,11,1),'🛒 الطلبات والمشتريات'!C5:C204,"&lt;"&amp;DATE(2026,11+1,1),'🛒 الطلبات والمشتريات'!D5:D204,"مواد مخزنية",'🛒 الطلبات والمشتريات'!I5:I204,"*ضمن*")/MAX(1,COUNTIFS('🛒 الطلبات والمشتريات'!C5:C204,"&gt;="&amp;DATE(2026,11,1),'🛒 الطلبات والمشتريات'!C5:C204,"&lt;"&amp;DATE(2026,11+1,1),'🛒 الطلبات والمشتريات'!D5:D204,"مواد مخزنية")),0)</f>
        <v/>
      </c>
      <c r="R11" s="61">
        <f>IFERROR(COUNTIFS('🛒 الطلبات والمشتريات'!C5:C204,"&gt;="&amp;DATE(2026,12,1),'🛒 الطلبات والمشتريات'!C5:C204,"&lt;"&amp;DATE(2026,12+1,1),'🛒 الطلبات والمشتريات'!D5:D204,"مواد مخزنية",'🛒 الطلبات والمشتريات'!I5:I204,"*ضمن*")/MAX(1,COUNTIFS('🛒 الطلبات والمشتريات'!C5:C204,"&gt;="&amp;DATE(2026,12,1),'🛒 الطلبات والمشتريات'!C5:C204,"&lt;"&amp;DATE(2026,12+1,1),'🛒 الطلبات والمشتريات'!D5:D204,"مواد مخزنية")),0)</f>
        <v/>
      </c>
    </row>
    <row r="12" ht="21.75" customHeight="1" s="40">
      <c r="A12" s="47" t="n">
        <v>4</v>
      </c>
      <c r="B12" s="48" t="inlineStr">
        <is>
          <t>إصدار أوامر الشراء (≤ 5 أيام عمل)</t>
        </is>
      </c>
      <c r="C12" s="49" t="inlineStr">
        <is>
          <t>%</t>
        </is>
      </c>
      <c r="D12" s="50" t="inlineStr">
        <is>
          <t>≥ 95%</t>
        </is>
      </c>
      <c r="E12" s="51" t="inlineStr">
        <is>
          <t>خطة</t>
        </is>
      </c>
      <c r="F12" s="52" t="n"/>
      <c r="G12" s="60" t="n">
        <v>0.95</v>
      </c>
      <c r="H12" s="60" t="n">
        <v>0.95</v>
      </c>
      <c r="I12" s="60" t="n">
        <v>0.95</v>
      </c>
      <c r="J12" s="60" t="n">
        <v>0.95</v>
      </c>
      <c r="K12" s="60" t="n">
        <v>0.95</v>
      </c>
      <c r="L12" s="60" t="n">
        <v>0.95</v>
      </c>
      <c r="M12" s="60" t="n">
        <v>0.95</v>
      </c>
      <c r="N12" s="60" t="n">
        <v>0.95</v>
      </c>
      <c r="O12" s="60" t="n">
        <v>0.95</v>
      </c>
      <c r="P12" s="60" t="n">
        <v>0.95</v>
      </c>
      <c r="Q12" s="60" t="n">
        <v>0.95</v>
      </c>
      <c r="R12" s="60" t="n">
        <v>0.95</v>
      </c>
    </row>
    <row r="13" ht="21.75" customHeight="1" s="40">
      <c r="A13" s="54" t="n"/>
      <c r="B13" s="54" t="n"/>
      <c r="C13" s="54" t="n"/>
      <c r="D13" s="54" t="n"/>
      <c r="E13" s="55" t="inlineStr">
        <is>
          <t>فعلي</t>
        </is>
      </c>
      <c r="F13" s="56">
        <f>IFERROR(IF(AVERAGE(G12:R12)=0,"",IF(IFERROR(AVERAGEIF(G13:R13,"&gt;0",G13:R13),0)&gt;=AVERAGE(G12:R12),"✅ ",IF(IFERROR(AVERAGEIF(G13:R13,"&gt;0",G13:R13),0)&gt;=AVERAGE(G12:R12)*0.85,"🟡 ","🔴 "))&amp;TEXT((IFERROR(AVERAGEIF(G13:R13,"&gt;0",G13:R13),0)-AVERAGE(G12:R12))/AVERAGE(G12:R12),"+0.0%;-0.0%")),"")</f>
        <v/>
      </c>
      <c r="G13" s="61">
        <f>IFERROR(COUNTIFS('🛒 الطلبات والمشتريات'!C5:C204,"&gt;="&amp;DATE(2026,1,1),'🛒 الطلبات والمشتريات'!C5:C204,"&lt;"&amp;DATE(2026,1+1,1),'🛒 الطلبات والمشتريات'!D5:D204,"أمر شراء",'🛒 الطلبات والمشتريات'!I5:I204,"*ضمن*")/MAX(1,COUNTIFS('🛒 الطلبات والمشتريات'!C5:C204,"&gt;="&amp;DATE(2026,1,1),'🛒 الطلبات والمشتريات'!C5:C204,"&lt;"&amp;DATE(2026,1+1,1),'🛒 الطلبات والمشتريات'!D5:D204,"أمر شراء")),0)</f>
        <v/>
      </c>
      <c r="H13" s="61">
        <f>IFERROR(COUNTIFS('🛒 الطلبات والمشتريات'!C5:C204,"&gt;="&amp;DATE(2026,2,1),'🛒 الطلبات والمشتريات'!C5:C204,"&lt;"&amp;DATE(2026,2+1,1),'🛒 الطلبات والمشتريات'!D5:D204,"أمر شراء",'🛒 الطلبات والمشتريات'!I5:I204,"*ضمن*")/MAX(1,COUNTIFS('🛒 الطلبات والمشتريات'!C5:C204,"&gt;="&amp;DATE(2026,2,1),'🛒 الطلبات والمشتريات'!C5:C204,"&lt;"&amp;DATE(2026,2+1,1),'🛒 الطلبات والمشتريات'!D5:D204,"أمر شراء")),0)</f>
        <v/>
      </c>
      <c r="I13" s="61">
        <f>IFERROR(COUNTIFS('🛒 الطلبات والمشتريات'!C5:C204,"&gt;="&amp;DATE(2026,3,1),'🛒 الطلبات والمشتريات'!C5:C204,"&lt;"&amp;DATE(2026,3+1,1),'🛒 الطلبات والمشتريات'!D5:D204,"أمر شراء",'🛒 الطلبات والمشتريات'!I5:I204,"*ضمن*")/MAX(1,COUNTIFS('🛒 الطلبات والمشتريات'!C5:C204,"&gt;="&amp;DATE(2026,3,1),'🛒 الطلبات والمشتريات'!C5:C204,"&lt;"&amp;DATE(2026,3+1,1),'🛒 الطلبات والمشتريات'!D5:D204,"أمر شراء")),0)</f>
        <v/>
      </c>
      <c r="J13" s="61">
        <f>IFERROR(COUNTIFS('🛒 الطلبات والمشتريات'!C5:C204,"&gt;="&amp;DATE(2026,4,1),'🛒 الطلبات والمشتريات'!C5:C204,"&lt;"&amp;DATE(2026,4+1,1),'🛒 الطلبات والمشتريات'!D5:D204,"أمر شراء",'🛒 الطلبات والمشتريات'!I5:I204,"*ضمن*")/MAX(1,COUNTIFS('🛒 الطلبات والمشتريات'!C5:C204,"&gt;="&amp;DATE(2026,4,1),'🛒 الطلبات والمشتريات'!C5:C204,"&lt;"&amp;DATE(2026,4+1,1),'🛒 الطلبات والمشتريات'!D5:D204,"أمر شراء")),0)</f>
        <v/>
      </c>
      <c r="K13" s="61">
        <f>IFERROR(COUNTIFS('🛒 الطلبات والمشتريات'!C5:C204,"&gt;="&amp;DATE(2026,5,1),'🛒 الطلبات والمشتريات'!C5:C204,"&lt;"&amp;DATE(2026,5+1,1),'🛒 الطلبات والمشتريات'!D5:D204,"أمر شراء",'🛒 الطلبات والمشتريات'!I5:I204,"*ضمن*")/MAX(1,COUNTIFS('🛒 الطلبات والمشتريات'!C5:C204,"&gt;="&amp;DATE(2026,5,1),'🛒 الطلبات والمشتريات'!C5:C204,"&lt;"&amp;DATE(2026,5+1,1),'🛒 الطلبات والمشتريات'!D5:D204,"أمر شراء")),0)</f>
        <v/>
      </c>
      <c r="L13" s="61">
        <f>IFERROR(COUNTIFS('🛒 الطلبات والمشتريات'!C5:C204,"&gt;="&amp;DATE(2026,6,1),'🛒 الطلبات والمشتريات'!C5:C204,"&lt;"&amp;DATE(2026,6+1,1),'🛒 الطلبات والمشتريات'!D5:D204,"أمر شراء",'🛒 الطلبات والمشتريات'!I5:I204,"*ضمن*")/MAX(1,COUNTIFS('🛒 الطلبات والمشتريات'!C5:C204,"&gt;="&amp;DATE(2026,6,1),'🛒 الطلبات والمشتريات'!C5:C204,"&lt;"&amp;DATE(2026,6+1,1),'🛒 الطلبات والمشتريات'!D5:D204,"أمر شراء")),0)</f>
        <v/>
      </c>
      <c r="M13" s="61">
        <f>IFERROR(COUNTIFS('🛒 الطلبات والمشتريات'!C5:C204,"&gt;="&amp;DATE(2026,7,1),'🛒 الطلبات والمشتريات'!C5:C204,"&lt;"&amp;DATE(2026,7+1,1),'🛒 الطلبات والمشتريات'!D5:D204,"أمر شراء",'🛒 الطلبات والمشتريات'!I5:I204,"*ضمن*")/MAX(1,COUNTIFS('🛒 الطلبات والمشتريات'!C5:C204,"&gt;="&amp;DATE(2026,7,1),'🛒 الطلبات والمشتريات'!C5:C204,"&lt;"&amp;DATE(2026,7+1,1),'🛒 الطلبات والمشتريات'!D5:D204,"أمر شراء")),0)</f>
        <v/>
      </c>
      <c r="N13" s="61">
        <f>IFERROR(COUNTIFS('🛒 الطلبات والمشتريات'!C5:C204,"&gt;="&amp;DATE(2026,8,1),'🛒 الطلبات والمشتريات'!C5:C204,"&lt;"&amp;DATE(2026,8+1,1),'🛒 الطلبات والمشتريات'!D5:D204,"أمر شراء",'🛒 الطلبات والمشتريات'!I5:I204,"*ضمن*")/MAX(1,COUNTIFS('🛒 الطلبات والمشتريات'!C5:C204,"&gt;="&amp;DATE(2026,8,1),'🛒 الطلبات والمشتريات'!C5:C204,"&lt;"&amp;DATE(2026,8+1,1),'🛒 الطلبات والمشتريات'!D5:D204,"أمر شراء")),0)</f>
        <v/>
      </c>
      <c r="O13" s="61">
        <f>IFERROR(COUNTIFS('🛒 الطلبات والمشتريات'!C5:C204,"&gt;="&amp;DATE(2026,9,1),'🛒 الطلبات والمشتريات'!C5:C204,"&lt;"&amp;DATE(2026,9+1,1),'🛒 الطلبات والمشتريات'!D5:D204,"أمر شراء",'🛒 الطلبات والمشتريات'!I5:I204,"*ضمن*")/MAX(1,COUNTIFS('🛒 الطلبات والمشتريات'!C5:C204,"&gt;="&amp;DATE(2026,9,1),'🛒 الطلبات والمشتريات'!C5:C204,"&lt;"&amp;DATE(2026,9+1,1),'🛒 الطلبات والمشتريات'!D5:D204,"أمر شراء")),0)</f>
        <v/>
      </c>
      <c r="P13" s="61">
        <f>IFERROR(COUNTIFS('🛒 الطلبات والمشتريات'!C5:C204,"&gt;="&amp;DATE(2026,10,1),'🛒 الطلبات والمشتريات'!C5:C204,"&lt;"&amp;DATE(2026,10+1,1),'🛒 الطلبات والمشتريات'!D5:D204,"أمر شراء",'🛒 الطلبات والمشتريات'!I5:I204,"*ضمن*")/MAX(1,COUNTIFS('🛒 الطلبات والمشتريات'!C5:C204,"&gt;="&amp;DATE(2026,10,1),'🛒 الطلبات والمشتريات'!C5:C204,"&lt;"&amp;DATE(2026,10+1,1),'🛒 الطلبات والمشتريات'!D5:D204,"أمر شراء")),0)</f>
        <v/>
      </c>
      <c r="Q13" s="61">
        <f>IFERROR(COUNTIFS('🛒 الطلبات والمشتريات'!C5:C204,"&gt;="&amp;DATE(2026,11,1),'🛒 الطلبات والمشتريات'!C5:C204,"&lt;"&amp;DATE(2026,11+1,1),'🛒 الطلبات والمشتريات'!D5:D204,"أمر شراء",'🛒 الطلبات والمشتريات'!I5:I204,"*ضمن*")/MAX(1,COUNTIFS('🛒 الطلبات والمشتريات'!C5:C204,"&gt;="&amp;DATE(2026,11,1),'🛒 الطلبات والمشتريات'!C5:C204,"&lt;"&amp;DATE(2026,11+1,1),'🛒 الطلبات والمشتريات'!D5:D204,"أمر شراء")),0)</f>
        <v/>
      </c>
      <c r="R13" s="61">
        <f>IFERROR(COUNTIFS('🛒 الطلبات والمشتريات'!C5:C204,"&gt;="&amp;DATE(2026,12,1),'🛒 الطلبات والمشتريات'!C5:C204,"&lt;"&amp;DATE(2026,12+1,1),'🛒 الطلبات والمشتريات'!D5:D204,"أمر شراء",'🛒 الطلبات والمشتريات'!I5:I204,"*ضمن*")/MAX(1,COUNTIFS('🛒 الطلبات والمشتريات'!C5:C204,"&gt;="&amp;DATE(2026,12,1),'🛒 الطلبات والمشتريات'!C5:C204,"&lt;"&amp;DATE(2026,12+1,1),'🛒 الطلبات والمشتريات'!D5:D204,"أمر شراء")),0)</f>
        <v/>
      </c>
    </row>
    <row r="14" ht="21.75" customHeight="1" s="40">
      <c r="A14" s="47" t="n">
        <v>5</v>
      </c>
      <c r="B14" s="48" t="inlineStr">
        <is>
          <t>نسبة استيفاء طلبات المحطات (Fill Rate)</t>
        </is>
      </c>
      <c r="C14" s="49" t="inlineStr">
        <is>
          <t>%</t>
        </is>
      </c>
      <c r="D14" s="50" t="inlineStr">
        <is>
          <t>≥ 98%</t>
        </is>
      </c>
      <c r="E14" s="51" t="inlineStr">
        <is>
          <t>خطة</t>
        </is>
      </c>
      <c r="F14" s="52" t="n"/>
      <c r="G14" s="60" t="n">
        <v>0.98</v>
      </c>
      <c r="H14" s="60" t="n">
        <v>0.98</v>
      </c>
      <c r="I14" s="60" t="n">
        <v>0.98</v>
      </c>
      <c r="J14" s="60" t="n">
        <v>0.98</v>
      </c>
      <c r="K14" s="60" t="n">
        <v>0.98</v>
      </c>
      <c r="L14" s="60" t="n">
        <v>0.98</v>
      </c>
      <c r="M14" s="60" t="n">
        <v>0.98</v>
      </c>
      <c r="N14" s="60" t="n">
        <v>0.98</v>
      </c>
      <c r="O14" s="60" t="n">
        <v>0.98</v>
      </c>
      <c r="P14" s="60" t="n">
        <v>0.98</v>
      </c>
      <c r="Q14" s="60" t="n">
        <v>0.98</v>
      </c>
      <c r="R14" s="60" t="n">
        <v>0.98</v>
      </c>
    </row>
    <row r="15" ht="21.75" customHeight="1" s="40">
      <c r="A15" s="54" t="n"/>
      <c r="B15" s="54" t="n"/>
      <c r="C15" s="54" t="n"/>
      <c r="D15" s="54" t="n"/>
      <c r="E15" s="55" t="inlineStr">
        <is>
          <t>فعلي</t>
        </is>
      </c>
      <c r="F15" s="56">
        <f>IFERROR(IF(AVERAGE(G14:R14)=0,"",IF(IFERROR(AVERAGEIF(G15:R15,"&gt;0",G15:R15),0)&gt;=AVERAGE(G14:R14),"✅ ",IF(IFERROR(AVERAGEIF(G15:R15,"&gt;0",G15:R15),0)&gt;=AVERAGE(G14:R14)*0.85,"🟡 ","🔴 "))&amp;TEXT((IFERROR(AVERAGEIF(G15:R15,"&gt;0",G15:R15),0)-AVERAGE(G14:R14))/AVERAGE(G14:R14),"+0.0%;-0.0%")),"")</f>
        <v/>
      </c>
      <c r="G15" s="61">
        <f>IFERROR(COUNTIFS('🛒 الطلبات والمشتريات'!C5:C204,"&gt;="&amp;DATE(2026,1,1),'🛒 الطلبات والمشتريات'!C5:C204,"&lt;"&amp;DATE(2026,1+1,1),'🛒 الطلبات والمشتريات'!I5:I204,"*ضمن*")/MAX(1,COUNTIFS('🛒 الطلبات والمشتريات'!C5:C204,"&gt;="&amp;DATE(2026,1,1),'🛒 الطلبات والمشتريات'!C5:C204,"&lt;"&amp;DATE(2026,1+1,1))),0)</f>
        <v/>
      </c>
      <c r="H15" s="61">
        <f>IFERROR(COUNTIFS('🛒 الطلبات والمشتريات'!C5:C204,"&gt;="&amp;DATE(2026,2,1),'🛒 الطلبات والمشتريات'!C5:C204,"&lt;"&amp;DATE(2026,2+1,1),'🛒 الطلبات والمشتريات'!I5:I204,"*ضمن*")/MAX(1,COUNTIFS('🛒 الطلبات والمشتريات'!C5:C204,"&gt;="&amp;DATE(2026,2,1),'🛒 الطلبات والمشتريات'!C5:C204,"&lt;"&amp;DATE(2026,2+1,1))),0)</f>
        <v/>
      </c>
      <c r="I15" s="61">
        <f>IFERROR(COUNTIFS('🛒 الطلبات والمشتريات'!C5:C204,"&gt;="&amp;DATE(2026,3,1),'🛒 الطلبات والمشتريات'!C5:C204,"&lt;"&amp;DATE(2026,3+1,1),'🛒 الطلبات والمشتريات'!I5:I204,"*ضمن*")/MAX(1,COUNTIFS('🛒 الطلبات والمشتريات'!C5:C204,"&gt;="&amp;DATE(2026,3,1),'🛒 الطلبات والمشتريات'!C5:C204,"&lt;"&amp;DATE(2026,3+1,1))),0)</f>
        <v/>
      </c>
      <c r="J15" s="61">
        <f>IFERROR(COUNTIFS('🛒 الطلبات والمشتريات'!C5:C204,"&gt;="&amp;DATE(2026,4,1),'🛒 الطلبات والمشتريات'!C5:C204,"&lt;"&amp;DATE(2026,4+1,1),'🛒 الطلبات والمشتريات'!I5:I204,"*ضمن*")/MAX(1,COUNTIFS('🛒 الطلبات والمشتريات'!C5:C204,"&gt;="&amp;DATE(2026,4,1),'🛒 الطلبات والمشتريات'!C5:C204,"&lt;"&amp;DATE(2026,4+1,1))),0)</f>
        <v/>
      </c>
      <c r="K15" s="61">
        <f>IFERROR(COUNTIFS('🛒 الطلبات والمشتريات'!C5:C204,"&gt;="&amp;DATE(2026,5,1),'🛒 الطلبات والمشتريات'!C5:C204,"&lt;"&amp;DATE(2026,5+1,1),'🛒 الطلبات والمشتريات'!I5:I204,"*ضمن*")/MAX(1,COUNTIFS('🛒 الطلبات والمشتريات'!C5:C204,"&gt;="&amp;DATE(2026,5,1),'🛒 الطلبات والمشتريات'!C5:C204,"&lt;"&amp;DATE(2026,5+1,1))),0)</f>
        <v/>
      </c>
      <c r="L15" s="61">
        <f>IFERROR(COUNTIFS('🛒 الطلبات والمشتريات'!C5:C204,"&gt;="&amp;DATE(2026,6,1),'🛒 الطلبات والمشتريات'!C5:C204,"&lt;"&amp;DATE(2026,6+1,1),'🛒 الطلبات والمشتريات'!I5:I204,"*ضمن*")/MAX(1,COUNTIFS('🛒 الطلبات والمشتريات'!C5:C204,"&gt;="&amp;DATE(2026,6,1),'🛒 الطلبات والمشتريات'!C5:C204,"&lt;"&amp;DATE(2026,6+1,1))),0)</f>
        <v/>
      </c>
      <c r="M15" s="61">
        <f>IFERROR(COUNTIFS('🛒 الطلبات والمشتريات'!C5:C204,"&gt;="&amp;DATE(2026,7,1),'🛒 الطلبات والمشتريات'!C5:C204,"&lt;"&amp;DATE(2026,7+1,1),'🛒 الطلبات والمشتريات'!I5:I204,"*ضمن*")/MAX(1,COUNTIFS('🛒 الطلبات والمشتريات'!C5:C204,"&gt;="&amp;DATE(2026,7,1),'🛒 الطلبات والمشتريات'!C5:C204,"&lt;"&amp;DATE(2026,7+1,1))),0)</f>
        <v/>
      </c>
      <c r="N15" s="61">
        <f>IFERROR(COUNTIFS('🛒 الطلبات والمشتريات'!C5:C204,"&gt;="&amp;DATE(2026,8,1),'🛒 الطلبات والمشتريات'!C5:C204,"&lt;"&amp;DATE(2026,8+1,1),'🛒 الطلبات والمشتريات'!I5:I204,"*ضمن*")/MAX(1,COUNTIFS('🛒 الطلبات والمشتريات'!C5:C204,"&gt;="&amp;DATE(2026,8,1),'🛒 الطلبات والمشتريات'!C5:C204,"&lt;"&amp;DATE(2026,8+1,1))),0)</f>
        <v/>
      </c>
      <c r="O15" s="61">
        <f>IFERROR(COUNTIFS('🛒 الطلبات والمشتريات'!C5:C204,"&gt;="&amp;DATE(2026,9,1),'🛒 الطلبات والمشتريات'!C5:C204,"&lt;"&amp;DATE(2026,9+1,1),'🛒 الطلبات والمشتريات'!I5:I204,"*ضمن*")/MAX(1,COUNTIFS('🛒 الطلبات والمشتريات'!C5:C204,"&gt;="&amp;DATE(2026,9,1),'🛒 الطلبات والمشتريات'!C5:C204,"&lt;"&amp;DATE(2026,9+1,1))),0)</f>
        <v/>
      </c>
      <c r="P15" s="61">
        <f>IFERROR(COUNTIFS('🛒 الطلبات والمشتريات'!C5:C204,"&gt;="&amp;DATE(2026,10,1),'🛒 الطلبات والمشتريات'!C5:C204,"&lt;"&amp;DATE(2026,10+1,1),'🛒 الطلبات والمشتريات'!I5:I204,"*ضمن*")/MAX(1,COUNTIFS('🛒 الطلبات والمشتريات'!C5:C204,"&gt;="&amp;DATE(2026,10,1),'🛒 الطلبات والمشتريات'!C5:C204,"&lt;"&amp;DATE(2026,10+1,1))),0)</f>
        <v/>
      </c>
      <c r="Q15" s="61">
        <f>IFERROR(COUNTIFS('🛒 الطلبات والمشتريات'!C5:C204,"&gt;="&amp;DATE(2026,11,1),'🛒 الطلبات والمشتريات'!C5:C204,"&lt;"&amp;DATE(2026,11+1,1),'🛒 الطلبات والمشتريات'!I5:I204,"*ضمن*")/MAX(1,COUNTIFS('🛒 الطلبات والمشتريات'!C5:C204,"&gt;="&amp;DATE(2026,11,1),'🛒 الطلبات والمشتريات'!C5:C204,"&lt;"&amp;DATE(2026,11+1,1))),0)</f>
        <v/>
      </c>
      <c r="R15" s="61">
        <f>IFERROR(COUNTIFS('🛒 الطلبات والمشتريات'!C5:C204,"&gt;="&amp;DATE(2026,12,1),'🛒 الطلبات والمشتريات'!C5:C204,"&lt;"&amp;DATE(2026,12+1,1),'🛒 الطلبات والمشتريات'!I5:I204,"*ضمن*")/MAX(1,COUNTIFS('🛒 الطلبات والمشتريات'!C5:C204,"&gt;="&amp;DATE(2026,12,1),'🛒 الطلبات والمشتريات'!C5:C204,"&lt;"&amp;DATE(2026,12+1,1))),0)</f>
        <v/>
      </c>
    </row>
    <row r="16" ht="25.5" customHeight="1" s="40">
      <c r="A16" s="62" t="inlineStr">
        <is>
          <t xml:space="preserve">  ◀ 💰 التكاليف</t>
        </is>
      </c>
    </row>
    <row r="17" ht="21.75" customHeight="1" s="40">
      <c r="A17" s="47" t="n">
        <v>6</v>
      </c>
      <c r="B17" s="48" t="inlineStr">
        <is>
          <t>فواقد الوقود لكل 33K لتر</t>
        </is>
      </c>
      <c r="C17" s="49" t="inlineStr">
        <is>
          <t>لتر</t>
        </is>
      </c>
      <c r="D17" s="50" t="inlineStr">
        <is>
          <t>≤ 100</t>
        </is>
      </c>
      <c r="E17" s="51" t="inlineStr">
        <is>
          <t>خطة</t>
        </is>
      </c>
      <c r="F17" s="52" t="n"/>
      <c r="G17" s="63" t="n">
        <v>100</v>
      </c>
      <c r="H17" s="63" t="n">
        <v>100</v>
      </c>
      <c r="I17" s="63" t="n">
        <v>100</v>
      </c>
      <c r="J17" s="63" t="n">
        <v>100</v>
      </c>
      <c r="K17" s="63" t="n">
        <v>100</v>
      </c>
      <c r="L17" s="63" t="n">
        <v>100</v>
      </c>
      <c r="M17" s="63" t="n">
        <v>100</v>
      </c>
      <c r="N17" s="63" t="n">
        <v>100</v>
      </c>
      <c r="O17" s="63" t="n">
        <v>100</v>
      </c>
      <c r="P17" s="63" t="n">
        <v>100</v>
      </c>
      <c r="Q17" s="63" t="n">
        <v>100</v>
      </c>
      <c r="R17" s="63" t="n">
        <v>100</v>
      </c>
    </row>
    <row r="18" ht="21.75" customHeight="1" s="40">
      <c r="A18" s="54" t="n"/>
      <c r="B18" s="54" t="n"/>
      <c r="C18" s="54" t="n"/>
      <c r="D18" s="54" t="n"/>
      <c r="E18" s="55" t="inlineStr">
        <is>
          <t>فعلي</t>
        </is>
      </c>
      <c r="F18" s="56">
        <f>IFERROR(IF(AVERAGE(G17:R17)=0,"",IF(IFERROR(AVERAGEIF(G18:R18,"&gt;0",G18:R18),0)&lt;=AVERAGE(G17:R17),"✅ ",IF(IFERROR(AVERAGEIF(G18:R18,"&gt;0",G18:R18),0)&lt;=AVERAGE(G17:R17)*1.3,"🟡 ","🔴 "))&amp;TEXT((IFERROR(AVERAGEIF(G18:R18,"&gt;0",G18:R18),0)-AVERAGE(G17:R17))/AVERAGE(G17:R17),"+0.0%;-0.0%")),"")</f>
        <v/>
      </c>
      <c r="G18" s="64">
        <f>IFERROR(SUMIFS('💧 الردود والفاقد'!G5:G304,'💧 الردود والفاقد'!B5:B304,"&gt;="&amp;DATE(2026,1,1),'💧 الردود والفاقد'!B5:B304,"&lt;"&amp;DATE(2026,1+1,1))/COUNTIFS('💧 الردود والفاقد'!B5:B304,"&gt;="&amp;DATE(2026,1,1),'💧 الردود والفاقد'!B5:B304,"&lt;"&amp;DATE(2026,1+1,1)),0)</f>
        <v/>
      </c>
      <c r="H18" s="64">
        <f>IFERROR(SUMIFS('💧 الردود والفاقد'!G5:G304,'💧 الردود والفاقد'!B5:B304,"&gt;="&amp;DATE(2026,2,1),'💧 الردود والفاقد'!B5:B304,"&lt;"&amp;DATE(2026,2+1,1))/COUNTIFS('💧 الردود والفاقد'!B5:B304,"&gt;="&amp;DATE(2026,2,1),'💧 الردود والفاقد'!B5:B304,"&lt;"&amp;DATE(2026,2+1,1)),0)</f>
        <v/>
      </c>
      <c r="I18" s="64">
        <f>IFERROR(SUMIFS('💧 الردود والفاقد'!G5:G304,'💧 الردود والفاقد'!B5:B304,"&gt;="&amp;DATE(2026,3,1),'💧 الردود والفاقد'!B5:B304,"&lt;"&amp;DATE(2026,3+1,1))/COUNTIFS('💧 الردود والفاقد'!B5:B304,"&gt;="&amp;DATE(2026,3,1),'💧 الردود والفاقد'!B5:B304,"&lt;"&amp;DATE(2026,3+1,1)),0)</f>
        <v/>
      </c>
      <c r="J18" s="64">
        <f>IFERROR(SUMIFS('💧 الردود والفاقد'!G5:G304,'💧 الردود والفاقد'!B5:B304,"&gt;="&amp;DATE(2026,4,1),'💧 الردود والفاقد'!B5:B304,"&lt;"&amp;DATE(2026,4+1,1))/COUNTIFS('💧 الردود والفاقد'!B5:B304,"&gt;="&amp;DATE(2026,4,1),'💧 الردود والفاقد'!B5:B304,"&lt;"&amp;DATE(2026,4+1,1)),0)</f>
        <v/>
      </c>
      <c r="K18" s="64">
        <f>IFERROR(SUMIFS('💧 الردود والفاقد'!G5:G304,'💧 الردود والفاقد'!B5:B304,"&gt;="&amp;DATE(2026,5,1),'💧 الردود والفاقد'!B5:B304,"&lt;"&amp;DATE(2026,5+1,1))/COUNTIFS('💧 الردود والفاقد'!B5:B304,"&gt;="&amp;DATE(2026,5,1),'💧 الردود والفاقد'!B5:B304,"&lt;"&amp;DATE(2026,5+1,1)),0)</f>
        <v/>
      </c>
      <c r="L18" s="64">
        <f>IFERROR(SUMIFS('💧 الردود والفاقد'!G5:G304,'💧 الردود والفاقد'!B5:B304,"&gt;="&amp;DATE(2026,6,1),'💧 الردود والفاقد'!B5:B304,"&lt;"&amp;DATE(2026,6+1,1))/COUNTIFS('💧 الردود والفاقد'!B5:B304,"&gt;="&amp;DATE(2026,6,1),'💧 الردود والفاقد'!B5:B304,"&lt;"&amp;DATE(2026,6+1,1)),0)</f>
        <v/>
      </c>
      <c r="M18" s="64">
        <f>IFERROR(SUMIFS('💧 الردود والفاقد'!G5:G304,'💧 الردود والفاقد'!B5:B304,"&gt;="&amp;DATE(2026,7,1),'💧 الردود والفاقد'!B5:B304,"&lt;"&amp;DATE(2026,7+1,1))/COUNTIFS('💧 الردود والفاقد'!B5:B304,"&gt;="&amp;DATE(2026,7,1),'💧 الردود والفاقد'!B5:B304,"&lt;"&amp;DATE(2026,7+1,1)),0)</f>
        <v/>
      </c>
      <c r="N18" s="64">
        <f>IFERROR(SUMIFS('💧 الردود والفاقد'!G5:G304,'💧 الردود والفاقد'!B5:B304,"&gt;="&amp;DATE(2026,8,1),'💧 الردود والفاقد'!B5:B304,"&lt;"&amp;DATE(2026,8+1,1))/COUNTIFS('💧 الردود والفاقد'!B5:B304,"&gt;="&amp;DATE(2026,8,1),'💧 الردود والفاقد'!B5:B304,"&lt;"&amp;DATE(2026,8+1,1)),0)</f>
        <v/>
      </c>
      <c r="O18" s="64">
        <f>IFERROR(SUMIFS('💧 الردود والفاقد'!G5:G304,'💧 الردود والفاقد'!B5:B304,"&gt;="&amp;DATE(2026,9,1),'💧 الردود والفاقد'!B5:B304,"&lt;"&amp;DATE(2026,9+1,1))/COUNTIFS('💧 الردود والفاقد'!B5:B304,"&gt;="&amp;DATE(2026,9,1),'💧 الردود والفاقد'!B5:B304,"&lt;"&amp;DATE(2026,9+1,1)),0)</f>
        <v/>
      </c>
      <c r="P18" s="64">
        <f>IFERROR(SUMIFS('💧 الردود والفاقد'!G5:G304,'💧 الردود والفاقد'!B5:B304,"&gt;="&amp;DATE(2026,10,1),'💧 الردود والفاقد'!B5:B304,"&lt;"&amp;DATE(2026,10+1,1))/COUNTIFS('💧 الردود والفاقد'!B5:B304,"&gt;="&amp;DATE(2026,10,1),'💧 الردود والفاقد'!B5:B304,"&lt;"&amp;DATE(2026,10+1,1)),0)</f>
        <v/>
      </c>
      <c r="Q18" s="64">
        <f>IFERROR(SUMIFS('💧 الردود والفاقد'!G5:G304,'💧 الردود والفاقد'!B5:B304,"&gt;="&amp;DATE(2026,11,1),'💧 الردود والفاقد'!B5:B304,"&lt;"&amp;DATE(2026,11+1,1))/COUNTIFS('💧 الردود والفاقد'!B5:B304,"&gt;="&amp;DATE(2026,11,1),'💧 الردود والفاقد'!B5:B304,"&lt;"&amp;DATE(2026,11+1,1)),0)</f>
        <v/>
      </c>
      <c r="R18" s="64">
        <f>IFERROR(SUMIFS('💧 الردود والفاقد'!G5:G304,'💧 الردود والفاقد'!B5:B304,"&gt;="&amp;DATE(2026,12,1),'💧 الردود والفاقد'!B5:B304,"&lt;"&amp;DATE(2026,12+1,1))/COUNTIFS('💧 الردود والفاقد'!B5:B304,"&gt;="&amp;DATE(2026,12,1),'💧 الردود والفاقد'!B5:B304,"&lt;"&amp;DATE(2026,12+1,1)),0)</f>
        <v/>
      </c>
    </row>
    <row r="19" ht="21.75" customHeight="1" s="40">
      <c r="A19" s="47" t="n">
        <v>7</v>
      </c>
      <c r="B19" s="48" t="inlineStr">
        <is>
          <t>نسبة المواد التالفة (يدوي شهرياً)</t>
        </is>
      </c>
      <c r="C19" s="49" t="inlineStr">
        <is>
          <t>%</t>
        </is>
      </c>
      <c r="D19" s="50" t="inlineStr">
        <is>
          <t>≤ 2%</t>
        </is>
      </c>
      <c r="E19" s="51" t="inlineStr">
        <is>
          <t>خطة</t>
        </is>
      </c>
      <c r="F19" s="52" t="n"/>
      <c r="G19" s="60" t="n">
        <v>0.02</v>
      </c>
      <c r="H19" s="60" t="n">
        <v>0.02</v>
      </c>
      <c r="I19" s="60" t="n">
        <v>0.02</v>
      </c>
      <c r="J19" s="60" t="n">
        <v>0.02</v>
      </c>
      <c r="K19" s="60" t="n">
        <v>0.02</v>
      </c>
      <c r="L19" s="60" t="n">
        <v>0.02</v>
      </c>
      <c r="M19" s="60" t="n">
        <v>0.02</v>
      </c>
      <c r="N19" s="60" t="n">
        <v>0.02</v>
      </c>
      <c r="O19" s="60" t="n">
        <v>0.02</v>
      </c>
      <c r="P19" s="60" t="n">
        <v>0.02</v>
      </c>
      <c r="Q19" s="60" t="n">
        <v>0.02</v>
      </c>
      <c r="R19" s="60" t="n">
        <v>0.02</v>
      </c>
    </row>
    <row r="20" ht="21.75" customHeight="1" s="40">
      <c r="A20" s="54" t="n"/>
      <c r="B20" s="54" t="n"/>
      <c r="C20" s="54" t="n"/>
      <c r="D20" s="54" t="n"/>
      <c r="E20" s="55" t="inlineStr">
        <is>
          <t>فعلي</t>
        </is>
      </c>
      <c r="F20" s="56">
        <f>IFERROR(IF(AVERAGE(G19:R19)=0,"",IF(IFERROR(AVERAGEIF(G20:R20,"&gt;0",G20:R20),0)&lt;=AVERAGE(G19:R19),"✅ ",IF(IFERROR(AVERAGEIF(G20:R20,"&gt;0",G20:R20),0)&lt;=AVERAGE(G19:R19)*1.3,"🟡 ","🔴 "))&amp;TEXT((IFERROR(AVERAGEIF(G20:R20,"&gt;0",G20:R20),0)-AVERAGE(G19:R19))/AVERAGE(G19:R19),"+0.0%;-0.0%")),"")</f>
        <v/>
      </c>
      <c r="G20" s="61" t="n">
        <v>0</v>
      </c>
      <c r="H20" s="61" t="n">
        <v>0</v>
      </c>
      <c r="I20" s="61" t="n">
        <v>0</v>
      </c>
      <c r="J20" s="61" t="n">
        <v>0</v>
      </c>
      <c r="K20" s="61" t="n">
        <v>0</v>
      </c>
      <c r="L20" s="61" t="n">
        <v>0</v>
      </c>
      <c r="M20" s="61" t="n">
        <v>0</v>
      </c>
      <c r="N20" s="61" t="n">
        <v>0</v>
      </c>
      <c r="O20" s="61" t="n">
        <v>0</v>
      </c>
      <c r="P20" s="61" t="n">
        <v>0</v>
      </c>
      <c r="Q20" s="61" t="n">
        <v>0</v>
      </c>
      <c r="R20" s="61" t="n">
        <v>0</v>
      </c>
    </row>
    <row r="21" ht="25.5" customHeight="1" s="40">
      <c r="A21" s="65" t="inlineStr">
        <is>
          <t xml:space="preserve">  ◀ 🏦 السيولة المالية</t>
        </is>
      </c>
    </row>
    <row r="22" ht="21.75" customHeight="1" s="40">
      <c r="A22" s="47" t="n">
        <v>8</v>
      </c>
      <c r="B22" s="48" t="inlineStr">
        <is>
          <t>كمية مخزون الوقود (أيام)</t>
        </is>
      </c>
      <c r="C22" s="49" t="inlineStr">
        <is>
          <t>يوم</t>
        </is>
      </c>
      <c r="D22" s="50" t="inlineStr">
        <is>
          <t>≤ 3</t>
        </is>
      </c>
      <c r="E22" s="51" t="inlineStr">
        <is>
          <t>خطة</t>
        </is>
      </c>
      <c r="F22" s="52" t="n"/>
      <c r="G22" s="63" t="n">
        <v>3</v>
      </c>
      <c r="H22" s="63" t="n">
        <v>3</v>
      </c>
      <c r="I22" s="63" t="n">
        <v>3</v>
      </c>
      <c r="J22" s="63" t="n">
        <v>3</v>
      </c>
      <c r="K22" s="63" t="n">
        <v>3</v>
      </c>
      <c r="L22" s="63" t="n">
        <v>3</v>
      </c>
      <c r="M22" s="63" t="n">
        <v>3</v>
      </c>
      <c r="N22" s="63" t="n">
        <v>3</v>
      </c>
      <c r="O22" s="63" t="n">
        <v>3</v>
      </c>
      <c r="P22" s="63" t="n">
        <v>3</v>
      </c>
      <c r="Q22" s="63" t="n">
        <v>3</v>
      </c>
      <c r="R22" s="63" t="n">
        <v>3</v>
      </c>
    </row>
    <row r="23" ht="21.75" customHeight="1" s="40">
      <c r="A23" s="54" t="n"/>
      <c r="B23" s="54" t="n"/>
      <c r="C23" s="54" t="n"/>
      <c r="D23" s="54" t="n"/>
      <c r="E23" s="55" t="inlineStr">
        <is>
          <t>فعلي</t>
        </is>
      </c>
      <c r="F23" s="56">
        <f>IFERROR(IF(AVERAGE(G22:R22)=0,"",IF(IFERROR(AVERAGEIF(G23:R23,"&gt;0",G23:R23),0)&lt;=AVERAGE(G22:R22),"✅ ",IF(IFERROR(AVERAGEIF(G23:R23,"&gt;0",G23:R23),0)&lt;=AVERAGE(G22:R22)*1.3,"🟡 ","🔴 "))&amp;TEXT((IFERROR(AVERAGEIF(G23:R23,"&gt;0",G23:R23),0)-AVERAGE(G22:R22))/AVERAGE(G22:R22),"+0.0%;-0.0%")),"")</f>
        <v/>
      </c>
      <c r="G23" s="64">
        <f>IFERROR(AVERAGEIFS('📦 المخزون'!I5:I304,'📦 المخزون'!C5:C304,1,'📦 المخزون'!F5:F304,"وقود"),0)</f>
        <v/>
      </c>
      <c r="H23" s="64">
        <f>IFERROR(AVERAGEIFS('📦 المخزون'!I5:I304,'📦 المخزون'!C5:C304,2,'📦 المخزون'!F5:F304,"وقود"),0)</f>
        <v/>
      </c>
      <c r="I23" s="64">
        <f>IFERROR(AVERAGEIFS('📦 المخزون'!I5:I304,'📦 المخزون'!C5:C304,3,'📦 المخزون'!F5:F304,"وقود"),0)</f>
        <v/>
      </c>
      <c r="J23" s="64">
        <f>IFERROR(AVERAGEIFS('📦 المخزون'!I5:I304,'📦 المخزون'!C5:C304,4,'📦 المخزون'!F5:F304,"وقود"),0)</f>
        <v/>
      </c>
      <c r="K23" s="64">
        <f>IFERROR(AVERAGEIFS('📦 المخزون'!I5:I304,'📦 المخزون'!C5:C304,5,'📦 المخزون'!F5:F304,"وقود"),0)</f>
        <v/>
      </c>
      <c r="L23" s="64">
        <f>IFERROR(AVERAGEIFS('📦 المخزون'!I5:I304,'📦 المخزون'!C5:C304,6,'📦 المخزون'!F5:F304,"وقود"),0)</f>
        <v/>
      </c>
      <c r="M23" s="64">
        <f>IFERROR(AVERAGEIFS('📦 المخزون'!I5:I304,'📦 المخزون'!C5:C304,7,'📦 المخزون'!F5:F304,"وقود"),0)</f>
        <v/>
      </c>
      <c r="N23" s="64">
        <f>IFERROR(AVERAGEIFS('📦 المخزون'!I5:I304,'📦 المخزون'!C5:C304,8,'📦 المخزون'!F5:F304,"وقود"),0)</f>
        <v/>
      </c>
      <c r="O23" s="64">
        <f>IFERROR(AVERAGEIFS('📦 المخزون'!I5:I304,'📦 المخزون'!C5:C304,9,'📦 المخزون'!F5:F304,"وقود"),0)</f>
        <v/>
      </c>
      <c r="P23" s="64">
        <f>IFERROR(AVERAGEIFS('📦 المخزون'!I5:I304,'📦 المخزون'!C5:C304,10,'📦 المخزون'!F5:F304,"وقود"),0)</f>
        <v/>
      </c>
      <c r="Q23" s="64">
        <f>IFERROR(AVERAGEIFS('📦 المخزون'!I5:I304,'📦 المخزون'!C5:C304,11,'📦 المخزون'!F5:F304,"وقود"),0)</f>
        <v/>
      </c>
      <c r="R23" s="64">
        <f>IFERROR(AVERAGEIFS('📦 المخزون'!I5:I304,'📦 المخزون'!C5:C304,12,'📦 المخزون'!F5:F304,"وقود"),0)</f>
        <v/>
      </c>
    </row>
    <row r="24" ht="21.75" customHeight="1" s="40">
      <c r="A24" s="47" t="n">
        <v>9</v>
      </c>
      <c r="B24" s="48" t="inlineStr">
        <is>
          <t>معدل دوران المخزون (مرات/شهر)</t>
        </is>
      </c>
      <c r="C24" s="49" t="inlineStr">
        <is>
          <t>مرة</t>
        </is>
      </c>
      <c r="D24" s="50" t="inlineStr">
        <is>
          <t>≥ 10</t>
        </is>
      </c>
      <c r="E24" s="51" t="inlineStr">
        <is>
          <t>خطة</t>
        </is>
      </c>
      <c r="F24" s="52" t="n"/>
      <c r="G24" s="63" t="n">
        <v>10</v>
      </c>
      <c r="H24" s="63" t="n">
        <v>10</v>
      </c>
      <c r="I24" s="63" t="n">
        <v>10</v>
      </c>
      <c r="J24" s="63" t="n">
        <v>10</v>
      </c>
      <c r="K24" s="63" t="n">
        <v>10</v>
      </c>
      <c r="L24" s="63" t="n">
        <v>10</v>
      </c>
      <c r="M24" s="63" t="n">
        <v>10</v>
      </c>
      <c r="N24" s="63" t="n">
        <v>10</v>
      </c>
      <c r="O24" s="63" t="n">
        <v>10</v>
      </c>
      <c r="P24" s="63" t="n">
        <v>10</v>
      </c>
      <c r="Q24" s="63" t="n">
        <v>10</v>
      </c>
      <c r="R24" s="63" t="n">
        <v>10</v>
      </c>
    </row>
    <row r="25" ht="21.75" customHeight="1" s="40">
      <c r="A25" s="54" t="n"/>
      <c r="B25" s="54" t="n"/>
      <c r="C25" s="54" t="n"/>
      <c r="D25" s="54" t="n"/>
      <c r="E25" s="55" t="inlineStr">
        <is>
          <t>فعلي</t>
        </is>
      </c>
      <c r="F25" s="56">
        <f>IFERROR(IF(AVERAGE(G24:R24)=0,"",IF(IFERROR(AVERAGEIF(G25:R25,"&gt;0",G25:R25),0)&gt;=AVERAGE(G24:R24),"✅ ",IF(IFERROR(AVERAGEIF(G25:R25,"&gt;0",G25:R25),0)&gt;=AVERAGE(G24:R24)*0.85,"🟡 ","🔴 "))&amp;TEXT((IFERROR(AVERAGEIF(G25:R25,"&gt;0",G25:R25),0)-AVERAGE(G24:R24))/AVERAGE(G24:R24),"+0.0%;-0.0%")),"")</f>
        <v/>
      </c>
      <c r="G25" s="64">
        <f>IFERROR(30/AVERAGEIFS('📦 المخزون'!I5:I304,'📦 المخزون'!C5:C304,1,'📦 المخزون'!F5:F304,"وقود"),0)</f>
        <v/>
      </c>
      <c r="H25" s="64">
        <f>IFERROR(30/AVERAGEIFS('📦 المخزون'!I5:I304,'📦 المخزون'!C5:C304,2,'📦 المخزون'!F5:F304,"وقود"),0)</f>
        <v/>
      </c>
      <c r="I25" s="64">
        <f>IFERROR(30/AVERAGEIFS('📦 المخزون'!I5:I304,'📦 المخزون'!C5:C304,3,'📦 المخزون'!F5:F304,"وقود"),0)</f>
        <v/>
      </c>
      <c r="J25" s="64">
        <f>IFERROR(30/AVERAGEIFS('📦 المخزون'!I5:I304,'📦 المخزون'!C5:C304,4,'📦 المخزون'!F5:F304,"وقود"),0)</f>
        <v/>
      </c>
      <c r="K25" s="64">
        <f>IFERROR(30/AVERAGEIFS('📦 المخزون'!I5:I304,'📦 المخزون'!C5:C304,5,'📦 المخزون'!F5:F304,"وقود"),0)</f>
        <v/>
      </c>
      <c r="L25" s="64">
        <f>IFERROR(30/AVERAGEIFS('📦 المخزون'!I5:I304,'📦 المخزون'!C5:C304,6,'📦 المخزون'!F5:F304,"وقود"),0)</f>
        <v/>
      </c>
      <c r="M25" s="64">
        <f>IFERROR(30/AVERAGEIFS('📦 المخزون'!I5:I304,'📦 المخزون'!C5:C304,7,'📦 المخزون'!F5:F304,"وقود"),0)</f>
        <v/>
      </c>
      <c r="N25" s="64">
        <f>IFERROR(30/AVERAGEIFS('📦 المخزون'!I5:I304,'📦 المخزون'!C5:C304,8,'📦 المخزون'!F5:F304,"وقود"),0)</f>
        <v/>
      </c>
      <c r="O25" s="64">
        <f>IFERROR(30/AVERAGEIFS('📦 المخزون'!I5:I304,'📦 المخزون'!C5:C304,9,'📦 المخزون'!F5:F304,"وقود"),0)</f>
        <v/>
      </c>
      <c r="P25" s="64">
        <f>IFERROR(30/AVERAGEIFS('📦 المخزون'!I5:I304,'📦 المخزون'!C5:C304,10,'📦 المخزون'!F5:F304,"وقود"),0)</f>
        <v/>
      </c>
      <c r="Q25" s="64">
        <f>IFERROR(30/AVERAGEIFS('📦 المخزون'!I5:I304,'📦 المخزون'!C5:C304,11,'📦 المخزون'!F5:F304,"وقود"),0)</f>
        <v/>
      </c>
      <c r="R25" s="64">
        <f>IFERROR(30/AVERAGEIFS('📦 المخزون'!I5:I304,'📦 المخزون'!C5:C304,12,'📦 المخزون'!F5:F304,"وقود"),0)</f>
        <v/>
      </c>
    </row>
    <row r="26" ht="25.5" customHeight="1" s="40">
      <c r="A26" s="66" t="inlineStr">
        <is>
          <t xml:space="preserve">  ◀ 🛡️ السلامة والامتثال</t>
        </is>
      </c>
    </row>
    <row r="27" ht="21.75" customHeight="1" s="40">
      <c r="A27" s="47" t="n">
        <v>10</v>
      </c>
      <c r="B27" s="48" t="inlineStr">
        <is>
          <t>عدد حوادث النقل الشهرية</t>
        </is>
      </c>
      <c r="C27" s="49" t="inlineStr">
        <is>
          <t>حادث</t>
        </is>
      </c>
      <c r="D27" s="50" t="inlineStr">
        <is>
          <t>0</t>
        </is>
      </c>
      <c r="E27" s="51" t="inlineStr">
        <is>
          <t>خطة</t>
        </is>
      </c>
      <c r="F27" s="52" t="n"/>
      <c r="G27" s="58" t="n">
        <v>0</v>
      </c>
      <c r="H27" s="58" t="n">
        <v>0</v>
      </c>
      <c r="I27" s="58" t="n">
        <v>0</v>
      </c>
      <c r="J27" s="58" t="n">
        <v>0</v>
      </c>
      <c r="K27" s="58" t="n">
        <v>0</v>
      </c>
      <c r="L27" s="58" t="n">
        <v>0</v>
      </c>
      <c r="M27" s="58" t="n">
        <v>0</v>
      </c>
      <c r="N27" s="58" t="n">
        <v>0</v>
      </c>
      <c r="O27" s="58" t="n">
        <v>0</v>
      </c>
      <c r="P27" s="58" t="n">
        <v>0</v>
      </c>
      <c r="Q27" s="58" t="n">
        <v>0</v>
      </c>
      <c r="R27" s="58" t="n">
        <v>0</v>
      </c>
    </row>
    <row r="28" ht="21.75" customHeight="1" s="40">
      <c r="A28" s="54" t="n"/>
      <c r="B28" s="54" t="n"/>
      <c r="C28" s="54" t="n"/>
      <c r="D28" s="54" t="n"/>
      <c r="E28" s="55" t="inlineStr">
        <is>
          <t>فعلي</t>
        </is>
      </c>
      <c r="F28" s="56">
        <f>IFERROR(IF(AVERAGE(G27:R27)=0,"",IF(IFERROR(AVERAGEIF(G28:R28,"&gt;0",G28:R28),0)&lt;=AVERAGE(G27:R27),"✅ ",IF(IFERROR(AVERAGEIF(G28:R28,"&gt;0",G28:R28),0)&lt;=AVERAGE(G27:R27)*1.3,"🟡 ","🔴 "))&amp;TEXT((IFERROR(AVERAGEIF(G28:R28,"&gt;0",G28:R28),0)-AVERAGE(G27:R27))/AVERAGE(G27:R27),"+0.0%;-0.0%")),"")</f>
        <v/>
      </c>
      <c r="G28" s="59">
        <f>COUNTIFS('🚚 النقل والرحلات'!B5:B304,"&gt;="&amp;DATE(2026,1,1),'🚚 النقل والرحلات'!B5:B304,"&lt;"&amp;DATE(2026,1+1,1),'🚚 النقل والرحلات'!K5:K304,"&lt;&gt;لا يوجد",'🚚 النقل والرحلات'!K5:K304,"&lt;&gt;")</f>
        <v/>
      </c>
      <c r="H28" s="59">
        <f>COUNTIFS('🚚 النقل والرحلات'!B5:B304,"&gt;="&amp;DATE(2026,2,1),'🚚 النقل والرحلات'!B5:B304,"&lt;"&amp;DATE(2026,2+1,1),'🚚 النقل والرحلات'!K5:K304,"&lt;&gt;لا يوجد",'🚚 النقل والرحلات'!K5:K304,"&lt;&gt;")</f>
        <v/>
      </c>
      <c r="I28" s="59">
        <f>COUNTIFS('🚚 النقل والرحلات'!B5:B304,"&gt;="&amp;DATE(2026,3,1),'🚚 النقل والرحلات'!B5:B304,"&lt;"&amp;DATE(2026,3+1,1),'🚚 النقل والرحلات'!K5:K304,"&lt;&gt;لا يوجد",'🚚 النقل والرحلات'!K5:K304,"&lt;&gt;")</f>
        <v/>
      </c>
      <c r="J28" s="59">
        <f>COUNTIFS('🚚 النقل والرحلات'!B5:B304,"&gt;="&amp;DATE(2026,4,1),'🚚 النقل والرحلات'!B5:B304,"&lt;"&amp;DATE(2026,4+1,1),'🚚 النقل والرحلات'!K5:K304,"&lt;&gt;لا يوجد",'🚚 النقل والرحلات'!K5:K304,"&lt;&gt;")</f>
        <v/>
      </c>
      <c r="K28" s="59">
        <f>COUNTIFS('🚚 النقل والرحلات'!B5:B304,"&gt;="&amp;DATE(2026,5,1),'🚚 النقل والرحلات'!B5:B304,"&lt;"&amp;DATE(2026,5+1,1),'🚚 النقل والرحلات'!K5:K304,"&lt;&gt;لا يوجد",'🚚 النقل والرحلات'!K5:K304,"&lt;&gt;")</f>
        <v/>
      </c>
      <c r="L28" s="59">
        <f>COUNTIFS('🚚 النقل والرحلات'!B5:B304,"&gt;="&amp;DATE(2026,6,1),'🚚 النقل والرحلات'!B5:B304,"&lt;"&amp;DATE(2026,6+1,1),'🚚 النقل والرحلات'!K5:K304,"&lt;&gt;لا يوجد",'🚚 النقل والرحلات'!K5:K304,"&lt;&gt;")</f>
        <v/>
      </c>
      <c r="M28" s="59">
        <f>COUNTIFS('🚚 النقل والرحلات'!B5:B304,"&gt;="&amp;DATE(2026,7,1),'🚚 النقل والرحلات'!B5:B304,"&lt;"&amp;DATE(2026,7+1,1),'🚚 النقل والرحلات'!K5:K304,"&lt;&gt;لا يوجد",'🚚 النقل والرحلات'!K5:K304,"&lt;&gt;")</f>
        <v/>
      </c>
      <c r="N28" s="59">
        <f>COUNTIFS('🚚 النقل والرحلات'!B5:B304,"&gt;="&amp;DATE(2026,8,1),'🚚 النقل والرحلات'!B5:B304,"&lt;"&amp;DATE(2026,8+1,1),'🚚 النقل والرحلات'!K5:K304,"&lt;&gt;لا يوجد",'🚚 النقل والرحلات'!K5:K304,"&lt;&gt;")</f>
        <v/>
      </c>
      <c r="O28" s="59">
        <f>COUNTIFS('🚚 النقل والرحلات'!B5:B304,"&gt;="&amp;DATE(2026,9,1),'🚚 النقل والرحلات'!B5:B304,"&lt;"&amp;DATE(2026,9+1,1),'🚚 النقل والرحلات'!K5:K304,"&lt;&gt;لا يوجد",'🚚 النقل والرحلات'!K5:K304,"&lt;&gt;")</f>
        <v/>
      </c>
      <c r="P28" s="59">
        <f>COUNTIFS('🚚 النقل والرحلات'!B5:B304,"&gt;="&amp;DATE(2026,10,1),'🚚 النقل والرحلات'!B5:B304,"&lt;"&amp;DATE(2026,10+1,1),'🚚 النقل والرحلات'!K5:K304,"&lt;&gt;لا يوجد",'🚚 النقل والرحلات'!K5:K304,"&lt;&gt;")</f>
        <v/>
      </c>
      <c r="Q28" s="59">
        <f>COUNTIFS('🚚 النقل والرحلات'!B5:B304,"&gt;="&amp;DATE(2026,11,1),'🚚 النقل والرحلات'!B5:B304,"&lt;"&amp;DATE(2026,11+1,1),'🚚 النقل والرحلات'!K5:K304,"&lt;&gt;لا يوجد",'🚚 النقل والرحلات'!K5:K304,"&lt;&gt;")</f>
        <v/>
      </c>
      <c r="R28" s="59">
        <f>COUNTIFS('🚚 النقل والرحلات'!B5:B304,"&gt;="&amp;DATE(2026,12,1),'🚚 النقل والرحلات'!B5:B304,"&lt;"&amp;DATE(2026,12+1,1),'🚚 النقل والرحلات'!K5:K304,"&lt;&gt;لا يوجد",'🚚 النقل والرحلات'!K5:K304,"&lt;&gt;")</f>
        <v/>
      </c>
    </row>
    <row r="29" ht="21.75" customHeight="1" s="40">
      <c r="A29" s="47" t="n">
        <v>11</v>
      </c>
      <c r="B29" s="48" t="inlineStr">
        <is>
          <t>معدل امتثال السائقين (بدون مخالفات)</t>
        </is>
      </c>
      <c r="C29" s="49" t="inlineStr">
        <is>
          <t>%</t>
        </is>
      </c>
      <c r="D29" s="50" t="inlineStr">
        <is>
          <t>≥ 95%</t>
        </is>
      </c>
      <c r="E29" s="51" t="inlineStr">
        <is>
          <t>خطة</t>
        </is>
      </c>
      <c r="F29" s="52" t="n"/>
      <c r="G29" s="60" t="n">
        <v>0.95</v>
      </c>
      <c r="H29" s="60" t="n">
        <v>0.95</v>
      </c>
      <c r="I29" s="60" t="n">
        <v>0.95</v>
      </c>
      <c r="J29" s="60" t="n">
        <v>0.95</v>
      </c>
      <c r="K29" s="60" t="n">
        <v>0.95</v>
      </c>
      <c r="L29" s="60" t="n">
        <v>0.95</v>
      </c>
      <c r="M29" s="60" t="n">
        <v>0.95</v>
      </c>
      <c r="N29" s="60" t="n">
        <v>0.95</v>
      </c>
      <c r="O29" s="60" t="n">
        <v>0.95</v>
      </c>
      <c r="P29" s="60" t="n">
        <v>0.95</v>
      </c>
      <c r="Q29" s="60" t="n">
        <v>0.95</v>
      </c>
      <c r="R29" s="60" t="n">
        <v>0.95</v>
      </c>
    </row>
    <row r="30" ht="21.75" customHeight="1" s="40">
      <c r="A30" s="54" t="n"/>
      <c r="B30" s="54" t="n"/>
      <c r="C30" s="54" t="n"/>
      <c r="D30" s="54" t="n"/>
      <c r="E30" s="55" t="inlineStr">
        <is>
          <t>فعلي</t>
        </is>
      </c>
      <c r="F30" s="56">
        <f>IFERROR(IF(AVERAGE(G29:R29)=0,"",IF(IFERROR(AVERAGEIF(G30:R30,"&gt;0",G30:R30),0)&gt;=AVERAGE(G29:R29),"✅ ",IF(IFERROR(AVERAGEIF(G30:R30,"&gt;0",G30:R30),0)&gt;=AVERAGE(G29:R29)*0.85,"🟡 ","🔴 "))&amp;TEXT((IFERROR(AVERAGEIF(G30:R30,"&gt;0",G30:R30),0)-AVERAGE(G29:R29))/AVERAGE(G29:R29),"+0.0%;-0.0%")),"")</f>
        <v/>
      </c>
      <c r="G30" s="61">
        <f>IFERROR(COUNTIFS('🚚 النقل والرحلات'!B5:B304,"&gt;="&amp;DATE(2026,1,1),'🚚 النقل والرحلات'!B5:B304,"&lt;"&amp;DATE(2026,1+1,1),'🚚 النقل والرحلات'!K5:K304,"لا يوجد")/MAX(1,COUNTIFS('🚚 النقل والرحلات'!B5:B304,"&gt;="&amp;DATE(2026,1,1),'🚚 النقل والرحلات'!B5:B304,"&lt;"&amp;DATE(2026,1+1,1))),0)</f>
        <v/>
      </c>
      <c r="H30" s="61">
        <f>IFERROR(COUNTIFS('🚚 النقل والرحلات'!B5:B304,"&gt;="&amp;DATE(2026,2,1),'🚚 النقل والرحلات'!B5:B304,"&lt;"&amp;DATE(2026,2+1,1),'🚚 النقل والرحلات'!K5:K304,"لا يوجد")/MAX(1,COUNTIFS('🚚 النقل والرحلات'!B5:B304,"&gt;="&amp;DATE(2026,2,1),'🚚 النقل والرحلات'!B5:B304,"&lt;"&amp;DATE(2026,2+1,1))),0)</f>
        <v/>
      </c>
      <c r="I30" s="61">
        <f>IFERROR(COUNTIFS('🚚 النقل والرحلات'!B5:B304,"&gt;="&amp;DATE(2026,3,1),'🚚 النقل والرحلات'!B5:B304,"&lt;"&amp;DATE(2026,3+1,1),'🚚 النقل والرحلات'!K5:K304,"لا يوجد")/MAX(1,COUNTIFS('🚚 النقل والرحلات'!B5:B304,"&gt;="&amp;DATE(2026,3,1),'🚚 النقل والرحلات'!B5:B304,"&lt;"&amp;DATE(2026,3+1,1))),0)</f>
        <v/>
      </c>
      <c r="J30" s="61">
        <f>IFERROR(COUNTIFS('🚚 النقل والرحلات'!B5:B304,"&gt;="&amp;DATE(2026,4,1),'🚚 النقل والرحلات'!B5:B304,"&lt;"&amp;DATE(2026,4+1,1),'🚚 النقل والرحلات'!K5:K304,"لا يوجد")/MAX(1,COUNTIFS('🚚 النقل والرحلات'!B5:B304,"&gt;="&amp;DATE(2026,4,1),'🚚 النقل والرحلات'!B5:B304,"&lt;"&amp;DATE(2026,4+1,1))),0)</f>
        <v/>
      </c>
      <c r="K30" s="61">
        <f>IFERROR(COUNTIFS('🚚 النقل والرحلات'!B5:B304,"&gt;="&amp;DATE(2026,5,1),'🚚 النقل والرحلات'!B5:B304,"&lt;"&amp;DATE(2026,5+1,1),'🚚 النقل والرحلات'!K5:K304,"لا يوجد")/MAX(1,COUNTIFS('🚚 النقل والرحلات'!B5:B304,"&gt;="&amp;DATE(2026,5,1),'🚚 النقل والرحلات'!B5:B304,"&lt;"&amp;DATE(2026,5+1,1))),0)</f>
        <v/>
      </c>
      <c r="L30" s="61">
        <f>IFERROR(COUNTIFS('🚚 النقل والرحلات'!B5:B304,"&gt;="&amp;DATE(2026,6,1),'🚚 النقل والرحلات'!B5:B304,"&lt;"&amp;DATE(2026,6+1,1),'🚚 النقل والرحلات'!K5:K304,"لا يوجد")/MAX(1,COUNTIFS('🚚 النقل والرحلات'!B5:B304,"&gt;="&amp;DATE(2026,6,1),'🚚 النقل والرحلات'!B5:B304,"&lt;"&amp;DATE(2026,6+1,1))),0)</f>
        <v/>
      </c>
      <c r="M30" s="61">
        <f>IFERROR(COUNTIFS('🚚 النقل والرحلات'!B5:B304,"&gt;="&amp;DATE(2026,7,1),'🚚 النقل والرحلات'!B5:B304,"&lt;"&amp;DATE(2026,7+1,1),'🚚 النقل والرحلات'!K5:K304,"لا يوجد")/MAX(1,COUNTIFS('🚚 النقل والرحلات'!B5:B304,"&gt;="&amp;DATE(2026,7,1),'🚚 النقل والرحلات'!B5:B304,"&lt;"&amp;DATE(2026,7+1,1))),0)</f>
        <v/>
      </c>
      <c r="N30" s="61">
        <f>IFERROR(COUNTIFS('🚚 النقل والرحلات'!B5:B304,"&gt;="&amp;DATE(2026,8,1),'🚚 النقل والرحلات'!B5:B304,"&lt;"&amp;DATE(2026,8+1,1),'🚚 النقل والرحلات'!K5:K304,"لا يوجد")/MAX(1,COUNTIFS('🚚 النقل والرحلات'!B5:B304,"&gt;="&amp;DATE(2026,8,1),'🚚 النقل والرحلات'!B5:B304,"&lt;"&amp;DATE(2026,8+1,1))),0)</f>
        <v/>
      </c>
      <c r="O30" s="61">
        <f>IFERROR(COUNTIFS('🚚 النقل والرحلات'!B5:B304,"&gt;="&amp;DATE(2026,9,1),'🚚 النقل والرحلات'!B5:B304,"&lt;"&amp;DATE(2026,9+1,1),'🚚 النقل والرحلات'!K5:K304,"لا يوجد")/MAX(1,COUNTIFS('🚚 النقل والرحلات'!B5:B304,"&gt;="&amp;DATE(2026,9,1),'🚚 النقل والرحلات'!B5:B304,"&lt;"&amp;DATE(2026,9+1,1))),0)</f>
        <v/>
      </c>
      <c r="P30" s="61">
        <f>IFERROR(COUNTIFS('🚚 النقل والرحلات'!B5:B304,"&gt;="&amp;DATE(2026,10,1),'🚚 النقل والرحلات'!B5:B304,"&lt;"&amp;DATE(2026,10+1,1),'🚚 النقل والرحلات'!K5:K304,"لا يوجد")/MAX(1,COUNTIFS('🚚 النقل والرحلات'!B5:B304,"&gt;="&amp;DATE(2026,10,1),'🚚 النقل والرحلات'!B5:B304,"&lt;"&amp;DATE(2026,10+1,1))),0)</f>
        <v/>
      </c>
      <c r="Q30" s="61">
        <f>IFERROR(COUNTIFS('🚚 النقل والرحلات'!B5:B304,"&gt;="&amp;DATE(2026,11,1),'🚚 النقل والرحلات'!B5:B304,"&lt;"&amp;DATE(2026,11+1,1),'🚚 النقل والرحلات'!K5:K304,"لا يوجد")/MAX(1,COUNTIFS('🚚 النقل والرحلات'!B5:B304,"&gt;="&amp;DATE(2026,11,1),'🚚 النقل والرحلات'!B5:B304,"&lt;"&amp;DATE(2026,11+1,1))),0)</f>
        <v/>
      </c>
      <c r="R30" s="61">
        <f>IFERROR(COUNTIFS('🚚 النقل والرحلات'!B5:B304,"&gt;="&amp;DATE(2026,12,1),'🚚 النقل والرحلات'!B5:B304,"&lt;"&amp;DATE(2026,12+1,1),'🚚 النقل والرحلات'!K5:K304,"لا يوجد")/MAX(1,COUNTIFS('🚚 النقل والرحلات'!B5:B304,"&gt;="&amp;DATE(2026,12,1),'🚚 النقل والرحلات'!B5:B304,"&lt;"&amp;DATE(2026,12+1,1))),0)</f>
        <v/>
      </c>
    </row>
    <row r="31" ht="25.5" customHeight="1" s="40">
      <c r="A31" s="67" t="inlineStr">
        <is>
          <t xml:space="preserve">  ◀ ⚙️ الكفاءة التشغيلية</t>
        </is>
      </c>
    </row>
    <row r="32" ht="21.75" customHeight="1" s="40">
      <c r="A32" s="47" t="n">
        <v>12</v>
      </c>
      <c r="B32" s="48" t="inlineStr">
        <is>
          <t>التزام جدول النقل (On-time)</t>
        </is>
      </c>
      <c r="C32" s="49" t="inlineStr">
        <is>
          <t>%</t>
        </is>
      </c>
      <c r="D32" s="50" t="inlineStr">
        <is>
          <t>≥ 95%</t>
        </is>
      </c>
      <c r="E32" s="51" t="inlineStr">
        <is>
          <t>خطة</t>
        </is>
      </c>
      <c r="F32" s="52" t="n"/>
      <c r="G32" s="60" t="n">
        <v>0.95</v>
      </c>
      <c r="H32" s="60" t="n">
        <v>0.95</v>
      </c>
      <c r="I32" s="60" t="n">
        <v>0.95</v>
      </c>
      <c r="J32" s="60" t="n">
        <v>0.95</v>
      </c>
      <c r="K32" s="60" t="n">
        <v>0.95</v>
      </c>
      <c r="L32" s="60" t="n">
        <v>0.95</v>
      </c>
      <c r="M32" s="60" t="n">
        <v>0.95</v>
      </c>
      <c r="N32" s="60" t="n">
        <v>0.95</v>
      </c>
      <c r="O32" s="60" t="n">
        <v>0.95</v>
      </c>
      <c r="P32" s="60" t="n">
        <v>0.95</v>
      </c>
      <c r="Q32" s="60" t="n">
        <v>0.95</v>
      </c>
      <c r="R32" s="60" t="n">
        <v>0.95</v>
      </c>
    </row>
    <row r="33" ht="21.75" customHeight="1" s="40">
      <c r="A33" s="54" t="n"/>
      <c r="B33" s="54" t="n"/>
      <c r="C33" s="54" t="n"/>
      <c r="D33" s="54" t="n"/>
      <c r="E33" s="55" t="inlineStr">
        <is>
          <t>فعلي</t>
        </is>
      </c>
      <c r="F33" s="56">
        <f>IFERROR(IF(AVERAGE(G32:R32)=0,"",IF(IFERROR(AVERAGEIF(G33:R33,"&gt;0",G33:R33),0)&gt;=AVERAGE(G32:R32),"✅ ",IF(IFERROR(AVERAGEIF(G33:R33,"&gt;0",G33:R33),0)&gt;=AVERAGE(G32:R32)*0.85,"🟡 ","🔴 "))&amp;TEXT((IFERROR(AVERAGEIF(G33:R33,"&gt;0",G33:R33),0)-AVERAGE(G32:R32))/AVERAGE(G32:R32),"+0.0%;-0.0%")),"")</f>
        <v/>
      </c>
      <c r="G33" s="61">
        <f>IFERROR(COUNTIFS('🚚 النقل والرحلات'!B5:B304,"&gt;="&amp;DATE(2026,1,1),'🚚 النقل والرحلات'!B5:B304,"&lt;"&amp;DATE(2026,1+1,1),'🚚 النقل والرحلات'!J5:J304,"*في الوقت*")/MAX(1,COUNTIFS('🚚 النقل والرحلات'!B5:B304,"&gt;="&amp;DATE(2026,1,1),'🚚 النقل والرحلات'!B5:B304,"&lt;"&amp;DATE(2026,1+1,1))),0)</f>
        <v/>
      </c>
      <c r="H33" s="61">
        <f>IFERROR(COUNTIFS('🚚 النقل والرحلات'!B5:B304,"&gt;="&amp;DATE(2026,2,1),'🚚 النقل والرحلات'!B5:B304,"&lt;"&amp;DATE(2026,2+1,1),'🚚 النقل والرحلات'!J5:J304,"*في الوقت*")/MAX(1,COUNTIFS('🚚 النقل والرحلات'!B5:B304,"&gt;="&amp;DATE(2026,2,1),'🚚 النقل والرحلات'!B5:B304,"&lt;"&amp;DATE(2026,2+1,1))),0)</f>
        <v/>
      </c>
      <c r="I33" s="61">
        <f>IFERROR(COUNTIFS('🚚 النقل والرحلات'!B5:B304,"&gt;="&amp;DATE(2026,3,1),'🚚 النقل والرحلات'!B5:B304,"&lt;"&amp;DATE(2026,3+1,1),'🚚 النقل والرحلات'!J5:J304,"*في الوقت*")/MAX(1,COUNTIFS('🚚 النقل والرحلات'!B5:B304,"&gt;="&amp;DATE(2026,3,1),'🚚 النقل والرحلات'!B5:B304,"&lt;"&amp;DATE(2026,3+1,1))),0)</f>
        <v/>
      </c>
      <c r="J33" s="61">
        <f>IFERROR(COUNTIFS('🚚 النقل والرحلات'!B5:B304,"&gt;="&amp;DATE(2026,4,1),'🚚 النقل والرحلات'!B5:B304,"&lt;"&amp;DATE(2026,4+1,1),'🚚 النقل والرحلات'!J5:J304,"*في الوقت*")/MAX(1,COUNTIFS('🚚 النقل والرحلات'!B5:B304,"&gt;="&amp;DATE(2026,4,1),'🚚 النقل والرحلات'!B5:B304,"&lt;"&amp;DATE(2026,4+1,1))),0)</f>
        <v/>
      </c>
      <c r="K33" s="61">
        <f>IFERROR(COUNTIFS('🚚 النقل والرحلات'!B5:B304,"&gt;="&amp;DATE(2026,5,1),'🚚 النقل والرحلات'!B5:B304,"&lt;"&amp;DATE(2026,5+1,1),'🚚 النقل والرحلات'!J5:J304,"*في الوقت*")/MAX(1,COUNTIFS('🚚 النقل والرحلات'!B5:B304,"&gt;="&amp;DATE(2026,5,1),'🚚 النقل والرحلات'!B5:B304,"&lt;"&amp;DATE(2026,5+1,1))),0)</f>
        <v/>
      </c>
      <c r="L33" s="61">
        <f>IFERROR(COUNTIFS('🚚 النقل والرحلات'!B5:B304,"&gt;="&amp;DATE(2026,6,1),'🚚 النقل والرحلات'!B5:B304,"&lt;"&amp;DATE(2026,6+1,1),'🚚 النقل والرحلات'!J5:J304,"*في الوقت*")/MAX(1,COUNTIFS('🚚 النقل والرحلات'!B5:B304,"&gt;="&amp;DATE(2026,6,1),'🚚 النقل والرحلات'!B5:B304,"&lt;"&amp;DATE(2026,6+1,1))),0)</f>
        <v/>
      </c>
      <c r="M33" s="61">
        <f>IFERROR(COUNTIFS('🚚 النقل والرحلات'!B5:B304,"&gt;="&amp;DATE(2026,7,1),'🚚 النقل والرحلات'!B5:B304,"&lt;"&amp;DATE(2026,7+1,1),'🚚 النقل والرحلات'!J5:J304,"*في الوقت*")/MAX(1,COUNTIFS('🚚 النقل والرحلات'!B5:B304,"&gt;="&amp;DATE(2026,7,1),'🚚 النقل والرحلات'!B5:B304,"&lt;"&amp;DATE(2026,7+1,1))),0)</f>
        <v/>
      </c>
      <c r="N33" s="61">
        <f>IFERROR(COUNTIFS('🚚 النقل والرحلات'!B5:B304,"&gt;="&amp;DATE(2026,8,1),'🚚 النقل والرحلات'!B5:B304,"&lt;"&amp;DATE(2026,8+1,1),'🚚 النقل والرحلات'!J5:J304,"*في الوقت*")/MAX(1,COUNTIFS('🚚 النقل والرحلات'!B5:B304,"&gt;="&amp;DATE(2026,8,1),'🚚 النقل والرحلات'!B5:B304,"&lt;"&amp;DATE(2026,8+1,1))),0)</f>
        <v/>
      </c>
      <c r="O33" s="61">
        <f>IFERROR(COUNTIFS('🚚 النقل والرحلات'!B5:B304,"&gt;="&amp;DATE(2026,9,1),'🚚 النقل والرحلات'!B5:B304,"&lt;"&amp;DATE(2026,9+1,1),'🚚 النقل والرحلات'!J5:J304,"*في الوقت*")/MAX(1,COUNTIFS('🚚 النقل والرحلات'!B5:B304,"&gt;="&amp;DATE(2026,9,1),'🚚 النقل والرحلات'!B5:B304,"&lt;"&amp;DATE(2026,9+1,1))),0)</f>
        <v/>
      </c>
      <c r="P33" s="61">
        <f>IFERROR(COUNTIFS('🚚 النقل والرحلات'!B5:B304,"&gt;="&amp;DATE(2026,10,1),'🚚 النقل والرحلات'!B5:B304,"&lt;"&amp;DATE(2026,10+1,1),'🚚 النقل والرحلات'!J5:J304,"*في الوقت*")/MAX(1,COUNTIFS('🚚 النقل والرحلات'!B5:B304,"&gt;="&amp;DATE(2026,10,1),'🚚 النقل والرحلات'!B5:B304,"&lt;"&amp;DATE(2026,10+1,1))),0)</f>
        <v/>
      </c>
      <c r="Q33" s="61">
        <f>IFERROR(COUNTIFS('🚚 النقل والرحلات'!B5:B304,"&gt;="&amp;DATE(2026,11,1),'🚚 النقل والرحلات'!B5:B304,"&lt;"&amp;DATE(2026,11+1,1),'🚚 النقل والرحلات'!J5:J304,"*في الوقت*")/MAX(1,COUNTIFS('🚚 النقل والرحلات'!B5:B304,"&gt;="&amp;DATE(2026,11,1),'🚚 النقل والرحلات'!B5:B304,"&lt;"&amp;DATE(2026,11+1,1))),0)</f>
        <v/>
      </c>
      <c r="R33" s="61">
        <f>IFERROR(COUNTIFS('🚚 النقل والرحلات'!B5:B304,"&gt;="&amp;DATE(2026,12,1),'🚚 النقل والرحلات'!B5:B304,"&lt;"&amp;DATE(2026,12+1,1),'🚚 النقل والرحلات'!J5:J304,"*في الوقت*")/MAX(1,COUNTIFS('🚚 النقل والرحلات'!B5:B304,"&gt;="&amp;DATE(2026,12,1),'🚚 النقل والرحلات'!B5:B304,"&lt;"&amp;DATE(2026,12+1,1))),0)</f>
        <v/>
      </c>
    </row>
    <row r="34" ht="21.75" customHeight="1" s="40">
      <c r="A34" s="47" t="n">
        <v>13</v>
      </c>
      <c r="B34" s="48" t="inlineStr">
        <is>
          <t>نسبة استخدام الأسطول المملوك</t>
        </is>
      </c>
      <c r="C34" s="49" t="inlineStr">
        <is>
          <t>%</t>
        </is>
      </c>
      <c r="D34" s="50" t="inlineStr">
        <is>
          <t>≥ 60%</t>
        </is>
      </c>
      <c r="E34" s="51" t="inlineStr">
        <is>
          <t>خطة</t>
        </is>
      </c>
      <c r="F34" s="52" t="n"/>
      <c r="G34" s="60" t="n">
        <v>0.6</v>
      </c>
      <c r="H34" s="60" t="n">
        <v>0.6</v>
      </c>
      <c r="I34" s="60" t="n">
        <v>0.6</v>
      </c>
      <c r="J34" s="60" t="n">
        <v>0.6</v>
      </c>
      <c r="K34" s="60" t="n">
        <v>0.6</v>
      </c>
      <c r="L34" s="60" t="n">
        <v>0.6</v>
      </c>
      <c r="M34" s="60" t="n">
        <v>0.6</v>
      </c>
      <c r="N34" s="60" t="n">
        <v>0.6</v>
      </c>
      <c r="O34" s="60" t="n">
        <v>0.6</v>
      </c>
      <c r="P34" s="60" t="n">
        <v>0.6</v>
      </c>
      <c r="Q34" s="60" t="n">
        <v>0.6</v>
      </c>
      <c r="R34" s="60" t="n">
        <v>0.6</v>
      </c>
    </row>
    <row r="35" ht="21.75" customHeight="1" s="40">
      <c r="A35" s="54" t="n"/>
      <c r="B35" s="54" t="n"/>
      <c r="C35" s="54" t="n"/>
      <c r="D35" s="54" t="n"/>
      <c r="E35" s="55" t="inlineStr">
        <is>
          <t>فعلي</t>
        </is>
      </c>
      <c r="F35" s="56">
        <f>IFERROR(IF(AVERAGE(G34:R34)=0,"",IF(IFERROR(AVERAGEIF(G35:R35,"&gt;0",G35:R35),0)&gt;=AVERAGE(G34:R34),"✅ ",IF(IFERROR(AVERAGEIF(G35:R35,"&gt;0",G35:R35),0)&gt;=AVERAGE(G34:R34)*0.85,"🟡 ","🔴 "))&amp;TEXT((IFERROR(AVERAGEIF(G35:R35,"&gt;0",G35:R35),0)-AVERAGE(G34:R34))/AVERAGE(G34:R34),"+0.0%;-0.0%")),"")</f>
        <v/>
      </c>
      <c r="G35" s="61">
        <f>IFERROR(COUNTIFS('🚚 النقل والرحلات'!B5:B304,"&gt;="&amp;DATE(2026,1,1),'🚚 النقل والرحلات'!B5:B304,"&lt;"&amp;DATE(2026,1+1,1),'🚚 النقل والرحلات'!G5:G304,"مملوك درب")/MAX(1,COUNTIFS('🚚 النقل والرحلات'!B5:B304,"&gt;="&amp;DATE(2026,1,1),'🚚 النقل والرحلات'!B5:B304,"&lt;"&amp;DATE(2026,1+1,1))),0)</f>
        <v/>
      </c>
      <c r="H35" s="61">
        <f>IFERROR(COUNTIFS('🚚 النقل والرحلات'!B5:B304,"&gt;="&amp;DATE(2026,2,1),'🚚 النقل والرحلات'!B5:B304,"&lt;"&amp;DATE(2026,2+1,1),'🚚 النقل والرحلات'!G5:G304,"مملوك درب")/MAX(1,COUNTIFS('🚚 النقل والرحلات'!B5:B304,"&gt;="&amp;DATE(2026,2,1),'🚚 النقل والرحلات'!B5:B304,"&lt;"&amp;DATE(2026,2+1,1))),0)</f>
        <v/>
      </c>
      <c r="I35" s="61">
        <f>IFERROR(COUNTIFS('🚚 النقل والرحلات'!B5:B304,"&gt;="&amp;DATE(2026,3,1),'🚚 النقل والرحلات'!B5:B304,"&lt;"&amp;DATE(2026,3+1,1),'🚚 النقل والرحلات'!G5:G304,"مملوك درب")/MAX(1,COUNTIFS('🚚 النقل والرحلات'!B5:B304,"&gt;="&amp;DATE(2026,3,1),'🚚 النقل والرحلات'!B5:B304,"&lt;"&amp;DATE(2026,3+1,1))),0)</f>
        <v/>
      </c>
      <c r="J35" s="61">
        <f>IFERROR(COUNTIFS('🚚 النقل والرحلات'!B5:B304,"&gt;="&amp;DATE(2026,4,1),'🚚 النقل والرحلات'!B5:B304,"&lt;"&amp;DATE(2026,4+1,1),'🚚 النقل والرحلات'!G5:G304,"مملوك درب")/MAX(1,COUNTIFS('🚚 النقل والرحلات'!B5:B304,"&gt;="&amp;DATE(2026,4,1),'🚚 النقل والرحلات'!B5:B304,"&lt;"&amp;DATE(2026,4+1,1))),0)</f>
        <v/>
      </c>
      <c r="K35" s="61">
        <f>IFERROR(COUNTIFS('🚚 النقل والرحلات'!B5:B304,"&gt;="&amp;DATE(2026,5,1),'🚚 النقل والرحلات'!B5:B304,"&lt;"&amp;DATE(2026,5+1,1),'🚚 النقل والرحلات'!G5:G304,"مملوك درب")/MAX(1,COUNTIFS('🚚 النقل والرحلات'!B5:B304,"&gt;="&amp;DATE(2026,5,1),'🚚 النقل والرحلات'!B5:B304,"&lt;"&amp;DATE(2026,5+1,1))),0)</f>
        <v/>
      </c>
      <c r="L35" s="61">
        <f>IFERROR(COUNTIFS('🚚 النقل والرحلات'!B5:B304,"&gt;="&amp;DATE(2026,6,1),'🚚 النقل والرحلات'!B5:B304,"&lt;"&amp;DATE(2026,6+1,1),'🚚 النقل والرحلات'!G5:G304,"مملوك درب")/MAX(1,COUNTIFS('🚚 النقل والرحلات'!B5:B304,"&gt;="&amp;DATE(2026,6,1),'🚚 النقل والرحلات'!B5:B304,"&lt;"&amp;DATE(2026,6+1,1))),0)</f>
        <v/>
      </c>
      <c r="M35" s="61">
        <f>IFERROR(COUNTIFS('🚚 النقل والرحلات'!B5:B304,"&gt;="&amp;DATE(2026,7,1),'🚚 النقل والرحلات'!B5:B304,"&lt;"&amp;DATE(2026,7+1,1),'🚚 النقل والرحلات'!G5:G304,"مملوك درب")/MAX(1,COUNTIFS('🚚 النقل والرحلات'!B5:B304,"&gt;="&amp;DATE(2026,7,1),'🚚 النقل والرحلات'!B5:B304,"&lt;"&amp;DATE(2026,7+1,1))),0)</f>
        <v/>
      </c>
      <c r="N35" s="61">
        <f>IFERROR(COUNTIFS('🚚 النقل والرحلات'!B5:B304,"&gt;="&amp;DATE(2026,8,1),'🚚 النقل والرحلات'!B5:B304,"&lt;"&amp;DATE(2026,8+1,1),'🚚 النقل والرحلات'!G5:G304,"مملوك درب")/MAX(1,COUNTIFS('🚚 النقل والرحلات'!B5:B304,"&gt;="&amp;DATE(2026,8,1),'🚚 النقل والرحلات'!B5:B304,"&lt;"&amp;DATE(2026,8+1,1))),0)</f>
        <v/>
      </c>
      <c r="O35" s="61">
        <f>IFERROR(COUNTIFS('🚚 النقل والرحلات'!B5:B304,"&gt;="&amp;DATE(2026,9,1),'🚚 النقل والرحلات'!B5:B304,"&lt;"&amp;DATE(2026,9+1,1),'🚚 النقل والرحلات'!G5:G304,"مملوك درب")/MAX(1,COUNTIFS('🚚 النقل والرحلات'!B5:B304,"&gt;="&amp;DATE(2026,9,1),'🚚 النقل والرحلات'!B5:B304,"&lt;"&amp;DATE(2026,9+1,1))),0)</f>
        <v/>
      </c>
      <c r="P35" s="61">
        <f>IFERROR(COUNTIFS('🚚 النقل والرحلات'!B5:B304,"&gt;="&amp;DATE(2026,10,1),'🚚 النقل والرحلات'!B5:B304,"&lt;"&amp;DATE(2026,10+1,1),'🚚 النقل والرحلات'!G5:G304,"مملوك درب")/MAX(1,COUNTIFS('🚚 النقل والرحلات'!B5:B304,"&gt;="&amp;DATE(2026,10,1),'🚚 النقل والرحلات'!B5:B304,"&lt;"&amp;DATE(2026,10+1,1))),0)</f>
        <v/>
      </c>
      <c r="Q35" s="61">
        <f>IFERROR(COUNTIFS('🚚 النقل والرحلات'!B5:B304,"&gt;="&amp;DATE(2026,11,1),'🚚 النقل والرحلات'!B5:B304,"&lt;"&amp;DATE(2026,11+1,1),'🚚 النقل والرحلات'!G5:G304,"مملوك درب")/MAX(1,COUNTIFS('🚚 النقل والرحلات'!B5:B304,"&gt;="&amp;DATE(2026,11,1),'🚚 النقل والرحلات'!B5:B304,"&lt;"&amp;DATE(2026,11+1,1))),0)</f>
        <v/>
      </c>
      <c r="R35" s="61">
        <f>IFERROR(COUNTIFS('🚚 النقل والرحلات'!B5:B304,"&gt;="&amp;DATE(2026,12,1),'🚚 النقل والرحلات'!B5:B304,"&lt;"&amp;DATE(2026,12+1,1),'🚚 النقل والرحلات'!G5:G304,"مملوك درب")/MAX(1,COUNTIFS('🚚 النقل والرحلات'!B5:B304,"&gt;="&amp;DATE(2026,12,1),'🚚 النقل والرحلات'!B5:B304,"&lt;"&amp;DATE(2026,12+1,1))),0)</f>
        <v/>
      </c>
    </row>
    <row r="37">
      <c r="A37" s="68" t="inlineStr">
        <is>
          <t>⚙️ مُدخلات الحساب اليدوية (حسب طريقة قياس الإدارة)</t>
        </is>
      </c>
    </row>
    <row r="38">
      <c r="A38" s="69" t="inlineStr">
        <is>
          <t>عدد نقاط المنتج (محطات × منتجات) — لحساب «توفر الوقود»</t>
        </is>
      </c>
      <c r="F38" s="70" t="n">
        <v>300</v>
      </c>
    </row>
    <row r="39">
      <c r="A39" s="71" t="inlineStr">
        <is>
          <t>ℹ️ الافتراضي 300 = 9000 ÷ 30 (مكافئ للثابت القديم في الأشهر ذات 30 يوماً). غيّره ليعكس عدد (المحطات × المنتجات) الفعلي.</t>
        </is>
      </c>
    </row>
  </sheetData>
  <mergeCells count="64">
    <mergeCell ref="B27:B28"/>
    <mergeCell ref="A24:A25"/>
    <mergeCell ref="D27:D28"/>
    <mergeCell ref="B12:B13"/>
    <mergeCell ref="A16:R16"/>
    <mergeCell ref="C29:C30"/>
    <mergeCell ref="B17:B18"/>
    <mergeCell ref="B8:B9"/>
    <mergeCell ref="D17:D18"/>
    <mergeCell ref="A37:R37"/>
    <mergeCell ref="C10:C11"/>
    <mergeCell ref="A3:F3"/>
    <mergeCell ref="A6:A7"/>
    <mergeCell ref="G3:R3"/>
    <mergeCell ref="B14:B15"/>
    <mergeCell ref="B29:B30"/>
    <mergeCell ref="C22:C23"/>
    <mergeCell ref="A26:R26"/>
    <mergeCell ref="A21:R21"/>
    <mergeCell ref="A27:A28"/>
    <mergeCell ref="D32:D33"/>
    <mergeCell ref="A12:A13"/>
    <mergeCell ref="A2:R2"/>
    <mergeCell ref="C12:C13"/>
    <mergeCell ref="A5:R5"/>
    <mergeCell ref="D12:D13"/>
    <mergeCell ref="B34:B35"/>
    <mergeCell ref="B10:B11"/>
    <mergeCell ref="B6:B7"/>
    <mergeCell ref="B24:B25"/>
    <mergeCell ref="B19:B20"/>
    <mergeCell ref="A14:A15"/>
    <mergeCell ref="D24:D25"/>
    <mergeCell ref="A32:A33"/>
    <mergeCell ref="A8:A9"/>
    <mergeCell ref="C8:C9"/>
    <mergeCell ref="A17:A18"/>
    <mergeCell ref="A22:A23"/>
    <mergeCell ref="C17:C18"/>
    <mergeCell ref="C27:C28"/>
    <mergeCell ref="A29:A30"/>
    <mergeCell ref="D8:D9"/>
    <mergeCell ref="C32:C33"/>
    <mergeCell ref="A10:A11"/>
    <mergeCell ref="A31:R31"/>
    <mergeCell ref="D14:D15"/>
    <mergeCell ref="A19:A20"/>
    <mergeCell ref="D29:D30"/>
    <mergeCell ref="C19:C20"/>
    <mergeCell ref="D19:D20"/>
    <mergeCell ref="A39:R39"/>
    <mergeCell ref="D10:D11"/>
    <mergeCell ref="B32:B33"/>
    <mergeCell ref="A34:A35"/>
    <mergeCell ref="A38:E38"/>
    <mergeCell ref="B22:B23"/>
    <mergeCell ref="C34:C35"/>
    <mergeCell ref="A1:R1"/>
    <mergeCell ref="C6:C7"/>
    <mergeCell ref="C24:C25"/>
    <mergeCell ref="D34:D35"/>
    <mergeCell ref="D6:D7"/>
    <mergeCell ref="C14:C15"/>
    <mergeCell ref="D22:D23"/>
  </mergeCells>
  <conditionalFormatting sqref="F6:F36">
    <cfRule type="expression" rank="0" priority="2" equalAverage="0" aboveAverage="0" dxfId="0" text="" percent="0" bottom="0">
      <formula>ISNUMBER(SEARCH("✅",F6))</formula>
    </cfRule>
    <cfRule type="expression" rank="0" priority="3" equalAverage="0" aboveAverage="0" dxfId="1" text="" percent="0" bottom="0">
      <formula>ISNUMBER(SEARCH("🟡",F6))</formula>
    </cfRule>
    <cfRule type="expression" rank="0" priority="4" equalAverage="0" aboveAverage="0" dxfId="2" text="" percent="0" bottom="0">
      <formula>ISNUMBER(SEARCH("🔴",F6))</formula>
    </cfRule>
  </conditionalFormatting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9"/>
  <sheetViews>
    <sheetView rightToLeft="1" workbookViewId="0">
      <pane xSplit="6" ySplit="5" topLeftCell="G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style="40" min="1" max="1"/>
    <col width="38" customWidth="1" style="40" min="2" max="2"/>
    <col width="9" customWidth="1" style="40" min="3" max="3"/>
    <col width="13" customWidth="1" style="40" min="4" max="4"/>
    <col width="8" customWidth="1" style="40" min="5" max="5"/>
    <col width="14" customWidth="1" style="40" min="6" max="6"/>
    <col width="9" customWidth="1" style="40" min="7" max="7"/>
    <col width="9" customWidth="1" style="40" min="8" max="8"/>
    <col width="9" customWidth="1" style="40" min="9" max="9"/>
    <col width="9" customWidth="1" style="40" min="10" max="10"/>
    <col width="9" customWidth="1" style="40" min="11" max="11"/>
    <col width="9" customWidth="1" style="40" min="12" max="12"/>
    <col width="9" customWidth="1" style="40" min="13" max="13"/>
    <col width="9" customWidth="1" style="40" min="14" max="14"/>
    <col width="9" customWidth="1" style="40" min="15" max="15"/>
    <col width="9" customWidth="1" style="40" min="16" max="16"/>
    <col width="9" customWidth="1" style="40" min="17" max="17"/>
    <col width="9" customWidth="1" style="40" min="18" max="18"/>
  </cols>
  <sheetData>
    <row r="1" ht="28" customHeight="1" s="40">
      <c r="A1" s="96" t="inlineStr">
        <is>
          <t>📊 لوحة المؤشرات المُكثّفة — بعد دمج المتكرر (٩ مؤشرات)</t>
        </is>
      </c>
    </row>
    <row r="2">
      <c r="A2" s="97" t="inlineStr">
        <is>
          <t>دُمج المتكرر: عدد الانقطاعات←التوفر · الدوران←أيام المخزون · Fill Rate (حُذف) · حوادث النقل←الامتثال/السلامة</t>
        </is>
      </c>
    </row>
    <row r="3">
      <c r="A3" s="98" t="inlineStr">
        <is>
          <t>📌 المؤشر</t>
        </is>
      </c>
      <c r="G3" s="98" t="inlineStr">
        <is>
          <t>📅 الأشهر — خطة (يدوي) vs فعلي (آلي)</t>
        </is>
      </c>
    </row>
    <row r="4">
      <c r="A4" s="99" t="inlineStr">
        <is>
          <t>#</t>
        </is>
      </c>
      <c r="B4" s="99" t="inlineStr">
        <is>
          <t>المؤشر</t>
        </is>
      </c>
      <c r="C4" s="99" t="inlineStr">
        <is>
          <t>الوحدة</t>
        </is>
      </c>
      <c r="D4" s="99" t="inlineStr">
        <is>
          <t>الهدف</t>
        </is>
      </c>
      <c r="E4" s="99" t="inlineStr">
        <is>
          <t>النوع</t>
        </is>
      </c>
      <c r="F4" s="99" t="inlineStr">
        <is>
          <t>الانحراف</t>
        </is>
      </c>
      <c r="G4" s="99" t="inlineStr">
        <is>
          <t>يناير</t>
        </is>
      </c>
      <c r="H4" s="99" t="inlineStr">
        <is>
          <t>فبراير</t>
        </is>
      </c>
      <c r="I4" s="99" t="inlineStr">
        <is>
          <t>مارس</t>
        </is>
      </c>
      <c r="J4" s="99" t="inlineStr">
        <is>
          <t>أبريل</t>
        </is>
      </c>
      <c r="K4" s="99" t="inlineStr">
        <is>
          <t>مايو</t>
        </is>
      </c>
      <c r="L4" s="99" t="inlineStr">
        <is>
          <t>يونيو</t>
        </is>
      </c>
      <c r="M4" s="99" t="inlineStr">
        <is>
          <t>يوليو</t>
        </is>
      </c>
      <c r="N4" s="99" t="inlineStr">
        <is>
          <t>أغسطس</t>
        </is>
      </c>
      <c r="O4" s="99" t="inlineStr">
        <is>
          <t>سبتمبر</t>
        </is>
      </c>
      <c r="P4" s="99" t="inlineStr">
        <is>
          <t>أكتوبر</t>
        </is>
      </c>
      <c r="Q4" s="99" t="inlineStr">
        <is>
          <t>نوفمبر</t>
        </is>
      </c>
      <c r="R4" s="99" t="inlineStr">
        <is>
          <t>ديسمبر</t>
        </is>
      </c>
    </row>
    <row r="5">
      <c r="A5" s="100" t="inlineStr">
        <is>
          <t xml:space="preserve">  ◀ 👥 خدمة العميل</t>
        </is>
      </c>
    </row>
    <row r="6">
      <c r="A6" s="101" t="n">
        <v>1</v>
      </c>
      <c r="B6" s="102" t="inlineStr">
        <is>
          <t>توفر الوقود (يطوي عدد الانقطاعات)</t>
        </is>
      </c>
      <c r="C6" s="97" t="inlineStr">
        <is>
          <t>%</t>
        </is>
      </c>
      <c r="D6" s="103" t="inlineStr">
        <is>
          <t>≥ 99.5%</t>
        </is>
      </c>
      <c r="E6" s="97" t="inlineStr">
        <is>
          <t>خطة</t>
        </is>
      </c>
      <c r="F6" s="97" t="n"/>
      <c r="G6" s="104" t="n">
        <v>0.995</v>
      </c>
      <c r="H6" s="104" t="n">
        <v>0.995</v>
      </c>
      <c r="I6" s="104" t="n">
        <v>0.995</v>
      </c>
      <c r="J6" s="104" t="n">
        <v>0.995</v>
      </c>
      <c r="K6" s="104" t="n">
        <v>0.995</v>
      </c>
      <c r="L6" s="104" t="n">
        <v>0.995</v>
      </c>
      <c r="M6" s="104" t="n">
        <v>0.995</v>
      </c>
      <c r="N6" s="104" t="n">
        <v>0.995</v>
      </c>
      <c r="O6" s="104" t="n">
        <v>0.995</v>
      </c>
      <c r="P6" s="104" t="n">
        <v>0.995</v>
      </c>
      <c r="Q6" s="104" t="n">
        <v>0.995</v>
      </c>
      <c r="R6" s="104" t="n">
        <v>0.995</v>
      </c>
    </row>
    <row r="7">
      <c r="E7" s="105" t="inlineStr">
        <is>
          <t>فعلي</t>
        </is>
      </c>
      <c r="F7" s="105">
        <f>IFERROR(IF(AVERAGE(G6:R6)=0,"",IF(IFERROR(AVERAGEIF(G7:R7,"&gt;0",G7:R7),0)&gt;=AVERAGE(G6:R6),"✅ ",IF(IFERROR(AVERAGEIF(G7:R7,"&gt;0",G7:R7),0)&gt;=AVERAGE(G6:R6)*0.85,"🟡 ","🔴 "))&amp;TEXT((IFERROR(AVERAGEIF(G7:R7,"&gt;0",G7:R7),0)-AVERAGE(G6:R6))/AVERAGE(G6:R6),"+0.0%;-0.0%")),"")</f>
        <v/>
      </c>
      <c r="G7" s="106">
        <f>IFERROR(1-(SUMIFS('🛢️ انقطاعات الوقود'!F5:F104,'🛢️ انقطاعات الوقود'!B5:B104,"&gt;="&amp;DATE(2026,1,1),'🛢️ انقطاعات الوقود'!B5:B104,"&lt;"&amp;DATE(2026,1+1,1))/('📊 ملخص آلي + KPIs'!$F$38*DAY(DATE(2026,1+1,1)-1))),1)</f>
        <v/>
      </c>
      <c r="H7" s="106">
        <f>IFERROR(1-(SUMIFS('🛢️ انقطاعات الوقود'!F5:F104,'🛢️ انقطاعات الوقود'!B5:B104,"&gt;="&amp;DATE(2026,2,1),'🛢️ انقطاعات الوقود'!B5:B104,"&lt;"&amp;DATE(2026,2+1,1))/('📊 ملخص آلي + KPIs'!$F$38*DAY(DATE(2026,2+1,1)-1))),1)</f>
        <v/>
      </c>
      <c r="I7" s="106">
        <f>IFERROR(1-(SUMIFS('🛢️ انقطاعات الوقود'!F5:F104,'🛢️ انقطاعات الوقود'!B5:B104,"&gt;="&amp;DATE(2026,3,1),'🛢️ انقطاعات الوقود'!B5:B104,"&lt;"&amp;DATE(2026,3+1,1))/('📊 ملخص آلي + KPIs'!$F$38*DAY(DATE(2026,3+1,1)-1))),1)</f>
        <v/>
      </c>
      <c r="J7" s="106">
        <f>IFERROR(1-(SUMIFS('🛢️ انقطاعات الوقود'!F5:F104,'🛢️ انقطاعات الوقود'!B5:B104,"&gt;="&amp;DATE(2026,4,1),'🛢️ انقطاعات الوقود'!B5:B104,"&lt;"&amp;DATE(2026,4+1,1))/('📊 ملخص آلي + KPIs'!$F$38*DAY(DATE(2026,4+1,1)-1))),1)</f>
        <v/>
      </c>
      <c r="K7" s="106">
        <f>IFERROR(1-(SUMIFS('🛢️ انقطاعات الوقود'!F5:F104,'🛢️ انقطاعات الوقود'!B5:B104,"&gt;="&amp;DATE(2026,5,1),'🛢️ انقطاعات الوقود'!B5:B104,"&lt;"&amp;DATE(2026,5+1,1))/('📊 ملخص آلي + KPIs'!$F$38*DAY(DATE(2026,5+1,1)-1))),1)</f>
        <v/>
      </c>
      <c r="L7" s="106">
        <f>IFERROR(1-(SUMIFS('🛢️ انقطاعات الوقود'!F5:F104,'🛢️ انقطاعات الوقود'!B5:B104,"&gt;="&amp;DATE(2026,6,1),'🛢️ انقطاعات الوقود'!B5:B104,"&lt;"&amp;DATE(2026,6+1,1))/('📊 ملخص آلي + KPIs'!$F$38*DAY(DATE(2026,6+1,1)-1))),1)</f>
        <v/>
      </c>
      <c r="M7" s="106">
        <f>IFERROR(1-(SUMIFS('🛢️ انقطاعات الوقود'!F5:F104,'🛢️ انقطاعات الوقود'!B5:B104,"&gt;="&amp;DATE(2026,7,1),'🛢️ انقطاعات الوقود'!B5:B104,"&lt;"&amp;DATE(2026,7+1,1))/('📊 ملخص آلي + KPIs'!$F$38*DAY(DATE(2026,7+1,1)-1))),1)</f>
        <v/>
      </c>
      <c r="N7" s="106">
        <f>IFERROR(1-(SUMIFS('🛢️ انقطاعات الوقود'!F5:F104,'🛢️ انقطاعات الوقود'!B5:B104,"&gt;="&amp;DATE(2026,8,1),'🛢️ انقطاعات الوقود'!B5:B104,"&lt;"&amp;DATE(2026,8+1,1))/('📊 ملخص آلي + KPIs'!$F$38*DAY(DATE(2026,8+1,1)-1))),1)</f>
        <v/>
      </c>
      <c r="O7" s="106">
        <f>IFERROR(1-(SUMIFS('🛢️ انقطاعات الوقود'!F5:F104,'🛢️ انقطاعات الوقود'!B5:B104,"&gt;="&amp;DATE(2026,9,1),'🛢️ انقطاعات الوقود'!B5:B104,"&lt;"&amp;DATE(2026,9+1,1))/('📊 ملخص آلي + KPIs'!$F$38*DAY(DATE(2026,9+1,1)-1))),1)</f>
        <v/>
      </c>
      <c r="P7" s="106">
        <f>IFERROR(1-(SUMIFS('🛢️ انقطاعات الوقود'!F5:F104,'🛢️ انقطاعات الوقود'!B5:B104,"&gt;="&amp;DATE(2026,10,1),'🛢️ انقطاعات الوقود'!B5:B104,"&lt;"&amp;DATE(2026,10+1,1))/('📊 ملخص آلي + KPIs'!$F$38*DAY(DATE(2026,10+1,1)-1))),1)</f>
        <v/>
      </c>
      <c r="Q7" s="106">
        <f>IFERROR(1-(SUMIFS('🛢️ انقطاعات الوقود'!F5:F104,'🛢️ انقطاعات الوقود'!B5:B104,"&gt;="&amp;DATE(2026,11,1),'🛢️ انقطاعات الوقود'!B5:B104,"&lt;"&amp;DATE(2026,11+1,1))/('📊 ملخص آلي + KPIs'!$F$38*DAY(DATE(2026,11+1,1)-1))),1)</f>
        <v/>
      </c>
      <c r="R7" s="106">
        <f>IFERROR(1-(SUMIFS('🛢️ انقطاعات الوقود'!F5:F104,'🛢️ انقطاعات الوقود'!B5:B104,"&gt;="&amp;DATE(2026,12,1),'🛢️ انقطاعات الوقود'!B5:B104,"&lt;"&amp;DATE(2026,12+1,1))/('📊 ملخص آلي + KPIs'!$F$38*DAY(DATE(2026,12+1,1)-1))),1)</f>
        <v/>
      </c>
    </row>
    <row r="8">
      <c r="A8" s="101" t="n">
        <v>2</v>
      </c>
      <c r="B8" s="102" t="inlineStr">
        <is>
          <t>توفر المواد المخزنية (تسليم ≤ 3 أيام)</t>
        </is>
      </c>
      <c r="C8" s="97" t="inlineStr">
        <is>
          <t>%</t>
        </is>
      </c>
      <c r="D8" s="103" t="inlineStr">
        <is>
          <t>100%</t>
        </is>
      </c>
      <c r="E8" s="97" t="inlineStr">
        <is>
          <t>خطة</t>
        </is>
      </c>
      <c r="F8" s="97" t="n"/>
      <c r="G8" s="104" t="n">
        <v>1</v>
      </c>
      <c r="H8" s="104" t="n">
        <v>1</v>
      </c>
      <c r="I8" s="104" t="n">
        <v>1</v>
      </c>
      <c r="J8" s="104" t="n">
        <v>1</v>
      </c>
      <c r="K8" s="104" t="n">
        <v>1</v>
      </c>
      <c r="L8" s="104" t="n">
        <v>1</v>
      </c>
      <c r="M8" s="104" t="n">
        <v>1</v>
      </c>
      <c r="N8" s="104" t="n">
        <v>1</v>
      </c>
      <c r="O8" s="104" t="n">
        <v>1</v>
      </c>
      <c r="P8" s="104" t="n">
        <v>1</v>
      </c>
      <c r="Q8" s="104" t="n">
        <v>1</v>
      </c>
      <c r="R8" s="104" t="n">
        <v>1</v>
      </c>
    </row>
    <row r="9">
      <c r="E9" s="105" t="inlineStr">
        <is>
          <t>فعلي</t>
        </is>
      </c>
      <c r="F9" s="105">
        <f>IFERROR(IF(AVERAGE(G8:R8)=0,"",IF(IFERROR(AVERAGEIF(G9:R9,"&gt;0",G9:R9),0)&gt;=AVERAGE(G8:R8),"✅ ",IF(IFERROR(AVERAGEIF(G9:R9,"&gt;0",G9:R9),0)&gt;=AVERAGE(G8:R8)*0.85,"🟡 ","🔴 "))&amp;TEXT((IFERROR(AVERAGEIF(G9:R9,"&gt;0",G9:R9),0)-AVERAGE(G8:R8))/AVERAGE(G8:R8),"+0.0%;-0.0%")),"")</f>
        <v/>
      </c>
      <c r="G9" s="106">
        <f>IFERROR(COUNTIFS('🛒 الطلبات والمشتريات'!C5:C204,"&gt;="&amp;DATE(2026,1,1),'🛒 الطلبات والمشتريات'!C5:C204,"&lt;"&amp;DATE(2026,1+1,1),'🛒 الطلبات والمشتريات'!D5:D204,"مواد مخزنية",'🛒 الطلبات والمشتريات'!I5:I204,"*ضمن*")/MAX(1,COUNTIFS('🛒 الطلبات والمشتريات'!C5:C204,"&gt;="&amp;DATE(2026,1,1),'🛒 الطلبات والمشتريات'!C5:C204,"&lt;"&amp;DATE(2026,1+1,1),'🛒 الطلبات والمشتريات'!D5:D204,"مواد مخزنية")),0)</f>
        <v/>
      </c>
      <c r="H9" s="106">
        <f>IFERROR(COUNTIFS('🛒 الطلبات والمشتريات'!C5:C204,"&gt;="&amp;DATE(2026,2,1),'🛒 الطلبات والمشتريات'!C5:C204,"&lt;"&amp;DATE(2026,2+1,1),'🛒 الطلبات والمشتريات'!D5:D204,"مواد مخزنية",'🛒 الطلبات والمشتريات'!I5:I204,"*ضمن*")/MAX(1,COUNTIFS('🛒 الطلبات والمشتريات'!C5:C204,"&gt;="&amp;DATE(2026,2,1),'🛒 الطلبات والمشتريات'!C5:C204,"&lt;"&amp;DATE(2026,2+1,1),'🛒 الطلبات والمشتريات'!D5:D204,"مواد مخزنية")),0)</f>
        <v/>
      </c>
      <c r="I9" s="106">
        <f>IFERROR(COUNTIFS('🛒 الطلبات والمشتريات'!C5:C204,"&gt;="&amp;DATE(2026,3,1),'🛒 الطلبات والمشتريات'!C5:C204,"&lt;"&amp;DATE(2026,3+1,1),'🛒 الطلبات والمشتريات'!D5:D204,"مواد مخزنية",'🛒 الطلبات والمشتريات'!I5:I204,"*ضمن*")/MAX(1,COUNTIFS('🛒 الطلبات والمشتريات'!C5:C204,"&gt;="&amp;DATE(2026,3,1),'🛒 الطلبات والمشتريات'!C5:C204,"&lt;"&amp;DATE(2026,3+1,1),'🛒 الطلبات والمشتريات'!D5:D204,"مواد مخزنية")),0)</f>
        <v/>
      </c>
      <c r="J9" s="106">
        <f>IFERROR(COUNTIFS('🛒 الطلبات والمشتريات'!C5:C204,"&gt;="&amp;DATE(2026,4,1),'🛒 الطلبات والمشتريات'!C5:C204,"&lt;"&amp;DATE(2026,4+1,1),'🛒 الطلبات والمشتريات'!D5:D204,"مواد مخزنية",'🛒 الطلبات والمشتريات'!I5:I204,"*ضمن*")/MAX(1,COUNTIFS('🛒 الطلبات والمشتريات'!C5:C204,"&gt;="&amp;DATE(2026,4,1),'🛒 الطلبات والمشتريات'!C5:C204,"&lt;"&amp;DATE(2026,4+1,1),'🛒 الطلبات والمشتريات'!D5:D204,"مواد مخزنية")),0)</f>
        <v/>
      </c>
      <c r="K9" s="106">
        <f>IFERROR(COUNTIFS('🛒 الطلبات والمشتريات'!C5:C204,"&gt;="&amp;DATE(2026,5,1),'🛒 الطلبات والمشتريات'!C5:C204,"&lt;"&amp;DATE(2026,5+1,1),'🛒 الطلبات والمشتريات'!D5:D204,"مواد مخزنية",'🛒 الطلبات والمشتريات'!I5:I204,"*ضمن*")/MAX(1,COUNTIFS('🛒 الطلبات والمشتريات'!C5:C204,"&gt;="&amp;DATE(2026,5,1),'🛒 الطلبات والمشتريات'!C5:C204,"&lt;"&amp;DATE(2026,5+1,1),'🛒 الطلبات والمشتريات'!D5:D204,"مواد مخزنية")),0)</f>
        <v/>
      </c>
      <c r="L9" s="106">
        <f>IFERROR(COUNTIFS('🛒 الطلبات والمشتريات'!C5:C204,"&gt;="&amp;DATE(2026,6,1),'🛒 الطلبات والمشتريات'!C5:C204,"&lt;"&amp;DATE(2026,6+1,1),'🛒 الطلبات والمشتريات'!D5:D204,"مواد مخزنية",'🛒 الطلبات والمشتريات'!I5:I204,"*ضمن*")/MAX(1,COUNTIFS('🛒 الطلبات والمشتريات'!C5:C204,"&gt;="&amp;DATE(2026,6,1),'🛒 الطلبات والمشتريات'!C5:C204,"&lt;"&amp;DATE(2026,6+1,1),'🛒 الطلبات والمشتريات'!D5:D204,"مواد مخزنية")),0)</f>
        <v/>
      </c>
      <c r="M9" s="106">
        <f>IFERROR(COUNTIFS('🛒 الطلبات والمشتريات'!C5:C204,"&gt;="&amp;DATE(2026,7,1),'🛒 الطلبات والمشتريات'!C5:C204,"&lt;"&amp;DATE(2026,7+1,1),'🛒 الطلبات والمشتريات'!D5:D204,"مواد مخزنية",'🛒 الطلبات والمشتريات'!I5:I204,"*ضمن*")/MAX(1,COUNTIFS('🛒 الطلبات والمشتريات'!C5:C204,"&gt;="&amp;DATE(2026,7,1),'🛒 الطلبات والمشتريات'!C5:C204,"&lt;"&amp;DATE(2026,7+1,1),'🛒 الطلبات والمشتريات'!D5:D204,"مواد مخزنية")),0)</f>
        <v/>
      </c>
      <c r="N9" s="106">
        <f>IFERROR(COUNTIFS('🛒 الطلبات والمشتريات'!C5:C204,"&gt;="&amp;DATE(2026,8,1),'🛒 الطلبات والمشتريات'!C5:C204,"&lt;"&amp;DATE(2026,8+1,1),'🛒 الطلبات والمشتريات'!D5:D204,"مواد مخزنية",'🛒 الطلبات والمشتريات'!I5:I204,"*ضمن*")/MAX(1,COUNTIFS('🛒 الطلبات والمشتريات'!C5:C204,"&gt;="&amp;DATE(2026,8,1),'🛒 الطلبات والمشتريات'!C5:C204,"&lt;"&amp;DATE(2026,8+1,1),'🛒 الطلبات والمشتريات'!D5:D204,"مواد مخزنية")),0)</f>
        <v/>
      </c>
      <c r="O9" s="106">
        <f>IFERROR(COUNTIFS('🛒 الطلبات والمشتريات'!C5:C204,"&gt;="&amp;DATE(2026,9,1),'🛒 الطلبات والمشتريات'!C5:C204,"&lt;"&amp;DATE(2026,9+1,1),'🛒 الطلبات والمشتريات'!D5:D204,"مواد مخزنية",'🛒 الطلبات والمشتريات'!I5:I204,"*ضمن*")/MAX(1,COUNTIFS('🛒 الطلبات والمشتريات'!C5:C204,"&gt;="&amp;DATE(2026,9,1),'🛒 الطلبات والمشتريات'!C5:C204,"&lt;"&amp;DATE(2026,9+1,1),'🛒 الطلبات والمشتريات'!D5:D204,"مواد مخزنية")),0)</f>
        <v/>
      </c>
      <c r="P9" s="106">
        <f>IFERROR(COUNTIFS('🛒 الطلبات والمشتريات'!C5:C204,"&gt;="&amp;DATE(2026,10,1),'🛒 الطلبات والمشتريات'!C5:C204,"&lt;"&amp;DATE(2026,10+1,1),'🛒 الطلبات والمشتريات'!D5:D204,"مواد مخزنية",'🛒 الطلبات والمشتريات'!I5:I204,"*ضمن*")/MAX(1,COUNTIFS('🛒 الطلبات والمشتريات'!C5:C204,"&gt;="&amp;DATE(2026,10,1),'🛒 الطلبات والمشتريات'!C5:C204,"&lt;"&amp;DATE(2026,10+1,1),'🛒 الطلبات والمشتريات'!D5:D204,"مواد مخزنية")),0)</f>
        <v/>
      </c>
      <c r="Q9" s="106">
        <f>IFERROR(COUNTIFS('🛒 الطلبات والمشتريات'!C5:C204,"&gt;="&amp;DATE(2026,11,1),'🛒 الطلبات والمشتريات'!C5:C204,"&lt;"&amp;DATE(2026,11+1,1),'🛒 الطلبات والمشتريات'!D5:D204,"مواد مخزنية",'🛒 الطلبات والمشتريات'!I5:I204,"*ضمن*")/MAX(1,COUNTIFS('🛒 الطلبات والمشتريات'!C5:C204,"&gt;="&amp;DATE(2026,11,1),'🛒 الطلبات والمشتريات'!C5:C204,"&lt;"&amp;DATE(2026,11+1,1),'🛒 الطلبات والمشتريات'!D5:D204,"مواد مخزنية")),0)</f>
        <v/>
      </c>
      <c r="R9" s="106">
        <f>IFERROR(COUNTIFS('🛒 الطلبات والمشتريات'!C5:C204,"&gt;="&amp;DATE(2026,12,1),'🛒 الطلبات والمشتريات'!C5:C204,"&lt;"&amp;DATE(2026,12+1,1),'🛒 الطلبات والمشتريات'!D5:D204,"مواد مخزنية",'🛒 الطلبات والمشتريات'!I5:I204,"*ضمن*")/MAX(1,COUNTIFS('🛒 الطلبات والمشتريات'!C5:C204,"&gt;="&amp;DATE(2026,12,1),'🛒 الطلبات والمشتريات'!C5:C204,"&lt;"&amp;DATE(2026,12+1,1),'🛒 الطلبات والمشتريات'!D5:D204,"مواد مخزنية")),0)</f>
        <v/>
      </c>
    </row>
    <row r="10">
      <c r="A10" s="101" t="n">
        <v>3</v>
      </c>
      <c r="B10" s="102" t="inlineStr">
        <is>
          <t>إصدار أوامر الشراء (≤ 5 أيام عمل)</t>
        </is>
      </c>
      <c r="C10" s="97" t="inlineStr">
        <is>
          <t>%</t>
        </is>
      </c>
      <c r="D10" s="103" t="inlineStr">
        <is>
          <t>≥ 95%</t>
        </is>
      </c>
      <c r="E10" s="97" t="inlineStr">
        <is>
          <t>خطة</t>
        </is>
      </c>
      <c r="F10" s="97" t="n"/>
      <c r="G10" s="104" t="n">
        <v>0.95</v>
      </c>
      <c r="H10" s="104" t="n">
        <v>0.95</v>
      </c>
      <c r="I10" s="104" t="n">
        <v>0.95</v>
      </c>
      <c r="J10" s="104" t="n">
        <v>0.95</v>
      </c>
      <c r="K10" s="104" t="n">
        <v>0.95</v>
      </c>
      <c r="L10" s="104" t="n">
        <v>0.95</v>
      </c>
      <c r="M10" s="104" t="n">
        <v>0.95</v>
      </c>
      <c r="N10" s="104" t="n">
        <v>0.95</v>
      </c>
      <c r="O10" s="104" t="n">
        <v>0.95</v>
      </c>
      <c r="P10" s="104" t="n">
        <v>0.95</v>
      </c>
      <c r="Q10" s="104" t="n">
        <v>0.95</v>
      </c>
      <c r="R10" s="104" t="n">
        <v>0.95</v>
      </c>
    </row>
    <row r="11">
      <c r="E11" s="105" t="inlineStr">
        <is>
          <t>فعلي</t>
        </is>
      </c>
      <c r="F11" s="105">
        <f>IFERROR(IF(AVERAGE(G10:R10)=0,"",IF(IFERROR(AVERAGEIF(G11:R11,"&gt;0",G11:R11),0)&gt;=AVERAGE(G10:R10),"✅ ",IF(IFERROR(AVERAGEIF(G11:R11,"&gt;0",G11:R11),0)&gt;=AVERAGE(G10:R10)*0.85,"🟡 ","🔴 "))&amp;TEXT((IFERROR(AVERAGEIF(G11:R11,"&gt;0",G11:R11),0)-AVERAGE(G10:R10))/AVERAGE(G10:R10),"+0.0%;-0.0%")),"")</f>
        <v/>
      </c>
      <c r="G11" s="106">
        <f>IFERROR(COUNTIFS('🛒 الطلبات والمشتريات'!C5:C204,"&gt;="&amp;DATE(2026,1,1),'🛒 الطلبات والمشتريات'!C5:C204,"&lt;"&amp;DATE(2026,1+1,1),'🛒 الطلبات والمشتريات'!D5:D204,"أمر شراء",'🛒 الطلبات والمشتريات'!I5:I204,"*ضمن*")/MAX(1,COUNTIFS('🛒 الطلبات والمشتريات'!C5:C204,"&gt;="&amp;DATE(2026,1,1),'🛒 الطلبات والمشتريات'!C5:C204,"&lt;"&amp;DATE(2026,1+1,1),'🛒 الطلبات والمشتريات'!D5:D204,"أمر شراء")),0)</f>
        <v/>
      </c>
      <c r="H11" s="106">
        <f>IFERROR(COUNTIFS('🛒 الطلبات والمشتريات'!C5:C204,"&gt;="&amp;DATE(2026,2,1),'🛒 الطلبات والمشتريات'!C5:C204,"&lt;"&amp;DATE(2026,2+1,1),'🛒 الطلبات والمشتريات'!D5:D204,"أمر شراء",'🛒 الطلبات والمشتريات'!I5:I204,"*ضمن*")/MAX(1,COUNTIFS('🛒 الطلبات والمشتريات'!C5:C204,"&gt;="&amp;DATE(2026,2,1),'🛒 الطلبات والمشتريات'!C5:C204,"&lt;"&amp;DATE(2026,2+1,1),'🛒 الطلبات والمشتريات'!D5:D204,"أمر شراء")),0)</f>
        <v/>
      </c>
      <c r="I11" s="106">
        <f>IFERROR(COUNTIFS('🛒 الطلبات والمشتريات'!C5:C204,"&gt;="&amp;DATE(2026,3,1),'🛒 الطلبات والمشتريات'!C5:C204,"&lt;"&amp;DATE(2026,3+1,1),'🛒 الطلبات والمشتريات'!D5:D204,"أمر شراء",'🛒 الطلبات والمشتريات'!I5:I204,"*ضمن*")/MAX(1,COUNTIFS('🛒 الطلبات والمشتريات'!C5:C204,"&gt;="&amp;DATE(2026,3,1),'🛒 الطلبات والمشتريات'!C5:C204,"&lt;"&amp;DATE(2026,3+1,1),'🛒 الطلبات والمشتريات'!D5:D204,"أمر شراء")),0)</f>
        <v/>
      </c>
      <c r="J11" s="106">
        <f>IFERROR(COUNTIFS('🛒 الطلبات والمشتريات'!C5:C204,"&gt;="&amp;DATE(2026,4,1),'🛒 الطلبات والمشتريات'!C5:C204,"&lt;"&amp;DATE(2026,4+1,1),'🛒 الطلبات والمشتريات'!D5:D204,"أمر شراء",'🛒 الطلبات والمشتريات'!I5:I204,"*ضمن*")/MAX(1,COUNTIFS('🛒 الطلبات والمشتريات'!C5:C204,"&gt;="&amp;DATE(2026,4,1),'🛒 الطلبات والمشتريات'!C5:C204,"&lt;"&amp;DATE(2026,4+1,1),'🛒 الطلبات والمشتريات'!D5:D204,"أمر شراء")),0)</f>
        <v/>
      </c>
      <c r="K11" s="106">
        <f>IFERROR(COUNTIFS('🛒 الطلبات والمشتريات'!C5:C204,"&gt;="&amp;DATE(2026,5,1),'🛒 الطلبات والمشتريات'!C5:C204,"&lt;"&amp;DATE(2026,5+1,1),'🛒 الطلبات والمشتريات'!D5:D204,"أمر شراء",'🛒 الطلبات والمشتريات'!I5:I204,"*ضمن*")/MAX(1,COUNTIFS('🛒 الطلبات والمشتريات'!C5:C204,"&gt;="&amp;DATE(2026,5,1),'🛒 الطلبات والمشتريات'!C5:C204,"&lt;"&amp;DATE(2026,5+1,1),'🛒 الطلبات والمشتريات'!D5:D204,"أمر شراء")),0)</f>
        <v/>
      </c>
      <c r="L11" s="106">
        <f>IFERROR(COUNTIFS('🛒 الطلبات والمشتريات'!C5:C204,"&gt;="&amp;DATE(2026,6,1),'🛒 الطلبات والمشتريات'!C5:C204,"&lt;"&amp;DATE(2026,6+1,1),'🛒 الطلبات والمشتريات'!D5:D204,"أمر شراء",'🛒 الطلبات والمشتريات'!I5:I204,"*ضمن*")/MAX(1,COUNTIFS('🛒 الطلبات والمشتريات'!C5:C204,"&gt;="&amp;DATE(2026,6,1),'🛒 الطلبات والمشتريات'!C5:C204,"&lt;"&amp;DATE(2026,6+1,1),'🛒 الطلبات والمشتريات'!D5:D204,"أمر شراء")),0)</f>
        <v/>
      </c>
      <c r="M11" s="106">
        <f>IFERROR(COUNTIFS('🛒 الطلبات والمشتريات'!C5:C204,"&gt;="&amp;DATE(2026,7,1),'🛒 الطلبات والمشتريات'!C5:C204,"&lt;"&amp;DATE(2026,7+1,1),'🛒 الطلبات والمشتريات'!D5:D204,"أمر شراء",'🛒 الطلبات والمشتريات'!I5:I204,"*ضمن*")/MAX(1,COUNTIFS('🛒 الطلبات والمشتريات'!C5:C204,"&gt;="&amp;DATE(2026,7,1),'🛒 الطلبات والمشتريات'!C5:C204,"&lt;"&amp;DATE(2026,7+1,1),'🛒 الطلبات والمشتريات'!D5:D204,"أمر شراء")),0)</f>
        <v/>
      </c>
      <c r="N11" s="106">
        <f>IFERROR(COUNTIFS('🛒 الطلبات والمشتريات'!C5:C204,"&gt;="&amp;DATE(2026,8,1),'🛒 الطلبات والمشتريات'!C5:C204,"&lt;"&amp;DATE(2026,8+1,1),'🛒 الطلبات والمشتريات'!D5:D204,"أمر شراء",'🛒 الطلبات والمشتريات'!I5:I204,"*ضمن*")/MAX(1,COUNTIFS('🛒 الطلبات والمشتريات'!C5:C204,"&gt;="&amp;DATE(2026,8,1),'🛒 الطلبات والمشتريات'!C5:C204,"&lt;"&amp;DATE(2026,8+1,1),'🛒 الطلبات والمشتريات'!D5:D204,"أمر شراء")),0)</f>
        <v/>
      </c>
      <c r="O11" s="106">
        <f>IFERROR(COUNTIFS('🛒 الطلبات والمشتريات'!C5:C204,"&gt;="&amp;DATE(2026,9,1),'🛒 الطلبات والمشتريات'!C5:C204,"&lt;"&amp;DATE(2026,9+1,1),'🛒 الطلبات والمشتريات'!D5:D204,"أمر شراء",'🛒 الطلبات والمشتريات'!I5:I204,"*ضمن*")/MAX(1,COUNTIFS('🛒 الطلبات والمشتريات'!C5:C204,"&gt;="&amp;DATE(2026,9,1),'🛒 الطلبات والمشتريات'!C5:C204,"&lt;"&amp;DATE(2026,9+1,1),'🛒 الطلبات والمشتريات'!D5:D204,"أمر شراء")),0)</f>
        <v/>
      </c>
      <c r="P11" s="106">
        <f>IFERROR(COUNTIFS('🛒 الطلبات والمشتريات'!C5:C204,"&gt;="&amp;DATE(2026,10,1),'🛒 الطلبات والمشتريات'!C5:C204,"&lt;"&amp;DATE(2026,10+1,1),'🛒 الطلبات والمشتريات'!D5:D204,"أمر شراء",'🛒 الطلبات والمشتريات'!I5:I204,"*ضمن*")/MAX(1,COUNTIFS('🛒 الطلبات والمشتريات'!C5:C204,"&gt;="&amp;DATE(2026,10,1),'🛒 الطلبات والمشتريات'!C5:C204,"&lt;"&amp;DATE(2026,10+1,1),'🛒 الطلبات والمشتريات'!D5:D204,"أمر شراء")),0)</f>
        <v/>
      </c>
      <c r="Q11" s="106">
        <f>IFERROR(COUNTIFS('🛒 الطلبات والمشتريات'!C5:C204,"&gt;="&amp;DATE(2026,11,1),'🛒 الطلبات والمشتريات'!C5:C204,"&lt;"&amp;DATE(2026,11+1,1),'🛒 الطلبات والمشتريات'!D5:D204,"أمر شراء",'🛒 الطلبات والمشتريات'!I5:I204,"*ضمن*")/MAX(1,COUNTIFS('🛒 الطلبات والمشتريات'!C5:C204,"&gt;="&amp;DATE(2026,11,1),'🛒 الطلبات والمشتريات'!C5:C204,"&lt;"&amp;DATE(2026,11+1,1),'🛒 الطلبات والمشتريات'!D5:D204,"أمر شراء")),0)</f>
        <v/>
      </c>
      <c r="R11" s="106">
        <f>IFERROR(COUNTIFS('🛒 الطلبات والمشتريات'!C5:C204,"&gt;="&amp;DATE(2026,12,1),'🛒 الطلبات والمشتريات'!C5:C204,"&lt;"&amp;DATE(2026,12+1,1),'🛒 الطلبات والمشتريات'!D5:D204,"أمر شراء",'🛒 الطلبات والمشتريات'!I5:I204,"*ضمن*")/MAX(1,COUNTIFS('🛒 الطلبات والمشتريات'!C5:C204,"&gt;="&amp;DATE(2026,12,1),'🛒 الطلبات والمشتريات'!C5:C204,"&lt;"&amp;DATE(2026,12+1,1),'🛒 الطلبات والمشتريات'!D5:D204,"أمر شراء")),0)</f>
        <v/>
      </c>
    </row>
    <row r="12">
      <c r="A12" s="100" t="inlineStr">
        <is>
          <t xml:space="preserve">  ◀ 💰 التكاليف</t>
        </is>
      </c>
    </row>
    <row r="13">
      <c r="A13" s="101" t="n">
        <v>4</v>
      </c>
      <c r="B13" s="102" t="inlineStr">
        <is>
          <t>فواقد الوقود لكل 33K لتر</t>
        </is>
      </c>
      <c r="C13" s="97" t="inlineStr">
        <is>
          <t>لتر</t>
        </is>
      </c>
      <c r="D13" s="103" t="inlineStr">
        <is>
          <t>≤ 100</t>
        </is>
      </c>
      <c r="E13" s="97" t="inlineStr">
        <is>
          <t>خطة</t>
        </is>
      </c>
      <c r="F13" s="97" t="n"/>
      <c r="G13" s="107" t="n">
        <v>100</v>
      </c>
      <c r="H13" s="107" t="n">
        <v>100</v>
      </c>
      <c r="I13" s="107" t="n">
        <v>100</v>
      </c>
      <c r="J13" s="107" t="n">
        <v>100</v>
      </c>
      <c r="K13" s="107" t="n">
        <v>100</v>
      </c>
      <c r="L13" s="107" t="n">
        <v>100</v>
      </c>
      <c r="M13" s="107" t="n">
        <v>100</v>
      </c>
      <c r="N13" s="107" t="n">
        <v>100</v>
      </c>
      <c r="O13" s="107" t="n">
        <v>100</v>
      </c>
      <c r="P13" s="107" t="n">
        <v>100</v>
      </c>
      <c r="Q13" s="107" t="n">
        <v>100</v>
      </c>
      <c r="R13" s="107" t="n">
        <v>100</v>
      </c>
    </row>
    <row r="14">
      <c r="E14" s="105" t="inlineStr">
        <is>
          <t>فعلي</t>
        </is>
      </c>
      <c r="F14" s="105">
        <f>IFERROR(IF(AVERAGE(G13:R13)=0,"",IF(IFERROR(AVERAGEIF(G14:R14,"&gt;0",G14:R14),0)&lt;=AVERAGE(G13:R13),"✅ ",IF(IFERROR(AVERAGEIF(G14:R14,"&gt;0",G14:R14),0)&lt;=AVERAGE(G13:R13)*1.3,"🟡 ","🔴 "))&amp;TEXT((IFERROR(AVERAGEIF(G14:R14,"&gt;0",G14:R14),0)-AVERAGE(G13:R13))/AVERAGE(G13:R13),"+0.0%;-0.0%")),"")</f>
        <v/>
      </c>
      <c r="G14" s="108">
        <f>IFERROR(SUMIFS('💧 الردود والفاقد'!G5:G304,'💧 الردود والفاقد'!B5:B304,"&gt;="&amp;DATE(2026,1,1),'💧 الردود والفاقد'!B5:B304,"&lt;"&amp;DATE(2026,1+1,1))/COUNTIFS('💧 الردود والفاقد'!B5:B304,"&gt;="&amp;DATE(2026,1,1),'💧 الردود والفاقد'!B5:B304,"&lt;"&amp;DATE(2026,1+1,1)),0)</f>
        <v/>
      </c>
      <c r="H14" s="108">
        <f>IFERROR(SUMIFS('💧 الردود والفاقد'!G5:G304,'💧 الردود والفاقد'!B5:B304,"&gt;="&amp;DATE(2026,2,1),'💧 الردود والفاقد'!B5:B304,"&lt;"&amp;DATE(2026,2+1,1))/COUNTIFS('💧 الردود والفاقد'!B5:B304,"&gt;="&amp;DATE(2026,2,1),'💧 الردود والفاقد'!B5:B304,"&lt;"&amp;DATE(2026,2+1,1)),0)</f>
        <v/>
      </c>
      <c r="I14" s="108">
        <f>IFERROR(SUMIFS('💧 الردود والفاقد'!G5:G304,'💧 الردود والفاقد'!B5:B304,"&gt;="&amp;DATE(2026,3,1),'💧 الردود والفاقد'!B5:B304,"&lt;"&amp;DATE(2026,3+1,1))/COUNTIFS('💧 الردود والفاقد'!B5:B304,"&gt;="&amp;DATE(2026,3,1),'💧 الردود والفاقد'!B5:B304,"&lt;"&amp;DATE(2026,3+1,1)),0)</f>
        <v/>
      </c>
      <c r="J14" s="108">
        <f>IFERROR(SUMIFS('💧 الردود والفاقد'!G5:G304,'💧 الردود والفاقد'!B5:B304,"&gt;="&amp;DATE(2026,4,1),'💧 الردود والفاقد'!B5:B304,"&lt;"&amp;DATE(2026,4+1,1))/COUNTIFS('💧 الردود والفاقد'!B5:B304,"&gt;="&amp;DATE(2026,4,1),'💧 الردود والفاقد'!B5:B304,"&lt;"&amp;DATE(2026,4+1,1)),0)</f>
        <v/>
      </c>
      <c r="K14" s="108">
        <f>IFERROR(SUMIFS('💧 الردود والفاقد'!G5:G304,'💧 الردود والفاقد'!B5:B304,"&gt;="&amp;DATE(2026,5,1),'💧 الردود والفاقد'!B5:B304,"&lt;"&amp;DATE(2026,5+1,1))/COUNTIFS('💧 الردود والفاقد'!B5:B304,"&gt;="&amp;DATE(2026,5,1),'💧 الردود والفاقد'!B5:B304,"&lt;"&amp;DATE(2026,5+1,1)),0)</f>
        <v/>
      </c>
      <c r="L14" s="108">
        <f>IFERROR(SUMIFS('💧 الردود والفاقد'!G5:G304,'💧 الردود والفاقد'!B5:B304,"&gt;="&amp;DATE(2026,6,1),'💧 الردود والفاقد'!B5:B304,"&lt;"&amp;DATE(2026,6+1,1))/COUNTIFS('💧 الردود والفاقد'!B5:B304,"&gt;="&amp;DATE(2026,6,1),'💧 الردود والفاقد'!B5:B304,"&lt;"&amp;DATE(2026,6+1,1)),0)</f>
        <v/>
      </c>
      <c r="M14" s="108">
        <f>IFERROR(SUMIFS('💧 الردود والفاقد'!G5:G304,'💧 الردود والفاقد'!B5:B304,"&gt;="&amp;DATE(2026,7,1),'💧 الردود والفاقد'!B5:B304,"&lt;"&amp;DATE(2026,7+1,1))/COUNTIFS('💧 الردود والفاقد'!B5:B304,"&gt;="&amp;DATE(2026,7,1),'💧 الردود والفاقد'!B5:B304,"&lt;"&amp;DATE(2026,7+1,1)),0)</f>
        <v/>
      </c>
      <c r="N14" s="108">
        <f>IFERROR(SUMIFS('💧 الردود والفاقد'!G5:G304,'💧 الردود والفاقد'!B5:B304,"&gt;="&amp;DATE(2026,8,1),'💧 الردود والفاقد'!B5:B304,"&lt;"&amp;DATE(2026,8+1,1))/COUNTIFS('💧 الردود والفاقد'!B5:B304,"&gt;="&amp;DATE(2026,8,1),'💧 الردود والفاقد'!B5:B304,"&lt;"&amp;DATE(2026,8+1,1)),0)</f>
        <v/>
      </c>
      <c r="O14" s="108">
        <f>IFERROR(SUMIFS('💧 الردود والفاقد'!G5:G304,'💧 الردود والفاقد'!B5:B304,"&gt;="&amp;DATE(2026,9,1),'💧 الردود والفاقد'!B5:B304,"&lt;"&amp;DATE(2026,9+1,1))/COUNTIFS('💧 الردود والفاقد'!B5:B304,"&gt;="&amp;DATE(2026,9,1),'💧 الردود والفاقد'!B5:B304,"&lt;"&amp;DATE(2026,9+1,1)),0)</f>
        <v/>
      </c>
      <c r="P14" s="108">
        <f>IFERROR(SUMIFS('💧 الردود والفاقد'!G5:G304,'💧 الردود والفاقد'!B5:B304,"&gt;="&amp;DATE(2026,10,1),'💧 الردود والفاقد'!B5:B304,"&lt;"&amp;DATE(2026,10+1,1))/COUNTIFS('💧 الردود والفاقد'!B5:B304,"&gt;="&amp;DATE(2026,10,1),'💧 الردود والفاقد'!B5:B304,"&lt;"&amp;DATE(2026,10+1,1)),0)</f>
        <v/>
      </c>
      <c r="Q14" s="108">
        <f>IFERROR(SUMIFS('💧 الردود والفاقد'!G5:G304,'💧 الردود والفاقد'!B5:B304,"&gt;="&amp;DATE(2026,11,1),'💧 الردود والفاقد'!B5:B304,"&lt;"&amp;DATE(2026,11+1,1))/COUNTIFS('💧 الردود والفاقد'!B5:B304,"&gt;="&amp;DATE(2026,11,1),'💧 الردود والفاقد'!B5:B304,"&lt;"&amp;DATE(2026,11+1,1)),0)</f>
        <v/>
      </c>
      <c r="R14" s="108">
        <f>IFERROR(SUMIFS('💧 الردود والفاقد'!G5:G304,'💧 الردود والفاقد'!B5:B304,"&gt;="&amp;DATE(2026,12,1),'💧 الردود والفاقد'!B5:B304,"&lt;"&amp;DATE(2026,12+1,1))/COUNTIFS('💧 الردود والفاقد'!B5:B304,"&gt;="&amp;DATE(2026,12,1),'💧 الردود والفاقد'!B5:B304,"&lt;"&amp;DATE(2026,12+1,1)),0)</f>
        <v/>
      </c>
    </row>
    <row r="15">
      <c r="A15" s="101" t="n">
        <v>5</v>
      </c>
      <c r="B15" s="102" t="inlineStr">
        <is>
          <t>نسبة المواد التالفة (يدوي شهرياً)</t>
        </is>
      </c>
      <c r="C15" s="97" t="inlineStr">
        <is>
          <t>%</t>
        </is>
      </c>
      <c r="D15" s="103" t="inlineStr">
        <is>
          <t>≤ 2%</t>
        </is>
      </c>
      <c r="E15" s="97" t="inlineStr">
        <is>
          <t>خطة</t>
        </is>
      </c>
      <c r="F15" s="97" t="n"/>
      <c r="G15" s="104" t="n">
        <v>0.02</v>
      </c>
      <c r="H15" s="104" t="n">
        <v>0.02</v>
      </c>
      <c r="I15" s="104" t="n">
        <v>0.02</v>
      </c>
      <c r="J15" s="104" t="n">
        <v>0.02</v>
      </c>
      <c r="K15" s="104" t="n">
        <v>0.02</v>
      </c>
      <c r="L15" s="104" t="n">
        <v>0.02</v>
      </c>
      <c r="M15" s="104" t="n">
        <v>0.02</v>
      </c>
      <c r="N15" s="104" t="n">
        <v>0.02</v>
      </c>
      <c r="O15" s="104" t="n">
        <v>0.02</v>
      </c>
      <c r="P15" s="104" t="n">
        <v>0.02</v>
      </c>
      <c r="Q15" s="104" t="n">
        <v>0.02</v>
      </c>
      <c r="R15" s="104" t="n">
        <v>0.02</v>
      </c>
    </row>
    <row r="16">
      <c r="E16" s="105" t="inlineStr">
        <is>
          <t>فعلي</t>
        </is>
      </c>
      <c r="F16" s="105">
        <f>IFERROR(IF(AVERAGE(G15:R15)=0,"",IF(IFERROR(AVERAGEIF(G16:R16,"&gt;0",G16:R16),0)&lt;=AVERAGE(G15:R15),"✅ ",IF(IFERROR(AVERAGEIF(G16:R16,"&gt;0",G16:R16),0)&lt;=AVERAGE(G15:R15)*1.3,"🟡 ","🔴 "))&amp;TEXT((IFERROR(AVERAGEIF(G16:R16,"&gt;0",G16:R16),0)-AVERAGE(G15:R15))/AVERAGE(G15:R15),"+0.0%;-0.0%")),"")</f>
        <v/>
      </c>
      <c r="G16" s="106" t="n"/>
      <c r="H16" s="106" t="n"/>
      <c r="I16" s="106" t="n"/>
      <c r="J16" s="106" t="n"/>
      <c r="K16" s="106" t="n"/>
      <c r="L16" s="106" t="n"/>
      <c r="M16" s="106" t="n"/>
      <c r="N16" s="106" t="n"/>
      <c r="O16" s="106" t="n"/>
      <c r="P16" s="106" t="n"/>
      <c r="Q16" s="106" t="n"/>
      <c r="R16" s="106" t="n"/>
    </row>
    <row r="17">
      <c r="A17" s="100" t="inlineStr">
        <is>
          <t xml:space="preserve">  ◀ 🏦 السيولة المالية</t>
        </is>
      </c>
    </row>
    <row r="18">
      <c r="A18" s="101" t="n">
        <v>6</v>
      </c>
      <c r="B18" s="102" t="inlineStr">
        <is>
          <t>أيام مخزون الوقود (يطوي الدوران)</t>
        </is>
      </c>
      <c r="C18" s="97" t="inlineStr">
        <is>
          <t>يوم</t>
        </is>
      </c>
      <c r="D18" s="103" t="inlineStr">
        <is>
          <t>≤ 3</t>
        </is>
      </c>
      <c r="E18" s="97" t="inlineStr">
        <is>
          <t>خطة</t>
        </is>
      </c>
      <c r="F18" s="97" t="n"/>
      <c r="G18" s="107" t="n">
        <v>3</v>
      </c>
      <c r="H18" s="107" t="n">
        <v>3</v>
      </c>
      <c r="I18" s="107" t="n">
        <v>3</v>
      </c>
      <c r="J18" s="107" t="n">
        <v>3</v>
      </c>
      <c r="K18" s="107" t="n">
        <v>3</v>
      </c>
      <c r="L18" s="107" t="n">
        <v>3</v>
      </c>
      <c r="M18" s="107" t="n">
        <v>3</v>
      </c>
      <c r="N18" s="107" t="n">
        <v>3</v>
      </c>
      <c r="O18" s="107" t="n">
        <v>3</v>
      </c>
      <c r="P18" s="107" t="n">
        <v>3</v>
      </c>
      <c r="Q18" s="107" t="n">
        <v>3</v>
      </c>
      <c r="R18" s="107" t="n">
        <v>3</v>
      </c>
    </row>
    <row r="19">
      <c r="E19" s="105" t="inlineStr">
        <is>
          <t>فعلي</t>
        </is>
      </c>
      <c r="F19" s="105">
        <f>IFERROR(IF(AVERAGE(G18:R18)=0,"",IF(IFERROR(AVERAGEIF(G19:R19,"&gt;0",G19:R19),0)&lt;=AVERAGE(G18:R18),"✅ ",IF(IFERROR(AVERAGEIF(G19:R19,"&gt;0",G19:R19),0)&lt;=AVERAGE(G18:R18)*1.3,"🟡 ","🔴 "))&amp;TEXT((IFERROR(AVERAGEIF(G19:R19,"&gt;0",G19:R19),0)-AVERAGE(G18:R18))/AVERAGE(G18:R18),"+0.0%;-0.0%")),"")</f>
        <v/>
      </c>
      <c r="G19" s="108">
        <f>IFERROR(AVERAGEIFS('📦 المخزون'!I5:I304,'📦 المخزون'!C5:C304,1,'📦 المخزون'!F5:F304,"وقود"),0)</f>
        <v/>
      </c>
      <c r="H19" s="108">
        <f>IFERROR(AVERAGEIFS('📦 المخزون'!I5:I304,'📦 المخزون'!C5:C304,2,'📦 المخزون'!F5:F304,"وقود"),0)</f>
        <v/>
      </c>
      <c r="I19" s="108">
        <f>IFERROR(AVERAGEIFS('📦 المخزون'!I5:I304,'📦 المخزون'!C5:C304,3,'📦 المخزون'!F5:F304,"وقود"),0)</f>
        <v/>
      </c>
      <c r="J19" s="108">
        <f>IFERROR(AVERAGEIFS('📦 المخزون'!I5:I304,'📦 المخزون'!C5:C304,4,'📦 المخزون'!F5:F304,"وقود"),0)</f>
        <v/>
      </c>
      <c r="K19" s="108">
        <f>IFERROR(AVERAGEIFS('📦 المخزون'!I5:I304,'📦 المخزون'!C5:C304,5,'📦 المخزون'!F5:F304,"وقود"),0)</f>
        <v/>
      </c>
      <c r="L19" s="108">
        <f>IFERROR(AVERAGEIFS('📦 المخزون'!I5:I304,'📦 المخزون'!C5:C304,6,'📦 المخزون'!F5:F304,"وقود"),0)</f>
        <v/>
      </c>
      <c r="M19" s="108">
        <f>IFERROR(AVERAGEIFS('📦 المخزون'!I5:I304,'📦 المخزون'!C5:C304,7,'📦 المخزون'!F5:F304,"وقود"),0)</f>
        <v/>
      </c>
      <c r="N19" s="108">
        <f>IFERROR(AVERAGEIFS('📦 المخزون'!I5:I304,'📦 المخزون'!C5:C304,8,'📦 المخزون'!F5:F304,"وقود"),0)</f>
        <v/>
      </c>
      <c r="O19" s="108">
        <f>IFERROR(AVERAGEIFS('📦 المخزون'!I5:I304,'📦 المخزون'!C5:C304,9,'📦 المخزون'!F5:F304,"وقود"),0)</f>
        <v/>
      </c>
      <c r="P19" s="108">
        <f>IFERROR(AVERAGEIFS('📦 المخزون'!I5:I304,'📦 المخزون'!C5:C304,10,'📦 المخزون'!F5:F304,"وقود"),0)</f>
        <v/>
      </c>
      <c r="Q19" s="108">
        <f>IFERROR(AVERAGEIFS('📦 المخزون'!I5:I304,'📦 المخزون'!C5:C304,11,'📦 المخزون'!F5:F304,"وقود"),0)</f>
        <v/>
      </c>
      <c r="R19" s="108">
        <f>IFERROR(AVERAGEIFS('📦 المخزون'!I5:I304,'📦 المخزون'!C5:C304,12,'📦 المخزون'!F5:F304,"وقود"),0)</f>
        <v/>
      </c>
    </row>
    <row r="20">
      <c r="A20" s="100" t="inlineStr">
        <is>
          <t xml:space="preserve">  ◀ 🛡️ السلامة والامتثال</t>
        </is>
      </c>
    </row>
    <row r="21">
      <c r="A21" s="101" t="n">
        <v>7</v>
      </c>
      <c r="B21" s="102" t="inlineStr">
        <is>
          <t>الامتثال والسلامة (يطوي عدد الحوادث)</t>
        </is>
      </c>
      <c r="C21" s="97" t="inlineStr">
        <is>
          <t>%</t>
        </is>
      </c>
      <c r="D21" s="103" t="inlineStr">
        <is>
          <t>≥ 95%</t>
        </is>
      </c>
      <c r="E21" s="97" t="inlineStr">
        <is>
          <t>خطة</t>
        </is>
      </c>
      <c r="F21" s="97" t="n"/>
      <c r="G21" s="104" t="n">
        <v>0.95</v>
      </c>
      <c r="H21" s="104" t="n">
        <v>0.95</v>
      </c>
      <c r="I21" s="104" t="n">
        <v>0.95</v>
      </c>
      <c r="J21" s="104" t="n">
        <v>0.95</v>
      </c>
      <c r="K21" s="104" t="n">
        <v>0.95</v>
      </c>
      <c r="L21" s="104" t="n">
        <v>0.95</v>
      </c>
      <c r="M21" s="104" t="n">
        <v>0.95</v>
      </c>
      <c r="N21" s="104" t="n">
        <v>0.95</v>
      </c>
      <c r="O21" s="104" t="n">
        <v>0.95</v>
      </c>
      <c r="P21" s="104" t="n">
        <v>0.95</v>
      </c>
      <c r="Q21" s="104" t="n">
        <v>0.95</v>
      </c>
      <c r="R21" s="104" t="n">
        <v>0.95</v>
      </c>
    </row>
    <row r="22">
      <c r="E22" s="105" t="inlineStr">
        <is>
          <t>فعلي</t>
        </is>
      </c>
      <c r="F22" s="105">
        <f>IFERROR(IF(AVERAGE(G21:R21)=0,"",IF(IFERROR(AVERAGEIF(G22:R22,"&gt;0",G22:R22),0)&gt;=AVERAGE(G21:R21),"✅ ",IF(IFERROR(AVERAGEIF(G22:R22,"&gt;0",G22:R22),0)&gt;=AVERAGE(G21:R21)*0.85,"🟡 ","🔴 "))&amp;TEXT((IFERROR(AVERAGEIF(G22:R22,"&gt;0",G22:R22),0)-AVERAGE(G21:R21))/AVERAGE(G21:R21),"+0.0%;-0.0%")),"")</f>
        <v/>
      </c>
      <c r="G22" s="106">
        <f>IFERROR(COUNTIFS('🚚 النقل والرحلات'!B5:B304,"&gt;="&amp;DATE(2026,1,1),'🚚 النقل والرحلات'!B5:B304,"&lt;"&amp;DATE(2026,1+1,1),'🚚 النقل والرحلات'!K5:K304,"لا يوجد")/MAX(1,COUNTIFS('🚚 النقل والرحلات'!B5:B304,"&gt;="&amp;DATE(2026,1,1),'🚚 النقل والرحلات'!B5:B304,"&lt;"&amp;DATE(2026,1+1,1))),0)</f>
        <v/>
      </c>
      <c r="H22" s="106">
        <f>IFERROR(COUNTIFS('🚚 النقل والرحلات'!B5:B304,"&gt;="&amp;DATE(2026,2,1),'🚚 النقل والرحلات'!B5:B304,"&lt;"&amp;DATE(2026,2+1,1),'🚚 النقل والرحلات'!K5:K304,"لا يوجد")/MAX(1,COUNTIFS('🚚 النقل والرحلات'!B5:B304,"&gt;="&amp;DATE(2026,2,1),'🚚 النقل والرحلات'!B5:B304,"&lt;"&amp;DATE(2026,2+1,1))),0)</f>
        <v/>
      </c>
      <c r="I22" s="106">
        <f>IFERROR(COUNTIFS('🚚 النقل والرحلات'!B5:B304,"&gt;="&amp;DATE(2026,3,1),'🚚 النقل والرحلات'!B5:B304,"&lt;"&amp;DATE(2026,3+1,1),'🚚 النقل والرحلات'!K5:K304,"لا يوجد")/MAX(1,COUNTIFS('🚚 النقل والرحلات'!B5:B304,"&gt;="&amp;DATE(2026,3,1),'🚚 النقل والرحلات'!B5:B304,"&lt;"&amp;DATE(2026,3+1,1))),0)</f>
        <v/>
      </c>
      <c r="J22" s="106">
        <f>IFERROR(COUNTIFS('🚚 النقل والرحلات'!B5:B304,"&gt;="&amp;DATE(2026,4,1),'🚚 النقل والرحلات'!B5:B304,"&lt;"&amp;DATE(2026,4+1,1),'🚚 النقل والرحلات'!K5:K304,"لا يوجد")/MAX(1,COUNTIFS('🚚 النقل والرحلات'!B5:B304,"&gt;="&amp;DATE(2026,4,1),'🚚 النقل والرحلات'!B5:B304,"&lt;"&amp;DATE(2026,4+1,1))),0)</f>
        <v/>
      </c>
      <c r="K22" s="106">
        <f>IFERROR(COUNTIFS('🚚 النقل والرحلات'!B5:B304,"&gt;="&amp;DATE(2026,5,1),'🚚 النقل والرحلات'!B5:B304,"&lt;"&amp;DATE(2026,5+1,1),'🚚 النقل والرحلات'!K5:K304,"لا يوجد")/MAX(1,COUNTIFS('🚚 النقل والرحلات'!B5:B304,"&gt;="&amp;DATE(2026,5,1),'🚚 النقل والرحلات'!B5:B304,"&lt;"&amp;DATE(2026,5+1,1))),0)</f>
        <v/>
      </c>
      <c r="L22" s="106">
        <f>IFERROR(COUNTIFS('🚚 النقل والرحلات'!B5:B304,"&gt;="&amp;DATE(2026,6,1),'🚚 النقل والرحلات'!B5:B304,"&lt;"&amp;DATE(2026,6+1,1),'🚚 النقل والرحلات'!K5:K304,"لا يوجد")/MAX(1,COUNTIFS('🚚 النقل والرحلات'!B5:B304,"&gt;="&amp;DATE(2026,6,1),'🚚 النقل والرحلات'!B5:B304,"&lt;"&amp;DATE(2026,6+1,1))),0)</f>
        <v/>
      </c>
      <c r="M22" s="106">
        <f>IFERROR(COUNTIFS('🚚 النقل والرحلات'!B5:B304,"&gt;="&amp;DATE(2026,7,1),'🚚 النقل والرحلات'!B5:B304,"&lt;"&amp;DATE(2026,7+1,1),'🚚 النقل والرحلات'!K5:K304,"لا يوجد")/MAX(1,COUNTIFS('🚚 النقل والرحلات'!B5:B304,"&gt;="&amp;DATE(2026,7,1),'🚚 النقل والرحلات'!B5:B304,"&lt;"&amp;DATE(2026,7+1,1))),0)</f>
        <v/>
      </c>
      <c r="N22" s="106">
        <f>IFERROR(COUNTIFS('🚚 النقل والرحلات'!B5:B304,"&gt;="&amp;DATE(2026,8,1),'🚚 النقل والرحلات'!B5:B304,"&lt;"&amp;DATE(2026,8+1,1),'🚚 النقل والرحلات'!K5:K304,"لا يوجد")/MAX(1,COUNTIFS('🚚 النقل والرحلات'!B5:B304,"&gt;="&amp;DATE(2026,8,1),'🚚 النقل والرحلات'!B5:B304,"&lt;"&amp;DATE(2026,8+1,1))),0)</f>
        <v/>
      </c>
      <c r="O22" s="106">
        <f>IFERROR(COUNTIFS('🚚 النقل والرحلات'!B5:B304,"&gt;="&amp;DATE(2026,9,1),'🚚 النقل والرحلات'!B5:B304,"&lt;"&amp;DATE(2026,9+1,1),'🚚 النقل والرحلات'!K5:K304,"لا يوجد")/MAX(1,COUNTIFS('🚚 النقل والرحلات'!B5:B304,"&gt;="&amp;DATE(2026,9,1),'🚚 النقل والرحلات'!B5:B304,"&lt;"&amp;DATE(2026,9+1,1))),0)</f>
        <v/>
      </c>
      <c r="P22" s="106">
        <f>IFERROR(COUNTIFS('🚚 النقل والرحلات'!B5:B304,"&gt;="&amp;DATE(2026,10,1),'🚚 النقل والرحلات'!B5:B304,"&lt;"&amp;DATE(2026,10+1,1),'🚚 النقل والرحلات'!K5:K304,"لا يوجد")/MAX(1,COUNTIFS('🚚 النقل والرحلات'!B5:B304,"&gt;="&amp;DATE(2026,10,1),'🚚 النقل والرحلات'!B5:B304,"&lt;"&amp;DATE(2026,10+1,1))),0)</f>
        <v/>
      </c>
      <c r="Q22" s="106">
        <f>IFERROR(COUNTIFS('🚚 النقل والرحلات'!B5:B304,"&gt;="&amp;DATE(2026,11,1),'🚚 النقل والرحلات'!B5:B304,"&lt;"&amp;DATE(2026,11+1,1),'🚚 النقل والرحلات'!K5:K304,"لا يوجد")/MAX(1,COUNTIFS('🚚 النقل والرحلات'!B5:B304,"&gt;="&amp;DATE(2026,11,1),'🚚 النقل والرحلات'!B5:B304,"&lt;"&amp;DATE(2026,11+1,1))),0)</f>
        <v/>
      </c>
      <c r="R22" s="106">
        <f>IFERROR(COUNTIFS('🚚 النقل والرحلات'!B5:B304,"&gt;="&amp;DATE(2026,12,1),'🚚 النقل والرحلات'!B5:B304,"&lt;"&amp;DATE(2026,12+1,1),'🚚 النقل والرحلات'!K5:K304,"لا يوجد")/MAX(1,COUNTIFS('🚚 النقل والرحلات'!B5:B304,"&gt;="&amp;DATE(2026,12,1),'🚚 النقل والرحلات'!B5:B304,"&lt;"&amp;DATE(2026,12+1,1))),0)</f>
        <v/>
      </c>
    </row>
    <row r="23">
      <c r="A23" s="100" t="inlineStr">
        <is>
          <t xml:space="preserve">  ◀ ⚙️ الكفاءة التشغيلية</t>
        </is>
      </c>
    </row>
    <row r="24">
      <c r="A24" s="101" t="n">
        <v>8</v>
      </c>
      <c r="B24" s="102" t="inlineStr">
        <is>
          <t>التزام جدول النقل (On-time)</t>
        </is>
      </c>
      <c r="C24" s="97" t="inlineStr">
        <is>
          <t>%</t>
        </is>
      </c>
      <c r="D24" s="103" t="inlineStr">
        <is>
          <t>≥ 95%</t>
        </is>
      </c>
      <c r="E24" s="97" t="inlineStr">
        <is>
          <t>خطة</t>
        </is>
      </c>
      <c r="F24" s="97" t="n"/>
      <c r="G24" s="104" t="n">
        <v>0.95</v>
      </c>
      <c r="H24" s="104" t="n">
        <v>0.95</v>
      </c>
      <c r="I24" s="104" t="n">
        <v>0.95</v>
      </c>
      <c r="J24" s="104" t="n">
        <v>0.95</v>
      </c>
      <c r="K24" s="104" t="n">
        <v>0.95</v>
      </c>
      <c r="L24" s="104" t="n">
        <v>0.95</v>
      </c>
      <c r="M24" s="104" t="n">
        <v>0.95</v>
      </c>
      <c r="N24" s="104" t="n">
        <v>0.95</v>
      </c>
      <c r="O24" s="104" t="n">
        <v>0.95</v>
      </c>
      <c r="P24" s="104" t="n">
        <v>0.95</v>
      </c>
      <c r="Q24" s="104" t="n">
        <v>0.95</v>
      </c>
      <c r="R24" s="104" t="n">
        <v>0.95</v>
      </c>
    </row>
    <row r="25">
      <c r="E25" s="105" t="inlineStr">
        <is>
          <t>فعلي</t>
        </is>
      </c>
      <c r="F25" s="105">
        <f>IFERROR(IF(AVERAGE(G24:R24)=0,"",IF(IFERROR(AVERAGEIF(G25:R25,"&gt;0",G25:R25),0)&gt;=AVERAGE(G24:R24),"✅ ",IF(IFERROR(AVERAGEIF(G25:R25,"&gt;0",G25:R25),0)&gt;=AVERAGE(G24:R24)*0.85,"🟡 ","🔴 "))&amp;TEXT((IFERROR(AVERAGEIF(G25:R25,"&gt;0",G25:R25),0)-AVERAGE(G24:R24))/AVERAGE(G24:R24),"+0.0%;-0.0%")),"")</f>
        <v/>
      </c>
      <c r="G25" s="106">
        <f>IFERROR(COUNTIFS('🚚 النقل والرحلات'!B5:B304,"&gt;="&amp;DATE(2026,1,1),'🚚 النقل والرحلات'!B5:B304,"&lt;"&amp;DATE(2026,1+1,1),'🚚 النقل والرحلات'!J5:J304,"*في الوقت*")/MAX(1,COUNTIFS('🚚 النقل والرحلات'!B5:B304,"&gt;="&amp;DATE(2026,1,1),'🚚 النقل والرحلات'!B5:B304,"&lt;"&amp;DATE(2026,1+1,1))),0)</f>
        <v/>
      </c>
      <c r="H25" s="106">
        <f>IFERROR(COUNTIFS('🚚 النقل والرحلات'!B5:B304,"&gt;="&amp;DATE(2026,2,1),'🚚 النقل والرحلات'!B5:B304,"&lt;"&amp;DATE(2026,2+1,1),'🚚 النقل والرحلات'!J5:J304,"*في الوقت*")/MAX(1,COUNTIFS('🚚 النقل والرحلات'!B5:B304,"&gt;="&amp;DATE(2026,2,1),'🚚 النقل والرحلات'!B5:B304,"&lt;"&amp;DATE(2026,2+1,1))),0)</f>
        <v/>
      </c>
      <c r="I25" s="106">
        <f>IFERROR(COUNTIFS('🚚 النقل والرحلات'!B5:B304,"&gt;="&amp;DATE(2026,3,1),'🚚 النقل والرحلات'!B5:B304,"&lt;"&amp;DATE(2026,3+1,1),'🚚 النقل والرحلات'!J5:J304,"*في الوقت*")/MAX(1,COUNTIFS('🚚 النقل والرحلات'!B5:B304,"&gt;="&amp;DATE(2026,3,1),'🚚 النقل والرحلات'!B5:B304,"&lt;"&amp;DATE(2026,3+1,1))),0)</f>
        <v/>
      </c>
      <c r="J25" s="106">
        <f>IFERROR(COUNTIFS('🚚 النقل والرحلات'!B5:B304,"&gt;="&amp;DATE(2026,4,1),'🚚 النقل والرحلات'!B5:B304,"&lt;"&amp;DATE(2026,4+1,1),'🚚 النقل والرحلات'!J5:J304,"*في الوقت*")/MAX(1,COUNTIFS('🚚 النقل والرحلات'!B5:B304,"&gt;="&amp;DATE(2026,4,1),'🚚 النقل والرحلات'!B5:B304,"&lt;"&amp;DATE(2026,4+1,1))),0)</f>
        <v/>
      </c>
      <c r="K25" s="106">
        <f>IFERROR(COUNTIFS('🚚 النقل والرحلات'!B5:B304,"&gt;="&amp;DATE(2026,5,1),'🚚 النقل والرحلات'!B5:B304,"&lt;"&amp;DATE(2026,5+1,1),'🚚 النقل والرحلات'!J5:J304,"*في الوقت*")/MAX(1,COUNTIFS('🚚 النقل والرحلات'!B5:B304,"&gt;="&amp;DATE(2026,5,1),'🚚 النقل والرحلات'!B5:B304,"&lt;"&amp;DATE(2026,5+1,1))),0)</f>
        <v/>
      </c>
      <c r="L25" s="106">
        <f>IFERROR(COUNTIFS('🚚 النقل والرحلات'!B5:B304,"&gt;="&amp;DATE(2026,6,1),'🚚 النقل والرحلات'!B5:B304,"&lt;"&amp;DATE(2026,6+1,1),'🚚 النقل والرحلات'!J5:J304,"*في الوقت*")/MAX(1,COUNTIFS('🚚 النقل والرحلات'!B5:B304,"&gt;="&amp;DATE(2026,6,1),'🚚 النقل والرحلات'!B5:B304,"&lt;"&amp;DATE(2026,6+1,1))),0)</f>
        <v/>
      </c>
      <c r="M25" s="106">
        <f>IFERROR(COUNTIFS('🚚 النقل والرحلات'!B5:B304,"&gt;="&amp;DATE(2026,7,1),'🚚 النقل والرحلات'!B5:B304,"&lt;"&amp;DATE(2026,7+1,1),'🚚 النقل والرحلات'!J5:J304,"*في الوقت*")/MAX(1,COUNTIFS('🚚 النقل والرحلات'!B5:B304,"&gt;="&amp;DATE(2026,7,1),'🚚 النقل والرحلات'!B5:B304,"&lt;"&amp;DATE(2026,7+1,1))),0)</f>
        <v/>
      </c>
      <c r="N25" s="106">
        <f>IFERROR(COUNTIFS('🚚 النقل والرحلات'!B5:B304,"&gt;="&amp;DATE(2026,8,1),'🚚 النقل والرحلات'!B5:B304,"&lt;"&amp;DATE(2026,8+1,1),'🚚 النقل والرحلات'!J5:J304,"*في الوقت*")/MAX(1,COUNTIFS('🚚 النقل والرحلات'!B5:B304,"&gt;="&amp;DATE(2026,8,1),'🚚 النقل والرحلات'!B5:B304,"&lt;"&amp;DATE(2026,8+1,1))),0)</f>
        <v/>
      </c>
      <c r="O25" s="106">
        <f>IFERROR(COUNTIFS('🚚 النقل والرحلات'!B5:B304,"&gt;="&amp;DATE(2026,9,1),'🚚 النقل والرحلات'!B5:B304,"&lt;"&amp;DATE(2026,9+1,1),'🚚 النقل والرحلات'!J5:J304,"*في الوقت*")/MAX(1,COUNTIFS('🚚 النقل والرحلات'!B5:B304,"&gt;="&amp;DATE(2026,9,1),'🚚 النقل والرحلات'!B5:B304,"&lt;"&amp;DATE(2026,9+1,1))),0)</f>
        <v/>
      </c>
      <c r="P25" s="106">
        <f>IFERROR(COUNTIFS('🚚 النقل والرحلات'!B5:B304,"&gt;="&amp;DATE(2026,10,1),'🚚 النقل والرحلات'!B5:B304,"&lt;"&amp;DATE(2026,10+1,1),'🚚 النقل والرحلات'!J5:J304,"*في الوقت*")/MAX(1,COUNTIFS('🚚 النقل والرحلات'!B5:B304,"&gt;="&amp;DATE(2026,10,1),'🚚 النقل والرحلات'!B5:B304,"&lt;"&amp;DATE(2026,10+1,1))),0)</f>
        <v/>
      </c>
      <c r="Q25" s="106">
        <f>IFERROR(COUNTIFS('🚚 النقل والرحلات'!B5:B304,"&gt;="&amp;DATE(2026,11,1),'🚚 النقل والرحلات'!B5:B304,"&lt;"&amp;DATE(2026,11+1,1),'🚚 النقل والرحلات'!J5:J304,"*في الوقت*")/MAX(1,COUNTIFS('🚚 النقل والرحلات'!B5:B304,"&gt;="&amp;DATE(2026,11,1),'🚚 النقل والرحلات'!B5:B304,"&lt;"&amp;DATE(2026,11+1,1))),0)</f>
        <v/>
      </c>
      <c r="R25" s="106">
        <f>IFERROR(COUNTIFS('🚚 النقل والرحلات'!B5:B304,"&gt;="&amp;DATE(2026,12,1),'🚚 النقل والرحلات'!B5:B304,"&lt;"&amp;DATE(2026,12+1,1),'🚚 النقل والرحلات'!J5:J304,"*في الوقت*")/MAX(1,COUNTIFS('🚚 النقل والرحلات'!B5:B304,"&gt;="&amp;DATE(2026,12,1),'🚚 النقل والرحلات'!B5:B304,"&lt;"&amp;DATE(2026,12+1,1))),0)</f>
        <v/>
      </c>
    </row>
    <row r="26">
      <c r="A26" s="101" t="n">
        <v>9</v>
      </c>
      <c r="B26" s="102" t="inlineStr">
        <is>
          <t>نسبة استخدام الأسطول المملوك</t>
        </is>
      </c>
      <c r="C26" s="97" t="inlineStr">
        <is>
          <t>%</t>
        </is>
      </c>
      <c r="D26" s="103" t="inlineStr">
        <is>
          <t>≥ 60%</t>
        </is>
      </c>
      <c r="E26" s="97" t="inlineStr">
        <is>
          <t>خطة</t>
        </is>
      </c>
      <c r="F26" s="97" t="n"/>
      <c r="G26" s="104" t="n">
        <v>0.6</v>
      </c>
      <c r="H26" s="104" t="n">
        <v>0.6</v>
      </c>
      <c r="I26" s="104" t="n">
        <v>0.6</v>
      </c>
      <c r="J26" s="104" t="n">
        <v>0.6</v>
      </c>
      <c r="K26" s="104" t="n">
        <v>0.6</v>
      </c>
      <c r="L26" s="104" t="n">
        <v>0.6</v>
      </c>
      <c r="M26" s="104" t="n">
        <v>0.6</v>
      </c>
      <c r="N26" s="104" t="n">
        <v>0.6</v>
      </c>
      <c r="O26" s="104" t="n">
        <v>0.6</v>
      </c>
      <c r="P26" s="104" t="n">
        <v>0.6</v>
      </c>
      <c r="Q26" s="104" t="n">
        <v>0.6</v>
      </c>
      <c r="R26" s="104" t="n">
        <v>0.6</v>
      </c>
    </row>
    <row r="27">
      <c r="E27" s="105" t="inlineStr">
        <is>
          <t>فعلي</t>
        </is>
      </c>
      <c r="F27" s="105">
        <f>IFERROR(IF(AVERAGE(G26:R26)=0,"",IF(IFERROR(AVERAGEIF(G27:R27,"&gt;0",G27:R27),0)&gt;=AVERAGE(G26:R26),"✅ ",IF(IFERROR(AVERAGEIF(G27:R27,"&gt;0",G27:R27),0)&gt;=AVERAGE(G26:R26)*0.85,"🟡 ","🔴 "))&amp;TEXT((IFERROR(AVERAGEIF(G27:R27,"&gt;0",G27:R27),0)-AVERAGE(G26:R26))/AVERAGE(G26:R26),"+0.0%;-0.0%")),"")</f>
        <v/>
      </c>
      <c r="G27" s="106">
        <f>IFERROR(COUNTIFS('🚚 النقل والرحلات'!B5:B304,"&gt;="&amp;DATE(2026,1,1),'🚚 النقل والرحلات'!B5:B304,"&lt;"&amp;DATE(2026,1+1,1),'🚚 النقل والرحلات'!G5:G304,"مملوك درب")/MAX(1,COUNTIFS('🚚 النقل والرحلات'!B5:B304,"&gt;="&amp;DATE(2026,1,1),'🚚 النقل والرحلات'!B5:B304,"&lt;"&amp;DATE(2026,1+1,1))),0)</f>
        <v/>
      </c>
      <c r="H27" s="106">
        <f>IFERROR(COUNTIFS('🚚 النقل والرحلات'!B5:B304,"&gt;="&amp;DATE(2026,2,1),'🚚 النقل والرحلات'!B5:B304,"&lt;"&amp;DATE(2026,2+1,1),'🚚 النقل والرحلات'!G5:G304,"مملوك درب")/MAX(1,COUNTIFS('🚚 النقل والرحلات'!B5:B304,"&gt;="&amp;DATE(2026,2,1),'🚚 النقل والرحلات'!B5:B304,"&lt;"&amp;DATE(2026,2+1,1))),0)</f>
        <v/>
      </c>
      <c r="I27" s="106">
        <f>IFERROR(COUNTIFS('🚚 النقل والرحلات'!B5:B304,"&gt;="&amp;DATE(2026,3,1),'🚚 النقل والرحلات'!B5:B304,"&lt;"&amp;DATE(2026,3+1,1),'🚚 النقل والرحلات'!G5:G304,"مملوك درب")/MAX(1,COUNTIFS('🚚 النقل والرحلات'!B5:B304,"&gt;="&amp;DATE(2026,3,1),'🚚 النقل والرحلات'!B5:B304,"&lt;"&amp;DATE(2026,3+1,1))),0)</f>
        <v/>
      </c>
      <c r="J27" s="106">
        <f>IFERROR(COUNTIFS('🚚 النقل والرحلات'!B5:B304,"&gt;="&amp;DATE(2026,4,1),'🚚 النقل والرحلات'!B5:B304,"&lt;"&amp;DATE(2026,4+1,1),'🚚 النقل والرحلات'!G5:G304,"مملوك درب")/MAX(1,COUNTIFS('🚚 النقل والرحلات'!B5:B304,"&gt;="&amp;DATE(2026,4,1),'🚚 النقل والرحلات'!B5:B304,"&lt;"&amp;DATE(2026,4+1,1))),0)</f>
        <v/>
      </c>
      <c r="K27" s="106">
        <f>IFERROR(COUNTIFS('🚚 النقل والرحلات'!B5:B304,"&gt;="&amp;DATE(2026,5,1),'🚚 النقل والرحلات'!B5:B304,"&lt;"&amp;DATE(2026,5+1,1),'🚚 النقل والرحلات'!G5:G304,"مملوك درب")/MAX(1,COUNTIFS('🚚 النقل والرحلات'!B5:B304,"&gt;="&amp;DATE(2026,5,1),'🚚 النقل والرحلات'!B5:B304,"&lt;"&amp;DATE(2026,5+1,1))),0)</f>
        <v/>
      </c>
      <c r="L27" s="106">
        <f>IFERROR(COUNTIFS('🚚 النقل والرحلات'!B5:B304,"&gt;="&amp;DATE(2026,6,1),'🚚 النقل والرحلات'!B5:B304,"&lt;"&amp;DATE(2026,6+1,1),'🚚 النقل والرحلات'!G5:G304,"مملوك درب")/MAX(1,COUNTIFS('🚚 النقل والرحلات'!B5:B304,"&gt;="&amp;DATE(2026,6,1),'🚚 النقل والرحلات'!B5:B304,"&lt;"&amp;DATE(2026,6+1,1))),0)</f>
        <v/>
      </c>
      <c r="M27" s="106">
        <f>IFERROR(COUNTIFS('🚚 النقل والرحلات'!B5:B304,"&gt;="&amp;DATE(2026,7,1),'🚚 النقل والرحلات'!B5:B304,"&lt;"&amp;DATE(2026,7+1,1),'🚚 النقل والرحلات'!G5:G304,"مملوك درب")/MAX(1,COUNTIFS('🚚 النقل والرحلات'!B5:B304,"&gt;="&amp;DATE(2026,7,1),'🚚 النقل والرحلات'!B5:B304,"&lt;"&amp;DATE(2026,7+1,1))),0)</f>
        <v/>
      </c>
      <c r="N27" s="106">
        <f>IFERROR(COUNTIFS('🚚 النقل والرحلات'!B5:B304,"&gt;="&amp;DATE(2026,8,1),'🚚 النقل والرحلات'!B5:B304,"&lt;"&amp;DATE(2026,8+1,1),'🚚 النقل والرحلات'!G5:G304,"مملوك درب")/MAX(1,COUNTIFS('🚚 النقل والرحلات'!B5:B304,"&gt;="&amp;DATE(2026,8,1),'🚚 النقل والرحلات'!B5:B304,"&lt;"&amp;DATE(2026,8+1,1))),0)</f>
        <v/>
      </c>
      <c r="O27" s="106">
        <f>IFERROR(COUNTIFS('🚚 النقل والرحلات'!B5:B304,"&gt;="&amp;DATE(2026,9,1),'🚚 النقل والرحلات'!B5:B304,"&lt;"&amp;DATE(2026,9+1,1),'🚚 النقل والرحلات'!G5:G304,"مملوك درب")/MAX(1,COUNTIFS('🚚 النقل والرحلات'!B5:B304,"&gt;="&amp;DATE(2026,9,1),'🚚 النقل والرحلات'!B5:B304,"&lt;"&amp;DATE(2026,9+1,1))),0)</f>
        <v/>
      </c>
      <c r="P27" s="106">
        <f>IFERROR(COUNTIFS('🚚 النقل والرحلات'!B5:B304,"&gt;="&amp;DATE(2026,10,1),'🚚 النقل والرحلات'!B5:B304,"&lt;"&amp;DATE(2026,10+1,1),'🚚 النقل والرحلات'!G5:G304,"مملوك درب")/MAX(1,COUNTIFS('🚚 النقل والرحلات'!B5:B304,"&gt;="&amp;DATE(2026,10,1),'🚚 النقل والرحلات'!B5:B304,"&lt;"&amp;DATE(2026,10+1,1))),0)</f>
        <v/>
      </c>
      <c r="Q27" s="106">
        <f>IFERROR(COUNTIFS('🚚 النقل والرحلات'!B5:B304,"&gt;="&amp;DATE(2026,11,1),'🚚 النقل والرحلات'!B5:B304,"&lt;"&amp;DATE(2026,11+1,1),'🚚 النقل والرحلات'!G5:G304,"مملوك درب")/MAX(1,COUNTIFS('🚚 النقل والرحلات'!B5:B304,"&gt;="&amp;DATE(2026,11,1),'🚚 النقل والرحلات'!B5:B304,"&lt;"&amp;DATE(2026,11+1,1))),0)</f>
        <v/>
      </c>
      <c r="R27" s="106">
        <f>IFERROR(COUNTIFS('🚚 النقل والرحلات'!B5:B304,"&gt;="&amp;DATE(2026,12,1),'🚚 النقل والرحلات'!B5:B304,"&lt;"&amp;DATE(2026,12+1,1),'🚚 النقل والرحلات'!G5:G304,"مملوك درب")/MAX(1,COUNTIFS('🚚 النقل والرحلات'!B5:B304,"&gt;="&amp;DATE(2026,12,1),'🚚 النقل والرحلات'!B5:B304,"&lt;"&amp;DATE(2026,12+1,1))),0)</f>
        <v/>
      </c>
    </row>
    <row r="29">
      <c r="A29" s="83" t="inlineStr">
        <is>
          <t>ℹ️ المقاييس المطوية متاحة كتشخيص في اللوحة الأصلية: عدد الانقطاعات، دوران المخزون، عدد الحوادث الجسيمة، ونسبة استيفاء الطلبات (Fill Rate).</t>
        </is>
      </c>
    </row>
  </sheetData>
  <mergeCells count="46">
    <mergeCell ref="A24:A25"/>
    <mergeCell ref="B18:B19"/>
    <mergeCell ref="D21:D22"/>
    <mergeCell ref="B8:B9"/>
    <mergeCell ref="C10:C11"/>
    <mergeCell ref="A6:A7"/>
    <mergeCell ref="A3:F3"/>
    <mergeCell ref="G3:R3"/>
    <mergeCell ref="C26:C27"/>
    <mergeCell ref="A12:R12"/>
    <mergeCell ref="B26:B27"/>
    <mergeCell ref="A2:R2"/>
    <mergeCell ref="B13:B14"/>
    <mergeCell ref="A26:A27"/>
    <mergeCell ref="D13:D14"/>
    <mergeCell ref="C21:C22"/>
    <mergeCell ref="A5:R5"/>
    <mergeCell ref="A17:R17"/>
    <mergeCell ref="A23:R23"/>
    <mergeCell ref="B10:B11"/>
    <mergeCell ref="B6:B7"/>
    <mergeCell ref="A18:A19"/>
    <mergeCell ref="B24:B25"/>
    <mergeCell ref="B15:B16"/>
    <mergeCell ref="A21:A22"/>
    <mergeCell ref="D24:D25"/>
    <mergeCell ref="D15:D16"/>
    <mergeCell ref="A20:R20"/>
    <mergeCell ref="A8:A9"/>
    <mergeCell ref="A29:R29"/>
    <mergeCell ref="C8:C9"/>
    <mergeCell ref="D18:D19"/>
    <mergeCell ref="A13:A14"/>
    <mergeCell ref="D8:D9"/>
    <mergeCell ref="C18:C19"/>
    <mergeCell ref="A10:A11"/>
    <mergeCell ref="C13:C14"/>
    <mergeCell ref="D10:D11"/>
    <mergeCell ref="D26:D27"/>
    <mergeCell ref="A15:A16"/>
    <mergeCell ref="C15:C16"/>
    <mergeCell ref="A1:R1"/>
    <mergeCell ref="C6:C7"/>
    <mergeCell ref="C24:C25"/>
    <mergeCell ref="D6:D7"/>
    <mergeCell ref="B21:B22"/>
  </mergeCells>
  <conditionalFormatting sqref="F6:F28">
    <cfRule type="expression" priority="1" dxfId="3">
      <formula>ISNUMBER(SEARCH("✅",F6))</formula>
    </cfRule>
    <cfRule type="expression" priority="2" dxfId="4">
      <formula>ISNUMBER(SEARCH("🟡",F6))</formula>
    </cfRule>
    <cfRule type="expression" priority="3" dxfId="5">
      <formula>ISNUMBER(SEARCH("🔴",F6))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0"/>
  <sheetViews>
    <sheetView rightToLeft="1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style="40" min="1" max="1"/>
    <col width="34" customWidth="1" style="40" min="2" max="2"/>
    <col width="12" customWidth="1" style="40" min="3" max="3"/>
    <col width="22" customWidth="1" style="40" min="4" max="4"/>
    <col width="12" customWidth="1" style="40" min="5" max="5"/>
    <col width="16" customWidth="1" style="40" min="6" max="6"/>
    <col width="62" customWidth="1" style="40" min="7" max="7"/>
    <col width="22" customWidth="1" style="40" min="8" max="8"/>
  </cols>
  <sheetData>
    <row r="1" ht="30" customHeight="1" s="40">
      <c r="A1" s="72" t="inlineStr">
        <is>
          <t>مؤشرات الأداء (KPI's) — سلاسل الإمداد · درب الوقود</t>
        </is>
      </c>
    </row>
    <row r="2" ht="20" customHeight="1" s="40">
      <c r="A2" s="73" t="inlineStr">
        <is>
          <t>🏛️ المرجع الرسمي المعتمد من الإدارة · 5 مؤشرات · دورية شهرية</t>
        </is>
      </c>
    </row>
    <row r="3" ht="26" customHeight="1" s="40">
      <c r="A3" s="74" t="inlineStr">
        <is>
          <t>م</t>
        </is>
      </c>
      <c r="B3" s="74" t="inlineStr">
        <is>
          <t>اسم المؤشر (KPI)</t>
        </is>
      </c>
      <c r="C3" s="74" t="inlineStr">
        <is>
          <t>وحدة القياس</t>
        </is>
      </c>
      <c r="D3" s="74" t="inlineStr">
        <is>
          <t>الهدف</t>
        </is>
      </c>
      <c r="E3" s="74" t="inlineStr">
        <is>
          <t>دورية القياس</t>
        </is>
      </c>
      <c r="F3" s="74" t="inlineStr">
        <is>
          <t>المحور</t>
        </is>
      </c>
      <c r="G3" s="74" t="inlineStr">
        <is>
          <t>طريقة القياس</t>
        </is>
      </c>
      <c r="H3" s="74" t="inlineStr">
        <is>
          <t>يقابله في اللوحة</t>
        </is>
      </c>
    </row>
    <row r="4" ht="54" customHeight="1" s="40">
      <c r="A4" s="75" t="n">
        <v>1</v>
      </c>
      <c r="B4" s="76" t="inlineStr">
        <is>
          <t>توفر الوقود</t>
        </is>
      </c>
      <c r="C4" s="75" t="inlineStr">
        <is>
          <t>%</t>
        </is>
      </c>
      <c r="D4" s="75" t="inlineStr">
        <is>
          <t>اكبر من او يساوي 99.5%</t>
        </is>
      </c>
      <c r="E4" s="75" t="inlineStr">
        <is>
          <t>شهري</t>
        </is>
      </c>
      <c r="F4" s="75" t="inlineStr">
        <is>
          <t>خدمة العميل</t>
        </is>
      </c>
      <c r="G4" s="77" t="inlineStr">
        <is>
          <t xml:space="preserve">النسبة =  أجمالي عدد الانقطاعات الشهرية/ (أجمالي عدد المنتجات x  عدد ايام الشهر ) </t>
        </is>
      </c>
      <c r="H4" s="78" t="inlineStr">
        <is>
          <t>KPI 1 — حُدِّثت طريقة الحساب</t>
        </is>
      </c>
    </row>
    <row r="5" ht="54" customHeight="1" s="40">
      <c r="A5" s="79" t="n">
        <v>2</v>
      </c>
      <c r="B5" s="80" t="inlineStr">
        <is>
          <t>فواقد الوقود لكل 33 الف لتر(رد)</t>
        </is>
      </c>
      <c r="C5" s="79" t="inlineStr">
        <is>
          <t>لتر</t>
        </is>
      </c>
      <c r="D5" s="79" t="inlineStr">
        <is>
          <t>أقل من او يساوي 100</t>
        </is>
      </c>
      <c r="E5" s="79" t="inlineStr">
        <is>
          <t>شهري</t>
        </is>
      </c>
      <c r="F5" s="79" t="inlineStr">
        <is>
          <t>التكاليف</t>
        </is>
      </c>
      <c r="G5" s="81" t="inlineStr">
        <is>
          <t xml:space="preserve">الكمية = أجمالي كمية الفاقد الشهرى عند التصفيير/ عدد الردود الشهرية </t>
        </is>
      </c>
      <c r="H5" s="82" t="inlineStr">
        <is>
          <t>KPI 6 — حُدِّثت طريقة الحساب</t>
        </is>
      </c>
    </row>
    <row r="6" ht="54" customHeight="1" s="40">
      <c r="A6" s="75" t="n">
        <v>3</v>
      </c>
      <c r="B6" s="76" t="inlineStr">
        <is>
          <t xml:space="preserve">كمية مخزون الوقود </t>
        </is>
      </c>
      <c r="C6" s="75" t="inlineStr">
        <is>
          <t>يوم</t>
        </is>
      </c>
      <c r="D6" s="75" t="inlineStr">
        <is>
          <t>أقل من او يساوي 3</t>
        </is>
      </c>
      <c r="E6" s="75" t="inlineStr">
        <is>
          <t>شهري</t>
        </is>
      </c>
      <c r="F6" s="75" t="inlineStr">
        <is>
          <t>السيولة المالية</t>
        </is>
      </c>
      <c r="G6" s="77" t="inlineStr">
        <is>
          <t>المتوسط الشهري ل (اجمالي كمية المخزون نهاية المدة يوميا (منتصف الليل)/ اجملي متوسط المبيعات اليومية)</t>
        </is>
      </c>
      <c r="H6" s="78" t="inlineStr">
        <is>
          <t>KPI 8 — مطابقة (دون تغيير)</t>
        </is>
      </c>
    </row>
    <row r="7" ht="54" customHeight="1" s="40">
      <c r="A7" s="79" t="n">
        <v>4</v>
      </c>
      <c r="B7" s="80" t="inlineStr">
        <is>
          <t>توفر المواد المخزنية ( التوصيل خلال 3 أيام)</t>
        </is>
      </c>
      <c r="C7" s="79" t="inlineStr">
        <is>
          <t>%</t>
        </is>
      </c>
      <c r="D7" s="79" t="n">
        <v>1</v>
      </c>
      <c r="E7" s="79" t="inlineStr">
        <is>
          <t>شهري</t>
        </is>
      </c>
      <c r="F7" s="79" t="inlineStr">
        <is>
          <t>خدمة العميل</t>
        </is>
      </c>
      <c r="G7" s="81" t="inlineStr">
        <is>
          <t>عدد الطلبات المخزنية المنفذه شهريا في الوقت / عدد الطلبات المخزنية</t>
        </is>
      </c>
      <c r="H7" s="82" t="inlineStr">
        <is>
          <t>KPI 3 — مطابقة (دون تغيير)</t>
        </is>
      </c>
    </row>
    <row r="8" ht="54" customHeight="1" s="40">
      <c r="A8" s="75" t="n">
        <v>5</v>
      </c>
      <c r="B8" s="76" t="inlineStr">
        <is>
          <t>أصدار أوامر الشراء خلال 5 أيام عمل من استلام الطلب</t>
        </is>
      </c>
      <c r="C8" s="75" t="inlineStr">
        <is>
          <t>%</t>
        </is>
      </c>
      <c r="D8" s="75" t="n">
        <v>0.95</v>
      </c>
      <c r="E8" s="75" t="inlineStr">
        <is>
          <t>شهري</t>
        </is>
      </c>
      <c r="F8" s="75" t="inlineStr">
        <is>
          <t>خدمة العميل</t>
        </is>
      </c>
      <c r="G8" s="77" t="inlineStr">
        <is>
          <t>عدد طلبات الشراء المنفذة في الوقت/ عدد طلبات الشراء الكلية</t>
        </is>
      </c>
      <c r="H8" s="78" t="inlineStr">
        <is>
          <t>KPI 4 — مطابقة (دون تغيير)</t>
        </is>
      </c>
    </row>
    <row r="10" ht="32" customHeight="1" s="40">
      <c r="A10" s="83" t="inlineStr">
        <is>
          <t>ℹ️ هذه القائمة هي مصدر الحقيقة الرسمي. في اللوحة الآلية حُدِّثت طريقة حساب «توفر الوقود» و«فواقد الوقود» لتطابق العمود «طريقة القياس» أعلاه؛ والمؤشرات الأخرى تبقى كما هي.</t>
        </is>
      </c>
    </row>
  </sheetData>
  <mergeCells count="3">
    <mergeCell ref="A2:H2"/>
    <mergeCell ref="A10:H10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H104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4" customWidth="1" style="39" min="1" max="1"/>
    <col width="12" customWidth="1" style="39" min="2" max="3"/>
    <col width="18" customWidth="1" style="39" min="4" max="4"/>
    <col width="13" customWidth="1" style="39" min="5" max="5"/>
    <col width="10" customWidth="1" style="39" min="6" max="6"/>
    <col width="18" customWidth="1" style="39" min="7" max="7"/>
    <col width="12" customWidth="1" style="39" min="8" max="8"/>
  </cols>
  <sheetData>
    <row r="1" ht="31.5" customHeight="1" s="40">
      <c r="A1" s="41" t="inlineStr">
        <is>
          <t>🛢️ سجل انقطاعات الوقود</t>
        </is>
      </c>
    </row>
    <row r="2" ht="27.75" customHeight="1" s="40">
      <c r="A2" s="42" t="inlineStr">
        <is>
          <t>📝 كل انقطاع منتج في محطة معينة  ·  المدة تُحسب آلياً  ·  الهدف: ≤ 5 انقطاعات شهرياً</t>
        </is>
      </c>
    </row>
    <row r="3" ht="24" customHeight="1" s="40">
      <c r="A3" s="84" t="inlineStr">
        <is>
          <t>بيانات الانقطاع</t>
        </is>
      </c>
      <c r="F3" s="43" t="inlineStr">
        <is>
          <t>📊 المعالجة</t>
        </is>
      </c>
    </row>
    <row r="4" ht="39.75" customHeight="1" s="40">
      <c r="A4" s="45" t="inlineStr">
        <is>
          <t>#</t>
        </is>
      </c>
      <c r="B4" s="45" t="inlineStr">
        <is>
          <t>تاريخ البدء</t>
        </is>
      </c>
      <c r="C4" s="45" t="inlineStr">
        <is>
          <t>تاريخ الانتهاء</t>
        </is>
      </c>
      <c r="D4" s="45" t="inlineStr">
        <is>
          <t>المحطة</t>
        </is>
      </c>
      <c r="E4" s="45" t="inlineStr">
        <is>
          <t>نوع المنتج</t>
        </is>
      </c>
      <c r="F4" s="45" t="inlineStr">
        <is>
          <t>المدة (يوم)</t>
        </is>
      </c>
      <c r="G4" s="45" t="inlineStr">
        <is>
          <t>السبب</t>
        </is>
      </c>
      <c r="H4" s="45" t="inlineStr">
        <is>
          <t>الحالة</t>
        </is>
      </c>
    </row>
    <row r="5" ht="15" customHeight="1" s="40">
      <c r="A5" s="85" t="n">
        <v>1</v>
      </c>
      <c r="B5" s="86" t="n"/>
      <c r="C5" s="86" t="n"/>
      <c r="D5" s="87" t="n"/>
      <c r="E5" s="87" t="n"/>
      <c r="F5" s="56">
        <f>IF(OR(B5="",C5=""),"",C5-B5)</f>
        <v/>
      </c>
      <c r="G5" s="88" t="n"/>
      <c r="H5" s="87" t="n"/>
    </row>
    <row r="6" ht="15" customHeight="1" s="40">
      <c r="A6" s="85" t="n">
        <v>2</v>
      </c>
      <c r="B6" s="86" t="n"/>
      <c r="C6" s="86" t="n"/>
      <c r="D6" s="87" t="n"/>
      <c r="E6" s="87" t="n"/>
      <c r="F6" s="56">
        <f>IF(OR(B6="",C6=""),"",C6-B6)</f>
        <v/>
      </c>
      <c r="G6" s="88" t="n"/>
      <c r="H6" s="87" t="n"/>
    </row>
    <row r="7" ht="15" customHeight="1" s="40">
      <c r="A7" s="85" t="n">
        <v>3</v>
      </c>
      <c r="B7" s="86" t="n"/>
      <c r="C7" s="86" t="n"/>
      <c r="D7" s="87" t="n"/>
      <c r="E7" s="87" t="n"/>
      <c r="F7" s="56">
        <f>IF(OR(B7="",C7=""),"",C7-B7)</f>
        <v/>
      </c>
      <c r="G7" s="88" t="n"/>
      <c r="H7" s="87" t="n"/>
    </row>
    <row r="8" ht="15" customHeight="1" s="40">
      <c r="A8" s="85" t="n">
        <v>4</v>
      </c>
      <c r="B8" s="86" t="n"/>
      <c r="C8" s="86" t="n"/>
      <c r="D8" s="87" t="n"/>
      <c r="E8" s="87" t="n"/>
      <c r="F8" s="56">
        <f>IF(OR(B8="",C8=""),"",C8-B8)</f>
        <v/>
      </c>
      <c r="G8" s="88" t="n"/>
      <c r="H8" s="87" t="n"/>
    </row>
    <row r="9" ht="15" customHeight="1" s="40">
      <c r="A9" s="85" t="n">
        <v>5</v>
      </c>
      <c r="B9" s="86" t="n"/>
      <c r="C9" s="86" t="n"/>
      <c r="D9" s="87" t="n"/>
      <c r="E9" s="87" t="n"/>
      <c r="F9" s="56">
        <f>IF(OR(B9="",C9=""),"",C9-B9)</f>
        <v/>
      </c>
      <c r="G9" s="88" t="n"/>
      <c r="H9" s="87" t="n"/>
    </row>
    <row r="10" ht="15" customHeight="1" s="40">
      <c r="A10" s="85" t="n">
        <v>6</v>
      </c>
      <c r="B10" s="86" t="n"/>
      <c r="C10" s="86" t="n"/>
      <c r="D10" s="87" t="n"/>
      <c r="E10" s="87" t="n"/>
      <c r="F10" s="56">
        <f>IF(OR(B10="",C10=""),"",C10-B10)</f>
        <v/>
      </c>
      <c r="G10" s="88" t="n"/>
      <c r="H10" s="87" t="n"/>
    </row>
    <row r="11" ht="15" customHeight="1" s="40">
      <c r="A11" s="85" t="n">
        <v>7</v>
      </c>
      <c r="B11" s="86" t="n"/>
      <c r="C11" s="86" t="n"/>
      <c r="D11" s="87" t="n"/>
      <c r="E11" s="87" t="n"/>
      <c r="F11" s="56">
        <f>IF(OR(B11="",C11=""),"",C11-B11)</f>
        <v/>
      </c>
      <c r="G11" s="88" t="n"/>
      <c r="H11" s="87" t="n"/>
    </row>
    <row r="12" ht="15" customHeight="1" s="40">
      <c r="A12" s="85" t="n">
        <v>8</v>
      </c>
      <c r="B12" s="86" t="n"/>
      <c r="C12" s="86" t="n"/>
      <c r="D12" s="87" t="n"/>
      <c r="E12" s="87" t="n"/>
      <c r="F12" s="56">
        <f>IF(OR(B12="",C12=""),"",C12-B12)</f>
        <v/>
      </c>
      <c r="G12" s="88" t="n"/>
      <c r="H12" s="87" t="n"/>
    </row>
    <row r="13" ht="15" customHeight="1" s="40">
      <c r="A13" s="85" t="n">
        <v>9</v>
      </c>
      <c r="B13" s="86" t="n"/>
      <c r="C13" s="86" t="n"/>
      <c r="D13" s="87" t="n"/>
      <c r="E13" s="87" t="n"/>
      <c r="F13" s="56">
        <f>IF(OR(B13="",C13=""),"",C13-B13)</f>
        <v/>
      </c>
      <c r="G13" s="88" t="n"/>
      <c r="H13" s="87" t="n"/>
    </row>
    <row r="14" ht="15" customHeight="1" s="40">
      <c r="A14" s="85" t="n">
        <v>10</v>
      </c>
      <c r="B14" s="86" t="n"/>
      <c r="C14" s="86" t="n"/>
      <c r="D14" s="87" t="n"/>
      <c r="E14" s="87" t="n"/>
      <c r="F14" s="56">
        <f>IF(OR(B14="",C14=""),"",C14-B14)</f>
        <v/>
      </c>
      <c r="G14" s="88" t="n"/>
      <c r="H14" s="87" t="n"/>
    </row>
    <row r="15" ht="15" customHeight="1" s="40">
      <c r="A15" s="85" t="n">
        <v>11</v>
      </c>
      <c r="B15" s="86" t="n"/>
      <c r="C15" s="86" t="n"/>
      <c r="D15" s="87" t="n"/>
      <c r="E15" s="87" t="n"/>
      <c r="F15" s="56">
        <f>IF(OR(B15="",C15=""),"",C15-B15)</f>
        <v/>
      </c>
      <c r="G15" s="88" t="n"/>
      <c r="H15" s="87" t="n"/>
    </row>
    <row r="16" ht="15" customHeight="1" s="40">
      <c r="A16" s="85" t="n">
        <v>12</v>
      </c>
      <c r="B16" s="86" t="n"/>
      <c r="C16" s="86" t="n"/>
      <c r="D16" s="87" t="n"/>
      <c r="E16" s="87" t="n"/>
      <c r="F16" s="56">
        <f>IF(OR(B16="",C16=""),"",C16-B16)</f>
        <v/>
      </c>
      <c r="G16" s="88" t="n"/>
      <c r="H16" s="87" t="n"/>
    </row>
    <row r="17" ht="15" customHeight="1" s="40">
      <c r="A17" s="85" t="n">
        <v>13</v>
      </c>
      <c r="B17" s="86" t="n"/>
      <c r="C17" s="86" t="n"/>
      <c r="D17" s="87" t="n"/>
      <c r="E17" s="87" t="n"/>
      <c r="F17" s="56">
        <f>IF(OR(B17="",C17=""),"",C17-B17)</f>
        <v/>
      </c>
      <c r="G17" s="88" t="n"/>
      <c r="H17" s="87" t="n"/>
    </row>
    <row r="18" ht="15" customHeight="1" s="40">
      <c r="A18" s="85" t="n">
        <v>14</v>
      </c>
      <c r="B18" s="86" t="n"/>
      <c r="C18" s="86" t="n"/>
      <c r="D18" s="87" t="n"/>
      <c r="E18" s="87" t="n"/>
      <c r="F18" s="56">
        <f>IF(OR(B18="",C18=""),"",C18-B18)</f>
        <v/>
      </c>
      <c r="G18" s="88" t="n"/>
      <c r="H18" s="87" t="n"/>
    </row>
    <row r="19" ht="15" customHeight="1" s="40">
      <c r="A19" s="85" t="n">
        <v>15</v>
      </c>
      <c r="B19" s="86" t="n"/>
      <c r="C19" s="86" t="n"/>
      <c r="D19" s="87" t="n"/>
      <c r="E19" s="87" t="n"/>
      <c r="F19" s="56">
        <f>IF(OR(B19="",C19=""),"",C19-B19)</f>
        <v/>
      </c>
      <c r="G19" s="88" t="n"/>
      <c r="H19" s="87" t="n"/>
    </row>
    <row r="20" ht="15" customHeight="1" s="40">
      <c r="A20" s="85" t="n">
        <v>16</v>
      </c>
      <c r="B20" s="86" t="n"/>
      <c r="C20" s="86" t="n"/>
      <c r="D20" s="87" t="n"/>
      <c r="E20" s="87" t="n"/>
      <c r="F20" s="56">
        <f>IF(OR(B20="",C20=""),"",C20-B20)</f>
        <v/>
      </c>
      <c r="G20" s="88" t="n"/>
      <c r="H20" s="87" t="n"/>
    </row>
    <row r="21" ht="15" customHeight="1" s="40">
      <c r="A21" s="85" t="n">
        <v>17</v>
      </c>
      <c r="B21" s="86" t="n"/>
      <c r="C21" s="86" t="n"/>
      <c r="D21" s="87" t="n"/>
      <c r="E21" s="87" t="n"/>
      <c r="F21" s="56">
        <f>IF(OR(B21="",C21=""),"",C21-B21)</f>
        <v/>
      </c>
      <c r="G21" s="88" t="n"/>
      <c r="H21" s="87" t="n"/>
    </row>
    <row r="22" ht="15" customHeight="1" s="40">
      <c r="A22" s="85" t="n">
        <v>18</v>
      </c>
      <c r="B22" s="86" t="n"/>
      <c r="C22" s="86" t="n"/>
      <c r="D22" s="87" t="n"/>
      <c r="E22" s="87" t="n"/>
      <c r="F22" s="56">
        <f>IF(OR(B22="",C22=""),"",C22-B22)</f>
        <v/>
      </c>
      <c r="G22" s="88" t="n"/>
      <c r="H22" s="87" t="n"/>
    </row>
    <row r="23" ht="15" customHeight="1" s="40">
      <c r="A23" s="85" t="n">
        <v>19</v>
      </c>
      <c r="B23" s="86" t="n"/>
      <c r="C23" s="86" t="n"/>
      <c r="D23" s="87" t="n"/>
      <c r="E23" s="87" t="n"/>
      <c r="F23" s="56">
        <f>IF(OR(B23="",C23=""),"",C23-B23)</f>
        <v/>
      </c>
      <c r="G23" s="88" t="n"/>
      <c r="H23" s="87" t="n"/>
    </row>
    <row r="24" ht="15" customHeight="1" s="40">
      <c r="A24" s="85" t="n">
        <v>20</v>
      </c>
      <c r="B24" s="86" t="n"/>
      <c r="C24" s="86" t="n"/>
      <c r="D24" s="87" t="n"/>
      <c r="E24" s="87" t="n"/>
      <c r="F24" s="56">
        <f>IF(OR(B24="",C24=""),"",C24-B24)</f>
        <v/>
      </c>
      <c r="G24" s="88" t="n"/>
      <c r="H24" s="87" t="n"/>
    </row>
    <row r="25" ht="15" customHeight="1" s="40">
      <c r="A25" s="85" t="n">
        <v>21</v>
      </c>
      <c r="B25" s="86" t="n"/>
      <c r="C25" s="86" t="n"/>
      <c r="D25" s="87" t="n"/>
      <c r="E25" s="87" t="n"/>
      <c r="F25" s="56">
        <f>IF(OR(B25="",C25=""),"",C25-B25)</f>
        <v/>
      </c>
      <c r="G25" s="88" t="n"/>
      <c r="H25" s="87" t="n"/>
    </row>
    <row r="26" ht="15" customHeight="1" s="40">
      <c r="A26" s="85" t="n">
        <v>22</v>
      </c>
      <c r="B26" s="86" t="n"/>
      <c r="C26" s="86" t="n"/>
      <c r="D26" s="87" t="n"/>
      <c r="E26" s="87" t="n"/>
      <c r="F26" s="56">
        <f>IF(OR(B26="",C26=""),"",C26-B26)</f>
        <v/>
      </c>
      <c r="G26" s="88" t="n"/>
      <c r="H26" s="87" t="n"/>
    </row>
    <row r="27" ht="15" customHeight="1" s="40">
      <c r="A27" s="85" t="n">
        <v>23</v>
      </c>
      <c r="B27" s="86" t="n"/>
      <c r="C27" s="86" t="n"/>
      <c r="D27" s="87" t="n"/>
      <c r="E27" s="87" t="n"/>
      <c r="F27" s="56">
        <f>IF(OR(B27="",C27=""),"",C27-B27)</f>
        <v/>
      </c>
      <c r="G27" s="88" t="n"/>
      <c r="H27" s="87" t="n"/>
    </row>
    <row r="28" ht="15" customHeight="1" s="40">
      <c r="A28" s="85" t="n">
        <v>24</v>
      </c>
      <c r="B28" s="86" t="n"/>
      <c r="C28" s="86" t="n"/>
      <c r="D28" s="87" t="n"/>
      <c r="E28" s="87" t="n"/>
      <c r="F28" s="56">
        <f>IF(OR(B28="",C28=""),"",C28-B28)</f>
        <v/>
      </c>
      <c r="G28" s="88" t="n"/>
      <c r="H28" s="87" t="n"/>
    </row>
    <row r="29" ht="15" customHeight="1" s="40">
      <c r="A29" s="85" t="n">
        <v>25</v>
      </c>
      <c r="B29" s="86" t="n"/>
      <c r="C29" s="86" t="n"/>
      <c r="D29" s="87" t="n"/>
      <c r="E29" s="87" t="n"/>
      <c r="F29" s="56">
        <f>IF(OR(B29="",C29=""),"",C29-B29)</f>
        <v/>
      </c>
      <c r="G29" s="88" t="n"/>
      <c r="H29" s="87" t="n"/>
    </row>
    <row r="30" ht="15" customHeight="1" s="40">
      <c r="A30" s="85" t="n">
        <v>26</v>
      </c>
      <c r="B30" s="86" t="n"/>
      <c r="C30" s="86" t="n"/>
      <c r="D30" s="87" t="n"/>
      <c r="E30" s="87" t="n"/>
      <c r="F30" s="56">
        <f>IF(OR(B30="",C30=""),"",C30-B30)</f>
        <v/>
      </c>
      <c r="G30" s="88" t="n"/>
      <c r="H30" s="87" t="n"/>
    </row>
    <row r="31" ht="15" customHeight="1" s="40">
      <c r="A31" s="85" t="n">
        <v>27</v>
      </c>
      <c r="B31" s="86" t="n"/>
      <c r="C31" s="86" t="n"/>
      <c r="D31" s="87" t="n"/>
      <c r="E31" s="87" t="n"/>
      <c r="F31" s="56">
        <f>IF(OR(B31="",C31=""),"",C31-B31)</f>
        <v/>
      </c>
      <c r="G31" s="88" t="n"/>
      <c r="H31" s="87" t="n"/>
    </row>
    <row r="32" ht="15" customHeight="1" s="40">
      <c r="A32" s="85" t="n">
        <v>28</v>
      </c>
      <c r="B32" s="86" t="n"/>
      <c r="C32" s="86" t="n"/>
      <c r="D32" s="87" t="n"/>
      <c r="E32" s="87" t="n"/>
      <c r="F32" s="56">
        <f>IF(OR(B32="",C32=""),"",C32-B32)</f>
        <v/>
      </c>
      <c r="G32" s="88" t="n"/>
      <c r="H32" s="87" t="n"/>
    </row>
    <row r="33" ht="15" customHeight="1" s="40">
      <c r="A33" s="85" t="n">
        <v>29</v>
      </c>
      <c r="B33" s="86" t="n"/>
      <c r="C33" s="86" t="n"/>
      <c r="D33" s="87" t="n"/>
      <c r="E33" s="87" t="n"/>
      <c r="F33" s="56">
        <f>IF(OR(B33="",C33=""),"",C33-B33)</f>
        <v/>
      </c>
      <c r="G33" s="88" t="n"/>
      <c r="H33" s="87" t="n"/>
    </row>
    <row r="34" ht="15" customHeight="1" s="40">
      <c r="A34" s="85" t="n">
        <v>30</v>
      </c>
      <c r="B34" s="86" t="n"/>
      <c r="C34" s="86" t="n"/>
      <c r="D34" s="87" t="n"/>
      <c r="E34" s="87" t="n"/>
      <c r="F34" s="56">
        <f>IF(OR(B34="",C34=""),"",C34-B34)</f>
        <v/>
      </c>
      <c r="G34" s="88" t="n"/>
      <c r="H34" s="87" t="n"/>
    </row>
    <row r="35" ht="15" customHeight="1" s="40">
      <c r="A35" s="85" t="n">
        <v>31</v>
      </c>
      <c r="B35" s="86" t="n"/>
      <c r="C35" s="86" t="n"/>
      <c r="D35" s="87" t="n"/>
      <c r="E35" s="87" t="n"/>
      <c r="F35" s="56">
        <f>IF(OR(B35="",C35=""),"",C35-B35)</f>
        <v/>
      </c>
      <c r="G35" s="88" t="n"/>
      <c r="H35" s="87" t="n"/>
    </row>
    <row r="36" ht="15" customHeight="1" s="40">
      <c r="A36" s="85" t="n">
        <v>32</v>
      </c>
      <c r="B36" s="86" t="n"/>
      <c r="C36" s="86" t="n"/>
      <c r="D36" s="87" t="n"/>
      <c r="E36" s="87" t="n"/>
      <c r="F36" s="56">
        <f>IF(OR(B36="",C36=""),"",C36-B36)</f>
        <v/>
      </c>
      <c r="G36" s="88" t="n"/>
      <c r="H36" s="87" t="n"/>
    </row>
    <row r="37" ht="15" customHeight="1" s="40">
      <c r="A37" s="85" t="n">
        <v>33</v>
      </c>
      <c r="B37" s="86" t="n"/>
      <c r="C37" s="86" t="n"/>
      <c r="D37" s="87" t="n"/>
      <c r="E37" s="87" t="n"/>
      <c r="F37" s="56">
        <f>IF(OR(B37="",C37=""),"",C37-B37)</f>
        <v/>
      </c>
      <c r="G37" s="88" t="n"/>
      <c r="H37" s="87" t="n"/>
    </row>
    <row r="38" ht="15" customHeight="1" s="40">
      <c r="A38" s="85" t="n">
        <v>34</v>
      </c>
      <c r="B38" s="86" t="n"/>
      <c r="C38" s="86" t="n"/>
      <c r="D38" s="87" t="n"/>
      <c r="E38" s="87" t="n"/>
      <c r="F38" s="56">
        <f>IF(OR(B38="",C38=""),"",C38-B38)</f>
        <v/>
      </c>
      <c r="G38" s="88" t="n"/>
      <c r="H38" s="87" t="n"/>
    </row>
    <row r="39" ht="15" customHeight="1" s="40">
      <c r="A39" s="85" t="n">
        <v>35</v>
      </c>
      <c r="B39" s="86" t="n"/>
      <c r="C39" s="86" t="n"/>
      <c r="D39" s="87" t="n"/>
      <c r="E39" s="87" t="n"/>
      <c r="F39" s="56">
        <f>IF(OR(B39="",C39=""),"",C39-B39)</f>
        <v/>
      </c>
      <c r="G39" s="88" t="n"/>
      <c r="H39" s="87" t="n"/>
    </row>
    <row r="40" ht="15" customHeight="1" s="40">
      <c r="A40" s="85" t="n">
        <v>36</v>
      </c>
      <c r="B40" s="86" t="n"/>
      <c r="C40" s="86" t="n"/>
      <c r="D40" s="87" t="n"/>
      <c r="E40" s="87" t="n"/>
      <c r="F40" s="56">
        <f>IF(OR(B40="",C40=""),"",C40-B40)</f>
        <v/>
      </c>
      <c r="G40" s="88" t="n"/>
      <c r="H40" s="87" t="n"/>
    </row>
    <row r="41" ht="15" customHeight="1" s="40">
      <c r="A41" s="85" t="n">
        <v>37</v>
      </c>
      <c r="B41" s="86" t="n"/>
      <c r="C41" s="86" t="n"/>
      <c r="D41" s="87" t="n"/>
      <c r="E41" s="87" t="n"/>
      <c r="F41" s="56">
        <f>IF(OR(B41="",C41=""),"",C41-B41)</f>
        <v/>
      </c>
      <c r="G41" s="88" t="n"/>
      <c r="H41" s="87" t="n"/>
    </row>
    <row r="42" ht="15" customHeight="1" s="40">
      <c r="A42" s="85" t="n">
        <v>38</v>
      </c>
      <c r="B42" s="86" t="n"/>
      <c r="C42" s="86" t="n"/>
      <c r="D42" s="87" t="n"/>
      <c r="E42" s="87" t="n"/>
      <c r="F42" s="56">
        <f>IF(OR(B42="",C42=""),"",C42-B42)</f>
        <v/>
      </c>
      <c r="G42" s="88" t="n"/>
      <c r="H42" s="87" t="n"/>
    </row>
    <row r="43" ht="15" customHeight="1" s="40">
      <c r="A43" s="85" t="n">
        <v>39</v>
      </c>
      <c r="B43" s="86" t="n"/>
      <c r="C43" s="86" t="n"/>
      <c r="D43" s="87" t="n"/>
      <c r="E43" s="87" t="n"/>
      <c r="F43" s="56">
        <f>IF(OR(B43="",C43=""),"",C43-B43)</f>
        <v/>
      </c>
      <c r="G43" s="88" t="n"/>
      <c r="H43" s="87" t="n"/>
    </row>
    <row r="44" ht="15" customHeight="1" s="40">
      <c r="A44" s="85" t="n">
        <v>40</v>
      </c>
      <c r="B44" s="86" t="n"/>
      <c r="C44" s="86" t="n"/>
      <c r="D44" s="87" t="n"/>
      <c r="E44" s="87" t="n"/>
      <c r="F44" s="56">
        <f>IF(OR(B44="",C44=""),"",C44-B44)</f>
        <v/>
      </c>
      <c r="G44" s="88" t="n"/>
      <c r="H44" s="87" t="n"/>
    </row>
    <row r="45" ht="15" customHeight="1" s="40">
      <c r="A45" s="85" t="n">
        <v>41</v>
      </c>
      <c r="B45" s="86" t="n"/>
      <c r="C45" s="86" t="n"/>
      <c r="D45" s="87" t="n"/>
      <c r="E45" s="87" t="n"/>
      <c r="F45" s="56">
        <f>IF(OR(B45="",C45=""),"",C45-B45)</f>
        <v/>
      </c>
      <c r="G45" s="88" t="n"/>
      <c r="H45" s="87" t="n"/>
    </row>
    <row r="46" ht="15" customHeight="1" s="40">
      <c r="A46" s="85" t="n">
        <v>42</v>
      </c>
      <c r="B46" s="86" t="n"/>
      <c r="C46" s="86" t="n"/>
      <c r="D46" s="87" t="n"/>
      <c r="E46" s="87" t="n"/>
      <c r="F46" s="56">
        <f>IF(OR(B46="",C46=""),"",C46-B46)</f>
        <v/>
      </c>
      <c r="G46" s="88" t="n"/>
      <c r="H46" s="87" t="n"/>
    </row>
    <row r="47" ht="15" customHeight="1" s="40">
      <c r="A47" s="85" t="n">
        <v>43</v>
      </c>
      <c r="B47" s="86" t="n"/>
      <c r="C47" s="86" t="n"/>
      <c r="D47" s="87" t="n"/>
      <c r="E47" s="87" t="n"/>
      <c r="F47" s="56">
        <f>IF(OR(B47="",C47=""),"",C47-B47)</f>
        <v/>
      </c>
      <c r="G47" s="88" t="n"/>
      <c r="H47" s="87" t="n"/>
    </row>
    <row r="48" ht="15" customHeight="1" s="40">
      <c r="A48" s="85" t="n">
        <v>44</v>
      </c>
      <c r="B48" s="86" t="n"/>
      <c r="C48" s="86" t="n"/>
      <c r="D48" s="87" t="n"/>
      <c r="E48" s="87" t="n"/>
      <c r="F48" s="56">
        <f>IF(OR(B48="",C48=""),"",C48-B48)</f>
        <v/>
      </c>
      <c r="G48" s="88" t="n"/>
      <c r="H48" s="87" t="n"/>
    </row>
    <row r="49" ht="15" customHeight="1" s="40">
      <c r="A49" s="85" t="n">
        <v>45</v>
      </c>
      <c r="B49" s="86" t="n"/>
      <c r="C49" s="86" t="n"/>
      <c r="D49" s="87" t="n"/>
      <c r="E49" s="87" t="n"/>
      <c r="F49" s="56">
        <f>IF(OR(B49="",C49=""),"",C49-B49)</f>
        <v/>
      </c>
      <c r="G49" s="88" t="n"/>
      <c r="H49" s="87" t="n"/>
    </row>
    <row r="50" ht="15" customHeight="1" s="40">
      <c r="A50" s="85" t="n">
        <v>46</v>
      </c>
      <c r="B50" s="86" t="n"/>
      <c r="C50" s="86" t="n"/>
      <c r="D50" s="87" t="n"/>
      <c r="E50" s="87" t="n"/>
      <c r="F50" s="56">
        <f>IF(OR(B50="",C50=""),"",C50-B50)</f>
        <v/>
      </c>
      <c r="G50" s="88" t="n"/>
      <c r="H50" s="87" t="n"/>
    </row>
    <row r="51" ht="15" customHeight="1" s="40">
      <c r="A51" s="85" t="n">
        <v>47</v>
      </c>
      <c r="B51" s="86" t="n"/>
      <c r="C51" s="86" t="n"/>
      <c r="D51" s="87" t="n"/>
      <c r="E51" s="87" t="n"/>
      <c r="F51" s="56">
        <f>IF(OR(B51="",C51=""),"",C51-B51)</f>
        <v/>
      </c>
      <c r="G51" s="88" t="n"/>
      <c r="H51" s="87" t="n"/>
    </row>
    <row r="52" ht="15" customHeight="1" s="40">
      <c r="A52" s="85" t="n">
        <v>48</v>
      </c>
      <c r="B52" s="86" t="n"/>
      <c r="C52" s="86" t="n"/>
      <c r="D52" s="87" t="n"/>
      <c r="E52" s="87" t="n"/>
      <c r="F52" s="56">
        <f>IF(OR(B52="",C52=""),"",C52-B52)</f>
        <v/>
      </c>
      <c r="G52" s="88" t="n"/>
      <c r="H52" s="87" t="n"/>
    </row>
    <row r="53" ht="15" customHeight="1" s="40">
      <c r="A53" s="85" t="n">
        <v>49</v>
      </c>
      <c r="B53" s="86" t="n"/>
      <c r="C53" s="86" t="n"/>
      <c r="D53" s="87" t="n"/>
      <c r="E53" s="87" t="n"/>
      <c r="F53" s="56">
        <f>IF(OR(B53="",C53=""),"",C53-B53)</f>
        <v/>
      </c>
      <c r="G53" s="88" t="n"/>
      <c r="H53" s="87" t="n"/>
    </row>
    <row r="54" ht="15" customHeight="1" s="40">
      <c r="A54" s="85" t="n">
        <v>50</v>
      </c>
      <c r="B54" s="86" t="n"/>
      <c r="C54" s="86" t="n"/>
      <c r="D54" s="87" t="n"/>
      <c r="E54" s="87" t="n"/>
      <c r="F54" s="56">
        <f>IF(OR(B54="",C54=""),"",C54-B54)</f>
        <v/>
      </c>
      <c r="G54" s="88" t="n"/>
      <c r="H54" s="87" t="n"/>
    </row>
    <row r="55" ht="15" customHeight="1" s="40">
      <c r="A55" s="85" t="n">
        <v>51</v>
      </c>
      <c r="B55" s="86" t="n"/>
      <c r="C55" s="86" t="n"/>
      <c r="D55" s="87" t="n"/>
      <c r="E55" s="87" t="n"/>
      <c r="F55" s="56">
        <f>IF(OR(B55="",C55=""),"",C55-B55)</f>
        <v/>
      </c>
      <c r="G55" s="88" t="n"/>
      <c r="H55" s="87" t="n"/>
    </row>
    <row r="56" ht="15" customHeight="1" s="40">
      <c r="A56" s="85" t="n">
        <v>52</v>
      </c>
      <c r="B56" s="86" t="n"/>
      <c r="C56" s="86" t="n"/>
      <c r="D56" s="87" t="n"/>
      <c r="E56" s="87" t="n"/>
      <c r="F56" s="56">
        <f>IF(OR(B56="",C56=""),"",C56-B56)</f>
        <v/>
      </c>
      <c r="G56" s="88" t="n"/>
      <c r="H56" s="87" t="n"/>
    </row>
    <row r="57" ht="15" customHeight="1" s="40">
      <c r="A57" s="85" t="n">
        <v>53</v>
      </c>
      <c r="B57" s="86" t="n"/>
      <c r="C57" s="86" t="n"/>
      <c r="D57" s="87" t="n"/>
      <c r="E57" s="87" t="n"/>
      <c r="F57" s="56">
        <f>IF(OR(B57="",C57=""),"",C57-B57)</f>
        <v/>
      </c>
      <c r="G57" s="88" t="n"/>
      <c r="H57" s="87" t="n"/>
    </row>
    <row r="58" ht="15" customHeight="1" s="40">
      <c r="A58" s="85" t="n">
        <v>54</v>
      </c>
      <c r="B58" s="86" t="n"/>
      <c r="C58" s="86" t="n"/>
      <c r="D58" s="87" t="n"/>
      <c r="E58" s="87" t="n"/>
      <c r="F58" s="56">
        <f>IF(OR(B58="",C58=""),"",C58-B58)</f>
        <v/>
      </c>
      <c r="G58" s="88" t="n"/>
      <c r="H58" s="87" t="n"/>
    </row>
    <row r="59" ht="15" customHeight="1" s="40">
      <c r="A59" s="85" t="n">
        <v>55</v>
      </c>
      <c r="B59" s="86" t="n"/>
      <c r="C59" s="86" t="n"/>
      <c r="D59" s="87" t="n"/>
      <c r="E59" s="87" t="n"/>
      <c r="F59" s="56">
        <f>IF(OR(B59="",C59=""),"",C59-B59)</f>
        <v/>
      </c>
      <c r="G59" s="88" t="n"/>
      <c r="H59" s="87" t="n"/>
    </row>
    <row r="60" ht="15" customHeight="1" s="40">
      <c r="A60" s="85" t="n">
        <v>56</v>
      </c>
      <c r="B60" s="86" t="n"/>
      <c r="C60" s="86" t="n"/>
      <c r="D60" s="87" t="n"/>
      <c r="E60" s="87" t="n"/>
      <c r="F60" s="56">
        <f>IF(OR(B60="",C60=""),"",C60-B60)</f>
        <v/>
      </c>
      <c r="G60" s="88" t="n"/>
      <c r="H60" s="87" t="n"/>
    </row>
    <row r="61" ht="15" customHeight="1" s="40">
      <c r="A61" s="85" t="n">
        <v>57</v>
      </c>
      <c r="B61" s="86" t="n"/>
      <c r="C61" s="86" t="n"/>
      <c r="D61" s="87" t="n"/>
      <c r="E61" s="87" t="n"/>
      <c r="F61" s="56">
        <f>IF(OR(B61="",C61=""),"",C61-B61)</f>
        <v/>
      </c>
      <c r="G61" s="88" t="n"/>
      <c r="H61" s="87" t="n"/>
    </row>
    <row r="62" ht="15" customHeight="1" s="40">
      <c r="A62" s="85" t="n">
        <v>58</v>
      </c>
      <c r="B62" s="86" t="n"/>
      <c r="C62" s="86" t="n"/>
      <c r="D62" s="87" t="n"/>
      <c r="E62" s="87" t="n"/>
      <c r="F62" s="56">
        <f>IF(OR(B62="",C62=""),"",C62-B62)</f>
        <v/>
      </c>
      <c r="G62" s="88" t="n"/>
      <c r="H62" s="87" t="n"/>
    </row>
    <row r="63" ht="15" customHeight="1" s="40">
      <c r="A63" s="85" t="n">
        <v>59</v>
      </c>
      <c r="B63" s="86" t="n"/>
      <c r="C63" s="86" t="n"/>
      <c r="D63" s="87" t="n"/>
      <c r="E63" s="87" t="n"/>
      <c r="F63" s="56">
        <f>IF(OR(B63="",C63=""),"",C63-B63)</f>
        <v/>
      </c>
      <c r="G63" s="88" t="n"/>
      <c r="H63" s="87" t="n"/>
    </row>
    <row r="64" ht="15" customHeight="1" s="40">
      <c r="A64" s="85" t="n">
        <v>60</v>
      </c>
      <c r="B64" s="86" t="n"/>
      <c r="C64" s="86" t="n"/>
      <c r="D64" s="87" t="n"/>
      <c r="E64" s="87" t="n"/>
      <c r="F64" s="56">
        <f>IF(OR(B64="",C64=""),"",C64-B64)</f>
        <v/>
      </c>
      <c r="G64" s="88" t="n"/>
      <c r="H64" s="87" t="n"/>
    </row>
    <row r="65" ht="15" customHeight="1" s="40">
      <c r="A65" s="85" t="n">
        <v>61</v>
      </c>
      <c r="B65" s="86" t="n"/>
      <c r="C65" s="86" t="n"/>
      <c r="D65" s="87" t="n"/>
      <c r="E65" s="87" t="n"/>
      <c r="F65" s="56">
        <f>IF(OR(B65="",C65=""),"",C65-B65)</f>
        <v/>
      </c>
      <c r="G65" s="88" t="n"/>
      <c r="H65" s="87" t="n"/>
    </row>
    <row r="66" ht="15" customHeight="1" s="40">
      <c r="A66" s="85" t="n">
        <v>62</v>
      </c>
      <c r="B66" s="86" t="n"/>
      <c r="C66" s="86" t="n"/>
      <c r="D66" s="87" t="n"/>
      <c r="E66" s="87" t="n"/>
      <c r="F66" s="56">
        <f>IF(OR(B66="",C66=""),"",C66-B66)</f>
        <v/>
      </c>
      <c r="G66" s="88" t="n"/>
      <c r="H66" s="87" t="n"/>
    </row>
    <row r="67" ht="15" customHeight="1" s="40">
      <c r="A67" s="85" t="n">
        <v>63</v>
      </c>
      <c r="B67" s="86" t="n"/>
      <c r="C67" s="86" t="n"/>
      <c r="D67" s="87" t="n"/>
      <c r="E67" s="87" t="n"/>
      <c r="F67" s="56">
        <f>IF(OR(B67="",C67=""),"",C67-B67)</f>
        <v/>
      </c>
      <c r="G67" s="88" t="n"/>
      <c r="H67" s="87" t="n"/>
    </row>
    <row r="68" ht="15" customHeight="1" s="40">
      <c r="A68" s="85" t="n">
        <v>64</v>
      </c>
      <c r="B68" s="86" t="n"/>
      <c r="C68" s="86" t="n"/>
      <c r="D68" s="87" t="n"/>
      <c r="E68" s="87" t="n"/>
      <c r="F68" s="56">
        <f>IF(OR(B68="",C68=""),"",C68-B68)</f>
        <v/>
      </c>
      <c r="G68" s="88" t="n"/>
      <c r="H68" s="87" t="n"/>
    </row>
    <row r="69" ht="15" customHeight="1" s="40">
      <c r="A69" s="85" t="n">
        <v>65</v>
      </c>
      <c r="B69" s="86" t="n"/>
      <c r="C69" s="86" t="n"/>
      <c r="D69" s="87" t="n"/>
      <c r="E69" s="87" t="n"/>
      <c r="F69" s="56">
        <f>IF(OR(B69="",C69=""),"",C69-B69)</f>
        <v/>
      </c>
      <c r="G69" s="88" t="n"/>
      <c r="H69" s="87" t="n"/>
    </row>
    <row r="70" ht="15" customHeight="1" s="40">
      <c r="A70" s="85" t="n">
        <v>66</v>
      </c>
      <c r="B70" s="86" t="n"/>
      <c r="C70" s="86" t="n"/>
      <c r="D70" s="87" t="n"/>
      <c r="E70" s="87" t="n"/>
      <c r="F70" s="56">
        <f>IF(OR(B70="",C70=""),"",C70-B70)</f>
        <v/>
      </c>
      <c r="G70" s="88" t="n"/>
      <c r="H70" s="87" t="n"/>
    </row>
    <row r="71" ht="15" customHeight="1" s="40">
      <c r="A71" s="85" t="n">
        <v>67</v>
      </c>
      <c r="B71" s="86" t="n"/>
      <c r="C71" s="86" t="n"/>
      <c r="D71" s="87" t="n"/>
      <c r="E71" s="87" t="n"/>
      <c r="F71" s="56">
        <f>IF(OR(B71="",C71=""),"",C71-B71)</f>
        <v/>
      </c>
      <c r="G71" s="88" t="n"/>
      <c r="H71" s="87" t="n"/>
    </row>
    <row r="72" ht="15" customHeight="1" s="40">
      <c r="A72" s="85" t="n">
        <v>68</v>
      </c>
      <c r="B72" s="86" t="n"/>
      <c r="C72" s="86" t="n"/>
      <c r="D72" s="87" t="n"/>
      <c r="E72" s="87" t="n"/>
      <c r="F72" s="56">
        <f>IF(OR(B72="",C72=""),"",C72-B72)</f>
        <v/>
      </c>
      <c r="G72" s="88" t="n"/>
      <c r="H72" s="87" t="n"/>
    </row>
    <row r="73" ht="15" customHeight="1" s="40">
      <c r="A73" s="85" t="n">
        <v>69</v>
      </c>
      <c r="B73" s="86" t="n"/>
      <c r="C73" s="86" t="n"/>
      <c r="D73" s="87" t="n"/>
      <c r="E73" s="87" t="n"/>
      <c r="F73" s="56">
        <f>IF(OR(B73="",C73=""),"",C73-B73)</f>
        <v/>
      </c>
      <c r="G73" s="88" t="n"/>
      <c r="H73" s="87" t="n"/>
    </row>
    <row r="74" ht="15" customHeight="1" s="40">
      <c r="A74" s="85" t="n">
        <v>70</v>
      </c>
      <c r="B74" s="86" t="n"/>
      <c r="C74" s="86" t="n"/>
      <c r="D74" s="87" t="n"/>
      <c r="E74" s="87" t="n"/>
      <c r="F74" s="56">
        <f>IF(OR(B74="",C74=""),"",C74-B74)</f>
        <v/>
      </c>
      <c r="G74" s="88" t="n"/>
      <c r="H74" s="87" t="n"/>
    </row>
    <row r="75" ht="15" customHeight="1" s="40">
      <c r="A75" s="85" t="n">
        <v>71</v>
      </c>
      <c r="B75" s="86" t="n"/>
      <c r="C75" s="86" t="n"/>
      <c r="D75" s="87" t="n"/>
      <c r="E75" s="87" t="n"/>
      <c r="F75" s="56">
        <f>IF(OR(B75="",C75=""),"",C75-B75)</f>
        <v/>
      </c>
      <c r="G75" s="88" t="n"/>
      <c r="H75" s="87" t="n"/>
    </row>
    <row r="76" ht="15" customHeight="1" s="40">
      <c r="A76" s="85" t="n">
        <v>72</v>
      </c>
      <c r="B76" s="86" t="n"/>
      <c r="C76" s="86" t="n"/>
      <c r="D76" s="87" t="n"/>
      <c r="E76" s="87" t="n"/>
      <c r="F76" s="56">
        <f>IF(OR(B76="",C76=""),"",C76-B76)</f>
        <v/>
      </c>
      <c r="G76" s="88" t="n"/>
      <c r="H76" s="87" t="n"/>
    </row>
    <row r="77" ht="15" customHeight="1" s="40">
      <c r="A77" s="85" t="n">
        <v>73</v>
      </c>
      <c r="B77" s="86" t="n"/>
      <c r="C77" s="86" t="n"/>
      <c r="D77" s="87" t="n"/>
      <c r="E77" s="87" t="n"/>
      <c r="F77" s="56">
        <f>IF(OR(B77="",C77=""),"",C77-B77)</f>
        <v/>
      </c>
      <c r="G77" s="88" t="n"/>
      <c r="H77" s="87" t="n"/>
    </row>
    <row r="78" ht="15" customHeight="1" s="40">
      <c r="A78" s="85" t="n">
        <v>74</v>
      </c>
      <c r="B78" s="86" t="n"/>
      <c r="C78" s="86" t="n"/>
      <c r="D78" s="87" t="n"/>
      <c r="E78" s="87" t="n"/>
      <c r="F78" s="56">
        <f>IF(OR(B78="",C78=""),"",C78-B78)</f>
        <v/>
      </c>
      <c r="G78" s="88" t="n"/>
      <c r="H78" s="87" t="n"/>
    </row>
    <row r="79" ht="15" customHeight="1" s="40">
      <c r="A79" s="85" t="n">
        <v>75</v>
      </c>
      <c r="B79" s="86" t="n"/>
      <c r="C79" s="86" t="n"/>
      <c r="D79" s="87" t="n"/>
      <c r="E79" s="87" t="n"/>
      <c r="F79" s="56">
        <f>IF(OR(B79="",C79=""),"",C79-B79)</f>
        <v/>
      </c>
      <c r="G79" s="88" t="n"/>
      <c r="H79" s="87" t="n"/>
    </row>
    <row r="80" ht="15" customHeight="1" s="40">
      <c r="A80" s="85" t="n">
        <v>76</v>
      </c>
      <c r="B80" s="86" t="n"/>
      <c r="C80" s="86" t="n"/>
      <c r="D80" s="87" t="n"/>
      <c r="E80" s="87" t="n"/>
      <c r="F80" s="56">
        <f>IF(OR(B80="",C80=""),"",C80-B80)</f>
        <v/>
      </c>
      <c r="G80" s="88" t="n"/>
      <c r="H80" s="87" t="n"/>
    </row>
    <row r="81" ht="15" customHeight="1" s="40">
      <c r="A81" s="85" t="n">
        <v>77</v>
      </c>
      <c r="B81" s="86" t="n"/>
      <c r="C81" s="86" t="n"/>
      <c r="D81" s="87" t="n"/>
      <c r="E81" s="87" t="n"/>
      <c r="F81" s="56">
        <f>IF(OR(B81="",C81=""),"",C81-B81)</f>
        <v/>
      </c>
      <c r="G81" s="88" t="n"/>
      <c r="H81" s="87" t="n"/>
    </row>
    <row r="82" ht="15" customHeight="1" s="40">
      <c r="A82" s="85" t="n">
        <v>78</v>
      </c>
      <c r="B82" s="86" t="n"/>
      <c r="C82" s="86" t="n"/>
      <c r="D82" s="87" t="n"/>
      <c r="E82" s="87" t="n"/>
      <c r="F82" s="56">
        <f>IF(OR(B82="",C82=""),"",C82-B82)</f>
        <v/>
      </c>
      <c r="G82" s="88" t="n"/>
      <c r="H82" s="87" t="n"/>
    </row>
    <row r="83" ht="15" customHeight="1" s="40">
      <c r="A83" s="85" t="n">
        <v>79</v>
      </c>
      <c r="B83" s="86" t="n"/>
      <c r="C83" s="86" t="n"/>
      <c r="D83" s="87" t="n"/>
      <c r="E83" s="87" t="n"/>
      <c r="F83" s="56">
        <f>IF(OR(B83="",C83=""),"",C83-B83)</f>
        <v/>
      </c>
      <c r="G83" s="88" t="n"/>
      <c r="H83" s="87" t="n"/>
    </row>
    <row r="84" ht="15" customHeight="1" s="40">
      <c r="A84" s="85" t="n">
        <v>80</v>
      </c>
      <c r="B84" s="86" t="n"/>
      <c r="C84" s="86" t="n"/>
      <c r="D84" s="87" t="n"/>
      <c r="E84" s="87" t="n"/>
      <c r="F84" s="56">
        <f>IF(OR(B84="",C84=""),"",C84-B84)</f>
        <v/>
      </c>
      <c r="G84" s="88" t="n"/>
      <c r="H84" s="87" t="n"/>
    </row>
    <row r="85" ht="15" customHeight="1" s="40">
      <c r="A85" s="85" t="n">
        <v>81</v>
      </c>
      <c r="B85" s="86" t="n"/>
      <c r="C85" s="86" t="n"/>
      <c r="D85" s="87" t="n"/>
      <c r="E85" s="87" t="n"/>
      <c r="F85" s="56">
        <f>IF(OR(B85="",C85=""),"",C85-B85)</f>
        <v/>
      </c>
      <c r="G85" s="88" t="n"/>
      <c r="H85" s="87" t="n"/>
    </row>
    <row r="86" ht="15" customHeight="1" s="40">
      <c r="A86" s="85" t="n">
        <v>82</v>
      </c>
      <c r="B86" s="86" t="n"/>
      <c r="C86" s="86" t="n"/>
      <c r="D86" s="87" t="n"/>
      <c r="E86" s="87" t="n"/>
      <c r="F86" s="56">
        <f>IF(OR(B86="",C86=""),"",C86-B86)</f>
        <v/>
      </c>
      <c r="G86" s="88" t="n"/>
      <c r="H86" s="87" t="n"/>
    </row>
    <row r="87" ht="15" customHeight="1" s="40">
      <c r="A87" s="85" t="n">
        <v>83</v>
      </c>
      <c r="B87" s="86" t="n"/>
      <c r="C87" s="86" t="n"/>
      <c r="D87" s="87" t="n"/>
      <c r="E87" s="87" t="n"/>
      <c r="F87" s="56">
        <f>IF(OR(B87="",C87=""),"",C87-B87)</f>
        <v/>
      </c>
      <c r="G87" s="88" t="n"/>
      <c r="H87" s="87" t="n"/>
    </row>
    <row r="88" ht="15" customHeight="1" s="40">
      <c r="A88" s="85" t="n">
        <v>84</v>
      </c>
      <c r="B88" s="86" t="n"/>
      <c r="C88" s="86" t="n"/>
      <c r="D88" s="87" t="n"/>
      <c r="E88" s="87" t="n"/>
      <c r="F88" s="56">
        <f>IF(OR(B88="",C88=""),"",C88-B88)</f>
        <v/>
      </c>
      <c r="G88" s="88" t="n"/>
      <c r="H88" s="87" t="n"/>
    </row>
    <row r="89" ht="15" customHeight="1" s="40">
      <c r="A89" s="85" t="n">
        <v>85</v>
      </c>
      <c r="B89" s="86" t="n"/>
      <c r="C89" s="86" t="n"/>
      <c r="D89" s="87" t="n"/>
      <c r="E89" s="87" t="n"/>
      <c r="F89" s="56">
        <f>IF(OR(B89="",C89=""),"",C89-B89)</f>
        <v/>
      </c>
      <c r="G89" s="88" t="n"/>
      <c r="H89" s="87" t="n"/>
    </row>
    <row r="90" ht="15" customHeight="1" s="40">
      <c r="A90" s="85" t="n">
        <v>86</v>
      </c>
      <c r="B90" s="86" t="n"/>
      <c r="C90" s="86" t="n"/>
      <c r="D90" s="87" t="n"/>
      <c r="E90" s="87" t="n"/>
      <c r="F90" s="56">
        <f>IF(OR(B90="",C90=""),"",C90-B90)</f>
        <v/>
      </c>
      <c r="G90" s="88" t="n"/>
      <c r="H90" s="87" t="n"/>
    </row>
    <row r="91" ht="15" customHeight="1" s="40">
      <c r="A91" s="85" t="n">
        <v>87</v>
      </c>
      <c r="B91" s="86" t="n"/>
      <c r="C91" s="86" t="n"/>
      <c r="D91" s="87" t="n"/>
      <c r="E91" s="87" t="n"/>
      <c r="F91" s="56">
        <f>IF(OR(B91="",C91=""),"",C91-B91)</f>
        <v/>
      </c>
      <c r="G91" s="88" t="n"/>
      <c r="H91" s="87" t="n"/>
    </row>
    <row r="92" ht="15" customHeight="1" s="40">
      <c r="A92" s="85" t="n">
        <v>88</v>
      </c>
      <c r="B92" s="86" t="n"/>
      <c r="C92" s="86" t="n"/>
      <c r="D92" s="87" t="n"/>
      <c r="E92" s="87" t="n"/>
      <c r="F92" s="56">
        <f>IF(OR(B92="",C92=""),"",C92-B92)</f>
        <v/>
      </c>
      <c r="G92" s="88" t="n"/>
      <c r="H92" s="87" t="n"/>
    </row>
    <row r="93" ht="15" customHeight="1" s="40">
      <c r="A93" s="85" t="n">
        <v>89</v>
      </c>
      <c r="B93" s="86" t="n"/>
      <c r="C93" s="86" t="n"/>
      <c r="D93" s="87" t="n"/>
      <c r="E93" s="87" t="n"/>
      <c r="F93" s="56">
        <f>IF(OR(B93="",C93=""),"",C93-B93)</f>
        <v/>
      </c>
      <c r="G93" s="88" t="n"/>
      <c r="H93" s="87" t="n"/>
    </row>
    <row r="94" ht="15" customHeight="1" s="40">
      <c r="A94" s="85" t="n">
        <v>90</v>
      </c>
      <c r="B94" s="86" t="n"/>
      <c r="C94" s="86" t="n"/>
      <c r="D94" s="87" t="n"/>
      <c r="E94" s="87" t="n"/>
      <c r="F94" s="56">
        <f>IF(OR(B94="",C94=""),"",C94-B94)</f>
        <v/>
      </c>
      <c r="G94" s="88" t="n"/>
      <c r="H94" s="87" t="n"/>
    </row>
    <row r="95" ht="15" customHeight="1" s="40">
      <c r="A95" s="85" t="n">
        <v>91</v>
      </c>
      <c r="B95" s="86" t="n"/>
      <c r="C95" s="86" t="n"/>
      <c r="D95" s="87" t="n"/>
      <c r="E95" s="87" t="n"/>
      <c r="F95" s="56">
        <f>IF(OR(B95="",C95=""),"",C95-B95)</f>
        <v/>
      </c>
      <c r="G95" s="88" t="n"/>
      <c r="H95" s="87" t="n"/>
    </row>
    <row r="96" ht="15" customHeight="1" s="40">
      <c r="A96" s="85" t="n">
        <v>92</v>
      </c>
      <c r="B96" s="86" t="n"/>
      <c r="C96" s="86" t="n"/>
      <c r="D96" s="87" t="n"/>
      <c r="E96" s="87" t="n"/>
      <c r="F96" s="56">
        <f>IF(OR(B96="",C96=""),"",C96-B96)</f>
        <v/>
      </c>
      <c r="G96" s="88" t="n"/>
      <c r="H96" s="87" t="n"/>
    </row>
    <row r="97" ht="15" customHeight="1" s="40">
      <c r="A97" s="85" t="n">
        <v>93</v>
      </c>
      <c r="B97" s="86" t="n"/>
      <c r="C97" s="86" t="n"/>
      <c r="D97" s="87" t="n"/>
      <c r="E97" s="87" t="n"/>
      <c r="F97" s="56">
        <f>IF(OR(B97="",C97=""),"",C97-B97)</f>
        <v/>
      </c>
      <c r="G97" s="88" t="n"/>
      <c r="H97" s="87" t="n"/>
    </row>
    <row r="98" ht="15" customHeight="1" s="40">
      <c r="A98" s="85" t="n">
        <v>94</v>
      </c>
      <c r="B98" s="86" t="n"/>
      <c r="C98" s="86" t="n"/>
      <c r="D98" s="87" t="n"/>
      <c r="E98" s="87" t="n"/>
      <c r="F98" s="56">
        <f>IF(OR(B98="",C98=""),"",C98-B98)</f>
        <v/>
      </c>
      <c r="G98" s="88" t="n"/>
      <c r="H98" s="87" t="n"/>
    </row>
    <row r="99" ht="15" customHeight="1" s="40">
      <c r="A99" s="85" t="n">
        <v>95</v>
      </c>
      <c r="B99" s="86" t="n"/>
      <c r="C99" s="86" t="n"/>
      <c r="D99" s="87" t="n"/>
      <c r="E99" s="87" t="n"/>
      <c r="F99" s="56">
        <f>IF(OR(B99="",C99=""),"",C99-B99)</f>
        <v/>
      </c>
      <c r="G99" s="88" t="n"/>
      <c r="H99" s="87" t="n"/>
    </row>
    <row r="100" ht="15" customHeight="1" s="40">
      <c r="A100" s="85" t="n">
        <v>96</v>
      </c>
      <c r="B100" s="86" t="n"/>
      <c r="C100" s="86" t="n"/>
      <c r="D100" s="87" t="n"/>
      <c r="E100" s="87" t="n"/>
      <c r="F100" s="56">
        <f>IF(OR(B100="",C100=""),"",C100-B100)</f>
        <v/>
      </c>
      <c r="G100" s="88" t="n"/>
      <c r="H100" s="87" t="n"/>
    </row>
    <row r="101" ht="15" customHeight="1" s="40">
      <c r="A101" s="85" t="n">
        <v>97</v>
      </c>
      <c r="B101" s="86" t="n"/>
      <c r="C101" s="86" t="n"/>
      <c r="D101" s="87" t="n"/>
      <c r="E101" s="87" t="n"/>
      <c r="F101" s="56">
        <f>IF(OR(B101="",C101=""),"",C101-B101)</f>
        <v/>
      </c>
      <c r="G101" s="88" t="n"/>
      <c r="H101" s="87" t="n"/>
    </row>
    <row r="102" ht="15" customHeight="1" s="40">
      <c r="A102" s="85" t="n">
        <v>98</v>
      </c>
      <c r="B102" s="86" t="n"/>
      <c r="C102" s="86" t="n"/>
      <c r="D102" s="87" t="n"/>
      <c r="E102" s="87" t="n"/>
      <c r="F102" s="56">
        <f>IF(OR(B102="",C102=""),"",C102-B102)</f>
        <v/>
      </c>
      <c r="G102" s="88" t="n"/>
      <c r="H102" s="87" t="n"/>
    </row>
    <row r="103" ht="15" customHeight="1" s="40">
      <c r="A103" s="85" t="n">
        <v>99</v>
      </c>
      <c r="B103" s="86" t="n"/>
      <c r="C103" s="86" t="n"/>
      <c r="D103" s="87" t="n"/>
      <c r="E103" s="87" t="n"/>
      <c r="F103" s="56">
        <f>IF(OR(B103="",C103=""),"",C103-B103)</f>
        <v/>
      </c>
      <c r="G103" s="88" t="n"/>
      <c r="H103" s="87" t="n"/>
    </row>
    <row r="104" ht="15" customHeight="1" s="40">
      <c r="A104" s="85" t="n">
        <v>100</v>
      </c>
      <c r="B104" s="86" t="n"/>
      <c r="C104" s="86" t="n"/>
      <c r="D104" s="87" t="n"/>
      <c r="E104" s="87" t="n"/>
      <c r="F104" s="56">
        <f>IF(OR(B104="",C104=""),"",C104-B104)</f>
        <v/>
      </c>
      <c r="G104" s="88" t="n"/>
      <c r="H104" s="87" t="n"/>
    </row>
  </sheetData>
  <mergeCells count="4">
    <mergeCell ref="A1:H1"/>
    <mergeCell ref="F3:H3"/>
    <mergeCell ref="A2:H2"/>
    <mergeCell ref="A3:E3"/>
  </mergeCells>
  <dataValidations count="3">
    <dataValidation sqref="E5:E104" showDropDown="0" showInputMessage="0" showErrorMessage="0" allowBlank="1" type="list" errorStyle="stop" operator="between">
      <formula1>"بنزين 91,بنزين 95,ديزل"</formula1>
      <formula2>0</formula2>
    </dataValidation>
    <dataValidation sqref="H5:H104" showDropDown="0" showInputMessage="0" showErrorMessage="0" allowBlank="1" type="list" errorStyle="stop" operator="between">
      <formula1>"مفتوح,معالجة,مغلق"</formula1>
      <formula2>0</formula2>
    </dataValidation>
    <dataValidation sqref="G5:G104" showDropDown="0" showInputMessage="0" showErrorMessage="0" allowBlank="1" type="list" errorStyle="stop" operator="between">
      <formula1>"تأخر تموين,عطل مضخة,نفاد مخزون,صيانة,أخرى"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I304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4" customWidth="1" style="39" min="1" max="1"/>
    <col width="12" customWidth="1" style="39" min="2" max="2"/>
    <col width="16" customWidth="1" style="39" min="3" max="3"/>
    <col width="12" customWidth="1" style="39" min="4" max="5"/>
    <col width="13" customWidth="1" style="39" min="6" max="8"/>
    <col width="14" customWidth="1" style="39" min="9" max="9"/>
  </cols>
  <sheetData>
    <row r="1" ht="31.5" customHeight="1" s="40">
      <c r="A1" s="41" t="inlineStr">
        <is>
          <t>💧 سجل ردود الوقود والفاقد عند التصفير</t>
        </is>
      </c>
    </row>
    <row r="2" ht="27.75" customHeight="1" s="40">
      <c r="A2" s="42" t="inlineStr">
        <is>
          <t>📝 كل صف = ردة وقود لمحطة  ·  الهدف: ≤ 100 لتر فاقد لكل 33,000 لتر رد</t>
        </is>
      </c>
    </row>
    <row r="3" ht="24" customHeight="1" s="40">
      <c r="A3" s="84" t="inlineStr">
        <is>
          <t>بيانات الردة</t>
        </is>
      </c>
      <c r="F3" s="44" t="inlineStr">
        <is>
          <t>💧 الكميات</t>
        </is>
      </c>
      <c r="H3" s="43" t="inlineStr">
        <is>
          <t>📊 آلي</t>
        </is>
      </c>
    </row>
    <row r="4" ht="39.75" customHeight="1" s="40">
      <c r="A4" s="45" t="inlineStr">
        <is>
          <t>#</t>
        </is>
      </c>
      <c r="B4" s="45" t="inlineStr">
        <is>
          <t>تاريخ الردة</t>
        </is>
      </c>
      <c r="C4" s="45" t="inlineStr">
        <is>
          <t>المحطة</t>
        </is>
      </c>
      <c r="D4" s="45" t="inlineStr">
        <is>
          <t>المنتج</t>
        </is>
      </c>
      <c r="E4" s="45" t="inlineStr">
        <is>
          <t>رقم الصهريج</t>
        </is>
      </c>
      <c r="F4" s="45" t="inlineStr">
        <is>
          <t>كمية الردة (لتر)</t>
        </is>
      </c>
      <c r="G4" s="45" t="inlineStr">
        <is>
          <t>كمية الفاقد (لتر)</t>
        </is>
      </c>
      <c r="H4" s="45" t="inlineStr">
        <is>
          <t>الفاقد لكل 33K</t>
        </is>
      </c>
      <c r="I4" s="45" t="inlineStr">
        <is>
          <t>الحالة</t>
        </is>
      </c>
    </row>
    <row r="5" ht="15" customHeight="1" s="40">
      <c r="A5" s="85" t="n">
        <v>1</v>
      </c>
      <c r="B5" s="86" t="n"/>
      <c r="C5" s="87" t="n"/>
      <c r="D5" s="87" t="n"/>
      <c r="E5" s="87" t="n"/>
      <c r="F5" s="89" t="n"/>
      <c r="G5" s="89" t="n"/>
      <c r="H5" s="90">
        <f>IF(OR(F5="",F5=0),"",(G5/F5)*33000)</f>
        <v/>
      </c>
      <c r="I5" s="56">
        <f>IF(H5="","—",IF(H5&lt;=100,"🟢 ضمن الهدف",IF(H5&lt;=150,"🟡 تجاوز بسيط","🔴 فاقد عالٍ")))</f>
        <v/>
      </c>
    </row>
    <row r="6" ht="15" customHeight="1" s="40">
      <c r="A6" s="85" t="n">
        <v>2</v>
      </c>
      <c r="B6" s="86" t="n"/>
      <c r="C6" s="87" t="n"/>
      <c r="D6" s="87" t="n"/>
      <c r="E6" s="87" t="n"/>
      <c r="F6" s="89" t="n"/>
      <c r="G6" s="89" t="n"/>
      <c r="H6" s="90">
        <f>IF(OR(F6="",F6=0),"",(G6/F6)*33000)</f>
        <v/>
      </c>
      <c r="I6" s="56">
        <f>IF(H6="","—",IF(H6&lt;=100,"🟢 ضمن الهدف",IF(H6&lt;=150,"🟡 تجاوز بسيط","🔴 فاقد عالٍ")))</f>
        <v/>
      </c>
    </row>
    <row r="7" ht="15" customHeight="1" s="40">
      <c r="A7" s="85" t="n">
        <v>3</v>
      </c>
      <c r="B7" s="86" t="n"/>
      <c r="C7" s="87" t="n"/>
      <c r="D7" s="87" t="n"/>
      <c r="E7" s="87" t="n"/>
      <c r="F7" s="89" t="n"/>
      <c r="G7" s="89" t="n"/>
      <c r="H7" s="90">
        <f>IF(OR(F7="",F7=0),"",(G7/F7)*33000)</f>
        <v/>
      </c>
      <c r="I7" s="56">
        <f>IF(H7="","—",IF(H7&lt;=100,"🟢 ضمن الهدف",IF(H7&lt;=150,"🟡 تجاوز بسيط","🔴 فاقد عالٍ")))</f>
        <v/>
      </c>
    </row>
    <row r="8" ht="15" customHeight="1" s="40">
      <c r="A8" s="85" t="n">
        <v>4</v>
      </c>
      <c r="B8" s="86" t="n"/>
      <c r="C8" s="87" t="n"/>
      <c r="D8" s="87" t="n"/>
      <c r="E8" s="87" t="n"/>
      <c r="F8" s="89" t="n"/>
      <c r="G8" s="89" t="n"/>
      <c r="H8" s="90">
        <f>IF(OR(F8="",F8=0),"",(G8/F8)*33000)</f>
        <v/>
      </c>
      <c r="I8" s="56">
        <f>IF(H8="","—",IF(H8&lt;=100,"🟢 ضمن الهدف",IF(H8&lt;=150,"🟡 تجاوز بسيط","🔴 فاقد عالٍ")))</f>
        <v/>
      </c>
    </row>
    <row r="9" ht="15" customHeight="1" s="40">
      <c r="A9" s="85" t="n">
        <v>5</v>
      </c>
      <c r="B9" s="86" t="n"/>
      <c r="C9" s="87" t="n"/>
      <c r="D9" s="87" t="n"/>
      <c r="E9" s="87" t="n"/>
      <c r="F9" s="89" t="n"/>
      <c r="G9" s="89" t="n"/>
      <c r="H9" s="90">
        <f>IF(OR(F9="",F9=0),"",(G9/F9)*33000)</f>
        <v/>
      </c>
      <c r="I9" s="56">
        <f>IF(H9="","—",IF(H9&lt;=100,"🟢 ضمن الهدف",IF(H9&lt;=150,"🟡 تجاوز بسيط","🔴 فاقد عالٍ")))</f>
        <v/>
      </c>
    </row>
    <row r="10" ht="15" customHeight="1" s="40">
      <c r="A10" s="85" t="n">
        <v>6</v>
      </c>
      <c r="B10" s="86" t="n"/>
      <c r="C10" s="87" t="n"/>
      <c r="D10" s="87" t="n"/>
      <c r="E10" s="87" t="n"/>
      <c r="F10" s="89" t="n"/>
      <c r="G10" s="89" t="n"/>
      <c r="H10" s="90">
        <f>IF(OR(F10="",F10=0),"",(G10/F10)*33000)</f>
        <v/>
      </c>
      <c r="I10" s="56">
        <f>IF(H10="","—",IF(H10&lt;=100,"🟢 ضمن الهدف",IF(H10&lt;=150,"🟡 تجاوز بسيط","🔴 فاقد عالٍ")))</f>
        <v/>
      </c>
    </row>
    <row r="11" ht="15" customHeight="1" s="40">
      <c r="A11" s="85" t="n">
        <v>7</v>
      </c>
      <c r="B11" s="86" t="n"/>
      <c r="C11" s="87" t="n"/>
      <c r="D11" s="87" t="n"/>
      <c r="E11" s="87" t="n"/>
      <c r="F11" s="89" t="n"/>
      <c r="G11" s="89" t="n"/>
      <c r="H11" s="90">
        <f>IF(OR(F11="",F11=0),"",(G11/F11)*33000)</f>
        <v/>
      </c>
      <c r="I11" s="56">
        <f>IF(H11="","—",IF(H11&lt;=100,"🟢 ضمن الهدف",IF(H11&lt;=150,"🟡 تجاوز بسيط","🔴 فاقد عالٍ")))</f>
        <v/>
      </c>
    </row>
    <row r="12" ht="15" customHeight="1" s="40">
      <c r="A12" s="85" t="n">
        <v>8</v>
      </c>
      <c r="B12" s="86" t="n"/>
      <c r="C12" s="87" t="n"/>
      <c r="D12" s="87" t="n"/>
      <c r="E12" s="87" t="n"/>
      <c r="F12" s="89" t="n"/>
      <c r="G12" s="89" t="n"/>
      <c r="H12" s="90">
        <f>IF(OR(F12="",F12=0),"",(G12/F12)*33000)</f>
        <v/>
      </c>
      <c r="I12" s="56">
        <f>IF(H12="","—",IF(H12&lt;=100,"🟢 ضمن الهدف",IF(H12&lt;=150,"🟡 تجاوز بسيط","🔴 فاقد عالٍ")))</f>
        <v/>
      </c>
    </row>
    <row r="13" ht="15" customHeight="1" s="40">
      <c r="A13" s="85" t="n">
        <v>9</v>
      </c>
      <c r="B13" s="86" t="n"/>
      <c r="C13" s="87" t="n"/>
      <c r="D13" s="87" t="n"/>
      <c r="E13" s="87" t="n"/>
      <c r="F13" s="89" t="n"/>
      <c r="G13" s="89" t="n"/>
      <c r="H13" s="90">
        <f>IF(OR(F13="",F13=0),"",(G13/F13)*33000)</f>
        <v/>
      </c>
      <c r="I13" s="56">
        <f>IF(H13="","—",IF(H13&lt;=100,"🟢 ضمن الهدف",IF(H13&lt;=150,"🟡 تجاوز بسيط","🔴 فاقد عالٍ")))</f>
        <v/>
      </c>
    </row>
    <row r="14" ht="15" customHeight="1" s="40">
      <c r="A14" s="85" t="n">
        <v>10</v>
      </c>
      <c r="B14" s="86" t="n"/>
      <c r="C14" s="87" t="n"/>
      <c r="D14" s="87" t="n"/>
      <c r="E14" s="87" t="n"/>
      <c r="F14" s="89" t="n"/>
      <c r="G14" s="89" t="n"/>
      <c r="H14" s="90">
        <f>IF(OR(F14="",F14=0),"",(G14/F14)*33000)</f>
        <v/>
      </c>
      <c r="I14" s="56">
        <f>IF(H14="","—",IF(H14&lt;=100,"🟢 ضمن الهدف",IF(H14&lt;=150,"🟡 تجاوز بسيط","🔴 فاقد عالٍ")))</f>
        <v/>
      </c>
    </row>
    <row r="15" ht="15" customHeight="1" s="40">
      <c r="A15" s="85" t="n">
        <v>11</v>
      </c>
      <c r="B15" s="86" t="n"/>
      <c r="C15" s="87" t="n"/>
      <c r="D15" s="87" t="n"/>
      <c r="E15" s="87" t="n"/>
      <c r="F15" s="89" t="n"/>
      <c r="G15" s="89" t="n"/>
      <c r="H15" s="90">
        <f>IF(OR(F15="",F15=0),"",(G15/F15)*33000)</f>
        <v/>
      </c>
      <c r="I15" s="56">
        <f>IF(H15="","—",IF(H15&lt;=100,"🟢 ضمن الهدف",IF(H15&lt;=150,"🟡 تجاوز بسيط","🔴 فاقد عالٍ")))</f>
        <v/>
      </c>
    </row>
    <row r="16" ht="15" customHeight="1" s="40">
      <c r="A16" s="85" t="n">
        <v>12</v>
      </c>
      <c r="B16" s="86" t="n"/>
      <c r="C16" s="87" t="n"/>
      <c r="D16" s="87" t="n"/>
      <c r="E16" s="87" t="n"/>
      <c r="F16" s="89" t="n"/>
      <c r="G16" s="89" t="n"/>
      <c r="H16" s="90">
        <f>IF(OR(F16="",F16=0),"",(G16/F16)*33000)</f>
        <v/>
      </c>
      <c r="I16" s="56">
        <f>IF(H16="","—",IF(H16&lt;=100,"🟢 ضمن الهدف",IF(H16&lt;=150,"🟡 تجاوز بسيط","🔴 فاقد عالٍ")))</f>
        <v/>
      </c>
    </row>
    <row r="17" ht="15" customHeight="1" s="40">
      <c r="A17" s="85" t="n">
        <v>13</v>
      </c>
      <c r="B17" s="86" t="n"/>
      <c r="C17" s="87" t="n"/>
      <c r="D17" s="87" t="n"/>
      <c r="E17" s="87" t="n"/>
      <c r="F17" s="89" t="n"/>
      <c r="G17" s="89" t="n"/>
      <c r="H17" s="90">
        <f>IF(OR(F17="",F17=0),"",(G17/F17)*33000)</f>
        <v/>
      </c>
      <c r="I17" s="56">
        <f>IF(H17="","—",IF(H17&lt;=100,"🟢 ضمن الهدف",IF(H17&lt;=150,"🟡 تجاوز بسيط","🔴 فاقد عالٍ")))</f>
        <v/>
      </c>
    </row>
    <row r="18" ht="15" customHeight="1" s="40">
      <c r="A18" s="85" t="n">
        <v>14</v>
      </c>
      <c r="B18" s="86" t="n"/>
      <c r="C18" s="87" t="n"/>
      <c r="D18" s="87" t="n"/>
      <c r="E18" s="87" t="n"/>
      <c r="F18" s="89" t="n"/>
      <c r="G18" s="89" t="n"/>
      <c r="H18" s="90">
        <f>IF(OR(F18="",F18=0),"",(G18/F18)*33000)</f>
        <v/>
      </c>
      <c r="I18" s="56">
        <f>IF(H18="","—",IF(H18&lt;=100,"🟢 ضمن الهدف",IF(H18&lt;=150,"🟡 تجاوز بسيط","🔴 فاقد عالٍ")))</f>
        <v/>
      </c>
    </row>
    <row r="19" ht="15" customHeight="1" s="40">
      <c r="A19" s="85" t="n">
        <v>15</v>
      </c>
      <c r="B19" s="86" t="n"/>
      <c r="C19" s="87" t="n"/>
      <c r="D19" s="87" t="n"/>
      <c r="E19" s="87" t="n"/>
      <c r="F19" s="89" t="n"/>
      <c r="G19" s="89" t="n"/>
      <c r="H19" s="90">
        <f>IF(OR(F19="",F19=0),"",(G19/F19)*33000)</f>
        <v/>
      </c>
      <c r="I19" s="56">
        <f>IF(H19="","—",IF(H19&lt;=100,"🟢 ضمن الهدف",IF(H19&lt;=150,"🟡 تجاوز بسيط","🔴 فاقد عالٍ")))</f>
        <v/>
      </c>
    </row>
    <row r="20" ht="15" customHeight="1" s="40">
      <c r="A20" s="85" t="n">
        <v>16</v>
      </c>
      <c r="B20" s="86" t="n"/>
      <c r="C20" s="87" t="n"/>
      <c r="D20" s="87" t="n"/>
      <c r="E20" s="87" t="n"/>
      <c r="F20" s="89" t="n"/>
      <c r="G20" s="89" t="n"/>
      <c r="H20" s="90">
        <f>IF(OR(F20="",F20=0),"",(G20/F20)*33000)</f>
        <v/>
      </c>
      <c r="I20" s="56">
        <f>IF(H20="","—",IF(H20&lt;=100,"🟢 ضمن الهدف",IF(H20&lt;=150,"🟡 تجاوز بسيط","🔴 فاقد عالٍ")))</f>
        <v/>
      </c>
    </row>
    <row r="21" ht="15" customHeight="1" s="40">
      <c r="A21" s="85" t="n">
        <v>17</v>
      </c>
      <c r="B21" s="86" t="n"/>
      <c r="C21" s="87" t="n"/>
      <c r="D21" s="87" t="n"/>
      <c r="E21" s="87" t="n"/>
      <c r="F21" s="89" t="n"/>
      <c r="G21" s="89" t="n"/>
      <c r="H21" s="90">
        <f>IF(OR(F21="",F21=0),"",(G21/F21)*33000)</f>
        <v/>
      </c>
      <c r="I21" s="56">
        <f>IF(H21="","—",IF(H21&lt;=100,"🟢 ضمن الهدف",IF(H21&lt;=150,"🟡 تجاوز بسيط","🔴 فاقد عالٍ")))</f>
        <v/>
      </c>
    </row>
    <row r="22" ht="15" customHeight="1" s="40">
      <c r="A22" s="85" t="n">
        <v>18</v>
      </c>
      <c r="B22" s="86" t="n"/>
      <c r="C22" s="87" t="n"/>
      <c r="D22" s="87" t="n"/>
      <c r="E22" s="87" t="n"/>
      <c r="F22" s="89" t="n"/>
      <c r="G22" s="89" t="n"/>
      <c r="H22" s="90">
        <f>IF(OR(F22="",F22=0),"",(G22/F22)*33000)</f>
        <v/>
      </c>
      <c r="I22" s="56">
        <f>IF(H22="","—",IF(H22&lt;=100,"🟢 ضمن الهدف",IF(H22&lt;=150,"🟡 تجاوز بسيط","🔴 فاقد عالٍ")))</f>
        <v/>
      </c>
    </row>
    <row r="23" ht="15" customHeight="1" s="40">
      <c r="A23" s="85" t="n">
        <v>19</v>
      </c>
      <c r="B23" s="86" t="n"/>
      <c r="C23" s="87" t="n"/>
      <c r="D23" s="87" t="n"/>
      <c r="E23" s="87" t="n"/>
      <c r="F23" s="89" t="n"/>
      <c r="G23" s="89" t="n"/>
      <c r="H23" s="90">
        <f>IF(OR(F23="",F23=0),"",(G23/F23)*33000)</f>
        <v/>
      </c>
      <c r="I23" s="56">
        <f>IF(H23="","—",IF(H23&lt;=100,"🟢 ضمن الهدف",IF(H23&lt;=150,"🟡 تجاوز بسيط","🔴 فاقد عالٍ")))</f>
        <v/>
      </c>
    </row>
    <row r="24" ht="15" customHeight="1" s="40">
      <c r="A24" s="85" t="n">
        <v>20</v>
      </c>
      <c r="B24" s="86" t="n"/>
      <c r="C24" s="87" t="n"/>
      <c r="D24" s="87" t="n"/>
      <c r="E24" s="87" t="n"/>
      <c r="F24" s="89" t="n"/>
      <c r="G24" s="89" t="n"/>
      <c r="H24" s="90">
        <f>IF(OR(F24="",F24=0),"",(G24/F24)*33000)</f>
        <v/>
      </c>
      <c r="I24" s="56">
        <f>IF(H24="","—",IF(H24&lt;=100,"🟢 ضمن الهدف",IF(H24&lt;=150,"🟡 تجاوز بسيط","🔴 فاقد عالٍ")))</f>
        <v/>
      </c>
    </row>
    <row r="25" ht="15" customHeight="1" s="40">
      <c r="A25" s="85" t="n">
        <v>21</v>
      </c>
      <c r="B25" s="86" t="n"/>
      <c r="C25" s="87" t="n"/>
      <c r="D25" s="87" t="n"/>
      <c r="E25" s="87" t="n"/>
      <c r="F25" s="89" t="n"/>
      <c r="G25" s="89" t="n"/>
      <c r="H25" s="90">
        <f>IF(OR(F25="",F25=0),"",(G25/F25)*33000)</f>
        <v/>
      </c>
      <c r="I25" s="56">
        <f>IF(H25="","—",IF(H25&lt;=100,"🟢 ضمن الهدف",IF(H25&lt;=150,"🟡 تجاوز بسيط","🔴 فاقد عالٍ")))</f>
        <v/>
      </c>
    </row>
    <row r="26" ht="15" customHeight="1" s="40">
      <c r="A26" s="85" t="n">
        <v>22</v>
      </c>
      <c r="B26" s="86" t="n"/>
      <c r="C26" s="87" t="n"/>
      <c r="D26" s="87" t="n"/>
      <c r="E26" s="87" t="n"/>
      <c r="F26" s="89" t="n"/>
      <c r="G26" s="89" t="n"/>
      <c r="H26" s="90">
        <f>IF(OR(F26="",F26=0),"",(G26/F26)*33000)</f>
        <v/>
      </c>
      <c r="I26" s="56">
        <f>IF(H26="","—",IF(H26&lt;=100,"🟢 ضمن الهدف",IF(H26&lt;=150,"🟡 تجاوز بسيط","🔴 فاقد عالٍ")))</f>
        <v/>
      </c>
    </row>
    <row r="27" ht="15" customHeight="1" s="40">
      <c r="A27" s="85" t="n">
        <v>23</v>
      </c>
      <c r="B27" s="86" t="n"/>
      <c r="C27" s="87" t="n"/>
      <c r="D27" s="87" t="n"/>
      <c r="E27" s="87" t="n"/>
      <c r="F27" s="89" t="n"/>
      <c r="G27" s="89" t="n"/>
      <c r="H27" s="90">
        <f>IF(OR(F27="",F27=0),"",(G27/F27)*33000)</f>
        <v/>
      </c>
      <c r="I27" s="56">
        <f>IF(H27="","—",IF(H27&lt;=100,"🟢 ضمن الهدف",IF(H27&lt;=150,"🟡 تجاوز بسيط","🔴 فاقد عالٍ")))</f>
        <v/>
      </c>
    </row>
    <row r="28" ht="15" customHeight="1" s="40">
      <c r="A28" s="85" t="n">
        <v>24</v>
      </c>
      <c r="B28" s="86" t="n"/>
      <c r="C28" s="87" t="n"/>
      <c r="D28" s="87" t="n"/>
      <c r="E28" s="87" t="n"/>
      <c r="F28" s="89" t="n"/>
      <c r="G28" s="89" t="n"/>
      <c r="H28" s="90">
        <f>IF(OR(F28="",F28=0),"",(G28/F28)*33000)</f>
        <v/>
      </c>
      <c r="I28" s="56">
        <f>IF(H28="","—",IF(H28&lt;=100,"🟢 ضمن الهدف",IF(H28&lt;=150,"🟡 تجاوز بسيط","🔴 فاقد عالٍ")))</f>
        <v/>
      </c>
    </row>
    <row r="29" ht="15" customHeight="1" s="40">
      <c r="A29" s="85" t="n">
        <v>25</v>
      </c>
      <c r="B29" s="86" t="n"/>
      <c r="C29" s="87" t="n"/>
      <c r="D29" s="87" t="n"/>
      <c r="E29" s="87" t="n"/>
      <c r="F29" s="89" t="n"/>
      <c r="G29" s="89" t="n"/>
      <c r="H29" s="90">
        <f>IF(OR(F29="",F29=0),"",(G29/F29)*33000)</f>
        <v/>
      </c>
      <c r="I29" s="56">
        <f>IF(H29="","—",IF(H29&lt;=100,"🟢 ضمن الهدف",IF(H29&lt;=150,"🟡 تجاوز بسيط","🔴 فاقد عالٍ")))</f>
        <v/>
      </c>
    </row>
    <row r="30" ht="15" customHeight="1" s="40">
      <c r="A30" s="85" t="n">
        <v>26</v>
      </c>
      <c r="B30" s="86" t="n"/>
      <c r="C30" s="87" t="n"/>
      <c r="D30" s="87" t="n"/>
      <c r="E30" s="87" t="n"/>
      <c r="F30" s="89" t="n"/>
      <c r="G30" s="89" t="n"/>
      <c r="H30" s="90">
        <f>IF(OR(F30="",F30=0),"",(G30/F30)*33000)</f>
        <v/>
      </c>
      <c r="I30" s="56">
        <f>IF(H30="","—",IF(H30&lt;=100,"🟢 ضمن الهدف",IF(H30&lt;=150,"🟡 تجاوز بسيط","🔴 فاقد عالٍ")))</f>
        <v/>
      </c>
    </row>
    <row r="31" ht="15" customHeight="1" s="40">
      <c r="A31" s="85" t="n">
        <v>27</v>
      </c>
      <c r="B31" s="86" t="n"/>
      <c r="C31" s="87" t="n"/>
      <c r="D31" s="87" t="n"/>
      <c r="E31" s="87" t="n"/>
      <c r="F31" s="89" t="n"/>
      <c r="G31" s="89" t="n"/>
      <c r="H31" s="90">
        <f>IF(OR(F31="",F31=0),"",(G31/F31)*33000)</f>
        <v/>
      </c>
      <c r="I31" s="56">
        <f>IF(H31="","—",IF(H31&lt;=100,"🟢 ضمن الهدف",IF(H31&lt;=150,"🟡 تجاوز بسيط","🔴 فاقد عالٍ")))</f>
        <v/>
      </c>
    </row>
    <row r="32" ht="15" customHeight="1" s="40">
      <c r="A32" s="85" t="n">
        <v>28</v>
      </c>
      <c r="B32" s="86" t="n"/>
      <c r="C32" s="87" t="n"/>
      <c r="D32" s="87" t="n"/>
      <c r="E32" s="87" t="n"/>
      <c r="F32" s="89" t="n"/>
      <c r="G32" s="89" t="n"/>
      <c r="H32" s="90">
        <f>IF(OR(F32="",F32=0),"",(G32/F32)*33000)</f>
        <v/>
      </c>
      <c r="I32" s="56">
        <f>IF(H32="","—",IF(H32&lt;=100,"🟢 ضمن الهدف",IF(H32&lt;=150,"🟡 تجاوز بسيط","🔴 فاقد عالٍ")))</f>
        <v/>
      </c>
    </row>
    <row r="33" ht="15" customHeight="1" s="40">
      <c r="A33" s="85" t="n">
        <v>29</v>
      </c>
      <c r="B33" s="86" t="n"/>
      <c r="C33" s="87" t="n"/>
      <c r="D33" s="87" t="n"/>
      <c r="E33" s="87" t="n"/>
      <c r="F33" s="89" t="n"/>
      <c r="G33" s="89" t="n"/>
      <c r="H33" s="90">
        <f>IF(OR(F33="",F33=0),"",(G33/F33)*33000)</f>
        <v/>
      </c>
      <c r="I33" s="56">
        <f>IF(H33="","—",IF(H33&lt;=100,"🟢 ضمن الهدف",IF(H33&lt;=150,"🟡 تجاوز بسيط","🔴 فاقد عالٍ")))</f>
        <v/>
      </c>
    </row>
    <row r="34" ht="15" customHeight="1" s="40">
      <c r="A34" s="85" t="n">
        <v>30</v>
      </c>
      <c r="B34" s="86" t="n"/>
      <c r="C34" s="87" t="n"/>
      <c r="D34" s="87" t="n"/>
      <c r="E34" s="87" t="n"/>
      <c r="F34" s="89" t="n"/>
      <c r="G34" s="89" t="n"/>
      <c r="H34" s="90">
        <f>IF(OR(F34="",F34=0),"",(G34/F34)*33000)</f>
        <v/>
      </c>
      <c r="I34" s="56">
        <f>IF(H34="","—",IF(H34&lt;=100,"🟢 ضمن الهدف",IF(H34&lt;=150,"🟡 تجاوز بسيط","🔴 فاقد عالٍ")))</f>
        <v/>
      </c>
    </row>
    <row r="35" ht="15" customHeight="1" s="40">
      <c r="A35" s="85" t="n">
        <v>31</v>
      </c>
      <c r="B35" s="86" t="n"/>
      <c r="C35" s="87" t="n"/>
      <c r="D35" s="87" t="n"/>
      <c r="E35" s="87" t="n"/>
      <c r="F35" s="89" t="n"/>
      <c r="G35" s="89" t="n"/>
      <c r="H35" s="90">
        <f>IF(OR(F35="",F35=0),"",(G35/F35)*33000)</f>
        <v/>
      </c>
      <c r="I35" s="56">
        <f>IF(H35="","—",IF(H35&lt;=100,"🟢 ضمن الهدف",IF(H35&lt;=150,"🟡 تجاوز بسيط","🔴 فاقد عالٍ")))</f>
        <v/>
      </c>
    </row>
    <row r="36" ht="15" customHeight="1" s="40">
      <c r="A36" s="85" t="n">
        <v>32</v>
      </c>
      <c r="B36" s="86" t="n"/>
      <c r="C36" s="87" t="n"/>
      <c r="D36" s="87" t="n"/>
      <c r="E36" s="87" t="n"/>
      <c r="F36" s="89" t="n"/>
      <c r="G36" s="89" t="n"/>
      <c r="H36" s="90">
        <f>IF(OR(F36="",F36=0),"",(G36/F36)*33000)</f>
        <v/>
      </c>
      <c r="I36" s="56">
        <f>IF(H36="","—",IF(H36&lt;=100,"🟢 ضمن الهدف",IF(H36&lt;=150,"🟡 تجاوز بسيط","🔴 فاقد عالٍ")))</f>
        <v/>
      </c>
    </row>
    <row r="37" ht="15" customHeight="1" s="40">
      <c r="A37" s="85" t="n">
        <v>33</v>
      </c>
      <c r="B37" s="86" t="n"/>
      <c r="C37" s="87" t="n"/>
      <c r="D37" s="87" t="n"/>
      <c r="E37" s="87" t="n"/>
      <c r="F37" s="89" t="n"/>
      <c r="G37" s="89" t="n"/>
      <c r="H37" s="90">
        <f>IF(OR(F37="",F37=0),"",(G37/F37)*33000)</f>
        <v/>
      </c>
      <c r="I37" s="56">
        <f>IF(H37="","—",IF(H37&lt;=100,"🟢 ضمن الهدف",IF(H37&lt;=150,"🟡 تجاوز بسيط","🔴 فاقد عالٍ")))</f>
        <v/>
      </c>
    </row>
    <row r="38" ht="15" customHeight="1" s="40">
      <c r="A38" s="85" t="n">
        <v>34</v>
      </c>
      <c r="B38" s="86" t="n"/>
      <c r="C38" s="87" t="n"/>
      <c r="D38" s="87" t="n"/>
      <c r="E38" s="87" t="n"/>
      <c r="F38" s="89" t="n"/>
      <c r="G38" s="89" t="n"/>
      <c r="H38" s="90">
        <f>IF(OR(F38="",F38=0),"",(G38/F38)*33000)</f>
        <v/>
      </c>
      <c r="I38" s="56">
        <f>IF(H38="","—",IF(H38&lt;=100,"🟢 ضمن الهدف",IF(H38&lt;=150,"🟡 تجاوز بسيط","🔴 فاقد عالٍ")))</f>
        <v/>
      </c>
    </row>
    <row r="39" ht="15" customHeight="1" s="40">
      <c r="A39" s="85" t="n">
        <v>35</v>
      </c>
      <c r="B39" s="86" t="n"/>
      <c r="C39" s="87" t="n"/>
      <c r="D39" s="87" t="n"/>
      <c r="E39" s="87" t="n"/>
      <c r="F39" s="89" t="n"/>
      <c r="G39" s="89" t="n"/>
      <c r="H39" s="90">
        <f>IF(OR(F39="",F39=0),"",(G39/F39)*33000)</f>
        <v/>
      </c>
      <c r="I39" s="56">
        <f>IF(H39="","—",IF(H39&lt;=100,"🟢 ضمن الهدف",IF(H39&lt;=150,"🟡 تجاوز بسيط","🔴 فاقد عالٍ")))</f>
        <v/>
      </c>
    </row>
    <row r="40" ht="15" customHeight="1" s="40">
      <c r="A40" s="85" t="n">
        <v>36</v>
      </c>
      <c r="B40" s="86" t="n"/>
      <c r="C40" s="87" t="n"/>
      <c r="D40" s="87" t="n"/>
      <c r="E40" s="87" t="n"/>
      <c r="F40" s="89" t="n"/>
      <c r="G40" s="89" t="n"/>
      <c r="H40" s="90">
        <f>IF(OR(F40="",F40=0),"",(G40/F40)*33000)</f>
        <v/>
      </c>
      <c r="I40" s="56">
        <f>IF(H40="","—",IF(H40&lt;=100,"🟢 ضمن الهدف",IF(H40&lt;=150,"🟡 تجاوز بسيط","🔴 فاقد عالٍ")))</f>
        <v/>
      </c>
    </row>
    <row r="41" ht="15" customHeight="1" s="40">
      <c r="A41" s="85" t="n">
        <v>37</v>
      </c>
      <c r="B41" s="86" t="n"/>
      <c r="C41" s="87" t="n"/>
      <c r="D41" s="87" t="n"/>
      <c r="E41" s="87" t="n"/>
      <c r="F41" s="89" t="n"/>
      <c r="G41" s="89" t="n"/>
      <c r="H41" s="90">
        <f>IF(OR(F41="",F41=0),"",(G41/F41)*33000)</f>
        <v/>
      </c>
      <c r="I41" s="56">
        <f>IF(H41="","—",IF(H41&lt;=100,"🟢 ضمن الهدف",IF(H41&lt;=150,"🟡 تجاوز بسيط","🔴 فاقد عالٍ")))</f>
        <v/>
      </c>
    </row>
    <row r="42" ht="15" customHeight="1" s="40">
      <c r="A42" s="85" t="n">
        <v>38</v>
      </c>
      <c r="B42" s="86" t="n"/>
      <c r="C42" s="87" t="n"/>
      <c r="D42" s="87" t="n"/>
      <c r="E42" s="87" t="n"/>
      <c r="F42" s="89" t="n"/>
      <c r="G42" s="89" t="n"/>
      <c r="H42" s="90">
        <f>IF(OR(F42="",F42=0),"",(G42/F42)*33000)</f>
        <v/>
      </c>
      <c r="I42" s="56">
        <f>IF(H42="","—",IF(H42&lt;=100,"🟢 ضمن الهدف",IF(H42&lt;=150,"🟡 تجاوز بسيط","🔴 فاقد عالٍ")))</f>
        <v/>
      </c>
    </row>
    <row r="43" ht="15" customHeight="1" s="40">
      <c r="A43" s="85" t="n">
        <v>39</v>
      </c>
      <c r="B43" s="86" t="n"/>
      <c r="C43" s="87" t="n"/>
      <c r="D43" s="87" t="n"/>
      <c r="E43" s="87" t="n"/>
      <c r="F43" s="89" t="n"/>
      <c r="G43" s="89" t="n"/>
      <c r="H43" s="90">
        <f>IF(OR(F43="",F43=0),"",(G43/F43)*33000)</f>
        <v/>
      </c>
      <c r="I43" s="56">
        <f>IF(H43="","—",IF(H43&lt;=100,"🟢 ضمن الهدف",IF(H43&lt;=150,"🟡 تجاوز بسيط","🔴 فاقد عالٍ")))</f>
        <v/>
      </c>
    </row>
    <row r="44" ht="15" customHeight="1" s="40">
      <c r="A44" s="85" t="n">
        <v>40</v>
      </c>
      <c r="B44" s="86" t="n"/>
      <c r="C44" s="87" t="n"/>
      <c r="D44" s="87" t="n"/>
      <c r="E44" s="87" t="n"/>
      <c r="F44" s="89" t="n"/>
      <c r="G44" s="89" t="n"/>
      <c r="H44" s="90">
        <f>IF(OR(F44="",F44=0),"",(G44/F44)*33000)</f>
        <v/>
      </c>
      <c r="I44" s="56">
        <f>IF(H44="","—",IF(H44&lt;=100,"🟢 ضمن الهدف",IF(H44&lt;=150,"🟡 تجاوز بسيط","🔴 فاقد عالٍ")))</f>
        <v/>
      </c>
    </row>
    <row r="45" ht="15" customHeight="1" s="40">
      <c r="A45" s="85" t="n">
        <v>41</v>
      </c>
      <c r="B45" s="86" t="n"/>
      <c r="C45" s="87" t="n"/>
      <c r="D45" s="87" t="n"/>
      <c r="E45" s="87" t="n"/>
      <c r="F45" s="89" t="n"/>
      <c r="G45" s="89" t="n"/>
      <c r="H45" s="90">
        <f>IF(OR(F45="",F45=0),"",(G45/F45)*33000)</f>
        <v/>
      </c>
      <c r="I45" s="56">
        <f>IF(H45="","—",IF(H45&lt;=100,"🟢 ضمن الهدف",IF(H45&lt;=150,"🟡 تجاوز بسيط","🔴 فاقد عالٍ")))</f>
        <v/>
      </c>
    </row>
    <row r="46" ht="15" customHeight="1" s="40">
      <c r="A46" s="85" t="n">
        <v>42</v>
      </c>
      <c r="B46" s="86" t="n"/>
      <c r="C46" s="87" t="n"/>
      <c r="D46" s="87" t="n"/>
      <c r="E46" s="87" t="n"/>
      <c r="F46" s="89" t="n"/>
      <c r="G46" s="89" t="n"/>
      <c r="H46" s="90">
        <f>IF(OR(F46="",F46=0),"",(G46/F46)*33000)</f>
        <v/>
      </c>
      <c r="I46" s="56">
        <f>IF(H46="","—",IF(H46&lt;=100,"🟢 ضمن الهدف",IF(H46&lt;=150,"🟡 تجاوز بسيط","🔴 فاقد عالٍ")))</f>
        <v/>
      </c>
    </row>
    <row r="47" ht="15" customHeight="1" s="40">
      <c r="A47" s="85" t="n">
        <v>43</v>
      </c>
      <c r="B47" s="86" t="n"/>
      <c r="C47" s="87" t="n"/>
      <c r="D47" s="87" t="n"/>
      <c r="E47" s="87" t="n"/>
      <c r="F47" s="89" t="n"/>
      <c r="G47" s="89" t="n"/>
      <c r="H47" s="90">
        <f>IF(OR(F47="",F47=0),"",(G47/F47)*33000)</f>
        <v/>
      </c>
      <c r="I47" s="56">
        <f>IF(H47="","—",IF(H47&lt;=100,"🟢 ضمن الهدف",IF(H47&lt;=150,"🟡 تجاوز بسيط","🔴 فاقد عالٍ")))</f>
        <v/>
      </c>
    </row>
    <row r="48" ht="15" customHeight="1" s="40">
      <c r="A48" s="85" t="n">
        <v>44</v>
      </c>
      <c r="B48" s="86" t="n"/>
      <c r="C48" s="87" t="n"/>
      <c r="D48" s="87" t="n"/>
      <c r="E48" s="87" t="n"/>
      <c r="F48" s="89" t="n"/>
      <c r="G48" s="89" t="n"/>
      <c r="H48" s="90">
        <f>IF(OR(F48="",F48=0),"",(G48/F48)*33000)</f>
        <v/>
      </c>
      <c r="I48" s="56">
        <f>IF(H48="","—",IF(H48&lt;=100,"🟢 ضمن الهدف",IF(H48&lt;=150,"🟡 تجاوز بسيط","🔴 فاقد عالٍ")))</f>
        <v/>
      </c>
    </row>
    <row r="49" ht="15" customHeight="1" s="40">
      <c r="A49" s="85" t="n">
        <v>45</v>
      </c>
      <c r="B49" s="86" t="n"/>
      <c r="C49" s="87" t="n"/>
      <c r="D49" s="87" t="n"/>
      <c r="E49" s="87" t="n"/>
      <c r="F49" s="89" t="n"/>
      <c r="G49" s="89" t="n"/>
      <c r="H49" s="90">
        <f>IF(OR(F49="",F49=0),"",(G49/F49)*33000)</f>
        <v/>
      </c>
      <c r="I49" s="56">
        <f>IF(H49="","—",IF(H49&lt;=100,"🟢 ضمن الهدف",IF(H49&lt;=150,"🟡 تجاوز بسيط","🔴 فاقد عالٍ")))</f>
        <v/>
      </c>
    </row>
    <row r="50" ht="15" customHeight="1" s="40">
      <c r="A50" s="85" t="n">
        <v>46</v>
      </c>
      <c r="B50" s="86" t="n"/>
      <c r="C50" s="87" t="n"/>
      <c r="D50" s="87" t="n"/>
      <c r="E50" s="87" t="n"/>
      <c r="F50" s="89" t="n"/>
      <c r="G50" s="89" t="n"/>
      <c r="H50" s="90">
        <f>IF(OR(F50="",F50=0),"",(G50/F50)*33000)</f>
        <v/>
      </c>
      <c r="I50" s="56">
        <f>IF(H50="","—",IF(H50&lt;=100,"🟢 ضمن الهدف",IF(H50&lt;=150,"🟡 تجاوز بسيط","🔴 فاقد عالٍ")))</f>
        <v/>
      </c>
    </row>
    <row r="51" ht="15" customHeight="1" s="40">
      <c r="A51" s="85" t="n">
        <v>47</v>
      </c>
      <c r="B51" s="86" t="n"/>
      <c r="C51" s="87" t="n"/>
      <c r="D51" s="87" t="n"/>
      <c r="E51" s="87" t="n"/>
      <c r="F51" s="89" t="n"/>
      <c r="G51" s="89" t="n"/>
      <c r="H51" s="90">
        <f>IF(OR(F51="",F51=0),"",(G51/F51)*33000)</f>
        <v/>
      </c>
      <c r="I51" s="56">
        <f>IF(H51="","—",IF(H51&lt;=100,"🟢 ضمن الهدف",IF(H51&lt;=150,"🟡 تجاوز بسيط","🔴 فاقد عالٍ")))</f>
        <v/>
      </c>
    </row>
    <row r="52" ht="15" customHeight="1" s="40">
      <c r="A52" s="85" t="n">
        <v>48</v>
      </c>
      <c r="B52" s="86" t="n"/>
      <c r="C52" s="87" t="n"/>
      <c r="D52" s="87" t="n"/>
      <c r="E52" s="87" t="n"/>
      <c r="F52" s="89" t="n"/>
      <c r="G52" s="89" t="n"/>
      <c r="H52" s="90">
        <f>IF(OR(F52="",F52=0),"",(G52/F52)*33000)</f>
        <v/>
      </c>
      <c r="I52" s="56">
        <f>IF(H52="","—",IF(H52&lt;=100,"🟢 ضمن الهدف",IF(H52&lt;=150,"🟡 تجاوز بسيط","🔴 فاقد عالٍ")))</f>
        <v/>
      </c>
    </row>
    <row r="53" ht="15" customHeight="1" s="40">
      <c r="A53" s="85" t="n">
        <v>49</v>
      </c>
      <c r="B53" s="86" t="n"/>
      <c r="C53" s="87" t="n"/>
      <c r="D53" s="87" t="n"/>
      <c r="E53" s="87" t="n"/>
      <c r="F53" s="89" t="n"/>
      <c r="G53" s="89" t="n"/>
      <c r="H53" s="90">
        <f>IF(OR(F53="",F53=0),"",(G53/F53)*33000)</f>
        <v/>
      </c>
      <c r="I53" s="56">
        <f>IF(H53="","—",IF(H53&lt;=100,"🟢 ضمن الهدف",IF(H53&lt;=150,"🟡 تجاوز بسيط","🔴 فاقد عالٍ")))</f>
        <v/>
      </c>
    </row>
    <row r="54" ht="15" customHeight="1" s="40">
      <c r="A54" s="85" t="n">
        <v>50</v>
      </c>
      <c r="B54" s="86" t="n"/>
      <c r="C54" s="87" t="n"/>
      <c r="D54" s="87" t="n"/>
      <c r="E54" s="87" t="n"/>
      <c r="F54" s="89" t="n"/>
      <c r="G54" s="89" t="n"/>
      <c r="H54" s="90">
        <f>IF(OR(F54="",F54=0),"",(G54/F54)*33000)</f>
        <v/>
      </c>
      <c r="I54" s="56">
        <f>IF(H54="","—",IF(H54&lt;=100,"🟢 ضمن الهدف",IF(H54&lt;=150,"🟡 تجاوز بسيط","🔴 فاقد عالٍ")))</f>
        <v/>
      </c>
    </row>
    <row r="55" ht="15" customHeight="1" s="40">
      <c r="A55" s="85" t="n">
        <v>51</v>
      </c>
      <c r="B55" s="86" t="n"/>
      <c r="C55" s="87" t="n"/>
      <c r="D55" s="87" t="n"/>
      <c r="E55" s="87" t="n"/>
      <c r="F55" s="89" t="n"/>
      <c r="G55" s="89" t="n"/>
      <c r="H55" s="90">
        <f>IF(OR(F55="",F55=0),"",(G55/F55)*33000)</f>
        <v/>
      </c>
      <c r="I55" s="56">
        <f>IF(H55="","—",IF(H55&lt;=100,"🟢 ضمن الهدف",IF(H55&lt;=150,"🟡 تجاوز بسيط","🔴 فاقد عالٍ")))</f>
        <v/>
      </c>
    </row>
    <row r="56" ht="15" customHeight="1" s="40">
      <c r="A56" s="85" t="n">
        <v>52</v>
      </c>
      <c r="B56" s="86" t="n"/>
      <c r="C56" s="87" t="n"/>
      <c r="D56" s="87" t="n"/>
      <c r="E56" s="87" t="n"/>
      <c r="F56" s="89" t="n"/>
      <c r="G56" s="89" t="n"/>
      <c r="H56" s="90">
        <f>IF(OR(F56="",F56=0),"",(G56/F56)*33000)</f>
        <v/>
      </c>
      <c r="I56" s="56">
        <f>IF(H56="","—",IF(H56&lt;=100,"🟢 ضمن الهدف",IF(H56&lt;=150,"🟡 تجاوز بسيط","🔴 فاقد عالٍ")))</f>
        <v/>
      </c>
    </row>
    <row r="57" ht="15" customHeight="1" s="40">
      <c r="A57" s="85" t="n">
        <v>53</v>
      </c>
      <c r="B57" s="86" t="n"/>
      <c r="C57" s="87" t="n"/>
      <c r="D57" s="87" t="n"/>
      <c r="E57" s="87" t="n"/>
      <c r="F57" s="89" t="n"/>
      <c r="G57" s="89" t="n"/>
      <c r="H57" s="90">
        <f>IF(OR(F57="",F57=0),"",(G57/F57)*33000)</f>
        <v/>
      </c>
      <c r="I57" s="56">
        <f>IF(H57="","—",IF(H57&lt;=100,"🟢 ضمن الهدف",IF(H57&lt;=150,"🟡 تجاوز بسيط","🔴 فاقد عالٍ")))</f>
        <v/>
      </c>
    </row>
    <row r="58" ht="15" customHeight="1" s="40">
      <c r="A58" s="85" t="n">
        <v>54</v>
      </c>
      <c r="B58" s="86" t="n"/>
      <c r="C58" s="87" t="n"/>
      <c r="D58" s="87" t="n"/>
      <c r="E58" s="87" t="n"/>
      <c r="F58" s="89" t="n"/>
      <c r="G58" s="89" t="n"/>
      <c r="H58" s="90">
        <f>IF(OR(F58="",F58=0),"",(G58/F58)*33000)</f>
        <v/>
      </c>
      <c r="I58" s="56">
        <f>IF(H58="","—",IF(H58&lt;=100,"🟢 ضمن الهدف",IF(H58&lt;=150,"🟡 تجاوز بسيط","🔴 فاقد عالٍ")))</f>
        <v/>
      </c>
    </row>
    <row r="59" ht="15" customHeight="1" s="40">
      <c r="A59" s="85" t="n">
        <v>55</v>
      </c>
      <c r="B59" s="86" t="n"/>
      <c r="C59" s="87" t="n"/>
      <c r="D59" s="87" t="n"/>
      <c r="E59" s="87" t="n"/>
      <c r="F59" s="89" t="n"/>
      <c r="G59" s="89" t="n"/>
      <c r="H59" s="90">
        <f>IF(OR(F59="",F59=0),"",(G59/F59)*33000)</f>
        <v/>
      </c>
      <c r="I59" s="56">
        <f>IF(H59="","—",IF(H59&lt;=100,"🟢 ضمن الهدف",IF(H59&lt;=150,"🟡 تجاوز بسيط","🔴 فاقد عالٍ")))</f>
        <v/>
      </c>
    </row>
    <row r="60" ht="15" customHeight="1" s="40">
      <c r="A60" s="85" t="n">
        <v>56</v>
      </c>
      <c r="B60" s="86" t="n"/>
      <c r="C60" s="87" t="n"/>
      <c r="D60" s="87" t="n"/>
      <c r="E60" s="87" t="n"/>
      <c r="F60" s="89" t="n"/>
      <c r="G60" s="89" t="n"/>
      <c r="H60" s="90">
        <f>IF(OR(F60="",F60=0),"",(G60/F60)*33000)</f>
        <v/>
      </c>
      <c r="I60" s="56">
        <f>IF(H60="","—",IF(H60&lt;=100,"🟢 ضمن الهدف",IF(H60&lt;=150,"🟡 تجاوز بسيط","🔴 فاقد عالٍ")))</f>
        <v/>
      </c>
    </row>
    <row r="61" ht="15" customHeight="1" s="40">
      <c r="A61" s="85" t="n">
        <v>57</v>
      </c>
      <c r="B61" s="86" t="n"/>
      <c r="C61" s="87" t="n"/>
      <c r="D61" s="87" t="n"/>
      <c r="E61" s="87" t="n"/>
      <c r="F61" s="89" t="n"/>
      <c r="G61" s="89" t="n"/>
      <c r="H61" s="90">
        <f>IF(OR(F61="",F61=0),"",(G61/F61)*33000)</f>
        <v/>
      </c>
      <c r="I61" s="56">
        <f>IF(H61="","—",IF(H61&lt;=100,"🟢 ضمن الهدف",IF(H61&lt;=150,"🟡 تجاوز بسيط","🔴 فاقد عالٍ")))</f>
        <v/>
      </c>
    </row>
    <row r="62" ht="15" customHeight="1" s="40">
      <c r="A62" s="85" t="n">
        <v>58</v>
      </c>
      <c r="B62" s="86" t="n"/>
      <c r="C62" s="87" t="n"/>
      <c r="D62" s="87" t="n"/>
      <c r="E62" s="87" t="n"/>
      <c r="F62" s="89" t="n"/>
      <c r="G62" s="89" t="n"/>
      <c r="H62" s="90">
        <f>IF(OR(F62="",F62=0),"",(G62/F62)*33000)</f>
        <v/>
      </c>
      <c r="I62" s="56">
        <f>IF(H62="","—",IF(H62&lt;=100,"🟢 ضمن الهدف",IF(H62&lt;=150,"🟡 تجاوز بسيط","🔴 فاقد عالٍ")))</f>
        <v/>
      </c>
    </row>
    <row r="63" ht="15" customHeight="1" s="40">
      <c r="A63" s="85" t="n">
        <v>59</v>
      </c>
      <c r="B63" s="86" t="n"/>
      <c r="C63" s="87" t="n"/>
      <c r="D63" s="87" t="n"/>
      <c r="E63" s="87" t="n"/>
      <c r="F63" s="89" t="n"/>
      <c r="G63" s="89" t="n"/>
      <c r="H63" s="90">
        <f>IF(OR(F63="",F63=0),"",(G63/F63)*33000)</f>
        <v/>
      </c>
      <c r="I63" s="56">
        <f>IF(H63="","—",IF(H63&lt;=100,"🟢 ضمن الهدف",IF(H63&lt;=150,"🟡 تجاوز بسيط","🔴 فاقد عالٍ")))</f>
        <v/>
      </c>
    </row>
    <row r="64" ht="15" customHeight="1" s="40">
      <c r="A64" s="85" t="n">
        <v>60</v>
      </c>
      <c r="B64" s="86" t="n"/>
      <c r="C64" s="87" t="n"/>
      <c r="D64" s="87" t="n"/>
      <c r="E64" s="87" t="n"/>
      <c r="F64" s="89" t="n"/>
      <c r="G64" s="89" t="n"/>
      <c r="H64" s="90">
        <f>IF(OR(F64="",F64=0),"",(G64/F64)*33000)</f>
        <v/>
      </c>
      <c r="I64" s="56">
        <f>IF(H64="","—",IF(H64&lt;=100,"🟢 ضمن الهدف",IF(H64&lt;=150,"🟡 تجاوز بسيط","🔴 فاقد عالٍ")))</f>
        <v/>
      </c>
    </row>
    <row r="65" ht="15" customHeight="1" s="40">
      <c r="A65" s="85" t="n">
        <v>61</v>
      </c>
      <c r="B65" s="86" t="n"/>
      <c r="C65" s="87" t="n"/>
      <c r="D65" s="87" t="n"/>
      <c r="E65" s="87" t="n"/>
      <c r="F65" s="89" t="n"/>
      <c r="G65" s="89" t="n"/>
      <c r="H65" s="90">
        <f>IF(OR(F65="",F65=0),"",(G65/F65)*33000)</f>
        <v/>
      </c>
      <c r="I65" s="56">
        <f>IF(H65="","—",IF(H65&lt;=100,"🟢 ضمن الهدف",IF(H65&lt;=150,"🟡 تجاوز بسيط","🔴 فاقد عالٍ")))</f>
        <v/>
      </c>
    </row>
    <row r="66" ht="15" customHeight="1" s="40">
      <c r="A66" s="85" t="n">
        <v>62</v>
      </c>
      <c r="B66" s="86" t="n"/>
      <c r="C66" s="87" t="n"/>
      <c r="D66" s="87" t="n"/>
      <c r="E66" s="87" t="n"/>
      <c r="F66" s="89" t="n"/>
      <c r="G66" s="89" t="n"/>
      <c r="H66" s="90">
        <f>IF(OR(F66="",F66=0),"",(G66/F66)*33000)</f>
        <v/>
      </c>
      <c r="I66" s="56">
        <f>IF(H66="","—",IF(H66&lt;=100,"🟢 ضمن الهدف",IF(H66&lt;=150,"🟡 تجاوز بسيط","🔴 فاقد عالٍ")))</f>
        <v/>
      </c>
    </row>
    <row r="67" ht="15" customHeight="1" s="40">
      <c r="A67" s="85" t="n">
        <v>63</v>
      </c>
      <c r="B67" s="86" t="n"/>
      <c r="C67" s="87" t="n"/>
      <c r="D67" s="87" t="n"/>
      <c r="E67" s="87" t="n"/>
      <c r="F67" s="89" t="n"/>
      <c r="G67" s="89" t="n"/>
      <c r="H67" s="90">
        <f>IF(OR(F67="",F67=0),"",(G67/F67)*33000)</f>
        <v/>
      </c>
      <c r="I67" s="56">
        <f>IF(H67="","—",IF(H67&lt;=100,"🟢 ضمن الهدف",IF(H67&lt;=150,"🟡 تجاوز بسيط","🔴 فاقد عالٍ")))</f>
        <v/>
      </c>
    </row>
    <row r="68" ht="15" customHeight="1" s="40">
      <c r="A68" s="85" t="n">
        <v>64</v>
      </c>
      <c r="B68" s="86" t="n"/>
      <c r="C68" s="87" t="n"/>
      <c r="D68" s="87" t="n"/>
      <c r="E68" s="87" t="n"/>
      <c r="F68" s="89" t="n"/>
      <c r="G68" s="89" t="n"/>
      <c r="H68" s="90">
        <f>IF(OR(F68="",F68=0),"",(G68/F68)*33000)</f>
        <v/>
      </c>
      <c r="I68" s="56">
        <f>IF(H68="","—",IF(H68&lt;=100,"🟢 ضمن الهدف",IF(H68&lt;=150,"🟡 تجاوز بسيط","🔴 فاقد عالٍ")))</f>
        <v/>
      </c>
    </row>
    <row r="69" ht="15" customHeight="1" s="40">
      <c r="A69" s="85" t="n">
        <v>65</v>
      </c>
      <c r="B69" s="86" t="n"/>
      <c r="C69" s="87" t="n"/>
      <c r="D69" s="87" t="n"/>
      <c r="E69" s="87" t="n"/>
      <c r="F69" s="89" t="n"/>
      <c r="G69" s="89" t="n"/>
      <c r="H69" s="90">
        <f>IF(OR(F69="",F69=0),"",(G69/F69)*33000)</f>
        <v/>
      </c>
      <c r="I69" s="56">
        <f>IF(H69="","—",IF(H69&lt;=100,"🟢 ضمن الهدف",IF(H69&lt;=150,"🟡 تجاوز بسيط","🔴 فاقد عالٍ")))</f>
        <v/>
      </c>
    </row>
    <row r="70" ht="15" customHeight="1" s="40">
      <c r="A70" s="85" t="n">
        <v>66</v>
      </c>
      <c r="B70" s="86" t="n"/>
      <c r="C70" s="87" t="n"/>
      <c r="D70" s="87" t="n"/>
      <c r="E70" s="87" t="n"/>
      <c r="F70" s="89" t="n"/>
      <c r="G70" s="89" t="n"/>
      <c r="H70" s="90">
        <f>IF(OR(F70="",F70=0),"",(G70/F70)*33000)</f>
        <v/>
      </c>
      <c r="I70" s="56">
        <f>IF(H70="","—",IF(H70&lt;=100,"🟢 ضمن الهدف",IF(H70&lt;=150,"🟡 تجاوز بسيط","🔴 فاقد عالٍ")))</f>
        <v/>
      </c>
    </row>
    <row r="71" ht="15" customHeight="1" s="40">
      <c r="A71" s="85" t="n">
        <v>67</v>
      </c>
      <c r="B71" s="86" t="n"/>
      <c r="C71" s="87" t="n"/>
      <c r="D71" s="87" t="n"/>
      <c r="E71" s="87" t="n"/>
      <c r="F71" s="89" t="n"/>
      <c r="G71" s="89" t="n"/>
      <c r="H71" s="90">
        <f>IF(OR(F71="",F71=0),"",(G71/F71)*33000)</f>
        <v/>
      </c>
      <c r="I71" s="56">
        <f>IF(H71="","—",IF(H71&lt;=100,"🟢 ضمن الهدف",IF(H71&lt;=150,"🟡 تجاوز بسيط","🔴 فاقد عالٍ")))</f>
        <v/>
      </c>
    </row>
    <row r="72" ht="15" customHeight="1" s="40">
      <c r="A72" s="85" t="n">
        <v>68</v>
      </c>
      <c r="B72" s="86" t="n"/>
      <c r="C72" s="87" t="n"/>
      <c r="D72" s="87" t="n"/>
      <c r="E72" s="87" t="n"/>
      <c r="F72" s="89" t="n"/>
      <c r="G72" s="89" t="n"/>
      <c r="H72" s="90">
        <f>IF(OR(F72="",F72=0),"",(G72/F72)*33000)</f>
        <v/>
      </c>
      <c r="I72" s="56">
        <f>IF(H72="","—",IF(H72&lt;=100,"🟢 ضمن الهدف",IF(H72&lt;=150,"🟡 تجاوز بسيط","🔴 فاقد عالٍ")))</f>
        <v/>
      </c>
    </row>
    <row r="73" ht="15" customHeight="1" s="40">
      <c r="A73" s="85" t="n">
        <v>69</v>
      </c>
      <c r="B73" s="86" t="n"/>
      <c r="C73" s="87" t="n"/>
      <c r="D73" s="87" t="n"/>
      <c r="E73" s="87" t="n"/>
      <c r="F73" s="89" t="n"/>
      <c r="G73" s="89" t="n"/>
      <c r="H73" s="90">
        <f>IF(OR(F73="",F73=0),"",(G73/F73)*33000)</f>
        <v/>
      </c>
      <c r="I73" s="56">
        <f>IF(H73="","—",IF(H73&lt;=100,"🟢 ضمن الهدف",IF(H73&lt;=150,"🟡 تجاوز بسيط","🔴 فاقد عالٍ")))</f>
        <v/>
      </c>
    </row>
    <row r="74" ht="15" customHeight="1" s="40">
      <c r="A74" s="85" t="n">
        <v>70</v>
      </c>
      <c r="B74" s="86" t="n"/>
      <c r="C74" s="87" t="n"/>
      <c r="D74" s="87" t="n"/>
      <c r="E74" s="87" t="n"/>
      <c r="F74" s="89" t="n"/>
      <c r="G74" s="89" t="n"/>
      <c r="H74" s="90">
        <f>IF(OR(F74="",F74=0),"",(G74/F74)*33000)</f>
        <v/>
      </c>
      <c r="I74" s="56">
        <f>IF(H74="","—",IF(H74&lt;=100,"🟢 ضمن الهدف",IF(H74&lt;=150,"🟡 تجاوز بسيط","🔴 فاقد عالٍ")))</f>
        <v/>
      </c>
    </row>
    <row r="75" ht="15" customHeight="1" s="40">
      <c r="A75" s="85" t="n">
        <v>71</v>
      </c>
      <c r="B75" s="86" t="n"/>
      <c r="C75" s="87" t="n"/>
      <c r="D75" s="87" t="n"/>
      <c r="E75" s="87" t="n"/>
      <c r="F75" s="89" t="n"/>
      <c r="G75" s="89" t="n"/>
      <c r="H75" s="90">
        <f>IF(OR(F75="",F75=0),"",(G75/F75)*33000)</f>
        <v/>
      </c>
      <c r="I75" s="56">
        <f>IF(H75="","—",IF(H75&lt;=100,"🟢 ضمن الهدف",IF(H75&lt;=150,"🟡 تجاوز بسيط","🔴 فاقد عالٍ")))</f>
        <v/>
      </c>
    </row>
    <row r="76" ht="15" customHeight="1" s="40">
      <c r="A76" s="85" t="n">
        <v>72</v>
      </c>
      <c r="B76" s="86" t="n"/>
      <c r="C76" s="87" t="n"/>
      <c r="D76" s="87" t="n"/>
      <c r="E76" s="87" t="n"/>
      <c r="F76" s="89" t="n"/>
      <c r="G76" s="89" t="n"/>
      <c r="H76" s="90">
        <f>IF(OR(F76="",F76=0),"",(G76/F76)*33000)</f>
        <v/>
      </c>
      <c r="I76" s="56">
        <f>IF(H76="","—",IF(H76&lt;=100,"🟢 ضمن الهدف",IF(H76&lt;=150,"🟡 تجاوز بسيط","🔴 فاقد عالٍ")))</f>
        <v/>
      </c>
    </row>
    <row r="77" ht="15" customHeight="1" s="40">
      <c r="A77" s="85" t="n">
        <v>73</v>
      </c>
      <c r="B77" s="86" t="n"/>
      <c r="C77" s="87" t="n"/>
      <c r="D77" s="87" t="n"/>
      <c r="E77" s="87" t="n"/>
      <c r="F77" s="89" t="n"/>
      <c r="G77" s="89" t="n"/>
      <c r="H77" s="90">
        <f>IF(OR(F77="",F77=0),"",(G77/F77)*33000)</f>
        <v/>
      </c>
      <c r="I77" s="56">
        <f>IF(H77="","—",IF(H77&lt;=100,"🟢 ضمن الهدف",IF(H77&lt;=150,"🟡 تجاوز بسيط","🔴 فاقد عالٍ")))</f>
        <v/>
      </c>
    </row>
    <row r="78" ht="15" customHeight="1" s="40">
      <c r="A78" s="85" t="n">
        <v>74</v>
      </c>
      <c r="B78" s="86" t="n"/>
      <c r="C78" s="87" t="n"/>
      <c r="D78" s="87" t="n"/>
      <c r="E78" s="87" t="n"/>
      <c r="F78" s="89" t="n"/>
      <c r="G78" s="89" t="n"/>
      <c r="H78" s="90">
        <f>IF(OR(F78="",F78=0),"",(G78/F78)*33000)</f>
        <v/>
      </c>
      <c r="I78" s="56">
        <f>IF(H78="","—",IF(H78&lt;=100,"🟢 ضمن الهدف",IF(H78&lt;=150,"🟡 تجاوز بسيط","🔴 فاقد عالٍ")))</f>
        <v/>
      </c>
    </row>
    <row r="79" ht="15" customHeight="1" s="40">
      <c r="A79" s="85" t="n">
        <v>75</v>
      </c>
      <c r="B79" s="86" t="n"/>
      <c r="C79" s="87" t="n"/>
      <c r="D79" s="87" t="n"/>
      <c r="E79" s="87" t="n"/>
      <c r="F79" s="89" t="n"/>
      <c r="G79" s="89" t="n"/>
      <c r="H79" s="90">
        <f>IF(OR(F79="",F79=0),"",(G79/F79)*33000)</f>
        <v/>
      </c>
      <c r="I79" s="56">
        <f>IF(H79="","—",IF(H79&lt;=100,"🟢 ضمن الهدف",IF(H79&lt;=150,"🟡 تجاوز بسيط","🔴 فاقد عالٍ")))</f>
        <v/>
      </c>
    </row>
    <row r="80" ht="15" customHeight="1" s="40">
      <c r="A80" s="85" t="n">
        <v>76</v>
      </c>
      <c r="B80" s="86" t="n"/>
      <c r="C80" s="87" t="n"/>
      <c r="D80" s="87" t="n"/>
      <c r="E80" s="87" t="n"/>
      <c r="F80" s="89" t="n"/>
      <c r="G80" s="89" t="n"/>
      <c r="H80" s="90">
        <f>IF(OR(F80="",F80=0),"",(G80/F80)*33000)</f>
        <v/>
      </c>
      <c r="I80" s="56">
        <f>IF(H80="","—",IF(H80&lt;=100,"🟢 ضمن الهدف",IF(H80&lt;=150,"🟡 تجاوز بسيط","🔴 فاقد عالٍ")))</f>
        <v/>
      </c>
    </row>
    <row r="81" ht="15" customHeight="1" s="40">
      <c r="A81" s="85" t="n">
        <v>77</v>
      </c>
      <c r="B81" s="86" t="n"/>
      <c r="C81" s="87" t="n"/>
      <c r="D81" s="87" t="n"/>
      <c r="E81" s="87" t="n"/>
      <c r="F81" s="89" t="n"/>
      <c r="G81" s="89" t="n"/>
      <c r="H81" s="90">
        <f>IF(OR(F81="",F81=0),"",(G81/F81)*33000)</f>
        <v/>
      </c>
      <c r="I81" s="56">
        <f>IF(H81="","—",IF(H81&lt;=100,"🟢 ضمن الهدف",IF(H81&lt;=150,"🟡 تجاوز بسيط","🔴 فاقد عالٍ")))</f>
        <v/>
      </c>
    </row>
    <row r="82" ht="15" customHeight="1" s="40">
      <c r="A82" s="85" t="n">
        <v>78</v>
      </c>
      <c r="B82" s="86" t="n"/>
      <c r="C82" s="87" t="n"/>
      <c r="D82" s="87" t="n"/>
      <c r="E82" s="87" t="n"/>
      <c r="F82" s="89" t="n"/>
      <c r="G82" s="89" t="n"/>
      <c r="H82" s="90">
        <f>IF(OR(F82="",F82=0),"",(G82/F82)*33000)</f>
        <v/>
      </c>
      <c r="I82" s="56">
        <f>IF(H82="","—",IF(H82&lt;=100,"🟢 ضمن الهدف",IF(H82&lt;=150,"🟡 تجاوز بسيط","🔴 فاقد عالٍ")))</f>
        <v/>
      </c>
    </row>
    <row r="83" ht="15" customHeight="1" s="40">
      <c r="A83" s="85" t="n">
        <v>79</v>
      </c>
      <c r="B83" s="86" t="n"/>
      <c r="C83" s="87" t="n"/>
      <c r="D83" s="87" t="n"/>
      <c r="E83" s="87" t="n"/>
      <c r="F83" s="89" t="n"/>
      <c r="G83" s="89" t="n"/>
      <c r="H83" s="90">
        <f>IF(OR(F83="",F83=0),"",(G83/F83)*33000)</f>
        <v/>
      </c>
      <c r="I83" s="56">
        <f>IF(H83="","—",IF(H83&lt;=100,"🟢 ضمن الهدف",IF(H83&lt;=150,"🟡 تجاوز بسيط","🔴 فاقد عالٍ")))</f>
        <v/>
      </c>
    </row>
    <row r="84" ht="15" customHeight="1" s="40">
      <c r="A84" s="85" t="n">
        <v>80</v>
      </c>
      <c r="B84" s="86" t="n"/>
      <c r="C84" s="87" t="n"/>
      <c r="D84" s="87" t="n"/>
      <c r="E84" s="87" t="n"/>
      <c r="F84" s="89" t="n"/>
      <c r="G84" s="89" t="n"/>
      <c r="H84" s="90">
        <f>IF(OR(F84="",F84=0),"",(G84/F84)*33000)</f>
        <v/>
      </c>
      <c r="I84" s="56">
        <f>IF(H84="","—",IF(H84&lt;=100,"🟢 ضمن الهدف",IF(H84&lt;=150,"🟡 تجاوز بسيط","🔴 فاقد عالٍ")))</f>
        <v/>
      </c>
    </row>
    <row r="85" ht="15" customHeight="1" s="40">
      <c r="A85" s="85" t="n">
        <v>81</v>
      </c>
      <c r="B85" s="86" t="n"/>
      <c r="C85" s="87" t="n"/>
      <c r="D85" s="87" t="n"/>
      <c r="E85" s="87" t="n"/>
      <c r="F85" s="89" t="n"/>
      <c r="G85" s="89" t="n"/>
      <c r="H85" s="90">
        <f>IF(OR(F85="",F85=0),"",(G85/F85)*33000)</f>
        <v/>
      </c>
      <c r="I85" s="56">
        <f>IF(H85="","—",IF(H85&lt;=100,"🟢 ضمن الهدف",IF(H85&lt;=150,"🟡 تجاوز بسيط","🔴 فاقد عالٍ")))</f>
        <v/>
      </c>
    </row>
    <row r="86" ht="15" customHeight="1" s="40">
      <c r="A86" s="85" t="n">
        <v>82</v>
      </c>
      <c r="B86" s="86" t="n"/>
      <c r="C86" s="87" t="n"/>
      <c r="D86" s="87" t="n"/>
      <c r="E86" s="87" t="n"/>
      <c r="F86" s="89" t="n"/>
      <c r="G86" s="89" t="n"/>
      <c r="H86" s="90">
        <f>IF(OR(F86="",F86=0),"",(G86/F86)*33000)</f>
        <v/>
      </c>
      <c r="I86" s="56">
        <f>IF(H86="","—",IF(H86&lt;=100,"🟢 ضمن الهدف",IF(H86&lt;=150,"🟡 تجاوز بسيط","🔴 فاقد عالٍ")))</f>
        <v/>
      </c>
    </row>
    <row r="87" ht="15" customHeight="1" s="40">
      <c r="A87" s="85" t="n">
        <v>83</v>
      </c>
      <c r="B87" s="86" t="n"/>
      <c r="C87" s="87" t="n"/>
      <c r="D87" s="87" t="n"/>
      <c r="E87" s="87" t="n"/>
      <c r="F87" s="89" t="n"/>
      <c r="G87" s="89" t="n"/>
      <c r="H87" s="90">
        <f>IF(OR(F87="",F87=0),"",(G87/F87)*33000)</f>
        <v/>
      </c>
      <c r="I87" s="56">
        <f>IF(H87="","—",IF(H87&lt;=100,"🟢 ضمن الهدف",IF(H87&lt;=150,"🟡 تجاوز بسيط","🔴 فاقد عالٍ")))</f>
        <v/>
      </c>
    </row>
    <row r="88" ht="15" customHeight="1" s="40">
      <c r="A88" s="85" t="n">
        <v>84</v>
      </c>
      <c r="B88" s="86" t="n"/>
      <c r="C88" s="87" t="n"/>
      <c r="D88" s="87" t="n"/>
      <c r="E88" s="87" t="n"/>
      <c r="F88" s="89" t="n"/>
      <c r="G88" s="89" t="n"/>
      <c r="H88" s="90">
        <f>IF(OR(F88="",F88=0),"",(G88/F88)*33000)</f>
        <v/>
      </c>
      <c r="I88" s="56">
        <f>IF(H88="","—",IF(H88&lt;=100,"🟢 ضمن الهدف",IF(H88&lt;=150,"🟡 تجاوز بسيط","🔴 فاقد عالٍ")))</f>
        <v/>
      </c>
    </row>
    <row r="89" ht="15" customHeight="1" s="40">
      <c r="A89" s="85" t="n">
        <v>85</v>
      </c>
      <c r="B89" s="86" t="n"/>
      <c r="C89" s="87" t="n"/>
      <c r="D89" s="87" t="n"/>
      <c r="E89" s="87" t="n"/>
      <c r="F89" s="89" t="n"/>
      <c r="G89" s="89" t="n"/>
      <c r="H89" s="90">
        <f>IF(OR(F89="",F89=0),"",(G89/F89)*33000)</f>
        <v/>
      </c>
      <c r="I89" s="56">
        <f>IF(H89="","—",IF(H89&lt;=100,"🟢 ضمن الهدف",IF(H89&lt;=150,"🟡 تجاوز بسيط","🔴 فاقد عالٍ")))</f>
        <v/>
      </c>
    </row>
    <row r="90" ht="15" customHeight="1" s="40">
      <c r="A90" s="85" t="n">
        <v>86</v>
      </c>
      <c r="B90" s="86" t="n"/>
      <c r="C90" s="87" t="n"/>
      <c r="D90" s="87" t="n"/>
      <c r="E90" s="87" t="n"/>
      <c r="F90" s="89" t="n"/>
      <c r="G90" s="89" t="n"/>
      <c r="H90" s="90">
        <f>IF(OR(F90="",F90=0),"",(G90/F90)*33000)</f>
        <v/>
      </c>
      <c r="I90" s="56">
        <f>IF(H90="","—",IF(H90&lt;=100,"🟢 ضمن الهدف",IF(H90&lt;=150,"🟡 تجاوز بسيط","🔴 فاقد عالٍ")))</f>
        <v/>
      </c>
    </row>
    <row r="91" ht="15" customHeight="1" s="40">
      <c r="A91" s="85" t="n">
        <v>87</v>
      </c>
      <c r="B91" s="86" t="n"/>
      <c r="C91" s="87" t="n"/>
      <c r="D91" s="87" t="n"/>
      <c r="E91" s="87" t="n"/>
      <c r="F91" s="89" t="n"/>
      <c r="G91" s="89" t="n"/>
      <c r="H91" s="90">
        <f>IF(OR(F91="",F91=0),"",(G91/F91)*33000)</f>
        <v/>
      </c>
      <c r="I91" s="56">
        <f>IF(H91="","—",IF(H91&lt;=100,"🟢 ضمن الهدف",IF(H91&lt;=150,"🟡 تجاوز بسيط","🔴 فاقد عالٍ")))</f>
        <v/>
      </c>
    </row>
    <row r="92" ht="15" customHeight="1" s="40">
      <c r="A92" s="85" t="n">
        <v>88</v>
      </c>
      <c r="B92" s="86" t="n"/>
      <c r="C92" s="87" t="n"/>
      <c r="D92" s="87" t="n"/>
      <c r="E92" s="87" t="n"/>
      <c r="F92" s="89" t="n"/>
      <c r="G92" s="89" t="n"/>
      <c r="H92" s="90">
        <f>IF(OR(F92="",F92=0),"",(G92/F92)*33000)</f>
        <v/>
      </c>
      <c r="I92" s="56">
        <f>IF(H92="","—",IF(H92&lt;=100,"🟢 ضمن الهدف",IF(H92&lt;=150,"🟡 تجاوز بسيط","🔴 فاقد عالٍ")))</f>
        <v/>
      </c>
    </row>
    <row r="93" ht="15" customHeight="1" s="40">
      <c r="A93" s="85" t="n">
        <v>89</v>
      </c>
      <c r="B93" s="86" t="n"/>
      <c r="C93" s="87" t="n"/>
      <c r="D93" s="87" t="n"/>
      <c r="E93" s="87" t="n"/>
      <c r="F93" s="89" t="n"/>
      <c r="G93" s="89" t="n"/>
      <c r="H93" s="90">
        <f>IF(OR(F93="",F93=0),"",(G93/F93)*33000)</f>
        <v/>
      </c>
      <c r="I93" s="56">
        <f>IF(H93="","—",IF(H93&lt;=100,"🟢 ضمن الهدف",IF(H93&lt;=150,"🟡 تجاوز بسيط","🔴 فاقد عالٍ")))</f>
        <v/>
      </c>
    </row>
    <row r="94" ht="15" customHeight="1" s="40">
      <c r="A94" s="85" t="n">
        <v>90</v>
      </c>
      <c r="B94" s="86" t="n"/>
      <c r="C94" s="87" t="n"/>
      <c r="D94" s="87" t="n"/>
      <c r="E94" s="87" t="n"/>
      <c r="F94" s="89" t="n"/>
      <c r="G94" s="89" t="n"/>
      <c r="H94" s="90">
        <f>IF(OR(F94="",F94=0),"",(G94/F94)*33000)</f>
        <v/>
      </c>
      <c r="I94" s="56">
        <f>IF(H94="","—",IF(H94&lt;=100,"🟢 ضمن الهدف",IF(H94&lt;=150,"🟡 تجاوز بسيط","🔴 فاقد عالٍ")))</f>
        <v/>
      </c>
    </row>
    <row r="95" ht="15" customHeight="1" s="40">
      <c r="A95" s="85" t="n">
        <v>91</v>
      </c>
      <c r="B95" s="86" t="n"/>
      <c r="C95" s="87" t="n"/>
      <c r="D95" s="87" t="n"/>
      <c r="E95" s="87" t="n"/>
      <c r="F95" s="89" t="n"/>
      <c r="G95" s="89" t="n"/>
      <c r="H95" s="90">
        <f>IF(OR(F95="",F95=0),"",(G95/F95)*33000)</f>
        <v/>
      </c>
      <c r="I95" s="56">
        <f>IF(H95="","—",IF(H95&lt;=100,"🟢 ضمن الهدف",IF(H95&lt;=150,"🟡 تجاوز بسيط","🔴 فاقد عالٍ")))</f>
        <v/>
      </c>
    </row>
    <row r="96" ht="15" customHeight="1" s="40">
      <c r="A96" s="85" t="n">
        <v>92</v>
      </c>
      <c r="B96" s="86" t="n"/>
      <c r="C96" s="87" t="n"/>
      <c r="D96" s="87" t="n"/>
      <c r="E96" s="87" t="n"/>
      <c r="F96" s="89" t="n"/>
      <c r="G96" s="89" t="n"/>
      <c r="H96" s="90">
        <f>IF(OR(F96="",F96=0),"",(G96/F96)*33000)</f>
        <v/>
      </c>
      <c r="I96" s="56">
        <f>IF(H96="","—",IF(H96&lt;=100,"🟢 ضمن الهدف",IF(H96&lt;=150,"🟡 تجاوز بسيط","🔴 فاقد عالٍ")))</f>
        <v/>
      </c>
    </row>
    <row r="97" ht="15" customHeight="1" s="40">
      <c r="A97" s="85" t="n">
        <v>93</v>
      </c>
      <c r="B97" s="86" t="n"/>
      <c r="C97" s="87" t="n"/>
      <c r="D97" s="87" t="n"/>
      <c r="E97" s="87" t="n"/>
      <c r="F97" s="89" t="n"/>
      <c r="G97" s="89" t="n"/>
      <c r="H97" s="90">
        <f>IF(OR(F97="",F97=0),"",(G97/F97)*33000)</f>
        <v/>
      </c>
      <c r="I97" s="56">
        <f>IF(H97="","—",IF(H97&lt;=100,"🟢 ضمن الهدف",IF(H97&lt;=150,"🟡 تجاوز بسيط","🔴 فاقد عالٍ")))</f>
        <v/>
      </c>
    </row>
    <row r="98" ht="15" customHeight="1" s="40">
      <c r="A98" s="85" t="n">
        <v>94</v>
      </c>
      <c r="B98" s="86" t="n"/>
      <c r="C98" s="87" t="n"/>
      <c r="D98" s="87" t="n"/>
      <c r="E98" s="87" t="n"/>
      <c r="F98" s="89" t="n"/>
      <c r="G98" s="89" t="n"/>
      <c r="H98" s="90">
        <f>IF(OR(F98="",F98=0),"",(G98/F98)*33000)</f>
        <v/>
      </c>
      <c r="I98" s="56">
        <f>IF(H98="","—",IF(H98&lt;=100,"🟢 ضمن الهدف",IF(H98&lt;=150,"🟡 تجاوز بسيط","🔴 فاقد عالٍ")))</f>
        <v/>
      </c>
    </row>
    <row r="99" ht="15" customHeight="1" s="40">
      <c r="A99" s="85" t="n">
        <v>95</v>
      </c>
      <c r="B99" s="86" t="n"/>
      <c r="C99" s="87" t="n"/>
      <c r="D99" s="87" t="n"/>
      <c r="E99" s="87" t="n"/>
      <c r="F99" s="89" t="n"/>
      <c r="G99" s="89" t="n"/>
      <c r="H99" s="90">
        <f>IF(OR(F99="",F99=0),"",(G99/F99)*33000)</f>
        <v/>
      </c>
      <c r="I99" s="56">
        <f>IF(H99="","—",IF(H99&lt;=100,"🟢 ضمن الهدف",IF(H99&lt;=150,"🟡 تجاوز بسيط","🔴 فاقد عالٍ")))</f>
        <v/>
      </c>
    </row>
    <row r="100" ht="15" customHeight="1" s="40">
      <c r="A100" s="85" t="n">
        <v>96</v>
      </c>
      <c r="B100" s="86" t="n"/>
      <c r="C100" s="87" t="n"/>
      <c r="D100" s="87" t="n"/>
      <c r="E100" s="87" t="n"/>
      <c r="F100" s="89" t="n"/>
      <c r="G100" s="89" t="n"/>
      <c r="H100" s="90">
        <f>IF(OR(F100="",F100=0),"",(G100/F100)*33000)</f>
        <v/>
      </c>
      <c r="I100" s="56">
        <f>IF(H100="","—",IF(H100&lt;=100,"🟢 ضمن الهدف",IF(H100&lt;=150,"🟡 تجاوز بسيط","🔴 فاقد عالٍ")))</f>
        <v/>
      </c>
    </row>
    <row r="101" ht="15" customHeight="1" s="40">
      <c r="A101" s="85" t="n">
        <v>97</v>
      </c>
      <c r="B101" s="86" t="n"/>
      <c r="C101" s="87" t="n"/>
      <c r="D101" s="87" t="n"/>
      <c r="E101" s="87" t="n"/>
      <c r="F101" s="89" t="n"/>
      <c r="G101" s="89" t="n"/>
      <c r="H101" s="90">
        <f>IF(OR(F101="",F101=0),"",(G101/F101)*33000)</f>
        <v/>
      </c>
      <c r="I101" s="56">
        <f>IF(H101="","—",IF(H101&lt;=100,"🟢 ضمن الهدف",IF(H101&lt;=150,"🟡 تجاوز بسيط","🔴 فاقد عالٍ")))</f>
        <v/>
      </c>
    </row>
    <row r="102" ht="15" customHeight="1" s="40">
      <c r="A102" s="85" t="n">
        <v>98</v>
      </c>
      <c r="B102" s="86" t="n"/>
      <c r="C102" s="87" t="n"/>
      <c r="D102" s="87" t="n"/>
      <c r="E102" s="87" t="n"/>
      <c r="F102" s="89" t="n"/>
      <c r="G102" s="89" t="n"/>
      <c r="H102" s="90">
        <f>IF(OR(F102="",F102=0),"",(G102/F102)*33000)</f>
        <v/>
      </c>
      <c r="I102" s="56">
        <f>IF(H102="","—",IF(H102&lt;=100,"🟢 ضمن الهدف",IF(H102&lt;=150,"🟡 تجاوز بسيط","🔴 فاقد عالٍ")))</f>
        <v/>
      </c>
    </row>
    <row r="103" ht="15" customHeight="1" s="40">
      <c r="A103" s="85" t="n">
        <v>99</v>
      </c>
      <c r="B103" s="86" t="n"/>
      <c r="C103" s="87" t="n"/>
      <c r="D103" s="87" t="n"/>
      <c r="E103" s="87" t="n"/>
      <c r="F103" s="89" t="n"/>
      <c r="G103" s="89" t="n"/>
      <c r="H103" s="90">
        <f>IF(OR(F103="",F103=0),"",(G103/F103)*33000)</f>
        <v/>
      </c>
      <c r="I103" s="56">
        <f>IF(H103="","—",IF(H103&lt;=100,"🟢 ضمن الهدف",IF(H103&lt;=150,"🟡 تجاوز بسيط","🔴 فاقد عالٍ")))</f>
        <v/>
      </c>
    </row>
    <row r="104" ht="15" customHeight="1" s="40">
      <c r="A104" s="85" t="n">
        <v>100</v>
      </c>
      <c r="B104" s="86" t="n"/>
      <c r="C104" s="87" t="n"/>
      <c r="D104" s="87" t="n"/>
      <c r="E104" s="87" t="n"/>
      <c r="F104" s="89" t="n"/>
      <c r="G104" s="89" t="n"/>
      <c r="H104" s="90">
        <f>IF(OR(F104="",F104=0),"",(G104/F104)*33000)</f>
        <v/>
      </c>
      <c r="I104" s="56">
        <f>IF(H104="","—",IF(H104&lt;=100,"🟢 ضمن الهدف",IF(H104&lt;=150,"🟡 تجاوز بسيط","🔴 فاقد عالٍ")))</f>
        <v/>
      </c>
    </row>
    <row r="105" ht="15" customHeight="1" s="40">
      <c r="A105" s="85" t="n">
        <v>101</v>
      </c>
      <c r="B105" s="86" t="n"/>
      <c r="C105" s="87" t="n"/>
      <c r="D105" s="87" t="n"/>
      <c r="E105" s="87" t="n"/>
      <c r="F105" s="89" t="n"/>
      <c r="G105" s="89" t="n"/>
      <c r="H105" s="90">
        <f>IF(OR(F105="",F105=0),"",(G105/F105)*33000)</f>
        <v/>
      </c>
      <c r="I105" s="56">
        <f>IF(H105="","—",IF(H105&lt;=100,"🟢 ضمن الهدف",IF(H105&lt;=150,"🟡 تجاوز بسيط","🔴 فاقد عالٍ")))</f>
        <v/>
      </c>
    </row>
    <row r="106" ht="15" customHeight="1" s="40">
      <c r="A106" s="85" t="n">
        <v>102</v>
      </c>
      <c r="B106" s="86" t="n"/>
      <c r="C106" s="87" t="n"/>
      <c r="D106" s="87" t="n"/>
      <c r="E106" s="87" t="n"/>
      <c r="F106" s="89" t="n"/>
      <c r="G106" s="89" t="n"/>
      <c r="H106" s="90">
        <f>IF(OR(F106="",F106=0),"",(G106/F106)*33000)</f>
        <v/>
      </c>
      <c r="I106" s="56">
        <f>IF(H106="","—",IF(H106&lt;=100,"🟢 ضمن الهدف",IF(H106&lt;=150,"🟡 تجاوز بسيط","🔴 فاقد عالٍ")))</f>
        <v/>
      </c>
    </row>
    <row r="107" ht="15" customHeight="1" s="40">
      <c r="A107" s="85" t="n">
        <v>103</v>
      </c>
      <c r="B107" s="86" t="n"/>
      <c r="C107" s="87" t="n"/>
      <c r="D107" s="87" t="n"/>
      <c r="E107" s="87" t="n"/>
      <c r="F107" s="89" t="n"/>
      <c r="G107" s="89" t="n"/>
      <c r="H107" s="90">
        <f>IF(OR(F107="",F107=0),"",(G107/F107)*33000)</f>
        <v/>
      </c>
      <c r="I107" s="56">
        <f>IF(H107="","—",IF(H107&lt;=100,"🟢 ضمن الهدف",IF(H107&lt;=150,"🟡 تجاوز بسيط","🔴 فاقد عالٍ")))</f>
        <v/>
      </c>
    </row>
    <row r="108" ht="15" customHeight="1" s="40">
      <c r="A108" s="85" t="n">
        <v>104</v>
      </c>
      <c r="B108" s="86" t="n"/>
      <c r="C108" s="87" t="n"/>
      <c r="D108" s="87" t="n"/>
      <c r="E108" s="87" t="n"/>
      <c r="F108" s="89" t="n"/>
      <c r="G108" s="89" t="n"/>
      <c r="H108" s="90">
        <f>IF(OR(F108="",F108=0),"",(G108/F108)*33000)</f>
        <v/>
      </c>
      <c r="I108" s="56">
        <f>IF(H108="","—",IF(H108&lt;=100,"🟢 ضمن الهدف",IF(H108&lt;=150,"🟡 تجاوز بسيط","🔴 فاقد عالٍ")))</f>
        <v/>
      </c>
    </row>
    <row r="109" ht="15" customHeight="1" s="40">
      <c r="A109" s="85" t="n">
        <v>105</v>
      </c>
      <c r="B109" s="86" t="n"/>
      <c r="C109" s="87" t="n"/>
      <c r="D109" s="87" t="n"/>
      <c r="E109" s="87" t="n"/>
      <c r="F109" s="89" t="n"/>
      <c r="G109" s="89" t="n"/>
      <c r="H109" s="90">
        <f>IF(OR(F109="",F109=0),"",(G109/F109)*33000)</f>
        <v/>
      </c>
      <c r="I109" s="56">
        <f>IF(H109="","—",IF(H109&lt;=100,"🟢 ضمن الهدف",IF(H109&lt;=150,"🟡 تجاوز بسيط","🔴 فاقد عالٍ")))</f>
        <v/>
      </c>
    </row>
    <row r="110" ht="15" customHeight="1" s="40">
      <c r="A110" s="85" t="n">
        <v>106</v>
      </c>
      <c r="B110" s="86" t="n"/>
      <c r="C110" s="87" t="n"/>
      <c r="D110" s="87" t="n"/>
      <c r="E110" s="87" t="n"/>
      <c r="F110" s="89" t="n"/>
      <c r="G110" s="89" t="n"/>
      <c r="H110" s="90">
        <f>IF(OR(F110="",F110=0),"",(G110/F110)*33000)</f>
        <v/>
      </c>
      <c r="I110" s="56">
        <f>IF(H110="","—",IF(H110&lt;=100,"🟢 ضمن الهدف",IF(H110&lt;=150,"🟡 تجاوز بسيط","🔴 فاقد عالٍ")))</f>
        <v/>
      </c>
    </row>
    <row r="111" ht="15" customHeight="1" s="40">
      <c r="A111" s="85" t="n">
        <v>107</v>
      </c>
      <c r="B111" s="86" t="n"/>
      <c r="C111" s="87" t="n"/>
      <c r="D111" s="87" t="n"/>
      <c r="E111" s="87" t="n"/>
      <c r="F111" s="89" t="n"/>
      <c r="G111" s="89" t="n"/>
      <c r="H111" s="90">
        <f>IF(OR(F111="",F111=0),"",(G111/F111)*33000)</f>
        <v/>
      </c>
      <c r="I111" s="56">
        <f>IF(H111="","—",IF(H111&lt;=100,"🟢 ضمن الهدف",IF(H111&lt;=150,"🟡 تجاوز بسيط","🔴 فاقد عالٍ")))</f>
        <v/>
      </c>
    </row>
    <row r="112" ht="15" customHeight="1" s="40">
      <c r="A112" s="85" t="n">
        <v>108</v>
      </c>
      <c r="B112" s="86" t="n"/>
      <c r="C112" s="87" t="n"/>
      <c r="D112" s="87" t="n"/>
      <c r="E112" s="87" t="n"/>
      <c r="F112" s="89" t="n"/>
      <c r="G112" s="89" t="n"/>
      <c r="H112" s="90">
        <f>IF(OR(F112="",F112=0),"",(G112/F112)*33000)</f>
        <v/>
      </c>
      <c r="I112" s="56">
        <f>IF(H112="","—",IF(H112&lt;=100,"🟢 ضمن الهدف",IF(H112&lt;=150,"🟡 تجاوز بسيط","🔴 فاقد عالٍ")))</f>
        <v/>
      </c>
    </row>
    <row r="113" ht="15" customHeight="1" s="40">
      <c r="A113" s="85" t="n">
        <v>109</v>
      </c>
      <c r="B113" s="86" t="n"/>
      <c r="C113" s="87" t="n"/>
      <c r="D113" s="87" t="n"/>
      <c r="E113" s="87" t="n"/>
      <c r="F113" s="89" t="n"/>
      <c r="G113" s="89" t="n"/>
      <c r="H113" s="90">
        <f>IF(OR(F113="",F113=0),"",(G113/F113)*33000)</f>
        <v/>
      </c>
      <c r="I113" s="56">
        <f>IF(H113="","—",IF(H113&lt;=100,"🟢 ضمن الهدف",IF(H113&lt;=150,"🟡 تجاوز بسيط","🔴 فاقد عالٍ")))</f>
        <v/>
      </c>
    </row>
    <row r="114" ht="15" customHeight="1" s="40">
      <c r="A114" s="85" t="n">
        <v>110</v>
      </c>
      <c r="B114" s="86" t="n"/>
      <c r="C114" s="87" t="n"/>
      <c r="D114" s="87" t="n"/>
      <c r="E114" s="87" t="n"/>
      <c r="F114" s="89" t="n"/>
      <c r="G114" s="89" t="n"/>
      <c r="H114" s="90">
        <f>IF(OR(F114="",F114=0),"",(G114/F114)*33000)</f>
        <v/>
      </c>
      <c r="I114" s="56">
        <f>IF(H114="","—",IF(H114&lt;=100,"🟢 ضمن الهدف",IF(H114&lt;=150,"🟡 تجاوز بسيط","🔴 فاقد عالٍ")))</f>
        <v/>
      </c>
    </row>
    <row r="115" ht="15" customHeight="1" s="40">
      <c r="A115" s="85" t="n">
        <v>111</v>
      </c>
      <c r="B115" s="86" t="n"/>
      <c r="C115" s="87" t="n"/>
      <c r="D115" s="87" t="n"/>
      <c r="E115" s="87" t="n"/>
      <c r="F115" s="89" t="n"/>
      <c r="G115" s="89" t="n"/>
      <c r="H115" s="90">
        <f>IF(OR(F115="",F115=0),"",(G115/F115)*33000)</f>
        <v/>
      </c>
      <c r="I115" s="56">
        <f>IF(H115="","—",IF(H115&lt;=100,"🟢 ضمن الهدف",IF(H115&lt;=150,"🟡 تجاوز بسيط","🔴 فاقد عالٍ")))</f>
        <v/>
      </c>
    </row>
    <row r="116" ht="15" customHeight="1" s="40">
      <c r="A116" s="85" t="n">
        <v>112</v>
      </c>
      <c r="B116" s="86" t="n"/>
      <c r="C116" s="87" t="n"/>
      <c r="D116" s="87" t="n"/>
      <c r="E116" s="87" t="n"/>
      <c r="F116" s="89" t="n"/>
      <c r="G116" s="89" t="n"/>
      <c r="H116" s="90">
        <f>IF(OR(F116="",F116=0),"",(G116/F116)*33000)</f>
        <v/>
      </c>
      <c r="I116" s="56">
        <f>IF(H116="","—",IF(H116&lt;=100,"🟢 ضمن الهدف",IF(H116&lt;=150,"🟡 تجاوز بسيط","🔴 فاقد عالٍ")))</f>
        <v/>
      </c>
    </row>
    <row r="117" ht="15" customHeight="1" s="40">
      <c r="A117" s="85" t="n">
        <v>113</v>
      </c>
      <c r="B117" s="86" t="n"/>
      <c r="C117" s="87" t="n"/>
      <c r="D117" s="87" t="n"/>
      <c r="E117" s="87" t="n"/>
      <c r="F117" s="89" t="n"/>
      <c r="G117" s="89" t="n"/>
      <c r="H117" s="90">
        <f>IF(OR(F117="",F117=0),"",(G117/F117)*33000)</f>
        <v/>
      </c>
      <c r="I117" s="56">
        <f>IF(H117="","—",IF(H117&lt;=100,"🟢 ضمن الهدف",IF(H117&lt;=150,"🟡 تجاوز بسيط","🔴 فاقد عالٍ")))</f>
        <v/>
      </c>
    </row>
    <row r="118" ht="15" customHeight="1" s="40">
      <c r="A118" s="85" t="n">
        <v>114</v>
      </c>
      <c r="B118" s="86" t="n"/>
      <c r="C118" s="87" t="n"/>
      <c r="D118" s="87" t="n"/>
      <c r="E118" s="87" t="n"/>
      <c r="F118" s="89" t="n"/>
      <c r="G118" s="89" t="n"/>
      <c r="H118" s="90">
        <f>IF(OR(F118="",F118=0),"",(G118/F118)*33000)</f>
        <v/>
      </c>
      <c r="I118" s="56">
        <f>IF(H118="","—",IF(H118&lt;=100,"🟢 ضمن الهدف",IF(H118&lt;=150,"🟡 تجاوز بسيط","🔴 فاقد عالٍ")))</f>
        <v/>
      </c>
    </row>
    <row r="119" ht="15" customHeight="1" s="40">
      <c r="A119" s="85" t="n">
        <v>115</v>
      </c>
      <c r="B119" s="86" t="n"/>
      <c r="C119" s="87" t="n"/>
      <c r="D119" s="87" t="n"/>
      <c r="E119" s="87" t="n"/>
      <c r="F119" s="89" t="n"/>
      <c r="G119" s="89" t="n"/>
      <c r="H119" s="90">
        <f>IF(OR(F119="",F119=0),"",(G119/F119)*33000)</f>
        <v/>
      </c>
      <c r="I119" s="56">
        <f>IF(H119="","—",IF(H119&lt;=100,"🟢 ضمن الهدف",IF(H119&lt;=150,"🟡 تجاوز بسيط","🔴 فاقد عالٍ")))</f>
        <v/>
      </c>
    </row>
    <row r="120" ht="15" customHeight="1" s="40">
      <c r="A120" s="85" t="n">
        <v>116</v>
      </c>
      <c r="B120" s="86" t="n"/>
      <c r="C120" s="87" t="n"/>
      <c r="D120" s="87" t="n"/>
      <c r="E120" s="87" t="n"/>
      <c r="F120" s="89" t="n"/>
      <c r="G120" s="89" t="n"/>
      <c r="H120" s="90">
        <f>IF(OR(F120="",F120=0),"",(G120/F120)*33000)</f>
        <v/>
      </c>
      <c r="I120" s="56">
        <f>IF(H120="","—",IF(H120&lt;=100,"🟢 ضمن الهدف",IF(H120&lt;=150,"🟡 تجاوز بسيط","🔴 فاقد عالٍ")))</f>
        <v/>
      </c>
    </row>
    <row r="121" ht="15" customHeight="1" s="40">
      <c r="A121" s="85" t="n">
        <v>117</v>
      </c>
      <c r="B121" s="86" t="n"/>
      <c r="C121" s="87" t="n"/>
      <c r="D121" s="87" t="n"/>
      <c r="E121" s="87" t="n"/>
      <c r="F121" s="89" t="n"/>
      <c r="G121" s="89" t="n"/>
      <c r="H121" s="90">
        <f>IF(OR(F121="",F121=0),"",(G121/F121)*33000)</f>
        <v/>
      </c>
      <c r="I121" s="56">
        <f>IF(H121="","—",IF(H121&lt;=100,"🟢 ضمن الهدف",IF(H121&lt;=150,"🟡 تجاوز بسيط","🔴 فاقد عالٍ")))</f>
        <v/>
      </c>
    </row>
    <row r="122" ht="15" customHeight="1" s="40">
      <c r="A122" s="85" t="n">
        <v>118</v>
      </c>
      <c r="B122" s="86" t="n"/>
      <c r="C122" s="87" t="n"/>
      <c r="D122" s="87" t="n"/>
      <c r="E122" s="87" t="n"/>
      <c r="F122" s="89" t="n"/>
      <c r="G122" s="89" t="n"/>
      <c r="H122" s="90">
        <f>IF(OR(F122="",F122=0),"",(G122/F122)*33000)</f>
        <v/>
      </c>
      <c r="I122" s="56">
        <f>IF(H122="","—",IF(H122&lt;=100,"🟢 ضمن الهدف",IF(H122&lt;=150,"🟡 تجاوز بسيط","🔴 فاقد عالٍ")))</f>
        <v/>
      </c>
    </row>
    <row r="123" ht="15" customHeight="1" s="40">
      <c r="A123" s="85" t="n">
        <v>119</v>
      </c>
      <c r="B123" s="86" t="n"/>
      <c r="C123" s="87" t="n"/>
      <c r="D123" s="87" t="n"/>
      <c r="E123" s="87" t="n"/>
      <c r="F123" s="89" t="n"/>
      <c r="G123" s="89" t="n"/>
      <c r="H123" s="90">
        <f>IF(OR(F123="",F123=0),"",(G123/F123)*33000)</f>
        <v/>
      </c>
      <c r="I123" s="56">
        <f>IF(H123="","—",IF(H123&lt;=100,"🟢 ضمن الهدف",IF(H123&lt;=150,"🟡 تجاوز بسيط","🔴 فاقد عالٍ")))</f>
        <v/>
      </c>
    </row>
    <row r="124" ht="15" customHeight="1" s="40">
      <c r="A124" s="85" t="n">
        <v>120</v>
      </c>
      <c r="B124" s="86" t="n"/>
      <c r="C124" s="87" t="n"/>
      <c r="D124" s="87" t="n"/>
      <c r="E124" s="87" t="n"/>
      <c r="F124" s="89" t="n"/>
      <c r="G124" s="89" t="n"/>
      <c r="H124" s="90">
        <f>IF(OR(F124="",F124=0),"",(G124/F124)*33000)</f>
        <v/>
      </c>
      <c r="I124" s="56">
        <f>IF(H124="","—",IF(H124&lt;=100,"🟢 ضمن الهدف",IF(H124&lt;=150,"🟡 تجاوز بسيط","🔴 فاقد عالٍ")))</f>
        <v/>
      </c>
    </row>
    <row r="125" ht="15" customHeight="1" s="40">
      <c r="A125" s="85" t="n">
        <v>121</v>
      </c>
      <c r="B125" s="86" t="n"/>
      <c r="C125" s="87" t="n"/>
      <c r="D125" s="87" t="n"/>
      <c r="E125" s="87" t="n"/>
      <c r="F125" s="89" t="n"/>
      <c r="G125" s="89" t="n"/>
      <c r="H125" s="90">
        <f>IF(OR(F125="",F125=0),"",(G125/F125)*33000)</f>
        <v/>
      </c>
      <c r="I125" s="56">
        <f>IF(H125="","—",IF(H125&lt;=100,"🟢 ضمن الهدف",IF(H125&lt;=150,"🟡 تجاوز بسيط","🔴 فاقد عالٍ")))</f>
        <v/>
      </c>
    </row>
    <row r="126" ht="15" customHeight="1" s="40">
      <c r="A126" s="85" t="n">
        <v>122</v>
      </c>
      <c r="B126" s="86" t="n"/>
      <c r="C126" s="87" t="n"/>
      <c r="D126" s="87" t="n"/>
      <c r="E126" s="87" t="n"/>
      <c r="F126" s="89" t="n"/>
      <c r="G126" s="89" t="n"/>
      <c r="H126" s="90">
        <f>IF(OR(F126="",F126=0),"",(G126/F126)*33000)</f>
        <v/>
      </c>
      <c r="I126" s="56">
        <f>IF(H126="","—",IF(H126&lt;=100,"🟢 ضمن الهدف",IF(H126&lt;=150,"🟡 تجاوز بسيط","🔴 فاقد عالٍ")))</f>
        <v/>
      </c>
    </row>
    <row r="127" ht="15" customHeight="1" s="40">
      <c r="A127" s="85" t="n">
        <v>123</v>
      </c>
      <c r="B127" s="86" t="n"/>
      <c r="C127" s="87" t="n"/>
      <c r="D127" s="87" t="n"/>
      <c r="E127" s="87" t="n"/>
      <c r="F127" s="89" t="n"/>
      <c r="G127" s="89" t="n"/>
      <c r="H127" s="90">
        <f>IF(OR(F127="",F127=0),"",(G127/F127)*33000)</f>
        <v/>
      </c>
      <c r="I127" s="56">
        <f>IF(H127="","—",IF(H127&lt;=100,"🟢 ضمن الهدف",IF(H127&lt;=150,"🟡 تجاوز بسيط","🔴 فاقد عالٍ")))</f>
        <v/>
      </c>
    </row>
    <row r="128" ht="15" customHeight="1" s="40">
      <c r="A128" s="85" t="n">
        <v>124</v>
      </c>
      <c r="B128" s="86" t="n"/>
      <c r="C128" s="87" t="n"/>
      <c r="D128" s="87" t="n"/>
      <c r="E128" s="87" t="n"/>
      <c r="F128" s="89" t="n"/>
      <c r="G128" s="89" t="n"/>
      <c r="H128" s="90">
        <f>IF(OR(F128="",F128=0),"",(G128/F128)*33000)</f>
        <v/>
      </c>
      <c r="I128" s="56">
        <f>IF(H128="","—",IF(H128&lt;=100,"🟢 ضمن الهدف",IF(H128&lt;=150,"🟡 تجاوز بسيط","🔴 فاقد عالٍ")))</f>
        <v/>
      </c>
    </row>
    <row r="129" ht="15" customHeight="1" s="40">
      <c r="A129" s="85" t="n">
        <v>125</v>
      </c>
      <c r="B129" s="86" t="n"/>
      <c r="C129" s="87" t="n"/>
      <c r="D129" s="87" t="n"/>
      <c r="E129" s="87" t="n"/>
      <c r="F129" s="89" t="n"/>
      <c r="G129" s="89" t="n"/>
      <c r="H129" s="90">
        <f>IF(OR(F129="",F129=0),"",(G129/F129)*33000)</f>
        <v/>
      </c>
      <c r="I129" s="56">
        <f>IF(H129="","—",IF(H129&lt;=100,"🟢 ضمن الهدف",IF(H129&lt;=150,"🟡 تجاوز بسيط","🔴 فاقد عالٍ")))</f>
        <v/>
      </c>
    </row>
    <row r="130" ht="15" customHeight="1" s="40">
      <c r="A130" s="85" t="n">
        <v>126</v>
      </c>
      <c r="B130" s="86" t="n"/>
      <c r="C130" s="87" t="n"/>
      <c r="D130" s="87" t="n"/>
      <c r="E130" s="87" t="n"/>
      <c r="F130" s="89" t="n"/>
      <c r="G130" s="89" t="n"/>
      <c r="H130" s="90">
        <f>IF(OR(F130="",F130=0),"",(G130/F130)*33000)</f>
        <v/>
      </c>
      <c r="I130" s="56">
        <f>IF(H130="","—",IF(H130&lt;=100,"🟢 ضمن الهدف",IF(H130&lt;=150,"🟡 تجاوز بسيط","🔴 فاقد عالٍ")))</f>
        <v/>
      </c>
    </row>
    <row r="131" ht="15" customHeight="1" s="40">
      <c r="A131" s="85" t="n">
        <v>127</v>
      </c>
      <c r="B131" s="86" t="n"/>
      <c r="C131" s="87" t="n"/>
      <c r="D131" s="87" t="n"/>
      <c r="E131" s="87" t="n"/>
      <c r="F131" s="89" t="n"/>
      <c r="G131" s="89" t="n"/>
      <c r="H131" s="90">
        <f>IF(OR(F131="",F131=0),"",(G131/F131)*33000)</f>
        <v/>
      </c>
      <c r="I131" s="56">
        <f>IF(H131="","—",IF(H131&lt;=100,"🟢 ضمن الهدف",IF(H131&lt;=150,"🟡 تجاوز بسيط","🔴 فاقد عالٍ")))</f>
        <v/>
      </c>
    </row>
    <row r="132" ht="15" customHeight="1" s="40">
      <c r="A132" s="85" t="n">
        <v>128</v>
      </c>
      <c r="B132" s="86" t="n"/>
      <c r="C132" s="87" t="n"/>
      <c r="D132" s="87" t="n"/>
      <c r="E132" s="87" t="n"/>
      <c r="F132" s="89" t="n"/>
      <c r="G132" s="89" t="n"/>
      <c r="H132" s="90">
        <f>IF(OR(F132="",F132=0),"",(G132/F132)*33000)</f>
        <v/>
      </c>
      <c r="I132" s="56">
        <f>IF(H132="","—",IF(H132&lt;=100,"🟢 ضمن الهدف",IF(H132&lt;=150,"🟡 تجاوز بسيط","🔴 فاقد عالٍ")))</f>
        <v/>
      </c>
    </row>
    <row r="133" ht="15" customHeight="1" s="40">
      <c r="A133" s="85" t="n">
        <v>129</v>
      </c>
      <c r="B133" s="86" t="n"/>
      <c r="C133" s="87" t="n"/>
      <c r="D133" s="87" t="n"/>
      <c r="E133" s="87" t="n"/>
      <c r="F133" s="89" t="n"/>
      <c r="G133" s="89" t="n"/>
      <c r="H133" s="90">
        <f>IF(OR(F133="",F133=0),"",(G133/F133)*33000)</f>
        <v/>
      </c>
      <c r="I133" s="56">
        <f>IF(H133="","—",IF(H133&lt;=100,"🟢 ضمن الهدف",IF(H133&lt;=150,"🟡 تجاوز بسيط","🔴 فاقد عالٍ")))</f>
        <v/>
      </c>
    </row>
    <row r="134" ht="15" customHeight="1" s="40">
      <c r="A134" s="85" t="n">
        <v>130</v>
      </c>
      <c r="B134" s="86" t="n"/>
      <c r="C134" s="87" t="n"/>
      <c r="D134" s="87" t="n"/>
      <c r="E134" s="87" t="n"/>
      <c r="F134" s="89" t="n"/>
      <c r="G134" s="89" t="n"/>
      <c r="H134" s="90">
        <f>IF(OR(F134="",F134=0),"",(G134/F134)*33000)</f>
        <v/>
      </c>
      <c r="I134" s="56">
        <f>IF(H134="","—",IF(H134&lt;=100,"🟢 ضمن الهدف",IF(H134&lt;=150,"🟡 تجاوز بسيط","🔴 فاقد عالٍ")))</f>
        <v/>
      </c>
    </row>
    <row r="135" ht="15" customHeight="1" s="40">
      <c r="A135" s="85" t="n">
        <v>131</v>
      </c>
      <c r="B135" s="86" t="n"/>
      <c r="C135" s="87" t="n"/>
      <c r="D135" s="87" t="n"/>
      <c r="E135" s="87" t="n"/>
      <c r="F135" s="89" t="n"/>
      <c r="G135" s="89" t="n"/>
      <c r="H135" s="90">
        <f>IF(OR(F135="",F135=0),"",(G135/F135)*33000)</f>
        <v/>
      </c>
      <c r="I135" s="56">
        <f>IF(H135="","—",IF(H135&lt;=100,"🟢 ضمن الهدف",IF(H135&lt;=150,"🟡 تجاوز بسيط","🔴 فاقد عالٍ")))</f>
        <v/>
      </c>
    </row>
    <row r="136" ht="15" customHeight="1" s="40">
      <c r="A136" s="85" t="n">
        <v>132</v>
      </c>
      <c r="B136" s="86" t="n"/>
      <c r="C136" s="87" t="n"/>
      <c r="D136" s="87" t="n"/>
      <c r="E136" s="87" t="n"/>
      <c r="F136" s="89" t="n"/>
      <c r="G136" s="89" t="n"/>
      <c r="H136" s="90">
        <f>IF(OR(F136="",F136=0),"",(G136/F136)*33000)</f>
        <v/>
      </c>
      <c r="I136" s="56">
        <f>IF(H136="","—",IF(H136&lt;=100,"🟢 ضمن الهدف",IF(H136&lt;=150,"🟡 تجاوز بسيط","🔴 فاقد عالٍ")))</f>
        <v/>
      </c>
    </row>
    <row r="137" ht="15" customHeight="1" s="40">
      <c r="A137" s="85" t="n">
        <v>133</v>
      </c>
      <c r="B137" s="86" t="n"/>
      <c r="C137" s="87" t="n"/>
      <c r="D137" s="87" t="n"/>
      <c r="E137" s="87" t="n"/>
      <c r="F137" s="89" t="n"/>
      <c r="G137" s="89" t="n"/>
      <c r="H137" s="90">
        <f>IF(OR(F137="",F137=0),"",(G137/F137)*33000)</f>
        <v/>
      </c>
      <c r="I137" s="56">
        <f>IF(H137="","—",IF(H137&lt;=100,"🟢 ضمن الهدف",IF(H137&lt;=150,"🟡 تجاوز بسيط","🔴 فاقد عالٍ")))</f>
        <v/>
      </c>
    </row>
    <row r="138" ht="15" customHeight="1" s="40">
      <c r="A138" s="85" t="n">
        <v>134</v>
      </c>
      <c r="B138" s="86" t="n"/>
      <c r="C138" s="87" t="n"/>
      <c r="D138" s="87" t="n"/>
      <c r="E138" s="87" t="n"/>
      <c r="F138" s="89" t="n"/>
      <c r="G138" s="89" t="n"/>
      <c r="H138" s="90">
        <f>IF(OR(F138="",F138=0),"",(G138/F138)*33000)</f>
        <v/>
      </c>
      <c r="I138" s="56">
        <f>IF(H138="","—",IF(H138&lt;=100,"🟢 ضمن الهدف",IF(H138&lt;=150,"🟡 تجاوز بسيط","🔴 فاقد عالٍ")))</f>
        <v/>
      </c>
    </row>
    <row r="139" ht="15" customHeight="1" s="40">
      <c r="A139" s="85" t="n">
        <v>135</v>
      </c>
      <c r="B139" s="86" t="n"/>
      <c r="C139" s="87" t="n"/>
      <c r="D139" s="87" t="n"/>
      <c r="E139" s="87" t="n"/>
      <c r="F139" s="89" t="n"/>
      <c r="G139" s="89" t="n"/>
      <c r="H139" s="90">
        <f>IF(OR(F139="",F139=0),"",(G139/F139)*33000)</f>
        <v/>
      </c>
      <c r="I139" s="56">
        <f>IF(H139="","—",IF(H139&lt;=100,"🟢 ضمن الهدف",IF(H139&lt;=150,"🟡 تجاوز بسيط","🔴 فاقد عالٍ")))</f>
        <v/>
      </c>
    </row>
    <row r="140" ht="15" customHeight="1" s="40">
      <c r="A140" s="85" t="n">
        <v>136</v>
      </c>
      <c r="B140" s="86" t="n"/>
      <c r="C140" s="87" t="n"/>
      <c r="D140" s="87" t="n"/>
      <c r="E140" s="87" t="n"/>
      <c r="F140" s="89" t="n"/>
      <c r="G140" s="89" t="n"/>
      <c r="H140" s="90">
        <f>IF(OR(F140="",F140=0),"",(G140/F140)*33000)</f>
        <v/>
      </c>
      <c r="I140" s="56">
        <f>IF(H140="","—",IF(H140&lt;=100,"🟢 ضمن الهدف",IF(H140&lt;=150,"🟡 تجاوز بسيط","🔴 فاقد عالٍ")))</f>
        <v/>
      </c>
    </row>
    <row r="141" ht="15" customHeight="1" s="40">
      <c r="A141" s="85" t="n">
        <v>137</v>
      </c>
      <c r="B141" s="86" t="n"/>
      <c r="C141" s="87" t="n"/>
      <c r="D141" s="87" t="n"/>
      <c r="E141" s="87" t="n"/>
      <c r="F141" s="89" t="n"/>
      <c r="G141" s="89" t="n"/>
      <c r="H141" s="90">
        <f>IF(OR(F141="",F141=0),"",(G141/F141)*33000)</f>
        <v/>
      </c>
      <c r="I141" s="56">
        <f>IF(H141="","—",IF(H141&lt;=100,"🟢 ضمن الهدف",IF(H141&lt;=150,"🟡 تجاوز بسيط","🔴 فاقد عالٍ")))</f>
        <v/>
      </c>
    </row>
    <row r="142" ht="15" customHeight="1" s="40">
      <c r="A142" s="85" t="n">
        <v>138</v>
      </c>
      <c r="B142" s="86" t="n"/>
      <c r="C142" s="87" t="n"/>
      <c r="D142" s="87" t="n"/>
      <c r="E142" s="87" t="n"/>
      <c r="F142" s="89" t="n"/>
      <c r="G142" s="89" t="n"/>
      <c r="H142" s="90">
        <f>IF(OR(F142="",F142=0),"",(G142/F142)*33000)</f>
        <v/>
      </c>
      <c r="I142" s="56">
        <f>IF(H142="","—",IF(H142&lt;=100,"🟢 ضمن الهدف",IF(H142&lt;=150,"🟡 تجاوز بسيط","🔴 فاقد عالٍ")))</f>
        <v/>
      </c>
    </row>
    <row r="143" ht="15" customHeight="1" s="40">
      <c r="A143" s="85" t="n">
        <v>139</v>
      </c>
      <c r="B143" s="86" t="n"/>
      <c r="C143" s="87" t="n"/>
      <c r="D143" s="87" t="n"/>
      <c r="E143" s="87" t="n"/>
      <c r="F143" s="89" t="n"/>
      <c r="G143" s="89" t="n"/>
      <c r="H143" s="90">
        <f>IF(OR(F143="",F143=0),"",(G143/F143)*33000)</f>
        <v/>
      </c>
      <c r="I143" s="56">
        <f>IF(H143="","—",IF(H143&lt;=100,"🟢 ضمن الهدف",IF(H143&lt;=150,"🟡 تجاوز بسيط","🔴 فاقد عالٍ")))</f>
        <v/>
      </c>
    </row>
    <row r="144" ht="15" customHeight="1" s="40">
      <c r="A144" s="85" t="n">
        <v>140</v>
      </c>
      <c r="B144" s="86" t="n"/>
      <c r="C144" s="87" t="n"/>
      <c r="D144" s="87" t="n"/>
      <c r="E144" s="87" t="n"/>
      <c r="F144" s="89" t="n"/>
      <c r="G144" s="89" t="n"/>
      <c r="H144" s="90">
        <f>IF(OR(F144="",F144=0),"",(G144/F144)*33000)</f>
        <v/>
      </c>
      <c r="I144" s="56">
        <f>IF(H144="","—",IF(H144&lt;=100,"🟢 ضمن الهدف",IF(H144&lt;=150,"🟡 تجاوز بسيط","🔴 فاقد عالٍ")))</f>
        <v/>
      </c>
    </row>
    <row r="145" ht="15" customHeight="1" s="40">
      <c r="A145" s="85" t="n">
        <v>141</v>
      </c>
      <c r="B145" s="86" t="n"/>
      <c r="C145" s="87" t="n"/>
      <c r="D145" s="87" t="n"/>
      <c r="E145" s="87" t="n"/>
      <c r="F145" s="89" t="n"/>
      <c r="G145" s="89" t="n"/>
      <c r="H145" s="90">
        <f>IF(OR(F145="",F145=0),"",(G145/F145)*33000)</f>
        <v/>
      </c>
      <c r="I145" s="56">
        <f>IF(H145="","—",IF(H145&lt;=100,"🟢 ضمن الهدف",IF(H145&lt;=150,"🟡 تجاوز بسيط","🔴 فاقد عالٍ")))</f>
        <v/>
      </c>
    </row>
    <row r="146" ht="15" customHeight="1" s="40">
      <c r="A146" s="85" t="n">
        <v>142</v>
      </c>
      <c r="B146" s="86" t="n"/>
      <c r="C146" s="87" t="n"/>
      <c r="D146" s="87" t="n"/>
      <c r="E146" s="87" t="n"/>
      <c r="F146" s="89" t="n"/>
      <c r="G146" s="89" t="n"/>
      <c r="H146" s="90">
        <f>IF(OR(F146="",F146=0),"",(G146/F146)*33000)</f>
        <v/>
      </c>
      <c r="I146" s="56">
        <f>IF(H146="","—",IF(H146&lt;=100,"🟢 ضمن الهدف",IF(H146&lt;=150,"🟡 تجاوز بسيط","🔴 فاقد عالٍ")))</f>
        <v/>
      </c>
    </row>
    <row r="147" ht="15" customHeight="1" s="40">
      <c r="A147" s="85" t="n">
        <v>143</v>
      </c>
      <c r="B147" s="86" t="n"/>
      <c r="C147" s="87" t="n"/>
      <c r="D147" s="87" t="n"/>
      <c r="E147" s="87" t="n"/>
      <c r="F147" s="89" t="n"/>
      <c r="G147" s="89" t="n"/>
      <c r="H147" s="90">
        <f>IF(OR(F147="",F147=0),"",(G147/F147)*33000)</f>
        <v/>
      </c>
      <c r="I147" s="56">
        <f>IF(H147="","—",IF(H147&lt;=100,"🟢 ضمن الهدف",IF(H147&lt;=150,"🟡 تجاوز بسيط","🔴 فاقد عالٍ")))</f>
        <v/>
      </c>
    </row>
    <row r="148" ht="15" customHeight="1" s="40">
      <c r="A148" s="85" t="n">
        <v>144</v>
      </c>
      <c r="B148" s="86" t="n"/>
      <c r="C148" s="87" t="n"/>
      <c r="D148" s="87" t="n"/>
      <c r="E148" s="87" t="n"/>
      <c r="F148" s="89" t="n"/>
      <c r="G148" s="89" t="n"/>
      <c r="H148" s="90">
        <f>IF(OR(F148="",F148=0),"",(G148/F148)*33000)</f>
        <v/>
      </c>
      <c r="I148" s="56">
        <f>IF(H148="","—",IF(H148&lt;=100,"🟢 ضمن الهدف",IF(H148&lt;=150,"🟡 تجاوز بسيط","🔴 فاقد عالٍ")))</f>
        <v/>
      </c>
    </row>
    <row r="149" ht="15" customHeight="1" s="40">
      <c r="A149" s="85" t="n">
        <v>145</v>
      </c>
      <c r="B149" s="86" t="n"/>
      <c r="C149" s="87" t="n"/>
      <c r="D149" s="87" t="n"/>
      <c r="E149" s="87" t="n"/>
      <c r="F149" s="89" t="n"/>
      <c r="G149" s="89" t="n"/>
      <c r="H149" s="90">
        <f>IF(OR(F149="",F149=0),"",(G149/F149)*33000)</f>
        <v/>
      </c>
      <c r="I149" s="56">
        <f>IF(H149="","—",IF(H149&lt;=100,"🟢 ضمن الهدف",IF(H149&lt;=150,"🟡 تجاوز بسيط","🔴 فاقد عالٍ")))</f>
        <v/>
      </c>
    </row>
    <row r="150" ht="15" customHeight="1" s="40">
      <c r="A150" s="85" t="n">
        <v>146</v>
      </c>
      <c r="B150" s="86" t="n"/>
      <c r="C150" s="87" t="n"/>
      <c r="D150" s="87" t="n"/>
      <c r="E150" s="87" t="n"/>
      <c r="F150" s="89" t="n"/>
      <c r="G150" s="89" t="n"/>
      <c r="H150" s="90">
        <f>IF(OR(F150="",F150=0),"",(G150/F150)*33000)</f>
        <v/>
      </c>
      <c r="I150" s="56">
        <f>IF(H150="","—",IF(H150&lt;=100,"🟢 ضمن الهدف",IF(H150&lt;=150,"🟡 تجاوز بسيط","🔴 فاقد عالٍ")))</f>
        <v/>
      </c>
    </row>
    <row r="151" ht="15" customHeight="1" s="40">
      <c r="A151" s="85" t="n">
        <v>147</v>
      </c>
      <c r="B151" s="86" t="n"/>
      <c r="C151" s="87" t="n"/>
      <c r="D151" s="87" t="n"/>
      <c r="E151" s="87" t="n"/>
      <c r="F151" s="89" t="n"/>
      <c r="G151" s="89" t="n"/>
      <c r="H151" s="90">
        <f>IF(OR(F151="",F151=0),"",(G151/F151)*33000)</f>
        <v/>
      </c>
      <c r="I151" s="56">
        <f>IF(H151="","—",IF(H151&lt;=100,"🟢 ضمن الهدف",IF(H151&lt;=150,"🟡 تجاوز بسيط","🔴 فاقد عالٍ")))</f>
        <v/>
      </c>
    </row>
    <row r="152" ht="15" customHeight="1" s="40">
      <c r="A152" s="85" t="n">
        <v>148</v>
      </c>
      <c r="B152" s="86" t="n"/>
      <c r="C152" s="87" t="n"/>
      <c r="D152" s="87" t="n"/>
      <c r="E152" s="87" t="n"/>
      <c r="F152" s="89" t="n"/>
      <c r="G152" s="89" t="n"/>
      <c r="H152" s="90">
        <f>IF(OR(F152="",F152=0),"",(G152/F152)*33000)</f>
        <v/>
      </c>
      <c r="I152" s="56">
        <f>IF(H152="","—",IF(H152&lt;=100,"🟢 ضمن الهدف",IF(H152&lt;=150,"🟡 تجاوز بسيط","🔴 فاقد عالٍ")))</f>
        <v/>
      </c>
    </row>
    <row r="153" ht="15" customHeight="1" s="40">
      <c r="A153" s="85" t="n">
        <v>149</v>
      </c>
      <c r="B153" s="86" t="n"/>
      <c r="C153" s="87" t="n"/>
      <c r="D153" s="87" t="n"/>
      <c r="E153" s="87" t="n"/>
      <c r="F153" s="89" t="n"/>
      <c r="G153" s="89" t="n"/>
      <c r="H153" s="90">
        <f>IF(OR(F153="",F153=0),"",(G153/F153)*33000)</f>
        <v/>
      </c>
      <c r="I153" s="56">
        <f>IF(H153="","—",IF(H153&lt;=100,"🟢 ضمن الهدف",IF(H153&lt;=150,"🟡 تجاوز بسيط","🔴 فاقد عالٍ")))</f>
        <v/>
      </c>
    </row>
    <row r="154" ht="15" customHeight="1" s="40">
      <c r="A154" s="85" t="n">
        <v>150</v>
      </c>
      <c r="B154" s="86" t="n"/>
      <c r="C154" s="87" t="n"/>
      <c r="D154" s="87" t="n"/>
      <c r="E154" s="87" t="n"/>
      <c r="F154" s="89" t="n"/>
      <c r="G154" s="89" t="n"/>
      <c r="H154" s="90">
        <f>IF(OR(F154="",F154=0),"",(G154/F154)*33000)</f>
        <v/>
      </c>
      <c r="I154" s="56">
        <f>IF(H154="","—",IF(H154&lt;=100,"🟢 ضمن الهدف",IF(H154&lt;=150,"🟡 تجاوز بسيط","🔴 فاقد عالٍ")))</f>
        <v/>
      </c>
    </row>
    <row r="155" ht="15" customHeight="1" s="40">
      <c r="A155" s="85" t="n">
        <v>151</v>
      </c>
      <c r="B155" s="86" t="n"/>
      <c r="C155" s="87" t="n"/>
      <c r="D155" s="87" t="n"/>
      <c r="E155" s="87" t="n"/>
      <c r="F155" s="89" t="n"/>
      <c r="G155" s="89" t="n"/>
      <c r="H155" s="90">
        <f>IF(OR(F155="",F155=0),"",(G155/F155)*33000)</f>
        <v/>
      </c>
      <c r="I155" s="56">
        <f>IF(H155="","—",IF(H155&lt;=100,"🟢 ضمن الهدف",IF(H155&lt;=150,"🟡 تجاوز بسيط","🔴 فاقد عالٍ")))</f>
        <v/>
      </c>
    </row>
    <row r="156" ht="15" customHeight="1" s="40">
      <c r="A156" s="85" t="n">
        <v>152</v>
      </c>
      <c r="B156" s="86" t="n"/>
      <c r="C156" s="87" t="n"/>
      <c r="D156" s="87" t="n"/>
      <c r="E156" s="87" t="n"/>
      <c r="F156" s="89" t="n"/>
      <c r="G156" s="89" t="n"/>
      <c r="H156" s="90">
        <f>IF(OR(F156="",F156=0),"",(G156/F156)*33000)</f>
        <v/>
      </c>
      <c r="I156" s="56">
        <f>IF(H156="","—",IF(H156&lt;=100,"🟢 ضمن الهدف",IF(H156&lt;=150,"🟡 تجاوز بسيط","🔴 فاقد عالٍ")))</f>
        <v/>
      </c>
    </row>
    <row r="157" ht="15" customHeight="1" s="40">
      <c r="A157" s="85" t="n">
        <v>153</v>
      </c>
      <c r="B157" s="86" t="n"/>
      <c r="C157" s="87" t="n"/>
      <c r="D157" s="87" t="n"/>
      <c r="E157" s="87" t="n"/>
      <c r="F157" s="89" t="n"/>
      <c r="G157" s="89" t="n"/>
      <c r="H157" s="90">
        <f>IF(OR(F157="",F157=0),"",(G157/F157)*33000)</f>
        <v/>
      </c>
      <c r="I157" s="56">
        <f>IF(H157="","—",IF(H157&lt;=100,"🟢 ضمن الهدف",IF(H157&lt;=150,"🟡 تجاوز بسيط","🔴 فاقد عالٍ")))</f>
        <v/>
      </c>
    </row>
    <row r="158" ht="15" customHeight="1" s="40">
      <c r="A158" s="85" t="n">
        <v>154</v>
      </c>
      <c r="B158" s="86" t="n"/>
      <c r="C158" s="87" t="n"/>
      <c r="D158" s="87" t="n"/>
      <c r="E158" s="87" t="n"/>
      <c r="F158" s="89" t="n"/>
      <c r="G158" s="89" t="n"/>
      <c r="H158" s="90">
        <f>IF(OR(F158="",F158=0),"",(G158/F158)*33000)</f>
        <v/>
      </c>
      <c r="I158" s="56">
        <f>IF(H158="","—",IF(H158&lt;=100,"🟢 ضمن الهدف",IF(H158&lt;=150,"🟡 تجاوز بسيط","🔴 فاقد عالٍ")))</f>
        <v/>
      </c>
    </row>
    <row r="159" ht="15" customHeight="1" s="40">
      <c r="A159" s="85" t="n">
        <v>155</v>
      </c>
      <c r="B159" s="86" t="n"/>
      <c r="C159" s="87" t="n"/>
      <c r="D159" s="87" t="n"/>
      <c r="E159" s="87" t="n"/>
      <c r="F159" s="89" t="n"/>
      <c r="G159" s="89" t="n"/>
      <c r="H159" s="90">
        <f>IF(OR(F159="",F159=0),"",(G159/F159)*33000)</f>
        <v/>
      </c>
      <c r="I159" s="56">
        <f>IF(H159="","—",IF(H159&lt;=100,"🟢 ضمن الهدف",IF(H159&lt;=150,"🟡 تجاوز بسيط","🔴 فاقد عالٍ")))</f>
        <v/>
      </c>
    </row>
    <row r="160" ht="15" customHeight="1" s="40">
      <c r="A160" s="85" t="n">
        <v>156</v>
      </c>
      <c r="B160" s="86" t="n"/>
      <c r="C160" s="87" t="n"/>
      <c r="D160" s="87" t="n"/>
      <c r="E160" s="87" t="n"/>
      <c r="F160" s="89" t="n"/>
      <c r="G160" s="89" t="n"/>
      <c r="H160" s="90">
        <f>IF(OR(F160="",F160=0),"",(G160/F160)*33000)</f>
        <v/>
      </c>
      <c r="I160" s="56">
        <f>IF(H160="","—",IF(H160&lt;=100,"🟢 ضمن الهدف",IF(H160&lt;=150,"🟡 تجاوز بسيط","🔴 فاقد عالٍ")))</f>
        <v/>
      </c>
    </row>
    <row r="161" ht="15" customHeight="1" s="40">
      <c r="A161" s="85" t="n">
        <v>157</v>
      </c>
      <c r="B161" s="86" t="n"/>
      <c r="C161" s="87" t="n"/>
      <c r="D161" s="87" t="n"/>
      <c r="E161" s="87" t="n"/>
      <c r="F161" s="89" t="n"/>
      <c r="G161" s="89" t="n"/>
      <c r="H161" s="90">
        <f>IF(OR(F161="",F161=0),"",(G161/F161)*33000)</f>
        <v/>
      </c>
      <c r="I161" s="56">
        <f>IF(H161="","—",IF(H161&lt;=100,"🟢 ضمن الهدف",IF(H161&lt;=150,"🟡 تجاوز بسيط","🔴 فاقد عالٍ")))</f>
        <v/>
      </c>
    </row>
    <row r="162" ht="15" customHeight="1" s="40">
      <c r="A162" s="85" t="n">
        <v>158</v>
      </c>
      <c r="B162" s="86" t="n"/>
      <c r="C162" s="87" t="n"/>
      <c r="D162" s="87" t="n"/>
      <c r="E162" s="87" t="n"/>
      <c r="F162" s="89" t="n"/>
      <c r="G162" s="89" t="n"/>
      <c r="H162" s="90">
        <f>IF(OR(F162="",F162=0),"",(G162/F162)*33000)</f>
        <v/>
      </c>
      <c r="I162" s="56">
        <f>IF(H162="","—",IF(H162&lt;=100,"🟢 ضمن الهدف",IF(H162&lt;=150,"🟡 تجاوز بسيط","🔴 فاقد عالٍ")))</f>
        <v/>
      </c>
    </row>
    <row r="163" ht="15" customHeight="1" s="40">
      <c r="A163" s="85" t="n">
        <v>159</v>
      </c>
      <c r="B163" s="86" t="n"/>
      <c r="C163" s="87" t="n"/>
      <c r="D163" s="87" t="n"/>
      <c r="E163" s="87" t="n"/>
      <c r="F163" s="89" t="n"/>
      <c r="G163" s="89" t="n"/>
      <c r="H163" s="90">
        <f>IF(OR(F163="",F163=0),"",(G163/F163)*33000)</f>
        <v/>
      </c>
      <c r="I163" s="56">
        <f>IF(H163="","—",IF(H163&lt;=100,"🟢 ضمن الهدف",IF(H163&lt;=150,"🟡 تجاوز بسيط","🔴 فاقد عالٍ")))</f>
        <v/>
      </c>
    </row>
    <row r="164" ht="15" customHeight="1" s="40">
      <c r="A164" s="85" t="n">
        <v>160</v>
      </c>
      <c r="B164" s="86" t="n"/>
      <c r="C164" s="87" t="n"/>
      <c r="D164" s="87" t="n"/>
      <c r="E164" s="87" t="n"/>
      <c r="F164" s="89" t="n"/>
      <c r="G164" s="89" t="n"/>
      <c r="H164" s="90">
        <f>IF(OR(F164="",F164=0),"",(G164/F164)*33000)</f>
        <v/>
      </c>
      <c r="I164" s="56">
        <f>IF(H164="","—",IF(H164&lt;=100,"🟢 ضمن الهدف",IF(H164&lt;=150,"🟡 تجاوز بسيط","🔴 فاقد عالٍ")))</f>
        <v/>
      </c>
    </row>
    <row r="165" ht="15" customHeight="1" s="40">
      <c r="A165" s="85" t="n">
        <v>161</v>
      </c>
      <c r="B165" s="86" t="n"/>
      <c r="C165" s="87" t="n"/>
      <c r="D165" s="87" t="n"/>
      <c r="E165" s="87" t="n"/>
      <c r="F165" s="89" t="n"/>
      <c r="G165" s="89" t="n"/>
      <c r="H165" s="90">
        <f>IF(OR(F165="",F165=0),"",(G165/F165)*33000)</f>
        <v/>
      </c>
      <c r="I165" s="56">
        <f>IF(H165="","—",IF(H165&lt;=100,"🟢 ضمن الهدف",IF(H165&lt;=150,"🟡 تجاوز بسيط","🔴 فاقد عالٍ")))</f>
        <v/>
      </c>
    </row>
    <row r="166" ht="15" customHeight="1" s="40">
      <c r="A166" s="85" t="n">
        <v>162</v>
      </c>
      <c r="B166" s="86" t="n"/>
      <c r="C166" s="87" t="n"/>
      <c r="D166" s="87" t="n"/>
      <c r="E166" s="87" t="n"/>
      <c r="F166" s="89" t="n"/>
      <c r="G166" s="89" t="n"/>
      <c r="H166" s="90">
        <f>IF(OR(F166="",F166=0),"",(G166/F166)*33000)</f>
        <v/>
      </c>
      <c r="I166" s="56">
        <f>IF(H166="","—",IF(H166&lt;=100,"🟢 ضمن الهدف",IF(H166&lt;=150,"🟡 تجاوز بسيط","🔴 فاقد عالٍ")))</f>
        <v/>
      </c>
    </row>
    <row r="167" ht="15" customHeight="1" s="40">
      <c r="A167" s="85" t="n">
        <v>163</v>
      </c>
      <c r="B167" s="86" t="n"/>
      <c r="C167" s="87" t="n"/>
      <c r="D167" s="87" t="n"/>
      <c r="E167" s="87" t="n"/>
      <c r="F167" s="89" t="n"/>
      <c r="G167" s="89" t="n"/>
      <c r="H167" s="90">
        <f>IF(OR(F167="",F167=0),"",(G167/F167)*33000)</f>
        <v/>
      </c>
      <c r="I167" s="56">
        <f>IF(H167="","—",IF(H167&lt;=100,"🟢 ضمن الهدف",IF(H167&lt;=150,"🟡 تجاوز بسيط","🔴 فاقد عالٍ")))</f>
        <v/>
      </c>
    </row>
    <row r="168" ht="15" customHeight="1" s="40">
      <c r="A168" s="85" t="n">
        <v>164</v>
      </c>
      <c r="B168" s="86" t="n"/>
      <c r="C168" s="87" t="n"/>
      <c r="D168" s="87" t="n"/>
      <c r="E168" s="87" t="n"/>
      <c r="F168" s="89" t="n"/>
      <c r="G168" s="89" t="n"/>
      <c r="H168" s="90">
        <f>IF(OR(F168="",F168=0),"",(G168/F168)*33000)</f>
        <v/>
      </c>
      <c r="I168" s="56">
        <f>IF(H168="","—",IF(H168&lt;=100,"🟢 ضمن الهدف",IF(H168&lt;=150,"🟡 تجاوز بسيط","🔴 فاقد عالٍ")))</f>
        <v/>
      </c>
    </row>
    <row r="169" ht="15" customHeight="1" s="40">
      <c r="A169" s="85" t="n">
        <v>165</v>
      </c>
      <c r="B169" s="86" t="n"/>
      <c r="C169" s="87" t="n"/>
      <c r="D169" s="87" t="n"/>
      <c r="E169" s="87" t="n"/>
      <c r="F169" s="89" t="n"/>
      <c r="G169" s="89" t="n"/>
      <c r="H169" s="90">
        <f>IF(OR(F169="",F169=0),"",(G169/F169)*33000)</f>
        <v/>
      </c>
      <c r="I169" s="56">
        <f>IF(H169="","—",IF(H169&lt;=100,"🟢 ضمن الهدف",IF(H169&lt;=150,"🟡 تجاوز بسيط","🔴 فاقد عالٍ")))</f>
        <v/>
      </c>
    </row>
    <row r="170" ht="15" customHeight="1" s="40">
      <c r="A170" s="85" t="n">
        <v>166</v>
      </c>
      <c r="B170" s="86" t="n"/>
      <c r="C170" s="87" t="n"/>
      <c r="D170" s="87" t="n"/>
      <c r="E170" s="87" t="n"/>
      <c r="F170" s="89" t="n"/>
      <c r="G170" s="89" t="n"/>
      <c r="H170" s="90">
        <f>IF(OR(F170="",F170=0),"",(G170/F170)*33000)</f>
        <v/>
      </c>
      <c r="I170" s="56">
        <f>IF(H170="","—",IF(H170&lt;=100,"🟢 ضمن الهدف",IF(H170&lt;=150,"🟡 تجاوز بسيط","🔴 فاقد عالٍ")))</f>
        <v/>
      </c>
    </row>
    <row r="171" ht="15" customHeight="1" s="40">
      <c r="A171" s="85" t="n">
        <v>167</v>
      </c>
      <c r="B171" s="86" t="n"/>
      <c r="C171" s="87" t="n"/>
      <c r="D171" s="87" t="n"/>
      <c r="E171" s="87" t="n"/>
      <c r="F171" s="89" t="n"/>
      <c r="G171" s="89" t="n"/>
      <c r="H171" s="90">
        <f>IF(OR(F171="",F171=0),"",(G171/F171)*33000)</f>
        <v/>
      </c>
      <c r="I171" s="56">
        <f>IF(H171="","—",IF(H171&lt;=100,"🟢 ضمن الهدف",IF(H171&lt;=150,"🟡 تجاوز بسيط","🔴 فاقد عالٍ")))</f>
        <v/>
      </c>
    </row>
    <row r="172" ht="15" customHeight="1" s="40">
      <c r="A172" s="85" t="n">
        <v>168</v>
      </c>
      <c r="B172" s="86" t="n"/>
      <c r="C172" s="87" t="n"/>
      <c r="D172" s="87" t="n"/>
      <c r="E172" s="87" t="n"/>
      <c r="F172" s="89" t="n"/>
      <c r="G172" s="89" t="n"/>
      <c r="H172" s="90">
        <f>IF(OR(F172="",F172=0),"",(G172/F172)*33000)</f>
        <v/>
      </c>
      <c r="I172" s="56">
        <f>IF(H172="","—",IF(H172&lt;=100,"🟢 ضمن الهدف",IF(H172&lt;=150,"🟡 تجاوز بسيط","🔴 فاقد عالٍ")))</f>
        <v/>
      </c>
    </row>
    <row r="173" ht="15" customHeight="1" s="40">
      <c r="A173" s="85" t="n">
        <v>169</v>
      </c>
      <c r="B173" s="86" t="n"/>
      <c r="C173" s="87" t="n"/>
      <c r="D173" s="87" t="n"/>
      <c r="E173" s="87" t="n"/>
      <c r="F173" s="89" t="n"/>
      <c r="G173" s="89" t="n"/>
      <c r="H173" s="90">
        <f>IF(OR(F173="",F173=0),"",(G173/F173)*33000)</f>
        <v/>
      </c>
      <c r="I173" s="56">
        <f>IF(H173="","—",IF(H173&lt;=100,"🟢 ضمن الهدف",IF(H173&lt;=150,"🟡 تجاوز بسيط","🔴 فاقد عالٍ")))</f>
        <v/>
      </c>
    </row>
    <row r="174" ht="15" customHeight="1" s="40">
      <c r="A174" s="85" t="n">
        <v>170</v>
      </c>
      <c r="B174" s="86" t="n"/>
      <c r="C174" s="87" t="n"/>
      <c r="D174" s="87" t="n"/>
      <c r="E174" s="87" t="n"/>
      <c r="F174" s="89" t="n"/>
      <c r="G174" s="89" t="n"/>
      <c r="H174" s="90">
        <f>IF(OR(F174="",F174=0),"",(G174/F174)*33000)</f>
        <v/>
      </c>
      <c r="I174" s="56">
        <f>IF(H174="","—",IF(H174&lt;=100,"🟢 ضمن الهدف",IF(H174&lt;=150,"🟡 تجاوز بسيط","🔴 فاقد عالٍ")))</f>
        <v/>
      </c>
    </row>
    <row r="175" ht="15" customHeight="1" s="40">
      <c r="A175" s="85" t="n">
        <v>171</v>
      </c>
      <c r="B175" s="86" t="n"/>
      <c r="C175" s="87" t="n"/>
      <c r="D175" s="87" t="n"/>
      <c r="E175" s="87" t="n"/>
      <c r="F175" s="89" t="n"/>
      <c r="G175" s="89" t="n"/>
      <c r="H175" s="90">
        <f>IF(OR(F175="",F175=0),"",(G175/F175)*33000)</f>
        <v/>
      </c>
      <c r="I175" s="56">
        <f>IF(H175="","—",IF(H175&lt;=100,"🟢 ضمن الهدف",IF(H175&lt;=150,"🟡 تجاوز بسيط","🔴 فاقد عالٍ")))</f>
        <v/>
      </c>
    </row>
    <row r="176" ht="15" customHeight="1" s="40">
      <c r="A176" s="85" t="n">
        <v>172</v>
      </c>
      <c r="B176" s="86" t="n"/>
      <c r="C176" s="87" t="n"/>
      <c r="D176" s="87" t="n"/>
      <c r="E176" s="87" t="n"/>
      <c r="F176" s="89" t="n"/>
      <c r="G176" s="89" t="n"/>
      <c r="H176" s="90">
        <f>IF(OR(F176="",F176=0),"",(G176/F176)*33000)</f>
        <v/>
      </c>
      <c r="I176" s="56">
        <f>IF(H176="","—",IF(H176&lt;=100,"🟢 ضمن الهدف",IF(H176&lt;=150,"🟡 تجاوز بسيط","🔴 فاقد عالٍ")))</f>
        <v/>
      </c>
    </row>
    <row r="177" ht="15" customHeight="1" s="40">
      <c r="A177" s="85" t="n">
        <v>173</v>
      </c>
      <c r="B177" s="86" t="n"/>
      <c r="C177" s="87" t="n"/>
      <c r="D177" s="87" t="n"/>
      <c r="E177" s="87" t="n"/>
      <c r="F177" s="89" t="n"/>
      <c r="G177" s="89" t="n"/>
      <c r="H177" s="90">
        <f>IF(OR(F177="",F177=0),"",(G177/F177)*33000)</f>
        <v/>
      </c>
      <c r="I177" s="56">
        <f>IF(H177="","—",IF(H177&lt;=100,"🟢 ضمن الهدف",IF(H177&lt;=150,"🟡 تجاوز بسيط","🔴 فاقد عالٍ")))</f>
        <v/>
      </c>
    </row>
    <row r="178" ht="15" customHeight="1" s="40">
      <c r="A178" s="85" t="n">
        <v>174</v>
      </c>
      <c r="B178" s="86" t="n"/>
      <c r="C178" s="87" t="n"/>
      <c r="D178" s="87" t="n"/>
      <c r="E178" s="87" t="n"/>
      <c r="F178" s="89" t="n"/>
      <c r="G178" s="89" t="n"/>
      <c r="H178" s="90">
        <f>IF(OR(F178="",F178=0),"",(G178/F178)*33000)</f>
        <v/>
      </c>
      <c r="I178" s="56">
        <f>IF(H178="","—",IF(H178&lt;=100,"🟢 ضمن الهدف",IF(H178&lt;=150,"🟡 تجاوز بسيط","🔴 فاقد عالٍ")))</f>
        <v/>
      </c>
    </row>
    <row r="179" ht="15" customHeight="1" s="40">
      <c r="A179" s="85" t="n">
        <v>175</v>
      </c>
      <c r="B179" s="86" t="n"/>
      <c r="C179" s="87" t="n"/>
      <c r="D179" s="87" t="n"/>
      <c r="E179" s="87" t="n"/>
      <c r="F179" s="89" t="n"/>
      <c r="G179" s="89" t="n"/>
      <c r="H179" s="90">
        <f>IF(OR(F179="",F179=0),"",(G179/F179)*33000)</f>
        <v/>
      </c>
      <c r="I179" s="56">
        <f>IF(H179="","—",IF(H179&lt;=100,"🟢 ضمن الهدف",IF(H179&lt;=150,"🟡 تجاوز بسيط","🔴 فاقد عالٍ")))</f>
        <v/>
      </c>
    </row>
    <row r="180" ht="15" customHeight="1" s="40">
      <c r="A180" s="85" t="n">
        <v>176</v>
      </c>
      <c r="B180" s="86" t="n"/>
      <c r="C180" s="87" t="n"/>
      <c r="D180" s="87" t="n"/>
      <c r="E180" s="87" t="n"/>
      <c r="F180" s="89" t="n"/>
      <c r="G180" s="89" t="n"/>
      <c r="H180" s="90">
        <f>IF(OR(F180="",F180=0),"",(G180/F180)*33000)</f>
        <v/>
      </c>
      <c r="I180" s="56">
        <f>IF(H180="","—",IF(H180&lt;=100,"🟢 ضمن الهدف",IF(H180&lt;=150,"🟡 تجاوز بسيط","🔴 فاقد عالٍ")))</f>
        <v/>
      </c>
    </row>
    <row r="181" ht="15" customHeight="1" s="40">
      <c r="A181" s="85" t="n">
        <v>177</v>
      </c>
      <c r="B181" s="86" t="n"/>
      <c r="C181" s="87" t="n"/>
      <c r="D181" s="87" t="n"/>
      <c r="E181" s="87" t="n"/>
      <c r="F181" s="89" t="n"/>
      <c r="G181" s="89" t="n"/>
      <c r="H181" s="90">
        <f>IF(OR(F181="",F181=0),"",(G181/F181)*33000)</f>
        <v/>
      </c>
      <c r="I181" s="56">
        <f>IF(H181="","—",IF(H181&lt;=100,"🟢 ضمن الهدف",IF(H181&lt;=150,"🟡 تجاوز بسيط","🔴 فاقد عالٍ")))</f>
        <v/>
      </c>
    </row>
    <row r="182" ht="15" customHeight="1" s="40">
      <c r="A182" s="85" t="n">
        <v>178</v>
      </c>
      <c r="B182" s="86" t="n"/>
      <c r="C182" s="87" t="n"/>
      <c r="D182" s="87" t="n"/>
      <c r="E182" s="87" t="n"/>
      <c r="F182" s="89" t="n"/>
      <c r="G182" s="89" t="n"/>
      <c r="H182" s="90">
        <f>IF(OR(F182="",F182=0),"",(G182/F182)*33000)</f>
        <v/>
      </c>
      <c r="I182" s="56">
        <f>IF(H182="","—",IF(H182&lt;=100,"🟢 ضمن الهدف",IF(H182&lt;=150,"🟡 تجاوز بسيط","🔴 فاقد عالٍ")))</f>
        <v/>
      </c>
    </row>
    <row r="183" ht="15" customHeight="1" s="40">
      <c r="A183" s="85" t="n">
        <v>179</v>
      </c>
      <c r="B183" s="86" t="n"/>
      <c r="C183" s="87" t="n"/>
      <c r="D183" s="87" t="n"/>
      <c r="E183" s="87" t="n"/>
      <c r="F183" s="89" t="n"/>
      <c r="G183" s="89" t="n"/>
      <c r="H183" s="90">
        <f>IF(OR(F183="",F183=0),"",(G183/F183)*33000)</f>
        <v/>
      </c>
      <c r="I183" s="56">
        <f>IF(H183="","—",IF(H183&lt;=100,"🟢 ضمن الهدف",IF(H183&lt;=150,"🟡 تجاوز بسيط","🔴 فاقد عالٍ")))</f>
        <v/>
      </c>
    </row>
    <row r="184" ht="15" customHeight="1" s="40">
      <c r="A184" s="85" t="n">
        <v>180</v>
      </c>
      <c r="B184" s="86" t="n"/>
      <c r="C184" s="87" t="n"/>
      <c r="D184" s="87" t="n"/>
      <c r="E184" s="87" t="n"/>
      <c r="F184" s="89" t="n"/>
      <c r="G184" s="89" t="n"/>
      <c r="H184" s="90">
        <f>IF(OR(F184="",F184=0),"",(G184/F184)*33000)</f>
        <v/>
      </c>
      <c r="I184" s="56">
        <f>IF(H184="","—",IF(H184&lt;=100,"🟢 ضمن الهدف",IF(H184&lt;=150,"🟡 تجاوز بسيط","🔴 فاقد عالٍ")))</f>
        <v/>
      </c>
    </row>
    <row r="185" ht="15" customHeight="1" s="40">
      <c r="A185" s="85" t="n">
        <v>181</v>
      </c>
      <c r="B185" s="86" t="n"/>
      <c r="C185" s="87" t="n"/>
      <c r="D185" s="87" t="n"/>
      <c r="E185" s="87" t="n"/>
      <c r="F185" s="89" t="n"/>
      <c r="G185" s="89" t="n"/>
      <c r="H185" s="90">
        <f>IF(OR(F185="",F185=0),"",(G185/F185)*33000)</f>
        <v/>
      </c>
      <c r="I185" s="56">
        <f>IF(H185="","—",IF(H185&lt;=100,"🟢 ضمن الهدف",IF(H185&lt;=150,"🟡 تجاوز بسيط","🔴 فاقد عالٍ")))</f>
        <v/>
      </c>
    </row>
    <row r="186" ht="15" customHeight="1" s="40">
      <c r="A186" s="85" t="n">
        <v>182</v>
      </c>
      <c r="B186" s="86" t="n"/>
      <c r="C186" s="87" t="n"/>
      <c r="D186" s="87" t="n"/>
      <c r="E186" s="87" t="n"/>
      <c r="F186" s="89" t="n"/>
      <c r="G186" s="89" t="n"/>
      <c r="H186" s="90">
        <f>IF(OR(F186="",F186=0),"",(G186/F186)*33000)</f>
        <v/>
      </c>
      <c r="I186" s="56">
        <f>IF(H186="","—",IF(H186&lt;=100,"🟢 ضمن الهدف",IF(H186&lt;=150,"🟡 تجاوز بسيط","🔴 فاقد عالٍ")))</f>
        <v/>
      </c>
    </row>
    <row r="187" ht="15" customHeight="1" s="40">
      <c r="A187" s="85" t="n">
        <v>183</v>
      </c>
      <c r="B187" s="86" t="n"/>
      <c r="C187" s="87" t="n"/>
      <c r="D187" s="87" t="n"/>
      <c r="E187" s="87" t="n"/>
      <c r="F187" s="89" t="n"/>
      <c r="G187" s="89" t="n"/>
      <c r="H187" s="90">
        <f>IF(OR(F187="",F187=0),"",(G187/F187)*33000)</f>
        <v/>
      </c>
      <c r="I187" s="56">
        <f>IF(H187="","—",IF(H187&lt;=100,"🟢 ضمن الهدف",IF(H187&lt;=150,"🟡 تجاوز بسيط","🔴 فاقد عالٍ")))</f>
        <v/>
      </c>
    </row>
    <row r="188" ht="15" customHeight="1" s="40">
      <c r="A188" s="85" t="n">
        <v>184</v>
      </c>
      <c r="B188" s="86" t="n"/>
      <c r="C188" s="87" t="n"/>
      <c r="D188" s="87" t="n"/>
      <c r="E188" s="87" t="n"/>
      <c r="F188" s="89" t="n"/>
      <c r="G188" s="89" t="n"/>
      <c r="H188" s="90">
        <f>IF(OR(F188="",F188=0),"",(G188/F188)*33000)</f>
        <v/>
      </c>
      <c r="I188" s="56">
        <f>IF(H188="","—",IF(H188&lt;=100,"🟢 ضمن الهدف",IF(H188&lt;=150,"🟡 تجاوز بسيط","🔴 فاقد عالٍ")))</f>
        <v/>
      </c>
    </row>
    <row r="189" ht="15" customHeight="1" s="40">
      <c r="A189" s="85" t="n">
        <v>185</v>
      </c>
      <c r="B189" s="86" t="n"/>
      <c r="C189" s="87" t="n"/>
      <c r="D189" s="87" t="n"/>
      <c r="E189" s="87" t="n"/>
      <c r="F189" s="89" t="n"/>
      <c r="G189" s="89" t="n"/>
      <c r="H189" s="90">
        <f>IF(OR(F189="",F189=0),"",(G189/F189)*33000)</f>
        <v/>
      </c>
      <c r="I189" s="56">
        <f>IF(H189="","—",IF(H189&lt;=100,"🟢 ضمن الهدف",IF(H189&lt;=150,"🟡 تجاوز بسيط","🔴 فاقد عالٍ")))</f>
        <v/>
      </c>
    </row>
    <row r="190" ht="15" customHeight="1" s="40">
      <c r="A190" s="85" t="n">
        <v>186</v>
      </c>
      <c r="B190" s="86" t="n"/>
      <c r="C190" s="87" t="n"/>
      <c r="D190" s="87" t="n"/>
      <c r="E190" s="87" t="n"/>
      <c r="F190" s="89" t="n"/>
      <c r="G190" s="89" t="n"/>
      <c r="H190" s="90">
        <f>IF(OR(F190="",F190=0),"",(G190/F190)*33000)</f>
        <v/>
      </c>
      <c r="I190" s="56">
        <f>IF(H190="","—",IF(H190&lt;=100,"🟢 ضمن الهدف",IF(H190&lt;=150,"🟡 تجاوز بسيط","🔴 فاقد عالٍ")))</f>
        <v/>
      </c>
    </row>
    <row r="191" ht="15" customHeight="1" s="40">
      <c r="A191" s="85" t="n">
        <v>187</v>
      </c>
      <c r="B191" s="86" t="n"/>
      <c r="C191" s="87" t="n"/>
      <c r="D191" s="87" t="n"/>
      <c r="E191" s="87" t="n"/>
      <c r="F191" s="89" t="n"/>
      <c r="G191" s="89" t="n"/>
      <c r="H191" s="90">
        <f>IF(OR(F191="",F191=0),"",(G191/F191)*33000)</f>
        <v/>
      </c>
      <c r="I191" s="56">
        <f>IF(H191="","—",IF(H191&lt;=100,"🟢 ضمن الهدف",IF(H191&lt;=150,"🟡 تجاوز بسيط","🔴 فاقد عالٍ")))</f>
        <v/>
      </c>
    </row>
    <row r="192" ht="15" customHeight="1" s="40">
      <c r="A192" s="85" t="n">
        <v>188</v>
      </c>
      <c r="B192" s="86" t="n"/>
      <c r="C192" s="87" t="n"/>
      <c r="D192" s="87" t="n"/>
      <c r="E192" s="87" t="n"/>
      <c r="F192" s="89" t="n"/>
      <c r="G192" s="89" t="n"/>
      <c r="H192" s="90">
        <f>IF(OR(F192="",F192=0),"",(G192/F192)*33000)</f>
        <v/>
      </c>
      <c r="I192" s="56">
        <f>IF(H192="","—",IF(H192&lt;=100,"🟢 ضمن الهدف",IF(H192&lt;=150,"🟡 تجاوز بسيط","🔴 فاقد عالٍ")))</f>
        <v/>
      </c>
    </row>
    <row r="193" ht="15" customHeight="1" s="40">
      <c r="A193" s="85" t="n">
        <v>189</v>
      </c>
      <c r="B193" s="86" t="n"/>
      <c r="C193" s="87" t="n"/>
      <c r="D193" s="87" t="n"/>
      <c r="E193" s="87" t="n"/>
      <c r="F193" s="89" t="n"/>
      <c r="G193" s="89" t="n"/>
      <c r="H193" s="90">
        <f>IF(OR(F193="",F193=0),"",(G193/F193)*33000)</f>
        <v/>
      </c>
      <c r="I193" s="56">
        <f>IF(H193="","—",IF(H193&lt;=100,"🟢 ضمن الهدف",IF(H193&lt;=150,"🟡 تجاوز بسيط","🔴 فاقد عالٍ")))</f>
        <v/>
      </c>
    </row>
    <row r="194" ht="15" customHeight="1" s="40">
      <c r="A194" s="85" t="n">
        <v>190</v>
      </c>
      <c r="B194" s="86" t="n"/>
      <c r="C194" s="87" t="n"/>
      <c r="D194" s="87" t="n"/>
      <c r="E194" s="87" t="n"/>
      <c r="F194" s="89" t="n"/>
      <c r="G194" s="89" t="n"/>
      <c r="H194" s="90">
        <f>IF(OR(F194="",F194=0),"",(G194/F194)*33000)</f>
        <v/>
      </c>
      <c r="I194" s="56">
        <f>IF(H194="","—",IF(H194&lt;=100,"🟢 ضمن الهدف",IF(H194&lt;=150,"🟡 تجاوز بسيط","🔴 فاقد عالٍ")))</f>
        <v/>
      </c>
    </row>
    <row r="195" ht="15" customHeight="1" s="40">
      <c r="A195" s="85" t="n">
        <v>191</v>
      </c>
      <c r="B195" s="86" t="n"/>
      <c r="C195" s="87" t="n"/>
      <c r="D195" s="87" t="n"/>
      <c r="E195" s="87" t="n"/>
      <c r="F195" s="89" t="n"/>
      <c r="G195" s="89" t="n"/>
      <c r="H195" s="90">
        <f>IF(OR(F195="",F195=0),"",(G195/F195)*33000)</f>
        <v/>
      </c>
      <c r="I195" s="56">
        <f>IF(H195="","—",IF(H195&lt;=100,"🟢 ضمن الهدف",IF(H195&lt;=150,"🟡 تجاوز بسيط","🔴 فاقد عالٍ")))</f>
        <v/>
      </c>
    </row>
    <row r="196" ht="15" customHeight="1" s="40">
      <c r="A196" s="85" t="n">
        <v>192</v>
      </c>
      <c r="B196" s="86" t="n"/>
      <c r="C196" s="87" t="n"/>
      <c r="D196" s="87" t="n"/>
      <c r="E196" s="87" t="n"/>
      <c r="F196" s="89" t="n"/>
      <c r="G196" s="89" t="n"/>
      <c r="H196" s="90">
        <f>IF(OR(F196="",F196=0),"",(G196/F196)*33000)</f>
        <v/>
      </c>
      <c r="I196" s="56">
        <f>IF(H196="","—",IF(H196&lt;=100,"🟢 ضمن الهدف",IF(H196&lt;=150,"🟡 تجاوز بسيط","🔴 فاقد عالٍ")))</f>
        <v/>
      </c>
    </row>
    <row r="197" ht="15" customHeight="1" s="40">
      <c r="A197" s="85" t="n">
        <v>193</v>
      </c>
      <c r="B197" s="86" t="n"/>
      <c r="C197" s="87" t="n"/>
      <c r="D197" s="87" t="n"/>
      <c r="E197" s="87" t="n"/>
      <c r="F197" s="89" t="n"/>
      <c r="G197" s="89" t="n"/>
      <c r="H197" s="90">
        <f>IF(OR(F197="",F197=0),"",(G197/F197)*33000)</f>
        <v/>
      </c>
      <c r="I197" s="56">
        <f>IF(H197="","—",IF(H197&lt;=100,"🟢 ضمن الهدف",IF(H197&lt;=150,"🟡 تجاوز بسيط","🔴 فاقد عالٍ")))</f>
        <v/>
      </c>
    </row>
    <row r="198" ht="15" customHeight="1" s="40">
      <c r="A198" s="85" t="n">
        <v>194</v>
      </c>
      <c r="B198" s="86" t="n"/>
      <c r="C198" s="87" t="n"/>
      <c r="D198" s="87" t="n"/>
      <c r="E198" s="87" t="n"/>
      <c r="F198" s="89" t="n"/>
      <c r="G198" s="89" t="n"/>
      <c r="H198" s="90">
        <f>IF(OR(F198="",F198=0),"",(G198/F198)*33000)</f>
        <v/>
      </c>
      <c r="I198" s="56">
        <f>IF(H198="","—",IF(H198&lt;=100,"🟢 ضمن الهدف",IF(H198&lt;=150,"🟡 تجاوز بسيط","🔴 فاقد عالٍ")))</f>
        <v/>
      </c>
    </row>
    <row r="199" ht="15" customHeight="1" s="40">
      <c r="A199" s="85" t="n">
        <v>195</v>
      </c>
      <c r="B199" s="86" t="n"/>
      <c r="C199" s="87" t="n"/>
      <c r="D199" s="87" t="n"/>
      <c r="E199" s="87" t="n"/>
      <c r="F199" s="89" t="n"/>
      <c r="G199" s="89" t="n"/>
      <c r="H199" s="90">
        <f>IF(OR(F199="",F199=0),"",(G199/F199)*33000)</f>
        <v/>
      </c>
      <c r="I199" s="56">
        <f>IF(H199="","—",IF(H199&lt;=100,"🟢 ضمن الهدف",IF(H199&lt;=150,"🟡 تجاوز بسيط","🔴 فاقد عالٍ")))</f>
        <v/>
      </c>
    </row>
    <row r="200" ht="15" customHeight="1" s="40">
      <c r="A200" s="85" t="n">
        <v>196</v>
      </c>
      <c r="B200" s="86" t="n"/>
      <c r="C200" s="87" t="n"/>
      <c r="D200" s="87" t="n"/>
      <c r="E200" s="87" t="n"/>
      <c r="F200" s="89" t="n"/>
      <c r="G200" s="89" t="n"/>
      <c r="H200" s="90">
        <f>IF(OR(F200="",F200=0),"",(G200/F200)*33000)</f>
        <v/>
      </c>
      <c r="I200" s="56">
        <f>IF(H200="","—",IF(H200&lt;=100,"🟢 ضمن الهدف",IF(H200&lt;=150,"🟡 تجاوز بسيط","🔴 فاقد عالٍ")))</f>
        <v/>
      </c>
    </row>
    <row r="201" ht="15" customHeight="1" s="40">
      <c r="A201" s="85" t="n">
        <v>197</v>
      </c>
      <c r="B201" s="86" t="n"/>
      <c r="C201" s="87" t="n"/>
      <c r="D201" s="87" t="n"/>
      <c r="E201" s="87" t="n"/>
      <c r="F201" s="89" t="n"/>
      <c r="G201" s="89" t="n"/>
      <c r="H201" s="90">
        <f>IF(OR(F201="",F201=0),"",(G201/F201)*33000)</f>
        <v/>
      </c>
      <c r="I201" s="56">
        <f>IF(H201="","—",IF(H201&lt;=100,"🟢 ضمن الهدف",IF(H201&lt;=150,"🟡 تجاوز بسيط","🔴 فاقد عالٍ")))</f>
        <v/>
      </c>
    </row>
    <row r="202" ht="15" customHeight="1" s="40">
      <c r="A202" s="85" t="n">
        <v>198</v>
      </c>
      <c r="B202" s="86" t="n"/>
      <c r="C202" s="87" t="n"/>
      <c r="D202" s="87" t="n"/>
      <c r="E202" s="87" t="n"/>
      <c r="F202" s="89" t="n"/>
      <c r="G202" s="89" t="n"/>
      <c r="H202" s="90">
        <f>IF(OR(F202="",F202=0),"",(G202/F202)*33000)</f>
        <v/>
      </c>
      <c r="I202" s="56">
        <f>IF(H202="","—",IF(H202&lt;=100,"🟢 ضمن الهدف",IF(H202&lt;=150,"🟡 تجاوز بسيط","🔴 فاقد عالٍ")))</f>
        <v/>
      </c>
    </row>
    <row r="203" ht="15" customHeight="1" s="40">
      <c r="A203" s="85" t="n">
        <v>199</v>
      </c>
      <c r="B203" s="86" t="n"/>
      <c r="C203" s="87" t="n"/>
      <c r="D203" s="87" t="n"/>
      <c r="E203" s="87" t="n"/>
      <c r="F203" s="89" t="n"/>
      <c r="G203" s="89" t="n"/>
      <c r="H203" s="90">
        <f>IF(OR(F203="",F203=0),"",(G203/F203)*33000)</f>
        <v/>
      </c>
      <c r="I203" s="56">
        <f>IF(H203="","—",IF(H203&lt;=100,"🟢 ضمن الهدف",IF(H203&lt;=150,"🟡 تجاوز بسيط","🔴 فاقد عالٍ")))</f>
        <v/>
      </c>
    </row>
    <row r="204" ht="15" customHeight="1" s="40">
      <c r="A204" s="85" t="n">
        <v>200</v>
      </c>
      <c r="B204" s="86" t="n"/>
      <c r="C204" s="87" t="n"/>
      <c r="D204" s="87" t="n"/>
      <c r="E204" s="87" t="n"/>
      <c r="F204" s="89" t="n"/>
      <c r="G204" s="89" t="n"/>
      <c r="H204" s="90">
        <f>IF(OR(F204="",F204=0),"",(G204/F204)*33000)</f>
        <v/>
      </c>
      <c r="I204" s="56">
        <f>IF(H204="","—",IF(H204&lt;=100,"🟢 ضمن الهدف",IF(H204&lt;=150,"🟡 تجاوز بسيط","🔴 فاقد عالٍ")))</f>
        <v/>
      </c>
    </row>
    <row r="205" ht="15" customHeight="1" s="40">
      <c r="A205" s="85" t="n">
        <v>201</v>
      </c>
      <c r="B205" s="86" t="n"/>
      <c r="C205" s="87" t="n"/>
      <c r="D205" s="87" t="n"/>
      <c r="E205" s="87" t="n"/>
      <c r="F205" s="89" t="n"/>
      <c r="G205" s="89" t="n"/>
      <c r="H205" s="90">
        <f>IF(OR(F205="",F205=0),"",(G205/F205)*33000)</f>
        <v/>
      </c>
      <c r="I205" s="56">
        <f>IF(H205="","—",IF(H205&lt;=100,"🟢 ضمن الهدف",IF(H205&lt;=150,"🟡 تجاوز بسيط","🔴 فاقد عالٍ")))</f>
        <v/>
      </c>
    </row>
    <row r="206" ht="15" customHeight="1" s="40">
      <c r="A206" s="85" t="n">
        <v>202</v>
      </c>
      <c r="B206" s="86" t="n"/>
      <c r="C206" s="87" t="n"/>
      <c r="D206" s="87" t="n"/>
      <c r="E206" s="87" t="n"/>
      <c r="F206" s="89" t="n"/>
      <c r="G206" s="89" t="n"/>
      <c r="H206" s="90">
        <f>IF(OR(F206="",F206=0),"",(G206/F206)*33000)</f>
        <v/>
      </c>
      <c r="I206" s="56">
        <f>IF(H206="","—",IF(H206&lt;=100,"🟢 ضمن الهدف",IF(H206&lt;=150,"🟡 تجاوز بسيط","🔴 فاقد عالٍ")))</f>
        <v/>
      </c>
    </row>
    <row r="207" ht="15" customHeight="1" s="40">
      <c r="A207" s="85" t="n">
        <v>203</v>
      </c>
      <c r="B207" s="86" t="n"/>
      <c r="C207" s="87" t="n"/>
      <c r="D207" s="87" t="n"/>
      <c r="E207" s="87" t="n"/>
      <c r="F207" s="89" t="n"/>
      <c r="G207" s="89" t="n"/>
      <c r="H207" s="90">
        <f>IF(OR(F207="",F207=0),"",(G207/F207)*33000)</f>
        <v/>
      </c>
      <c r="I207" s="56">
        <f>IF(H207="","—",IF(H207&lt;=100,"🟢 ضمن الهدف",IF(H207&lt;=150,"🟡 تجاوز بسيط","🔴 فاقد عالٍ")))</f>
        <v/>
      </c>
    </row>
    <row r="208" ht="15" customHeight="1" s="40">
      <c r="A208" s="85" t="n">
        <v>204</v>
      </c>
      <c r="B208" s="86" t="n"/>
      <c r="C208" s="87" t="n"/>
      <c r="D208" s="87" t="n"/>
      <c r="E208" s="87" t="n"/>
      <c r="F208" s="89" t="n"/>
      <c r="G208" s="89" t="n"/>
      <c r="H208" s="90">
        <f>IF(OR(F208="",F208=0),"",(G208/F208)*33000)</f>
        <v/>
      </c>
      <c r="I208" s="56">
        <f>IF(H208="","—",IF(H208&lt;=100,"🟢 ضمن الهدف",IF(H208&lt;=150,"🟡 تجاوز بسيط","🔴 فاقد عالٍ")))</f>
        <v/>
      </c>
    </row>
    <row r="209" ht="15" customHeight="1" s="40">
      <c r="A209" s="85" t="n">
        <v>205</v>
      </c>
      <c r="B209" s="86" t="n"/>
      <c r="C209" s="87" t="n"/>
      <c r="D209" s="87" t="n"/>
      <c r="E209" s="87" t="n"/>
      <c r="F209" s="89" t="n"/>
      <c r="G209" s="89" t="n"/>
      <c r="H209" s="90">
        <f>IF(OR(F209="",F209=0),"",(G209/F209)*33000)</f>
        <v/>
      </c>
      <c r="I209" s="56">
        <f>IF(H209="","—",IF(H209&lt;=100,"🟢 ضمن الهدف",IF(H209&lt;=150,"🟡 تجاوز بسيط","🔴 فاقد عالٍ")))</f>
        <v/>
      </c>
    </row>
    <row r="210" ht="15" customHeight="1" s="40">
      <c r="A210" s="85" t="n">
        <v>206</v>
      </c>
      <c r="B210" s="86" t="n"/>
      <c r="C210" s="87" t="n"/>
      <c r="D210" s="87" t="n"/>
      <c r="E210" s="87" t="n"/>
      <c r="F210" s="89" t="n"/>
      <c r="G210" s="89" t="n"/>
      <c r="H210" s="90">
        <f>IF(OR(F210="",F210=0),"",(G210/F210)*33000)</f>
        <v/>
      </c>
      <c r="I210" s="56">
        <f>IF(H210="","—",IF(H210&lt;=100,"🟢 ضمن الهدف",IF(H210&lt;=150,"🟡 تجاوز بسيط","🔴 فاقد عالٍ")))</f>
        <v/>
      </c>
    </row>
    <row r="211" ht="15" customHeight="1" s="40">
      <c r="A211" s="85" t="n">
        <v>207</v>
      </c>
      <c r="B211" s="86" t="n"/>
      <c r="C211" s="87" t="n"/>
      <c r="D211" s="87" t="n"/>
      <c r="E211" s="87" t="n"/>
      <c r="F211" s="89" t="n"/>
      <c r="G211" s="89" t="n"/>
      <c r="H211" s="90">
        <f>IF(OR(F211="",F211=0),"",(G211/F211)*33000)</f>
        <v/>
      </c>
      <c r="I211" s="56">
        <f>IF(H211="","—",IF(H211&lt;=100,"🟢 ضمن الهدف",IF(H211&lt;=150,"🟡 تجاوز بسيط","🔴 فاقد عالٍ")))</f>
        <v/>
      </c>
    </row>
    <row r="212" ht="15" customHeight="1" s="40">
      <c r="A212" s="85" t="n">
        <v>208</v>
      </c>
      <c r="B212" s="86" t="n"/>
      <c r="C212" s="87" t="n"/>
      <c r="D212" s="87" t="n"/>
      <c r="E212" s="87" t="n"/>
      <c r="F212" s="89" t="n"/>
      <c r="G212" s="89" t="n"/>
      <c r="H212" s="90">
        <f>IF(OR(F212="",F212=0),"",(G212/F212)*33000)</f>
        <v/>
      </c>
      <c r="I212" s="56">
        <f>IF(H212="","—",IF(H212&lt;=100,"🟢 ضمن الهدف",IF(H212&lt;=150,"🟡 تجاوز بسيط","🔴 فاقد عالٍ")))</f>
        <v/>
      </c>
    </row>
    <row r="213" ht="15" customHeight="1" s="40">
      <c r="A213" s="85" t="n">
        <v>209</v>
      </c>
      <c r="B213" s="86" t="n"/>
      <c r="C213" s="87" t="n"/>
      <c r="D213" s="87" t="n"/>
      <c r="E213" s="87" t="n"/>
      <c r="F213" s="89" t="n"/>
      <c r="G213" s="89" t="n"/>
      <c r="H213" s="90">
        <f>IF(OR(F213="",F213=0),"",(G213/F213)*33000)</f>
        <v/>
      </c>
      <c r="I213" s="56">
        <f>IF(H213="","—",IF(H213&lt;=100,"🟢 ضمن الهدف",IF(H213&lt;=150,"🟡 تجاوز بسيط","🔴 فاقد عالٍ")))</f>
        <v/>
      </c>
    </row>
    <row r="214" ht="15" customHeight="1" s="40">
      <c r="A214" s="85" t="n">
        <v>210</v>
      </c>
      <c r="B214" s="86" t="n"/>
      <c r="C214" s="87" t="n"/>
      <c r="D214" s="87" t="n"/>
      <c r="E214" s="87" t="n"/>
      <c r="F214" s="89" t="n"/>
      <c r="G214" s="89" t="n"/>
      <c r="H214" s="90">
        <f>IF(OR(F214="",F214=0),"",(G214/F214)*33000)</f>
        <v/>
      </c>
      <c r="I214" s="56">
        <f>IF(H214="","—",IF(H214&lt;=100,"🟢 ضمن الهدف",IF(H214&lt;=150,"🟡 تجاوز بسيط","🔴 فاقد عالٍ")))</f>
        <v/>
      </c>
    </row>
    <row r="215" ht="15" customHeight="1" s="40">
      <c r="A215" s="85" t="n">
        <v>211</v>
      </c>
      <c r="B215" s="86" t="n"/>
      <c r="C215" s="87" t="n"/>
      <c r="D215" s="87" t="n"/>
      <c r="E215" s="87" t="n"/>
      <c r="F215" s="89" t="n"/>
      <c r="G215" s="89" t="n"/>
      <c r="H215" s="90">
        <f>IF(OR(F215="",F215=0),"",(G215/F215)*33000)</f>
        <v/>
      </c>
      <c r="I215" s="56">
        <f>IF(H215="","—",IF(H215&lt;=100,"🟢 ضمن الهدف",IF(H215&lt;=150,"🟡 تجاوز بسيط","🔴 فاقد عالٍ")))</f>
        <v/>
      </c>
    </row>
    <row r="216" ht="15" customHeight="1" s="40">
      <c r="A216" s="85" t="n">
        <v>212</v>
      </c>
      <c r="B216" s="86" t="n"/>
      <c r="C216" s="87" t="n"/>
      <c r="D216" s="87" t="n"/>
      <c r="E216" s="87" t="n"/>
      <c r="F216" s="89" t="n"/>
      <c r="G216" s="89" t="n"/>
      <c r="H216" s="90">
        <f>IF(OR(F216="",F216=0),"",(G216/F216)*33000)</f>
        <v/>
      </c>
      <c r="I216" s="56">
        <f>IF(H216="","—",IF(H216&lt;=100,"🟢 ضمن الهدف",IF(H216&lt;=150,"🟡 تجاوز بسيط","🔴 فاقد عالٍ")))</f>
        <v/>
      </c>
    </row>
    <row r="217" ht="15" customHeight="1" s="40">
      <c r="A217" s="85" t="n">
        <v>213</v>
      </c>
      <c r="B217" s="86" t="n"/>
      <c r="C217" s="87" t="n"/>
      <c r="D217" s="87" t="n"/>
      <c r="E217" s="87" t="n"/>
      <c r="F217" s="89" t="n"/>
      <c r="G217" s="89" t="n"/>
      <c r="H217" s="90">
        <f>IF(OR(F217="",F217=0),"",(G217/F217)*33000)</f>
        <v/>
      </c>
      <c r="I217" s="56">
        <f>IF(H217="","—",IF(H217&lt;=100,"🟢 ضمن الهدف",IF(H217&lt;=150,"🟡 تجاوز بسيط","🔴 فاقد عالٍ")))</f>
        <v/>
      </c>
    </row>
    <row r="218" ht="15" customHeight="1" s="40">
      <c r="A218" s="85" t="n">
        <v>214</v>
      </c>
      <c r="B218" s="86" t="n"/>
      <c r="C218" s="87" t="n"/>
      <c r="D218" s="87" t="n"/>
      <c r="E218" s="87" t="n"/>
      <c r="F218" s="89" t="n"/>
      <c r="G218" s="89" t="n"/>
      <c r="H218" s="90">
        <f>IF(OR(F218="",F218=0),"",(G218/F218)*33000)</f>
        <v/>
      </c>
      <c r="I218" s="56">
        <f>IF(H218="","—",IF(H218&lt;=100,"🟢 ضمن الهدف",IF(H218&lt;=150,"🟡 تجاوز بسيط","🔴 فاقد عالٍ")))</f>
        <v/>
      </c>
    </row>
    <row r="219" ht="15" customHeight="1" s="40">
      <c r="A219" s="85" t="n">
        <v>215</v>
      </c>
      <c r="B219" s="86" t="n"/>
      <c r="C219" s="87" t="n"/>
      <c r="D219" s="87" t="n"/>
      <c r="E219" s="87" t="n"/>
      <c r="F219" s="89" t="n"/>
      <c r="G219" s="89" t="n"/>
      <c r="H219" s="90">
        <f>IF(OR(F219="",F219=0),"",(G219/F219)*33000)</f>
        <v/>
      </c>
      <c r="I219" s="56">
        <f>IF(H219="","—",IF(H219&lt;=100,"🟢 ضمن الهدف",IF(H219&lt;=150,"🟡 تجاوز بسيط","🔴 فاقد عالٍ")))</f>
        <v/>
      </c>
    </row>
    <row r="220" ht="15" customHeight="1" s="40">
      <c r="A220" s="85" t="n">
        <v>216</v>
      </c>
      <c r="B220" s="86" t="n"/>
      <c r="C220" s="87" t="n"/>
      <c r="D220" s="87" t="n"/>
      <c r="E220" s="87" t="n"/>
      <c r="F220" s="89" t="n"/>
      <c r="G220" s="89" t="n"/>
      <c r="H220" s="90">
        <f>IF(OR(F220="",F220=0),"",(G220/F220)*33000)</f>
        <v/>
      </c>
      <c r="I220" s="56">
        <f>IF(H220="","—",IF(H220&lt;=100,"🟢 ضمن الهدف",IF(H220&lt;=150,"🟡 تجاوز بسيط","🔴 فاقد عالٍ")))</f>
        <v/>
      </c>
    </row>
    <row r="221" ht="15" customHeight="1" s="40">
      <c r="A221" s="85" t="n">
        <v>217</v>
      </c>
      <c r="B221" s="86" t="n"/>
      <c r="C221" s="87" t="n"/>
      <c r="D221" s="87" t="n"/>
      <c r="E221" s="87" t="n"/>
      <c r="F221" s="89" t="n"/>
      <c r="G221" s="89" t="n"/>
      <c r="H221" s="90">
        <f>IF(OR(F221="",F221=0),"",(G221/F221)*33000)</f>
        <v/>
      </c>
      <c r="I221" s="56">
        <f>IF(H221="","—",IF(H221&lt;=100,"🟢 ضمن الهدف",IF(H221&lt;=150,"🟡 تجاوز بسيط","🔴 فاقد عالٍ")))</f>
        <v/>
      </c>
    </row>
    <row r="222" ht="15" customHeight="1" s="40">
      <c r="A222" s="85" t="n">
        <v>218</v>
      </c>
      <c r="B222" s="86" t="n"/>
      <c r="C222" s="87" t="n"/>
      <c r="D222" s="87" t="n"/>
      <c r="E222" s="87" t="n"/>
      <c r="F222" s="89" t="n"/>
      <c r="G222" s="89" t="n"/>
      <c r="H222" s="90">
        <f>IF(OR(F222="",F222=0),"",(G222/F222)*33000)</f>
        <v/>
      </c>
      <c r="I222" s="56">
        <f>IF(H222="","—",IF(H222&lt;=100,"🟢 ضمن الهدف",IF(H222&lt;=150,"🟡 تجاوز بسيط","🔴 فاقد عالٍ")))</f>
        <v/>
      </c>
    </row>
    <row r="223" ht="15" customHeight="1" s="40">
      <c r="A223" s="85" t="n">
        <v>219</v>
      </c>
      <c r="B223" s="86" t="n"/>
      <c r="C223" s="87" t="n"/>
      <c r="D223" s="87" t="n"/>
      <c r="E223" s="87" t="n"/>
      <c r="F223" s="89" t="n"/>
      <c r="G223" s="89" t="n"/>
      <c r="H223" s="90">
        <f>IF(OR(F223="",F223=0),"",(G223/F223)*33000)</f>
        <v/>
      </c>
      <c r="I223" s="56">
        <f>IF(H223="","—",IF(H223&lt;=100,"🟢 ضمن الهدف",IF(H223&lt;=150,"🟡 تجاوز بسيط","🔴 فاقد عالٍ")))</f>
        <v/>
      </c>
    </row>
    <row r="224" ht="15" customHeight="1" s="40">
      <c r="A224" s="85" t="n">
        <v>220</v>
      </c>
      <c r="B224" s="86" t="n"/>
      <c r="C224" s="87" t="n"/>
      <c r="D224" s="87" t="n"/>
      <c r="E224" s="87" t="n"/>
      <c r="F224" s="89" t="n"/>
      <c r="G224" s="89" t="n"/>
      <c r="H224" s="90">
        <f>IF(OR(F224="",F224=0),"",(G224/F224)*33000)</f>
        <v/>
      </c>
      <c r="I224" s="56">
        <f>IF(H224="","—",IF(H224&lt;=100,"🟢 ضمن الهدف",IF(H224&lt;=150,"🟡 تجاوز بسيط","🔴 فاقد عالٍ")))</f>
        <v/>
      </c>
    </row>
    <row r="225" ht="15" customHeight="1" s="40">
      <c r="A225" s="85" t="n">
        <v>221</v>
      </c>
      <c r="B225" s="86" t="n"/>
      <c r="C225" s="87" t="n"/>
      <c r="D225" s="87" t="n"/>
      <c r="E225" s="87" t="n"/>
      <c r="F225" s="89" t="n"/>
      <c r="G225" s="89" t="n"/>
      <c r="H225" s="90">
        <f>IF(OR(F225="",F225=0),"",(G225/F225)*33000)</f>
        <v/>
      </c>
      <c r="I225" s="56">
        <f>IF(H225="","—",IF(H225&lt;=100,"🟢 ضمن الهدف",IF(H225&lt;=150,"🟡 تجاوز بسيط","🔴 فاقد عالٍ")))</f>
        <v/>
      </c>
    </row>
    <row r="226" ht="15" customHeight="1" s="40">
      <c r="A226" s="85" t="n">
        <v>222</v>
      </c>
      <c r="B226" s="86" t="n"/>
      <c r="C226" s="87" t="n"/>
      <c r="D226" s="87" t="n"/>
      <c r="E226" s="87" t="n"/>
      <c r="F226" s="89" t="n"/>
      <c r="G226" s="89" t="n"/>
      <c r="H226" s="90">
        <f>IF(OR(F226="",F226=0),"",(G226/F226)*33000)</f>
        <v/>
      </c>
      <c r="I226" s="56">
        <f>IF(H226="","—",IF(H226&lt;=100,"🟢 ضمن الهدف",IF(H226&lt;=150,"🟡 تجاوز بسيط","🔴 فاقد عالٍ")))</f>
        <v/>
      </c>
    </row>
    <row r="227" ht="15" customHeight="1" s="40">
      <c r="A227" s="85" t="n">
        <v>223</v>
      </c>
      <c r="B227" s="86" t="n"/>
      <c r="C227" s="87" t="n"/>
      <c r="D227" s="87" t="n"/>
      <c r="E227" s="87" t="n"/>
      <c r="F227" s="89" t="n"/>
      <c r="G227" s="89" t="n"/>
      <c r="H227" s="90">
        <f>IF(OR(F227="",F227=0),"",(G227/F227)*33000)</f>
        <v/>
      </c>
      <c r="I227" s="56">
        <f>IF(H227="","—",IF(H227&lt;=100,"🟢 ضمن الهدف",IF(H227&lt;=150,"🟡 تجاوز بسيط","🔴 فاقد عالٍ")))</f>
        <v/>
      </c>
    </row>
    <row r="228" ht="15" customHeight="1" s="40">
      <c r="A228" s="85" t="n">
        <v>224</v>
      </c>
      <c r="B228" s="86" t="n"/>
      <c r="C228" s="87" t="n"/>
      <c r="D228" s="87" t="n"/>
      <c r="E228" s="87" t="n"/>
      <c r="F228" s="89" t="n"/>
      <c r="G228" s="89" t="n"/>
      <c r="H228" s="90">
        <f>IF(OR(F228="",F228=0),"",(G228/F228)*33000)</f>
        <v/>
      </c>
      <c r="I228" s="56">
        <f>IF(H228="","—",IF(H228&lt;=100,"🟢 ضمن الهدف",IF(H228&lt;=150,"🟡 تجاوز بسيط","🔴 فاقد عالٍ")))</f>
        <v/>
      </c>
    </row>
    <row r="229" ht="15" customHeight="1" s="40">
      <c r="A229" s="85" t="n">
        <v>225</v>
      </c>
      <c r="B229" s="86" t="n"/>
      <c r="C229" s="87" t="n"/>
      <c r="D229" s="87" t="n"/>
      <c r="E229" s="87" t="n"/>
      <c r="F229" s="89" t="n"/>
      <c r="G229" s="89" t="n"/>
      <c r="H229" s="90">
        <f>IF(OR(F229="",F229=0),"",(G229/F229)*33000)</f>
        <v/>
      </c>
      <c r="I229" s="56">
        <f>IF(H229="","—",IF(H229&lt;=100,"🟢 ضمن الهدف",IF(H229&lt;=150,"🟡 تجاوز بسيط","🔴 فاقد عالٍ")))</f>
        <v/>
      </c>
    </row>
    <row r="230" ht="15" customHeight="1" s="40">
      <c r="A230" s="85" t="n">
        <v>226</v>
      </c>
      <c r="B230" s="86" t="n"/>
      <c r="C230" s="87" t="n"/>
      <c r="D230" s="87" t="n"/>
      <c r="E230" s="87" t="n"/>
      <c r="F230" s="89" t="n"/>
      <c r="G230" s="89" t="n"/>
      <c r="H230" s="90">
        <f>IF(OR(F230="",F230=0),"",(G230/F230)*33000)</f>
        <v/>
      </c>
      <c r="I230" s="56">
        <f>IF(H230="","—",IF(H230&lt;=100,"🟢 ضمن الهدف",IF(H230&lt;=150,"🟡 تجاوز بسيط","🔴 فاقد عالٍ")))</f>
        <v/>
      </c>
    </row>
    <row r="231" ht="15" customHeight="1" s="40">
      <c r="A231" s="85" t="n">
        <v>227</v>
      </c>
      <c r="B231" s="86" t="n"/>
      <c r="C231" s="87" t="n"/>
      <c r="D231" s="87" t="n"/>
      <c r="E231" s="87" t="n"/>
      <c r="F231" s="89" t="n"/>
      <c r="G231" s="89" t="n"/>
      <c r="H231" s="90">
        <f>IF(OR(F231="",F231=0),"",(G231/F231)*33000)</f>
        <v/>
      </c>
      <c r="I231" s="56">
        <f>IF(H231="","—",IF(H231&lt;=100,"🟢 ضمن الهدف",IF(H231&lt;=150,"🟡 تجاوز بسيط","🔴 فاقد عالٍ")))</f>
        <v/>
      </c>
    </row>
    <row r="232" ht="15" customHeight="1" s="40">
      <c r="A232" s="85" t="n">
        <v>228</v>
      </c>
      <c r="B232" s="86" t="n"/>
      <c r="C232" s="87" t="n"/>
      <c r="D232" s="87" t="n"/>
      <c r="E232" s="87" t="n"/>
      <c r="F232" s="89" t="n"/>
      <c r="G232" s="89" t="n"/>
      <c r="H232" s="90">
        <f>IF(OR(F232="",F232=0),"",(G232/F232)*33000)</f>
        <v/>
      </c>
      <c r="I232" s="56">
        <f>IF(H232="","—",IF(H232&lt;=100,"🟢 ضمن الهدف",IF(H232&lt;=150,"🟡 تجاوز بسيط","🔴 فاقد عالٍ")))</f>
        <v/>
      </c>
    </row>
    <row r="233" ht="15" customHeight="1" s="40">
      <c r="A233" s="85" t="n">
        <v>229</v>
      </c>
      <c r="B233" s="86" t="n"/>
      <c r="C233" s="87" t="n"/>
      <c r="D233" s="87" t="n"/>
      <c r="E233" s="87" t="n"/>
      <c r="F233" s="89" t="n"/>
      <c r="G233" s="89" t="n"/>
      <c r="H233" s="90">
        <f>IF(OR(F233="",F233=0),"",(G233/F233)*33000)</f>
        <v/>
      </c>
      <c r="I233" s="56">
        <f>IF(H233="","—",IF(H233&lt;=100,"🟢 ضمن الهدف",IF(H233&lt;=150,"🟡 تجاوز بسيط","🔴 فاقد عالٍ")))</f>
        <v/>
      </c>
    </row>
    <row r="234" ht="15" customHeight="1" s="40">
      <c r="A234" s="85" t="n">
        <v>230</v>
      </c>
      <c r="B234" s="86" t="n"/>
      <c r="C234" s="87" t="n"/>
      <c r="D234" s="87" t="n"/>
      <c r="E234" s="87" t="n"/>
      <c r="F234" s="89" t="n"/>
      <c r="G234" s="89" t="n"/>
      <c r="H234" s="90">
        <f>IF(OR(F234="",F234=0),"",(G234/F234)*33000)</f>
        <v/>
      </c>
      <c r="I234" s="56">
        <f>IF(H234="","—",IF(H234&lt;=100,"🟢 ضمن الهدف",IF(H234&lt;=150,"🟡 تجاوز بسيط","🔴 فاقد عالٍ")))</f>
        <v/>
      </c>
    </row>
    <row r="235" ht="15" customHeight="1" s="40">
      <c r="A235" s="85" t="n">
        <v>231</v>
      </c>
      <c r="B235" s="86" t="n"/>
      <c r="C235" s="87" t="n"/>
      <c r="D235" s="87" t="n"/>
      <c r="E235" s="87" t="n"/>
      <c r="F235" s="89" t="n"/>
      <c r="G235" s="89" t="n"/>
      <c r="H235" s="90">
        <f>IF(OR(F235="",F235=0),"",(G235/F235)*33000)</f>
        <v/>
      </c>
      <c r="I235" s="56">
        <f>IF(H235="","—",IF(H235&lt;=100,"🟢 ضمن الهدف",IF(H235&lt;=150,"🟡 تجاوز بسيط","🔴 فاقد عالٍ")))</f>
        <v/>
      </c>
    </row>
    <row r="236" ht="15" customHeight="1" s="40">
      <c r="A236" s="85" t="n">
        <v>232</v>
      </c>
      <c r="B236" s="86" t="n"/>
      <c r="C236" s="87" t="n"/>
      <c r="D236" s="87" t="n"/>
      <c r="E236" s="87" t="n"/>
      <c r="F236" s="89" t="n"/>
      <c r="G236" s="89" t="n"/>
      <c r="H236" s="90">
        <f>IF(OR(F236="",F236=0),"",(G236/F236)*33000)</f>
        <v/>
      </c>
      <c r="I236" s="56">
        <f>IF(H236="","—",IF(H236&lt;=100,"🟢 ضمن الهدف",IF(H236&lt;=150,"🟡 تجاوز بسيط","🔴 فاقد عالٍ")))</f>
        <v/>
      </c>
    </row>
    <row r="237" ht="15" customHeight="1" s="40">
      <c r="A237" s="85" t="n">
        <v>233</v>
      </c>
      <c r="B237" s="86" t="n"/>
      <c r="C237" s="87" t="n"/>
      <c r="D237" s="87" t="n"/>
      <c r="E237" s="87" t="n"/>
      <c r="F237" s="89" t="n"/>
      <c r="G237" s="89" t="n"/>
      <c r="H237" s="90">
        <f>IF(OR(F237="",F237=0),"",(G237/F237)*33000)</f>
        <v/>
      </c>
      <c r="I237" s="56">
        <f>IF(H237="","—",IF(H237&lt;=100,"🟢 ضمن الهدف",IF(H237&lt;=150,"🟡 تجاوز بسيط","🔴 فاقد عالٍ")))</f>
        <v/>
      </c>
    </row>
    <row r="238" ht="15" customHeight="1" s="40">
      <c r="A238" s="85" t="n">
        <v>234</v>
      </c>
      <c r="B238" s="86" t="n"/>
      <c r="C238" s="87" t="n"/>
      <c r="D238" s="87" t="n"/>
      <c r="E238" s="87" t="n"/>
      <c r="F238" s="89" t="n"/>
      <c r="G238" s="89" t="n"/>
      <c r="H238" s="90">
        <f>IF(OR(F238="",F238=0),"",(G238/F238)*33000)</f>
        <v/>
      </c>
      <c r="I238" s="56">
        <f>IF(H238="","—",IF(H238&lt;=100,"🟢 ضمن الهدف",IF(H238&lt;=150,"🟡 تجاوز بسيط","🔴 فاقد عالٍ")))</f>
        <v/>
      </c>
    </row>
    <row r="239" ht="15" customHeight="1" s="40">
      <c r="A239" s="85" t="n">
        <v>235</v>
      </c>
      <c r="B239" s="86" t="n"/>
      <c r="C239" s="87" t="n"/>
      <c r="D239" s="87" t="n"/>
      <c r="E239" s="87" t="n"/>
      <c r="F239" s="89" t="n"/>
      <c r="G239" s="89" t="n"/>
      <c r="H239" s="90">
        <f>IF(OR(F239="",F239=0),"",(G239/F239)*33000)</f>
        <v/>
      </c>
      <c r="I239" s="56">
        <f>IF(H239="","—",IF(H239&lt;=100,"🟢 ضمن الهدف",IF(H239&lt;=150,"🟡 تجاوز بسيط","🔴 فاقد عالٍ")))</f>
        <v/>
      </c>
    </row>
    <row r="240" ht="15" customHeight="1" s="40">
      <c r="A240" s="85" t="n">
        <v>236</v>
      </c>
      <c r="B240" s="86" t="n"/>
      <c r="C240" s="87" t="n"/>
      <c r="D240" s="87" t="n"/>
      <c r="E240" s="87" t="n"/>
      <c r="F240" s="89" t="n"/>
      <c r="G240" s="89" t="n"/>
      <c r="H240" s="90">
        <f>IF(OR(F240="",F240=0),"",(G240/F240)*33000)</f>
        <v/>
      </c>
      <c r="I240" s="56">
        <f>IF(H240="","—",IF(H240&lt;=100,"🟢 ضمن الهدف",IF(H240&lt;=150,"🟡 تجاوز بسيط","🔴 فاقد عالٍ")))</f>
        <v/>
      </c>
    </row>
    <row r="241" ht="15" customHeight="1" s="40">
      <c r="A241" s="85" t="n">
        <v>237</v>
      </c>
      <c r="B241" s="86" t="n"/>
      <c r="C241" s="87" t="n"/>
      <c r="D241" s="87" t="n"/>
      <c r="E241" s="87" t="n"/>
      <c r="F241" s="89" t="n"/>
      <c r="G241" s="89" t="n"/>
      <c r="H241" s="90">
        <f>IF(OR(F241="",F241=0),"",(G241/F241)*33000)</f>
        <v/>
      </c>
      <c r="I241" s="56">
        <f>IF(H241="","—",IF(H241&lt;=100,"🟢 ضمن الهدف",IF(H241&lt;=150,"🟡 تجاوز بسيط","🔴 فاقد عالٍ")))</f>
        <v/>
      </c>
    </row>
    <row r="242" ht="15" customHeight="1" s="40">
      <c r="A242" s="85" t="n">
        <v>238</v>
      </c>
      <c r="B242" s="86" t="n"/>
      <c r="C242" s="87" t="n"/>
      <c r="D242" s="87" t="n"/>
      <c r="E242" s="87" t="n"/>
      <c r="F242" s="89" t="n"/>
      <c r="G242" s="89" t="n"/>
      <c r="H242" s="90">
        <f>IF(OR(F242="",F242=0),"",(G242/F242)*33000)</f>
        <v/>
      </c>
      <c r="I242" s="56">
        <f>IF(H242="","—",IF(H242&lt;=100,"🟢 ضمن الهدف",IF(H242&lt;=150,"🟡 تجاوز بسيط","🔴 فاقد عالٍ")))</f>
        <v/>
      </c>
    </row>
    <row r="243" ht="15" customHeight="1" s="40">
      <c r="A243" s="85" t="n">
        <v>239</v>
      </c>
      <c r="B243" s="86" t="n"/>
      <c r="C243" s="87" t="n"/>
      <c r="D243" s="87" t="n"/>
      <c r="E243" s="87" t="n"/>
      <c r="F243" s="89" t="n"/>
      <c r="G243" s="89" t="n"/>
      <c r="H243" s="90">
        <f>IF(OR(F243="",F243=0),"",(G243/F243)*33000)</f>
        <v/>
      </c>
      <c r="I243" s="56">
        <f>IF(H243="","—",IF(H243&lt;=100,"🟢 ضمن الهدف",IF(H243&lt;=150,"🟡 تجاوز بسيط","🔴 فاقد عالٍ")))</f>
        <v/>
      </c>
    </row>
    <row r="244" ht="15" customHeight="1" s="40">
      <c r="A244" s="85" t="n">
        <v>240</v>
      </c>
      <c r="B244" s="86" t="n"/>
      <c r="C244" s="87" t="n"/>
      <c r="D244" s="87" t="n"/>
      <c r="E244" s="87" t="n"/>
      <c r="F244" s="89" t="n"/>
      <c r="G244" s="89" t="n"/>
      <c r="H244" s="90">
        <f>IF(OR(F244="",F244=0),"",(G244/F244)*33000)</f>
        <v/>
      </c>
      <c r="I244" s="56">
        <f>IF(H244="","—",IF(H244&lt;=100,"🟢 ضمن الهدف",IF(H244&lt;=150,"🟡 تجاوز بسيط","🔴 فاقد عالٍ")))</f>
        <v/>
      </c>
    </row>
    <row r="245" ht="15" customHeight="1" s="40">
      <c r="A245" s="85" t="n">
        <v>241</v>
      </c>
      <c r="B245" s="86" t="n"/>
      <c r="C245" s="87" t="n"/>
      <c r="D245" s="87" t="n"/>
      <c r="E245" s="87" t="n"/>
      <c r="F245" s="89" t="n"/>
      <c r="G245" s="89" t="n"/>
      <c r="H245" s="90">
        <f>IF(OR(F245="",F245=0),"",(G245/F245)*33000)</f>
        <v/>
      </c>
      <c r="I245" s="56">
        <f>IF(H245="","—",IF(H245&lt;=100,"🟢 ضمن الهدف",IF(H245&lt;=150,"🟡 تجاوز بسيط","🔴 فاقد عالٍ")))</f>
        <v/>
      </c>
    </row>
    <row r="246" ht="15" customHeight="1" s="40">
      <c r="A246" s="85" t="n">
        <v>242</v>
      </c>
      <c r="B246" s="86" t="n"/>
      <c r="C246" s="87" t="n"/>
      <c r="D246" s="87" t="n"/>
      <c r="E246" s="87" t="n"/>
      <c r="F246" s="89" t="n"/>
      <c r="G246" s="89" t="n"/>
      <c r="H246" s="90">
        <f>IF(OR(F246="",F246=0),"",(G246/F246)*33000)</f>
        <v/>
      </c>
      <c r="I246" s="56">
        <f>IF(H246="","—",IF(H246&lt;=100,"🟢 ضمن الهدف",IF(H246&lt;=150,"🟡 تجاوز بسيط","🔴 فاقد عالٍ")))</f>
        <v/>
      </c>
    </row>
    <row r="247" ht="15" customHeight="1" s="40">
      <c r="A247" s="85" t="n">
        <v>243</v>
      </c>
      <c r="B247" s="86" t="n"/>
      <c r="C247" s="87" t="n"/>
      <c r="D247" s="87" t="n"/>
      <c r="E247" s="87" t="n"/>
      <c r="F247" s="89" t="n"/>
      <c r="G247" s="89" t="n"/>
      <c r="H247" s="90">
        <f>IF(OR(F247="",F247=0),"",(G247/F247)*33000)</f>
        <v/>
      </c>
      <c r="I247" s="56">
        <f>IF(H247="","—",IF(H247&lt;=100,"🟢 ضمن الهدف",IF(H247&lt;=150,"🟡 تجاوز بسيط","🔴 فاقد عالٍ")))</f>
        <v/>
      </c>
    </row>
    <row r="248" ht="15" customHeight="1" s="40">
      <c r="A248" s="85" t="n">
        <v>244</v>
      </c>
      <c r="B248" s="86" t="n"/>
      <c r="C248" s="87" t="n"/>
      <c r="D248" s="87" t="n"/>
      <c r="E248" s="87" t="n"/>
      <c r="F248" s="89" t="n"/>
      <c r="G248" s="89" t="n"/>
      <c r="H248" s="90">
        <f>IF(OR(F248="",F248=0),"",(G248/F248)*33000)</f>
        <v/>
      </c>
      <c r="I248" s="56">
        <f>IF(H248="","—",IF(H248&lt;=100,"🟢 ضمن الهدف",IF(H248&lt;=150,"🟡 تجاوز بسيط","🔴 فاقد عالٍ")))</f>
        <v/>
      </c>
    </row>
    <row r="249" ht="15" customHeight="1" s="40">
      <c r="A249" s="85" t="n">
        <v>245</v>
      </c>
      <c r="B249" s="86" t="n"/>
      <c r="C249" s="87" t="n"/>
      <c r="D249" s="87" t="n"/>
      <c r="E249" s="87" t="n"/>
      <c r="F249" s="89" t="n"/>
      <c r="G249" s="89" t="n"/>
      <c r="H249" s="90">
        <f>IF(OR(F249="",F249=0),"",(G249/F249)*33000)</f>
        <v/>
      </c>
      <c r="I249" s="56">
        <f>IF(H249="","—",IF(H249&lt;=100,"🟢 ضمن الهدف",IF(H249&lt;=150,"🟡 تجاوز بسيط","🔴 فاقد عالٍ")))</f>
        <v/>
      </c>
    </row>
    <row r="250" ht="15" customHeight="1" s="40">
      <c r="A250" s="85" t="n">
        <v>246</v>
      </c>
      <c r="B250" s="86" t="n"/>
      <c r="C250" s="87" t="n"/>
      <c r="D250" s="87" t="n"/>
      <c r="E250" s="87" t="n"/>
      <c r="F250" s="89" t="n"/>
      <c r="G250" s="89" t="n"/>
      <c r="H250" s="90">
        <f>IF(OR(F250="",F250=0),"",(G250/F250)*33000)</f>
        <v/>
      </c>
      <c r="I250" s="56">
        <f>IF(H250="","—",IF(H250&lt;=100,"🟢 ضمن الهدف",IF(H250&lt;=150,"🟡 تجاوز بسيط","🔴 فاقد عالٍ")))</f>
        <v/>
      </c>
    </row>
    <row r="251" ht="15" customHeight="1" s="40">
      <c r="A251" s="85" t="n">
        <v>247</v>
      </c>
      <c r="B251" s="86" t="n"/>
      <c r="C251" s="87" t="n"/>
      <c r="D251" s="87" t="n"/>
      <c r="E251" s="87" t="n"/>
      <c r="F251" s="89" t="n"/>
      <c r="G251" s="89" t="n"/>
      <c r="H251" s="90">
        <f>IF(OR(F251="",F251=0),"",(G251/F251)*33000)</f>
        <v/>
      </c>
      <c r="I251" s="56">
        <f>IF(H251="","—",IF(H251&lt;=100,"🟢 ضمن الهدف",IF(H251&lt;=150,"🟡 تجاوز بسيط","🔴 فاقد عالٍ")))</f>
        <v/>
      </c>
    </row>
    <row r="252" ht="15" customHeight="1" s="40">
      <c r="A252" s="85" t="n">
        <v>248</v>
      </c>
      <c r="B252" s="86" t="n"/>
      <c r="C252" s="87" t="n"/>
      <c r="D252" s="87" t="n"/>
      <c r="E252" s="87" t="n"/>
      <c r="F252" s="89" t="n"/>
      <c r="G252" s="89" t="n"/>
      <c r="H252" s="90">
        <f>IF(OR(F252="",F252=0),"",(G252/F252)*33000)</f>
        <v/>
      </c>
      <c r="I252" s="56">
        <f>IF(H252="","—",IF(H252&lt;=100,"🟢 ضمن الهدف",IF(H252&lt;=150,"🟡 تجاوز بسيط","🔴 فاقد عالٍ")))</f>
        <v/>
      </c>
    </row>
    <row r="253" ht="15" customHeight="1" s="40">
      <c r="A253" s="85" t="n">
        <v>249</v>
      </c>
      <c r="B253" s="86" t="n"/>
      <c r="C253" s="87" t="n"/>
      <c r="D253" s="87" t="n"/>
      <c r="E253" s="87" t="n"/>
      <c r="F253" s="89" t="n"/>
      <c r="G253" s="89" t="n"/>
      <c r="H253" s="90">
        <f>IF(OR(F253="",F253=0),"",(G253/F253)*33000)</f>
        <v/>
      </c>
      <c r="I253" s="56">
        <f>IF(H253="","—",IF(H253&lt;=100,"🟢 ضمن الهدف",IF(H253&lt;=150,"🟡 تجاوز بسيط","🔴 فاقد عالٍ")))</f>
        <v/>
      </c>
    </row>
    <row r="254" ht="15" customHeight="1" s="40">
      <c r="A254" s="85" t="n">
        <v>250</v>
      </c>
      <c r="B254" s="86" t="n"/>
      <c r="C254" s="87" t="n"/>
      <c r="D254" s="87" t="n"/>
      <c r="E254" s="87" t="n"/>
      <c r="F254" s="89" t="n"/>
      <c r="G254" s="89" t="n"/>
      <c r="H254" s="90">
        <f>IF(OR(F254="",F254=0),"",(G254/F254)*33000)</f>
        <v/>
      </c>
      <c r="I254" s="56">
        <f>IF(H254="","—",IF(H254&lt;=100,"🟢 ضمن الهدف",IF(H254&lt;=150,"🟡 تجاوز بسيط","🔴 فاقد عالٍ")))</f>
        <v/>
      </c>
    </row>
    <row r="255" ht="15" customHeight="1" s="40">
      <c r="A255" s="85" t="n">
        <v>251</v>
      </c>
      <c r="B255" s="86" t="n"/>
      <c r="C255" s="87" t="n"/>
      <c r="D255" s="87" t="n"/>
      <c r="E255" s="87" t="n"/>
      <c r="F255" s="89" t="n"/>
      <c r="G255" s="89" t="n"/>
      <c r="H255" s="90">
        <f>IF(OR(F255="",F255=0),"",(G255/F255)*33000)</f>
        <v/>
      </c>
      <c r="I255" s="56">
        <f>IF(H255="","—",IF(H255&lt;=100,"🟢 ضمن الهدف",IF(H255&lt;=150,"🟡 تجاوز بسيط","🔴 فاقد عالٍ")))</f>
        <v/>
      </c>
    </row>
    <row r="256" ht="15" customHeight="1" s="40">
      <c r="A256" s="85" t="n">
        <v>252</v>
      </c>
      <c r="B256" s="86" t="n"/>
      <c r="C256" s="87" t="n"/>
      <c r="D256" s="87" t="n"/>
      <c r="E256" s="87" t="n"/>
      <c r="F256" s="89" t="n"/>
      <c r="G256" s="89" t="n"/>
      <c r="H256" s="90">
        <f>IF(OR(F256="",F256=0),"",(G256/F256)*33000)</f>
        <v/>
      </c>
      <c r="I256" s="56">
        <f>IF(H256="","—",IF(H256&lt;=100,"🟢 ضمن الهدف",IF(H256&lt;=150,"🟡 تجاوز بسيط","🔴 فاقد عالٍ")))</f>
        <v/>
      </c>
    </row>
    <row r="257" ht="15" customHeight="1" s="40">
      <c r="A257" s="85" t="n">
        <v>253</v>
      </c>
      <c r="B257" s="86" t="n"/>
      <c r="C257" s="87" t="n"/>
      <c r="D257" s="87" t="n"/>
      <c r="E257" s="87" t="n"/>
      <c r="F257" s="89" t="n"/>
      <c r="G257" s="89" t="n"/>
      <c r="H257" s="90">
        <f>IF(OR(F257="",F257=0),"",(G257/F257)*33000)</f>
        <v/>
      </c>
      <c r="I257" s="56">
        <f>IF(H257="","—",IF(H257&lt;=100,"🟢 ضمن الهدف",IF(H257&lt;=150,"🟡 تجاوز بسيط","🔴 فاقد عالٍ")))</f>
        <v/>
      </c>
    </row>
    <row r="258" ht="15" customHeight="1" s="40">
      <c r="A258" s="85" t="n">
        <v>254</v>
      </c>
      <c r="B258" s="86" t="n"/>
      <c r="C258" s="87" t="n"/>
      <c r="D258" s="87" t="n"/>
      <c r="E258" s="87" t="n"/>
      <c r="F258" s="89" t="n"/>
      <c r="G258" s="89" t="n"/>
      <c r="H258" s="90">
        <f>IF(OR(F258="",F258=0),"",(G258/F258)*33000)</f>
        <v/>
      </c>
      <c r="I258" s="56">
        <f>IF(H258="","—",IF(H258&lt;=100,"🟢 ضمن الهدف",IF(H258&lt;=150,"🟡 تجاوز بسيط","🔴 فاقد عالٍ")))</f>
        <v/>
      </c>
    </row>
    <row r="259" ht="15" customHeight="1" s="40">
      <c r="A259" s="85" t="n">
        <v>255</v>
      </c>
      <c r="B259" s="86" t="n"/>
      <c r="C259" s="87" t="n"/>
      <c r="D259" s="87" t="n"/>
      <c r="E259" s="87" t="n"/>
      <c r="F259" s="89" t="n"/>
      <c r="G259" s="89" t="n"/>
      <c r="H259" s="90">
        <f>IF(OR(F259="",F259=0),"",(G259/F259)*33000)</f>
        <v/>
      </c>
      <c r="I259" s="56">
        <f>IF(H259="","—",IF(H259&lt;=100,"🟢 ضمن الهدف",IF(H259&lt;=150,"🟡 تجاوز بسيط","🔴 فاقد عالٍ")))</f>
        <v/>
      </c>
    </row>
    <row r="260" ht="15" customHeight="1" s="40">
      <c r="A260" s="85" t="n">
        <v>256</v>
      </c>
      <c r="B260" s="86" t="n"/>
      <c r="C260" s="87" t="n"/>
      <c r="D260" s="87" t="n"/>
      <c r="E260" s="87" t="n"/>
      <c r="F260" s="89" t="n"/>
      <c r="G260" s="89" t="n"/>
      <c r="H260" s="90">
        <f>IF(OR(F260="",F260=0),"",(G260/F260)*33000)</f>
        <v/>
      </c>
      <c r="I260" s="56">
        <f>IF(H260="","—",IF(H260&lt;=100,"🟢 ضمن الهدف",IF(H260&lt;=150,"🟡 تجاوز بسيط","🔴 فاقد عالٍ")))</f>
        <v/>
      </c>
    </row>
    <row r="261" ht="15" customHeight="1" s="40">
      <c r="A261" s="85" t="n">
        <v>257</v>
      </c>
      <c r="B261" s="86" t="n"/>
      <c r="C261" s="87" t="n"/>
      <c r="D261" s="87" t="n"/>
      <c r="E261" s="87" t="n"/>
      <c r="F261" s="89" t="n"/>
      <c r="G261" s="89" t="n"/>
      <c r="H261" s="90">
        <f>IF(OR(F261="",F261=0),"",(G261/F261)*33000)</f>
        <v/>
      </c>
      <c r="I261" s="56">
        <f>IF(H261="","—",IF(H261&lt;=100,"🟢 ضمن الهدف",IF(H261&lt;=150,"🟡 تجاوز بسيط","🔴 فاقد عالٍ")))</f>
        <v/>
      </c>
    </row>
    <row r="262" ht="15" customHeight="1" s="40">
      <c r="A262" s="85" t="n">
        <v>258</v>
      </c>
      <c r="B262" s="86" t="n"/>
      <c r="C262" s="87" t="n"/>
      <c r="D262" s="87" t="n"/>
      <c r="E262" s="87" t="n"/>
      <c r="F262" s="89" t="n"/>
      <c r="G262" s="89" t="n"/>
      <c r="H262" s="90">
        <f>IF(OR(F262="",F262=0),"",(G262/F262)*33000)</f>
        <v/>
      </c>
      <c r="I262" s="56">
        <f>IF(H262="","—",IF(H262&lt;=100,"🟢 ضمن الهدف",IF(H262&lt;=150,"🟡 تجاوز بسيط","🔴 فاقد عالٍ")))</f>
        <v/>
      </c>
    </row>
    <row r="263" ht="15" customHeight="1" s="40">
      <c r="A263" s="85" t="n">
        <v>259</v>
      </c>
      <c r="B263" s="86" t="n"/>
      <c r="C263" s="87" t="n"/>
      <c r="D263" s="87" t="n"/>
      <c r="E263" s="87" t="n"/>
      <c r="F263" s="89" t="n"/>
      <c r="G263" s="89" t="n"/>
      <c r="H263" s="90">
        <f>IF(OR(F263="",F263=0),"",(G263/F263)*33000)</f>
        <v/>
      </c>
      <c r="I263" s="56">
        <f>IF(H263="","—",IF(H263&lt;=100,"🟢 ضمن الهدف",IF(H263&lt;=150,"🟡 تجاوز بسيط","🔴 فاقد عالٍ")))</f>
        <v/>
      </c>
    </row>
    <row r="264" ht="15" customHeight="1" s="40">
      <c r="A264" s="85" t="n">
        <v>260</v>
      </c>
      <c r="B264" s="86" t="n"/>
      <c r="C264" s="87" t="n"/>
      <c r="D264" s="87" t="n"/>
      <c r="E264" s="87" t="n"/>
      <c r="F264" s="89" t="n"/>
      <c r="G264" s="89" t="n"/>
      <c r="H264" s="90">
        <f>IF(OR(F264="",F264=0),"",(G264/F264)*33000)</f>
        <v/>
      </c>
      <c r="I264" s="56">
        <f>IF(H264="","—",IF(H264&lt;=100,"🟢 ضمن الهدف",IF(H264&lt;=150,"🟡 تجاوز بسيط","🔴 فاقد عالٍ")))</f>
        <v/>
      </c>
    </row>
    <row r="265" ht="15" customHeight="1" s="40">
      <c r="A265" s="85" t="n">
        <v>261</v>
      </c>
      <c r="B265" s="86" t="n"/>
      <c r="C265" s="87" t="n"/>
      <c r="D265" s="87" t="n"/>
      <c r="E265" s="87" t="n"/>
      <c r="F265" s="89" t="n"/>
      <c r="G265" s="89" t="n"/>
      <c r="H265" s="90">
        <f>IF(OR(F265="",F265=0),"",(G265/F265)*33000)</f>
        <v/>
      </c>
      <c r="I265" s="56">
        <f>IF(H265="","—",IF(H265&lt;=100,"🟢 ضمن الهدف",IF(H265&lt;=150,"🟡 تجاوز بسيط","🔴 فاقد عالٍ")))</f>
        <v/>
      </c>
    </row>
    <row r="266" ht="15" customHeight="1" s="40">
      <c r="A266" s="85" t="n">
        <v>262</v>
      </c>
      <c r="B266" s="86" t="n"/>
      <c r="C266" s="87" t="n"/>
      <c r="D266" s="87" t="n"/>
      <c r="E266" s="87" t="n"/>
      <c r="F266" s="89" t="n"/>
      <c r="G266" s="89" t="n"/>
      <c r="H266" s="90">
        <f>IF(OR(F266="",F266=0),"",(G266/F266)*33000)</f>
        <v/>
      </c>
      <c r="I266" s="56">
        <f>IF(H266="","—",IF(H266&lt;=100,"🟢 ضمن الهدف",IF(H266&lt;=150,"🟡 تجاوز بسيط","🔴 فاقد عالٍ")))</f>
        <v/>
      </c>
    </row>
    <row r="267" ht="15" customHeight="1" s="40">
      <c r="A267" s="85" t="n">
        <v>263</v>
      </c>
      <c r="B267" s="86" t="n"/>
      <c r="C267" s="87" t="n"/>
      <c r="D267" s="87" t="n"/>
      <c r="E267" s="87" t="n"/>
      <c r="F267" s="89" t="n"/>
      <c r="G267" s="89" t="n"/>
      <c r="H267" s="90">
        <f>IF(OR(F267="",F267=0),"",(G267/F267)*33000)</f>
        <v/>
      </c>
      <c r="I267" s="56">
        <f>IF(H267="","—",IF(H267&lt;=100,"🟢 ضمن الهدف",IF(H267&lt;=150,"🟡 تجاوز بسيط","🔴 فاقد عالٍ")))</f>
        <v/>
      </c>
    </row>
    <row r="268" ht="15" customHeight="1" s="40">
      <c r="A268" s="85" t="n">
        <v>264</v>
      </c>
      <c r="B268" s="86" t="n"/>
      <c r="C268" s="87" t="n"/>
      <c r="D268" s="87" t="n"/>
      <c r="E268" s="87" t="n"/>
      <c r="F268" s="89" t="n"/>
      <c r="G268" s="89" t="n"/>
      <c r="H268" s="90">
        <f>IF(OR(F268="",F268=0),"",(G268/F268)*33000)</f>
        <v/>
      </c>
      <c r="I268" s="56">
        <f>IF(H268="","—",IF(H268&lt;=100,"🟢 ضمن الهدف",IF(H268&lt;=150,"🟡 تجاوز بسيط","🔴 فاقد عالٍ")))</f>
        <v/>
      </c>
    </row>
    <row r="269" ht="15" customHeight="1" s="40">
      <c r="A269" s="85" t="n">
        <v>265</v>
      </c>
      <c r="B269" s="86" t="n"/>
      <c r="C269" s="87" t="n"/>
      <c r="D269" s="87" t="n"/>
      <c r="E269" s="87" t="n"/>
      <c r="F269" s="89" t="n"/>
      <c r="G269" s="89" t="n"/>
      <c r="H269" s="90">
        <f>IF(OR(F269="",F269=0),"",(G269/F269)*33000)</f>
        <v/>
      </c>
      <c r="I269" s="56">
        <f>IF(H269="","—",IF(H269&lt;=100,"🟢 ضمن الهدف",IF(H269&lt;=150,"🟡 تجاوز بسيط","🔴 فاقد عالٍ")))</f>
        <v/>
      </c>
    </row>
    <row r="270" ht="15" customHeight="1" s="40">
      <c r="A270" s="85" t="n">
        <v>266</v>
      </c>
      <c r="B270" s="86" t="n"/>
      <c r="C270" s="87" t="n"/>
      <c r="D270" s="87" t="n"/>
      <c r="E270" s="87" t="n"/>
      <c r="F270" s="89" t="n"/>
      <c r="G270" s="89" t="n"/>
      <c r="H270" s="90">
        <f>IF(OR(F270="",F270=0),"",(G270/F270)*33000)</f>
        <v/>
      </c>
      <c r="I270" s="56">
        <f>IF(H270="","—",IF(H270&lt;=100,"🟢 ضمن الهدف",IF(H270&lt;=150,"🟡 تجاوز بسيط","🔴 فاقد عالٍ")))</f>
        <v/>
      </c>
    </row>
    <row r="271" ht="15" customHeight="1" s="40">
      <c r="A271" s="85" t="n">
        <v>267</v>
      </c>
      <c r="B271" s="86" t="n"/>
      <c r="C271" s="87" t="n"/>
      <c r="D271" s="87" t="n"/>
      <c r="E271" s="87" t="n"/>
      <c r="F271" s="89" t="n"/>
      <c r="G271" s="89" t="n"/>
      <c r="H271" s="90">
        <f>IF(OR(F271="",F271=0),"",(G271/F271)*33000)</f>
        <v/>
      </c>
      <c r="I271" s="56">
        <f>IF(H271="","—",IF(H271&lt;=100,"🟢 ضمن الهدف",IF(H271&lt;=150,"🟡 تجاوز بسيط","🔴 فاقد عالٍ")))</f>
        <v/>
      </c>
    </row>
    <row r="272" ht="15" customHeight="1" s="40">
      <c r="A272" s="85" t="n">
        <v>268</v>
      </c>
      <c r="B272" s="86" t="n"/>
      <c r="C272" s="87" t="n"/>
      <c r="D272" s="87" t="n"/>
      <c r="E272" s="87" t="n"/>
      <c r="F272" s="89" t="n"/>
      <c r="G272" s="89" t="n"/>
      <c r="H272" s="90">
        <f>IF(OR(F272="",F272=0),"",(G272/F272)*33000)</f>
        <v/>
      </c>
      <c r="I272" s="56">
        <f>IF(H272="","—",IF(H272&lt;=100,"🟢 ضمن الهدف",IF(H272&lt;=150,"🟡 تجاوز بسيط","🔴 فاقد عالٍ")))</f>
        <v/>
      </c>
    </row>
    <row r="273" ht="15" customHeight="1" s="40">
      <c r="A273" s="85" t="n">
        <v>269</v>
      </c>
      <c r="B273" s="86" t="n"/>
      <c r="C273" s="87" t="n"/>
      <c r="D273" s="87" t="n"/>
      <c r="E273" s="87" t="n"/>
      <c r="F273" s="89" t="n"/>
      <c r="G273" s="89" t="n"/>
      <c r="H273" s="90">
        <f>IF(OR(F273="",F273=0),"",(G273/F273)*33000)</f>
        <v/>
      </c>
      <c r="I273" s="56">
        <f>IF(H273="","—",IF(H273&lt;=100,"🟢 ضمن الهدف",IF(H273&lt;=150,"🟡 تجاوز بسيط","🔴 فاقد عالٍ")))</f>
        <v/>
      </c>
    </row>
    <row r="274" ht="15" customHeight="1" s="40">
      <c r="A274" s="85" t="n">
        <v>270</v>
      </c>
      <c r="B274" s="86" t="n"/>
      <c r="C274" s="87" t="n"/>
      <c r="D274" s="87" t="n"/>
      <c r="E274" s="87" t="n"/>
      <c r="F274" s="89" t="n"/>
      <c r="G274" s="89" t="n"/>
      <c r="H274" s="90">
        <f>IF(OR(F274="",F274=0),"",(G274/F274)*33000)</f>
        <v/>
      </c>
      <c r="I274" s="56">
        <f>IF(H274="","—",IF(H274&lt;=100,"🟢 ضمن الهدف",IF(H274&lt;=150,"🟡 تجاوز بسيط","🔴 فاقد عالٍ")))</f>
        <v/>
      </c>
    </row>
    <row r="275" ht="15" customHeight="1" s="40">
      <c r="A275" s="85" t="n">
        <v>271</v>
      </c>
      <c r="B275" s="86" t="n"/>
      <c r="C275" s="87" t="n"/>
      <c r="D275" s="87" t="n"/>
      <c r="E275" s="87" t="n"/>
      <c r="F275" s="89" t="n"/>
      <c r="G275" s="89" t="n"/>
      <c r="H275" s="90">
        <f>IF(OR(F275="",F275=0),"",(G275/F275)*33000)</f>
        <v/>
      </c>
      <c r="I275" s="56">
        <f>IF(H275="","—",IF(H275&lt;=100,"🟢 ضمن الهدف",IF(H275&lt;=150,"🟡 تجاوز بسيط","🔴 فاقد عالٍ")))</f>
        <v/>
      </c>
    </row>
    <row r="276" ht="15" customHeight="1" s="40">
      <c r="A276" s="85" t="n">
        <v>272</v>
      </c>
      <c r="B276" s="86" t="n"/>
      <c r="C276" s="87" t="n"/>
      <c r="D276" s="87" t="n"/>
      <c r="E276" s="87" t="n"/>
      <c r="F276" s="89" t="n"/>
      <c r="G276" s="89" t="n"/>
      <c r="H276" s="90">
        <f>IF(OR(F276="",F276=0),"",(G276/F276)*33000)</f>
        <v/>
      </c>
      <c r="I276" s="56">
        <f>IF(H276="","—",IF(H276&lt;=100,"🟢 ضمن الهدف",IF(H276&lt;=150,"🟡 تجاوز بسيط","🔴 فاقد عالٍ")))</f>
        <v/>
      </c>
    </row>
    <row r="277" ht="15" customHeight="1" s="40">
      <c r="A277" s="85" t="n">
        <v>273</v>
      </c>
      <c r="B277" s="86" t="n"/>
      <c r="C277" s="87" t="n"/>
      <c r="D277" s="87" t="n"/>
      <c r="E277" s="87" t="n"/>
      <c r="F277" s="89" t="n"/>
      <c r="G277" s="89" t="n"/>
      <c r="H277" s="90">
        <f>IF(OR(F277="",F277=0),"",(G277/F277)*33000)</f>
        <v/>
      </c>
      <c r="I277" s="56">
        <f>IF(H277="","—",IF(H277&lt;=100,"🟢 ضمن الهدف",IF(H277&lt;=150,"🟡 تجاوز بسيط","🔴 فاقد عالٍ")))</f>
        <v/>
      </c>
    </row>
    <row r="278" ht="15" customHeight="1" s="40">
      <c r="A278" s="85" t="n">
        <v>274</v>
      </c>
      <c r="B278" s="86" t="n"/>
      <c r="C278" s="87" t="n"/>
      <c r="D278" s="87" t="n"/>
      <c r="E278" s="87" t="n"/>
      <c r="F278" s="89" t="n"/>
      <c r="G278" s="89" t="n"/>
      <c r="H278" s="90">
        <f>IF(OR(F278="",F278=0),"",(G278/F278)*33000)</f>
        <v/>
      </c>
      <c r="I278" s="56">
        <f>IF(H278="","—",IF(H278&lt;=100,"🟢 ضمن الهدف",IF(H278&lt;=150,"🟡 تجاوز بسيط","🔴 فاقد عالٍ")))</f>
        <v/>
      </c>
    </row>
    <row r="279" ht="15" customHeight="1" s="40">
      <c r="A279" s="85" t="n">
        <v>275</v>
      </c>
      <c r="B279" s="86" t="n"/>
      <c r="C279" s="87" t="n"/>
      <c r="D279" s="87" t="n"/>
      <c r="E279" s="87" t="n"/>
      <c r="F279" s="89" t="n"/>
      <c r="G279" s="89" t="n"/>
      <c r="H279" s="90">
        <f>IF(OR(F279="",F279=0),"",(G279/F279)*33000)</f>
        <v/>
      </c>
      <c r="I279" s="56">
        <f>IF(H279="","—",IF(H279&lt;=100,"🟢 ضمن الهدف",IF(H279&lt;=150,"🟡 تجاوز بسيط","🔴 فاقد عالٍ")))</f>
        <v/>
      </c>
    </row>
    <row r="280" ht="15" customHeight="1" s="40">
      <c r="A280" s="85" t="n">
        <v>276</v>
      </c>
      <c r="B280" s="86" t="n"/>
      <c r="C280" s="87" t="n"/>
      <c r="D280" s="87" t="n"/>
      <c r="E280" s="87" t="n"/>
      <c r="F280" s="89" t="n"/>
      <c r="G280" s="89" t="n"/>
      <c r="H280" s="90">
        <f>IF(OR(F280="",F280=0),"",(G280/F280)*33000)</f>
        <v/>
      </c>
      <c r="I280" s="56">
        <f>IF(H280="","—",IF(H280&lt;=100,"🟢 ضمن الهدف",IF(H280&lt;=150,"🟡 تجاوز بسيط","🔴 فاقد عالٍ")))</f>
        <v/>
      </c>
    </row>
    <row r="281" ht="15" customHeight="1" s="40">
      <c r="A281" s="85" t="n">
        <v>277</v>
      </c>
      <c r="B281" s="86" t="n"/>
      <c r="C281" s="87" t="n"/>
      <c r="D281" s="87" t="n"/>
      <c r="E281" s="87" t="n"/>
      <c r="F281" s="89" t="n"/>
      <c r="G281" s="89" t="n"/>
      <c r="H281" s="90">
        <f>IF(OR(F281="",F281=0),"",(G281/F281)*33000)</f>
        <v/>
      </c>
      <c r="I281" s="56">
        <f>IF(H281="","—",IF(H281&lt;=100,"🟢 ضمن الهدف",IF(H281&lt;=150,"🟡 تجاوز بسيط","🔴 فاقد عالٍ")))</f>
        <v/>
      </c>
    </row>
    <row r="282" ht="15" customHeight="1" s="40">
      <c r="A282" s="85" t="n">
        <v>278</v>
      </c>
      <c r="B282" s="86" t="n"/>
      <c r="C282" s="87" t="n"/>
      <c r="D282" s="87" t="n"/>
      <c r="E282" s="87" t="n"/>
      <c r="F282" s="89" t="n"/>
      <c r="G282" s="89" t="n"/>
      <c r="H282" s="90">
        <f>IF(OR(F282="",F282=0),"",(G282/F282)*33000)</f>
        <v/>
      </c>
      <c r="I282" s="56">
        <f>IF(H282="","—",IF(H282&lt;=100,"🟢 ضمن الهدف",IF(H282&lt;=150,"🟡 تجاوز بسيط","🔴 فاقد عالٍ")))</f>
        <v/>
      </c>
    </row>
    <row r="283" ht="15" customHeight="1" s="40">
      <c r="A283" s="85" t="n">
        <v>279</v>
      </c>
      <c r="B283" s="86" t="n"/>
      <c r="C283" s="87" t="n"/>
      <c r="D283" s="87" t="n"/>
      <c r="E283" s="87" t="n"/>
      <c r="F283" s="89" t="n"/>
      <c r="G283" s="89" t="n"/>
      <c r="H283" s="90">
        <f>IF(OR(F283="",F283=0),"",(G283/F283)*33000)</f>
        <v/>
      </c>
      <c r="I283" s="56">
        <f>IF(H283="","—",IF(H283&lt;=100,"🟢 ضمن الهدف",IF(H283&lt;=150,"🟡 تجاوز بسيط","🔴 فاقد عالٍ")))</f>
        <v/>
      </c>
    </row>
    <row r="284" ht="15" customHeight="1" s="40">
      <c r="A284" s="85" t="n">
        <v>280</v>
      </c>
      <c r="B284" s="86" t="n"/>
      <c r="C284" s="87" t="n"/>
      <c r="D284" s="87" t="n"/>
      <c r="E284" s="87" t="n"/>
      <c r="F284" s="89" t="n"/>
      <c r="G284" s="89" t="n"/>
      <c r="H284" s="90">
        <f>IF(OR(F284="",F284=0),"",(G284/F284)*33000)</f>
        <v/>
      </c>
      <c r="I284" s="56">
        <f>IF(H284="","—",IF(H284&lt;=100,"🟢 ضمن الهدف",IF(H284&lt;=150,"🟡 تجاوز بسيط","🔴 فاقد عالٍ")))</f>
        <v/>
      </c>
    </row>
    <row r="285" ht="15" customHeight="1" s="40">
      <c r="A285" s="85" t="n">
        <v>281</v>
      </c>
      <c r="B285" s="86" t="n"/>
      <c r="C285" s="87" t="n"/>
      <c r="D285" s="87" t="n"/>
      <c r="E285" s="87" t="n"/>
      <c r="F285" s="89" t="n"/>
      <c r="G285" s="89" t="n"/>
      <c r="H285" s="90">
        <f>IF(OR(F285="",F285=0),"",(G285/F285)*33000)</f>
        <v/>
      </c>
      <c r="I285" s="56">
        <f>IF(H285="","—",IF(H285&lt;=100,"🟢 ضمن الهدف",IF(H285&lt;=150,"🟡 تجاوز بسيط","🔴 فاقد عالٍ")))</f>
        <v/>
      </c>
    </row>
    <row r="286" ht="15" customHeight="1" s="40">
      <c r="A286" s="85" t="n">
        <v>282</v>
      </c>
      <c r="B286" s="86" t="n"/>
      <c r="C286" s="87" t="n"/>
      <c r="D286" s="87" t="n"/>
      <c r="E286" s="87" t="n"/>
      <c r="F286" s="89" t="n"/>
      <c r="G286" s="89" t="n"/>
      <c r="H286" s="90">
        <f>IF(OR(F286="",F286=0),"",(G286/F286)*33000)</f>
        <v/>
      </c>
      <c r="I286" s="56">
        <f>IF(H286="","—",IF(H286&lt;=100,"🟢 ضمن الهدف",IF(H286&lt;=150,"🟡 تجاوز بسيط","🔴 فاقد عالٍ")))</f>
        <v/>
      </c>
    </row>
    <row r="287" ht="15" customHeight="1" s="40">
      <c r="A287" s="85" t="n">
        <v>283</v>
      </c>
      <c r="B287" s="86" t="n"/>
      <c r="C287" s="87" t="n"/>
      <c r="D287" s="87" t="n"/>
      <c r="E287" s="87" t="n"/>
      <c r="F287" s="89" t="n"/>
      <c r="G287" s="89" t="n"/>
      <c r="H287" s="90">
        <f>IF(OR(F287="",F287=0),"",(G287/F287)*33000)</f>
        <v/>
      </c>
      <c r="I287" s="56">
        <f>IF(H287="","—",IF(H287&lt;=100,"🟢 ضمن الهدف",IF(H287&lt;=150,"🟡 تجاوز بسيط","🔴 فاقد عالٍ")))</f>
        <v/>
      </c>
    </row>
    <row r="288" ht="15" customHeight="1" s="40">
      <c r="A288" s="85" t="n">
        <v>284</v>
      </c>
      <c r="B288" s="86" t="n"/>
      <c r="C288" s="87" t="n"/>
      <c r="D288" s="87" t="n"/>
      <c r="E288" s="87" t="n"/>
      <c r="F288" s="89" t="n"/>
      <c r="G288" s="89" t="n"/>
      <c r="H288" s="90">
        <f>IF(OR(F288="",F288=0),"",(G288/F288)*33000)</f>
        <v/>
      </c>
      <c r="I288" s="56">
        <f>IF(H288="","—",IF(H288&lt;=100,"🟢 ضمن الهدف",IF(H288&lt;=150,"🟡 تجاوز بسيط","🔴 فاقد عالٍ")))</f>
        <v/>
      </c>
    </row>
    <row r="289" ht="15" customHeight="1" s="40">
      <c r="A289" s="85" t="n">
        <v>285</v>
      </c>
      <c r="B289" s="86" t="n"/>
      <c r="C289" s="87" t="n"/>
      <c r="D289" s="87" t="n"/>
      <c r="E289" s="87" t="n"/>
      <c r="F289" s="89" t="n"/>
      <c r="G289" s="89" t="n"/>
      <c r="H289" s="90">
        <f>IF(OR(F289="",F289=0),"",(G289/F289)*33000)</f>
        <v/>
      </c>
      <c r="I289" s="56">
        <f>IF(H289="","—",IF(H289&lt;=100,"🟢 ضمن الهدف",IF(H289&lt;=150,"🟡 تجاوز بسيط","🔴 فاقد عالٍ")))</f>
        <v/>
      </c>
    </row>
    <row r="290" ht="15" customHeight="1" s="40">
      <c r="A290" s="85" t="n">
        <v>286</v>
      </c>
      <c r="B290" s="86" t="n"/>
      <c r="C290" s="87" t="n"/>
      <c r="D290" s="87" t="n"/>
      <c r="E290" s="87" t="n"/>
      <c r="F290" s="89" t="n"/>
      <c r="G290" s="89" t="n"/>
      <c r="H290" s="90">
        <f>IF(OR(F290="",F290=0),"",(G290/F290)*33000)</f>
        <v/>
      </c>
      <c r="I290" s="56">
        <f>IF(H290="","—",IF(H290&lt;=100,"🟢 ضمن الهدف",IF(H290&lt;=150,"🟡 تجاوز بسيط","🔴 فاقد عالٍ")))</f>
        <v/>
      </c>
    </row>
    <row r="291" ht="15" customHeight="1" s="40">
      <c r="A291" s="85" t="n">
        <v>287</v>
      </c>
      <c r="B291" s="86" t="n"/>
      <c r="C291" s="87" t="n"/>
      <c r="D291" s="87" t="n"/>
      <c r="E291" s="87" t="n"/>
      <c r="F291" s="89" t="n"/>
      <c r="G291" s="89" t="n"/>
      <c r="H291" s="90">
        <f>IF(OR(F291="",F291=0),"",(G291/F291)*33000)</f>
        <v/>
      </c>
      <c r="I291" s="56">
        <f>IF(H291="","—",IF(H291&lt;=100,"🟢 ضمن الهدف",IF(H291&lt;=150,"🟡 تجاوز بسيط","🔴 فاقد عالٍ")))</f>
        <v/>
      </c>
    </row>
    <row r="292" ht="15" customHeight="1" s="40">
      <c r="A292" s="85" t="n">
        <v>288</v>
      </c>
      <c r="B292" s="86" t="n"/>
      <c r="C292" s="87" t="n"/>
      <c r="D292" s="87" t="n"/>
      <c r="E292" s="87" t="n"/>
      <c r="F292" s="89" t="n"/>
      <c r="G292" s="89" t="n"/>
      <c r="H292" s="90">
        <f>IF(OR(F292="",F292=0),"",(G292/F292)*33000)</f>
        <v/>
      </c>
      <c r="I292" s="56">
        <f>IF(H292="","—",IF(H292&lt;=100,"🟢 ضمن الهدف",IF(H292&lt;=150,"🟡 تجاوز بسيط","🔴 فاقد عالٍ")))</f>
        <v/>
      </c>
    </row>
    <row r="293" ht="15" customHeight="1" s="40">
      <c r="A293" s="85" t="n">
        <v>289</v>
      </c>
      <c r="B293" s="86" t="n"/>
      <c r="C293" s="87" t="n"/>
      <c r="D293" s="87" t="n"/>
      <c r="E293" s="87" t="n"/>
      <c r="F293" s="89" t="n"/>
      <c r="G293" s="89" t="n"/>
      <c r="H293" s="90">
        <f>IF(OR(F293="",F293=0),"",(G293/F293)*33000)</f>
        <v/>
      </c>
      <c r="I293" s="56">
        <f>IF(H293="","—",IF(H293&lt;=100,"🟢 ضمن الهدف",IF(H293&lt;=150,"🟡 تجاوز بسيط","🔴 فاقد عالٍ")))</f>
        <v/>
      </c>
    </row>
    <row r="294" ht="15" customHeight="1" s="40">
      <c r="A294" s="85" t="n">
        <v>290</v>
      </c>
      <c r="B294" s="86" t="n"/>
      <c r="C294" s="87" t="n"/>
      <c r="D294" s="87" t="n"/>
      <c r="E294" s="87" t="n"/>
      <c r="F294" s="89" t="n"/>
      <c r="G294" s="89" t="n"/>
      <c r="H294" s="90">
        <f>IF(OR(F294="",F294=0),"",(G294/F294)*33000)</f>
        <v/>
      </c>
      <c r="I294" s="56">
        <f>IF(H294="","—",IF(H294&lt;=100,"🟢 ضمن الهدف",IF(H294&lt;=150,"🟡 تجاوز بسيط","🔴 فاقد عالٍ")))</f>
        <v/>
      </c>
    </row>
    <row r="295" ht="15" customHeight="1" s="40">
      <c r="A295" s="85" t="n">
        <v>291</v>
      </c>
      <c r="B295" s="86" t="n"/>
      <c r="C295" s="87" t="n"/>
      <c r="D295" s="87" t="n"/>
      <c r="E295" s="87" t="n"/>
      <c r="F295" s="89" t="n"/>
      <c r="G295" s="89" t="n"/>
      <c r="H295" s="90">
        <f>IF(OR(F295="",F295=0),"",(G295/F295)*33000)</f>
        <v/>
      </c>
      <c r="I295" s="56">
        <f>IF(H295="","—",IF(H295&lt;=100,"🟢 ضمن الهدف",IF(H295&lt;=150,"🟡 تجاوز بسيط","🔴 فاقد عالٍ")))</f>
        <v/>
      </c>
    </row>
    <row r="296" ht="15" customHeight="1" s="40">
      <c r="A296" s="85" t="n">
        <v>292</v>
      </c>
      <c r="B296" s="86" t="n"/>
      <c r="C296" s="87" t="n"/>
      <c r="D296" s="87" t="n"/>
      <c r="E296" s="87" t="n"/>
      <c r="F296" s="89" t="n"/>
      <c r="G296" s="89" t="n"/>
      <c r="H296" s="90">
        <f>IF(OR(F296="",F296=0),"",(G296/F296)*33000)</f>
        <v/>
      </c>
      <c r="I296" s="56">
        <f>IF(H296="","—",IF(H296&lt;=100,"🟢 ضمن الهدف",IF(H296&lt;=150,"🟡 تجاوز بسيط","🔴 فاقد عالٍ")))</f>
        <v/>
      </c>
    </row>
    <row r="297" ht="15" customHeight="1" s="40">
      <c r="A297" s="85" t="n">
        <v>293</v>
      </c>
      <c r="B297" s="86" t="n"/>
      <c r="C297" s="87" t="n"/>
      <c r="D297" s="87" t="n"/>
      <c r="E297" s="87" t="n"/>
      <c r="F297" s="89" t="n"/>
      <c r="G297" s="89" t="n"/>
      <c r="H297" s="90">
        <f>IF(OR(F297="",F297=0),"",(G297/F297)*33000)</f>
        <v/>
      </c>
      <c r="I297" s="56">
        <f>IF(H297="","—",IF(H297&lt;=100,"🟢 ضمن الهدف",IF(H297&lt;=150,"🟡 تجاوز بسيط","🔴 فاقد عالٍ")))</f>
        <v/>
      </c>
    </row>
    <row r="298" ht="15" customHeight="1" s="40">
      <c r="A298" s="85" t="n">
        <v>294</v>
      </c>
      <c r="B298" s="86" t="n"/>
      <c r="C298" s="87" t="n"/>
      <c r="D298" s="87" t="n"/>
      <c r="E298" s="87" t="n"/>
      <c r="F298" s="89" t="n"/>
      <c r="G298" s="89" t="n"/>
      <c r="H298" s="90">
        <f>IF(OR(F298="",F298=0),"",(G298/F298)*33000)</f>
        <v/>
      </c>
      <c r="I298" s="56">
        <f>IF(H298="","—",IF(H298&lt;=100,"🟢 ضمن الهدف",IF(H298&lt;=150,"🟡 تجاوز بسيط","🔴 فاقد عالٍ")))</f>
        <v/>
      </c>
    </row>
    <row r="299" ht="15" customHeight="1" s="40">
      <c r="A299" s="85" t="n">
        <v>295</v>
      </c>
      <c r="B299" s="86" t="n"/>
      <c r="C299" s="87" t="n"/>
      <c r="D299" s="87" t="n"/>
      <c r="E299" s="87" t="n"/>
      <c r="F299" s="89" t="n"/>
      <c r="G299" s="89" t="n"/>
      <c r="H299" s="90">
        <f>IF(OR(F299="",F299=0),"",(G299/F299)*33000)</f>
        <v/>
      </c>
      <c r="I299" s="56">
        <f>IF(H299="","—",IF(H299&lt;=100,"🟢 ضمن الهدف",IF(H299&lt;=150,"🟡 تجاوز بسيط","🔴 فاقد عالٍ")))</f>
        <v/>
      </c>
    </row>
    <row r="300" ht="15" customHeight="1" s="40">
      <c r="A300" s="85" t="n">
        <v>296</v>
      </c>
      <c r="B300" s="86" t="n"/>
      <c r="C300" s="87" t="n"/>
      <c r="D300" s="87" t="n"/>
      <c r="E300" s="87" t="n"/>
      <c r="F300" s="89" t="n"/>
      <c r="G300" s="89" t="n"/>
      <c r="H300" s="90">
        <f>IF(OR(F300="",F300=0),"",(G300/F300)*33000)</f>
        <v/>
      </c>
      <c r="I300" s="56">
        <f>IF(H300="","—",IF(H300&lt;=100,"🟢 ضمن الهدف",IF(H300&lt;=150,"🟡 تجاوز بسيط","🔴 فاقد عالٍ")))</f>
        <v/>
      </c>
    </row>
    <row r="301" ht="15" customHeight="1" s="40">
      <c r="A301" s="85" t="n">
        <v>297</v>
      </c>
      <c r="B301" s="86" t="n"/>
      <c r="C301" s="87" t="n"/>
      <c r="D301" s="87" t="n"/>
      <c r="E301" s="87" t="n"/>
      <c r="F301" s="89" t="n"/>
      <c r="G301" s="89" t="n"/>
      <c r="H301" s="90">
        <f>IF(OR(F301="",F301=0),"",(G301/F301)*33000)</f>
        <v/>
      </c>
      <c r="I301" s="56">
        <f>IF(H301="","—",IF(H301&lt;=100,"🟢 ضمن الهدف",IF(H301&lt;=150,"🟡 تجاوز بسيط","🔴 فاقد عالٍ")))</f>
        <v/>
      </c>
    </row>
    <row r="302" ht="15" customHeight="1" s="40">
      <c r="A302" s="85" t="n">
        <v>298</v>
      </c>
      <c r="B302" s="86" t="n"/>
      <c r="C302" s="87" t="n"/>
      <c r="D302" s="87" t="n"/>
      <c r="E302" s="87" t="n"/>
      <c r="F302" s="89" t="n"/>
      <c r="G302" s="89" t="n"/>
      <c r="H302" s="90">
        <f>IF(OR(F302="",F302=0),"",(G302/F302)*33000)</f>
        <v/>
      </c>
      <c r="I302" s="56">
        <f>IF(H302="","—",IF(H302&lt;=100,"🟢 ضمن الهدف",IF(H302&lt;=150,"🟡 تجاوز بسيط","🔴 فاقد عالٍ")))</f>
        <v/>
      </c>
    </row>
    <row r="303" ht="15" customHeight="1" s="40">
      <c r="A303" s="85" t="n">
        <v>299</v>
      </c>
      <c r="B303" s="86" t="n"/>
      <c r="C303" s="87" t="n"/>
      <c r="D303" s="87" t="n"/>
      <c r="E303" s="87" t="n"/>
      <c r="F303" s="89" t="n"/>
      <c r="G303" s="89" t="n"/>
      <c r="H303" s="90">
        <f>IF(OR(F303="",F303=0),"",(G303/F303)*33000)</f>
        <v/>
      </c>
      <c r="I303" s="56">
        <f>IF(H303="","—",IF(H303&lt;=100,"🟢 ضمن الهدف",IF(H303&lt;=150,"🟡 تجاوز بسيط","🔴 فاقد عالٍ")))</f>
        <v/>
      </c>
    </row>
    <row r="304" ht="15" customHeight="1" s="40">
      <c r="A304" s="85" t="n">
        <v>300</v>
      </c>
      <c r="B304" s="86" t="n"/>
      <c r="C304" s="87" t="n"/>
      <c r="D304" s="87" t="n"/>
      <c r="E304" s="87" t="n"/>
      <c r="F304" s="89" t="n"/>
      <c r="G304" s="89" t="n"/>
      <c r="H304" s="90">
        <f>IF(OR(F304="",F304=0),"",(G304/F304)*33000)</f>
        <v/>
      </c>
      <c r="I304" s="56">
        <f>IF(H304="","—",IF(H304&lt;=100,"🟢 ضمن الهدف",IF(H304&lt;=150,"🟡 تجاوز بسيط","🔴 فاقد عالٍ")))</f>
        <v/>
      </c>
    </row>
  </sheetData>
  <mergeCells count="5">
    <mergeCell ref="F3:G3"/>
    <mergeCell ref="A2:I2"/>
    <mergeCell ref="A1:I1"/>
    <mergeCell ref="A3:E3"/>
    <mergeCell ref="H3:I3"/>
  </mergeCells>
  <conditionalFormatting sqref="I5:I304">
    <cfRule type="cellIs" rank="0" priority="2" equalAverage="0" operator="equal" aboveAverage="0" dxfId="0" text="" percent="0" bottom="0">
      <formula>"🟢 ضمن الهدف"</formula>
    </cfRule>
    <cfRule type="cellIs" rank="0" priority="3" equalAverage="0" operator="equal" aboveAverage="0" dxfId="2" text="" percent="0" bottom="0">
      <formula>"🔴 فاقد عالٍ"</formula>
    </cfRule>
  </conditionalFormatting>
  <dataValidations count="1">
    <dataValidation sqref="D5:D304" showDropDown="0" showInputMessage="0" showErrorMessage="0" allowBlank="1" type="list" errorStyle="stop" operator="between">
      <formula1>"بنزين 91,بنزين 95,ديزل"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J304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4" customWidth="1" style="39" min="1" max="1"/>
    <col width="10" customWidth="1" style="39" min="2" max="2"/>
    <col width="7" customWidth="1" style="39" min="3" max="3"/>
    <col width="18" customWidth="1" style="39" min="4" max="4"/>
    <col width="16" customWidth="1" style="39" min="5" max="5"/>
    <col width="10" customWidth="1" style="39" min="6" max="6"/>
    <col width="18" customWidth="1" style="39" min="7" max="8"/>
    <col width="10" customWidth="1" style="39" min="9" max="9"/>
    <col width="14" customWidth="1" style="39" min="10" max="10"/>
  </cols>
  <sheetData>
    <row r="1" ht="31.5" customHeight="1" s="40">
      <c r="A1" s="41" t="inlineStr">
        <is>
          <t>📦 سجل المخزون الشهري (وقود + مواد)</t>
        </is>
      </c>
    </row>
    <row r="2" ht="27.75" customHeight="1" s="40">
      <c r="A2" s="42" t="inlineStr">
        <is>
          <t>📝 صف لكل (محطة × منتج × شهر)  ·  أيام المخزون تُحسب آلياً</t>
        </is>
      </c>
    </row>
    <row r="3" ht="24" customHeight="1" s="40">
      <c r="A3" s="84" t="inlineStr">
        <is>
          <t>بيانات المخزون</t>
        </is>
      </c>
      <c r="F3" s="44" t="inlineStr">
        <is>
          <t>📊 الكميات</t>
        </is>
      </c>
      <c r="I3" s="43" t="inlineStr">
        <is>
          <t>⚙️ آلي</t>
        </is>
      </c>
    </row>
    <row r="4" ht="43.5" customHeight="1" s="40">
      <c r="A4" s="45" t="inlineStr">
        <is>
          <t>#</t>
        </is>
      </c>
      <c r="B4" s="45" t="inlineStr">
        <is>
          <t>الشهر</t>
        </is>
      </c>
      <c r="C4" s="45" t="inlineStr">
        <is>
          <t>رقم الشهر</t>
        </is>
      </c>
      <c r="D4" s="45" t="inlineStr">
        <is>
          <t>المحطة/المستودع</t>
        </is>
      </c>
      <c r="E4" s="45" t="inlineStr">
        <is>
          <t>المنتج/المادة</t>
        </is>
      </c>
      <c r="F4" s="45" t="inlineStr">
        <is>
          <t>النوع</t>
        </is>
      </c>
      <c r="G4" s="45" t="inlineStr">
        <is>
          <t>متوسط المخزون نهاية اليوم</t>
        </is>
      </c>
      <c r="H4" s="45" t="inlineStr">
        <is>
          <t>متوسط البيع اليومي</t>
        </is>
      </c>
      <c r="I4" s="45" t="inlineStr">
        <is>
          <t>أيام المخزون</t>
        </is>
      </c>
      <c r="J4" s="45" t="inlineStr">
        <is>
          <t>الحالة</t>
        </is>
      </c>
    </row>
    <row r="5" ht="15" customHeight="1" s="40">
      <c r="A5" s="85" t="n">
        <v>1</v>
      </c>
      <c r="B5" s="87" t="n"/>
      <c r="C5" s="91">
        <f>IFERROR(MATCH(B5,{"يناير";"فبراير";"مارس";"أبريل";"مايو";"يونيو";"يوليو";"أغسطس";"سبتمبر";"أكتوبر";"نوفمبر";"ديسمبر"},0),"")</f>
        <v/>
      </c>
      <c r="D5" s="87" t="n"/>
      <c r="E5" s="87" t="n"/>
      <c r="F5" s="87" t="n"/>
      <c r="G5" s="89" t="n"/>
      <c r="H5" s="89" t="n"/>
      <c r="I5" s="92">
        <f>IF(OR(H5="",H5=0),"",G5/H5)</f>
        <v/>
      </c>
      <c r="J5" s="56">
        <f>IF(I5="","—",IF(I5&lt;=3,"🟢 صحي",IF(I5&lt;=5,"🟡 مرتفع","🔴 مخزون زائد")))</f>
        <v/>
      </c>
    </row>
    <row r="6" ht="15" customHeight="1" s="40">
      <c r="A6" s="85" t="n">
        <v>2</v>
      </c>
      <c r="B6" s="87" t="n"/>
      <c r="C6" s="91">
        <f>IFERROR(MATCH(B6,{"يناير";"فبراير";"مارس";"أبريل";"مايو";"يونيو";"يوليو";"أغسطس";"سبتمبر";"أكتوبر";"نوفمبر";"ديسمبر"},0),"")</f>
        <v/>
      </c>
      <c r="D6" s="87" t="n"/>
      <c r="E6" s="87" t="n"/>
      <c r="F6" s="87" t="n"/>
      <c r="G6" s="89" t="n"/>
      <c r="H6" s="89" t="n"/>
      <c r="I6" s="92">
        <f>IF(OR(H6="",H6=0),"",G6/H6)</f>
        <v/>
      </c>
      <c r="J6" s="56">
        <f>IF(I6="","—",IF(I6&lt;=3,"🟢 صحي",IF(I6&lt;=5,"🟡 مرتفع","🔴 مخزون زائد")))</f>
        <v/>
      </c>
    </row>
    <row r="7" ht="15" customHeight="1" s="40">
      <c r="A7" s="85" t="n">
        <v>3</v>
      </c>
      <c r="B7" s="87" t="n"/>
      <c r="C7" s="91">
        <f>IFERROR(MATCH(B7,{"يناير";"فبراير";"مارس";"أبريل";"مايو";"يونيو";"يوليو";"أغسطس";"سبتمبر";"أكتوبر";"نوفمبر";"ديسمبر"},0),"")</f>
        <v/>
      </c>
      <c r="D7" s="87" t="n"/>
      <c r="E7" s="87" t="n"/>
      <c r="F7" s="87" t="n"/>
      <c r="G7" s="89" t="n"/>
      <c r="H7" s="89" t="n"/>
      <c r="I7" s="92">
        <f>IF(OR(H7="",H7=0),"",G7/H7)</f>
        <v/>
      </c>
      <c r="J7" s="56">
        <f>IF(I7="","—",IF(I7&lt;=3,"🟢 صحي",IF(I7&lt;=5,"🟡 مرتفع","🔴 مخزون زائد")))</f>
        <v/>
      </c>
    </row>
    <row r="8" ht="15" customHeight="1" s="40">
      <c r="A8" s="85" t="n">
        <v>4</v>
      </c>
      <c r="B8" s="87" t="n"/>
      <c r="C8" s="91">
        <f>IFERROR(MATCH(B8,{"يناير";"فبراير";"مارس";"أبريل";"مايو";"يونيو";"يوليو";"أغسطس";"سبتمبر";"أكتوبر";"نوفمبر";"ديسمبر"},0),"")</f>
        <v/>
      </c>
      <c r="D8" s="87" t="n"/>
      <c r="E8" s="87" t="n"/>
      <c r="F8" s="87" t="n"/>
      <c r="G8" s="89" t="n"/>
      <c r="H8" s="89" t="n"/>
      <c r="I8" s="92">
        <f>IF(OR(H8="",H8=0),"",G8/H8)</f>
        <v/>
      </c>
      <c r="J8" s="56">
        <f>IF(I8="","—",IF(I8&lt;=3,"🟢 صحي",IF(I8&lt;=5,"🟡 مرتفع","🔴 مخزون زائد")))</f>
        <v/>
      </c>
    </row>
    <row r="9" ht="15" customHeight="1" s="40">
      <c r="A9" s="85" t="n">
        <v>5</v>
      </c>
      <c r="B9" s="87" t="n"/>
      <c r="C9" s="91">
        <f>IFERROR(MATCH(B9,{"يناير";"فبراير";"مارس";"أبريل";"مايو";"يونيو";"يوليو";"أغسطس";"سبتمبر";"أكتوبر";"نوفمبر";"ديسمبر"},0),"")</f>
        <v/>
      </c>
      <c r="D9" s="87" t="n"/>
      <c r="E9" s="87" t="n"/>
      <c r="F9" s="87" t="n"/>
      <c r="G9" s="89" t="n"/>
      <c r="H9" s="89" t="n"/>
      <c r="I9" s="92">
        <f>IF(OR(H9="",H9=0),"",G9/H9)</f>
        <v/>
      </c>
      <c r="J9" s="56">
        <f>IF(I9="","—",IF(I9&lt;=3,"🟢 صحي",IF(I9&lt;=5,"🟡 مرتفع","🔴 مخزون زائد")))</f>
        <v/>
      </c>
    </row>
    <row r="10" ht="15" customHeight="1" s="40">
      <c r="A10" s="85" t="n">
        <v>6</v>
      </c>
      <c r="B10" s="87" t="n"/>
      <c r="C10" s="91">
        <f>IFERROR(MATCH(B10,{"يناير";"فبراير";"مارس";"أبريل";"مايو";"يونيو";"يوليو";"أغسطس";"سبتمبر";"أكتوبر";"نوفمبر";"ديسمبر"},0),"")</f>
        <v/>
      </c>
      <c r="D10" s="87" t="n"/>
      <c r="E10" s="87" t="n"/>
      <c r="F10" s="87" t="n"/>
      <c r="G10" s="89" t="n"/>
      <c r="H10" s="89" t="n"/>
      <c r="I10" s="92">
        <f>IF(OR(H10="",H10=0),"",G10/H10)</f>
        <v/>
      </c>
      <c r="J10" s="56">
        <f>IF(I10="","—",IF(I10&lt;=3,"🟢 صحي",IF(I10&lt;=5,"🟡 مرتفع","🔴 مخزون زائد")))</f>
        <v/>
      </c>
    </row>
    <row r="11" ht="15" customHeight="1" s="40">
      <c r="A11" s="85" t="n">
        <v>7</v>
      </c>
      <c r="B11" s="87" t="n"/>
      <c r="C11" s="91">
        <f>IFERROR(MATCH(B11,{"يناير";"فبراير";"مارس";"أبريل";"مايو";"يونيو";"يوليو";"أغسطس";"سبتمبر";"أكتوبر";"نوفمبر";"ديسمبر"},0),"")</f>
        <v/>
      </c>
      <c r="D11" s="87" t="n"/>
      <c r="E11" s="87" t="n"/>
      <c r="F11" s="87" t="n"/>
      <c r="G11" s="89" t="n"/>
      <c r="H11" s="89" t="n"/>
      <c r="I11" s="92">
        <f>IF(OR(H11="",H11=0),"",G11/H11)</f>
        <v/>
      </c>
      <c r="J11" s="56">
        <f>IF(I11="","—",IF(I11&lt;=3,"🟢 صحي",IF(I11&lt;=5,"🟡 مرتفع","🔴 مخزون زائد")))</f>
        <v/>
      </c>
    </row>
    <row r="12" ht="15" customHeight="1" s="40">
      <c r="A12" s="85" t="n">
        <v>8</v>
      </c>
      <c r="B12" s="87" t="n"/>
      <c r="C12" s="91">
        <f>IFERROR(MATCH(B12,{"يناير";"فبراير";"مارس";"أبريل";"مايو";"يونيو";"يوليو";"أغسطس";"سبتمبر";"أكتوبر";"نوفمبر";"ديسمبر"},0),"")</f>
        <v/>
      </c>
      <c r="D12" s="87" t="n"/>
      <c r="E12" s="87" t="n"/>
      <c r="F12" s="87" t="n"/>
      <c r="G12" s="89" t="n"/>
      <c r="H12" s="89" t="n"/>
      <c r="I12" s="92">
        <f>IF(OR(H12="",H12=0),"",G12/H12)</f>
        <v/>
      </c>
      <c r="J12" s="56">
        <f>IF(I12="","—",IF(I12&lt;=3,"🟢 صحي",IF(I12&lt;=5,"🟡 مرتفع","🔴 مخزون زائد")))</f>
        <v/>
      </c>
    </row>
    <row r="13" ht="15" customHeight="1" s="40">
      <c r="A13" s="85" t="n">
        <v>9</v>
      </c>
      <c r="B13" s="87" t="n"/>
      <c r="C13" s="91">
        <f>IFERROR(MATCH(B13,{"يناير";"فبراير";"مارس";"أبريل";"مايو";"يونيو";"يوليو";"أغسطس";"سبتمبر";"أكتوبر";"نوفمبر";"ديسمبر"},0),"")</f>
        <v/>
      </c>
      <c r="D13" s="87" t="n"/>
      <c r="E13" s="87" t="n"/>
      <c r="F13" s="87" t="n"/>
      <c r="G13" s="89" t="n"/>
      <c r="H13" s="89" t="n"/>
      <c r="I13" s="92">
        <f>IF(OR(H13="",H13=0),"",G13/H13)</f>
        <v/>
      </c>
      <c r="J13" s="56">
        <f>IF(I13="","—",IF(I13&lt;=3,"🟢 صحي",IF(I13&lt;=5,"🟡 مرتفع","🔴 مخزون زائد")))</f>
        <v/>
      </c>
    </row>
    <row r="14" ht="15" customHeight="1" s="40">
      <c r="A14" s="85" t="n">
        <v>10</v>
      </c>
      <c r="B14" s="87" t="n"/>
      <c r="C14" s="91">
        <f>IFERROR(MATCH(B14,{"يناير";"فبراير";"مارس";"أبريل";"مايو";"يونيو";"يوليو";"أغسطس";"سبتمبر";"أكتوبر";"نوفمبر";"ديسمبر"},0),"")</f>
        <v/>
      </c>
      <c r="D14" s="87" t="n"/>
      <c r="E14" s="87" t="n"/>
      <c r="F14" s="87" t="n"/>
      <c r="G14" s="89" t="n"/>
      <c r="H14" s="89" t="n"/>
      <c r="I14" s="92">
        <f>IF(OR(H14="",H14=0),"",G14/H14)</f>
        <v/>
      </c>
      <c r="J14" s="56">
        <f>IF(I14="","—",IF(I14&lt;=3,"🟢 صحي",IF(I14&lt;=5,"🟡 مرتفع","🔴 مخزون زائد")))</f>
        <v/>
      </c>
    </row>
    <row r="15" ht="15" customHeight="1" s="40">
      <c r="A15" s="85" t="n">
        <v>11</v>
      </c>
      <c r="B15" s="87" t="n"/>
      <c r="C15" s="91">
        <f>IFERROR(MATCH(B15,{"يناير";"فبراير";"مارس";"أبريل";"مايو";"يونيو";"يوليو";"أغسطس";"سبتمبر";"أكتوبر";"نوفمبر";"ديسمبر"},0),"")</f>
        <v/>
      </c>
      <c r="D15" s="87" t="n"/>
      <c r="E15" s="87" t="n"/>
      <c r="F15" s="87" t="n"/>
      <c r="G15" s="89" t="n"/>
      <c r="H15" s="89" t="n"/>
      <c r="I15" s="92">
        <f>IF(OR(H15="",H15=0),"",G15/H15)</f>
        <v/>
      </c>
      <c r="J15" s="56">
        <f>IF(I15="","—",IF(I15&lt;=3,"🟢 صحي",IF(I15&lt;=5,"🟡 مرتفع","🔴 مخزون زائد")))</f>
        <v/>
      </c>
    </row>
    <row r="16" ht="15" customHeight="1" s="40">
      <c r="A16" s="85" t="n">
        <v>12</v>
      </c>
      <c r="B16" s="87" t="n"/>
      <c r="C16" s="91">
        <f>IFERROR(MATCH(B16,{"يناير";"فبراير";"مارس";"أبريل";"مايو";"يونيو";"يوليو";"أغسطس";"سبتمبر";"أكتوبر";"نوفمبر";"ديسمبر"},0),"")</f>
        <v/>
      </c>
      <c r="D16" s="87" t="n"/>
      <c r="E16" s="87" t="n"/>
      <c r="F16" s="87" t="n"/>
      <c r="G16" s="89" t="n"/>
      <c r="H16" s="89" t="n"/>
      <c r="I16" s="92">
        <f>IF(OR(H16="",H16=0),"",G16/H16)</f>
        <v/>
      </c>
      <c r="J16" s="56">
        <f>IF(I16="","—",IF(I16&lt;=3,"🟢 صحي",IF(I16&lt;=5,"🟡 مرتفع","🔴 مخزون زائد")))</f>
        <v/>
      </c>
    </row>
    <row r="17" ht="15" customHeight="1" s="40">
      <c r="A17" s="85" t="n">
        <v>13</v>
      </c>
      <c r="B17" s="87" t="n"/>
      <c r="C17" s="91">
        <f>IFERROR(MATCH(B17,{"يناير";"فبراير";"مارس";"أبريل";"مايو";"يونيو";"يوليو";"أغسطس";"سبتمبر";"أكتوبر";"نوفمبر";"ديسمبر"},0),"")</f>
        <v/>
      </c>
      <c r="D17" s="87" t="n"/>
      <c r="E17" s="87" t="n"/>
      <c r="F17" s="87" t="n"/>
      <c r="G17" s="89" t="n"/>
      <c r="H17" s="89" t="n"/>
      <c r="I17" s="92">
        <f>IF(OR(H17="",H17=0),"",G17/H17)</f>
        <v/>
      </c>
      <c r="J17" s="56">
        <f>IF(I17="","—",IF(I17&lt;=3,"🟢 صحي",IF(I17&lt;=5,"🟡 مرتفع","🔴 مخزون زائد")))</f>
        <v/>
      </c>
    </row>
    <row r="18" ht="15" customHeight="1" s="40">
      <c r="A18" s="85" t="n">
        <v>14</v>
      </c>
      <c r="B18" s="87" t="n"/>
      <c r="C18" s="91">
        <f>IFERROR(MATCH(B18,{"يناير";"فبراير";"مارس";"أبريل";"مايو";"يونيو";"يوليو";"أغسطس";"سبتمبر";"أكتوبر";"نوفمبر";"ديسمبر"},0),"")</f>
        <v/>
      </c>
      <c r="D18" s="87" t="n"/>
      <c r="E18" s="87" t="n"/>
      <c r="F18" s="87" t="n"/>
      <c r="G18" s="89" t="n"/>
      <c r="H18" s="89" t="n"/>
      <c r="I18" s="92">
        <f>IF(OR(H18="",H18=0),"",G18/H18)</f>
        <v/>
      </c>
      <c r="J18" s="56">
        <f>IF(I18="","—",IF(I18&lt;=3,"🟢 صحي",IF(I18&lt;=5,"🟡 مرتفع","🔴 مخزون زائد")))</f>
        <v/>
      </c>
    </row>
    <row r="19" ht="15" customHeight="1" s="40">
      <c r="A19" s="85" t="n">
        <v>15</v>
      </c>
      <c r="B19" s="87" t="n"/>
      <c r="C19" s="91">
        <f>IFERROR(MATCH(B19,{"يناير";"فبراير";"مارس";"أبريل";"مايو";"يونيو";"يوليو";"أغسطس";"سبتمبر";"أكتوبر";"نوفمبر";"ديسمبر"},0),"")</f>
        <v/>
      </c>
      <c r="D19" s="87" t="n"/>
      <c r="E19" s="87" t="n"/>
      <c r="F19" s="87" t="n"/>
      <c r="G19" s="89" t="n"/>
      <c r="H19" s="89" t="n"/>
      <c r="I19" s="92">
        <f>IF(OR(H19="",H19=0),"",G19/H19)</f>
        <v/>
      </c>
      <c r="J19" s="56">
        <f>IF(I19="","—",IF(I19&lt;=3,"🟢 صحي",IF(I19&lt;=5,"🟡 مرتفع","🔴 مخزون زائد")))</f>
        <v/>
      </c>
    </row>
    <row r="20" ht="15" customHeight="1" s="40">
      <c r="A20" s="85" t="n">
        <v>16</v>
      </c>
      <c r="B20" s="87" t="n"/>
      <c r="C20" s="91">
        <f>IFERROR(MATCH(B20,{"يناير";"فبراير";"مارس";"أبريل";"مايو";"يونيو";"يوليو";"أغسطس";"سبتمبر";"أكتوبر";"نوفمبر";"ديسمبر"},0),"")</f>
        <v/>
      </c>
      <c r="D20" s="87" t="n"/>
      <c r="E20" s="87" t="n"/>
      <c r="F20" s="87" t="n"/>
      <c r="G20" s="89" t="n"/>
      <c r="H20" s="89" t="n"/>
      <c r="I20" s="92">
        <f>IF(OR(H20="",H20=0),"",G20/H20)</f>
        <v/>
      </c>
      <c r="J20" s="56">
        <f>IF(I20="","—",IF(I20&lt;=3,"🟢 صحي",IF(I20&lt;=5,"🟡 مرتفع","🔴 مخزون زائد")))</f>
        <v/>
      </c>
    </row>
    <row r="21" ht="15" customHeight="1" s="40">
      <c r="A21" s="85" t="n">
        <v>17</v>
      </c>
      <c r="B21" s="87" t="n"/>
      <c r="C21" s="91">
        <f>IFERROR(MATCH(B21,{"يناير";"فبراير";"مارس";"أبريل";"مايو";"يونيو";"يوليو";"أغسطس";"سبتمبر";"أكتوبر";"نوفمبر";"ديسمبر"},0),"")</f>
        <v/>
      </c>
      <c r="D21" s="87" t="n"/>
      <c r="E21" s="87" t="n"/>
      <c r="F21" s="87" t="n"/>
      <c r="G21" s="89" t="n"/>
      <c r="H21" s="89" t="n"/>
      <c r="I21" s="92">
        <f>IF(OR(H21="",H21=0),"",G21/H21)</f>
        <v/>
      </c>
      <c r="J21" s="56">
        <f>IF(I21="","—",IF(I21&lt;=3,"🟢 صحي",IF(I21&lt;=5,"🟡 مرتفع","🔴 مخزون زائد")))</f>
        <v/>
      </c>
    </row>
    <row r="22" ht="15" customHeight="1" s="40">
      <c r="A22" s="85" t="n">
        <v>18</v>
      </c>
      <c r="B22" s="87" t="n"/>
      <c r="C22" s="91">
        <f>IFERROR(MATCH(B22,{"يناير";"فبراير";"مارس";"أبريل";"مايو";"يونيو";"يوليو";"أغسطس";"سبتمبر";"أكتوبر";"نوفمبر";"ديسمبر"},0),"")</f>
        <v/>
      </c>
      <c r="D22" s="87" t="n"/>
      <c r="E22" s="87" t="n"/>
      <c r="F22" s="87" t="n"/>
      <c r="G22" s="89" t="n"/>
      <c r="H22" s="89" t="n"/>
      <c r="I22" s="92">
        <f>IF(OR(H22="",H22=0),"",G22/H22)</f>
        <v/>
      </c>
      <c r="J22" s="56">
        <f>IF(I22="","—",IF(I22&lt;=3,"🟢 صحي",IF(I22&lt;=5,"🟡 مرتفع","🔴 مخزون زائد")))</f>
        <v/>
      </c>
    </row>
    <row r="23" ht="15" customHeight="1" s="40">
      <c r="A23" s="85" t="n">
        <v>19</v>
      </c>
      <c r="B23" s="87" t="n"/>
      <c r="C23" s="91">
        <f>IFERROR(MATCH(B23,{"يناير";"فبراير";"مارس";"أبريل";"مايو";"يونيو";"يوليو";"أغسطس";"سبتمبر";"أكتوبر";"نوفمبر";"ديسمبر"},0),"")</f>
        <v/>
      </c>
      <c r="D23" s="87" t="n"/>
      <c r="E23" s="87" t="n"/>
      <c r="F23" s="87" t="n"/>
      <c r="G23" s="89" t="n"/>
      <c r="H23" s="89" t="n"/>
      <c r="I23" s="92">
        <f>IF(OR(H23="",H23=0),"",G23/H23)</f>
        <v/>
      </c>
      <c r="J23" s="56">
        <f>IF(I23="","—",IF(I23&lt;=3,"🟢 صحي",IF(I23&lt;=5,"🟡 مرتفع","🔴 مخزون زائد")))</f>
        <v/>
      </c>
    </row>
    <row r="24" ht="15" customHeight="1" s="40">
      <c r="A24" s="85" t="n">
        <v>20</v>
      </c>
      <c r="B24" s="87" t="n"/>
      <c r="C24" s="91">
        <f>IFERROR(MATCH(B24,{"يناير";"فبراير";"مارس";"أبريل";"مايو";"يونيو";"يوليو";"أغسطس";"سبتمبر";"أكتوبر";"نوفمبر";"ديسمبر"},0),"")</f>
        <v/>
      </c>
      <c r="D24" s="87" t="n"/>
      <c r="E24" s="87" t="n"/>
      <c r="F24" s="87" t="n"/>
      <c r="G24" s="89" t="n"/>
      <c r="H24" s="89" t="n"/>
      <c r="I24" s="92">
        <f>IF(OR(H24="",H24=0),"",G24/H24)</f>
        <v/>
      </c>
      <c r="J24" s="56">
        <f>IF(I24="","—",IF(I24&lt;=3,"🟢 صحي",IF(I24&lt;=5,"🟡 مرتفع","🔴 مخزون زائد")))</f>
        <v/>
      </c>
    </row>
    <row r="25" ht="15" customHeight="1" s="40">
      <c r="A25" s="85" t="n">
        <v>21</v>
      </c>
      <c r="B25" s="87" t="n"/>
      <c r="C25" s="91">
        <f>IFERROR(MATCH(B25,{"يناير";"فبراير";"مارس";"أبريل";"مايو";"يونيو";"يوليو";"أغسطس";"سبتمبر";"أكتوبر";"نوفمبر";"ديسمبر"},0),"")</f>
        <v/>
      </c>
      <c r="D25" s="87" t="n"/>
      <c r="E25" s="87" t="n"/>
      <c r="F25" s="87" t="n"/>
      <c r="G25" s="89" t="n"/>
      <c r="H25" s="89" t="n"/>
      <c r="I25" s="92">
        <f>IF(OR(H25="",H25=0),"",G25/H25)</f>
        <v/>
      </c>
      <c r="J25" s="56">
        <f>IF(I25="","—",IF(I25&lt;=3,"🟢 صحي",IF(I25&lt;=5,"🟡 مرتفع","🔴 مخزون زائد")))</f>
        <v/>
      </c>
    </row>
    <row r="26" ht="15" customHeight="1" s="40">
      <c r="A26" s="85" t="n">
        <v>22</v>
      </c>
      <c r="B26" s="87" t="n"/>
      <c r="C26" s="91">
        <f>IFERROR(MATCH(B26,{"يناير";"فبراير";"مارس";"أبريل";"مايو";"يونيو";"يوليو";"أغسطس";"سبتمبر";"أكتوبر";"نوفمبر";"ديسمبر"},0),"")</f>
        <v/>
      </c>
      <c r="D26" s="87" t="n"/>
      <c r="E26" s="87" t="n"/>
      <c r="F26" s="87" t="n"/>
      <c r="G26" s="89" t="n"/>
      <c r="H26" s="89" t="n"/>
      <c r="I26" s="92">
        <f>IF(OR(H26="",H26=0),"",G26/H26)</f>
        <v/>
      </c>
      <c r="J26" s="56">
        <f>IF(I26="","—",IF(I26&lt;=3,"🟢 صحي",IF(I26&lt;=5,"🟡 مرتفع","🔴 مخزون زائد")))</f>
        <v/>
      </c>
    </row>
    <row r="27" ht="15" customHeight="1" s="40">
      <c r="A27" s="85" t="n">
        <v>23</v>
      </c>
      <c r="B27" s="87" t="n"/>
      <c r="C27" s="91">
        <f>IFERROR(MATCH(B27,{"يناير";"فبراير";"مارس";"أبريل";"مايو";"يونيو";"يوليو";"أغسطس";"سبتمبر";"أكتوبر";"نوفمبر";"ديسمبر"},0),"")</f>
        <v/>
      </c>
      <c r="D27" s="87" t="n"/>
      <c r="E27" s="87" t="n"/>
      <c r="F27" s="87" t="n"/>
      <c r="G27" s="89" t="n"/>
      <c r="H27" s="89" t="n"/>
      <c r="I27" s="92">
        <f>IF(OR(H27="",H27=0),"",G27/H27)</f>
        <v/>
      </c>
      <c r="J27" s="56">
        <f>IF(I27="","—",IF(I27&lt;=3,"🟢 صحي",IF(I27&lt;=5,"🟡 مرتفع","🔴 مخزون زائد")))</f>
        <v/>
      </c>
    </row>
    <row r="28" ht="15" customHeight="1" s="40">
      <c r="A28" s="85" t="n">
        <v>24</v>
      </c>
      <c r="B28" s="87" t="n"/>
      <c r="C28" s="91">
        <f>IFERROR(MATCH(B28,{"يناير";"فبراير";"مارس";"أبريل";"مايو";"يونيو";"يوليو";"أغسطس";"سبتمبر";"أكتوبر";"نوفمبر";"ديسمبر"},0),"")</f>
        <v/>
      </c>
      <c r="D28" s="87" t="n"/>
      <c r="E28" s="87" t="n"/>
      <c r="F28" s="87" t="n"/>
      <c r="G28" s="89" t="n"/>
      <c r="H28" s="89" t="n"/>
      <c r="I28" s="92">
        <f>IF(OR(H28="",H28=0),"",G28/H28)</f>
        <v/>
      </c>
      <c r="J28" s="56">
        <f>IF(I28="","—",IF(I28&lt;=3,"🟢 صحي",IF(I28&lt;=5,"🟡 مرتفع","🔴 مخزون زائد")))</f>
        <v/>
      </c>
    </row>
    <row r="29" ht="15" customHeight="1" s="40">
      <c r="A29" s="85" t="n">
        <v>25</v>
      </c>
      <c r="B29" s="87" t="n"/>
      <c r="C29" s="91">
        <f>IFERROR(MATCH(B29,{"يناير";"فبراير";"مارس";"أبريل";"مايو";"يونيو";"يوليو";"أغسطس";"سبتمبر";"أكتوبر";"نوفمبر";"ديسمبر"},0),"")</f>
        <v/>
      </c>
      <c r="D29" s="87" t="n"/>
      <c r="E29" s="87" t="n"/>
      <c r="F29" s="87" t="n"/>
      <c r="G29" s="89" t="n"/>
      <c r="H29" s="89" t="n"/>
      <c r="I29" s="92">
        <f>IF(OR(H29="",H29=0),"",G29/H29)</f>
        <v/>
      </c>
      <c r="J29" s="56">
        <f>IF(I29="","—",IF(I29&lt;=3,"🟢 صحي",IF(I29&lt;=5,"🟡 مرتفع","🔴 مخزون زائد")))</f>
        <v/>
      </c>
    </row>
    <row r="30" ht="15" customHeight="1" s="40">
      <c r="A30" s="85" t="n">
        <v>26</v>
      </c>
      <c r="B30" s="87" t="n"/>
      <c r="C30" s="91">
        <f>IFERROR(MATCH(B30,{"يناير";"فبراير";"مارس";"أبريل";"مايو";"يونيو";"يوليو";"أغسطس";"سبتمبر";"أكتوبر";"نوفمبر";"ديسمبر"},0),"")</f>
        <v/>
      </c>
      <c r="D30" s="87" t="n"/>
      <c r="E30" s="87" t="n"/>
      <c r="F30" s="87" t="n"/>
      <c r="G30" s="89" t="n"/>
      <c r="H30" s="89" t="n"/>
      <c r="I30" s="92">
        <f>IF(OR(H30="",H30=0),"",G30/H30)</f>
        <v/>
      </c>
      <c r="J30" s="56">
        <f>IF(I30="","—",IF(I30&lt;=3,"🟢 صحي",IF(I30&lt;=5,"🟡 مرتفع","🔴 مخزون زائد")))</f>
        <v/>
      </c>
    </row>
    <row r="31" ht="15" customHeight="1" s="40">
      <c r="A31" s="85" t="n">
        <v>27</v>
      </c>
      <c r="B31" s="87" t="n"/>
      <c r="C31" s="91">
        <f>IFERROR(MATCH(B31,{"يناير";"فبراير";"مارس";"أبريل";"مايو";"يونيو";"يوليو";"أغسطس";"سبتمبر";"أكتوبر";"نوفمبر";"ديسمبر"},0),"")</f>
        <v/>
      </c>
      <c r="D31" s="87" t="n"/>
      <c r="E31" s="87" t="n"/>
      <c r="F31" s="87" t="n"/>
      <c r="G31" s="89" t="n"/>
      <c r="H31" s="89" t="n"/>
      <c r="I31" s="92">
        <f>IF(OR(H31="",H31=0),"",G31/H31)</f>
        <v/>
      </c>
      <c r="J31" s="56">
        <f>IF(I31="","—",IF(I31&lt;=3,"🟢 صحي",IF(I31&lt;=5,"🟡 مرتفع","🔴 مخزون زائد")))</f>
        <v/>
      </c>
    </row>
    <row r="32" ht="15" customHeight="1" s="40">
      <c r="A32" s="85" t="n">
        <v>28</v>
      </c>
      <c r="B32" s="87" t="n"/>
      <c r="C32" s="91">
        <f>IFERROR(MATCH(B32,{"يناير";"فبراير";"مارس";"أبريل";"مايو";"يونيو";"يوليو";"أغسطس";"سبتمبر";"أكتوبر";"نوفمبر";"ديسمبر"},0),"")</f>
        <v/>
      </c>
      <c r="D32" s="87" t="n"/>
      <c r="E32" s="87" t="n"/>
      <c r="F32" s="87" t="n"/>
      <c r="G32" s="89" t="n"/>
      <c r="H32" s="89" t="n"/>
      <c r="I32" s="92">
        <f>IF(OR(H32="",H32=0),"",G32/H32)</f>
        <v/>
      </c>
      <c r="J32" s="56">
        <f>IF(I32="","—",IF(I32&lt;=3,"🟢 صحي",IF(I32&lt;=5,"🟡 مرتفع","🔴 مخزون زائد")))</f>
        <v/>
      </c>
    </row>
    <row r="33" ht="15" customHeight="1" s="40">
      <c r="A33" s="85" t="n">
        <v>29</v>
      </c>
      <c r="B33" s="87" t="n"/>
      <c r="C33" s="91">
        <f>IFERROR(MATCH(B33,{"يناير";"فبراير";"مارس";"أبريل";"مايو";"يونيو";"يوليو";"أغسطس";"سبتمبر";"أكتوبر";"نوفمبر";"ديسمبر"},0),"")</f>
        <v/>
      </c>
      <c r="D33" s="87" t="n"/>
      <c r="E33" s="87" t="n"/>
      <c r="F33" s="87" t="n"/>
      <c r="G33" s="89" t="n"/>
      <c r="H33" s="89" t="n"/>
      <c r="I33" s="92">
        <f>IF(OR(H33="",H33=0),"",G33/H33)</f>
        <v/>
      </c>
      <c r="J33" s="56">
        <f>IF(I33="","—",IF(I33&lt;=3,"🟢 صحي",IF(I33&lt;=5,"🟡 مرتفع","🔴 مخزون زائد")))</f>
        <v/>
      </c>
    </row>
    <row r="34" ht="15" customHeight="1" s="40">
      <c r="A34" s="85" t="n">
        <v>30</v>
      </c>
      <c r="B34" s="87" t="n"/>
      <c r="C34" s="91">
        <f>IFERROR(MATCH(B34,{"يناير";"فبراير";"مارس";"أبريل";"مايو";"يونيو";"يوليو";"أغسطس";"سبتمبر";"أكتوبر";"نوفمبر";"ديسمبر"},0),"")</f>
        <v/>
      </c>
      <c r="D34" s="87" t="n"/>
      <c r="E34" s="87" t="n"/>
      <c r="F34" s="87" t="n"/>
      <c r="G34" s="89" t="n"/>
      <c r="H34" s="89" t="n"/>
      <c r="I34" s="92">
        <f>IF(OR(H34="",H34=0),"",G34/H34)</f>
        <v/>
      </c>
      <c r="J34" s="56">
        <f>IF(I34="","—",IF(I34&lt;=3,"🟢 صحي",IF(I34&lt;=5,"🟡 مرتفع","🔴 مخزون زائد")))</f>
        <v/>
      </c>
    </row>
    <row r="35" ht="15" customHeight="1" s="40">
      <c r="A35" s="85" t="n">
        <v>31</v>
      </c>
      <c r="B35" s="87" t="n"/>
      <c r="C35" s="91">
        <f>IFERROR(MATCH(B35,{"يناير";"فبراير";"مارس";"أبريل";"مايو";"يونيو";"يوليو";"أغسطس";"سبتمبر";"أكتوبر";"نوفمبر";"ديسمبر"},0),"")</f>
        <v/>
      </c>
      <c r="D35" s="87" t="n"/>
      <c r="E35" s="87" t="n"/>
      <c r="F35" s="87" t="n"/>
      <c r="G35" s="89" t="n"/>
      <c r="H35" s="89" t="n"/>
      <c r="I35" s="92">
        <f>IF(OR(H35="",H35=0),"",G35/H35)</f>
        <v/>
      </c>
      <c r="J35" s="56">
        <f>IF(I35="","—",IF(I35&lt;=3,"🟢 صحي",IF(I35&lt;=5,"🟡 مرتفع","🔴 مخزون زائد")))</f>
        <v/>
      </c>
    </row>
    <row r="36" ht="15" customHeight="1" s="40">
      <c r="A36" s="85" t="n">
        <v>32</v>
      </c>
      <c r="B36" s="87" t="n"/>
      <c r="C36" s="91">
        <f>IFERROR(MATCH(B36,{"يناير";"فبراير";"مارس";"أبريل";"مايو";"يونيو";"يوليو";"أغسطس";"سبتمبر";"أكتوبر";"نوفمبر";"ديسمبر"},0),"")</f>
        <v/>
      </c>
      <c r="D36" s="87" t="n"/>
      <c r="E36" s="87" t="n"/>
      <c r="F36" s="87" t="n"/>
      <c r="G36" s="89" t="n"/>
      <c r="H36" s="89" t="n"/>
      <c r="I36" s="92">
        <f>IF(OR(H36="",H36=0),"",G36/H36)</f>
        <v/>
      </c>
      <c r="J36" s="56">
        <f>IF(I36="","—",IF(I36&lt;=3,"🟢 صحي",IF(I36&lt;=5,"🟡 مرتفع","🔴 مخزون زائد")))</f>
        <v/>
      </c>
    </row>
    <row r="37" ht="15" customHeight="1" s="40">
      <c r="A37" s="85" t="n">
        <v>33</v>
      </c>
      <c r="B37" s="87" t="n"/>
      <c r="C37" s="91">
        <f>IFERROR(MATCH(B37,{"يناير";"فبراير";"مارس";"أبريل";"مايو";"يونيو";"يوليو";"أغسطس";"سبتمبر";"أكتوبر";"نوفمبر";"ديسمبر"},0),"")</f>
        <v/>
      </c>
      <c r="D37" s="87" t="n"/>
      <c r="E37" s="87" t="n"/>
      <c r="F37" s="87" t="n"/>
      <c r="G37" s="89" t="n"/>
      <c r="H37" s="89" t="n"/>
      <c r="I37" s="92">
        <f>IF(OR(H37="",H37=0),"",G37/H37)</f>
        <v/>
      </c>
      <c r="J37" s="56">
        <f>IF(I37="","—",IF(I37&lt;=3,"🟢 صحي",IF(I37&lt;=5,"🟡 مرتفع","🔴 مخزون زائد")))</f>
        <v/>
      </c>
    </row>
    <row r="38" ht="15" customHeight="1" s="40">
      <c r="A38" s="85" t="n">
        <v>34</v>
      </c>
      <c r="B38" s="87" t="n"/>
      <c r="C38" s="91">
        <f>IFERROR(MATCH(B38,{"يناير";"فبراير";"مارس";"أبريل";"مايو";"يونيو";"يوليو";"أغسطس";"سبتمبر";"أكتوبر";"نوفمبر";"ديسمبر"},0),"")</f>
        <v/>
      </c>
      <c r="D38" s="87" t="n"/>
      <c r="E38" s="87" t="n"/>
      <c r="F38" s="87" t="n"/>
      <c r="G38" s="89" t="n"/>
      <c r="H38" s="89" t="n"/>
      <c r="I38" s="92">
        <f>IF(OR(H38="",H38=0),"",G38/H38)</f>
        <v/>
      </c>
      <c r="J38" s="56">
        <f>IF(I38="","—",IF(I38&lt;=3,"🟢 صحي",IF(I38&lt;=5,"🟡 مرتفع","🔴 مخزون زائد")))</f>
        <v/>
      </c>
    </row>
    <row r="39" ht="15" customHeight="1" s="40">
      <c r="A39" s="85" t="n">
        <v>35</v>
      </c>
      <c r="B39" s="87" t="n"/>
      <c r="C39" s="91">
        <f>IFERROR(MATCH(B39,{"يناير";"فبراير";"مارس";"أبريل";"مايو";"يونيو";"يوليو";"أغسطس";"سبتمبر";"أكتوبر";"نوفمبر";"ديسمبر"},0),"")</f>
        <v/>
      </c>
      <c r="D39" s="87" t="n"/>
      <c r="E39" s="87" t="n"/>
      <c r="F39" s="87" t="n"/>
      <c r="G39" s="89" t="n"/>
      <c r="H39" s="89" t="n"/>
      <c r="I39" s="92">
        <f>IF(OR(H39="",H39=0),"",G39/H39)</f>
        <v/>
      </c>
      <c r="J39" s="56">
        <f>IF(I39="","—",IF(I39&lt;=3,"🟢 صحي",IF(I39&lt;=5,"🟡 مرتفع","🔴 مخزون زائد")))</f>
        <v/>
      </c>
    </row>
    <row r="40" ht="15" customHeight="1" s="40">
      <c r="A40" s="85" t="n">
        <v>36</v>
      </c>
      <c r="B40" s="87" t="n"/>
      <c r="C40" s="91">
        <f>IFERROR(MATCH(B40,{"يناير";"فبراير";"مارس";"أبريل";"مايو";"يونيو";"يوليو";"أغسطس";"سبتمبر";"أكتوبر";"نوفمبر";"ديسمبر"},0),"")</f>
        <v/>
      </c>
      <c r="D40" s="87" t="n"/>
      <c r="E40" s="87" t="n"/>
      <c r="F40" s="87" t="n"/>
      <c r="G40" s="89" t="n"/>
      <c r="H40" s="89" t="n"/>
      <c r="I40" s="92">
        <f>IF(OR(H40="",H40=0),"",G40/H40)</f>
        <v/>
      </c>
      <c r="J40" s="56">
        <f>IF(I40="","—",IF(I40&lt;=3,"🟢 صحي",IF(I40&lt;=5,"🟡 مرتفع","🔴 مخزون زائد")))</f>
        <v/>
      </c>
    </row>
    <row r="41" ht="15" customHeight="1" s="40">
      <c r="A41" s="85" t="n">
        <v>37</v>
      </c>
      <c r="B41" s="87" t="n"/>
      <c r="C41" s="91">
        <f>IFERROR(MATCH(B41,{"يناير";"فبراير";"مارس";"أبريل";"مايو";"يونيو";"يوليو";"أغسطس";"سبتمبر";"أكتوبر";"نوفمبر";"ديسمبر"},0),"")</f>
        <v/>
      </c>
      <c r="D41" s="87" t="n"/>
      <c r="E41" s="87" t="n"/>
      <c r="F41" s="87" t="n"/>
      <c r="G41" s="89" t="n"/>
      <c r="H41" s="89" t="n"/>
      <c r="I41" s="92">
        <f>IF(OR(H41="",H41=0),"",G41/H41)</f>
        <v/>
      </c>
      <c r="J41" s="56">
        <f>IF(I41="","—",IF(I41&lt;=3,"🟢 صحي",IF(I41&lt;=5,"🟡 مرتفع","🔴 مخزون زائد")))</f>
        <v/>
      </c>
    </row>
    <row r="42" ht="15" customHeight="1" s="40">
      <c r="A42" s="85" t="n">
        <v>38</v>
      </c>
      <c r="B42" s="87" t="n"/>
      <c r="C42" s="91">
        <f>IFERROR(MATCH(B42,{"يناير";"فبراير";"مارس";"أبريل";"مايو";"يونيو";"يوليو";"أغسطس";"سبتمبر";"أكتوبر";"نوفمبر";"ديسمبر"},0),"")</f>
        <v/>
      </c>
      <c r="D42" s="87" t="n"/>
      <c r="E42" s="87" t="n"/>
      <c r="F42" s="87" t="n"/>
      <c r="G42" s="89" t="n"/>
      <c r="H42" s="89" t="n"/>
      <c r="I42" s="92">
        <f>IF(OR(H42="",H42=0),"",G42/H42)</f>
        <v/>
      </c>
      <c r="J42" s="56">
        <f>IF(I42="","—",IF(I42&lt;=3,"🟢 صحي",IF(I42&lt;=5,"🟡 مرتفع","🔴 مخزون زائد")))</f>
        <v/>
      </c>
    </row>
    <row r="43" ht="15" customHeight="1" s="40">
      <c r="A43" s="85" t="n">
        <v>39</v>
      </c>
      <c r="B43" s="87" t="n"/>
      <c r="C43" s="91">
        <f>IFERROR(MATCH(B43,{"يناير";"فبراير";"مارس";"أبريل";"مايو";"يونيو";"يوليو";"أغسطس";"سبتمبر";"أكتوبر";"نوفمبر";"ديسمبر"},0),"")</f>
        <v/>
      </c>
      <c r="D43" s="87" t="n"/>
      <c r="E43" s="87" t="n"/>
      <c r="F43" s="87" t="n"/>
      <c r="G43" s="89" t="n"/>
      <c r="H43" s="89" t="n"/>
      <c r="I43" s="92">
        <f>IF(OR(H43="",H43=0),"",G43/H43)</f>
        <v/>
      </c>
      <c r="J43" s="56">
        <f>IF(I43="","—",IF(I43&lt;=3,"🟢 صحي",IF(I43&lt;=5,"🟡 مرتفع","🔴 مخزون زائد")))</f>
        <v/>
      </c>
    </row>
    <row r="44" ht="15" customHeight="1" s="40">
      <c r="A44" s="85" t="n">
        <v>40</v>
      </c>
      <c r="B44" s="87" t="n"/>
      <c r="C44" s="91">
        <f>IFERROR(MATCH(B44,{"يناير";"فبراير";"مارس";"أبريل";"مايو";"يونيو";"يوليو";"أغسطس";"سبتمبر";"أكتوبر";"نوفمبر";"ديسمبر"},0),"")</f>
        <v/>
      </c>
      <c r="D44" s="87" t="n"/>
      <c r="E44" s="87" t="n"/>
      <c r="F44" s="87" t="n"/>
      <c r="G44" s="89" t="n"/>
      <c r="H44" s="89" t="n"/>
      <c r="I44" s="92">
        <f>IF(OR(H44="",H44=0),"",G44/H44)</f>
        <v/>
      </c>
      <c r="J44" s="56">
        <f>IF(I44="","—",IF(I44&lt;=3,"🟢 صحي",IF(I44&lt;=5,"🟡 مرتفع","🔴 مخزون زائد")))</f>
        <v/>
      </c>
    </row>
    <row r="45" ht="15" customHeight="1" s="40">
      <c r="A45" s="85" t="n">
        <v>41</v>
      </c>
      <c r="B45" s="87" t="n"/>
      <c r="C45" s="91">
        <f>IFERROR(MATCH(B45,{"يناير";"فبراير";"مارس";"أبريل";"مايو";"يونيو";"يوليو";"أغسطس";"سبتمبر";"أكتوبر";"نوفمبر";"ديسمبر"},0),"")</f>
        <v/>
      </c>
      <c r="D45" s="87" t="n"/>
      <c r="E45" s="87" t="n"/>
      <c r="F45" s="87" t="n"/>
      <c r="G45" s="89" t="n"/>
      <c r="H45" s="89" t="n"/>
      <c r="I45" s="92">
        <f>IF(OR(H45="",H45=0),"",G45/H45)</f>
        <v/>
      </c>
      <c r="J45" s="56">
        <f>IF(I45="","—",IF(I45&lt;=3,"🟢 صحي",IF(I45&lt;=5,"🟡 مرتفع","🔴 مخزون زائد")))</f>
        <v/>
      </c>
    </row>
    <row r="46" ht="15" customHeight="1" s="40">
      <c r="A46" s="85" t="n">
        <v>42</v>
      </c>
      <c r="B46" s="87" t="n"/>
      <c r="C46" s="91">
        <f>IFERROR(MATCH(B46,{"يناير";"فبراير";"مارس";"أبريل";"مايو";"يونيو";"يوليو";"أغسطس";"سبتمبر";"أكتوبر";"نوفمبر";"ديسمبر"},0),"")</f>
        <v/>
      </c>
      <c r="D46" s="87" t="n"/>
      <c r="E46" s="87" t="n"/>
      <c r="F46" s="87" t="n"/>
      <c r="G46" s="89" t="n"/>
      <c r="H46" s="89" t="n"/>
      <c r="I46" s="92">
        <f>IF(OR(H46="",H46=0),"",G46/H46)</f>
        <v/>
      </c>
      <c r="J46" s="56">
        <f>IF(I46="","—",IF(I46&lt;=3,"🟢 صحي",IF(I46&lt;=5,"🟡 مرتفع","🔴 مخزون زائد")))</f>
        <v/>
      </c>
    </row>
    <row r="47" ht="15" customHeight="1" s="40">
      <c r="A47" s="85" t="n">
        <v>43</v>
      </c>
      <c r="B47" s="87" t="n"/>
      <c r="C47" s="91">
        <f>IFERROR(MATCH(B47,{"يناير";"فبراير";"مارس";"أبريل";"مايو";"يونيو";"يوليو";"أغسطس";"سبتمبر";"أكتوبر";"نوفمبر";"ديسمبر"},0),"")</f>
        <v/>
      </c>
      <c r="D47" s="87" t="n"/>
      <c r="E47" s="87" t="n"/>
      <c r="F47" s="87" t="n"/>
      <c r="G47" s="89" t="n"/>
      <c r="H47" s="89" t="n"/>
      <c r="I47" s="92">
        <f>IF(OR(H47="",H47=0),"",G47/H47)</f>
        <v/>
      </c>
      <c r="J47" s="56">
        <f>IF(I47="","—",IF(I47&lt;=3,"🟢 صحي",IF(I47&lt;=5,"🟡 مرتفع","🔴 مخزون زائد")))</f>
        <v/>
      </c>
    </row>
    <row r="48" ht="15" customHeight="1" s="40">
      <c r="A48" s="85" t="n">
        <v>44</v>
      </c>
      <c r="B48" s="87" t="n"/>
      <c r="C48" s="91">
        <f>IFERROR(MATCH(B48,{"يناير";"فبراير";"مارس";"أبريل";"مايو";"يونيو";"يوليو";"أغسطس";"سبتمبر";"أكتوبر";"نوفمبر";"ديسمبر"},0),"")</f>
        <v/>
      </c>
      <c r="D48" s="87" t="n"/>
      <c r="E48" s="87" t="n"/>
      <c r="F48" s="87" t="n"/>
      <c r="G48" s="89" t="n"/>
      <c r="H48" s="89" t="n"/>
      <c r="I48" s="92">
        <f>IF(OR(H48="",H48=0),"",G48/H48)</f>
        <v/>
      </c>
      <c r="J48" s="56">
        <f>IF(I48="","—",IF(I48&lt;=3,"🟢 صحي",IF(I48&lt;=5,"🟡 مرتفع","🔴 مخزون زائد")))</f>
        <v/>
      </c>
    </row>
    <row r="49" ht="15" customHeight="1" s="40">
      <c r="A49" s="85" t="n">
        <v>45</v>
      </c>
      <c r="B49" s="87" t="n"/>
      <c r="C49" s="91">
        <f>IFERROR(MATCH(B49,{"يناير";"فبراير";"مارس";"أبريل";"مايو";"يونيو";"يوليو";"أغسطس";"سبتمبر";"أكتوبر";"نوفمبر";"ديسمبر"},0),"")</f>
        <v/>
      </c>
      <c r="D49" s="87" t="n"/>
      <c r="E49" s="87" t="n"/>
      <c r="F49" s="87" t="n"/>
      <c r="G49" s="89" t="n"/>
      <c r="H49" s="89" t="n"/>
      <c r="I49" s="92">
        <f>IF(OR(H49="",H49=0),"",G49/H49)</f>
        <v/>
      </c>
      <c r="J49" s="56">
        <f>IF(I49="","—",IF(I49&lt;=3,"🟢 صحي",IF(I49&lt;=5,"🟡 مرتفع","🔴 مخزون زائد")))</f>
        <v/>
      </c>
    </row>
    <row r="50" ht="15" customHeight="1" s="40">
      <c r="A50" s="85" t="n">
        <v>46</v>
      </c>
      <c r="B50" s="87" t="n"/>
      <c r="C50" s="91">
        <f>IFERROR(MATCH(B50,{"يناير";"فبراير";"مارس";"أبريل";"مايو";"يونيو";"يوليو";"أغسطس";"سبتمبر";"أكتوبر";"نوفمبر";"ديسمبر"},0),"")</f>
        <v/>
      </c>
      <c r="D50" s="87" t="n"/>
      <c r="E50" s="87" t="n"/>
      <c r="F50" s="87" t="n"/>
      <c r="G50" s="89" t="n"/>
      <c r="H50" s="89" t="n"/>
      <c r="I50" s="92">
        <f>IF(OR(H50="",H50=0),"",G50/H50)</f>
        <v/>
      </c>
      <c r="J50" s="56">
        <f>IF(I50="","—",IF(I50&lt;=3,"🟢 صحي",IF(I50&lt;=5,"🟡 مرتفع","🔴 مخزون زائد")))</f>
        <v/>
      </c>
    </row>
    <row r="51" ht="15" customHeight="1" s="40">
      <c r="A51" s="85" t="n">
        <v>47</v>
      </c>
      <c r="B51" s="87" t="n"/>
      <c r="C51" s="91">
        <f>IFERROR(MATCH(B51,{"يناير";"فبراير";"مارس";"أبريل";"مايو";"يونيو";"يوليو";"أغسطس";"سبتمبر";"أكتوبر";"نوفمبر";"ديسمبر"},0),"")</f>
        <v/>
      </c>
      <c r="D51" s="87" t="n"/>
      <c r="E51" s="87" t="n"/>
      <c r="F51" s="87" t="n"/>
      <c r="G51" s="89" t="n"/>
      <c r="H51" s="89" t="n"/>
      <c r="I51" s="92">
        <f>IF(OR(H51="",H51=0),"",G51/H51)</f>
        <v/>
      </c>
      <c r="J51" s="56">
        <f>IF(I51="","—",IF(I51&lt;=3,"🟢 صحي",IF(I51&lt;=5,"🟡 مرتفع","🔴 مخزون زائد")))</f>
        <v/>
      </c>
    </row>
    <row r="52" ht="15" customHeight="1" s="40">
      <c r="A52" s="85" t="n">
        <v>48</v>
      </c>
      <c r="B52" s="87" t="n"/>
      <c r="C52" s="91">
        <f>IFERROR(MATCH(B52,{"يناير";"فبراير";"مارس";"أبريل";"مايو";"يونيو";"يوليو";"أغسطس";"سبتمبر";"أكتوبر";"نوفمبر";"ديسمبر"},0),"")</f>
        <v/>
      </c>
      <c r="D52" s="87" t="n"/>
      <c r="E52" s="87" t="n"/>
      <c r="F52" s="87" t="n"/>
      <c r="G52" s="89" t="n"/>
      <c r="H52" s="89" t="n"/>
      <c r="I52" s="92">
        <f>IF(OR(H52="",H52=0),"",G52/H52)</f>
        <v/>
      </c>
      <c r="J52" s="56">
        <f>IF(I52="","—",IF(I52&lt;=3,"🟢 صحي",IF(I52&lt;=5,"🟡 مرتفع","🔴 مخزون زائد")))</f>
        <v/>
      </c>
    </row>
    <row r="53" ht="15" customHeight="1" s="40">
      <c r="A53" s="85" t="n">
        <v>49</v>
      </c>
      <c r="B53" s="87" t="n"/>
      <c r="C53" s="91">
        <f>IFERROR(MATCH(B53,{"يناير";"فبراير";"مارس";"أبريل";"مايو";"يونيو";"يوليو";"أغسطس";"سبتمبر";"أكتوبر";"نوفمبر";"ديسمبر"},0),"")</f>
        <v/>
      </c>
      <c r="D53" s="87" t="n"/>
      <c r="E53" s="87" t="n"/>
      <c r="F53" s="87" t="n"/>
      <c r="G53" s="89" t="n"/>
      <c r="H53" s="89" t="n"/>
      <c r="I53" s="92">
        <f>IF(OR(H53="",H53=0),"",G53/H53)</f>
        <v/>
      </c>
      <c r="J53" s="56">
        <f>IF(I53="","—",IF(I53&lt;=3,"🟢 صحي",IF(I53&lt;=5,"🟡 مرتفع","🔴 مخزون زائد")))</f>
        <v/>
      </c>
    </row>
    <row r="54" ht="15" customHeight="1" s="40">
      <c r="A54" s="85" t="n">
        <v>50</v>
      </c>
      <c r="B54" s="87" t="n"/>
      <c r="C54" s="91">
        <f>IFERROR(MATCH(B54,{"يناير";"فبراير";"مارس";"أبريل";"مايو";"يونيو";"يوليو";"أغسطس";"سبتمبر";"أكتوبر";"نوفمبر";"ديسمبر"},0),"")</f>
        <v/>
      </c>
      <c r="D54" s="87" t="n"/>
      <c r="E54" s="87" t="n"/>
      <c r="F54" s="87" t="n"/>
      <c r="G54" s="89" t="n"/>
      <c r="H54" s="89" t="n"/>
      <c r="I54" s="92">
        <f>IF(OR(H54="",H54=0),"",G54/H54)</f>
        <v/>
      </c>
      <c r="J54" s="56">
        <f>IF(I54="","—",IF(I54&lt;=3,"🟢 صحي",IF(I54&lt;=5,"🟡 مرتفع","🔴 مخزون زائد")))</f>
        <v/>
      </c>
    </row>
    <row r="55" ht="15" customHeight="1" s="40">
      <c r="A55" s="85" t="n">
        <v>51</v>
      </c>
      <c r="B55" s="87" t="n"/>
      <c r="C55" s="91">
        <f>IFERROR(MATCH(B55,{"يناير";"فبراير";"مارس";"أبريل";"مايو";"يونيو";"يوليو";"أغسطس";"سبتمبر";"أكتوبر";"نوفمبر";"ديسمبر"},0),"")</f>
        <v/>
      </c>
      <c r="D55" s="87" t="n"/>
      <c r="E55" s="87" t="n"/>
      <c r="F55" s="87" t="n"/>
      <c r="G55" s="89" t="n"/>
      <c r="H55" s="89" t="n"/>
      <c r="I55" s="92">
        <f>IF(OR(H55="",H55=0),"",G55/H55)</f>
        <v/>
      </c>
      <c r="J55" s="56">
        <f>IF(I55="","—",IF(I55&lt;=3,"🟢 صحي",IF(I55&lt;=5,"🟡 مرتفع","🔴 مخزون زائد")))</f>
        <v/>
      </c>
    </row>
    <row r="56" ht="15" customHeight="1" s="40">
      <c r="A56" s="85" t="n">
        <v>52</v>
      </c>
      <c r="B56" s="87" t="n"/>
      <c r="C56" s="91">
        <f>IFERROR(MATCH(B56,{"يناير";"فبراير";"مارس";"أبريل";"مايو";"يونيو";"يوليو";"أغسطس";"سبتمبر";"أكتوبر";"نوفمبر";"ديسمبر"},0),"")</f>
        <v/>
      </c>
      <c r="D56" s="87" t="n"/>
      <c r="E56" s="87" t="n"/>
      <c r="F56" s="87" t="n"/>
      <c r="G56" s="89" t="n"/>
      <c r="H56" s="89" t="n"/>
      <c r="I56" s="92">
        <f>IF(OR(H56="",H56=0),"",G56/H56)</f>
        <v/>
      </c>
      <c r="J56" s="56">
        <f>IF(I56="","—",IF(I56&lt;=3,"🟢 صحي",IF(I56&lt;=5,"🟡 مرتفع","🔴 مخزون زائد")))</f>
        <v/>
      </c>
    </row>
    <row r="57" ht="15" customHeight="1" s="40">
      <c r="A57" s="85" t="n">
        <v>53</v>
      </c>
      <c r="B57" s="87" t="n"/>
      <c r="C57" s="91">
        <f>IFERROR(MATCH(B57,{"يناير";"فبراير";"مارس";"أبريل";"مايو";"يونيو";"يوليو";"أغسطس";"سبتمبر";"أكتوبر";"نوفمبر";"ديسمبر"},0),"")</f>
        <v/>
      </c>
      <c r="D57" s="87" t="n"/>
      <c r="E57" s="87" t="n"/>
      <c r="F57" s="87" t="n"/>
      <c r="G57" s="89" t="n"/>
      <c r="H57" s="89" t="n"/>
      <c r="I57" s="92">
        <f>IF(OR(H57="",H57=0),"",G57/H57)</f>
        <v/>
      </c>
      <c r="J57" s="56">
        <f>IF(I57="","—",IF(I57&lt;=3,"🟢 صحي",IF(I57&lt;=5,"🟡 مرتفع","🔴 مخزون زائد")))</f>
        <v/>
      </c>
    </row>
    <row r="58" ht="15" customHeight="1" s="40">
      <c r="A58" s="85" t="n">
        <v>54</v>
      </c>
      <c r="B58" s="87" t="n"/>
      <c r="C58" s="91">
        <f>IFERROR(MATCH(B58,{"يناير";"فبراير";"مارس";"أبريل";"مايو";"يونيو";"يوليو";"أغسطس";"سبتمبر";"أكتوبر";"نوفمبر";"ديسمبر"},0),"")</f>
        <v/>
      </c>
      <c r="D58" s="87" t="n"/>
      <c r="E58" s="87" t="n"/>
      <c r="F58" s="87" t="n"/>
      <c r="G58" s="89" t="n"/>
      <c r="H58" s="89" t="n"/>
      <c r="I58" s="92">
        <f>IF(OR(H58="",H58=0),"",G58/H58)</f>
        <v/>
      </c>
      <c r="J58" s="56">
        <f>IF(I58="","—",IF(I58&lt;=3,"🟢 صحي",IF(I58&lt;=5,"🟡 مرتفع","🔴 مخزون زائد")))</f>
        <v/>
      </c>
    </row>
    <row r="59" ht="15" customHeight="1" s="40">
      <c r="A59" s="85" t="n">
        <v>55</v>
      </c>
      <c r="B59" s="87" t="n"/>
      <c r="C59" s="91">
        <f>IFERROR(MATCH(B59,{"يناير";"فبراير";"مارس";"أبريل";"مايو";"يونيو";"يوليو";"أغسطس";"سبتمبر";"أكتوبر";"نوفمبر";"ديسمبر"},0),"")</f>
        <v/>
      </c>
      <c r="D59" s="87" t="n"/>
      <c r="E59" s="87" t="n"/>
      <c r="F59" s="87" t="n"/>
      <c r="G59" s="89" t="n"/>
      <c r="H59" s="89" t="n"/>
      <c r="I59" s="92">
        <f>IF(OR(H59="",H59=0),"",G59/H59)</f>
        <v/>
      </c>
      <c r="J59" s="56">
        <f>IF(I59="","—",IF(I59&lt;=3,"🟢 صحي",IF(I59&lt;=5,"🟡 مرتفع","🔴 مخزون زائد")))</f>
        <v/>
      </c>
    </row>
    <row r="60" ht="15" customHeight="1" s="40">
      <c r="A60" s="85" t="n">
        <v>56</v>
      </c>
      <c r="B60" s="87" t="n"/>
      <c r="C60" s="91">
        <f>IFERROR(MATCH(B60,{"يناير";"فبراير";"مارس";"أبريل";"مايو";"يونيو";"يوليو";"أغسطس";"سبتمبر";"أكتوبر";"نوفمبر";"ديسمبر"},0),"")</f>
        <v/>
      </c>
      <c r="D60" s="87" t="n"/>
      <c r="E60" s="87" t="n"/>
      <c r="F60" s="87" t="n"/>
      <c r="G60" s="89" t="n"/>
      <c r="H60" s="89" t="n"/>
      <c r="I60" s="92">
        <f>IF(OR(H60="",H60=0),"",G60/H60)</f>
        <v/>
      </c>
      <c r="J60" s="56">
        <f>IF(I60="","—",IF(I60&lt;=3,"🟢 صحي",IF(I60&lt;=5,"🟡 مرتفع","🔴 مخزون زائد")))</f>
        <v/>
      </c>
    </row>
    <row r="61" ht="15" customHeight="1" s="40">
      <c r="A61" s="85" t="n">
        <v>57</v>
      </c>
      <c r="B61" s="87" t="n"/>
      <c r="C61" s="91">
        <f>IFERROR(MATCH(B61,{"يناير";"فبراير";"مارس";"أبريل";"مايو";"يونيو";"يوليو";"أغسطس";"سبتمبر";"أكتوبر";"نوفمبر";"ديسمبر"},0),"")</f>
        <v/>
      </c>
      <c r="D61" s="87" t="n"/>
      <c r="E61" s="87" t="n"/>
      <c r="F61" s="87" t="n"/>
      <c r="G61" s="89" t="n"/>
      <c r="H61" s="89" t="n"/>
      <c r="I61" s="92">
        <f>IF(OR(H61="",H61=0),"",G61/H61)</f>
        <v/>
      </c>
      <c r="J61" s="56">
        <f>IF(I61="","—",IF(I61&lt;=3,"🟢 صحي",IF(I61&lt;=5,"🟡 مرتفع","🔴 مخزون زائد")))</f>
        <v/>
      </c>
    </row>
    <row r="62" ht="15" customHeight="1" s="40">
      <c r="A62" s="85" t="n">
        <v>58</v>
      </c>
      <c r="B62" s="87" t="n"/>
      <c r="C62" s="91">
        <f>IFERROR(MATCH(B62,{"يناير";"فبراير";"مارس";"أبريل";"مايو";"يونيو";"يوليو";"أغسطس";"سبتمبر";"أكتوبر";"نوفمبر";"ديسمبر"},0),"")</f>
        <v/>
      </c>
      <c r="D62" s="87" t="n"/>
      <c r="E62" s="87" t="n"/>
      <c r="F62" s="87" t="n"/>
      <c r="G62" s="89" t="n"/>
      <c r="H62" s="89" t="n"/>
      <c r="I62" s="92">
        <f>IF(OR(H62="",H62=0),"",G62/H62)</f>
        <v/>
      </c>
      <c r="J62" s="56">
        <f>IF(I62="","—",IF(I62&lt;=3,"🟢 صحي",IF(I62&lt;=5,"🟡 مرتفع","🔴 مخزون زائد")))</f>
        <v/>
      </c>
    </row>
    <row r="63" ht="15" customHeight="1" s="40">
      <c r="A63" s="85" t="n">
        <v>59</v>
      </c>
      <c r="B63" s="87" t="n"/>
      <c r="C63" s="91">
        <f>IFERROR(MATCH(B63,{"يناير";"فبراير";"مارس";"أبريل";"مايو";"يونيو";"يوليو";"أغسطس";"سبتمبر";"أكتوبر";"نوفمبر";"ديسمبر"},0),"")</f>
        <v/>
      </c>
      <c r="D63" s="87" t="n"/>
      <c r="E63" s="87" t="n"/>
      <c r="F63" s="87" t="n"/>
      <c r="G63" s="89" t="n"/>
      <c r="H63" s="89" t="n"/>
      <c r="I63" s="92">
        <f>IF(OR(H63="",H63=0),"",G63/H63)</f>
        <v/>
      </c>
      <c r="J63" s="56">
        <f>IF(I63="","—",IF(I63&lt;=3,"🟢 صحي",IF(I63&lt;=5,"🟡 مرتفع","🔴 مخزون زائد")))</f>
        <v/>
      </c>
    </row>
    <row r="64" ht="15" customHeight="1" s="40">
      <c r="A64" s="85" t="n">
        <v>60</v>
      </c>
      <c r="B64" s="87" t="n"/>
      <c r="C64" s="91">
        <f>IFERROR(MATCH(B64,{"يناير";"فبراير";"مارس";"أبريل";"مايو";"يونيو";"يوليو";"أغسطس";"سبتمبر";"أكتوبر";"نوفمبر";"ديسمبر"},0),"")</f>
        <v/>
      </c>
      <c r="D64" s="87" t="n"/>
      <c r="E64" s="87" t="n"/>
      <c r="F64" s="87" t="n"/>
      <c r="G64" s="89" t="n"/>
      <c r="H64" s="89" t="n"/>
      <c r="I64" s="92">
        <f>IF(OR(H64="",H64=0),"",G64/H64)</f>
        <v/>
      </c>
      <c r="J64" s="56">
        <f>IF(I64="","—",IF(I64&lt;=3,"🟢 صحي",IF(I64&lt;=5,"🟡 مرتفع","🔴 مخزون زائد")))</f>
        <v/>
      </c>
    </row>
    <row r="65" ht="15" customHeight="1" s="40">
      <c r="A65" s="85" t="n">
        <v>61</v>
      </c>
      <c r="B65" s="87" t="n"/>
      <c r="C65" s="91">
        <f>IFERROR(MATCH(B65,{"يناير";"فبراير";"مارس";"أبريل";"مايو";"يونيو";"يوليو";"أغسطس";"سبتمبر";"أكتوبر";"نوفمبر";"ديسمبر"},0),"")</f>
        <v/>
      </c>
      <c r="D65" s="87" t="n"/>
      <c r="E65" s="87" t="n"/>
      <c r="F65" s="87" t="n"/>
      <c r="G65" s="89" t="n"/>
      <c r="H65" s="89" t="n"/>
      <c r="I65" s="92">
        <f>IF(OR(H65="",H65=0),"",G65/H65)</f>
        <v/>
      </c>
      <c r="J65" s="56">
        <f>IF(I65="","—",IF(I65&lt;=3,"🟢 صحي",IF(I65&lt;=5,"🟡 مرتفع","🔴 مخزون زائد")))</f>
        <v/>
      </c>
    </row>
    <row r="66" ht="15" customHeight="1" s="40">
      <c r="A66" s="85" t="n">
        <v>62</v>
      </c>
      <c r="B66" s="87" t="n"/>
      <c r="C66" s="91">
        <f>IFERROR(MATCH(B66,{"يناير";"فبراير";"مارس";"أبريل";"مايو";"يونيو";"يوليو";"أغسطس";"سبتمبر";"أكتوبر";"نوفمبر";"ديسمبر"},0),"")</f>
        <v/>
      </c>
      <c r="D66" s="87" t="n"/>
      <c r="E66" s="87" t="n"/>
      <c r="F66" s="87" t="n"/>
      <c r="G66" s="89" t="n"/>
      <c r="H66" s="89" t="n"/>
      <c r="I66" s="92">
        <f>IF(OR(H66="",H66=0),"",G66/H66)</f>
        <v/>
      </c>
      <c r="J66" s="56">
        <f>IF(I66="","—",IF(I66&lt;=3,"🟢 صحي",IF(I66&lt;=5,"🟡 مرتفع","🔴 مخزون زائد")))</f>
        <v/>
      </c>
    </row>
    <row r="67" ht="15" customHeight="1" s="40">
      <c r="A67" s="85" t="n">
        <v>63</v>
      </c>
      <c r="B67" s="87" t="n"/>
      <c r="C67" s="91">
        <f>IFERROR(MATCH(B67,{"يناير";"فبراير";"مارس";"أبريل";"مايو";"يونيو";"يوليو";"أغسطس";"سبتمبر";"أكتوبر";"نوفمبر";"ديسمبر"},0),"")</f>
        <v/>
      </c>
      <c r="D67" s="87" t="n"/>
      <c r="E67" s="87" t="n"/>
      <c r="F67" s="87" t="n"/>
      <c r="G67" s="89" t="n"/>
      <c r="H67" s="89" t="n"/>
      <c r="I67" s="92">
        <f>IF(OR(H67="",H67=0),"",G67/H67)</f>
        <v/>
      </c>
      <c r="J67" s="56">
        <f>IF(I67="","—",IF(I67&lt;=3,"🟢 صحي",IF(I67&lt;=5,"🟡 مرتفع","🔴 مخزون زائد")))</f>
        <v/>
      </c>
    </row>
    <row r="68" ht="15" customHeight="1" s="40">
      <c r="A68" s="85" t="n">
        <v>64</v>
      </c>
      <c r="B68" s="87" t="n"/>
      <c r="C68" s="91">
        <f>IFERROR(MATCH(B68,{"يناير";"فبراير";"مارس";"أبريل";"مايو";"يونيو";"يوليو";"أغسطس";"سبتمبر";"أكتوبر";"نوفمبر";"ديسمبر"},0),"")</f>
        <v/>
      </c>
      <c r="D68" s="87" t="n"/>
      <c r="E68" s="87" t="n"/>
      <c r="F68" s="87" t="n"/>
      <c r="G68" s="89" t="n"/>
      <c r="H68" s="89" t="n"/>
      <c r="I68" s="92">
        <f>IF(OR(H68="",H68=0),"",G68/H68)</f>
        <v/>
      </c>
      <c r="J68" s="56">
        <f>IF(I68="","—",IF(I68&lt;=3,"🟢 صحي",IF(I68&lt;=5,"🟡 مرتفع","🔴 مخزون زائد")))</f>
        <v/>
      </c>
    </row>
    <row r="69" ht="15" customHeight="1" s="40">
      <c r="A69" s="85" t="n">
        <v>65</v>
      </c>
      <c r="B69" s="87" t="n"/>
      <c r="C69" s="91">
        <f>IFERROR(MATCH(B69,{"يناير";"فبراير";"مارس";"أبريل";"مايو";"يونيو";"يوليو";"أغسطس";"سبتمبر";"أكتوبر";"نوفمبر";"ديسمبر"},0),"")</f>
        <v/>
      </c>
      <c r="D69" s="87" t="n"/>
      <c r="E69" s="87" t="n"/>
      <c r="F69" s="87" t="n"/>
      <c r="G69" s="89" t="n"/>
      <c r="H69" s="89" t="n"/>
      <c r="I69" s="92">
        <f>IF(OR(H69="",H69=0),"",G69/H69)</f>
        <v/>
      </c>
      <c r="J69" s="56">
        <f>IF(I69="","—",IF(I69&lt;=3,"🟢 صحي",IF(I69&lt;=5,"🟡 مرتفع","🔴 مخزون زائد")))</f>
        <v/>
      </c>
    </row>
    <row r="70" ht="15" customHeight="1" s="40">
      <c r="A70" s="85" t="n">
        <v>66</v>
      </c>
      <c r="B70" s="87" t="n"/>
      <c r="C70" s="91">
        <f>IFERROR(MATCH(B70,{"يناير";"فبراير";"مارس";"أبريل";"مايو";"يونيو";"يوليو";"أغسطس";"سبتمبر";"أكتوبر";"نوفمبر";"ديسمبر"},0),"")</f>
        <v/>
      </c>
      <c r="D70" s="87" t="n"/>
      <c r="E70" s="87" t="n"/>
      <c r="F70" s="87" t="n"/>
      <c r="G70" s="89" t="n"/>
      <c r="H70" s="89" t="n"/>
      <c r="I70" s="92">
        <f>IF(OR(H70="",H70=0),"",G70/H70)</f>
        <v/>
      </c>
      <c r="J70" s="56">
        <f>IF(I70="","—",IF(I70&lt;=3,"🟢 صحي",IF(I70&lt;=5,"🟡 مرتفع","🔴 مخزون زائد")))</f>
        <v/>
      </c>
    </row>
    <row r="71" ht="15" customHeight="1" s="40">
      <c r="A71" s="85" t="n">
        <v>67</v>
      </c>
      <c r="B71" s="87" t="n"/>
      <c r="C71" s="91">
        <f>IFERROR(MATCH(B71,{"يناير";"فبراير";"مارس";"أبريل";"مايو";"يونيو";"يوليو";"أغسطس";"سبتمبر";"أكتوبر";"نوفمبر";"ديسمبر"},0),"")</f>
        <v/>
      </c>
      <c r="D71" s="87" t="n"/>
      <c r="E71" s="87" t="n"/>
      <c r="F71" s="87" t="n"/>
      <c r="G71" s="89" t="n"/>
      <c r="H71" s="89" t="n"/>
      <c r="I71" s="92">
        <f>IF(OR(H71="",H71=0),"",G71/H71)</f>
        <v/>
      </c>
      <c r="J71" s="56">
        <f>IF(I71="","—",IF(I71&lt;=3,"🟢 صحي",IF(I71&lt;=5,"🟡 مرتفع","🔴 مخزون زائد")))</f>
        <v/>
      </c>
    </row>
    <row r="72" ht="15" customHeight="1" s="40">
      <c r="A72" s="85" t="n">
        <v>68</v>
      </c>
      <c r="B72" s="87" t="n"/>
      <c r="C72" s="91">
        <f>IFERROR(MATCH(B72,{"يناير";"فبراير";"مارس";"أبريل";"مايو";"يونيو";"يوليو";"أغسطس";"سبتمبر";"أكتوبر";"نوفمبر";"ديسمبر"},0),"")</f>
        <v/>
      </c>
      <c r="D72" s="87" t="n"/>
      <c r="E72" s="87" t="n"/>
      <c r="F72" s="87" t="n"/>
      <c r="G72" s="89" t="n"/>
      <c r="H72" s="89" t="n"/>
      <c r="I72" s="92">
        <f>IF(OR(H72="",H72=0),"",G72/H72)</f>
        <v/>
      </c>
      <c r="J72" s="56">
        <f>IF(I72="","—",IF(I72&lt;=3,"🟢 صحي",IF(I72&lt;=5,"🟡 مرتفع","🔴 مخزون زائد")))</f>
        <v/>
      </c>
    </row>
    <row r="73" ht="15" customHeight="1" s="40">
      <c r="A73" s="85" t="n">
        <v>69</v>
      </c>
      <c r="B73" s="87" t="n"/>
      <c r="C73" s="91">
        <f>IFERROR(MATCH(B73,{"يناير";"فبراير";"مارس";"أبريل";"مايو";"يونيو";"يوليو";"أغسطس";"سبتمبر";"أكتوبر";"نوفمبر";"ديسمبر"},0),"")</f>
        <v/>
      </c>
      <c r="D73" s="87" t="n"/>
      <c r="E73" s="87" t="n"/>
      <c r="F73" s="87" t="n"/>
      <c r="G73" s="89" t="n"/>
      <c r="H73" s="89" t="n"/>
      <c r="I73" s="92">
        <f>IF(OR(H73="",H73=0),"",G73/H73)</f>
        <v/>
      </c>
      <c r="J73" s="56">
        <f>IF(I73="","—",IF(I73&lt;=3,"🟢 صحي",IF(I73&lt;=5,"🟡 مرتفع","🔴 مخزون زائد")))</f>
        <v/>
      </c>
    </row>
    <row r="74" ht="15" customHeight="1" s="40">
      <c r="A74" s="85" t="n">
        <v>70</v>
      </c>
      <c r="B74" s="87" t="n"/>
      <c r="C74" s="91">
        <f>IFERROR(MATCH(B74,{"يناير";"فبراير";"مارس";"أبريل";"مايو";"يونيو";"يوليو";"أغسطس";"سبتمبر";"أكتوبر";"نوفمبر";"ديسمبر"},0),"")</f>
        <v/>
      </c>
      <c r="D74" s="87" t="n"/>
      <c r="E74" s="87" t="n"/>
      <c r="F74" s="87" t="n"/>
      <c r="G74" s="89" t="n"/>
      <c r="H74" s="89" t="n"/>
      <c r="I74" s="92">
        <f>IF(OR(H74="",H74=0),"",G74/H74)</f>
        <v/>
      </c>
      <c r="J74" s="56">
        <f>IF(I74="","—",IF(I74&lt;=3,"🟢 صحي",IF(I74&lt;=5,"🟡 مرتفع","🔴 مخزون زائد")))</f>
        <v/>
      </c>
    </row>
    <row r="75" ht="15" customHeight="1" s="40">
      <c r="A75" s="85" t="n">
        <v>71</v>
      </c>
      <c r="B75" s="87" t="n"/>
      <c r="C75" s="91">
        <f>IFERROR(MATCH(B75,{"يناير";"فبراير";"مارس";"أبريل";"مايو";"يونيو";"يوليو";"أغسطس";"سبتمبر";"أكتوبر";"نوفمبر";"ديسمبر"},0),"")</f>
        <v/>
      </c>
      <c r="D75" s="87" t="n"/>
      <c r="E75" s="87" t="n"/>
      <c r="F75" s="87" t="n"/>
      <c r="G75" s="89" t="n"/>
      <c r="H75" s="89" t="n"/>
      <c r="I75" s="92">
        <f>IF(OR(H75="",H75=0),"",G75/H75)</f>
        <v/>
      </c>
      <c r="J75" s="56">
        <f>IF(I75="","—",IF(I75&lt;=3,"🟢 صحي",IF(I75&lt;=5,"🟡 مرتفع","🔴 مخزون زائد")))</f>
        <v/>
      </c>
    </row>
    <row r="76" ht="15" customHeight="1" s="40">
      <c r="A76" s="85" t="n">
        <v>72</v>
      </c>
      <c r="B76" s="87" t="n"/>
      <c r="C76" s="91">
        <f>IFERROR(MATCH(B76,{"يناير";"فبراير";"مارس";"أبريل";"مايو";"يونيو";"يوليو";"أغسطس";"سبتمبر";"أكتوبر";"نوفمبر";"ديسمبر"},0),"")</f>
        <v/>
      </c>
      <c r="D76" s="87" t="n"/>
      <c r="E76" s="87" t="n"/>
      <c r="F76" s="87" t="n"/>
      <c r="G76" s="89" t="n"/>
      <c r="H76" s="89" t="n"/>
      <c r="I76" s="92">
        <f>IF(OR(H76="",H76=0),"",G76/H76)</f>
        <v/>
      </c>
      <c r="J76" s="56">
        <f>IF(I76="","—",IF(I76&lt;=3,"🟢 صحي",IF(I76&lt;=5,"🟡 مرتفع","🔴 مخزون زائد")))</f>
        <v/>
      </c>
    </row>
    <row r="77" ht="15" customHeight="1" s="40">
      <c r="A77" s="85" t="n">
        <v>73</v>
      </c>
      <c r="B77" s="87" t="n"/>
      <c r="C77" s="91">
        <f>IFERROR(MATCH(B77,{"يناير";"فبراير";"مارس";"أبريل";"مايو";"يونيو";"يوليو";"أغسطس";"سبتمبر";"أكتوبر";"نوفمبر";"ديسمبر"},0),"")</f>
        <v/>
      </c>
      <c r="D77" s="87" t="n"/>
      <c r="E77" s="87" t="n"/>
      <c r="F77" s="87" t="n"/>
      <c r="G77" s="89" t="n"/>
      <c r="H77" s="89" t="n"/>
      <c r="I77" s="92">
        <f>IF(OR(H77="",H77=0),"",G77/H77)</f>
        <v/>
      </c>
      <c r="J77" s="56">
        <f>IF(I77="","—",IF(I77&lt;=3,"🟢 صحي",IF(I77&lt;=5,"🟡 مرتفع","🔴 مخزون زائد")))</f>
        <v/>
      </c>
    </row>
    <row r="78" ht="15" customHeight="1" s="40">
      <c r="A78" s="85" t="n">
        <v>74</v>
      </c>
      <c r="B78" s="87" t="n"/>
      <c r="C78" s="91">
        <f>IFERROR(MATCH(B78,{"يناير";"فبراير";"مارس";"أبريل";"مايو";"يونيو";"يوليو";"أغسطس";"سبتمبر";"أكتوبر";"نوفمبر";"ديسمبر"},0),"")</f>
        <v/>
      </c>
      <c r="D78" s="87" t="n"/>
      <c r="E78" s="87" t="n"/>
      <c r="F78" s="87" t="n"/>
      <c r="G78" s="89" t="n"/>
      <c r="H78" s="89" t="n"/>
      <c r="I78" s="92">
        <f>IF(OR(H78="",H78=0),"",G78/H78)</f>
        <v/>
      </c>
      <c r="J78" s="56">
        <f>IF(I78="","—",IF(I78&lt;=3,"🟢 صحي",IF(I78&lt;=5,"🟡 مرتفع","🔴 مخزون زائد")))</f>
        <v/>
      </c>
    </row>
    <row r="79" ht="15" customHeight="1" s="40">
      <c r="A79" s="85" t="n">
        <v>75</v>
      </c>
      <c r="B79" s="87" t="n"/>
      <c r="C79" s="91">
        <f>IFERROR(MATCH(B79,{"يناير";"فبراير";"مارس";"أبريل";"مايو";"يونيو";"يوليو";"أغسطس";"سبتمبر";"أكتوبر";"نوفمبر";"ديسمبر"},0),"")</f>
        <v/>
      </c>
      <c r="D79" s="87" t="n"/>
      <c r="E79" s="87" t="n"/>
      <c r="F79" s="87" t="n"/>
      <c r="G79" s="89" t="n"/>
      <c r="H79" s="89" t="n"/>
      <c r="I79" s="92">
        <f>IF(OR(H79="",H79=0),"",G79/H79)</f>
        <v/>
      </c>
      <c r="J79" s="56">
        <f>IF(I79="","—",IF(I79&lt;=3,"🟢 صحي",IF(I79&lt;=5,"🟡 مرتفع","🔴 مخزون زائد")))</f>
        <v/>
      </c>
    </row>
    <row r="80" ht="15" customHeight="1" s="40">
      <c r="A80" s="85" t="n">
        <v>76</v>
      </c>
      <c r="B80" s="87" t="n"/>
      <c r="C80" s="91">
        <f>IFERROR(MATCH(B80,{"يناير";"فبراير";"مارس";"أبريل";"مايو";"يونيو";"يوليو";"أغسطس";"سبتمبر";"أكتوبر";"نوفمبر";"ديسمبر"},0),"")</f>
        <v/>
      </c>
      <c r="D80" s="87" t="n"/>
      <c r="E80" s="87" t="n"/>
      <c r="F80" s="87" t="n"/>
      <c r="G80" s="89" t="n"/>
      <c r="H80" s="89" t="n"/>
      <c r="I80" s="92">
        <f>IF(OR(H80="",H80=0),"",G80/H80)</f>
        <v/>
      </c>
      <c r="J80" s="56">
        <f>IF(I80="","—",IF(I80&lt;=3,"🟢 صحي",IF(I80&lt;=5,"🟡 مرتفع","🔴 مخزون زائد")))</f>
        <v/>
      </c>
    </row>
    <row r="81" ht="15" customHeight="1" s="40">
      <c r="A81" s="85" t="n">
        <v>77</v>
      </c>
      <c r="B81" s="87" t="n"/>
      <c r="C81" s="91">
        <f>IFERROR(MATCH(B81,{"يناير";"فبراير";"مارس";"أبريل";"مايو";"يونيو";"يوليو";"أغسطس";"سبتمبر";"أكتوبر";"نوفمبر";"ديسمبر"},0),"")</f>
        <v/>
      </c>
      <c r="D81" s="87" t="n"/>
      <c r="E81" s="87" t="n"/>
      <c r="F81" s="87" t="n"/>
      <c r="G81" s="89" t="n"/>
      <c r="H81" s="89" t="n"/>
      <c r="I81" s="92">
        <f>IF(OR(H81="",H81=0),"",G81/H81)</f>
        <v/>
      </c>
      <c r="J81" s="56">
        <f>IF(I81="","—",IF(I81&lt;=3,"🟢 صحي",IF(I81&lt;=5,"🟡 مرتفع","🔴 مخزون زائد")))</f>
        <v/>
      </c>
    </row>
    <row r="82" ht="15" customHeight="1" s="40">
      <c r="A82" s="85" t="n">
        <v>78</v>
      </c>
      <c r="B82" s="87" t="n"/>
      <c r="C82" s="91">
        <f>IFERROR(MATCH(B82,{"يناير";"فبراير";"مارس";"أبريل";"مايو";"يونيو";"يوليو";"أغسطس";"سبتمبر";"أكتوبر";"نوفمبر";"ديسمبر"},0),"")</f>
        <v/>
      </c>
      <c r="D82" s="87" t="n"/>
      <c r="E82" s="87" t="n"/>
      <c r="F82" s="87" t="n"/>
      <c r="G82" s="89" t="n"/>
      <c r="H82" s="89" t="n"/>
      <c r="I82" s="92">
        <f>IF(OR(H82="",H82=0),"",G82/H82)</f>
        <v/>
      </c>
      <c r="J82" s="56">
        <f>IF(I82="","—",IF(I82&lt;=3,"🟢 صحي",IF(I82&lt;=5,"🟡 مرتفع","🔴 مخزون زائد")))</f>
        <v/>
      </c>
    </row>
    <row r="83" ht="15" customHeight="1" s="40">
      <c r="A83" s="85" t="n">
        <v>79</v>
      </c>
      <c r="B83" s="87" t="n"/>
      <c r="C83" s="91">
        <f>IFERROR(MATCH(B83,{"يناير";"فبراير";"مارس";"أبريل";"مايو";"يونيو";"يوليو";"أغسطس";"سبتمبر";"أكتوبر";"نوفمبر";"ديسمبر"},0),"")</f>
        <v/>
      </c>
      <c r="D83" s="87" t="n"/>
      <c r="E83" s="87" t="n"/>
      <c r="F83" s="87" t="n"/>
      <c r="G83" s="89" t="n"/>
      <c r="H83" s="89" t="n"/>
      <c r="I83" s="92">
        <f>IF(OR(H83="",H83=0),"",G83/H83)</f>
        <v/>
      </c>
      <c r="J83" s="56">
        <f>IF(I83="","—",IF(I83&lt;=3,"🟢 صحي",IF(I83&lt;=5,"🟡 مرتفع","🔴 مخزون زائد")))</f>
        <v/>
      </c>
    </row>
    <row r="84" ht="15" customHeight="1" s="40">
      <c r="A84" s="85" t="n">
        <v>80</v>
      </c>
      <c r="B84" s="87" t="n"/>
      <c r="C84" s="91">
        <f>IFERROR(MATCH(B84,{"يناير";"فبراير";"مارس";"أبريل";"مايو";"يونيو";"يوليو";"أغسطس";"سبتمبر";"أكتوبر";"نوفمبر";"ديسمبر"},0),"")</f>
        <v/>
      </c>
      <c r="D84" s="87" t="n"/>
      <c r="E84" s="87" t="n"/>
      <c r="F84" s="87" t="n"/>
      <c r="G84" s="89" t="n"/>
      <c r="H84" s="89" t="n"/>
      <c r="I84" s="92">
        <f>IF(OR(H84="",H84=0),"",G84/H84)</f>
        <v/>
      </c>
      <c r="J84" s="56">
        <f>IF(I84="","—",IF(I84&lt;=3,"🟢 صحي",IF(I84&lt;=5,"🟡 مرتفع","🔴 مخزون زائد")))</f>
        <v/>
      </c>
    </row>
    <row r="85" ht="15" customHeight="1" s="40">
      <c r="A85" s="85" t="n">
        <v>81</v>
      </c>
      <c r="B85" s="87" t="n"/>
      <c r="C85" s="91">
        <f>IFERROR(MATCH(B85,{"يناير";"فبراير";"مارس";"أبريل";"مايو";"يونيو";"يوليو";"أغسطس";"سبتمبر";"أكتوبر";"نوفمبر";"ديسمبر"},0),"")</f>
        <v/>
      </c>
      <c r="D85" s="87" t="n"/>
      <c r="E85" s="87" t="n"/>
      <c r="F85" s="87" t="n"/>
      <c r="G85" s="89" t="n"/>
      <c r="H85" s="89" t="n"/>
      <c r="I85" s="92">
        <f>IF(OR(H85="",H85=0),"",G85/H85)</f>
        <v/>
      </c>
      <c r="J85" s="56">
        <f>IF(I85="","—",IF(I85&lt;=3,"🟢 صحي",IF(I85&lt;=5,"🟡 مرتفع","🔴 مخزون زائد")))</f>
        <v/>
      </c>
    </row>
    <row r="86" ht="15" customHeight="1" s="40">
      <c r="A86" s="85" t="n">
        <v>82</v>
      </c>
      <c r="B86" s="87" t="n"/>
      <c r="C86" s="91">
        <f>IFERROR(MATCH(B86,{"يناير";"فبراير";"مارس";"أبريل";"مايو";"يونيو";"يوليو";"أغسطس";"سبتمبر";"أكتوبر";"نوفمبر";"ديسمبر"},0),"")</f>
        <v/>
      </c>
      <c r="D86" s="87" t="n"/>
      <c r="E86" s="87" t="n"/>
      <c r="F86" s="87" t="n"/>
      <c r="G86" s="89" t="n"/>
      <c r="H86" s="89" t="n"/>
      <c r="I86" s="92">
        <f>IF(OR(H86="",H86=0),"",G86/H86)</f>
        <v/>
      </c>
      <c r="J86" s="56">
        <f>IF(I86="","—",IF(I86&lt;=3,"🟢 صحي",IF(I86&lt;=5,"🟡 مرتفع","🔴 مخزون زائد")))</f>
        <v/>
      </c>
    </row>
    <row r="87" ht="15" customHeight="1" s="40">
      <c r="A87" s="85" t="n">
        <v>83</v>
      </c>
      <c r="B87" s="87" t="n"/>
      <c r="C87" s="91">
        <f>IFERROR(MATCH(B87,{"يناير";"فبراير";"مارس";"أبريل";"مايو";"يونيو";"يوليو";"أغسطس";"سبتمبر";"أكتوبر";"نوفمبر";"ديسمبر"},0),"")</f>
        <v/>
      </c>
      <c r="D87" s="87" t="n"/>
      <c r="E87" s="87" t="n"/>
      <c r="F87" s="87" t="n"/>
      <c r="G87" s="89" t="n"/>
      <c r="H87" s="89" t="n"/>
      <c r="I87" s="92">
        <f>IF(OR(H87="",H87=0),"",G87/H87)</f>
        <v/>
      </c>
      <c r="J87" s="56">
        <f>IF(I87="","—",IF(I87&lt;=3,"🟢 صحي",IF(I87&lt;=5,"🟡 مرتفع","🔴 مخزون زائد")))</f>
        <v/>
      </c>
    </row>
    <row r="88" ht="15" customHeight="1" s="40">
      <c r="A88" s="85" t="n">
        <v>84</v>
      </c>
      <c r="B88" s="87" t="n"/>
      <c r="C88" s="91">
        <f>IFERROR(MATCH(B88,{"يناير";"فبراير";"مارس";"أبريل";"مايو";"يونيو";"يوليو";"أغسطس";"سبتمبر";"أكتوبر";"نوفمبر";"ديسمبر"},0),"")</f>
        <v/>
      </c>
      <c r="D88" s="87" t="n"/>
      <c r="E88" s="87" t="n"/>
      <c r="F88" s="87" t="n"/>
      <c r="G88" s="89" t="n"/>
      <c r="H88" s="89" t="n"/>
      <c r="I88" s="92">
        <f>IF(OR(H88="",H88=0),"",G88/H88)</f>
        <v/>
      </c>
      <c r="J88" s="56">
        <f>IF(I88="","—",IF(I88&lt;=3,"🟢 صحي",IF(I88&lt;=5,"🟡 مرتفع","🔴 مخزون زائد")))</f>
        <v/>
      </c>
    </row>
    <row r="89" ht="15" customHeight="1" s="40">
      <c r="A89" s="85" t="n">
        <v>85</v>
      </c>
      <c r="B89" s="87" t="n"/>
      <c r="C89" s="91">
        <f>IFERROR(MATCH(B89,{"يناير";"فبراير";"مارس";"أبريل";"مايو";"يونيو";"يوليو";"أغسطس";"سبتمبر";"أكتوبر";"نوفمبر";"ديسمبر"},0),"")</f>
        <v/>
      </c>
      <c r="D89" s="87" t="n"/>
      <c r="E89" s="87" t="n"/>
      <c r="F89" s="87" t="n"/>
      <c r="G89" s="89" t="n"/>
      <c r="H89" s="89" t="n"/>
      <c r="I89" s="92">
        <f>IF(OR(H89="",H89=0),"",G89/H89)</f>
        <v/>
      </c>
      <c r="J89" s="56">
        <f>IF(I89="","—",IF(I89&lt;=3,"🟢 صحي",IF(I89&lt;=5,"🟡 مرتفع","🔴 مخزون زائد")))</f>
        <v/>
      </c>
    </row>
    <row r="90" ht="15" customHeight="1" s="40">
      <c r="A90" s="85" t="n">
        <v>86</v>
      </c>
      <c r="B90" s="87" t="n"/>
      <c r="C90" s="91">
        <f>IFERROR(MATCH(B90,{"يناير";"فبراير";"مارس";"أبريل";"مايو";"يونيو";"يوليو";"أغسطس";"سبتمبر";"أكتوبر";"نوفمبر";"ديسمبر"},0),"")</f>
        <v/>
      </c>
      <c r="D90" s="87" t="n"/>
      <c r="E90" s="87" t="n"/>
      <c r="F90" s="87" t="n"/>
      <c r="G90" s="89" t="n"/>
      <c r="H90" s="89" t="n"/>
      <c r="I90" s="92">
        <f>IF(OR(H90="",H90=0),"",G90/H90)</f>
        <v/>
      </c>
      <c r="J90" s="56">
        <f>IF(I90="","—",IF(I90&lt;=3,"🟢 صحي",IF(I90&lt;=5,"🟡 مرتفع","🔴 مخزون زائد")))</f>
        <v/>
      </c>
    </row>
    <row r="91" ht="15" customHeight="1" s="40">
      <c r="A91" s="85" t="n">
        <v>87</v>
      </c>
      <c r="B91" s="87" t="n"/>
      <c r="C91" s="91">
        <f>IFERROR(MATCH(B91,{"يناير";"فبراير";"مارس";"أبريل";"مايو";"يونيو";"يوليو";"أغسطس";"سبتمبر";"أكتوبر";"نوفمبر";"ديسمبر"},0),"")</f>
        <v/>
      </c>
      <c r="D91" s="87" t="n"/>
      <c r="E91" s="87" t="n"/>
      <c r="F91" s="87" t="n"/>
      <c r="G91" s="89" t="n"/>
      <c r="H91" s="89" t="n"/>
      <c r="I91" s="92">
        <f>IF(OR(H91="",H91=0),"",G91/H91)</f>
        <v/>
      </c>
      <c r="J91" s="56">
        <f>IF(I91="","—",IF(I91&lt;=3,"🟢 صحي",IF(I91&lt;=5,"🟡 مرتفع","🔴 مخزون زائد")))</f>
        <v/>
      </c>
    </row>
    <row r="92" ht="15" customHeight="1" s="40">
      <c r="A92" s="85" t="n">
        <v>88</v>
      </c>
      <c r="B92" s="87" t="n"/>
      <c r="C92" s="91">
        <f>IFERROR(MATCH(B92,{"يناير";"فبراير";"مارس";"أبريل";"مايو";"يونيو";"يوليو";"أغسطس";"سبتمبر";"أكتوبر";"نوفمبر";"ديسمبر"},0),"")</f>
        <v/>
      </c>
      <c r="D92" s="87" t="n"/>
      <c r="E92" s="87" t="n"/>
      <c r="F92" s="87" t="n"/>
      <c r="G92" s="89" t="n"/>
      <c r="H92" s="89" t="n"/>
      <c r="I92" s="92">
        <f>IF(OR(H92="",H92=0),"",G92/H92)</f>
        <v/>
      </c>
      <c r="J92" s="56">
        <f>IF(I92="","—",IF(I92&lt;=3,"🟢 صحي",IF(I92&lt;=5,"🟡 مرتفع","🔴 مخزون زائد")))</f>
        <v/>
      </c>
    </row>
    <row r="93" ht="15" customHeight="1" s="40">
      <c r="A93" s="85" t="n">
        <v>89</v>
      </c>
      <c r="B93" s="87" t="n"/>
      <c r="C93" s="91">
        <f>IFERROR(MATCH(B93,{"يناير";"فبراير";"مارس";"أبريل";"مايو";"يونيو";"يوليو";"أغسطس";"سبتمبر";"أكتوبر";"نوفمبر";"ديسمبر"},0),"")</f>
        <v/>
      </c>
      <c r="D93" s="87" t="n"/>
      <c r="E93" s="87" t="n"/>
      <c r="F93" s="87" t="n"/>
      <c r="G93" s="89" t="n"/>
      <c r="H93" s="89" t="n"/>
      <c r="I93" s="92">
        <f>IF(OR(H93="",H93=0),"",G93/H93)</f>
        <v/>
      </c>
      <c r="J93" s="56">
        <f>IF(I93="","—",IF(I93&lt;=3,"🟢 صحي",IF(I93&lt;=5,"🟡 مرتفع","🔴 مخزون زائد")))</f>
        <v/>
      </c>
    </row>
    <row r="94" ht="15" customHeight="1" s="40">
      <c r="A94" s="85" t="n">
        <v>90</v>
      </c>
      <c r="B94" s="87" t="n"/>
      <c r="C94" s="91">
        <f>IFERROR(MATCH(B94,{"يناير";"فبراير";"مارس";"أبريل";"مايو";"يونيو";"يوليو";"أغسطس";"سبتمبر";"أكتوبر";"نوفمبر";"ديسمبر"},0),"")</f>
        <v/>
      </c>
      <c r="D94" s="87" t="n"/>
      <c r="E94" s="87" t="n"/>
      <c r="F94" s="87" t="n"/>
      <c r="G94" s="89" t="n"/>
      <c r="H94" s="89" t="n"/>
      <c r="I94" s="92">
        <f>IF(OR(H94="",H94=0),"",G94/H94)</f>
        <v/>
      </c>
      <c r="J94" s="56">
        <f>IF(I94="","—",IF(I94&lt;=3,"🟢 صحي",IF(I94&lt;=5,"🟡 مرتفع","🔴 مخزون زائد")))</f>
        <v/>
      </c>
    </row>
    <row r="95" ht="15" customHeight="1" s="40">
      <c r="A95" s="85" t="n">
        <v>91</v>
      </c>
      <c r="B95" s="87" t="n"/>
      <c r="C95" s="91">
        <f>IFERROR(MATCH(B95,{"يناير";"فبراير";"مارس";"أبريل";"مايو";"يونيو";"يوليو";"أغسطس";"سبتمبر";"أكتوبر";"نوفمبر";"ديسمبر"},0),"")</f>
        <v/>
      </c>
      <c r="D95" s="87" t="n"/>
      <c r="E95" s="87" t="n"/>
      <c r="F95" s="87" t="n"/>
      <c r="G95" s="89" t="n"/>
      <c r="H95" s="89" t="n"/>
      <c r="I95" s="92">
        <f>IF(OR(H95="",H95=0),"",G95/H95)</f>
        <v/>
      </c>
      <c r="J95" s="56">
        <f>IF(I95="","—",IF(I95&lt;=3,"🟢 صحي",IF(I95&lt;=5,"🟡 مرتفع","🔴 مخزون زائد")))</f>
        <v/>
      </c>
    </row>
    <row r="96" ht="15" customHeight="1" s="40">
      <c r="A96" s="85" t="n">
        <v>92</v>
      </c>
      <c r="B96" s="87" t="n"/>
      <c r="C96" s="91">
        <f>IFERROR(MATCH(B96,{"يناير";"فبراير";"مارس";"أبريل";"مايو";"يونيو";"يوليو";"أغسطس";"سبتمبر";"أكتوبر";"نوفمبر";"ديسمبر"},0),"")</f>
        <v/>
      </c>
      <c r="D96" s="87" t="n"/>
      <c r="E96" s="87" t="n"/>
      <c r="F96" s="87" t="n"/>
      <c r="G96" s="89" t="n"/>
      <c r="H96" s="89" t="n"/>
      <c r="I96" s="92">
        <f>IF(OR(H96="",H96=0),"",G96/H96)</f>
        <v/>
      </c>
      <c r="J96" s="56">
        <f>IF(I96="","—",IF(I96&lt;=3,"🟢 صحي",IF(I96&lt;=5,"🟡 مرتفع","🔴 مخزون زائد")))</f>
        <v/>
      </c>
    </row>
    <row r="97" ht="15" customHeight="1" s="40">
      <c r="A97" s="85" t="n">
        <v>93</v>
      </c>
      <c r="B97" s="87" t="n"/>
      <c r="C97" s="91">
        <f>IFERROR(MATCH(B97,{"يناير";"فبراير";"مارس";"أبريل";"مايو";"يونيو";"يوليو";"أغسطس";"سبتمبر";"أكتوبر";"نوفمبر";"ديسمبر"},0),"")</f>
        <v/>
      </c>
      <c r="D97" s="87" t="n"/>
      <c r="E97" s="87" t="n"/>
      <c r="F97" s="87" t="n"/>
      <c r="G97" s="89" t="n"/>
      <c r="H97" s="89" t="n"/>
      <c r="I97" s="92">
        <f>IF(OR(H97="",H97=0),"",G97/H97)</f>
        <v/>
      </c>
      <c r="J97" s="56">
        <f>IF(I97="","—",IF(I97&lt;=3,"🟢 صحي",IF(I97&lt;=5,"🟡 مرتفع","🔴 مخزون زائد")))</f>
        <v/>
      </c>
    </row>
    <row r="98" ht="15" customHeight="1" s="40">
      <c r="A98" s="85" t="n">
        <v>94</v>
      </c>
      <c r="B98" s="87" t="n"/>
      <c r="C98" s="91">
        <f>IFERROR(MATCH(B98,{"يناير";"فبراير";"مارس";"أبريل";"مايو";"يونيو";"يوليو";"أغسطس";"سبتمبر";"أكتوبر";"نوفمبر";"ديسمبر"},0),"")</f>
        <v/>
      </c>
      <c r="D98" s="87" t="n"/>
      <c r="E98" s="87" t="n"/>
      <c r="F98" s="87" t="n"/>
      <c r="G98" s="89" t="n"/>
      <c r="H98" s="89" t="n"/>
      <c r="I98" s="92">
        <f>IF(OR(H98="",H98=0),"",G98/H98)</f>
        <v/>
      </c>
      <c r="J98" s="56">
        <f>IF(I98="","—",IF(I98&lt;=3,"🟢 صحي",IF(I98&lt;=5,"🟡 مرتفع","🔴 مخزون زائد")))</f>
        <v/>
      </c>
    </row>
    <row r="99" ht="15" customHeight="1" s="40">
      <c r="A99" s="85" t="n">
        <v>95</v>
      </c>
      <c r="B99" s="87" t="n"/>
      <c r="C99" s="91">
        <f>IFERROR(MATCH(B99,{"يناير";"فبراير";"مارس";"أبريل";"مايو";"يونيو";"يوليو";"أغسطس";"سبتمبر";"أكتوبر";"نوفمبر";"ديسمبر"},0),"")</f>
        <v/>
      </c>
      <c r="D99" s="87" t="n"/>
      <c r="E99" s="87" t="n"/>
      <c r="F99" s="87" t="n"/>
      <c r="G99" s="89" t="n"/>
      <c r="H99" s="89" t="n"/>
      <c r="I99" s="92">
        <f>IF(OR(H99="",H99=0),"",G99/H99)</f>
        <v/>
      </c>
      <c r="J99" s="56">
        <f>IF(I99="","—",IF(I99&lt;=3,"🟢 صحي",IF(I99&lt;=5,"🟡 مرتفع","🔴 مخزون زائد")))</f>
        <v/>
      </c>
    </row>
    <row r="100" ht="15" customHeight="1" s="40">
      <c r="A100" s="85" t="n">
        <v>96</v>
      </c>
      <c r="B100" s="87" t="n"/>
      <c r="C100" s="91">
        <f>IFERROR(MATCH(B100,{"يناير";"فبراير";"مارس";"أبريل";"مايو";"يونيو";"يوليو";"أغسطس";"سبتمبر";"أكتوبر";"نوفمبر";"ديسمبر"},0),"")</f>
        <v/>
      </c>
      <c r="D100" s="87" t="n"/>
      <c r="E100" s="87" t="n"/>
      <c r="F100" s="87" t="n"/>
      <c r="G100" s="89" t="n"/>
      <c r="H100" s="89" t="n"/>
      <c r="I100" s="92">
        <f>IF(OR(H100="",H100=0),"",G100/H100)</f>
        <v/>
      </c>
      <c r="J100" s="56">
        <f>IF(I100="","—",IF(I100&lt;=3,"🟢 صحي",IF(I100&lt;=5,"🟡 مرتفع","🔴 مخزون زائد")))</f>
        <v/>
      </c>
    </row>
    <row r="101" ht="15" customHeight="1" s="40">
      <c r="A101" s="85" t="n">
        <v>97</v>
      </c>
      <c r="B101" s="87" t="n"/>
      <c r="C101" s="91">
        <f>IFERROR(MATCH(B101,{"يناير";"فبراير";"مارس";"أبريل";"مايو";"يونيو";"يوليو";"أغسطس";"سبتمبر";"أكتوبر";"نوفمبر";"ديسمبر"},0),"")</f>
        <v/>
      </c>
      <c r="D101" s="87" t="n"/>
      <c r="E101" s="87" t="n"/>
      <c r="F101" s="87" t="n"/>
      <c r="G101" s="89" t="n"/>
      <c r="H101" s="89" t="n"/>
      <c r="I101" s="92">
        <f>IF(OR(H101="",H101=0),"",G101/H101)</f>
        <v/>
      </c>
      <c r="J101" s="56">
        <f>IF(I101="","—",IF(I101&lt;=3,"🟢 صحي",IF(I101&lt;=5,"🟡 مرتفع","🔴 مخزون زائد")))</f>
        <v/>
      </c>
    </row>
    <row r="102" ht="15" customHeight="1" s="40">
      <c r="A102" s="85" t="n">
        <v>98</v>
      </c>
      <c r="B102" s="87" t="n"/>
      <c r="C102" s="91">
        <f>IFERROR(MATCH(B102,{"يناير";"فبراير";"مارس";"أبريل";"مايو";"يونيو";"يوليو";"أغسطس";"سبتمبر";"أكتوبر";"نوفمبر";"ديسمبر"},0),"")</f>
        <v/>
      </c>
      <c r="D102" s="87" t="n"/>
      <c r="E102" s="87" t="n"/>
      <c r="F102" s="87" t="n"/>
      <c r="G102" s="89" t="n"/>
      <c r="H102" s="89" t="n"/>
      <c r="I102" s="92">
        <f>IF(OR(H102="",H102=0),"",G102/H102)</f>
        <v/>
      </c>
      <c r="J102" s="56">
        <f>IF(I102="","—",IF(I102&lt;=3,"🟢 صحي",IF(I102&lt;=5,"🟡 مرتفع","🔴 مخزون زائد")))</f>
        <v/>
      </c>
    </row>
    <row r="103" ht="15" customHeight="1" s="40">
      <c r="A103" s="85" t="n">
        <v>99</v>
      </c>
      <c r="B103" s="87" t="n"/>
      <c r="C103" s="91">
        <f>IFERROR(MATCH(B103,{"يناير";"فبراير";"مارس";"أبريل";"مايو";"يونيو";"يوليو";"أغسطس";"سبتمبر";"أكتوبر";"نوفمبر";"ديسمبر"},0),"")</f>
        <v/>
      </c>
      <c r="D103" s="87" t="n"/>
      <c r="E103" s="87" t="n"/>
      <c r="F103" s="87" t="n"/>
      <c r="G103" s="89" t="n"/>
      <c r="H103" s="89" t="n"/>
      <c r="I103" s="92">
        <f>IF(OR(H103="",H103=0),"",G103/H103)</f>
        <v/>
      </c>
      <c r="J103" s="56">
        <f>IF(I103="","—",IF(I103&lt;=3,"🟢 صحي",IF(I103&lt;=5,"🟡 مرتفع","🔴 مخزون زائد")))</f>
        <v/>
      </c>
    </row>
    <row r="104" ht="15" customHeight="1" s="40">
      <c r="A104" s="85" t="n">
        <v>100</v>
      </c>
      <c r="B104" s="87" t="n"/>
      <c r="C104" s="91">
        <f>IFERROR(MATCH(B104,{"يناير";"فبراير";"مارس";"أبريل";"مايو";"يونيو";"يوليو";"أغسطس";"سبتمبر";"أكتوبر";"نوفمبر";"ديسمبر"},0),"")</f>
        <v/>
      </c>
      <c r="D104" s="87" t="n"/>
      <c r="E104" s="87" t="n"/>
      <c r="F104" s="87" t="n"/>
      <c r="G104" s="89" t="n"/>
      <c r="H104" s="89" t="n"/>
      <c r="I104" s="92">
        <f>IF(OR(H104="",H104=0),"",G104/H104)</f>
        <v/>
      </c>
      <c r="J104" s="56">
        <f>IF(I104="","—",IF(I104&lt;=3,"🟢 صحي",IF(I104&lt;=5,"🟡 مرتفع","🔴 مخزون زائد")))</f>
        <v/>
      </c>
    </row>
    <row r="105" ht="15" customHeight="1" s="40">
      <c r="A105" s="85" t="n">
        <v>101</v>
      </c>
      <c r="B105" s="87" t="n"/>
      <c r="C105" s="91">
        <f>IFERROR(MATCH(B105,{"يناير";"فبراير";"مارس";"أبريل";"مايو";"يونيو";"يوليو";"أغسطس";"سبتمبر";"أكتوبر";"نوفمبر";"ديسمبر"},0),"")</f>
        <v/>
      </c>
      <c r="D105" s="87" t="n"/>
      <c r="E105" s="87" t="n"/>
      <c r="F105" s="87" t="n"/>
      <c r="G105" s="89" t="n"/>
      <c r="H105" s="89" t="n"/>
      <c r="I105" s="92">
        <f>IF(OR(H105="",H105=0),"",G105/H105)</f>
        <v/>
      </c>
      <c r="J105" s="56">
        <f>IF(I105="","—",IF(I105&lt;=3,"🟢 صحي",IF(I105&lt;=5,"🟡 مرتفع","🔴 مخزون زائد")))</f>
        <v/>
      </c>
    </row>
    <row r="106" ht="15" customHeight="1" s="40">
      <c r="A106" s="85" t="n">
        <v>102</v>
      </c>
      <c r="B106" s="87" t="n"/>
      <c r="C106" s="91">
        <f>IFERROR(MATCH(B106,{"يناير";"فبراير";"مارس";"أبريل";"مايو";"يونيو";"يوليو";"أغسطس";"سبتمبر";"أكتوبر";"نوفمبر";"ديسمبر"},0),"")</f>
        <v/>
      </c>
      <c r="D106" s="87" t="n"/>
      <c r="E106" s="87" t="n"/>
      <c r="F106" s="87" t="n"/>
      <c r="G106" s="89" t="n"/>
      <c r="H106" s="89" t="n"/>
      <c r="I106" s="92">
        <f>IF(OR(H106="",H106=0),"",G106/H106)</f>
        <v/>
      </c>
      <c r="J106" s="56">
        <f>IF(I106="","—",IF(I106&lt;=3,"🟢 صحي",IF(I106&lt;=5,"🟡 مرتفع","🔴 مخزون زائد")))</f>
        <v/>
      </c>
    </row>
    <row r="107" ht="15" customHeight="1" s="40">
      <c r="A107" s="85" t="n">
        <v>103</v>
      </c>
      <c r="B107" s="87" t="n"/>
      <c r="C107" s="91">
        <f>IFERROR(MATCH(B107,{"يناير";"فبراير";"مارس";"أبريل";"مايو";"يونيو";"يوليو";"أغسطس";"سبتمبر";"أكتوبر";"نوفمبر";"ديسمبر"},0),"")</f>
        <v/>
      </c>
      <c r="D107" s="87" t="n"/>
      <c r="E107" s="87" t="n"/>
      <c r="F107" s="87" t="n"/>
      <c r="G107" s="89" t="n"/>
      <c r="H107" s="89" t="n"/>
      <c r="I107" s="92">
        <f>IF(OR(H107="",H107=0),"",G107/H107)</f>
        <v/>
      </c>
      <c r="J107" s="56">
        <f>IF(I107="","—",IF(I107&lt;=3,"🟢 صحي",IF(I107&lt;=5,"🟡 مرتفع","🔴 مخزون زائد")))</f>
        <v/>
      </c>
    </row>
    <row r="108" ht="15" customHeight="1" s="40">
      <c r="A108" s="85" t="n">
        <v>104</v>
      </c>
      <c r="B108" s="87" t="n"/>
      <c r="C108" s="91">
        <f>IFERROR(MATCH(B108,{"يناير";"فبراير";"مارس";"أبريل";"مايو";"يونيو";"يوليو";"أغسطس";"سبتمبر";"أكتوبر";"نوفمبر";"ديسمبر"},0),"")</f>
        <v/>
      </c>
      <c r="D108" s="87" t="n"/>
      <c r="E108" s="87" t="n"/>
      <c r="F108" s="87" t="n"/>
      <c r="G108" s="89" t="n"/>
      <c r="H108" s="89" t="n"/>
      <c r="I108" s="92">
        <f>IF(OR(H108="",H108=0),"",G108/H108)</f>
        <v/>
      </c>
      <c r="J108" s="56">
        <f>IF(I108="","—",IF(I108&lt;=3,"🟢 صحي",IF(I108&lt;=5,"🟡 مرتفع","🔴 مخزون زائد")))</f>
        <v/>
      </c>
    </row>
    <row r="109" ht="15" customHeight="1" s="40">
      <c r="A109" s="85" t="n">
        <v>105</v>
      </c>
      <c r="B109" s="87" t="n"/>
      <c r="C109" s="91">
        <f>IFERROR(MATCH(B109,{"يناير";"فبراير";"مارس";"أبريل";"مايو";"يونيو";"يوليو";"أغسطس";"سبتمبر";"أكتوبر";"نوفمبر";"ديسمبر"},0),"")</f>
        <v/>
      </c>
      <c r="D109" s="87" t="n"/>
      <c r="E109" s="87" t="n"/>
      <c r="F109" s="87" t="n"/>
      <c r="G109" s="89" t="n"/>
      <c r="H109" s="89" t="n"/>
      <c r="I109" s="92">
        <f>IF(OR(H109="",H109=0),"",G109/H109)</f>
        <v/>
      </c>
      <c r="J109" s="56">
        <f>IF(I109="","—",IF(I109&lt;=3,"🟢 صحي",IF(I109&lt;=5,"🟡 مرتفع","🔴 مخزون زائد")))</f>
        <v/>
      </c>
    </row>
    <row r="110" ht="15" customHeight="1" s="40">
      <c r="A110" s="85" t="n">
        <v>106</v>
      </c>
      <c r="B110" s="87" t="n"/>
      <c r="C110" s="91">
        <f>IFERROR(MATCH(B110,{"يناير";"فبراير";"مارس";"أبريل";"مايو";"يونيو";"يوليو";"أغسطس";"سبتمبر";"أكتوبر";"نوفمبر";"ديسمبر"},0),"")</f>
        <v/>
      </c>
      <c r="D110" s="87" t="n"/>
      <c r="E110" s="87" t="n"/>
      <c r="F110" s="87" t="n"/>
      <c r="G110" s="89" t="n"/>
      <c r="H110" s="89" t="n"/>
      <c r="I110" s="92">
        <f>IF(OR(H110="",H110=0),"",G110/H110)</f>
        <v/>
      </c>
      <c r="J110" s="56">
        <f>IF(I110="","—",IF(I110&lt;=3,"🟢 صحي",IF(I110&lt;=5,"🟡 مرتفع","🔴 مخزون زائد")))</f>
        <v/>
      </c>
    </row>
    <row r="111" ht="15" customHeight="1" s="40">
      <c r="A111" s="85" t="n">
        <v>107</v>
      </c>
      <c r="B111" s="87" t="n"/>
      <c r="C111" s="91">
        <f>IFERROR(MATCH(B111,{"يناير";"فبراير";"مارس";"أبريل";"مايو";"يونيو";"يوليو";"أغسطس";"سبتمبر";"أكتوبر";"نوفمبر";"ديسمبر"},0),"")</f>
        <v/>
      </c>
      <c r="D111" s="87" t="n"/>
      <c r="E111" s="87" t="n"/>
      <c r="F111" s="87" t="n"/>
      <c r="G111" s="89" t="n"/>
      <c r="H111" s="89" t="n"/>
      <c r="I111" s="92">
        <f>IF(OR(H111="",H111=0),"",G111/H111)</f>
        <v/>
      </c>
      <c r="J111" s="56">
        <f>IF(I111="","—",IF(I111&lt;=3,"🟢 صحي",IF(I111&lt;=5,"🟡 مرتفع","🔴 مخزون زائد")))</f>
        <v/>
      </c>
    </row>
    <row r="112" ht="15" customHeight="1" s="40">
      <c r="A112" s="85" t="n">
        <v>108</v>
      </c>
      <c r="B112" s="87" t="n"/>
      <c r="C112" s="91">
        <f>IFERROR(MATCH(B112,{"يناير";"فبراير";"مارس";"أبريل";"مايو";"يونيو";"يوليو";"أغسطس";"سبتمبر";"أكتوبر";"نوفمبر";"ديسمبر"},0),"")</f>
        <v/>
      </c>
      <c r="D112" s="87" t="n"/>
      <c r="E112" s="87" t="n"/>
      <c r="F112" s="87" t="n"/>
      <c r="G112" s="89" t="n"/>
      <c r="H112" s="89" t="n"/>
      <c r="I112" s="92">
        <f>IF(OR(H112="",H112=0),"",G112/H112)</f>
        <v/>
      </c>
      <c r="J112" s="56">
        <f>IF(I112="","—",IF(I112&lt;=3,"🟢 صحي",IF(I112&lt;=5,"🟡 مرتفع","🔴 مخزون زائد")))</f>
        <v/>
      </c>
    </row>
    <row r="113" ht="15" customHeight="1" s="40">
      <c r="A113" s="85" t="n">
        <v>109</v>
      </c>
      <c r="B113" s="87" t="n"/>
      <c r="C113" s="91">
        <f>IFERROR(MATCH(B113,{"يناير";"فبراير";"مارس";"أبريل";"مايو";"يونيو";"يوليو";"أغسطس";"سبتمبر";"أكتوبر";"نوفمبر";"ديسمبر"},0),"")</f>
        <v/>
      </c>
      <c r="D113" s="87" t="n"/>
      <c r="E113" s="87" t="n"/>
      <c r="F113" s="87" t="n"/>
      <c r="G113" s="89" t="n"/>
      <c r="H113" s="89" t="n"/>
      <c r="I113" s="92">
        <f>IF(OR(H113="",H113=0),"",G113/H113)</f>
        <v/>
      </c>
      <c r="J113" s="56">
        <f>IF(I113="","—",IF(I113&lt;=3,"🟢 صحي",IF(I113&lt;=5,"🟡 مرتفع","🔴 مخزون زائد")))</f>
        <v/>
      </c>
    </row>
    <row r="114" ht="15" customHeight="1" s="40">
      <c r="A114" s="85" t="n">
        <v>110</v>
      </c>
      <c r="B114" s="87" t="n"/>
      <c r="C114" s="91">
        <f>IFERROR(MATCH(B114,{"يناير";"فبراير";"مارس";"أبريل";"مايو";"يونيو";"يوليو";"أغسطس";"سبتمبر";"أكتوبر";"نوفمبر";"ديسمبر"},0),"")</f>
        <v/>
      </c>
      <c r="D114" s="87" t="n"/>
      <c r="E114" s="87" t="n"/>
      <c r="F114" s="87" t="n"/>
      <c r="G114" s="89" t="n"/>
      <c r="H114" s="89" t="n"/>
      <c r="I114" s="92">
        <f>IF(OR(H114="",H114=0),"",G114/H114)</f>
        <v/>
      </c>
      <c r="J114" s="56">
        <f>IF(I114="","—",IF(I114&lt;=3,"🟢 صحي",IF(I114&lt;=5,"🟡 مرتفع","🔴 مخزون زائد")))</f>
        <v/>
      </c>
    </row>
    <row r="115" ht="15" customHeight="1" s="40">
      <c r="A115" s="85" t="n">
        <v>111</v>
      </c>
      <c r="B115" s="87" t="n"/>
      <c r="C115" s="91">
        <f>IFERROR(MATCH(B115,{"يناير";"فبراير";"مارس";"أبريل";"مايو";"يونيو";"يوليو";"أغسطس";"سبتمبر";"أكتوبر";"نوفمبر";"ديسمبر"},0),"")</f>
        <v/>
      </c>
      <c r="D115" s="87" t="n"/>
      <c r="E115" s="87" t="n"/>
      <c r="F115" s="87" t="n"/>
      <c r="G115" s="89" t="n"/>
      <c r="H115" s="89" t="n"/>
      <c r="I115" s="92">
        <f>IF(OR(H115="",H115=0),"",G115/H115)</f>
        <v/>
      </c>
      <c r="J115" s="56">
        <f>IF(I115="","—",IF(I115&lt;=3,"🟢 صحي",IF(I115&lt;=5,"🟡 مرتفع","🔴 مخزون زائد")))</f>
        <v/>
      </c>
    </row>
    <row r="116" ht="15" customHeight="1" s="40">
      <c r="A116" s="85" t="n">
        <v>112</v>
      </c>
      <c r="B116" s="87" t="n"/>
      <c r="C116" s="91">
        <f>IFERROR(MATCH(B116,{"يناير";"فبراير";"مارس";"أبريل";"مايو";"يونيو";"يوليو";"أغسطس";"سبتمبر";"أكتوبر";"نوفمبر";"ديسمبر"},0),"")</f>
        <v/>
      </c>
      <c r="D116" s="87" t="n"/>
      <c r="E116" s="87" t="n"/>
      <c r="F116" s="87" t="n"/>
      <c r="G116" s="89" t="n"/>
      <c r="H116" s="89" t="n"/>
      <c r="I116" s="92">
        <f>IF(OR(H116="",H116=0),"",G116/H116)</f>
        <v/>
      </c>
      <c r="J116" s="56">
        <f>IF(I116="","—",IF(I116&lt;=3,"🟢 صحي",IF(I116&lt;=5,"🟡 مرتفع","🔴 مخزون زائد")))</f>
        <v/>
      </c>
    </row>
    <row r="117" ht="15" customHeight="1" s="40">
      <c r="A117" s="85" t="n">
        <v>113</v>
      </c>
      <c r="B117" s="87" t="n"/>
      <c r="C117" s="91">
        <f>IFERROR(MATCH(B117,{"يناير";"فبراير";"مارس";"أبريل";"مايو";"يونيو";"يوليو";"أغسطس";"سبتمبر";"أكتوبر";"نوفمبر";"ديسمبر"},0),"")</f>
        <v/>
      </c>
      <c r="D117" s="87" t="n"/>
      <c r="E117" s="87" t="n"/>
      <c r="F117" s="87" t="n"/>
      <c r="G117" s="89" t="n"/>
      <c r="H117" s="89" t="n"/>
      <c r="I117" s="92">
        <f>IF(OR(H117="",H117=0),"",G117/H117)</f>
        <v/>
      </c>
      <c r="J117" s="56">
        <f>IF(I117="","—",IF(I117&lt;=3,"🟢 صحي",IF(I117&lt;=5,"🟡 مرتفع","🔴 مخزون زائد")))</f>
        <v/>
      </c>
    </row>
    <row r="118" ht="15" customHeight="1" s="40">
      <c r="A118" s="85" t="n">
        <v>114</v>
      </c>
      <c r="B118" s="87" t="n"/>
      <c r="C118" s="91">
        <f>IFERROR(MATCH(B118,{"يناير";"فبراير";"مارس";"أبريل";"مايو";"يونيو";"يوليو";"أغسطس";"سبتمبر";"أكتوبر";"نوفمبر";"ديسمبر"},0),"")</f>
        <v/>
      </c>
      <c r="D118" s="87" t="n"/>
      <c r="E118" s="87" t="n"/>
      <c r="F118" s="87" t="n"/>
      <c r="G118" s="89" t="n"/>
      <c r="H118" s="89" t="n"/>
      <c r="I118" s="92">
        <f>IF(OR(H118="",H118=0),"",G118/H118)</f>
        <v/>
      </c>
      <c r="J118" s="56">
        <f>IF(I118="","—",IF(I118&lt;=3,"🟢 صحي",IF(I118&lt;=5,"🟡 مرتفع","🔴 مخزون زائد")))</f>
        <v/>
      </c>
    </row>
    <row r="119" ht="15" customHeight="1" s="40">
      <c r="A119" s="85" t="n">
        <v>115</v>
      </c>
      <c r="B119" s="87" t="n"/>
      <c r="C119" s="91">
        <f>IFERROR(MATCH(B119,{"يناير";"فبراير";"مارس";"أبريل";"مايو";"يونيو";"يوليو";"أغسطس";"سبتمبر";"أكتوبر";"نوفمبر";"ديسمبر"},0),"")</f>
        <v/>
      </c>
      <c r="D119" s="87" t="n"/>
      <c r="E119" s="87" t="n"/>
      <c r="F119" s="87" t="n"/>
      <c r="G119" s="89" t="n"/>
      <c r="H119" s="89" t="n"/>
      <c r="I119" s="92">
        <f>IF(OR(H119="",H119=0),"",G119/H119)</f>
        <v/>
      </c>
      <c r="J119" s="56">
        <f>IF(I119="","—",IF(I119&lt;=3,"🟢 صحي",IF(I119&lt;=5,"🟡 مرتفع","🔴 مخزون زائد")))</f>
        <v/>
      </c>
    </row>
    <row r="120" ht="15" customHeight="1" s="40">
      <c r="A120" s="85" t="n">
        <v>116</v>
      </c>
      <c r="B120" s="87" t="n"/>
      <c r="C120" s="91">
        <f>IFERROR(MATCH(B120,{"يناير";"فبراير";"مارس";"أبريل";"مايو";"يونيو";"يوليو";"أغسطس";"سبتمبر";"أكتوبر";"نوفمبر";"ديسمبر"},0),"")</f>
        <v/>
      </c>
      <c r="D120" s="87" t="n"/>
      <c r="E120" s="87" t="n"/>
      <c r="F120" s="87" t="n"/>
      <c r="G120" s="89" t="n"/>
      <c r="H120" s="89" t="n"/>
      <c r="I120" s="92">
        <f>IF(OR(H120="",H120=0),"",G120/H120)</f>
        <v/>
      </c>
      <c r="J120" s="56">
        <f>IF(I120="","—",IF(I120&lt;=3,"🟢 صحي",IF(I120&lt;=5,"🟡 مرتفع","🔴 مخزون زائد")))</f>
        <v/>
      </c>
    </row>
    <row r="121" ht="15" customHeight="1" s="40">
      <c r="A121" s="85" t="n">
        <v>117</v>
      </c>
      <c r="B121" s="87" t="n"/>
      <c r="C121" s="91">
        <f>IFERROR(MATCH(B121,{"يناير";"فبراير";"مارس";"أبريل";"مايو";"يونيو";"يوليو";"أغسطس";"سبتمبر";"أكتوبر";"نوفمبر";"ديسمبر"},0),"")</f>
        <v/>
      </c>
      <c r="D121" s="87" t="n"/>
      <c r="E121" s="87" t="n"/>
      <c r="F121" s="87" t="n"/>
      <c r="G121" s="89" t="n"/>
      <c r="H121" s="89" t="n"/>
      <c r="I121" s="92">
        <f>IF(OR(H121="",H121=0),"",G121/H121)</f>
        <v/>
      </c>
      <c r="J121" s="56">
        <f>IF(I121="","—",IF(I121&lt;=3,"🟢 صحي",IF(I121&lt;=5,"🟡 مرتفع","🔴 مخزون زائد")))</f>
        <v/>
      </c>
    </row>
    <row r="122" ht="15" customHeight="1" s="40">
      <c r="A122" s="85" t="n">
        <v>118</v>
      </c>
      <c r="B122" s="87" t="n"/>
      <c r="C122" s="91">
        <f>IFERROR(MATCH(B122,{"يناير";"فبراير";"مارس";"أبريل";"مايو";"يونيو";"يوليو";"أغسطس";"سبتمبر";"أكتوبر";"نوفمبر";"ديسمبر"},0),"")</f>
        <v/>
      </c>
      <c r="D122" s="87" t="n"/>
      <c r="E122" s="87" t="n"/>
      <c r="F122" s="87" t="n"/>
      <c r="G122" s="89" t="n"/>
      <c r="H122" s="89" t="n"/>
      <c r="I122" s="92">
        <f>IF(OR(H122="",H122=0),"",G122/H122)</f>
        <v/>
      </c>
      <c r="J122" s="56">
        <f>IF(I122="","—",IF(I122&lt;=3,"🟢 صحي",IF(I122&lt;=5,"🟡 مرتفع","🔴 مخزون زائد")))</f>
        <v/>
      </c>
    </row>
    <row r="123" ht="15" customHeight="1" s="40">
      <c r="A123" s="85" t="n">
        <v>119</v>
      </c>
      <c r="B123" s="87" t="n"/>
      <c r="C123" s="91">
        <f>IFERROR(MATCH(B123,{"يناير";"فبراير";"مارس";"أبريل";"مايو";"يونيو";"يوليو";"أغسطس";"سبتمبر";"أكتوبر";"نوفمبر";"ديسمبر"},0),"")</f>
        <v/>
      </c>
      <c r="D123" s="87" t="n"/>
      <c r="E123" s="87" t="n"/>
      <c r="F123" s="87" t="n"/>
      <c r="G123" s="89" t="n"/>
      <c r="H123" s="89" t="n"/>
      <c r="I123" s="92">
        <f>IF(OR(H123="",H123=0),"",G123/H123)</f>
        <v/>
      </c>
      <c r="J123" s="56">
        <f>IF(I123="","—",IF(I123&lt;=3,"🟢 صحي",IF(I123&lt;=5,"🟡 مرتفع","🔴 مخزون زائد")))</f>
        <v/>
      </c>
    </row>
    <row r="124" ht="15" customHeight="1" s="40">
      <c r="A124" s="85" t="n">
        <v>120</v>
      </c>
      <c r="B124" s="87" t="n"/>
      <c r="C124" s="91">
        <f>IFERROR(MATCH(B124,{"يناير";"فبراير";"مارس";"أبريل";"مايو";"يونيو";"يوليو";"أغسطس";"سبتمبر";"أكتوبر";"نوفمبر";"ديسمبر"},0),"")</f>
        <v/>
      </c>
      <c r="D124" s="87" t="n"/>
      <c r="E124" s="87" t="n"/>
      <c r="F124" s="87" t="n"/>
      <c r="G124" s="89" t="n"/>
      <c r="H124" s="89" t="n"/>
      <c r="I124" s="92">
        <f>IF(OR(H124="",H124=0),"",G124/H124)</f>
        <v/>
      </c>
      <c r="J124" s="56">
        <f>IF(I124="","—",IF(I124&lt;=3,"🟢 صحي",IF(I124&lt;=5,"🟡 مرتفع","🔴 مخزون زائد")))</f>
        <v/>
      </c>
    </row>
    <row r="125" ht="15" customHeight="1" s="40">
      <c r="A125" s="85" t="n">
        <v>121</v>
      </c>
      <c r="B125" s="87" t="n"/>
      <c r="C125" s="91">
        <f>IFERROR(MATCH(B125,{"يناير";"فبراير";"مارس";"أبريل";"مايو";"يونيو";"يوليو";"أغسطس";"سبتمبر";"أكتوبر";"نوفمبر";"ديسمبر"},0),"")</f>
        <v/>
      </c>
      <c r="D125" s="87" t="n"/>
      <c r="E125" s="87" t="n"/>
      <c r="F125" s="87" t="n"/>
      <c r="G125" s="89" t="n"/>
      <c r="H125" s="89" t="n"/>
      <c r="I125" s="92">
        <f>IF(OR(H125="",H125=0),"",G125/H125)</f>
        <v/>
      </c>
      <c r="J125" s="56">
        <f>IF(I125="","—",IF(I125&lt;=3,"🟢 صحي",IF(I125&lt;=5,"🟡 مرتفع","🔴 مخزون زائد")))</f>
        <v/>
      </c>
    </row>
    <row r="126" ht="15" customHeight="1" s="40">
      <c r="A126" s="85" t="n">
        <v>122</v>
      </c>
      <c r="B126" s="87" t="n"/>
      <c r="C126" s="91">
        <f>IFERROR(MATCH(B126,{"يناير";"فبراير";"مارس";"أبريل";"مايو";"يونيو";"يوليو";"أغسطس";"سبتمبر";"أكتوبر";"نوفمبر";"ديسمبر"},0),"")</f>
        <v/>
      </c>
      <c r="D126" s="87" t="n"/>
      <c r="E126" s="87" t="n"/>
      <c r="F126" s="87" t="n"/>
      <c r="G126" s="89" t="n"/>
      <c r="H126" s="89" t="n"/>
      <c r="I126" s="92">
        <f>IF(OR(H126="",H126=0),"",G126/H126)</f>
        <v/>
      </c>
      <c r="J126" s="56">
        <f>IF(I126="","—",IF(I126&lt;=3,"🟢 صحي",IF(I126&lt;=5,"🟡 مرتفع","🔴 مخزون زائد")))</f>
        <v/>
      </c>
    </row>
    <row r="127" ht="15" customHeight="1" s="40">
      <c r="A127" s="85" t="n">
        <v>123</v>
      </c>
      <c r="B127" s="87" t="n"/>
      <c r="C127" s="91">
        <f>IFERROR(MATCH(B127,{"يناير";"فبراير";"مارس";"أبريل";"مايو";"يونيو";"يوليو";"أغسطس";"سبتمبر";"أكتوبر";"نوفمبر";"ديسمبر"},0),"")</f>
        <v/>
      </c>
      <c r="D127" s="87" t="n"/>
      <c r="E127" s="87" t="n"/>
      <c r="F127" s="87" t="n"/>
      <c r="G127" s="89" t="n"/>
      <c r="H127" s="89" t="n"/>
      <c r="I127" s="92">
        <f>IF(OR(H127="",H127=0),"",G127/H127)</f>
        <v/>
      </c>
      <c r="J127" s="56">
        <f>IF(I127="","—",IF(I127&lt;=3,"🟢 صحي",IF(I127&lt;=5,"🟡 مرتفع","🔴 مخزون زائد")))</f>
        <v/>
      </c>
    </row>
    <row r="128" ht="15" customHeight="1" s="40">
      <c r="A128" s="85" t="n">
        <v>124</v>
      </c>
      <c r="B128" s="87" t="n"/>
      <c r="C128" s="91">
        <f>IFERROR(MATCH(B128,{"يناير";"فبراير";"مارس";"أبريل";"مايو";"يونيو";"يوليو";"أغسطس";"سبتمبر";"أكتوبر";"نوفمبر";"ديسمبر"},0),"")</f>
        <v/>
      </c>
      <c r="D128" s="87" t="n"/>
      <c r="E128" s="87" t="n"/>
      <c r="F128" s="87" t="n"/>
      <c r="G128" s="89" t="n"/>
      <c r="H128" s="89" t="n"/>
      <c r="I128" s="92">
        <f>IF(OR(H128="",H128=0),"",G128/H128)</f>
        <v/>
      </c>
      <c r="J128" s="56">
        <f>IF(I128="","—",IF(I128&lt;=3,"🟢 صحي",IF(I128&lt;=5,"🟡 مرتفع","🔴 مخزون زائد")))</f>
        <v/>
      </c>
    </row>
    <row r="129" ht="15" customHeight="1" s="40">
      <c r="A129" s="85" t="n">
        <v>125</v>
      </c>
      <c r="B129" s="87" t="n"/>
      <c r="C129" s="91">
        <f>IFERROR(MATCH(B129,{"يناير";"فبراير";"مارس";"أبريل";"مايو";"يونيو";"يوليو";"أغسطس";"سبتمبر";"أكتوبر";"نوفمبر";"ديسمبر"},0),"")</f>
        <v/>
      </c>
      <c r="D129" s="87" t="n"/>
      <c r="E129" s="87" t="n"/>
      <c r="F129" s="87" t="n"/>
      <c r="G129" s="89" t="n"/>
      <c r="H129" s="89" t="n"/>
      <c r="I129" s="92">
        <f>IF(OR(H129="",H129=0),"",G129/H129)</f>
        <v/>
      </c>
      <c r="J129" s="56">
        <f>IF(I129="","—",IF(I129&lt;=3,"🟢 صحي",IF(I129&lt;=5,"🟡 مرتفع","🔴 مخزون زائد")))</f>
        <v/>
      </c>
    </row>
    <row r="130" ht="15" customHeight="1" s="40">
      <c r="A130" s="85" t="n">
        <v>126</v>
      </c>
      <c r="B130" s="87" t="n"/>
      <c r="C130" s="91">
        <f>IFERROR(MATCH(B130,{"يناير";"فبراير";"مارس";"أبريل";"مايو";"يونيو";"يوليو";"أغسطس";"سبتمبر";"أكتوبر";"نوفمبر";"ديسمبر"},0),"")</f>
        <v/>
      </c>
      <c r="D130" s="87" t="n"/>
      <c r="E130" s="87" t="n"/>
      <c r="F130" s="87" t="n"/>
      <c r="G130" s="89" t="n"/>
      <c r="H130" s="89" t="n"/>
      <c r="I130" s="92">
        <f>IF(OR(H130="",H130=0),"",G130/H130)</f>
        <v/>
      </c>
      <c r="J130" s="56">
        <f>IF(I130="","—",IF(I130&lt;=3,"🟢 صحي",IF(I130&lt;=5,"🟡 مرتفع","🔴 مخزون زائد")))</f>
        <v/>
      </c>
    </row>
    <row r="131" ht="15" customHeight="1" s="40">
      <c r="A131" s="85" t="n">
        <v>127</v>
      </c>
      <c r="B131" s="87" t="n"/>
      <c r="C131" s="91">
        <f>IFERROR(MATCH(B131,{"يناير";"فبراير";"مارس";"أبريل";"مايو";"يونيو";"يوليو";"أغسطس";"سبتمبر";"أكتوبر";"نوفمبر";"ديسمبر"},0),"")</f>
        <v/>
      </c>
      <c r="D131" s="87" t="n"/>
      <c r="E131" s="87" t="n"/>
      <c r="F131" s="87" t="n"/>
      <c r="G131" s="89" t="n"/>
      <c r="H131" s="89" t="n"/>
      <c r="I131" s="92">
        <f>IF(OR(H131="",H131=0),"",G131/H131)</f>
        <v/>
      </c>
      <c r="J131" s="56">
        <f>IF(I131="","—",IF(I131&lt;=3,"🟢 صحي",IF(I131&lt;=5,"🟡 مرتفع","🔴 مخزون زائد")))</f>
        <v/>
      </c>
    </row>
    <row r="132" ht="15" customHeight="1" s="40">
      <c r="A132" s="85" t="n">
        <v>128</v>
      </c>
      <c r="B132" s="87" t="n"/>
      <c r="C132" s="91">
        <f>IFERROR(MATCH(B132,{"يناير";"فبراير";"مارس";"أبريل";"مايو";"يونيو";"يوليو";"أغسطس";"سبتمبر";"أكتوبر";"نوفمبر";"ديسمبر"},0),"")</f>
        <v/>
      </c>
      <c r="D132" s="87" t="n"/>
      <c r="E132" s="87" t="n"/>
      <c r="F132" s="87" t="n"/>
      <c r="G132" s="89" t="n"/>
      <c r="H132" s="89" t="n"/>
      <c r="I132" s="92">
        <f>IF(OR(H132="",H132=0),"",G132/H132)</f>
        <v/>
      </c>
      <c r="J132" s="56">
        <f>IF(I132="","—",IF(I132&lt;=3,"🟢 صحي",IF(I132&lt;=5,"🟡 مرتفع","🔴 مخزون زائد")))</f>
        <v/>
      </c>
    </row>
    <row r="133" ht="15" customHeight="1" s="40">
      <c r="A133" s="85" t="n">
        <v>129</v>
      </c>
      <c r="B133" s="87" t="n"/>
      <c r="C133" s="91">
        <f>IFERROR(MATCH(B133,{"يناير";"فبراير";"مارس";"أبريل";"مايو";"يونيو";"يوليو";"أغسطس";"سبتمبر";"أكتوبر";"نوفمبر";"ديسمبر"},0),"")</f>
        <v/>
      </c>
      <c r="D133" s="87" t="n"/>
      <c r="E133" s="87" t="n"/>
      <c r="F133" s="87" t="n"/>
      <c r="G133" s="89" t="n"/>
      <c r="H133" s="89" t="n"/>
      <c r="I133" s="92">
        <f>IF(OR(H133="",H133=0),"",G133/H133)</f>
        <v/>
      </c>
      <c r="J133" s="56">
        <f>IF(I133="","—",IF(I133&lt;=3,"🟢 صحي",IF(I133&lt;=5,"🟡 مرتفع","🔴 مخزون زائد")))</f>
        <v/>
      </c>
    </row>
    <row r="134" ht="15" customHeight="1" s="40">
      <c r="A134" s="85" t="n">
        <v>130</v>
      </c>
      <c r="B134" s="87" t="n"/>
      <c r="C134" s="91">
        <f>IFERROR(MATCH(B134,{"يناير";"فبراير";"مارس";"أبريل";"مايو";"يونيو";"يوليو";"أغسطس";"سبتمبر";"أكتوبر";"نوفمبر";"ديسمبر"},0),"")</f>
        <v/>
      </c>
      <c r="D134" s="87" t="n"/>
      <c r="E134" s="87" t="n"/>
      <c r="F134" s="87" t="n"/>
      <c r="G134" s="89" t="n"/>
      <c r="H134" s="89" t="n"/>
      <c r="I134" s="92">
        <f>IF(OR(H134="",H134=0),"",G134/H134)</f>
        <v/>
      </c>
      <c r="J134" s="56">
        <f>IF(I134="","—",IF(I134&lt;=3,"🟢 صحي",IF(I134&lt;=5,"🟡 مرتفع","🔴 مخزون زائد")))</f>
        <v/>
      </c>
    </row>
    <row r="135" ht="15" customHeight="1" s="40">
      <c r="A135" s="85" t="n">
        <v>131</v>
      </c>
      <c r="B135" s="87" t="n"/>
      <c r="C135" s="91">
        <f>IFERROR(MATCH(B135,{"يناير";"فبراير";"مارس";"أبريل";"مايو";"يونيو";"يوليو";"أغسطس";"سبتمبر";"أكتوبر";"نوفمبر";"ديسمبر"},0),"")</f>
        <v/>
      </c>
      <c r="D135" s="87" t="n"/>
      <c r="E135" s="87" t="n"/>
      <c r="F135" s="87" t="n"/>
      <c r="G135" s="89" t="n"/>
      <c r="H135" s="89" t="n"/>
      <c r="I135" s="92">
        <f>IF(OR(H135="",H135=0),"",G135/H135)</f>
        <v/>
      </c>
      <c r="J135" s="56">
        <f>IF(I135="","—",IF(I135&lt;=3,"🟢 صحي",IF(I135&lt;=5,"🟡 مرتفع","🔴 مخزون زائد")))</f>
        <v/>
      </c>
    </row>
    <row r="136" ht="15" customHeight="1" s="40">
      <c r="A136" s="85" t="n">
        <v>132</v>
      </c>
      <c r="B136" s="87" t="n"/>
      <c r="C136" s="91">
        <f>IFERROR(MATCH(B136,{"يناير";"فبراير";"مارس";"أبريل";"مايو";"يونيو";"يوليو";"أغسطس";"سبتمبر";"أكتوبر";"نوفمبر";"ديسمبر"},0),"")</f>
        <v/>
      </c>
      <c r="D136" s="87" t="n"/>
      <c r="E136" s="87" t="n"/>
      <c r="F136" s="87" t="n"/>
      <c r="G136" s="89" t="n"/>
      <c r="H136" s="89" t="n"/>
      <c r="I136" s="92">
        <f>IF(OR(H136="",H136=0),"",G136/H136)</f>
        <v/>
      </c>
      <c r="J136" s="56">
        <f>IF(I136="","—",IF(I136&lt;=3,"🟢 صحي",IF(I136&lt;=5,"🟡 مرتفع","🔴 مخزون زائد")))</f>
        <v/>
      </c>
    </row>
    <row r="137" ht="15" customHeight="1" s="40">
      <c r="A137" s="85" t="n">
        <v>133</v>
      </c>
      <c r="B137" s="87" t="n"/>
      <c r="C137" s="91">
        <f>IFERROR(MATCH(B137,{"يناير";"فبراير";"مارس";"أبريل";"مايو";"يونيو";"يوليو";"أغسطس";"سبتمبر";"أكتوبر";"نوفمبر";"ديسمبر"},0),"")</f>
        <v/>
      </c>
      <c r="D137" s="87" t="n"/>
      <c r="E137" s="87" t="n"/>
      <c r="F137" s="87" t="n"/>
      <c r="G137" s="89" t="n"/>
      <c r="H137" s="89" t="n"/>
      <c r="I137" s="92">
        <f>IF(OR(H137="",H137=0),"",G137/H137)</f>
        <v/>
      </c>
      <c r="J137" s="56">
        <f>IF(I137="","—",IF(I137&lt;=3,"🟢 صحي",IF(I137&lt;=5,"🟡 مرتفع","🔴 مخزون زائد")))</f>
        <v/>
      </c>
    </row>
    <row r="138" ht="15" customHeight="1" s="40">
      <c r="A138" s="85" t="n">
        <v>134</v>
      </c>
      <c r="B138" s="87" t="n"/>
      <c r="C138" s="91">
        <f>IFERROR(MATCH(B138,{"يناير";"فبراير";"مارس";"أبريل";"مايو";"يونيو";"يوليو";"أغسطس";"سبتمبر";"أكتوبر";"نوفمبر";"ديسمبر"},0),"")</f>
        <v/>
      </c>
      <c r="D138" s="87" t="n"/>
      <c r="E138" s="87" t="n"/>
      <c r="F138" s="87" t="n"/>
      <c r="G138" s="89" t="n"/>
      <c r="H138" s="89" t="n"/>
      <c r="I138" s="92">
        <f>IF(OR(H138="",H138=0),"",G138/H138)</f>
        <v/>
      </c>
      <c r="J138" s="56">
        <f>IF(I138="","—",IF(I138&lt;=3,"🟢 صحي",IF(I138&lt;=5,"🟡 مرتفع","🔴 مخزون زائد")))</f>
        <v/>
      </c>
    </row>
    <row r="139" ht="15" customHeight="1" s="40">
      <c r="A139" s="85" t="n">
        <v>135</v>
      </c>
      <c r="B139" s="87" t="n"/>
      <c r="C139" s="91">
        <f>IFERROR(MATCH(B139,{"يناير";"فبراير";"مارس";"أبريل";"مايو";"يونيو";"يوليو";"أغسطس";"سبتمبر";"أكتوبر";"نوفمبر";"ديسمبر"},0),"")</f>
        <v/>
      </c>
      <c r="D139" s="87" t="n"/>
      <c r="E139" s="87" t="n"/>
      <c r="F139" s="87" t="n"/>
      <c r="G139" s="89" t="n"/>
      <c r="H139" s="89" t="n"/>
      <c r="I139" s="92">
        <f>IF(OR(H139="",H139=0),"",G139/H139)</f>
        <v/>
      </c>
      <c r="J139" s="56">
        <f>IF(I139="","—",IF(I139&lt;=3,"🟢 صحي",IF(I139&lt;=5,"🟡 مرتفع","🔴 مخزون زائد")))</f>
        <v/>
      </c>
    </row>
    <row r="140" ht="15" customHeight="1" s="40">
      <c r="A140" s="85" t="n">
        <v>136</v>
      </c>
      <c r="B140" s="87" t="n"/>
      <c r="C140" s="91">
        <f>IFERROR(MATCH(B140,{"يناير";"فبراير";"مارس";"أبريل";"مايو";"يونيو";"يوليو";"أغسطس";"سبتمبر";"أكتوبر";"نوفمبر";"ديسمبر"},0),"")</f>
        <v/>
      </c>
      <c r="D140" s="87" t="n"/>
      <c r="E140" s="87" t="n"/>
      <c r="F140" s="87" t="n"/>
      <c r="G140" s="89" t="n"/>
      <c r="H140" s="89" t="n"/>
      <c r="I140" s="92">
        <f>IF(OR(H140="",H140=0),"",G140/H140)</f>
        <v/>
      </c>
      <c r="J140" s="56">
        <f>IF(I140="","—",IF(I140&lt;=3,"🟢 صحي",IF(I140&lt;=5,"🟡 مرتفع","🔴 مخزون زائد")))</f>
        <v/>
      </c>
    </row>
    <row r="141" ht="15" customHeight="1" s="40">
      <c r="A141" s="85" t="n">
        <v>137</v>
      </c>
      <c r="B141" s="87" t="n"/>
      <c r="C141" s="91">
        <f>IFERROR(MATCH(B141,{"يناير";"فبراير";"مارس";"أبريل";"مايو";"يونيو";"يوليو";"أغسطس";"سبتمبر";"أكتوبر";"نوفمبر";"ديسمبر"},0),"")</f>
        <v/>
      </c>
      <c r="D141" s="87" t="n"/>
      <c r="E141" s="87" t="n"/>
      <c r="F141" s="87" t="n"/>
      <c r="G141" s="89" t="n"/>
      <c r="H141" s="89" t="n"/>
      <c r="I141" s="92">
        <f>IF(OR(H141="",H141=0),"",G141/H141)</f>
        <v/>
      </c>
      <c r="J141" s="56">
        <f>IF(I141="","—",IF(I141&lt;=3,"🟢 صحي",IF(I141&lt;=5,"🟡 مرتفع","🔴 مخزون زائد")))</f>
        <v/>
      </c>
    </row>
    <row r="142" ht="15" customHeight="1" s="40">
      <c r="A142" s="85" t="n">
        <v>138</v>
      </c>
      <c r="B142" s="87" t="n"/>
      <c r="C142" s="91">
        <f>IFERROR(MATCH(B142,{"يناير";"فبراير";"مارس";"أبريل";"مايو";"يونيو";"يوليو";"أغسطس";"سبتمبر";"أكتوبر";"نوفمبر";"ديسمبر"},0),"")</f>
        <v/>
      </c>
      <c r="D142" s="87" t="n"/>
      <c r="E142" s="87" t="n"/>
      <c r="F142" s="87" t="n"/>
      <c r="G142" s="89" t="n"/>
      <c r="H142" s="89" t="n"/>
      <c r="I142" s="92">
        <f>IF(OR(H142="",H142=0),"",G142/H142)</f>
        <v/>
      </c>
      <c r="J142" s="56">
        <f>IF(I142="","—",IF(I142&lt;=3,"🟢 صحي",IF(I142&lt;=5,"🟡 مرتفع","🔴 مخزون زائد")))</f>
        <v/>
      </c>
    </row>
    <row r="143" ht="15" customHeight="1" s="40">
      <c r="A143" s="85" t="n">
        <v>139</v>
      </c>
      <c r="B143" s="87" t="n"/>
      <c r="C143" s="91">
        <f>IFERROR(MATCH(B143,{"يناير";"فبراير";"مارس";"أبريل";"مايو";"يونيو";"يوليو";"أغسطس";"سبتمبر";"أكتوبر";"نوفمبر";"ديسمبر"},0),"")</f>
        <v/>
      </c>
      <c r="D143" s="87" t="n"/>
      <c r="E143" s="87" t="n"/>
      <c r="F143" s="87" t="n"/>
      <c r="G143" s="89" t="n"/>
      <c r="H143" s="89" t="n"/>
      <c r="I143" s="92">
        <f>IF(OR(H143="",H143=0),"",G143/H143)</f>
        <v/>
      </c>
      <c r="J143" s="56">
        <f>IF(I143="","—",IF(I143&lt;=3,"🟢 صحي",IF(I143&lt;=5,"🟡 مرتفع","🔴 مخزون زائد")))</f>
        <v/>
      </c>
    </row>
    <row r="144" ht="15" customHeight="1" s="40">
      <c r="A144" s="85" t="n">
        <v>140</v>
      </c>
      <c r="B144" s="87" t="n"/>
      <c r="C144" s="91">
        <f>IFERROR(MATCH(B144,{"يناير";"فبراير";"مارس";"أبريل";"مايو";"يونيو";"يوليو";"أغسطس";"سبتمبر";"أكتوبر";"نوفمبر";"ديسمبر"},0),"")</f>
        <v/>
      </c>
      <c r="D144" s="87" t="n"/>
      <c r="E144" s="87" t="n"/>
      <c r="F144" s="87" t="n"/>
      <c r="G144" s="89" t="n"/>
      <c r="H144" s="89" t="n"/>
      <c r="I144" s="92">
        <f>IF(OR(H144="",H144=0),"",G144/H144)</f>
        <v/>
      </c>
      <c r="J144" s="56">
        <f>IF(I144="","—",IF(I144&lt;=3,"🟢 صحي",IF(I144&lt;=5,"🟡 مرتفع","🔴 مخزون زائد")))</f>
        <v/>
      </c>
    </row>
    <row r="145" ht="15" customHeight="1" s="40">
      <c r="A145" s="85" t="n">
        <v>141</v>
      </c>
      <c r="B145" s="87" t="n"/>
      <c r="C145" s="91">
        <f>IFERROR(MATCH(B145,{"يناير";"فبراير";"مارس";"أبريل";"مايو";"يونيو";"يوليو";"أغسطس";"سبتمبر";"أكتوبر";"نوفمبر";"ديسمبر"},0),"")</f>
        <v/>
      </c>
      <c r="D145" s="87" t="n"/>
      <c r="E145" s="87" t="n"/>
      <c r="F145" s="87" t="n"/>
      <c r="G145" s="89" t="n"/>
      <c r="H145" s="89" t="n"/>
      <c r="I145" s="92">
        <f>IF(OR(H145="",H145=0),"",G145/H145)</f>
        <v/>
      </c>
      <c r="J145" s="56">
        <f>IF(I145="","—",IF(I145&lt;=3,"🟢 صحي",IF(I145&lt;=5,"🟡 مرتفع","🔴 مخزون زائد")))</f>
        <v/>
      </c>
    </row>
    <row r="146" ht="15" customHeight="1" s="40">
      <c r="A146" s="85" t="n">
        <v>142</v>
      </c>
      <c r="B146" s="87" t="n"/>
      <c r="C146" s="91">
        <f>IFERROR(MATCH(B146,{"يناير";"فبراير";"مارس";"أبريل";"مايو";"يونيو";"يوليو";"أغسطس";"سبتمبر";"أكتوبر";"نوفمبر";"ديسمبر"},0),"")</f>
        <v/>
      </c>
      <c r="D146" s="87" t="n"/>
      <c r="E146" s="87" t="n"/>
      <c r="F146" s="87" t="n"/>
      <c r="G146" s="89" t="n"/>
      <c r="H146" s="89" t="n"/>
      <c r="I146" s="92">
        <f>IF(OR(H146="",H146=0),"",G146/H146)</f>
        <v/>
      </c>
      <c r="J146" s="56">
        <f>IF(I146="","—",IF(I146&lt;=3,"🟢 صحي",IF(I146&lt;=5,"🟡 مرتفع","🔴 مخزون زائد")))</f>
        <v/>
      </c>
    </row>
    <row r="147" ht="15" customHeight="1" s="40">
      <c r="A147" s="85" t="n">
        <v>143</v>
      </c>
      <c r="B147" s="87" t="n"/>
      <c r="C147" s="91">
        <f>IFERROR(MATCH(B147,{"يناير";"فبراير";"مارس";"أبريل";"مايو";"يونيو";"يوليو";"أغسطس";"سبتمبر";"أكتوبر";"نوفمبر";"ديسمبر"},0),"")</f>
        <v/>
      </c>
      <c r="D147" s="87" t="n"/>
      <c r="E147" s="87" t="n"/>
      <c r="F147" s="87" t="n"/>
      <c r="G147" s="89" t="n"/>
      <c r="H147" s="89" t="n"/>
      <c r="I147" s="92">
        <f>IF(OR(H147="",H147=0),"",G147/H147)</f>
        <v/>
      </c>
      <c r="J147" s="56">
        <f>IF(I147="","—",IF(I147&lt;=3,"🟢 صحي",IF(I147&lt;=5,"🟡 مرتفع","🔴 مخزون زائد")))</f>
        <v/>
      </c>
    </row>
    <row r="148" ht="15" customHeight="1" s="40">
      <c r="A148" s="85" t="n">
        <v>144</v>
      </c>
      <c r="B148" s="87" t="n"/>
      <c r="C148" s="91">
        <f>IFERROR(MATCH(B148,{"يناير";"فبراير";"مارس";"أبريل";"مايو";"يونيو";"يوليو";"أغسطس";"سبتمبر";"أكتوبر";"نوفمبر";"ديسمبر"},0),"")</f>
        <v/>
      </c>
      <c r="D148" s="87" t="n"/>
      <c r="E148" s="87" t="n"/>
      <c r="F148" s="87" t="n"/>
      <c r="G148" s="89" t="n"/>
      <c r="H148" s="89" t="n"/>
      <c r="I148" s="92">
        <f>IF(OR(H148="",H148=0),"",G148/H148)</f>
        <v/>
      </c>
      <c r="J148" s="56">
        <f>IF(I148="","—",IF(I148&lt;=3,"🟢 صحي",IF(I148&lt;=5,"🟡 مرتفع","🔴 مخزون زائد")))</f>
        <v/>
      </c>
    </row>
    <row r="149" ht="15" customHeight="1" s="40">
      <c r="A149" s="85" t="n">
        <v>145</v>
      </c>
      <c r="B149" s="87" t="n"/>
      <c r="C149" s="91">
        <f>IFERROR(MATCH(B149,{"يناير";"فبراير";"مارس";"أبريل";"مايو";"يونيو";"يوليو";"أغسطس";"سبتمبر";"أكتوبر";"نوفمبر";"ديسمبر"},0),"")</f>
        <v/>
      </c>
      <c r="D149" s="87" t="n"/>
      <c r="E149" s="87" t="n"/>
      <c r="F149" s="87" t="n"/>
      <c r="G149" s="89" t="n"/>
      <c r="H149" s="89" t="n"/>
      <c r="I149" s="92">
        <f>IF(OR(H149="",H149=0),"",G149/H149)</f>
        <v/>
      </c>
      <c r="J149" s="56">
        <f>IF(I149="","—",IF(I149&lt;=3,"🟢 صحي",IF(I149&lt;=5,"🟡 مرتفع","🔴 مخزون زائد")))</f>
        <v/>
      </c>
    </row>
    <row r="150" ht="15" customHeight="1" s="40">
      <c r="A150" s="85" t="n">
        <v>146</v>
      </c>
      <c r="B150" s="87" t="n"/>
      <c r="C150" s="91">
        <f>IFERROR(MATCH(B150,{"يناير";"فبراير";"مارس";"أبريل";"مايو";"يونيو";"يوليو";"أغسطس";"سبتمبر";"أكتوبر";"نوفمبر";"ديسمبر"},0),"")</f>
        <v/>
      </c>
      <c r="D150" s="87" t="n"/>
      <c r="E150" s="87" t="n"/>
      <c r="F150" s="87" t="n"/>
      <c r="G150" s="89" t="n"/>
      <c r="H150" s="89" t="n"/>
      <c r="I150" s="92">
        <f>IF(OR(H150="",H150=0),"",G150/H150)</f>
        <v/>
      </c>
      <c r="J150" s="56">
        <f>IF(I150="","—",IF(I150&lt;=3,"🟢 صحي",IF(I150&lt;=5,"🟡 مرتفع","🔴 مخزون زائد")))</f>
        <v/>
      </c>
    </row>
    <row r="151" ht="15" customHeight="1" s="40">
      <c r="A151" s="85" t="n">
        <v>147</v>
      </c>
      <c r="B151" s="87" t="n"/>
      <c r="C151" s="91">
        <f>IFERROR(MATCH(B151,{"يناير";"فبراير";"مارس";"أبريل";"مايو";"يونيو";"يوليو";"أغسطس";"سبتمبر";"أكتوبر";"نوفمبر";"ديسمبر"},0),"")</f>
        <v/>
      </c>
      <c r="D151" s="87" t="n"/>
      <c r="E151" s="87" t="n"/>
      <c r="F151" s="87" t="n"/>
      <c r="G151" s="89" t="n"/>
      <c r="H151" s="89" t="n"/>
      <c r="I151" s="92">
        <f>IF(OR(H151="",H151=0),"",G151/H151)</f>
        <v/>
      </c>
      <c r="J151" s="56">
        <f>IF(I151="","—",IF(I151&lt;=3,"🟢 صحي",IF(I151&lt;=5,"🟡 مرتفع","🔴 مخزون زائد")))</f>
        <v/>
      </c>
    </row>
    <row r="152" ht="15" customHeight="1" s="40">
      <c r="A152" s="85" t="n">
        <v>148</v>
      </c>
      <c r="B152" s="87" t="n"/>
      <c r="C152" s="91">
        <f>IFERROR(MATCH(B152,{"يناير";"فبراير";"مارس";"أبريل";"مايو";"يونيو";"يوليو";"أغسطس";"سبتمبر";"أكتوبر";"نوفمبر";"ديسمبر"},0),"")</f>
        <v/>
      </c>
      <c r="D152" s="87" t="n"/>
      <c r="E152" s="87" t="n"/>
      <c r="F152" s="87" t="n"/>
      <c r="G152" s="89" t="n"/>
      <c r="H152" s="89" t="n"/>
      <c r="I152" s="92">
        <f>IF(OR(H152="",H152=0),"",G152/H152)</f>
        <v/>
      </c>
      <c r="J152" s="56">
        <f>IF(I152="","—",IF(I152&lt;=3,"🟢 صحي",IF(I152&lt;=5,"🟡 مرتفع","🔴 مخزون زائد")))</f>
        <v/>
      </c>
    </row>
    <row r="153" ht="15" customHeight="1" s="40">
      <c r="A153" s="85" t="n">
        <v>149</v>
      </c>
      <c r="B153" s="87" t="n"/>
      <c r="C153" s="91">
        <f>IFERROR(MATCH(B153,{"يناير";"فبراير";"مارس";"أبريل";"مايو";"يونيو";"يوليو";"أغسطس";"سبتمبر";"أكتوبر";"نوفمبر";"ديسمبر"},0),"")</f>
        <v/>
      </c>
      <c r="D153" s="87" t="n"/>
      <c r="E153" s="87" t="n"/>
      <c r="F153" s="87" t="n"/>
      <c r="G153" s="89" t="n"/>
      <c r="H153" s="89" t="n"/>
      <c r="I153" s="92">
        <f>IF(OR(H153="",H153=0),"",G153/H153)</f>
        <v/>
      </c>
      <c r="J153" s="56">
        <f>IF(I153="","—",IF(I153&lt;=3,"🟢 صحي",IF(I153&lt;=5,"🟡 مرتفع","🔴 مخزون زائد")))</f>
        <v/>
      </c>
    </row>
    <row r="154" ht="15" customHeight="1" s="40">
      <c r="A154" s="85" t="n">
        <v>150</v>
      </c>
      <c r="B154" s="87" t="n"/>
      <c r="C154" s="91">
        <f>IFERROR(MATCH(B154,{"يناير";"فبراير";"مارس";"أبريل";"مايو";"يونيو";"يوليو";"أغسطس";"سبتمبر";"أكتوبر";"نوفمبر";"ديسمبر"},0),"")</f>
        <v/>
      </c>
      <c r="D154" s="87" t="n"/>
      <c r="E154" s="87" t="n"/>
      <c r="F154" s="87" t="n"/>
      <c r="G154" s="89" t="n"/>
      <c r="H154" s="89" t="n"/>
      <c r="I154" s="92">
        <f>IF(OR(H154="",H154=0),"",G154/H154)</f>
        <v/>
      </c>
      <c r="J154" s="56">
        <f>IF(I154="","—",IF(I154&lt;=3,"🟢 صحي",IF(I154&lt;=5,"🟡 مرتفع","🔴 مخزون زائد")))</f>
        <v/>
      </c>
    </row>
    <row r="155" ht="15" customHeight="1" s="40">
      <c r="A155" s="85" t="n">
        <v>151</v>
      </c>
      <c r="B155" s="87" t="n"/>
      <c r="C155" s="91">
        <f>IFERROR(MATCH(B155,{"يناير";"فبراير";"مارس";"أبريل";"مايو";"يونيو";"يوليو";"أغسطس";"سبتمبر";"أكتوبر";"نوفمبر";"ديسمبر"},0),"")</f>
        <v/>
      </c>
      <c r="D155" s="87" t="n"/>
      <c r="E155" s="87" t="n"/>
      <c r="F155" s="87" t="n"/>
      <c r="G155" s="89" t="n"/>
      <c r="H155" s="89" t="n"/>
      <c r="I155" s="92">
        <f>IF(OR(H155="",H155=0),"",G155/H155)</f>
        <v/>
      </c>
      <c r="J155" s="56">
        <f>IF(I155="","—",IF(I155&lt;=3,"🟢 صحي",IF(I155&lt;=5,"🟡 مرتفع","🔴 مخزون زائد")))</f>
        <v/>
      </c>
    </row>
    <row r="156" ht="15" customHeight="1" s="40">
      <c r="A156" s="85" t="n">
        <v>152</v>
      </c>
      <c r="B156" s="87" t="n"/>
      <c r="C156" s="91">
        <f>IFERROR(MATCH(B156,{"يناير";"فبراير";"مارس";"أبريل";"مايو";"يونيو";"يوليو";"أغسطس";"سبتمبر";"أكتوبر";"نوفمبر";"ديسمبر"},0),"")</f>
        <v/>
      </c>
      <c r="D156" s="87" t="n"/>
      <c r="E156" s="87" t="n"/>
      <c r="F156" s="87" t="n"/>
      <c r="G156" s="89" t="n"/>
      <c r="H156" s="89" t="n"/>
      <c r="I156" s="92">
        <f>IF(OR(H156="",H156=0),"",G156/H156)</f>
        <v/>
      </c>
      <c r="J156" s="56">
        <f>IF(I156="","—",IF(I156&lt;=3,"🟢 صحي",IF(I156&lt;=5,"🟡 مرتفع","🔴 مخزون زائد")))</f>
        <v/>
      </c>
    </row>
    <row r="157" ht="15" customHeight="1" s="40">
      <c r="A157" s="85" t="n">
        <v>153</v>
      </c>
      <c r="B157" s="87" t="n"/>
      <c r="C157" s="91">
        <f>IFERROR(MATCH(B157,{"يناير";"فبراير";"مارس";"أبريل";"مايو";"يونيو";"يوليو";"أغسطس";"سبتمبر";"أكتوبر";"نوفمبر";"ديسمبر"},0),"")</f>
        <v/>
      </c>
      <c r="D157" s="87" t="n"/>
      <c r="E157" s="87" t="n"/>
      <c r="F157" s="87" t="n"/>
      <c r="G157" s="89" t="n"/>
      <c r="H157" s="89" t="n"/>
      <c r="I157" s="92">
        <f>IF(OR(H157="",H157=0),"",G157/H157)</f>
        <v/>
      </c>
      <c r="J157" s="56">
        <f>IF(I157="","—",IF(I157&lt;=3,"🟢 صحي",IF(I157&lt;=5,"🟡 مرتفع","🔴 مخزون زائد")))</f>
        <v/>
      </c>
    </row>
    <row r="158" ht="15" customHeight="1" s="40">
      <c r="A158" s="85" t="n">
        <v>154</v>
      </c>
      <c r="B158" s="87" t="n"/>
      <c r="C158" s="91">
        <f>IFERROR(MATCH(B158,{"يناير";"فبراير";"مارس";"أبريل";"مايو";"يونيو";"يوليو";"أغسطس";"سبتمبر";"أكتوبر";"نوفمبر";"ديسمبر"},0),"")</f>
        <v/>
      </c>
      <c r="D158" s="87" t="n"/>
      <c r="E158" s="87" t="n"/>
      <c r="F158" s="87" t="n"/>
      <c r="G158" s="89" t="n"/>
      <c r="H158" s="89" t="n"/>
      <c r="I158" s="92">
        <f>IF(OR(H158="",H158=0),"",G158/H158)</f>
        <v/>
      </c>
      <c r="J158" s="56">
        <f>IF(I158="","—",IF(I158&lt;=3,"🟢 صحي",IF(I158&lt;=5,"🟡 مرتفع","🔴 مخزون زائد")))</f>
        <v/>
      </c>
    </row>
    <row r="159" ht="15" customHeight="1" s="40">
      <c r="A159" s="85" t="n">
        <v>155</v>
      </c>
      <c r="B159" s="87" t="n"/>
      <c r="C159" s="91">
        <f>IFERROR(MATCH(B159,{"يناير";"فبراير";"مارس";"أبريل";"مايو";"يونيو";"يوليو";"أغسطس";"سبتمبر";"أكتوبر";"نوفمبر";"ديسمبر"},0),"")</f>
        <v/>
      </c>
      <c r="D159" s="87" t="n"/>
      <c r="E159" s="87" t="n"/>
      <c r="F159" s="87" t="n"/>
      <c r="G159" s="89" t="n"/>
      <c r="H159" s="89" t="n"/>
      <c r="I159" s="92">
        <f>IF(OR(H159="",H159=0),"",G159/H159)</f>
        <v/>
      </c>
      <c r="J159" s="56">
        <f>IF(I159="","—",IF(I159&lt;=3,"🟢 صحي",IF(I159&lt;=5,"🟡 مرتفع","🔴 مخزون زائد")))</f>
        <v/>
      </c>
    </row>
    <row r="160" ht="15" customHeight="1" s="40">
      <c r="A160" s="85" t="n">
        <v>156</v>
      </c>
      <c r="B160" s="87" t="n"/>
      <c r="C160" s="91">
        <f>IFERROR(MATCH(B160,{"يناير";"فبراير";"مارس";"أبريل";"مايو";"يونيو";"يوليو";"أغسطس";"سبتمبر";"أكتوبر";"نوفمبر";"ديسمبر"},0),"")</f>
        <v/>
      </c>
      <c r="D160" s="87" t="n"/>
      <c r="E160" s="87" t="n"/>
      <c r="F160" s="87" t="n"/>
      <c r="G160" s="89" t="n"/>
      <c r="H160" s="89" t="n"/>
      <c r="I160" s="92">
        <f>IF(OR(H160="",H160=0),"",G160/H160)</f>
        <v/>
      </c>
      <c r="J160" s="56">
        <f>IF(I160="","—",IF(I160&lt;=3,"🟢 صحي",IF(I160&lt;=5,"🟡 مرتفع","🔴 مخزون زائد")))</f>
        <v/>
      </c>
    </row>
    <row r="161" ht="15" customHeight="1" s="40">
      <c r="A161" s="85" t="n">
        <v>157</v>
      </c>
      <c r="B161" s="87" t="n"/>
      <c r="C161" s="91">
        <f>IFERROR(MATCH(B161,{"يناير";"فبراير";"مارس";"أبريل";"مايو";"يونيو";"يوليو";"أغسطس";"سبتمبر";"أكتوبر";"نوفمبر";"ديسمبر"},0),"")</f>
        <v/>
      </c>
      <c r="D161" s="87" t="n"/>
      <c r="E161" s="87" t="n"/>
      <c r="F161" s="87" t="n"/>
      <c r="G161" s="89" t="n"/>
      <c r="H161" s="89" t="n"/>
      <c r="I161" s="92">
        <f>IF(OR(H161="",H161=0),"",G161/H161)</f>
        <v/>
      </c>
      <c r="J161" s="56">
        <f>IF(I161="","—",IF(I161&lt;=3,"🟢 صحي",IF(I161&lt;=5,"🟡 مرتفع","🔴 مخزون زائد")))</f>
        <v/>
      </c>
    </row>
    <row r="162" ht="15" customHeight="1" s="40">
      <c r="A162" s="85" t="n">
        <v>158</v>
      </c>
      <c r="B162" s="87" t="n"/>
      <c r="C162" s="91">
        <f>IFERROR(MATCH(B162,{"يناير";"فبراير";"مارس";"أبريل";"مايو";"يونيو";"يوليو";"أغسطس";"سبتمبر";"أكتوبر";"نوفمبر";"ديسمبر"},0),"")</f>
        <v/>
      </c>
      <c r="D162" s="87" t="n"/>
      <c r="E162" s="87" t="n"/>
      <c r="F162" s="87" t="n"/>
      <c r="G162" s="89" t="n"/>
      <c r="H162" s="89" t="n"/>
      <c r="I162" s="92">
        <f>IF(OR(H162="",H162=0),"",G162/H162)</f>
        <v/>
      </c>
      <c r="J162" s="56">
        <f>IF(I162="","—",IF(I162&lt;=3,"🟢 صحي",IF(I162&lt;=5,"🟡 مرتفع","🔴 مخزون زائد")))</f>
        <v/>
      </c>
    </row>
    <row r="163" ht="15" customHeight="1" s="40">
      <c r="A163" s="85" t="n">
        <v>159</v>
      </c>
      <c r="B163" s="87" t="n"/>
      <c r="C163" s="91">
        <f>IFERROR(MATCH(B163,{"يناير";"فبراير";"مارس";"أبريل";"مايو";"يونيو";"يوليو";"أغسطس";"سبتمبر";"أكتوبر";"نوفمبر";"ديسمبر"},0),"")</f>
        <v/>
      </c>
      <c r="D163" s="87" t="n"/>
      <c r="E163" s="87" t="n"/>
      <c r="F163" s="87" t="n"/>
      <c r="G163" s="89" t="n"/>
      <c r="H163" s="89" t="n"/>
      <c r="I163" s="92">
        <f>IF(OR(H163="",H163=0),"",G163/H163)</f>
        <v/>
      </c>
      <c r="J163" s="56">
        <f>IF(I163="","—",IF(I163&lt;=3,"🟢 صحي",IF(I163&lt;=5,"🟡 مرتفع","🔴 مخزون زائد")))</f>
        <v/>
      </c>
    </row>
    <row r="164" ht="15" customHeight="1" s="40">
      <c r="A164" s="85" t="n">
        <v>160</v>
      </c>
      <c r="B164" s="87" t="n"/>
      <c r="C164" s="91">
        <f>IFERROR(MATCH(B164,{"يناير";"فبراير";"مارس";"أبريل";"مايو";"يونيو";"يوليو";"أغسطس";"سبتمبر";"أكتوبر";"نوفمبر";"ديسمبر"},0),"")</f>
        <v/>
      </c>
      <c r="D164" s="87" t="n"/>
      <c r="E164" s="87" t="n"/>
      <c r="F164" s="87" t="n"/>
      <c r="G164" s="89" t="n"/>
      <c r="H164" s="89" t="n"/>
      <c r="I164" s="92">
        <f>IF(OR(H164="",H164=0),"",G164/H164)</f>
        <v/>
      </c>
      <c r="J164" s="56">
        <f>IF(I164="","—",IF(I164&lt;=3,"🟢 صحي",IF(I164&lt;=5,"🟡 مرتفع","🔴 مخزون زائد")))</f>
        <v/>
      </c>
    </row>
    <row r="165" ht="15" customHeight="1" s="40">
      <c r="A165" s="85" t="n">
        <v>161</v>
      </c>
      <c r="B165" s="87" t="n"/>
      <c r="C165" s="91">
        <f>IFERROR(MATCH(B165,{"يناير";"فبراير";"مارس";"أبريل";"مايو";"يونيو";"يوليو";"أغسطس";"سبتمبر";"أكتوبر";"نوفمبر";"ديسمبر"},0),"")</f>
        <v/>
      </c>
      <c r="D165" s="87" t="n"/>
      <c r="E165" s="87" t="n"/>
      <c r="F165" s="87" t="n"/>
      <c r="G165" s="89" t="n"/>
      <c r="H165" s="89" t="n"/>
      <c r="I165" s="92">
        <f>IF(OR(H165="",H165=0),"",G165/H165)</f>
        <v/>
      </c>
      <c r="J165" s="56">
        <f>IF(I165="","—",IF(I165&lt;=3,"🟢 صحي",IF(I165&lt;=5,"🟡 مرتفع","🔴 مخزون زائد")))</f>
        <v/>
      </c>
    </row>
    <row r="166" ht="15" customHeight="1" s="40">
      <c r="A166" s="85" t="n">
        <v>162</v>
      </c>
      <c r="B166" s="87" t="n"/>
      <c r="C166" s="91">
        <f>IFERROR(MATCH(B166,{"يناير";"فبراير";"مارس";"أبريل";"مايو";"يونيو";"يوليو";"أغسطس";"سبتمبر";"أكتوبر";"نوفمبر";"ديسمبر"},0),"")</f>
        <v/>
      </c>
      <c r="D166" s="87" t="n"/>
      <c r="E166" s="87" t="n"/>
      <c r="F166" s="87" t="n"/>
      <c r="G166" s="89" t="n"/>
      <c r="H166" s="89" t="n"/>
      <c r="I166" s="92">
        <f>IF(OR(H166="",H166=0),"",G166/H166)</f>
        <v/>
      </c>
      <c r="J166" s="56">
        <f>IF(I166="","—",IF(I166&lt;=3,"🟢 صحي",IF(I166&lt;=5,"🟡 مرتفع","🔴 مخزون زائد")))</f>
        <v/>
      </c>
    </row>
    <row r="167" ht="15" customHeight="1" s="40">
      <c r="A167" s="85" t="n">
        <v>163</v>
      </c>
      <c r="B167" s="87" t="n"/>
      <c r="C167" s="91">
        <f>IFERROR(MATCH(B167,{"يناير";"فبراير";"مارس";"أبريل";"مايو";"يونيو";"يوليو";"أغسطس";"سبتمبر";"أكتوبر";"نوفمبر";"ديسمبر"},0),"")</f>
        <v/>
      </c>
      <c r="D167" s="87" t="n"/>
      <c r="E167" s="87" t="n"/>
      <c r="F167" s="87" t="n"/>
      <c r="G167" s="89" t="n"/>
      <c r="H167" s="89" t="n"/>
      <c r="I167" s="92">
        <f>IF(OR(H167="",H167=0),"",G167/H167)</f>
        <v/>
      </c>
      <c r="J167" s="56">
        <f>IF(I167="","—",IF(I167&lt;=3,"🟢 صحي",IF(I167&lt;=5,"🟡 مرتفع","🔴 مخزون زائد")))</f>
        <v/>
      </c>
    </row>
    <row r="168" ht="15" customHeight="1" s="40">
      <c r="A168" s="85" t="n">
        <v>164</v>
      </c>
      <c r="B168" s="87" t="n"/>
      <c r="C168" s="91">
        <f>IFERROR(MATCH(B168,{"يناير";"فبراير";"مارس";"أبريل";"مايو";"يونيو";"يوليو";"أغسطس";"سبتمبر";"أكتوبر";"نوفمبر";"ديسمبر"},0),"")</f>
        <v/>
      </c>
      <c r="D168" s="87" t="n"/>
      <c r="E168" s="87" t="n"/>
      <c r="F168" s="87" t="n"/>
      <c r="G168" s="89" t="n"/>
      <c r="H168" s="89" t="n"/>
      <c r="I168" s="92">
        <f>IF(OR(H168="",H168=0),"",G168/H168)</f>
        <v/>
      </c>
      <c r="J168" s="56">
        <f>IF(I168="","—",IF(I168&lt;=3,"🟢 صحي",IF(I168&lt;=5,"🟡 مرتفع","🔴 مخزون زائد")))</f>
        <v/>
      </c>
    </row>
    <row r="169" ht="15" customHeight="1" s="40">
      <c r="A169" s="85" t="n">
        <v>165</v>
      </c>
      <c r="B169" s="87" t="n"/>
      <c r="C169" s="91">
        <f>IFERROR(MATCH(B169,{"يناير";"فبراير";"مارس";"أبريل";"مايو";"يونيو";"يوليو";"أغسطس";"سبتمبر";"أكتوبر";"نوفمبر";"ديسمبر"},0),"")</f>
        <v/>
      </c>
      <c r="D169" s="87" t="n"/>
      <c r="E169" s="87" t="n"/>
      <c r="F169" s="87" t="n"/>
      <c r="G169" s="89" t="n"/>
      <c r="H169" s="89" t="n"/>
      <c r="I169" s="92">
        <f>IF(OR(H169="",H169=0),"",G169/H169)</f>
        <v/>
      </c>
      <c r="J169" s="56">
        <f>IF(I169="","—",IF(I169&lt;=3,"🟢 صحي",IF(I169&lt;=5,"🟡 مرتفع","🔴 مخزون زائد")))</f>
        <v/>
      </c>
    </row>
    <row r="170" ht="15" customHeight="1" s="40">
      <c r="A170" s="85" t="n">
        <v>166</v>
      </c>
      <c r="B170" s="87" t="n"/>
      <c r="C170" s="91">
        <f>IFERROR(MATCH(B170,{"يناير";"فبراير";"مارس";"أبريل";"مايو";"يونيو";"يوليو";"أغسطس";"سبتمبر";"أكتوبر";"نوفمبر";"ديسمبر"},0),"")</f>
        <v/>
      </c>
      <c r="D170" s="87" t="n"/>
      <c r="E170" s="87" t="n"/>
      <c r="F170" s="87" t="n"/>
      <c r="G170" s="89" t="n"/>
      <c r="H170" s="89" t="n"/>
      <c r="I170" s="92">
        <f>IF(OR(H170="",H170=0),"",G170/H170)</f>
        <v/>
      </c>
      <c r="J170" s="56">
        <f>IF(I170="","—",IF(I170&lt;=3,"🟢 صحي",IF(I170&lt;=5,"🟡 مرتفع","🔴 مخزون زائد")))</f>
        <v/>
      </c>
    </row>
    <row r="171" ht="15" customHeight="1" s="40">
      <c r="A171" s="85" t="n">
        <v>167</v>
      </c>
      <c r="B171" s="87" t="n"/>
      <c r="C171" s="91">
        <f>IFERROR(MATCH(B171,{"يناير";"فبراير";"مارس";"أبريل";"مايو";"يونيو";"يوليو";"أغسطس";"سبتمبر";"أكتوبر";"نوفمبر";"ديسمبر"},0),"")</f>
        <v/>
      </c>
      <c r="D171" s="87" t="n"/>
      <c r="E171" s="87" t="n"/>
      <c r="F171" s="87" t="n"/>
      <c r="G171" s="89" t="n"/>
      <c r="H171" s="89" t="n"/>
      <c r="I171" s="92">
        <f>IF(OR(H171="",H171=0),"",G171/H171)</f>
        <v/>
      </c>
      <c r="J171" s="56">
        <f>IF(I171="","—",IF(I171&lt;=3,"🟢 صحي",IF(I171&lt;=5,"🟡 مرتفع","🔴 مخزون زائد")))</f>
        <v/>
      </c>
    </row>
    <row r="172" ht="15" customHeight="1" s="40">
      <c r="A172" s="85" t="n">
        <v>168</v>
      </c>
      <c r="B172" s="87" t="n"/>
      <c r="C172" s="91">
        <f>IFERROR(MATCH(B172,{"يناير";"فبراير";"مارس";"أبريل";"مايو";"يونيو";"يوليو";"أغسطس";"سبتمبر";"أكتوبر";"نوفمبر";"ديسمبر"},0),"")</f>
        <v/>
      </c>
      <c r="D172" s="87" t="n"/>
      <c r="E172" s="87" t="n"/>
      <c r="F172" s="87" t="n"/>
      <c r="G172" s="89" t="n"/>
      <c r="H172" s="89" t="n"/>
      <c r="I172" s="92">
        <f>IF(OR(H172="",H172=0),"",G172/H172)</f>
        <v/>
      </c>
      <c r="J172" s="56">
        <f>IF(I172="","—",IF(I172&lt;=3,"🟢 صحي",IF(I172&lt;=5,"🟡 مرتفع","🔴 مخزون زائد")))</f>
        <v/>
      </c>
    </row>
    <row r="173" ht="15" customHeight="1" s="40">
      <c r="A173" s="85" t="n">
        <v>169</v>
      </c>
      <c r="B173" s="87" t="n"/>
      <c r="C173" s="91">
        <f>IFERROR(MATCH(B173,{"يناير";"فبراير";"مارس";"أبريل";"مايو";"يونيو";"يوليو";"أغسطس";"سبتمبر";"أكتوبر";"نوفمبر";"ديسمبر"},0),"")</f>
        <v/>
      </c>
      <c r="D173" s="87" t="n"/>
      <c r="E173" s="87" t="n"/>
      <c r="F173" s="87" t="n"/>
      <c r="G173" s="89" t="n"/>
      <c r="H173" s="89" t="n"/>
      <c r="I173" s="92">
        <f>IF(OR(H173="",H173=0),"",G173/H173)</f>
        <v/>
      </c>
      <c r="J173" s="56">
        <f>IF(I173="","—",IF(I173&lt;=3,"🟢 صحي",IF(I173&lt;=5,"🟡 مرتفع","🔴 مخزون زائد")))</f>
        <v/>
      </c>
    </row>
    <row r="174" ht="15" customHeight="1" s="40">
      <c r="A174" s="85" t="n">
        <v>170</v>
      </c>
      <c r="B174" s="87" t="n"/>
      <c r="C174" s="91">
        <f>IFERROR(MATCH(B174,{"يناير";"فبراير";"مارس";"أبريل";"مايو";"يونيو";"يوليو";"أغسطس";"سبتمبر";"أكتوبر";"نوفمبر";"ديسمبر"},0),"")</f>
        <v/>
      </c>
      <c r="D174" s="87" t="n"/>
      <c r="E174" s="87" t="n"/>
      <c r="F174" s="87" t="n"/>
      <c r="G174" s="89" t="n"/>
      <c r="H174" s="89" t="n"/>
      <c r="I174" s="92">
        <f>IF(OR(H174="",H174=0),"",G174/H174)</f>
        <v/>
      </c>
      <c r="J174" s="56">
        <f>IF(I174="","—",IF(I174&lt;=3,"🟢 صحي",IF(I174&lt;=5,"🟡 مرتفع","🔴 مخزون زائد")))</f>
        <v/>
      </c>
    </row>
    <row r="175" ht="15" customHeight="1" s="40">
      <c r="A175" s="85" t="n">
        <v>171</v>
      </c>
      <c r="B175" s="87" t="n"/>
      <c r="C175" s="91">
        <f>IFERROR(MATCH(B175,{"يناير";"فبراير";"مارس";"أبريل";"مايو";"يونيو";"يوليو";"أغسطس";"سبتمبر";"أكتوبر";"نوفمبر";"ديسمبر"},0),"")</f>
        <v/>
      </c>
      <c r="D175" s="87" t="n"/>
      <c r="E175" s="87" t="n"/>
      <c r="F175" s="87" t="n"/>
      <c r="G175" s="89" t="n"/>
      <c r="H175" s="89" t="n"/>
      <c r="I175" s="92">
        <f>IF(OR(H175="",H175=0),"",G175/H175)</f>
        <v/>
      </c>
      <c r="J175" s="56">
        <f>IF(I175="","—",IF(I175&lt;=3,"🟢 صحي",IF(I175&lt;=5,"🟡 مرتفع","🔴 مخزون زائد")))</f>
        <v/>
      </c>
    </row>
    <row r="176" ht="15" customHeight="1" s="40">
      <c r="A176" s="85" t="n">
        <v>172</v>
      </c>
      <c r="B176" s="87" t="n"/>
      <c r="C176" s="91">
        <f>IFERROR(MATCH(B176,{"يناير";"فبراير";"مارس";"أبريل";"مايو";"يونيو";"يوليو";"أغسطس";"سبتمبر";"أكتوبر";"نوفمبر";"ديسمبر"},0),"")</f>
        <v/>
      </c>
      <c r="D176" s="87" t="n"/>
      <c r="E176" s="87" t="n"/>
      <c r="F176" s="87" t="n"/>
      <c r="G176" s="89" t="n"/>
      <c r="H176" s="89" t="n"/>
      <c r="I176" s="92">
        <f>IF(OR(H176="",H176=0),"",G176/H176)</f>
        <v/>
      </c>
      <c r="J176" s="56">
        <f>IF(I176="","—",IF(I176&lt;=3,"🟢 صحي",IF(I176&lt;=5,"🟡 مرتفع","🔴 مخزون زائد")))</f>
        <v/>
      </c>
    </row>
    <row r="177" ht="15" customHeight="1" s="40">
      <c r="A177" s="85" t="n">
        <v>173</v>
      </c>
      <c r="B177" s="87" t="n"/>
      <c r="C177" s="91">
        <f>IFERROR(MATCH(B177,{"يناير";"فبراير";"مارس";"أبريل";"مايو";"يونيو";"يوليو";"أغسطس";"سبتمبر";"أكتوبر";"نوفمبر";"ديسمبر"},0),"")</f>
        <v/>
      </c>
      <c r="D177" s="87" t="n"/>
      <c r="E177" s="87" t="n"/>
      <c r="F177" s="87" t="n"/>
      <c r="G177" s="89" t="n"/>
      <c r="H177" s="89" t="n"/>
      <c r="I177" s="92">
        <f>IF(OR(H177="",H177=0),"",G177/H177)</f>
        <v/>
      </c>
      <c r="J177" s="56">
        <f>IF(I177="","—",IF(I177&lt;=3,"🟢 صحي",IF(I177&lt;=5,"🟡 مرتفع","🔴 مخزون زائد")))</f>
        <v/>
      </c>
    </row>
    <row r="178" ht="15" customHeight="1" s="40">
      <c r="A178" s="85" t="n">
        <v>174</v>
      </c>
      <c r="B178" s="87" t="n"/>
      <c r="C178" s="91">
        <f>IFERROR(MATCH(B178,{"يناير";"فبراير";"مارس";"أبريل";"مايو";"يونيو";"يوليو";"أغسطس";"سبتمبر";"أكتوبر";"نوفمبر";"ديسمبر"},0),"")</f>
        <v/>
      </c>
      <c r="D178" s="87" t="n"/>
      <c r="E178" s="87" t="n"/>
      <c r="F178" s="87" t="n"/>
      <c r="G178" s="89" t="n"/>
      <c r="H178" s="89" t="n"/>
      <c r="I178" s="92">
        <f>IF(OR(H178="",H178=0),"",G178/H178)</f>
        <v/>
      </c>
      <c r="J178" s="56">
        <f>IF(I178="","—",IF(I178&lt;=3,"🟢 صحي",IF(I178&lt;=5,"🟡 مرتفع","🔴 مخزون زائد")))</f>
        <v/>
      </c>
    </row>
    <row r="179" ht="15" customHeight="1" s="40">
      <c r="A179" s="85" t="n">
        <v>175</v>
      </c>
      <c r="B179" s="87" t="n"/>
      <c r="C179" s="91">
        <f>IFERROR(MATCH(B179,{"يناير";"فبراير";"مارس";"أبريل";"مايو";"يونيو";"يوليو";"أغسطس";"سبتمبر";"أكتوبر";"نوفمبر";"ديسمبر"},0),"")</f>
        <v/>
      </c>
      <c r="D179" s="87" t="n"/>
      <c r="E179" s="87" t="n"/>
      <c r="F179" s="87" t="n"/>
      <c r="G179" s="89" t="n"/>
      <c r="H179" s="89" t="n"/>
      <c r="I179" s="92">
        <f>IF(OR(H179="",H179=0),"",G179/H179)</f>
        <v/>
      </c>
      <c r="J179" s="56">
        <f>IF(I179="","—",IF(I179&lt;=3,"🟢 صحي",IF(I179&lt;=5,"🟡 مرتفع","🔴 مخزون زائد")))</f>
        <v/>
      </c>
    </row>
    <row r="180" ht="15" customHeight="1" s="40">
      <c r="A180" s="85" t="n">
        <v>176</v>
      </c>
      <c r="B180" s="87" t="n"/>
      <c r="C180" s="91">
        <f>IFERROR(MATCH(B180,{"يناير";"فبراير";"مارس";"أبريل";"مايو";"يونيو";"يوليو";"أغسطس";"سبتمبر";"أكتوبر";"نوفمبر";"ديسمبر"},0),"")</f>
        <v/>
      </c>
      <c r="D180" s="87" t="n"/>
      <c r="E180" s="87" t="n"/>
      <c r="F180" s="87" t="n"/>
      <c r="G180" s="89" t="n"/>
      <c r="H180" s="89" t="n"/>
      <c r="I180" s="92">
        <f>IF(OR(H180="",H180=0),"",G180/H180)</f>
        <v/>
      </c>
      <c r="J180" s="56">
        <f>IF(I180="","—",IF(I180&lt;=3,"🟢 صحي",IF(I180&lt;=5,"🟡 مرتفع","🔴 مخزون زائد")))</f>
        <v/>
      </c>
    </row>
    <row r="181" ht="15" customHeight="1" s="40">
      <c r="A181" s="85" t="n">
        <v>177</v>
      </c>
      <c r="B181" s="87" t="n"/>
      <c r="C181" s="91">
        <f>IFERROR(MATCH(B181,{"يناير";"فبراير";"مارس";"أبريل";"مايو";"يونيو";"يوليو";"أغسطس";"سبتمبر";"أكتوبر";"نوفمبر";"ديسمبر"},0),"")</f>
        <v/>
      </c>
      <c r="D181" s="87" t="n"/>
      <c r="E181" s="87" t="n"/>
      <c r="F181" s="87" t="n"/>
      <c r="G181" s="89" t="n"/>
      <c r="H181" s="89" t="n"/>
      <c r="I181" s="92">
        <f>IF(OR(H181="",H181=0),"",G181/H181)</f>
        <v/>
      </c>
      <c r="J181" s="56">
        <f>IF(I181="","—",IF(I181&lt;=3,"🟢 صحي",IF(I181&lt;=5,"🟡 مرتفع","🔴 مخزون زائد")))</f>
        <v/>
      </c>
    </row>
    <row r="182" ht="15" customHeight="1" s="40">
      <c r="A182" s="85" t="n">
        <v>178</v>
      </c>
      <c r="B182" s="87" t="n"/>
      <c r="C182" s="91">
        <f>IFERROR(MATCH(B182,{"يناير";"فبراير";"مارس";"أبريل";"مايو";"يونيو";"يوليو";"أغسطس";"سبتمبر";"أكتوبر";"نوفمبر";"ديسمبر"},0),"")</f>
        <v/>
      </c>
      <c r="D182" s="87" t="n"/>
      <c r="E182" s="87" t="n"/>
      <c r="F182" s="87" t="n"/>
      <c r="G182" s="89" t="n"/>
      <c r="H182" s="89" t="n"/>
      <c r="I182" s="92">
        <f>IF(OR(H182="",H182=0),"",G182/H182)</f>
        <v/>
      </c>
      <c r="J182" s="56">
        <f>IF(I182="","—",IF(I182&lt;=3,"🟢 صحي",IF(I182&lt;=5,"🟡 مرتفع","🔴 مخزون زائد")))</f>
        <v/>
      </c>
    </row>
    <row r="183" ht="15" customHeight="1" s="40">
      <c r="A183" s="85" t="n">
        <v>179</v>
      </c>
      <c r="B183" s="87" t="n"/>
      <c r="C183" s="91">
        <f>IFERROR(MATCH(B183,{"يناير";"فبراير";"مارس";"أبريل";"مايو";"يونيو";"يوليو";"أغسطس";"سبتمبر";"أكتوبر";"نوفمبر";"ديسمبر"},0),"")</f>
        <v/>
      </c>
      <c r="D183" s="87" t="n"/>
      <c r="E183" s="87" t="n"/>
      <c r="F183" s="87" t="n"/>
      <c r="G183" s="89" t="n"/>
      <c r="H183" s="89" t="n"/>
      <c r="I183" s="92">
        <f>IF(OR(H183="",H183=0),"",G183/H183)</f>
        <v/>
      </c>
      <c r="J183" s="56">
        <f>IF(I183="","—",IF(I183&lt;=3,"🟢 صحي",IF(I183&lt;=5,"🟡 مرتفع","🔴 مخزون زائد")))</f>
        <v/>
      </c>
    </row>
    <row r="184" ht="15" customHeight="1" s="40">
      <c r="A184" s="85" t="n">
        <v>180</v>
      </c>
      <c r="B184" s="87" t="n"/>
      <c r="C184" s="91">
        <f>IFERROR(MATCH(B184,{"يناير";"فبراير";"مارس";"أبريل";"مايو";"يونيو";"يوليو";"أغسطس";"سبتمبر";"أكتوبر";"نوفمبر";"ديسمبر"},0),"")</f>
        <v/>
      </c>
      <c r="D184" s="87" t="n"/>
      <c r="E184" s="87" t="n"/>
      <c r="F184" s="87" t="n"/>
      <c r="G184" s="89" t="n"/>
      <c r="H184" s="89" t="n"/>
      <c r="I184" s="92">
        <f>IF(OR(H184="",H184=0),"",G184/H184)</f>
        <v/>
      </c>
      <c r="J184" s="56">
        <f>IF(I184="","—",IF(I184&lt;=3,"🟢 صحي",IF(I184&lt;=5,"🟡 مرتفع","🔴 مخزون زائد")))</f>
        <v/>
      </c>
    </row>
    <row r="185" ht="15" customHeight="1" s="40">
      <c r="A185" s="85" t="n">
        <v>181</v>
      </c>
      <c r="B185" s="87" t="n"/>
      <c r="C185" s="91">
        <f>IFERROR(MATCH(B185,{"يناير";"فبراير";"مارس";"أبريل";"مايو";"يونيو";"يوليو";"أغسطس";"سبتمبر";"أكتوبر";"نوفمبر";"ديسمبر"},0),"")</f>
        <v/>
      </c>
      <c r="D185" s="87" t="n"/>
      <c r="E185" s="87" t="n"/>
      <c r="F185" s="87" t="n"/>
      <c r="G185" s="89" t="n"/>
      <c r="H185" s="89" t="n"/>
      <c r="I185" s="92">
        <f>IF(OR(H185="",H185=0),"",G185/H185)</f>
        <v/>
      </c>
      <c r="J185" s="56">
        <f>IF(I185="","—",IF(I185&lt;=3,"🟢 صحي",IF(I185&lt;=5,"🟡 مرتفع","🔴 مخزون زائد")))</f>
        <v/>
      </c>
    </row>
    <row r="186" ht="15" customHeight="1" s="40">
      <c r="A186" s="85" t="n">
        <v>182</v>
      </c>
      <c r="B186" s="87" t="n"/>
      <c r="C186" s="91">
        <f>IFERROR(MATCH(B186,{"يناير";"فبراير";"مارس";"أبريل";"مايو";"يونيو";"يوليو";"أغسطس";"سبتمبر";"أكتوبر";"نوفمبر";"ديسمبر"},0),"")</f>
        <v/>
      </c>
      <c r="D186" s="87" t="n"/>
      <c r="E186" s="87" t="n"/>
      <c r="F186" s="87" t="n"/>
      <c r="G186" s="89" t="n"/>
      <c r="H186" s="89" t="n"/>
      <c r="I186" s="92">
        <f>IF(OR(H186="",H186=0),"",G186/H186)</f>
        <v/>
      </c>
      <c r="J186" s="56">
        <f>IF(I186="","—",IF(I186&lt;=3,"🟢 صحي",IF(I186&lt;=5,"🟡 مرتفع","🔴 مخزون زائد")))</f>
        <v/>
      </c>
    </row>
    <row r="187" ht="15" customHeight="1" s="40">
      <c r="A187" s="85" t="n">
        <v>183</v>
      </c>
      <c r="B187" s="87" t="n"/>
      <c r="C187" s="91">
        <f>IFERROR(MATCH(B187,{"يناير";"فبراير";"مارس";"أبريل";"مايو";"يونيو";"يوليو";"أغسطس";"سبتمبر";"أكتوبر";"نوفمبر";"ديسمبر"},0),"")</f>
        <v/>
      </c>
      <c r="D187" s="87" t="n"/>
      <c r="E187" s="87" t="n"/>
      <c r="F187" s="87" t="n"/>
      <c r="G187" s="89" t="n"/>
      <c r="H187" s="89" t="n"/>
      <c r="I187" s="92">
        <f>IF(OR(H187="",H187=0),"",G187/H187)</f>
        <v/>
      </c>
      <c r="J187" s="56">
        <f>IF(I187="","—",IF(I187&lt;=3,"🟢 صحي",IF(I187&lt;=5,"🟡 مرتفع","🔴 مخزون زائد")))</f>
        <v/>
      </c>
    </row>
    <row r="188" ht="15" customHeight="1" s="40">
      <c r="A188" s="85" t="n">
        <v>184</v>
      </c>
      <c r="B188" s="87" t="n"/>
      <c r="C188" s="91">
        <f>IFERROR(MATCH(B188,{"يناير";"فبراير";"مارس";"أبريل";"مايو";"يونيو";"يوليو";"أغسطس";"سبتمبر";"أكتوبر";"نوفمبر";"ديسمبر"},0),"")</f>
        <v/>
      </c>
      <c r="D188" s="87" t="n"/>
      <c r="E188" s="87" t="n"/>
      <c r="F188" s="87" t="n"/>
      <c r="G188" s="89" t="n"/>
      <c r="H188" s="89" t="n"/>
      <c r="I188" s="92">
        <f>IF(OR(H188="",H188=0),"",G188/H188)</f>
        <v/>
      </c>
      <c r="J188" s="56">
        <f>IF(I188="","—",IF(I188&lt;=3,"🟢 صحي",IF(I188&lt;=5,"🟡 مرتفع","🔴 مخزون زائد")))</f>
        <v/>
      </c>
    </row>
    <row r="189" ht="15" customHeight="1" s="40">
      <c r="A189" s="85" t="n">
        <v>185</v>
      </c>
      <c r="B189" s="87" t="n"/>
      <c r="C189" s="91">
        <f>IFERROR(MATCH(B189,{"يناير";"فبراير";"مارس";"أبريل";"مايو";"يونيو";"يوليو";"أغسطس";"سبتمبر";"أكتوبر";"نوفمبر";"ديسمبر"},0),"")</f>
        <v/>
      </c>
      <c r="D189" s="87" t="n"/>
      <c r="E189" s="87" t="n"/>
      <c r="F189" s="87" t="n"/>
      <c r="G189" s="89" t="n"/>
      <c r="H189" s="89" t="n"/>
      <c r="I189" s="92">
        <f>IF(OR(H189="",H189=0),"",G189/H189)</f>
        <v/>
      </c>
      <c r="J189" s="56">
        <f>IF(I189="","—",IF(I189&lt;=3,"🟢 صحي",IF(I189&lt;=5,"🟡 مرتفع","🔴 مخزون زائد")))</f>
        <v/>
      </c>
    </row>
    <row r="190" ht="15" customHeight="1" s="40">
      <c r="A190" s="85" t="n">
        <v>186</v>
      </c>
      <c r="B190" s="87" t="n"/>
      <c r="C190" s="91">
        <f>IFERROR(MATCH(B190,{"يناير";"فبراير";"مارس";"أبريل";"مايو";"يونيو";"يوليو";"أغسطس";"سبتمبر";"أكتوبر";"نوفمبر";"ديسمبر"},0),"")</f>
        <v/>
      </c>
      <c r="D190" s="87" t="n"/>
      <c r="E190" s="87" t="n"/>
      <c r="F190" s="87" t="n"/>
      <c r="G190" s="89" t="n"/>
      <c r="H190" s="89" t="n"/>
      <c r="I190" s="92">
        <f>IF(OR(H190="",H190=0),"",G190/H190)</f>
        <v/>
      </c>
      <c r="J190" s="56">
        <f>IF(I190="","—",IF(I190&lt;=3,"🟢 صحي",IF(I190&lt;=5,"🟡 مرتفع","🔴 مخزون زائد")))</f>
        <v/>
      </c>
    </row>
    <row r="191" ht="15" customHeight="1" s="40">
      <c r="A191" s="85" t="n">
        <v>187</v>
      </c>
      <c r="B191" s="87" t="n"/>
      <c r="C191" s="91">
        <f>IFERROR(MATCH(B191,{"يناير";"فبراير";"مارس";"أبريل";"مايو";"يونيو";"يوليو";"أغسطس";"سبتمبر";"أكتوبر";"نوفمبر";"ديسمبر"},0),"")</f>
        <v/>
      </c>
      <c r="D191" s="87" t="n"/>
      <c r="E191" s="87" t="n"/>
      <c r="F191" s="87" t="n"/>
      <c r="G191" s="89" t="n"/>
      <c r="H191" s="89" t="n"/>
      <c r="I191" s="92">
        <f>IF(OR(H191="",H191=0),"",G191/H191)</f>
        <v/>
      </c>
      <c r="J191" s="56">
        <f>IF(I191="","—",IF(I191&lt;=3,"🟢 صحي",IF(I191&lt;=5,"🟡 مرتفع","🔴 مخزون زائد")))</f>
        <v/>
      </c>
    </row>
    <row r="192" ht="15" customHeight="1" s="40">
      <c r="A192" s="85" t="n">
        <v>188</v>
      </c>
      <c r="B192" s="87" t="n"/>
      <c r="C192" s="91">
        <f>IFERROR(MATCH(B192,{"يناير";"فبراير";"مارس";"أبريل";"مايو";"يونيو";"يوليو";"أغسطس";"سبتمبر";"أكتوبر";"نوفمبر";"ديسمبر"},0),"")</f>
        <v/>
      </c>
      <c r="D192" s="87" t="n"/>
      <c r="E192" s="87" t="n"/>
      <c r="F192" s="87" t="n"/>
      <c r="G192" s="89" t="n"/>
      <c r="H192" s="89" t="n"/>
      <c r="I192" s="92">
        <f>IF(OR(H192="",H192=0),"",G192/H192)</f>
        <v/>
      </c>
      <c r="J192" s="56">
        <f>IF(I192="","—",IF(I192&lt;=3,"🟢 صحي",IF(I192&lt;=5,"🟡 مرتفع","🔴 مخزون زائد")))</f>
        <v/>
      </c>
    </row>
    <row r="193" ht="15" customHeight="1" s="40">
      <c r="A193" s="85" t="n">
        <v>189</v>
      </c>
      <c r="B193" s="87" t="n"/>
      <c r="C193" s="91">
        <f>IFERROR(MATCH(B193,{"يناير";"فبراير";"مارس";"أبريل";"مايو";"يونيو";"يوليو";"أغسطس";"سبتمبر";"أكتوبر";"نوفمبر";"ديسمبر"},0),"")</f>
        <v/>
      </c>
      <c r="D193" s="87" t="n"/>
      <c r="E193" s="87" t="n"/>
      <c r="F193" s="87" t="n"/>
      <c r="G193" s="89" t="n"/>
      <c r="H193" s="89" t="n"/>
      <c r="I193" s="92">
        <f>IF(OR(H193="",H193=0),"",G193/H193)</f>
        <v/>
      </c>
      <c r="J193" s="56">
        <f>IF(I193="","—",IF(I193&lt;=3,"🟢 صحي",IF(I193&lt;=5,"🟡 مرتفع","🔴 مخزون زائد")))</f>
        <v/>
      </c>
    </row>
    <row r="194" ht="15" customHeight="1" s="40">
      <c r="A194" s="85" t="n">
        <v>190</v>
      </c>
      <c r="B194" s="87" t="n"/>
      <c r="C194" s="91">
        <f>IFERROR(MATCH(B194,{"يناير";"فبراير";"مارس";"أبريل";"مايو";"يونيو";"يوليو";"أغسطس";"سبتمبر";"أكتوبر";"نوفمبر";"ديسمبر"},0),"")</f>
        <v/>
      </c>
      <c r="D194" s="87" t="n"/>
      <c r="E194" s="87" t="n"/>
      <c r="F194" s="87" t="n"/>
      <c r="G194" s="89" t="n"/>
      <c r="H194" s="89" t="n"/>
      <c r="I194" s="92">
        <f>IF(OR(H194="",H194=0),"",G194/H194)</f>
        <v/>
      </c>
      <c r="J194" s="56">
        <f>IF(I194="","—",IF(I194&lt;=3,"🟢 صحي",IF(I194&lt;=5,"🟡 مرتفع","🔴 مخزون زائد")))</f>
        <v/>
      </c>
    </row>
    <row r="195" ht="15" customHeight="1" s="40">
      <c r="A195" s="85" t="n">
        <v>191</v>
      </c>
      <c r="B195" s="87" t="n"/>
      <c r="C195" s="91">
        <f>IFERROR(MATCH(B195,{"يناير";"فبراير";"مارس";"أبريل";"مايو";"يونيو";"يوليو";"أغسطس";"سبتمبر";"أكتوبر";"نوفمبر";"ديسمبر"},0),"")</f>
        <v/>
      </c>
      <c r="D195" s="87" t="n"/>
      <c r="E195" s="87" t="n"/>
      <c r="F195" s="87" t="n"/>
      <c r="G195" s="89" t="n"/>
      <c r="H195" s="89" t="n"/>
      <c r="I195" s="92">
        <f>IF(OR(H195="",H195=0),"",G195/H195)</f>
        <v/>
      </c>
      <c r="J195" s="56">
        <f>IF(I195="","—",IF(I195&lt;=3,"🟢 صحي",IF(I195&lt;=5,"🟡 مرتفع","🔴 مخزون زائد")))</f>
        <v/>
      </c>
    </row>
    <row r="196" ht="15" customHeight="1" s="40">
      <c r="A196" s="85" t="n">
        <v>192</v>
      </c>
      <c r="B196" s="87" t="n"/>
      <c r="C196" s="91">
        <f>IFERROR(MATCH(B196,{"يناير";"فبراير";"مارس";"أبريل";"مايو";"يونيو";"يوليو";"أغسطس";"سبتمبر";"أكتوبر";"نوفمبر";"ديسمبر"},0),"")</f>
        <v/>
      </c>
      <c r="D196" s="87" t="n"/>
      <c r="E196" s="87" t="n"/>
      <c r="F196" s="87" t="n"/>
      <c r="G196" s="89" t="n"/>
      <c r="H196" s="89" t="n"/>
      <c r="I196" s="92">
        <f>IF(OR(H196="",H196=0),"",G196/H196)</f>
        <v/>
      </c>
      <c r="J196" s="56">
        <f>IF(I196="","—",IF(I196&lt;=3,"🟢 صحي",IF(I196&lt;=5,"🟡 مرتفع","🔴 مخزون زائد")))</f>
        <v/>
      </c>
    </row>
    <row r="197" ht="15" customHeight="1" s="40">
      <c r="A197" s="85" t="n">
        <v>193</v>
      </c>
      <c r="B197" s="87" t="n"/>
      <c r="C197" s="91">
        <f>IFERROR(MATCH(B197,{"يناير";"فبراير";"مارس";"أبريل";"مايو";"يونيو";"يوليو";"أغسطس";"سبتمبر";"أكتوبر";"نوفمبر";"ديسمبر"},0),"")</f>
        <v/>
      </c>
      <c r="D197" s="87" t="n"/>
      <c r="E197" s="87" t="n"/>
      <c r="F197" s="87" t="n"/>
      <c r="G197" s="89" t="n"/>
      <c r="H197" s="89" t="n"/>
      <c r="I197" s="92">
        <f>IF(OR(H197="",H197=0),"",G197/H197)</f>
        <v/>
      </c>
      <c r="J197" s="56">
        <f>IF(I197="","—",IF(I197&lt;=3,"🟢 صحي",IF(I197&lt;=5,"🟡 مرتفع","🔴 مخزون زائد")))</f>
        <v/>
      </c>
    </row>
    <row r="198" ht="15" customHeight="1" s="40">
      <c r="A198" s="85" t="n">
        <v>194</v>
      </c>
      <c r="B198" s="87" t="n"/>
      <c r="C198" s="91">
        <f>IFERROR(MATCH(B198,{"يناير";"فبراير";"مارس";"أبريل";"مايو";"يونيو";"يوليو";"أغسطس";"سبتمبر";"أكتوبر";"نوفمبر";"ديسمبر"},0),"")</f>
        <v/>
      </c>
      <c r="D198" s="87" t="n"/>
      <c r="E198" s="87" t="n"/>
      <c r="F198" s="87" t="n"/>
      <c r="G198" s="89" t="n"/>
      <c r="H198" s="89" t="n"/>
      <c r="I198" s="92">
        <f>IF(OR(H198="",H198=0),"",G198/H198)</f>
        <v/>
      </c>
      <c r="J198" s="56">
        <f>IF(I198="","—",IF(I198&lt;=3,"🟢 صحي",IF(I198&lt;=5,"🟡 مرتفع","🔴 مخزون زائد")))</f>
        <v/>
      </c>
    </row>
    <row r="199" ht="15" customHeight="1" s="40">
      <c r="A199" s="85" t="n">
        <v>195</v>
      </c>
      <c r="B199" s="87" t="n"/>
      <c r="C199" s="91">
        <f>IFERROR(MATCH(B199,{"يناير";"فبراير";"مارس";"أبريل";"مايو";"يونيو";"يوليو";"أغسطس";"سبتمبر";"أكتوبر";"نوفمبر";"ديسمبر"},0),"")</f>
        <v/>
      </c>
      <c r="D199" s="87" t="n"/>
      <c r="E199" s="87" t="n"/>
      <c r="F199" s="87" t="n"/>
      <c r="G199" s="89" t="n"/>
      <c r="H199" s="89" t="n"/>
      <c r="I199" s="92">
        <f>IF(OR(H199="",H199=0),"",G199/H199)</f>
        <v/>
      </c>
      <c r="J199" s="56">
        <f>IF(I199="","—",IF(I199&lt;=3,"🟢 صحي",IF(I199&lt;=5,"🟡 مرتفع","🔴 مخزون زائد")))</f>
        <v/>
      </c>
    </row>
    <row r="200" ht="15" customHeight="1" s="40">
      <c r="A200" s="85" t="n">
        <v>196</v>
      </c>
      <c r="B200" s="87" t="n"/>
      <c r="C200" s="91">
        <f>IFERROR(MATCH(B200,{"يناير";"فبراير";"مارس";"أبريل";"مايو";"يونيو";"يوليو";"أغسطس";"سبتمبر";"أكتوبر";"نوفمبر";"ديسمبر"},0),"")</f>
        <v/>
      </c>
      <c r="D200" s="87" t="n"/>
      <c r="E200" s="87" t="n"/>
      <c r="F200" s="87" t="n"/>
      <c r="G200" s="89" t="n"/>
      <c r="H200" s="89" t="n"/>
      <c r="I200" s="92">
        <f>IF(OR(H200="",H200=0),"",G200/H200)</f>
        <v/>
      </c>
      <c r="J200" s="56">
        <f>IF(I200="","—",IF(I200&lt;=3,"🟢 صحي",IF(I200&lt;=5,"🟡 مرتفع","🔴 مخزون زائد")))</f>
        <v/>
      </c>
    </row>
    <row r="201" ht="15" customHeight="1" s="40">
      <c r="A201" s="85" t="n">
        <v>197</v>
      </c>
      <c r="B201" s="87" t="n"/>
      <c r="C201" s="91">
        <f>IFERROR(MATCH(B201,{"يناير";"فبراير";"مارس";"أبريل";"مايو";"يونيو";"يوليو";"أغسطس";"سبتمبر";"أكتوبر";"نوفمبر";"ديسمبر"},0),"")</f>
        <v/>
      </c>
      <c r="D201" s="87" t="n"/>
      <c r="E201" s="87" t="n"/>
      <c r="F201" s="87" t="n"/>
      <c r="G201" s="89" t="n"/>
      <c r="H201" s="89" t="n"/>
      <c r="I201" s="92">
        <f>IF(OR(H201="",H201=0),"",G201/H201)</f>
        <v/>
      </c>
      <c r="J201" s="56">
        <f>IF(I201="","—",IF(I201&lt;=3,"🟢 صحي",IF(I201&lt;=5,"🟡 مرتفع","🔴 مخزون زائد")))</f>
        <v/>
      </c>
    </row>
    <row r="202" ht="15" customHeight="1" s="40">
      <c r="A202" s="85" t="n">
        <v>198</v>
      </c>
      <c r="B202" s="87" t="n"/>
      <c r="C202" s="91">
        <f>IFERROR(MATCH(B202,{"يناير";"فبراير";"مارس";"أبريل";"مايو";"يونيو";"يوليو";"أغسطس";"سبتمبر";"أكتوبر";"نوفمبر";"ديسمبر"},0),"")</f>
        <v/>
      </c>
      <c r="D202" s="87" t="n"/>
      <c r="E202" s="87" t="n"/>
      <c r="F202" s="87" t="n"/>
      <c r="G202" s="89" t="n"/>
      <c r="H202" s="89" t="n"/>
      <c r="I202" s="92">
        <f>IF(OR(H202="",H202=0),"",G202/H202)</f>
        <v/>
      </c>
      <c r="J202" s="56">
        <f>IF(I202="","—",IF(I202&lt;=3,"🟢 صحي",IF(I202&lt;=5,"🟡 مرتفع","🔴 مخزون زائد")))</f>
        <v/>
      </c>
    </row>
    <row r="203" ht="15" customHeight="1" s="40">
      <c r="A203" s="85" t="n">
        <v>199</v>
      </c>
      <c r="B203" s="87" t="n"/>
      <c r="C203" s="91">
        <f>IFERROR(MATCH(B203,{"يناير";"فبراير";"مارس";"أبريل";"مايو";"يونيو";"يوليو";"أغسطس";"سبتمبر";"أكتوبر";"نوفمبر";"ديسمبر"},0),"")</f>
        <v/>
      </c>
      <c r="D203" s="87" t="n"/>
      <c r="E203" s="87" t="n"/>
      <c r="F203" s="87" t="n"/>
      <c r="G203" s="89" t="n"/>
      <c r="H203" s="89" t="n"/>
      <c r="I203" s="92">
        <f>IF(OR(H203="",H203=0),"",G203/H203)</f>
        <v/>
      </c>
      <c r="J203" s="56">
        <f>IF(I203="","—",IF(I203&lt;=3,"🟢 صحي",IF(I203&lt;=5,"🟡 مرتفع","🔴 مخزون زائد")))</f>
        <v/>
      </c>
    </row>
    <row r="204" ht="15" customHeight="1" s="40">
      <c r="A204" s="85" t="n">
        <v>200</v>
      </c>
      <c r="B204" s="87" t="n"/>
      <c r="C204" s="91">
        <f>IFERROR(MATCH(B204,{"يناير";"فبراير";"مارس";"أبريل";"مايو";"يونيو";"يوليو";"أغسطس";"سبتمبر";"أكتوبر";"نوفمبر";"ديسمبر"},0),"")</f>
        <v/>
      </c>
      <c r="D204" s="87" t="n"/>
      <c r="E204" s="87" t="n"/>
      <c r="F204" s="87" t="n"/>
      <c r="G204" s="89" t="n"/>
      <c r="H204" s="89" t="n"/>
      <c r="I204" s="92">
        <f>IF(OR(H204="",H204=0),"",G204/H204)</f>
        <v/>
      </c>
      <c r="J204" s="56">
        <f>IF(I204="","—",IF(I204&lt;=3,"🟢 صحي",IF(I204&lt;=5,"🟡 مرتفع","🔴 مخزون زائد")))</f>
        <v/>
      </c>
    </row>
    <row r="205" ht="15" customHeight="1" s="40">
      <c r="A205" s="85" t="n">
        <v>201</v>
      </c>
      <c r="B205" s="87" t="n"/>
      <c r="C205" s="91">
        <f>IFERROR(MATCH(B205,{"يناير";"فبراير";"مارس";"أبريل";"مايو";"يونيو";"يوليو";"أغسطس";"سبتمبر";"أكتوبر";"نوفمبر";"ديسمبر"},0),"")</f>
        <v/>
      </c>
      <c r="D205" s="87" t="n"/>
      <c r="E205" s="87" t="n"/>
      <c r="F205" s="87" t="n"/>
      <c r="G205" s="89" t="n"/>
      <c r="H205" s="89" t="n"/>
      <c r="I205" s="92">
        <f>IF(OR(H205="",H205=0),"",G205/H205)</f>
        <v/>
      </c>
      <c r="J205" s="56">
        <f>IF(I205="","—",IF(I205&lt;=3,"🟢 صحي",IF(I205&lt;=5,"🟡 مرتفع","🔴 مخزون زائد")))</f>
        <v/>
      </c>
    </row>
    <row r="206" ht="15" customHeight="1" s="40">
      <c r="A206" s="85" t="n">
        <v>202</v>
      </c>
      <c r="B206" s="87" t="n"/>
      <c r="C206" s="91">
        <f>IFERROR(MATCH(B206,{"يناير";"فبراير";"مارس";"أبريل";"مايو";"يونيو";"يوليو";"أغسطس";"سبتمبر";"أكتوبر";"نوفمبر";"ديسمبر"},0),"")</f>
        <v/>
      </c>
      <c r="D206" s="87" t="n"/>
      <c r="E206" s="87" t="n"/>
      <c r="F206" s="87" t="n"/>
      <c r="G206" s="89" t="n"/>
      <c r="H206" s="89" t="n"/>
      <c r="I206" s="92">
        <f>IF(OR(H206="",H206=0),"",G206/H206)</f>
        <v/>
      </c>
      <c r="J206" s="56">
        <f>IF(I206="","—",IF(I206&lt;=3,"🟢 صحي",IF(I206&lt;=5,"🟡 مرتفع","🔴 مخزون زائد")))</f>
        <v/>
      </c>
    </row>
    <row r="207" ht="15" customHeight="1" s="40">
      <c r="A207" s="85" t="n">
        <v>203</v>
      </c>
      <c r="B207" s="87" t="n"/>
      <c r="C207" s="91">
        <f>IFERROR(MATCH(B207,{"يناير";"فبراير";"مارس";"أبريل";"مايو";"يونيو";"يوليو";"أغسطس";"سبتمبر";"أكتوبر";"نوفمبر";"ديسمبر"},0),"")</f>
        <v/>
      </c>
      <c r="D207" s="87" t="n"/>
      <c r="E207" s="87" t="n"/>
      <c r="F207" s="87" t="n"/>
      <c r="G207" s="89" t="n"/>
      <c r="H207" s="89" t="n"/>
      <c r="I207" s="92">
        <f>IF(OR(H207="",H207=0),"",G207/H207)</f>
        <v/>
      </c>
      <c r="J207" s="56">
        <f>IF(I207="","—",IF(I207&lt;=3,"🟢 صحي",IF(I207&lt;=5,"🟡 مرتفع","🔴 مخزون زائد")))</f>
        <v/>
      </c>
    </row>
    <row r="208" ht="15" customHeight="1" s="40">
      <c r="A208" s="85" t="n">
        <v>204</v>
      </c>
      <c r="B208" s="87" t="n"/>
      <c r="C208" s="91">
        <f>IFERROR(MATCH(B208,{"يناير";"فبراير";"مارس";"أبريل";"مايو";"يونيو";"يوليو";"أغسطس";"سبتمبر";"أكتوبر";"نوفمبر";"ديسمبر"},0),"")</f>
        <v/>
      </c>
      <c r="D208" s="87" t="n"/>
      <c r="E208" s="87" t="n"/>
      <c r="F208" s="87" t="n"/>
      <c r="G208" s="89" t="n"/>
      <c r="H208" s="89" t="n"/>
      <c r="I208" s="92">
        <f>IF(OR(H208="",H208=0),"",G208/H208)</f>
        <v/>
      </c>
      <c r="J208" s="56">
        <f>IF(I208="","—",IF(I208&lt;=3,"🟢 صحي",IF(I208&lt;=5,"🟡 مرتفع","🔴 مخزون زائد")))</f>
        <v/>
      </c>
    </row>
    <row r="209" ht="15" customHeight="1" s="40">
      <c r="A209" s="85" t="n">
        <v>205</v>
      </c>
      <c r="B209" s="87" t="n"/>
      <c r="C209" s="91">
        <f>IFERROR(MATCH(B209,{"يناير";"فبراير";"مارس";"أبريل";"مايو";"يونيو";"يوليو";"أغسطس";"سبتمبر";"أكتوبر";"نوفمبر";"ديسمبر"},0),"")</f>
        <v/>
      </c>
      <c r="D209" s="87" t="n"/>
      <c r="E209" s="87" t="n"/>
      <c r="F209" s="87" t="n"/>
      <c r="G209" s="89" t="n"/>
      <c r="H209" s="89" t="n"/>
      <c r="I209" s="92">
        <f>IF(OR(H209="",H209=0),"",G209/H209)</f>
        <v/>
      </c>
      <c r="J209" s="56">
        <f>IF(I209="","—",IF(I209&lt;=3,"🟢 صحي",IF(I209&lt;=5,"🟡 مرتفع","🔴 مخزون زائد")))</f>
        <v/>
      </c>
    </row>
    <row r="210" ht="15" customHeight="1" s="40">
      <c r="A210" s="85" t="n">
        <v>206</v>
      </c>
      <c r="B210" s="87" t="n"/>
      <c r="C210" s="91">
        <f>IFERROR(MATCH(B210,{"يناير";"فبراير";"مارس";"أبريل";"مايو";"يونيو";"يوليو";"أغسطس";"سبتمبر";"أكتوبر";"نوفمبر";"ديسمبر"},0),"")</f>
        <v/>
      </c>
      <c r="D210" s="87" t="n"/>
      <c r="E210" s="87" t="n"/>
      <c r="F210" s="87" t="n"/>
      <c r="G210" s="89" t="n"/>
      <c r="H210" s="89" t="n"/>
      <c r="I210" s="92">
        <f>IF(OR(H210="",H210=0),"",G210/H210)</f>
        <v/>
      </c>
      <c r="J210" s="56">
        <f>IF(I210="","—",IF(I210&lt;=3,"🟢 صحي",IF(I210&lt;=5,"🟡 مرتفع","🔴 مخزون زائد")))</f>
        <v/>
      </c>
    </row>
    <row r="211" ht="15" customHeight="1" s="40">
      <c r="A211" s="85" t="n">
        <v>207</v>
      </c>
      <c r="B211" s="87" t="n"/>
      <c r="C211" s="91">
        <f>IFERROR(MATCH(B211,{"يناير";"فبراير";"مارس";"أبريل";"مايو";"يونيو";"يوليو";"أغسطس";"سبتمبر";"أكتوبر";"نوفمبر";"ديسمبر"},0),"")</f>
        <v/>
      </c>
      <c r="D211" s="87" t="n"/>
      <c r="E211" s="87" t="n"/>
      <c r="F211" s="87" t="n"/>
      <c r="G211" s="89" t="n"/>
      <c r="H211" s="89" t="n"/>
      <c r="I211" s="92">
        <f>IF(OR(H211="",H211=0),"",G211/H211)</f>
        <v/>
      </c>
      <c r="J211" s="56">
        <f>IF(I211="","—",IF(I211&lt;=3,"🟢 صحي",IF(I211&lt;=5,"🟡 مرتفع","🔴 مخزون زائد")))</f>
        <v/>
      </c>
    </row>
    <row r="212" ht="15" customHeight="1" s="40">
      <c r="A212" s="85" t="n">
        <v>208</v>
      </c>
      <c r="B212" s="87" t="n"/>
      <c r="C212" s="91">
        <f>IFERROR(MATCH(B212,{"يناير";"فبراير";"مارس";"أبريل";"مايو";"يونيو";"يوليو";"أغسطس";"سبتمبر";"أكتوبر";"نوفمبر";"ديسمبر"},0),"")</f>
        <v/>
      </c>
      <c r="D212" s="87" t="n"/>
      <c r="E212" s="87" t="n"/>
      <c r="F212" s="87" t="n"/>
      <c r="G212" s="89" t="n"/>
      <c r="H212" s="89" t="n"/>
      <c r="I212" s="92">
        <f>IF(OR(H212="",H212=0),"",G212/H212)</f>
        <v/>
      </c>
      <c r="J212" s="56">
        <f>IF(I212="","—",IF(I212&lt;=3,"🟢 صحي",IF(I212&lt;=5,"🟡 مرتفع","🔴 مخزون زائد")))</f>
        <v/>
      </c>
    </row>
    <row r="213" ht="15" customHeight="1" s="40">
      <c r="A213" s="85" t="n">
        <v>209</v>
      </c>
      <c r="B213" s="87" t="n"/>
      <c r="C213" s="91">
        <f>IFERROR(MATCH(B213,{"يناير";"فبراير";"مارس";"أبريل";"مايو";"يونيو";"يوليو";"أغسطس";"سبتمبر";"أكتوبر";"نوفمبر";"ديسمبر"},0),"")</f>
        <v/>
      </c>
      <c r="D213" s="87" t="n"/>
      <c r="E213" s="87" t="n"/>
      <c r="F213" s="87" t="n"/>
      <c r="G213" s="89" t="n"/>
      <c r="H213" s="89" t="n"/>
      <c r="I213" s="92">
        <f>IF(OR(H213="",H213=0),"",G213/H213)</f>
        <v/>
      </c>
      <c r="J213" s="56">
        <f>IF(I213="","—",IF(I213&lt;=3,"🟢 صحي",IF(I213&lt;=5,"🟡 مرتفع","🔴 مخزون زائد")))</f>
        <v/>
      </c>
    </row>
    <row r="214" ht="15" customHeight="1" s="40">
      <c r="A214" s="85" t="n">
        <v>210</v>
      </c>
      <c r="B214" s="87" t="n"/>
      <c r="C214" s="91">
        <f>IFERROR(MATCH(B214,{"يناير";"فبراير";"مارس";"أبريل";"مايو";"يونيو";"يوليو";"أغسطس";"سبتمبر";"أكتوبر";"نوفمبر";"ديسمبر"},0),"")</f>
        <v/>
      </c>
      <c r="D214" s="87" t="n"/>
      <c r="E214" s="87" t="n"/>
      <c r="F214" s="87" t="n"/>
      <c r="G214" s="89" t="n"/>
      <c r="H214" s="89" t="n"/>
      <c r="I214" s="92">
        <f>IF(OR(H214="",H214=0),"",G214/H214)</f>
        <v/>
      </c>
      <c r="J214" s="56">
        <f>IF(I214="","—",IF(I214&lt;=3,"🟢 صحي",IF(I214&lt;=5,"🟡 مرتفع","🔴 مخزون زائد")))</f>
        <v/>
      </c>
    </row>
    <row r="215" ht="15" customHeight="1" s="40">
      <c r="A215" s="85" t="n">
        <v>211</v>
      </c>
      <c r="B215" s="87" t="n"/>
      <c r="C215" s="91">
        <f>IFERROR(MATCH(B215,{"يناير";"فبراير";"مارس";"أبريل";"مايو";"يونيو";"يوليو";"أغسطس";"سبتمبر";"أكتوبر";"نوفمبر";"ديسمبر"},0),"")</f>
        <v/>
      </c>
      <c r="D215" s="87" t="n"/>
      <c r="E215" s="87" t="n"/>
      <c r="F215" s="87" t="n"/>
      <c r="G215" s="89" t="n"/>
      <c r="H215" s="89" t="n"/>
      <c r="I215" s="92">
        <f>IF(OR(H215="",H215=0),"",G215/H215)</f>
        <v/>
      </c>
      <c r="J215" s="56">
        <f>IF(I215="","—",IF(I215&lt;=3,"🟢 صحي",IF(I215&lt;=5,"🟡 مرتفع","🔴 مخزون زائد")))</f>
        <v/>
      </c>
    </row>
    <row r="216" ht="15" customHeight="1" s="40">
      <c r="A216" s="85" t="n">
        <v>212</v>
      </c>
      <c r="B216" s="87" t="n"/>
      <c r="C216" s="91">
        <f>IFERROR(MATCH(B216,{"يناير";"فبراير";"مارس";"أبريل";"مايو";"يونيو";"يوليو";"أغسطس";"سبتمبر";"أكتوبر";"نوفمبر";"ديسمبر"},0),"")</f>
        <v/>
      </c>
      <c r="D216" s="87" t="n"/>
      <c r="E216" s="87" t="n"/>
      <c r="F216" s="87" t="n"/>
      <c r="G216" s="89" t="n"/>
      <c r="H216" s="89" t="n"/>
      <c r="I216" s="92">
        <f>IF(OR(H216="",H216=0),"",G216/H216)</f>
        <v/>
      </c>
      <c r="J216" s="56">
        <f>IF(I216="","—",IF(I216&lt;=3,"🟢 صحي",IF(I216&lt;=5,"🟡 مرتفع","🔴 مخزون زائد")))</f>
        <v/>
      </c>
    </row>
    <row r="217" ht="15" customHeight="1" s="40">
      <c r="A217" s="85" t="n">
        <v>213</v>
      </c>
      <c r="B217" s="87" t="n"/>
      <c r="C217" s="91">
        <f>IFERROR(MATCH(B217,{"يناير";"فبراير";"مارس";"أبريل";"مايو";"يونيو";"يوليو";"أغسطس";"سبتمبر";"أكتوبر";"نوفمبر";"ديسمبر"},0),"")</f>
        <v/>
      </c>
      <c r="D217" s="87" t="n"/>
      <c r="E217" s="87" t="n"/>
      <c r="F217" s="87" t="n"/>
      <c r="G217" s="89" t="n"/>
      <c r="H217" s="89" t="n"/>
      <c r="I217" s="92">
        <f>IF(OR(H217="",H217=0),"",G217/H217)</f>
        <v/>
      </c>
      <c r="J217" s="56">
        <f>IF(I217="","—",IF(I217&lt;=3,"🟢 صحي",IF(I217&lt;=5,"🟡 مرتفع","🔴 مخزون زائد")))</f>
        <v/>
      </c>
    </row>
    <row r="218" ht="15" customHeight="1" s="40">
      <c r="A218" s="85" t="n">
        <v>214</v>
      </c>
      <c r="B218" s="87" t="n"/>
      <c r="C218" s="91">
        <f>IFERROR(MATCH(B218,{"يناير";"فبراير";"مارس";"أبريل";"مايو";"يونيو";"يوليو";"أغسطس";"سبتمبر";"أكتوبر";"نوفمبر";"ديسمبر"},0),"")</f>
        <v/>
      </c>
      <c r="D218" s="87" t="n"/>
      <c r="E218" s="87" t="n"/>
      <c r="F218" s="87" t="n"/>
      <c r="G218" s="89" t="n"/>
      <c r="H218" s="89" t="n"/>
      <c r="I218" s="92">
        <f>IF(OR(H218="",H218=0),"",G218/H218)</f>
        <v/>
      </c>
      <c r="J218" s="56">
        <f>IF(I218="","—",IF(I218&lt;=3,"🟢 صحي",IF(I218&lt;=5,"🟡 مرتفع","🔴 مخزون زائد")))</f>
        <v/>
      </c>
    </row>
    <row r="219" ht="15" customHeight="1" s="40">
      <c r="A219" s="85" t="n">
        <v>215</v>
      </c>
      <c r="B219" s="87" t="n"/>
      <c r="C219" s="91">
        <f>IFERROR(MATCH(B219,{"يناير";"فبراير";"مارس";"أبريل";"مايو";"يونيو";"يوليو";"أغسطس";"سبتمبر";"أكتوبر";"نوفمبر";"ديسمبر"},0),"")</f>
        <v/>
      </c>
      <c r="D219" s="87" t="n"/>
      <c r="E219" s="87" t="n"/>
      <c r="F219" s="87" t="n"/>
      <c r="G219" s="89" t="n"/>
      <c r="H219" s="89" t="n"/>
      <c r="I219" s="92">
        <f>IF(OR(H219="",H219=0),"",G219/H219)</f>
        <v/>
      </c>
      <c r="J219" s="56">
        <f>IF(I219="","—",IF(I219&lt;=3,"🟢 صحي",IF(I219&lt;=5,"🟡 مرتفع","🔴 مخزون زائد")))</f>
        <v/>
      </c>
    </row>
    <row r="220" ht="15" customHeight="1" s="40">
      <c r="A220" s="85" t="n">
        <v>216</v>
      </c>
      <c r="B220" s="87" t="n"/>
      <c r="C220" s="91">
        <f>IFERROR(MATCH(B220,{"يناير";"فبراير";"مارس";"أبريل";"مايو";"يونيو";"يوليو";"أغسطس";"سبتمبر";"أكتوبر";"نوفمبر";"ديسمبر"},0),"")</f>
        <v/>
      </c>
      <c r="D220" s="87" t="n"/>
      <c r="E220" s="87" t="n"/>
      <c r="F220" s="87" t="n"/>
      <c r="G220" s="89" t="n"/>
      <c r="H220" s="89" t="n"/>
      <c r="I220" s="92">
        <f>IF(OR(H220="",H220=0),"",G220/H220)</f>
        <v/>
      </c>
      <c r="J220" s="56">
        <f>IF(I220="","—",IF(I220&lt;=3,"🟢 صحي",IF(I220&lt;=5,"🟡 مرتفع","🔴 مخزون زائد")))</f>
        <v/>
      </c>
    </row>
    <row r="221" ht="15" customHeight="1" s="40">
      <c r="A221" s="85" t="n">
        <v>217</v>
      </c>
      <c r="B221" s="87" t="n"/>
      <c r="C221" s="91">
        <f>IFERROR(MATCH(B221,{"يناير";"فبراير";"مارس";"أبريل";"مايو";"يونيو";"يوليو";"أغسطس";"سبتمبر";"أكتوبر";"نوفمبر";"ديسمبر"},0),"")</f>
        <v/>
      </c>
      <c r="D221" s="87" t="n"/>
      <c r="E221" s="87" t="n"/>
      <c r="F221" s="87" t="n"/>
      <c r="G221" s="89" t="n"/>
      <c r="H221" s="89" t="n"/>
      <c r="I221" s="92">
        <f>IF(OR(H221="",H221=0),"",G221/H221)</f>
        <v/>
      </c>
      <c r="J221" s="56">
        <f>IF(I221="","—",IF(I221&lt;=3,"🟢 صحي",IF(I221&lt;=5,"🟡 مرتفع","🔴 مخزون زائد")))</f>
        <v/>
      </c>
    </row>
    <row r="222" ht="15" customHeight="1" s="40">
      <c r="A222" s="85" t="n">
        <v>218</v>
      </c>
      <c r="B222" s="87" t="n"/>
      <c r="C222" s="91">
        <f>IFERROR(MATCH(B222,{"يناير";"فبراير";"مارس";"أبريل";"مايو";"يونيو";"يوليو";"أغسطس";"سبتمبر";"أكتوبر";"نوفمبر";"ديسمبر"},0),"")</f>
        <v/>
      </c>
      <c r="D222" s="87" t="n"/>
      <c r="E222" s="87" t="n"/>
      <c r="F222" s="87" t="n"/>
      <c r="G222" s="89" t="n"/>
      <c r="H222" s="89" t="n"/>
      <c r="I222" s="92">
        <f>IF(OR(H222="",H222=0),"",G222/H222)</f>
        <v/>
      </c>
      <c r="J222" s="56">
        <f>IF(I222="","—",IF(I222&lt;=3,"🟢 صحي",IF(I222&lt;=5,"🟡 مرتفع","🔴 مخزون زائد")))</f>
        <v/>
      </c>
    </row>
    <row r="223" ht="15" customHeight="1" s="40">
      <c r="A223" s="85" t="n">
        <v>219</v>
      </c>
      <c r="B223" s="87" t="n"/>
      <c r="C223" s="91">
        <f>IFERROR(MATCH(B223,{"يناير";"فبراير";"مارس";"أبريل";"مايو";"يونيو";"يوليو";"أغسطس";"سبتمبر";"أكتوبر";"نوفمبر";"ديسمبر"},0),"")</f>
        <v/>
      </c>
      <c r="D223" s="87" t="n"/>
      <c r="E223" s="87" t="n"/>
      <c r="F223" s="87" t="n"/>
      <c r="G223" s="89" t="n"/>
      <c r="H223" s="89" t="n"/>
      <c r="I223" s="92">
        <f>IF(OR(H223="",H223=0),"",G223/H223)</f>
        <v/>
      </c>
      <c r="J223" s="56">
        <f>IF(I223="","—",IF(I223&lt;=3,"🟢 صحي",IF(I223&lt;=5,"🟡 مرتفع","🔴 مخزون زائد")))</f>
        <v/>
      </c>
    </row>
    <row r="224" ht="15" customHeight="1" s="40">
      <c r="A224" s="85" t="n">
        <v>220</v>
      </c>
      <c r="B224" s="87" t="n"/>
      <c r="C224" s="91">
        <f>IFERROR(MATCH(B224,{"يناير";"فبراير";"مارس";"أبريل";"مايو";"يونيو";"يوليو";"أغسطس";"سبتمبر";"أكتوبر";"نوفمبر";"ديسمبر"},0),"")</f>
        <v/>
      </c>
      <c r="D224" s="87" t="n"/>
      <c r="E224" s="87" t="n"/>
      <c r="F224" s="87" t="n"/>
      <c r="G224" s="89" t="n"/>
      <c r="H224" s="89" t="n"/>
      <c r="I224" s="92">
        <f>IF(OR(H224="",H224=0),"",G224/H224)</f>
        <v/>
      </c>
      <c r="J224" s="56">
        <f>IF(I224="","—",IF(I224&lt;=3,"🟢 صحي",IF(I224&lt;=5,"🟡 مرتفع","🔴 مخزون زائد")))</f>
        <v/>
      </c>
    </row>
    <row r="225" ht="15" customHeight="1" s="40">
      <c r="A225" s="85" t="n">
        <v>221</v>
      </c>
      <c r="B225" s="87" t="n"/>
      <c r="C225" s="91">
        <f>IFERROR(MATCH(B225,{"يناير";"فبراير";"مارس";"أبريل";"مايو";"يونيو";"يوليو";"أغسطس";"سبتمبر";"أكتوبر";"نوفمبر";"ديسمبر"},0),"")</f>
        <v/>
      </c>
      <c r="D225" s="87" t="n"/>
      <c r="E225" s="87" t="n"/>
      <c r="F225" s="87" t="n"/>
      <c r="G225" s="89" t="n"/>
      <c r="H225" s="89" t="n"/>
      <c r="I225" s="92">
        <f>IF(OR(H225="",H225=0),"",G225/H225)</f>
        <v/>
      </c>
      <c r="J225" s="56">
        <f>IF(I225="","—",IF(I225&lt;=3,"🟢 صحي",IF(I225&lt;=5,"🟡 مرتفع","🔴 مخزون زائد")))</f>
        <v/>
      </c>
    </row>
    <row r="226" ht="15" customHeight="1" s="40">
      <c r="A226" s="85" t="n">
        <v>222</v>
      </c>
      <c r="B226" s="87" t="n"/>
      <c r="C226" s="91">
        <f>IFERROR(MATCH(B226,{"يناير";"فبراير";"مارس";"أبريل";"مايو";"يونيو";"يوليو";"أغسطس";"سبتمبر";"أكتوبر";"نوفمبر";"ديسمبر"},0),"")</f>
        <v/>
      </c>
      <c r="D226" s="87" t="n"/>
      <c r="E226" s="87" t="n"/>
      <c r="F226" s="87" t="n"/>
      <c r="G226" s="89" t="n"/>
      <c r="H226" s="89" t="n"/>
      <c r="I226" s="92">
        <f>IF(OR(H226="",H226=0),"",G226/H226)</f>
        <v/>
      </c>
      <c r="J226" s="56">
        <f>IF(I226="","—",IF(I226&lt;=3,"🟢 صحي",IF(I226&lt;=5,"🟡 مرتفع","🔴 مخزون زائد")))</f>
        <v/>
      </c>
    </row>
    <row r="227" ht="15" customHeight="1" s="40">
      <c r="A227" s="85" t="n">
        <v>223</v>
      </c>
      <c r="B227" s="87" t="n"/>
      <c r="C227" s="91">
        <f>IFERROR(MATCH(B227,{"يناير";"فبراير";"مارس";"أبريل";"مايو";"يونيو";"يوليو";"أغسطس";"سبتمبر";"أكتوبر";"نوفمبر";"ديسمبر"},0),"")</f>
        <v/>
      </c>
      <c r="D227" s="87" t="n"/>
      <c r="E227" s="87" t="n"/>
      <c r="F227" s="87" t="n"/>
      <c r="G227" s="89" t="n"/>
      <c r="H227" s="89" t="n"/>
      <c r="I227" s="92">
        <f>IF(OR(H227="",H227=0),"",G227/H227)</f>
        <v/>
      </c>
      <c r="J227" s="56">
        <f>IF(I227="","—",IF(I227&lt;=3,"🟢 صحي",IF(I227&lt;=5,"🟡 مرتفع","🔴 مخزون زائد")))</f>
        <v/>
      </c>
    </row>
    <row r="228" ht="15" customHeight="1" s="40">
      <c r="A228" s="85" t="n">
        <v>224</v>
      </c>
      <c r="B228" s="87" t="n"/>
      <c r="C228" s="91">
        <f>IFERROR(MATCH(B228,{"يناير";"فبراير";"مارس";"أبريل";"مايو";"يونيو";"يوليو";"أغسطس";"سبتمبر";"أكتوبر";"نوفمبر";"ديسمبر"},0),"")</f>
        <v/>
      </c>
      <c r="D228" s="87" t="n"/>
      <c r="E228" s="87" t="n"/>
      <c r="F228" s="87" t="n"/>
      <c r="G228" s="89" t="n"/>
      <c r="H228" s="89" t="n"/>
      <c r="I228" s="92">
        <f>IF(OR(H228="",H228=0),"",G228/H228)</f>
        <v/>
      </c>
      <c r="J228" s="56">
        <f>IF(I228="","—",IF(I228&lt;=3,"🟢 صحي",IF(I228&lt;=5,"🟡 مرتفع","🔴 مخزون زائد")))</f>
        <v/>
      </c>
    </row>
    <row r="229" ht="15" customHeight="1" s="40">
      <c r="A229" s="85" t="n">
        <v>225</v>
      </c>
      <c r="B229" s="87" t="n"/>
      <c r="C229" s="91">
        <f>IFERROR(MATCH(B229,{"يناير";"فبراير";"مارس";"أبريل";"مايو";"يونيو";"يوليو";"أغسطس";"سبتمبر";"أكتوبر";"نوفمبر";"ديسمبر"},0),"")</f>
        <v/>
      </c>
      <c r="D229" s="87" t="n"/>
      <c r="E229" s="87" t="n"/>
      <c r="F229" s="87" t="n"/>
      <c r="G229" s="89" t="n"/>
      <c r="H229" s="89" t="n"/>
      <c r="I229" s="92">
        <f>IF(OR(H229="",H229=0),"",G229/H229)</f>
        <v/>
      </c>
      <c r="J229" s="56">
        <f>IF(I229="","—",IF(I229&lt;=3,"🟢 صحي",IF(I229&lt;=5,"🟡 مرتفع","🔴 مخزون زائد")))</f>
        <v/>
      </c>
    </row>
    <row r="230" ht="15" customHeight="1" s="40">
      <c r="A230" s="85" t="n">
        <v>226</v>
      </c>
      <c r="B230" s="87" t="n"/>
      <c r="C230" s="91">
        <f>IFERROR(MATCH(B230,{"يناير";"فبراير";"مارس";"أبريل";"مايو";"يونيو";"يوليو";"أغسطس";"سبتمبر";"أكتوبر";"نوفمبر";"ديسمبر"},0),"")</f>
        <v/>
      </c>
      <c r="D230" s="87" t="n"/>
      <c r="E230" s="87" t="n"/>
      <c r="F230" s="87" t="n"/>
      <c r="G230" s="89" t="n"/>
      <c r="H230" s="89" t="n"/>
      <c r="I230" s="92">
        <f>IF(OR(H230="",H230=0),"",G230/H230)</f>
        <v/>
      </c>
      <c r="J230" s="56">
        <f>IF(I230="","—",IF(I230&lt;=3,"🟢 صحي",IF(I230&lt;=5,"🟡 مرتفع","🔴 مخزون زائد")))</f>
        <v/>
      </c>
    </row>
    <row r="231" ht="15" customHeight="1" s="40">
      <c r="A231" s="85" t="n">
        <v>227</v>
      </c>
      <c r="B231" s="87" t="n"/>
      <c r="C231" s="91">
        <f>IFERROR(MATCH(B231,{"يناير";"فبراير";"مارس";"أبريل";"مايو";"يونيو";"يوليو";"أغسطس";"سبتمبر";"أكتوبر";"نوفمبر";"ديسمبر"},0),"")</f>
        <v/>
      </c>
      <c r="D231" s="87" t="n"/>
      <c r="E231" s="87" t="n"/>
      <c r="F231" s="87" t="n"/>
      <c r="G231" s="89" t="n"/>
      <c r="H231" s="89" t="n"/>
      <c r="I231" s="92">
        <f>IF(OR(H231="",H231=0),"",G231/H231)</f>
        <v/>
      </c>
      <c r="J231" s="56">
        <f>IF(I231="","—",IF(I231&lt;=3,"🟢 صحي",IF(I231&lt;=5,"🟡 مرتفع","🔴 مخزون زائد")))</f>
        <v/>
      </c>
    </row>
    <row r="232" ht="15" customHeight="1" s="40">
      <c r="A232" s="85" t="n">
        <v>228</v>
      </c>
      <c r="B232" s="87" t="n"/>
      <c r="C232" s="91">
        <f>IFERROR(MATCH(B232,{"يناير";"فبراير";"مارس";"أبريل";"مايو";"يونيو";"يوليو";"أغسطس";"سبتمبر";"أكتوبر";"نوفمبر";"ديسمبر"},0),"")</f>
        <v/>
      </c>
      <c r="D232" s="87" t="n"/>
      <c r="E232" s="87" t="n"/>
      <c r="F232" s="87" t="n"/>
      <c r="G232" s="89" t="n"/>
      <c r="H232" s="89" t="n"/>
      <c r="I232" s="92">
        <f>IF(OR(H232="",H232=0),"",G232/H232)</f>
        <v/>
      </c>
      <c r="J232" s="56">
        <f>IF(I232="","—",IF(I232&lt;=3,"🟢 صحي",IF(I232&lt;=5,"🟡 مرتفع","🔴 مخزون زائد")))</f>
        <v/>
      </c>
    </row>
    <row r="233" ht="15" customHeight="1" s="40">
      <c r="A233" s="85" t="n">
        <v>229</v>
      </c>
      <c r="B233" s="87" t="n"/>
      <c r="C233" s="91">
        <f>IFERROR(MATCH(B233,{"يناير";"فبراير";"مارس";"أبريل";"مايو";"يونيو";"يوليو";"أغسطس";"سبتمبر";"أكتوبر";"نوفمبر";"ديسمبر"},0),"")</f>
        <v/>
      </c>
      <c r="D233" s="87" t="n"/>
      <c r="E233" s="87" t="n"/>
      <c r="F233" s="87" t="n"/>
      <c r="G233" s="89" t="n"/>
      <c r="H233" s="89" t="n"/>
      <c r="I233" s="92">
        <f>IF(OR(H233="",H233=0),"",G233/H233)</f>
        <v/>
      </c>
      <c r="J233" s="56">
        <f>IF(I233="","—",IF(I233&lt;=3,"🟢 صحي",IF(I233&lt;=5,"🟡 مرتفع","🔴 مخزون زائد")))</f>
        <v/>
      </c>
    </row>
    <row r="234" ht="15" customHeight="1" s="40">
      <c r="A234" s="85" t="n">
        <v>230</v>
      </c>
      <c r="B234" s="87" t="n"/>
      <c r="C234" s="91">
        <f>IFERROR(MATCH(B234,{"يناير";"فبراير";"مارس";"أبريل";"مايو";"يونيو";"يوليو";"أغسطس";"سبتمبر";"أكتوبر";"نوفمبر";"ديسمبر"},0),"")</f>
        <v/>
      </c>
      <c r="D234" s="87" t="n"/>
      <c r="E234" s="87" t="n"/>
      <c r="F234" s="87" t="n"/>
      <c r="G234" s="89" t="n"/>
      <c r="H234" s="89" t="n"/>
      <c r="I234" s="92">
        <f>IF(OR(H234="",H234=0),"",G234/H234)</f>
        <v/>
      </c>
      <c r="J234" s="56">
        <f>IF(I234="","—",IF(I234&lt;=3,"🟢 صحي",IF(I234&lt;=5,"🟡 مرتفع","🔴 مخزون زائد")))</f>
        <v/>
      </c>
    </row>
    <row r="235" ht="15" customHeight="1" s="40">
      <c r="A235" s="85" t="n">
        <v>231</v>
      </c>
      <c r="B235" s="87" t="n"/>
      <c r="C235" s="91">
        <f>IFERROR(MATCH(B235,{"يناير";"فبراير";"مارس";"أبريل";"مايو";"يونيو";"يوليو";"أغسطس";"سبتمبر";"أكتوبر";"نوفمبر";"ديسمبر"},0),"")</f>
        <v/>
      </c>
      <c r="D235" s="87" t="n"/>
      <c r="E235" s="87" t="n"/>
      <c r="F235" s="87" t="n"/>
      <c r="G235" s="89" t="n"/>
      <c r="H235" s="89" t="n"/>
      <c r="I235" s="92">
        <f>IF(OR(H235="",H235=0),"",G235/H235)</f>
        <v/>
      </c>
      <c r="J235" s="56">
        <f>IF(I235="","—",IF(I235&lt;=3,"🟢 صحي",IF(I235&lt;=5,"🟡 مرتفع","🔴 مخزون زائد")))</f>
        <v/>
      </c>
    </row>
    <row r="236" ht="15" customHeight="1" s="40">
      <c r="A236" s="85" t="n">
        <v>232</v>
      </c>
      <c r="B236" s="87" t="n"/>
      <c r="C236" s="91">
        <f>IFERROR(MATCH(B236,{"يناير";"فبراير";"مارس";"أبريل";"مايو";"يونيو";"يوليو";"أغسطس";"سبتمبر";"أكتوبر";"نوفمبر";"ديسمبر"},0),"")</f>
        <v/>
      </c>
      <c r="D236" s="87" t="n"/>
      <c r="E236" s="87" t="n"/>
      <c r="F236" s="87" t="n"/>
      <c r="G236" s="89" t="n"/>
      <c r="H236" s="89" t="n"/>
      <c r="I236" s="92">
        <f>IF(OR(H236="",H236=0),"",G236/H236)</f>
        <v/>
      </c>
      <c r="J236" s="56">
        <f>IF(I236="","—",IF(I236&lt;=3,"🟢 صحي",IF(I236&lt;=5,"🟡 مرتفع","🔴 مخزون زائد")))</f>
        <v/>
      </c>
    </row>
    <row r="237" ht="15" customHeight="1" s="40">
      <c r="A237" s="85" t="n">
        <v>233</v>
      </c>
      <c r="B237" s="87" t="n"/>
      <c r="C237" s="91">
        <f>IFERROR(MATCH(B237,{"يناير";"فبراير";"مارس";"أبريل";"مايو";"يونيو";"يوليو";"أغسطس";"سبتمبر";"أكتوبر";"نوفمبر";"ديسمبر"},0),"")</f>
        <v/>
      </c>
      <c r="D237" s="87" t="n"/>
      <c r="E237" s="87" t="n"/>
      <c r="F237" s="87" t="n"/>
      <c r="G237" s="89" t="n"/>
      <c r="H237" s="89" t="n"/>
      <c r="I237" s="92">
        <f>IF(OR(H237="",H237=0),"",G237/H237)</f>
        <v/>
      </c>
      <c r="J237" s="56">
        <f>IF(I237="","—",IF(I237&lt;=3,"🟢 صحي",IF(I237&lt;=5,"🟡 مرتفع","🔴 مخزون زائد")))</f>
        <v/>
      </c>
    </row>
    <row r="238" ht="15" customHeight="1" s="40">
      <c r="A238" s="85" t="n">
        <v>234</v>
      </c>
      <c r="B238" s="87" t="n"/>
      <c r="C238" s="91">
        <f>IFERROR(MATCH(B238,{"يناير";"فبراير";"مارس";"أبريل";"مايو";"يونيو";"يوليو";"أغسطس";"سبتمبر";"أكتوبر";"نوفمبر";"ديسمبر"},0),"")</f>
        <v/>
      </c>
      <c r="D238" s="87" t="n"/>
      <c r="E238" s="87" t="n"/>
      <c r="F238" s="87" t="n"/>
      <c r="G238" s="89" t="n"/>
      <c r="H238" s="89" t="n"/>
      <c r="I238" s="92">
        <f>IF(OR(H238="",H238=0),"",G238/H238)</f>
        <v/>
      </c>
      <c r="J238" s="56">
        <f>IF(I238="","—",IF(I238&lt;=3,"🟢 صحي",IF(I238&lt;=5,"🟡 مرتفع","🔴 مخزون زائد")))</f>
        <v/>
      </c>
    </row>
    <row r="239" ht="15" customHeight="1" s="40">
      <c r="A239" s="85" t="n">
        <v>235</v>
      </c>
      <c r="B239" s="87" t="n"/>
      <c r="C239" s="91">
        <f>IFERROR(MATCH(B239,{"يناير";"فبراير";"مارس";"أبريل";"مايو";"يونيو";"يوليو";"أغسطس";"سبتمبر";"أكتوبر";"نوفمبر";"ديسمبر"},0),"")</f>
        <v/>
      </c>
      <c r="D239" s="87" t="n"/>
      <c r="E239" s="87" t="n"/>
      <c r="F239" s="87" t="n"/>
      <c r="G239" s="89" t="n"/>
      <c r="H239" s="89" t="n"/>
      <c r="I239" s="92">
        <f>IF(OR(H239="",H239=0),"",G239/H239)</f>
        <v/>
      </c>
      <c r="J239" s="56">
        <f>IF(I239="","—",IF(I239&lt;=3,"🟢 صحي",IF(I239&lt;=5,"🟡 مرتفع","🔴 مخزون زائد")))</f>
        <v/>
      </c>
    </row>
    <row r="240" ht="15" customHeight="1" s="40">
      <c r="A240" s="85" t="n">
        <v>236</v>
      </c>
      <c r="B240" s="87" t="n"/>
      <c r="C240" s="91">
        <f>IFERROR(MATCH(B240,{"يناير";"فبراير";"مارس";"أبريل";"مايو";"يونيو";"يوليو";"أغسطس";"سبتمبر";"أكتوبر";"نوفمبر";"ديسمبر"},0),"")</f>
        <v/>
      </c>
      <c r="D240" s="87" t="n"/>
      <c r="E240" s="87" t="n"/>
      <c r="F240" s="87" t="n"/>
      <c r="G240" s="89" t="n"/>
      <c r="H240" s="89" t="n"/>
      <c r="I240" s="92">
        <f>IF(OR(H240="",H240=0),"",G240/H240)</f>
        <v/>
      </c>
      <c r="J240" s="56">
        <f>IF(I240="","—",IF(I240&lt;=3,"🟢 صحي",IF(I240&lt;=5,"🟡 مرتفع","🔴 مخزون زائد")))</f>
        <v/>
      </c>
    </row>
    <row r="241" ht="15" customHeight="1" s="40">
      <c r="A241" s="85" t="n">
        <v>237</v>
      </c>
      <c r="B241" s="87" t="n"/>
      <c r="C241" s="91">
        <f>IFERROR(MATCH(B241,{"يناير";"فبراير";"مارس";"أبريل";"مايو";"يونيو";"يوليو";"أغسطس";"سبتمبر";"أكتوبر";"نوفمبر";"ديسمبر"},0),"")</f>
        <v/>
      </c>
      <c r="D241" s="87" t="n"/>
      <c r="E241" s="87" t="n"/>
      <c r="F241" s="87" t="n"/>
      <c r="G241" s="89" t="n"/>
      <c r="H241" s="89" t="n"/>
      <c r="I241" s="92">
        <f>IF(OR(H241="",H241=0),"",G241/H241)</f>
        <v/>
      </c>
      <c r="J241" s="56">
        <f>IF(I241="","—",IF(I241&lt;=3,"🟢 صحي",IF(I241&lt;=5,"🟡 مرتفع","🔴 مخزون زائد")))</f>
        <v/>
      </c>
    </row>
    <row r="242" ht="15" customHeight="1" s="40">
      <c r="A242" s="85" t="n">
        <v>238</v>
      </c>
      <c r="B242" s="87" t="n"/>
      <c r="C242" s="91">
        <f>IFERROR(MATCH(B242,{"يناير";"فبراير";"مارس";"أبريل";"مايو";"يونيو";"يوليو";"أغسطس";"سبتمبر";"أكتوبر";"نوفمبر";"ديسمبر"},0),"")</f>
        <v/>
      </c>
      <c r="D242" s="87" t="n"/>
      <c r="E242" s="87" t="n"/>
      <c r="F242" s="87" t="n"/>
      <c r="G242" s="89" t="n"/>
      <c r="H242" s="89" t="n"/>
      <c r="I242" s="92">
        <f>IF(OR(H242="",H242=0),"",G242/H242)</f>
        <v/>
      </c>
      <c r="J242" s="56">
        <f>IF(I242="","—",IF(I242&lt;=3,"🟢 صحي",IF(I242&lt;=5,"🟡 مرتفع","🔴 مخزون زائد")))</f>
        <v/>
      </c>
    </row>
    <row r="243" ht="15" customHeight="1" s="40">
      <c r="A243" s="85" t="n">
        <v>239</v>
      </c>
      <c r="B243" s="87" t="n"/>
      <c r="C243" s="91">
        <f>IFERROR(MATCH(B243,{"يناير";"فبراير";"مارس";"أبريل";"مايو";"يونيو";"يوليو";"أغسطس";"سبتمبر";"أكتوبر";"نوفمبر";"ديسمبر"},0),"")</f>
        <v/>
      </c>
      <c r="D243" s="87" t="n"/>
      <c r="E243" s="87" t="n"/>
      <c r="F243" s="87" t="n"/>
      <c r="G243" s="89" t="n"/>
      <c r="H243" s="89" t="n"/>
      <c r="I243" s="92">
        <f>IF(OR(H243="",H243=0),"",G243/H243)</f>
        <v/>
      </c>
      <c r="J243" s="56">
        <f>IF(I243="","—",IF(I243&lt;=3,"🟢 صحي",IF(I243&lt;=5,"🟡 مرتفع","🔴 مخزون زائد")))</f>
        <v/>
      </c>
    </row>
    <row r="244" ht="15" customHeight="1" s="40">
      <c r="A244" s="85" t="n">
        <v>240</v>
      </c>
      <c r="B244" s="87" t="n"/>
      <c r="C244" s="91">
        <f>IFERROR(MATCH(B244,{"يناير";"فبراير";"مارس";"أبريل";"مايو";"يونيو";"يوليو";"أغسطس";"سبتمبر";"أكتوبر";"نوفمبر";"ديسمبر"},0),"")</f>
        <v/>
      </c>
      <c r="D244" s="87" t="n"/>
      <c r="E244" s="87" t="n"/>
      <c r="F244" s="87" t="n"/>
      <c r="G244" s="89" t="n"/>
      <c r="H244" s="89" t="n"/>
      <c r="I244" s="92">
        <f>IF(OR(H244="",H244=0),"",G244/H244)</f>
        <v/>
      </c>
      <c r="J244" s="56">
        <f>IF(I244="","—",IF(I244&lt;=3,"🟢 صحي",IF(I244&lt;=5,"🟡 مرتفع","🔴 مخزون زائد")))</f>
        <v/>
      </c>
    </row>
    <row r="245" ht="15" customHeight="1" s="40">
      <c r="A245" s="85" t="n">
        <v>241</v>
      </c>
      <c r="B245" s="87" t="n"/>
      <c r="C245" s="91">
        <f>IFERROR(MATCH(B245,{"يناير";"فبراير";"مارس";"أبريل";"مايو";"يونيو";"يوليو";"أغسطس";"سبتمبر";"أكتوبر";"نوفمبر";"ديسمبر"},0),"")</f>
        <v/>
      </c>
      <c r="D245" s="87" t="n"/>
      <c r="E245" s="87" t="n"/>
      <c r="F245" s="87" t="n"/>
      <c r="G245" s="89" t="n"/>
      <c r="H245" s="89" t="n"/>
      <c r="I245" s="92">
        <f>IF(OR(H245="",H245=0),"",G245/H245)</f>
        <v/>
      </c>
      <c r="J245" s="56">
        <f>IF(I245="","—",IF(I245&lt;=3,"🟢 صحي",IF(I245&lt;=5,"🟡 مرتفع","🔴 مخزون زائد")))</f>
        <v/>
      </c>
    </row>
    <row r="246" ht="15" customHeight="1" s="40">
      <c r="A246" s="85" t="n">
        <v>242</v>
      </c>
      <c r="B246" s="87" t="n"/>
      <c r="C246" s="91">
        <f>IFERROR(MATCH(B246,{"يناير";"فبراير";"مارس";"أبريل";"مايو";"يونيو";"يوليو";"أغسطس";"سبتمبر";"أكتوبر";"نوفمبر";"ديسمبر"},0),"")</f>
        <v/>
      </c>
      <c r="D246" s="87" t="n"/>
      <c r="E246" s="87" t="n"/>
      <c r="F246" s="87" t="n"/>
      <c r="G246" s="89" t="n"/>
      <c r="H246" s="89" t="n"/>
      <c r="I246" s="92">
        <f>IF(OR(H246="",H246=0),"",G246/H246)</f>
        <v/>
      </c>
      <c r="J246" s="56">
        <f>IF(I246="","—",IF(I246&lt;=3,"🟢 صحي",IF(I246&lt;=5,"🟡 مرتفع","🔴 مخزون زائد")))</f>
        <v/>
      </c>
    </row>
    <row r="247" ht="15" customHeight="1" s="40">
      <c r="A247" s="85" t="n">
        <v>243</v>
      </c>
      <c r="B247" s="87" t="n"/>
      <c r="C247" s="91">
        <f>IFERROR(MATCH(B247,{"يناير";"فبراير";"مارس";"أبريل";"مايو";"يونيو";"يوليو";"أغسطس";"سبتمبر";"أكتوبر";"نوفمبر";"ديسمبر"},0),"")</f>
        <v/>
      </c>
      <c r="D247" s="87" t="n"/>
      <c r="E247" s="87" t="n"/>
      <c r="F247" s="87" t="n"/>
      <c r="G247" s="89" t="n"/>
      <c r="H247" s="89" t="n"/>
      <c r="I247" s="92">
        <f>IF(OR(H247="",H247=0),"",G247/H247)</f>
        <v/>
      </c>
      <c r="J247" s="56">
        <f>IF(I247="","—",IF(I247&lt;=3,"🟢 صحي",IF(I247&lt;=5,"🟡 مرتفع","🔴 مخزون زائد")))</f>
        <v/>
      </c>
    </row>
    <row r="248" ht="15" customHeight="1" s="40">
      <c r="A248" s="85" t="n">
        <v>244</v>
      </c>
      <c r="B248" s="87" t="n"/>
      <c r="C248" s="91">
        <f>IFERROR(MATCH(B248,{"يناير";"فبراير";"مارس";"أبريل";"مايو";"يونيو";"يوليو";"أغسطس";"سبتمبر";"أكتوبر";"نوفمبر";"ديسمبر"},0),"")</f>
        <v/>
      </c>
      <c r="D248" s="87" t="n"/>
      <c r="E248" s="87" t="n"/>
      <c r="F248" s="87" t="n"/>
      <c r="G248" s="89" t="n"/>
      <c r="H248" s="89" t="n"/>
      <c r="I248" s="92">
        <f>IF(OR(H248="",H248=0),"",G248/H248)</f>
        <v/>
      </c>
      <c r="J248" s="56">
        <f>IF(I248="","—",IF(I248&lt;=3,"🟢 صحي",IF(I248&lt;=5,"🟡 مرتفع","🔴 مخزون زائد")))</f>
        <v/>
      </c>
    </row>
    <row r="249" ht="15" customHeight="1" s="40">
      <c r="A249" s="85" t="n">
        <v>245</v>
      </c>
      <c r="B249" s="87" t="n"/>
      <c r="C249" s="91">
        <f>IFERROR(MATCH(B249,{"يناير";"فبراير";"مارس";"أبريل";"مايو";"يونيو";"يوليو";"أغسطس";"سبتمبر";"أكتوبر";"نوفمبر";"ديسمبر"},0),"")</f>
        <v/>
      </c>
      <c r="D249" s="87" t="n"/>
      <c r="E249" s="87" t="n"/>
      <c r="F249" s="87" t="n"/>
      <c r="G249" s="89" t="n"/>
      <c r="H249" s="89" t="n"/>
      <c r="I249" s="92">
        <f>IF(OR(H249="",H249=0),"",G249/H249)</f>
        <v/>
      </c>
      <c r="J249" s="56">
        <f>IF(I249="","—",IF(I249&lt;=3,"🟢 صحي",IF(I249&lt;=5,"🟡 مرتفع","🔴 مخزون زائد")))</f>
        <v/>
      </c>
    </row>
    <row r="250" ht="15" customHeight="1" s="40">
      <c r="A250" s="85" t="n">
        <v>246</v>
      </c>
      <c r="B250" s="87" t="n"/>
      <c r="C250" s="91">
        <f>IFERROR(MATCH(B250,{"يناير";"فبراير";"مارس";"أبريل";"مايو";"يونيو";"يوليو";"أغسطس";"سبتمبر";"أكتوبر";"نوفمبر";"ديسمبر"},0),"")</f>
        <v/>
      </c>
      <c r="D250" s="87" t="n"/>
      <c r="E250" s="87" t="n"/>
      <c r="F250" s="87" t="n"/>
      <c r="G250" s="89" t="n"/>
      <c r="H250" s="89" t="n"/>
      <c r="I250" s="92">
        <f>IF(OR(H250="",H250=0),"",G250/H250)</f>
        <v/>
      </c>
      <c r="J250" s="56">
        <f>IF(I250="","—",IF(I250&lt;=3,"🟢 صحي",IF(I250&lt;=5,"🟡 مرتفع","🔴 مخزون زائد")))</f>
        <v/>
      </c>
    </row>
    <row r="251" ht="15" customHeight="1" s="40">
      <c r="A251" s="85" t="n">
        <v>247</v>
      </c>
      <c r="B251" s="87" t="n"/>
      <c r="C251" s="91">
        <f>IFERROR(MATCH(B251,{"يناير";"فبراير";"مارس";"أبريل";"مايو";"يونيو";"يوليو";"أغسطس";"سبتمبر";"أكتوبر";"نوفمبر";"ديسمبر"},0),"")</f>
        <v/>
      </c>
      <c r="D251" s="87" t="n"/>
      <c r="E251" s="87" t="n"/>
      <c r="F251" s="87" t="n"/>
      <c r="G251" s="89" t="n"/>
      <c r="H251" s="89" t="n"/>
      <c r="I251" s="92">
        <f>IF(OR(H251="",H251=0),"",G251/H251)</f>
        <v/>
      </c>
      <c r="J251" s="56">
        <f>IF(I251="","—",IF(I251&lt;=3,"🟢 صحي",IF(I251&lt;=5,"🟡 مرتفع","🔴 مخزون زائد")))</f>
        <v/>
      </c>
    </row>
    <row r="252" ht="15" customHeight="1" s="40">
      <c r="A252" s="85" t="n">
        <v>248</v>
      </c>
      <c r="B252" s="87" t="n"/>
      <c r="C252" s="91">
        <f>IFERROR(MATCH(B252,{"يناير";"فبراير";"مارس";"أبريل";"مايو";"يونيو";"يوليو";"أغسطس";"سبتمبر";"أكتوبر";"نوفمبر";"ديسمبر"},0),"")</f>
        <v/>
      </c>
      <c r="D252" s="87" t="n"/>
      <c r="E252" s="87" t="n"/>
      <c r="F252" s="87" t="n"/>
      <c r="G252" s="89" t="n"/>
      <c r="H252" s="89" t="n"/>
      <c r="I252" s="92">
        <f>IF(OR(H252="",H252=0),"",G252/H252)</f>
        <v/>
      </c>
      <c r="J252" s="56">
        <f>IF(I252="","—",IF(I252&lt;=3,"🟢 صحي",IF(I252&lt;=5,"🟡 مرتفع","🔴 مخزون زائد")))</f>
        <v/>
      </c>
    </row>
    <row r="253" ht="15" customHeight="1" s="40">
      <c r="A253" s="85" t="n">
        <v>249</v>
      </c>
      <c r="B253" s="87" t="n"/>
      <c r="C253" s="91">
        <f>IFERROR(MATCH(B253,{"يناير";"فبراير";"مارس";"أبريل";"مايو";"يونيو";"يوليو";"أغسطس";"سبتمبر";"أكتوبر";"نوفمبر";"ديسمبر"},0),"")</f>
        <v/>
      </c>
      <c r="D253" s="87" t="n"/>
      <c r="E253" s="87" t="n"/>
      <c r="F253" s="87" t="n"/>
      <c r="G253" s="89" t="n"/>
      <c r="H253" s="89" t="n"/>
      <c r="I253" s="92">
        <f>IF(OR(H253="",H253=0),"",G253/H253)</f>
        <v/>
      </c>
      <c r="J253" s="56">
        <f>IF(I253="","—",IF(I253&lt;=3,"🟢 صحي",IF(I253&lt;=5,"🟡 مرتفع","🔴 مخزون زائد")))</f>
        <v/>
      </c>
    </row>
    <row r="254" ht="15" customHeight="1" s="40">
      <c r="A254" s="85" t="n">
        <v>250</v>
      </c>
      <c r="B254" s="87" t="n"/>
      <c r="C254" s="91">
        <f>IFERROR(MATCH(B254,{"يناير";"فبراير";"مارس";"أبريل";"مايو";"يونيو";"يوليو";"أغسطس";"سبتمبر";"أكتوبر";"نوفمبر";"ديسمبر"},0),"")</f>
        <v/>
      </c>
      <c r="D254" s="87" t="n"/>
      <c r="E254" s="87" t="n"/>
      <c r="F254" s="87" t="n"/>
      <c r="G254" s="89" t="n"/>
      <c r="H254" s="89" t="n"/>
      <c r="I254" s="92">
        <f>IF(OR(H254="",H254=0),"",G254/H254)</f>
        <v/>
      </c>
      <c r="J254" s="56">
        <f>IF(I254="","—",IF(I254&lt;=3,"🟢 صحي",IF(I254&lt;=5,"🟡 مرتفع","🔴 مخزون زائد")))</f>
        <v/>
      </c>
    </row>
    <row r="255" ht="15" customHeight="1" s="40">
      <c r="A255" s="85" t="n">
        <v>251</v>
      </c>
      <c r="B255" s="87" t="n"/>
      <c r="C255" s="91">
        <f>IFERROR(MATCH(B255,{"يناير";"فبراير";"مارس";"أبريل";"مايو";"يونيو";"يوليو";"أغسطس";"سبتمبر";"أكتوبر";"نوفمبر";"ديسمبر"},0),"")</f>
        <v/>
      </c>
      <c r="D255" s="87" t="n"/>
      <c r="E255" s="87" t="n"/>
      <c r="F255" s="87" t="n"/>
      <c r="G255" s="89" t="n"/>
      <c r="H255" s="89" t="n"/>
      <c r="I255" s="92">
        <f>IF(OR(H255="",H255=0),"",G255/H255)</f>
        <v/>
      </c>
      <c r="J255" s="56">
        <f>IF(I255="","—",IF(I255&lt;=3,"🟢 صحي",IF(I255&lt;=5,"🟡 مرتفع","🔴 مخزون زائد")))</f>
        <v/>
      </c>
    </row>
    <row r="256" ht="15" customHeight="1" s="40">
      <c r="A256" s="85" t="n">
        <v>252</v>
      </c>
      <c r="B256" s="87" t="n"/>
      <c r="C256" s="91">
        <f>IFERROR(MATCH(B256,{"يناير";"فبراير";"مارس";"أبريل";"مايو";"يونيو";"يوليو";"أغسطس";"سبتمبر";"أكتوبر";"نوفمبر";"ديسمبر"},0),"")</f>
        <v/>
      </c>
      <c r="D256" s="87" t="n"/>
      <c r="E256" s="87" t="n"/>
      <c r="F256" s="87" t="n"/>
      <c r="G256" s="89" t="n"/>
      <c r="H256" s="89" t="n"/>
      <c r="I256" s="92">
        <f>IF(OR(H256="",H256=0),"",G256/H256)</f>
        <v/>
      </c>
      <c r="J256" s="56">
        <f>IF(I256="","—",IF(I256&lt;=3,"🟢 صحي",IF(I256&lt;=5,"🟡 مرتفع","🔴 مخزون زائد")))</f>
        <v/>
      </c>
    </row>
    <row r="257" ht="15" customHeight="1" s="40">
      <c r="A257" s="85" t="n">
        <v>253</v>
      </c>
      <c r="B257" s="87" t="n"/>
      <c r="C257" s="91">
        <f>IFERROR(MATCH(B257,{"يناير";"فبراير";"مارس";"أبريل";"مايو";"يونيو";"يوليو";"أغسطس";"سبتمبر";"أكتوبر";"نوفمبر";"ديسمبر"},0),"")</f>
        <v/>
      </c>
      <c r="D257" s="87" t="n"/>
      <c r="E257" s="87" t="n"/>
      <c r="F257" s="87" t="n"/>
      <c r="G257" s="89" t="n"/>
      <c r="H257" s="89" t="n"/>
      <c r="I257" s="92">
        <f>IF(OR(H257="",H257=0),"",G257/H257)</f>
        <v/>
      </c>
      <c r="J257" s="56">
        <f>IF(I257="","—",IF(I257&lt;=3,"🟢 صحي",IF(I257&lt;=5,"🟡 مرتفع","🔴 مخزون زائد")))</f>
        <v/>
      </c>
    </row>
    <row r="258" ht="15" customHeight="1" s="40">
      <c r="A258" s="85" t="n">
        <v>254</v>
      </c>
      <c r="B258" s="87" t="n"/>
      <c r="C258" s="91">
        <f>IFERROR(MATCH(B258,{"يناير";"فبراير";"مارس";"أبريل";"مايو";"يونيو";"يوليو";"أغسطس";"سبتمبر";"أكتوبر";"نوفمبر";"ديسمبر"},0),"")</f>
        <v/>
      </c>
      <c r="D258" s="87" t="n"/>
      <c r="E258" s="87" t="n"/>
      <c r="F258" s="87" t="n"/>
      <c r="G258" s="89" t="n"/>
      <c r="H258" s="89" t="n"/>
      <c r="I258" s="92">
        <f>IF(OR(H258="",H258=0),"",G258/H258)</f>
        <v/>
      </c>
      <c r="J258" s="56">
        <f>IF(I258="","—",IF(I258&lt;=3,"🟢 صحي",IF(I258&lt;=5,"🟡 مرتفع","🔴 مخزون زائد")))</f>
        <v/>
      </c>
    </row>
    <row r="259" ht="15" customHeight="1" s="40">
      <c r="A259" s="85" t="n">
        <v>255</v>
      </c>
      <c r="B259" s="87" t="n"/>
      <c r="C259" s="91">
        <f>IFERROR(MATCH(B259,{"يناير";"فبراير";"مارس";"أبريل";"مايو";"يونيو";"يوليو";"أغسطس";"سبتمبر";"أكتوبر";"نوفمبر";"ديسمبر"},0),"")</f>
        <v/>
      </c>
      <c r="D259" s="87" t="n"/>
      <c r="E259" s="87" t="n"/>
      <c r="F259" s="87" t="n"/>
      <c r="G259" s="89" t="n"/>
      <c r="H259" s="89" t="n"/>
      <c r="I259" s="92">
        <f>IF(OR(H259="",H259=0),"",G259/H259)</f>
        <v/>
      </c>
      <c r="J259" s="56">
        <f>IF(I259="","—",IF(I259&lt;=3,"🟢 صحي",IF(I259&lt;=5,"🟡 مرتفع","🔴 مخزون زائد")))</f>
        <v/>
      </c>
    </row>
    <row r="260" ht="15" customHeight="1" s="40">
      <c r="A260" s="85" t="n">
        <v>256</v>
      </c>
      <c r="B260" s="87" t="n"/>
      <c r="C260" s="91">
        <f>IFERROR(MATCH(B260,{"يناير";"فبراير";"مارس";"أبريل";"مايو";"يونيو";"يوليو";"أغسطس";"سبتمبر";"أكتوبر";"نوفمبر";"ديسمبر"},0),"")</f>
        <v/>
      </c>
      <c r="D260" s="87" t="n"/>
      <c r="E260" s="87" t="n"/>
      <c r="F260" s="87" t="n"/>
      <c r="G260" s="89" t="n"/>
      <c r="H260" s="89" t="n"/>
      <c r="I260" s="92">
        <f>IF(OR(H260="",H260=0),"",G260/H260)</f>
        <v/>
      </c>
      <c r="J260" s="56">
        <f>IF(I260="","—",IF(I260&lt;=3,"🟢 صحي",IF(I260&lt;=5,"🟡 مرتفع","🔴 مخزون زائد")))</f>
        <v/>
      </c>
    </row>
    <row r="261" ht="15" customHeight="1" s="40">
      <c r="A261" s="85" t="n">
        <v>257</v>
      </c>
      <c r="B261" s="87" t="n"/>
      <c r="C261" s="91">
        <f>IFERROR(MATCH(B261,{"يناير";"فبراير";"مارس";"أبريل";"مايو";"يونيو";"يوليو";"أغسطس";"سبتمبر";"أكتوبر";"نوفمبر";"ديسمبر"},0),"")</f>
        <v/>
      </c>
      <c r="D261" s="87" t="n"/>
      <c r="E261" s="87" t="n"/>
      <c r="F261" s="87" t="n"/>
      <c r="G261" s="89" t="n"/>
      <c r="H261" s="89" t="n"/>
      <c r="I261" s="92">
        <f>IF(OR(H261="",H261=0),"",G261/H261)</f>
        <v/>
      </c>
      <c r="J261" s="56">
        <f>IF(I261="","—",IF(I261&lt;=3,"🟢 صحي",IF(I261&lt;=5,"🟡 مرتفع","🔴 مخزون زائد")))</f>
        <v/>
      </c>
    </row>
    <row r="262" ht="15" customHeight="1" s="40">
      <c r="A262" s="85" t="n">
        <v>258</v>
      </c>
      <c r="B262" s="87" t="n"/>
      <c r="C262" s="91">
        <f>IFERROR(MATCH(B262,{"يناير";"فبراير";"مارس";"أبريل";"مايو";"يونيو";"يوليو";"أغسطس";"سبتمبر";"أكتوبر";"نوفمبر";"ديسمبر"},0),"")</f>
        <v/>
      </c>
      <c r="D262" s="87" t="n"/>
      <c r="E262" s="87" t="n"/>
      <c r="F262" s="87" t="n"/>
      <c r="G262" s="89" t="n"/>
      <c r="H262" s="89" t="n"/>
      <c r="I262" s="92">
        <f>IF(OR(H262="",H262=0),"",G262/H262)</f>
        <v/>
      </c>
      <c r="J262" s="56">
        <f>IF(I262="","—",IF(I262&lt;=3,"🟢 صحي",IF(I262&lt;=5,"🟡 مرتفع","🔴 مخزون زائد")))</f>
        <v/>
      </c>
    </row>
    <row r="263" ht="15" customHeight="1" s="40">
      <c r="A263" s="85" t="n">
        <v>259</v>
      </c>
      <c r="B263" s="87" t="n"/>
      <c r="C263" s="91">
        <f>IFERROR(MATCH(B263,{"يناير";"فبراير";"مارس";"أبريل";"مايو";"يونيو";"يوليو";"أغسطس";"سبتمبر";"أكتوبر";"نوفمبر";"ديسمبر"},0),"")</f>
        <v/>
      </c>
      <c r="D263" s="87" t="n"/>
      <c r="E263" s="87" t="n"/>
      <c r="F263" s="87" t="n"/>
      <c r="G263" s="89" t="n"/>
      <c r="H263" s="89" t="n"/>
      <c r="I263" s="92">
        <f>IF(OR(H263="",H263=0),"",G263/H263)</f>
        <v/>
      </c>
      <c r="J263" s="56">
        <f>IF(I263="","—",IF(I263&lt;=3,"🟢 صحي",IF(I263&lt;=5,"🟡 مرتفع","🔴 مخزون زائد")))</f>
        <v/>
      </c>
    </row>
    <row r="264" ht="15" customHeight="1" s="40">
      <c r="A264" s="85" t="n">
        <v>260</v>
      </c>
      <c r="B264" s="87" t="n"/>
      <c r="C264" s="91">
        <f>IFERROR(MATCH(B264,{"يناير";"فبراير";"مارس";"أبريل";"مايو";"يونيو";"يوليو";"أغسطس";"سبتمبر";"أكتوبر";"نوفمبر";"ديسمبر"},0),"")</f>
        <v/>
      </c>
      <c r="D264" s="87" t="n"/>
      <c r="E264" s="87" t="n"/>
      <c r="F264" s="87" t="n"/>
      <c r="G264" s="89" t="n"/>
      <c r="H264" s="89" t="n"/>
      <c r="I264" s="92">
        <f>IF(OR(H264="",H264=0),"",G264/H264)</f>
        <v/>
      </c>
      <c r="J264" s="56">
        <f>IF(I264="","—",IF(I264&lt;=3,"🟢 صحي",IF(I264&lt;=5,"🟡 مرتفع","🔴 مخزون زائد")))</f>
        <v/>
      </c>
    </row>
    <row r="265" ht="15" customHeight="1" s="40">
      <c r="A265" s="85" t="n">
        <v>261</v>
      </c>
      <c r="B265" s="87" t="n"/>
      <c r="C265" s="91">
        <f>IFERROR(MATCH(B265,{"يناير";"فبراير";"مارس";"أبريل";"مايو";"يونيو";"يوليو";"أغسطس";"سبتمبر";"أكتوبر";"نوفمبر";"ديسمبر"},0),"")</f>
        <v/>
      </c>
      <c r="D265" s="87" t="n"/>
      <c r="E265" s="87" t="n"/>
      <c r="F265" s="87" t="n"/>
      <c r="G265" s="89" t="n"/>
      <c r="H265" s="89" t="n"/>
      <c r="I265" s="92">
        <f>IF(OR(H265="",H265=0),"",G265/H265)</f>
        <v/>
      </c>
      <c r="J265" s="56">
        <f>IF(I265="","—",IF(I265&lt;=3,"🟢 صحي",IF(I265&lt;=5,"🟡 مرتفع","🔴 مخزون زائد")))</f>
        <v/>
      </c>
    </row>
    <row r="266" ht="15" customHeight="1" s="40">
      <c r="A266" s="85" t="n">
        <v>262</v>
      </c>
      <c r="B266" s="87" t="n"/>
      <c r="C266" s="91">
        <f>IFERROR(MATCH(B266,{"يناير";"فبراير";"مارس";"أبريل";"مايو";"يونيو";"يوليو";"أغسطس";"سبتمبر";"أكتوبر";"نوفمبر";"ديسمبر"},0),"")</f>
        <v/>
      </c>
      <c r="D266" s="87" t="n"/>
      <c r="E266" s="87" t="n"/>
      <c r="F266" s="87" t="n"/>
      <c r="G266" s="89" t="n"/>
      <c r="H266" s="89" t="n"/>
      <c r="I266" s="92">
        <f>IF(OR(H266="",H266=0),"",G266/H266)</f>
        <v/>
      </c>
      <c r="J266" s="56">
        <f>IF(I266="","—",IF(I266&lt;=3,"🟢 صحي",IF(I266&lt;=5,"🟡 مرتفع","🔴 مخزون زائد")))</f>
        <v/>
      </c>
    </row>
    <row r="267" ht="15" customHeight="1" s="40">
      <c r="A267" s="85" t="n">
        <v>263</v>
      </c>
      <c r="B267" s="87" t="n"/>
      <c r="C267" s="91">
        <f>IFERROR(MATCH(B267,{"يناير";"فبراير";"مارس";"أبريل";"مايو";"يونيو";"يوليو";"أغسطس";"سبتمبر";"أكتوبر";"نوفمبر";"ديسمبر"},0),"")</f>
        <v/>
      </c>
      <c r="D267" s="87" t="n"/>
      <c r="E267" s="87" t="n"/>
      <c r="F267" s="87" t="n"/>
      <c r="G267" s="89" t="n"/>
      <c r="H267" s="89" t="n"/>
      <c r="I267" s="92">
        <f>IF(OR(H267="",H267=0),"",G267/H267)</f>
        <v/>
      </c>
      <c r="J267" s="56">
        <f>IF(I267="","—",IF(I267&lt;=3,"🟢 صحي",IF(I267&lt;=5,"🟡 مرتفع","🔴 مخزون زائد")))</f>
        <v/>
      </c>
    </row>
    <row r="268" ht="15" customHeight="1" s="40">
      <c r="A268" s="85" t="n">
        <v>264</v>
      </c>
      <c r="B268" s="87" t="n"/>
      <c r="C268" s="91">
        <f>IFERROR(MATCH(B268,{"يناير";"فبراير";"مارس";"أبريل";"مايو";"يونيو";"يوليو";"أغسطس";"سبتمبر";"أكتوبر";"نوفمبر";"ديسمبر"},0),"")</f>
        <v/>
      </c>
      <c r="D268" s="87" t="n"/>
      <c r="E268" s="87" t="n"/>
      <c r="F268" s="87" t="n"/>
      <c r="G268" s="89" t="n"/>
      <c r="H268" s="89" t="n"/>
      <c r="I268" s="92">
        <f>IF(OR(H268="",H268=0),"",G268/H268)</f>
        <v/>
      </c>
      <c r="J268" s="56">
        <f>IF(I268="","—",IF(I268&lt;=3,"🟢 صحي",IF(I268&lt;=5,"🟡 مرتفع","🔴 مخزون زائد")))</f>
        <v/>
      </c>
    </row>
    <row r="269" ht="15" customHeight="1" s="40">
      <c r="A269" s="85" t="n">
        <v>265</v>
      </c>
      <c r="B269" s="87" t="n"/>
      <c r="C269" s="91">
        <f>IFERROR(MATCH(B269,{"يناير";"فبراير";"مارس";"أبريل";"مايو";"يونيو";"يوليو";"أغسطس";"سبتمبر";"أكتوبر";"نوفمبر";"ديسمبر"},0),"")</f>
        <v/>
      </c>
      <c r="D269" s="87" t="n"/>
      <c r="E269" s="87" t="n"/>
      <c r="F269" s="87" t="n"/>
      <c r="G269" s="89" t="n"/>
      <c r="H269" s="89" t="n"/>
      <c r="I269" s="92">
        <f>IF(OR(H269="",H269=0),"",G269/H269)</f>
        <v/>
      </c>
      <c r="J269" s="56">
        <f>IF(I269="","—",IF(I269&lt;=3,"🟢 صحي",IF(I269&lt;=5,"🟡 مرتفع","🔴 مخزون زائد")))</f>
        <v/>
      </c>
    </row>
    <row r="270" ht="15" customHeight="1" s="40">
      <c r="A270" s="85" t="n">
        <v>266</v>
      </c>
      <c r="B270" s="87" t="n"/>
      <c r="C270" s="91">
        <f>IFERROR(MATCH(B270,{"يناير";"فبراير";"مارس";"أبريل";"مايو";"يونيو";"يوليو";"أغسطس";"سبتمبر";"أكتوبر";"نوفمبر";"ديسمبر"},0),"")</f>
        <v/>
      </c>
      <c r="D270" s="87" t="n"/>
      <c r="E270" s="87" t="n"/>
      <c r="F270" s="87" t="n"/>
      <c r="G270" s="89" t="n"/>
      <c r="H270" s="89" t="n"/>
      <c r="I270" s="92">
        <f>IF(OR(H270="",H270=0),"",G270/H270)</f>
        <v/>
      </c>
      <c r="J270" s="56">
        <f>IF(I270="","—",IF(I270&lt;=3,"🟢 صحي",IF(I270&lt;=5,"🟡 مرتفع","🔴 مخزون زائد")))</f>
        <v/>
      </c>
    </row>
    <row r="271" ht="15" customHeight="1" s="40">
      <c r="A271" s="85" t="n">
        <v>267</v>
      </c>
      <c r="B271" s="87" t="n"/>
      <c r="C271" s="91">
        <f>IFERROR(MATCH(B271,{"يناير";"فبراير";"مارس";"أبريل";"مايو";"يونيو";"يوليو";"أغسطس";"سبتمبر";"أكتوبر";"نوفمبر";"ديسمبر"},0),"")</f>
        <v/>
      </c>
      <c r="D271" s="87" t="n"/>
      <c r="E271" s="87" t="n"/>
      <c r="F271" s="87" t="n"/>
      <c r="G271" s="89" t="n"/>
      <c r="H271" s="89" t="n"/>
      <c r="I271" s="92">
        <f>IF(OR(H271="",H271=0),"",G271/H271)</f>
        <v/>
      </c>
      <c r="J271" s="56">
        <f>IF(I271="","—",IF(I271&lt;=3,"🟢 صحي",IF(I271&lt;=5,"🟡 مرتفع","🔴 مخزون زائد")))</f>
        <v/>
      </c>
    </row>
    <row r="272" ht="15" customHeight="1" s="40">
      <c r="A272" s="85" t="n">
        <v>268</v>
      </c>
      <c r="B272" s="87" t="n"/>
      <c r="C272" s="91">
        <f>IFERROR(MATCH(B272,{"يناير";"فبراير";"مارس";"أبريل";"مايو";"يونيو";"يوليو";"أغسطس";"سبتمبر";"أكتوبر";"نوفمبر";"ديسمبر"},0),"")</f>
        <v/>
      </c>
      <c r="D272" s="87" t="n"/>
      <c r="E272" s="87" t="n"/>
      <c r="F272" s="87" t="n"/>
      <c r="G272" s="89" t="n"/>
      <c r="H272" s="89" t="n"/>
      <c r="I272" s="92">
        <f>IF(OR(H272="",H272=0),"",G272/H272)</f>
        <v/>
      </c>
      <c r="J272" s="56">
        <f>IF(I272="","—",IF(I272&lt;=3,"🟢 صحي",IF(I272&lt;=5,"🟡 مرتفع","🔴 مخزون زائد")))</f>
        <v/>
      </c>
    </row>
    <row r="273" ht="15" customHeight="1" s="40">
      <c r="A273" s="85" t="n">
        <v>269</v>
      </c>
      <c r="B273" s="87" t="n"/>
      <c r="C273" s="91">
        <f>IFERROR(MATCH(B273,{"يناير";"فبراير";"مارس";"أبريل";"مايو";"يونيو";"يوليو";"أغسطس";"سبتمبر";"أكتوبر";"نوفمبر";"ديسمبر"},0),"")</f>
        <v/>
      </c>
      <c r="D273" s="87" t="n"/>
      <c r="E273" s="87" t="n"/>
      <c r="F273" s="87" t="n"/>
      <c r="G273" s="89" t="n"/>
      <c r="H273" s="89" t="n"/>
      <c r="I273" s="92">
        <f>IF(OR(H273="",H273=0),"",G273/H273)</f>
        <v/>
      </c>
      <c r="J273" s="56">
        <f>IF(I273="","—",IF(I273&lt;=3,"🟢 صحي",IF(I273&lt;=5,"🟡 مرتفع","🔴 مخزون زائد")))</f>
        <v/>
      </c>
    </row>
    <row r="274" ht="15" customHeight="1" s="40">
      <c r="A274" s="85" t="n">
        <v>270</v>
      </c>
      <c r="B274" s="87" t="n"/>
      <c r="C274" s="91">
        <f>IFERROR(MATCH(B274,{"يناير";"فبراير";"مارس";"أبريل";"مايو";"يونيو";"يوليو";"أغسطس";"سبتمبر";"أكتوبر";"نوفمبر";"ديسمبر"},0),"")</f>
        <v/>
      </c>
      <c r="D274" s="87" t="n"/>
      <c r="E274" s="87" t="n"/>
      <c r="F274" s="87" t="n"/>
      <c r="G274" s="89" t="n"/>
      <c r="H274" s="89" t="n"/>
      <c r="I274" s="92">
        <f>IF(OR(H274="",H274=0),"",G274/H274)</f>
        <v/>
      </c>
      <c r="J274" s="56">
        <f>IF(I274="","—",IF(I274&lt;=3,"🟢 صحي",IF(I274&lt;=5,"🟡 مرتفع","🔴 مخزون زائد")))</f>
        <v/>
      </c>
    </row>
    <row r="275" ht="15" customHeight="1" s="40">
      <c r="A275" s="85" t="n">
        <v>271</v>
      </c>
      <c r="B275" s="87" t="n"/>
      <c r="C275" s="91">
        <f>IFERROR(MATCH(B275,{"يناير";"فبراير";"مارس";"أبريل";"مايو";"يونيو";"يوليو";"أغسطس";"سبتمبر";"أكتوبر";"نوفمبر";"ديسمبر"},0),"")</f>
        <v/>
      </c>
      <c r="D275" s="87" t="n"/>
      <c r="E275" s="87" t="n"/>
      <c r="F275" s="87" t="n"/>
      <c r="G275" s="89" t="n"/>
      <c r="H275" s="89" t="n"/>
      <c r="I275" s="92">
        <f>IF(OR(H275="",H275=0),"",G275/H275)</f>
        <v/>
      </c>
      <c r="J275" s="56">
        <f>IF(I275="","—",IF(I275&lt;=3,"🟢 صحي",IF(I275&lt;=5,"🟡 مرتفع","🔴 مخزون زائد")))</f>
        <v/>
      </c>
    </row>
    <row r="276" ht="15" customHeight="1" s="40">
      <c r="A276" s="85" t="n">
        <v>272</v>
      </c>
      <c r="B276" s="87" t="n"/>
      <c r="C276" s="91">
        <f>IFERROR(MATCH(B276,{"يناير";"فبراير";"مارس";"أبريل";"مايو";"يونيو";"يوليو";"أغسطس";"سبتمبر";"أكتوبر";"نوفمبر";"ديسمبر"},0),"")</f>
        <v/>
      </c>
      <c r="D276" s="87" t="n"/>
      <c r="E276" s="87" t="n"/>
      <c r="F276" s="87" t="n"/>
      <c r="G276" s="89" t="n"/>
      <c r="H276" s="89" t="n"/>
      <c r="I276" s="92">
        <f>IF(OR(H276="",H276=0),"",G276/H276)</f>
        <v/>
      </c>
      <c r="J276" s="56">
        <f>IF(I276="","—",IF(I276&lt;=3,"🟢 صحي",IF(I276&lt;=5,"🟡 مرتفع","🔴 مخزون زائد")))</f>
        <v/>
      </c>
    </row>
    <row r="277" ht="15" customHeight="1" s="40">
      <c r="A277" s="85" t="n">
        <v>273</v>
      </c>
      <c r="B277" s="87" t="n"/>
      <c r="C277" s="91">
        <f>IFERROR(MATCH(B277,{"يناير";"فبراير";"مارس";"أبريل";"مايو";"يونيو";"يوليو";"أغسطس";"سبتمبر";"أكتوبر";"نوفمبر";"ديسمبر"},0),"")</f>
        <v/>
      </c>
      <c r="D277" s="87" t="n"/>
      <c r="E277" s="87" t="n"/>
      <c r="F277" s="87" t="n"/>
      <c r="G277" s="89" t="n"/>
      <c r="H277" s="89" t="n"/>
      <c r="I277" s="92">
        <f>IF(OR(H277="",H277=0),"",G277/H277)</f>
        <v/>
      </c>
      <c r="J277" s="56">
        <f>IF(I277="","—",IF(I277&lt;=3,"🟢 صحي",IF(I277&lt;=5,"🟡 مرتفع","🔴 مخزون زائد")))</f>
        <v/>
      </c>
    </row>
    <row r="278" ht="15" customHeight="1" s="40">
      <c r="A278" s="85" t="n">
        <v>274</v>
      </c>
      <c r="B278" s="87" t="n"/>
      <c r="C278" s="91">
        <f>IFERROR(MATCH(B278,{"يناير";"فبراير";"مارس";"أبريل";"مايو";"يونيو";"يوليو";"أغسطس";"سبتمبر";"أكتوبر";"نوفمبر";"ديسمبر"},0),"")</f>
        <v/>
      </c>
      <c r="D278" s="87" t="n"/>
      <c r="E278" s="87" t="n"/>
      <c r="F278" s="87" t="n"/>
      <c r="G278" s="89" t="n"/>
      <c r="H278" s="89" t="n"/>
      <c r="I278" s="92">
        <f>IF(OR(H278="",H278=0),"",G278/H278)</f>
        <v/>
      </c>
      <c r="J278" s="56">
        <f>IF(I278="","—",IF(I278&lt;=3,"🟢 صحي",IF(I278&lt;=5,"🟡 مرتفع","🔴 مخزون زائد")))</f>
        <v/>
      </c>
    </row>
    <row r="279" ht="15" customHeight="1" s="40">
      <c r="A279" s="85" t="n">
        <v>275</v>
      </c>
      <c r="B279" s="87" t="n"/>
      <c r="C279" s="91">
        <f>IFERROR(MATCH(B279,{"يناير";"فبراير";"مارس";"أبريل";"مايو";"يونيو";"يوليو";"أغسطس";"سبتمبر";"أكتوبر";"نوفمبر";"ديسمبر"},0),"")</f>
        <v/>
      </c>
      <c r="D279" s="87" t="n"/>
      <c r="E279" s="87" t="n"/>
      <c r="F279" s="87" t="n"/>
      <c r="G279" s="89" t="n"/>
      <c r="H279" s="89" t="n"/>
      <c r="I279" s="92">
        <f>IF(OR(H279="",H279=0),"",G279/H279)</f>
        <v/>
      </c>
      <c r="J279" s="56">
        <f>IF(I279="","—",IF(I279&lt;=3,"🟢 صحي",IF(I279&lt;=5,"🟡 مرتفع","🔴 مخزون زائد")))</f>
        <v/>
      </c>
    </row>
    <row r="280" ht="15" customHeight="1" s="40">
      <c r="A280" s="85" t="n">
        <v>276</v>
      </c>
      <c r="B280" s="87" t="n"/>
      <c r="C280" s="91">
        <f>IFERROR(MATCH(B280,{"يناير";"فبراير";"مارس";"أبريل";"مايو";"يونيو";"يوليو";"أغسطس";"سبتمبر";"أكتوبر";"نوفمبر";"ديسمبر"},0),"")</f>
        <v/>
      </c>
      <c r="D280" s="87" t="n"/>
      <c r="E280" s="87" t="n"/>
      <c r="F280" s="87" t="n"/>
      <c r="G280" s="89" t="n"/>
      <c r="H280" s="89" t="n"/>
      <c r="I280" s="92">
        <f>IF(OR(H280="",H280=0),"",G280/H280)</f>
        <v/>
      </c>
      <c r="J280" s="56">
        <f>IF(I280="","—",IF(I280&lt;=3,"🟢 صحي",IF(I280&lt;=5,"🟡 مرتفع","🔴 مخزون زائد")))</f>
        <v/>
      </c>
    </row>
    <row r="281" ht="15" customHeight="1" s="40">
      <c r="A281" s="85" t="n">
        <v>277</v>
      </c>
      <c r="B281" s="87" t="n"/>
      <c r="C281" s="91">
        <f>IFERROR(MATCH(B281,{"يناير";"فبراير";"مارس";"أبريل";"مايو";"يونيو";"يوليو";"أغسطس";"سبتمبر";"أكتوبر";"نوفمبر";"ديسمبر"},0),"")</f>
        <v/>
      </c>
      <c r="D281" s="87" t="n"/>
      <c r="E281" s="87" t="n"/>
      <c r="F281" s="87" t="n"/>
      <c r="G281" s="89" t="n"/>
      <c r="H281" s="89" t="n"/>
      <c r="I281" s="92">
        <f>IF(OR(H281="",H281=0),"",G281/H281)</f>
        <v/>
      </c>
      <c r="J281" s="56">
        <f>IF(I281="","—",IF(I281&lt;=3,"🟢 صحي",IF(I281&lt;=5,"🟡 مرتفع","🔴 مخزون زائد")))</f>
        <v/>
      </c>
    </row>
    <row r="282" ht="15" customHeight="1" s="40">
      <c r="A282" s="85" t="n">
        <v>278</v>
      </c>
      <c r="B282" s="87" t="n"/>
      <c r="C282" s="91">
        <f>IFERROR(MATCH(B282,{"يناير";"فبراير";"مارس";"أبريل";"مايو";"يونيو";"يوليو";"أغسطس";"سبتمبر";"أكتوبر";"نوفمبر";"ديسمبر"},0),"")</f>
        <v/>
      </c>
      <c r="D282" s="87" t="n"/>
      <c r="E282" s="87" t="n"/>
      <c r="F282" s="87" t="n"/>
      <c r="G282" s="89" t="n"/>
      <c r="H282" s="89" t="n"/>
      <c r="I282" s="92">
        <f>IF(OR(H282="",H282=0),"",G282/H282)</f>
        <v/>
      </c>
      <c r="J282" s="56">
        <f>IF(I282="","—",IF(I282&lt;=3,"🟢 صحي",IF(I282&lt;=5,"🟡 مرتفع","🔴 مخزون زائد")))</f>
        <v/>
      </c>
    </row>
    <row r="283" ht="15" customHeight="1" s="40">
      <c r="A283" s="85" t="n">
        <v>279</v>
      </c>
      <c r="B283" s="87" t="n"/>
      <c r="C283" s="91">
        <f>IFERROR(MATCH(B283,{"يناير";"فبراير";"مارس";"أبريل";"مايو";"يونيو";"يوليو";"أغسطس";"سبتمبر";"أكتوبر";"نوفمبر";"ديسمبر"},0),"")</f>
        <v/>
      </c>
      <c r="D283" s="87" t="n"/>
      <c r="E283" s="87" t="n"/>
      <c r="F283" s="87" t="n"/>
      <c r="G283" s="89" t="n"/>
      <c r="H283" s="89" t="n"/>
      <c r="I283" s="92">
        <f>IF(OR(H283="",H283=0),"",G283/H283)</f>
        <v/>
      </c>
      <c r="J283" s="56">
        <f>IF(I283="","—",IF(I283&lt;=3,"🟢 صحي",IF(I283&lt;=5,"🟡 مرتفع","🔴 مخزون زائد")))</f>
        <v/>
      </c>
    </row>
    <row r="284" ht="15" customHeight="1" s="40">
      <c r="A284" s="85" t="n">
        <v>280</v>
      </c>
      <c r="B284" s="87" t="n"/>
      <c r="C284" s="91">
        <f>IFERROR(MATCH(B284,{"يناير";"فبراير";"مارس";"أبريل";"مايو";"يونيو";"يوليو";"أغسطس";"سبتمبر";"أكتوبر";"نوفمبر";"ديسمبر"},0),"")</f>
        <v/>
      </c>
      <c r="D284" s="87" t="n"/>
      <c r="E284" s="87" t="n"/>
      <c r="F284" s="87" t="n"/>
      <c r="G284" s="89" t="n"/>
      <c r="H284" s="89" t="n"/>
      <c r="I284" s="92">
        <f>IF(OR(H284="",H284=0),"",G284/H284)</f>
        <v/>
      </c>
      <c r="J284" s="56">
        <f>IF(I284="","—",IF(I284&lt;=3,"🟢 صحي",IF(I284&lt;=5,"🟡 مرتفع","🔴 مخزون زائد")))</f>
        <v/>
      </c>
    </row>
    <row r="285" ht="15" customHeight="1" s="40">
      <c r="A285" s="85" t="n">
        <v>281</v>
      </c>
      <c r="B285" s="87" t="n"/>
      <c r="C285" s="91">
        <f>IFERROR(MATCH(B285,{"يناير";"فبراير";"مارس";"أبريل";"مايو";"يونيو";"يوليو";"أغسطس";"سبتمبر";"أكتوبر";"نوفمبر";"ديسمبر"},0),"")</f>
        <v/>
      </c>
      <c r="D285" s="87" t="n"/>
      <c r="E285" s="87" t="n"/>
      <c r="F285" s="87" t="n"/>
      <c r="G285" s="89" t="n"/>
      <c r="H285" s="89" t="n"/>
      <c r="I285" s="92">
        <f>IF(OR(H285="",H285=0),"",G285/H285)</f>
        <v/>
      </c>
      <c r="J285" s="56">
        <f>IF(I285="","—",IF(I285&lt;=3,"🟢 صحي",IF(I285&lt;=5,"🟡 مرتفع","🔴 مخزون زائد")))</f>
        <v/>
      </c>
    </row>
    <row r="286" ht="15" customHeight="1" s="40">
      <c r="A286" s="85" t="n">
        <v>282</v>
      </c>
      <c r="B286" s="87" t="n"/>
      <c r="C286" s="91">
        <f>IFERROR(MATCH(B286,{"يناير";"فبراير";"مارس";"أبريل";"مايو";"يونيو";"يوليو";"أغسطس";"سبتمبر";"أكتوبر";"نوفمبر";"ديسمبر"},0),"")</f>
        <v/>
      </c>
      <c r="D286" s="87" t="n"/>
      <c r="E286" s="87" t="n"/>
      <c r="F286" s="87" t="n"/>
      <c r="G286" s="89" t="n"/>
      <c r="H286" s="89" t="n"/>
      <c r="I286" s="92">
        <f>IF(OR(H286="",H286=0),"",G286/H286)</f>
        <v/>
      </c>
      <c r="J286" s="56">
        <f>IF(I286="","—",IF(I286&lt;=3,"🟢 صحي",IF(I286&lt;=5,"🟡 مرتفع","🔴 مخزون زائد")))</f>
        <v/>
      </c>
    </row>
    <row r="287" ht="15" customHeight="1" s="40">
      <c r="A287" s="85" t="n">
        <v>283</v>
      </c>
      <c r="B287" s="87" t="n"/>
      <c r="C287" s="91">
        <f>IFERROR(MATCH(B287,{"يناير";"فبراير";"مارس";"أبريل";"مايو";"يونيو";"يوليو";"أغسطس";"سبتمبر";"أكتوبر";"نوفمبر";"ديسمبر"},0),"")</f>
        <v/>
      </c>
      <c r="D287" s="87" t="n"/>
      <c r="E287" s="87" t="n"/>
      <c r="F287" s="87" t="n"/>
      <c r="G287" s="89" t="n"/>
      <c r="H287" s="89" t="n"/>
      <c r="I287" s="92">
        <f>IF(OR(H287="",H287=0),"",G287/H287)</f>
        <v/>
      </c>
      <c r="J287" s="56">
        <f>IF(I287="","—",IF(I287&lt;=3,"🟢 صحي",IF(I287&lt;=5,"🟡 مرتفع","🔴 مخزون زائد")))</f>
        <v/>
      </c>
    </row>
    <row r="288" ht="15" customHeight="1" s="40">
      <c r="A288" s="85" t="n">
        <v>284</v>
      </c>
      <c r="B288" s="87" t="n"/>
      <c r="C288" s="91">
        <f>IFERROR(MATCH(B288,{"يناير";"فبراير";"مارس";"أبريل";"مايو";"يونيو";"يوليو";"أغسطس";"سبتمبر";"أكتوبر";"نوفمبر";"ديسمبر"},0),"")</f>
        <v/>
      </c>
      <c r="D288" s="87" t="n"/>
      <c r="E288" s="87" t="n"/>
      <c r="F288" s="87" t="n"/>
      <c r="G288" s="89" t="n"/>
      <c r="H288" s="89" t="n"/>
      <c r="I288" s="92">
        <f>IF(OR(H288="",H288=0),"",G288/H288)</f>
        <v/>
      </c>
      <c r="J288" s="56">
        <f>IF(I288="","—",IF(I288&lt;=3,"🟢 صحي",IF(I288&lt;=5,"🟡 مرتفع","🔴 مخزون زائد")))</f>
        <v/>
      </c>
    </row>
    <row r="289" ht="15" customHeight="1" s="40">
      <c r="A289" s="85" t="n">
        <v>285</v>
      </c>
      <c r="B289" s="87" t="n"/>
      <c r="C289" s="91">
        <f>IFERROR(MATCH(B289,{"يناير";"فبراير";"مارس";"أبريل";"مايو";"يونيو";"يوليو";"أغسطس";"سبتمبر";"أكتوبر";"نوفمبر";"ديسمبر"},0),"")</f>
        <v/>
      </c>
      <c r="D289" s="87" t="n"/>
      <c r="E289" s="87" t="n"/>
      <c r="F289" s="87" t="n"/>
      <c r="G289" s="89" t="n"/>
      <c r="H289" s="89" t="n"/>
      <c r="I289" s="92">
        <f>IF(OR(H289="",H289=0),"",G289/H289)</f>
        <v/>
      </c>
      <c r="J289" s="56">
        <f>IF(I289="","—",IF(I289&lt;=3,"🟢 صحي",IF(I289&lt;=5,"🟡 مرتفع","🔴 مخزون زائد")))</f>
        <v/>
      </c>
    </row>
    <row r="290" ht="15" customHeight="1" s="40">
      <c r="A290" s="85" t="n">
        <v>286</v>
      </c>
      <c r="B290" s="87" t="n"/>
      <c r="C290" s="91">
        <f>IFERROR(MATCH(B290,{"يناير";"فبراير";"مارس";"أبريل";"مايو";"يونيو";"يوليو";"أغسطس";"سبتمبر";"أكتوبر";"نوفمبر";"ديسمبر"},0),"")</f>
        <v/>
      </c>
      <c r="D290" s="87" t="n"/>
      <c r="E290" s="87" t="n"/>
      <c r="F290" s="87" t="n"/>
      <c r="G290" s="89" t="n"/>
      <c r="H290" s="89" t="n"/>
      <c r="I290" s="92">
        <f>IF(OR(H290="",H290=0),"",G290/H290)</f>
        <v/>
      </c>
      <c r="J290" s="56">
        <f>IF(I290="","—",IF(I290&lt;=3,"🟢 صحي",IF(I290&lt;=5,"🟡 مرتفع","🔴 مخزون زائد")))</f>
        <v/>
      </c>
    </row>
    <row r="291" ht="15" customHeight="1" s="40">
      <c r="A291" s="85" t="n">
        <v>287</v>
      </c>
      <c r="B291" s="87" t="n"/>
      <c r="C291" s="91">
        <f>IFERROR(MATCH(B291,{"يناير";"فبراير";"مارس";"أبريل";"مايو";"يونيو";"يوليو";"أغسطس";"سبتمبر";"أكتوبر";"نوفمبر";"ديسمبر"},0),"")</f>
        <v/>
      </c>
      <c r="D291" s="87" t="n"/>
      <c r="E291" s="87" t="n"/>
      <c r="F291" s="87" t="n"/>
      <c r="G291" s="89" t="n"/>
      <c r="H291" s="89" t="n"/>
      <c r="I291" s="92">
        <f>IF(OR(H291="",H291=0),"",G291/H291)</f>
        <v/>
      </c>
      <c r="J291" s="56">
        <f>IF(I291="","—",IF(I291&lt;=3,"🟢 صحي",IF(I291&lt;=5,"🟡 مرتفع","🔴 مخزون زائد")))</f>
        <v/>
      </c>
    </row>
    <row r="292" ht="15" customHeight="1" s="40">
      <c r="A292" s="85" t="n">
        <v>288</v>
      </c>
      <c r="B292" s="87" t="n"/>
      <c r="C292" s="91">
        <f>IFERROR(MATCH(B292,{"يناير";"فبراير";"مارس";"أبريل";"مايو";"يونيو";"يوليو";"أغسطس";"سبتمبر";"أكتوبر";"نوفمبر";"ديسمبر"},0),"")</f>
        <v/>
      </c>
      <c r="D292" s="87" t="n"/>
      <c r="E292" s="87" t="n"/>
      <c r="F292" s="87" t="n"/>
      <c r="G292" s="89" t="n"/>
      <c r="H292" s="89" t="n"/>
      <c r="I292" s="92">
        <f>IF(OR(H292="",H292=0),"",G292/H292)</f>
        <v/>
      </c>
      <c r="J292" s="56">
        <f>IF(I292="","—",IF(I292&lt;=3,"🟢 صحي",IF(I292&lt;=5,"🟡 مرتفع","🔴 مخزون زائد")))</f>
        <v/>
      </c>
    </row>
    <row r="293" ht="15" customHeight="1" s="40">
      <c r="A293" s="85" t="n">
        <v>289</v>
      </c>
      <c r="B293" s="87" t="n"/>
      <c r="C293" s="91">
        <f>IFERROR(MATCH(B293,{"يناير";"فبراير";"مارس";"أبريل";"مايو";"يونيو";"يوليو";"أغسطس";"سبتمبر";"أكتوبر";"نوفمبر";"ديسمبر"},0),"")</f>
        <v/>
      </c>
      <c r="D293" s="87" t="n"/>
      <c r="E293" s="87" t="n"/>
      <c r="F293" s="87" t="n"/>
      <c r="G293" s="89" t="n"/>
      <c r="H293" s="89" t="n"/>
      <c r="I293" s="92">
        <f>IF(OR(H293="",H293=0),"",G293/H293)</f>
        <v/>
      </c>
      <c r="J293" s="56">
        <f>IF(I293="","—",IF(I293&lt;=3,"🟢 صحي",IF(I293&lt;=5,"🟡 مرتفع","🔴 مخزون زائد")))</f>
        <v/>
      </c>
    </row>
    <row r="294" ht="15" customHeight="1" s="40">
      <c r="A294" s="85" t="n">
        <v>290</v>
      </c>
      <c r="B294" s="87" t="n"/>
      <c r="C294" s="91">
        <f>IFERROR(MATCH(B294,{"يناير";"فبراير";"مارس";"أبريل";"مايو";"يونيو";"يوليو";"أغسطس";"سبتمبر";"أكتوبر";"نوفمبر";"ديسمبر"},0),"")</f>
        <v/>
      </c>
      <c r="D294" s="87" t="n"/>
      <c r="E294" s="87" t="n"/>
      <c r="F294" s="87" t="n"/>
      <c r="G294" s="89" t="n"/>
      <c r="H294" s="89" t="n"/>
      <c r="I294" s="92">
        <f>IF(OR(H294="",H294=0),"",G294/H294)</f>
        <v/>
      </c>
      <c r="J294" s="56">
        <f>IF(I294="","—",IF(I294&lt;=3,"🟢 صحي",IF(I294&lt;=5,"🟡 مرتفع","🔴 مخزون زائد")))</f>
        <v/>
      </c>
    </row>
    <row r="295" ht="15" customHeight="1" s="40">
      <c r="A295" s="85" t="n">
        <v>291</v>
      </c>
      <c r="B295" s="87" t="n"/>
      <c r="C295" s="91">
        <f>IFERROR(MATCH(B295,{"يناير";"فبراير";"مارس";"أبريل";"مايو";"يونيو";"يوليو";"أغسطس";"سبتمبر";"أكتوبر";"نوفمبر";"ديسمبر"},0),"")</f>
        <v/>
      </c>
      <c r="D295" s="87" t="n"/>
      <c r="E295" s="87" t="n"/>
      <c r="F295" s="87" t="n"/>
      <c r="G295" s="89" t="n"/>
      <c r="H295" s="89" t="n"/>
      <c r="I295" s="92">
        <f>IF(OR(H295="",H295=0),"",G295/H295)</f>
        <v/>
      </c>
      <c r="J295" s="56">
        <f>IF(I295="","—",IF(I295&lt;=3,"🟢 صحي",IF(I295&lt;=5,"🟡 مرتفع","🔴 مخزون زائد")))</f>
        <v/>
      </c>
    </row>
    <row r="296" ht="15" customHeight="1" s="40">
      <c r="A296" s="85" t="n">
        <v>292</v>
      </c>
      <c r="B296" s="87" t="n"/>
      <c r="C296" s="91">
        <f>IFERROR(MATCH(B296,{"يناير";"فبراير";"مارس";"أبريل";"مايو";"يونيو";"يوليو";"أغسطس";"سبتمبر";"أكتوبر";"نوفمبر";"ديسمبر"},0),"")</f>
        <v/>
      </c>
      <c r="D296" s="87" t="n"/>
      <c r="E296" s="87" t="n"/>
      <c r="F296" s="87" t="n"/>
      <c r="G296" s="89" t="n"/>
      <c r="H296" s="89" t="n"/>
      <c r="I296" s="92">
        <f>IF(OR(H296="",H296=0),"",G296/H296)</f>
        <v/>
      </c>
      <c r="J296" s="56">
        <f>IF(I296="","—",IF(I296&lt;=3,"🟢 صحي",IF(I296&lt;=5,"🟡 مرتفع","🔴 مخزون زائد")))</f>
        <v/>
      </c>
    </row>
    <row r="297" ht="15" customHeight="1" s="40">
      <c r="A297" s="85" t="n">
        <v>293</v>
      </c>
      <c r="B297" s="87" t="n"/>
      <c r="C297" s="91">
        <f>IFERROR(MATCH(B297,{"يناير";"فبراير";"مارس";"أبريل";"مايو";"يونيو";"يوليو";"أغسطس";"سبتمبر";"أكتوبر";"نوفمبر";"ديسمبر"},0),"")</f>
        <v/>
      </c>
      <c r="D297" s="87" t="n"/>
      <c r="E297" s="87" t="n"/>
      <c r="F297" s="87" t="n"/>
      <c r="G297" s="89" t="n"/>
      <c r="H297" s="89" t="n"/>
      <c r="I297" s="92">
        <f>IF(OR(H297="",H297=0),"",G297/H297)</f>
        <v/>
      </c>
      <c r="J297" s="56">
        <f>IF(I297="","—",IF(I297&lt;=3,"🟢 صحي",IF(I297&lt;=5,"🟡 مرتفع","🔴 مخزون زائد")))</f>
        <v/>
      </c>
    </row>
    <row r="298" ht="15" customHeight="1" s="40">
      <c r="A298" s="85" t="n">
        <v>294</v>
      </c>
      <c r="B298" s="87" t="n"/>
      <c r="C298" s="91">
        <f>IFERROR(MATCH(B298,{"يناير";"فبراير";"مارس";"أبريل";"مايو";"يونيو";"يوليو";"أغسطس";"سبتمبر";"أكتوبر";"نوفمبر";"ديسمبر"},0),"")</f>
        <v/>
      </c>
      <c r="D298" s="87" t="n"/>
      <c r="E298" s="87" t="n"/>
      <c r="F298" s="87" t="n"/>
      <c r="G298" s="89" t="n"/>
      <c r="H298" s="89" t="n"/>
      <c r="I298" s="92">
        <f>IF(OR(H298="",H298=0),"",G298/H298)</f>
        <v/>
      </c>
      <c r="J298" s="56">
        <f>IF(I298="","—",IF(I298&lt;=3,"🟢 صحي",IF(I298&lt;=5,"🟡 مرتفع","🔴 مخزون زائد")))</f>
        <v/>
      </c>
    </row>
    <row r="299" ht="15" customHeight="1" s="40">
      <c r="A299" s="85" t="n">
        <v>295</v>
      </c>
      <c r="B299" s="87" t="n"/>
      <c r="C299" s="91">
        <f>IFERROR(MATCH(B299,{"يناير";"فبراير";"مارس";"أبريل";"مايو";"يونيو";"يوليو";"أغسطس";"سبتمبر";"أكتوبر";"نوفمبر";"ديسمبر"},0),"")</f>
        <v/>
      </c>
      <c r="D299" s="87" t="n"/>
      <c r="E299" s="87" t="n"/>
      <c r="F299" s="87" t="n"/>
      <c r="G299" s="89" t="n"/>
      <c r="H299" s="89" t="n"/>
      <c r="I299" s="92">
        <f>IF(OR(H299="",H299=0),"",G299/H299)</f>
        <v/>
      </c>
      <c r="J299" s="56">
        <f>IF(I299="","—",IF(I299&lt;=3,"🟢 صحي",IF(I299&lt;=5,"🟡 مرتفع","🔴 مخزون زائد")))</f>
        <v/>
      </c>
    </row>
    <row r="300" ht="15" customHeight="1" s="40">
      <c r="A300" s="85" t="n">
        <v>296</v>
      </c>
      <c r="B300" s="87" t="n"/>
      <c r="C300" s="91">
        <f>IFERROR(MATCH(B300,{"يناير";"فبراير";"مارس";"أبريل";"مايو";"يونيو";"يوليو";"أغسطس";"سبتمبر";"أكتوبر";"نوفمبر";"ديسمبر"},0),"")</f>
        <v/>
      </c>
      <c r="D300" s="87" t="n"/>
      <c r="E300" s="87" t="n"/>
      <c r="F300" s="87" t="n"/>
      <c r="G300" s="89" t="n"/>
      <c r="H300" s="89" t="n"/>
      <c r="I300" s="92">
        <f>IF(OR(H300="",H300=0),"",G300/H300)</f>
        <v/>
      </c>
      <c r="J300" s="56">
        <f>IF(I300="","—",IF(I300&lt;=3,"🟢 صحي",IF(I300&lt;=5,"🟡 مرتفع","🔴 مخزون زائد")))</f>
        <v/>
      </c>
    </row>
    <row r="301" ht="15" customHeight="1" s="40">
      <c r="A301" s="85" t="n">
        <v>297</v>
      </c>
      <c r="B301" s="87" t="n"/>
      <c r="C301" s="91">
        <f>IFERROR(MATCH(B301,{"يناير";"فبراير";"مارس";"أبريل";"مايو";"يونيو";"يوليو";"أغسطس";"سبتمبر";"أكتوبر";"نوفمبر";"ديسمبر"},0),"")</f>
        <v/>
      </c>
      <c r="D301" s="87" t="n"/>
      <c r="E301" s="87" t="n"/>
      <c r="F301" s="87" t="n"/>
      <c r="G301" s="89" t="n"/>
      <c r="H301" s="89" t="n"/>
      <c r="I301" s="92">
        <f>IF(OR(H301="",H301=0),"",G301/H301)</f>
        <v/>
      </c>
      <c r="J301" s="56">
        <f>IF(I301="","—",IF(I301&lt;=3,"🟢 صحي",IF(I301&lt;=5,"🟡 مرتفع","🔴 مخزون زائد")))</f>
        <v/>
      </c>
    </row>
    <row r="302" ht="15" customHeight="1" s="40">
      <c r="A302" s="85" t="n">
        <v>298</v>
      </c>
      <c r="B302" s="87" t="n"/>
      <c r="C302" s="91">
        <f>IFERROR(MATCH(B302,{"يناير";"فبراير";"مارس";"أبريل";"مايو";"يونيو";"يوليو";"أغسطس";"سبتمبر";"أكتوبر";"نوفمبر";"ديسمبر"},0),"")</f>
        <v/>
      </c>
      <c r="D302" s="87" t="n"/>
      <c r="E302" s="87" t="n"/>
      <c r="F302" s="87" t="n"/>
      <c r="G302" s="89" t="n"/>
      <c r="H302" s="89" t="n"/>
      <c r="I302" s="92">
        <f>IF(OR(H302="",H302=0),"",G302/H302)</f>
        <v/>
      </c>
      <c r="J302" s="56">
        <f>IF(I302="","—",IF(I302&lt;=3,"🟢 صحي",IF(I302&lt;=5,"🟡 مرتفع","🔴 مخزون زائد")))</f>
        <v/>
      </c>
    </row>
    <row r="303" ht="15" customHeight="1" s="40">
      <c r="A303" s="85" t="n">
        <v>299</v>
      </c>
      <c r="B303" s="87" t="n"/>
      <c r="C303" s="91">
        <f>IFERROR(MATCH(B303,{"يناير";"فبراير";"مارس";"أبريل";"مايو";"يونيو";"يوليو";"أغسطس";"سبتمبر";"أكتوبر";"نوفمبر";"ديسمبر"},0),"")</f>
        <v/>
      </c>
      <c r="D303" s="87" t="n"/>
      <c r="E303" s="87" t="n"/>
      <c r="F303" s="87" t="n"/>
      <c r="G303" s="89" t="n"/>
      <c r="H303" s="89" t="n"/>
      <c r="I303" s="92">
        <f>IF(OR(H303="",H303=0),"",G303/H303)</f>
        <v/>
      </c>
      <c r="J303" s="56">
        <f>IF(I303="","—",IF(I303&lt;=3,"🟢 صحي",IF(I303&lt;=5,"🟡 مرتفع","🔴 مخزون زائد")))</f>
        <v/>
      </c>
    </row>
    <row r="304" ht="15" customHeight="1" s="40">
      <c r="A304" s="85" t="n">
        <v>300</v>
      </c>
      <c r="B304" s="87" t="n"/>
      <c r="C304" s="91">
        <f>IFERROR(MATCH(B304,{"يناير";"فبراير";"مارس";"أبريل";"مايو";"يونيو";"يوليو";"أغسطس";"سبتمبر";"أكتوبر";"نوفمبر";"ديسمبر"},0),"")</f>
        <v/>
      </c>
      <c r="D304" s="87" t="n"/>
      <c r="E304" s="87" t="n"/>
      <c r="F304" s="87" t="n"/>
      <c r="G304" s="89" t="n"/>
      <c r="H304" s="89" t="n"/>
      <c r="I304" s="92">
        <f>IF(OR(H304="",H304=0),"",G304/H304)</f>
        <v/>
      </c>
      <c r="J304" s="56">
        <f>IF(I304="","—",IF(I304&lt;=3,"🟢 صحي",IF(I304&lt;=5,"🟡 مرتفع","🔴 مخزون زائد")))</f>
        <v/>
      </c>
    </row>
  </sheetData>
  <mergeCells count="5">
    <mergeCell ref="A1:J1"/>
    <mergeCell ref="I3:J3"/>
    <mergeCell ref="A2:J2"/>
    <mergeCell ref="F3:H3"/>
    <mergeCell ref="A3:E3"/>
  </mergeCells>
  <conditionalFormatting sqref="J5:J304">
    <cfRule type="cellIs" rank="0" priority="2" equalAverage="0" operator="equal" aboveAverage="0" dxfId="0" text="" percent="0" bottom="0">
      <formula>"🟢 صحي"</formula>
    </cfRule>
    <cfRule type="cellIs" rank="0" priority="3" equalAverage="0" operator="equal" aboveAverage="0" dxfId="2" text="" percent="0" bottom="0">
      <formula>"🔴 مخزون زائد"</formula>
    </cfRule>
  </conditionalFormatting>
  <dataValidations count="2">
    <dataValidation sqref="B5:B304" showDropDown="0" showInputMessage="0" showErrorMessage="0" allowBlank="1" type="list" errorStyle="stop" operator="between">
      <formula1>"يناير,فبراير,مارس,أبريل,مايو,يونيو,يوليو,أغسطس,سبتمبر,أكتوبر,نوفمبر,ديسمبر"</formula1>
      <formula2>0</formula2>
    </dataValidation>
    <dataValidation sqref="F5:F304" showDropDown="0" showInputMessage="0" showErrorMessage="0" allowBlank="1" type="list" errorStyle="stop" operator="between">
      <formula1>"وقود,مواد مخزنية,زيوت,مستهلكات"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I204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4" customWidth="1" style="39" min="1" max="1"/>
    <col width="12" customWidth="1" style="39" min="2" max="3"/>
    <col width="14" customWidth="1" style="39" min="4" max="4"/>
    <col width="18" customWidth="1" style="39" min="5" max="5"/>
    <col width="12" customWidth="1" style="39" min="6" max="6"/>
    <col width="14" customWidth="1" style="39" min="7" max="7"/>
    <col width="10" customWidth="1" style="39" min="8" max="8"/>
    <col width="13" customWidth="1" style="39" min="9" max="9"/>
  </cols>
  <sheetData>
    <row r="1" ht="31.5" customHeight="1" s="40">
      <c r="A1" s="41" t="inlineStr">
        <is>
          <t>🛒 سجل طلبات المواد وأوامر الشراء</t>
        </is>
      </c>
    </row>
    <row r="2" ht="27.75" customHeight="1" s="40">
      <c r="A2" s="42" t="inlineStr">
        <is>
          <t>📝 يجمع المواد المخزنية (هدف ≤ 3 أيام) + أوامر الشراء (هدف ≤ 5 أيام عمل)</t>
        </is>
      </c>
    </row>
    <row r="3" ht="24" customHeight="1" s="40">
      <c r="A3" s="84" t="inlineStr">
        <is>
          <t>بيانات الطلب</t>
        </is>
      </c>
      <c r="F3" s="44" t="inlineStr">
        <is>
          <t>⏱️ المعالجة</t>
        </is>
      </c>
      <c r="H3" s="43" t="inlineStr">
        <is>
          <t>📊 آلي</t>
        </is>
      </c>
    </row>
    <row r="4" ht="39.75" customHeight="1" s="40">
      <c r="A4" s="45" t="inlineStr">
        <is>
          <t>#</t>
        </is>
      </c>
      <c r="B4" s="45" t="inlineStr">
        <is>
          <t>رقم الطلب</t>
        </is>
      </c>
      <c r="C4" s="45" t="inlineStr">
        <is>
          <t>تاريخ الاستلام</t>
        </is>
      </c>
      <c r="D4" s="45" t="inlineStr">
        <is>
          <t>نوع الطلب</t>
        </is>
      </c>
      <c r="E4" s="45" t="inlineStr">
        <is>
          <t>الجهة الطالبة</t>
        </is>
      </c>
      <c r="F4" s="45" t="inlineStr">
        <is>
          <t>تاريخ المعالجة</t>
        </is>
      </c>
      <c r="G4" s="45" t="inlineStr">
        <is>
          <t>نوع المعالجة</t>
        </is>
      </c>
      <c r="H4" s="45" t="inlineStr">
        <is>
          <t>أيام المعالجة</t>
        </is>
      </c>
      <c r="I4" s="45" t="inlineStr">
        <is>
          <t>ضمن الهدف؟</t>
        </is>
      </c>
    </row>
    <row r="5" ht="15" customHeight="1" s="40">
      <c r="A5" s="85" t="n">
        <v>1</v>
      </c>
      <c r="B5" s="87" t="n"/>
      <c r="C5" s="86" t="n"/>
      <c r="D5" s="87" t="n"/>
      <c r="E5" s="88" t="n"/>
      <c r="F5" s="86" t="n"/>
      <c r="G5" s="87" t="n"/>
      <c r="H5" s="93">
        <f>IF(OR(C5="",F5=""),"",F5-C5)</f>
        <v/>
      </c>
      <c r="I5" s="56">
        <f>IF(H5="","—",IF(D5="مواد مخزنية",  IF(H5&lt;=3,"🟢 ضمن الهدف","🔴 متأخر"),  IF(H5&lt;=5,"🟢 ضمن الهدف","🔴 متأخر")))</f>
        <v/>
      </c>
    </row>
    <row r="6" ht="15" customHeight="1" s="40">
      <c r="A6" s="85" t="n">
        <v>2</v>
      </c>
      <c r="B6" s="87" t="n"/>
      <c r="C6" s="86" t="n"/>
      <c r="D6" s="87" t="n"/>
      <c r="E6" s="88" t="n"/>
      <c r="F6" s="86" t="n"/>
      <c r="G6" s="87" t="n"/>
      <c r="H6" s="93">
        <f>IF(OR(C6="",F6=""),"",F6-C6)</f>
        <v/>
      </c>
      <c r="I6" s="56">
        <f>IF(H6="","—",IF(D6="مواد مخزنية",  IF(H6&lt;=3,"🟢 ضمن الهدف","🔴 متأخر"),  IF(H6&lt;=5,"🟢 ضمن الهدف","🔴 متأخر")))</f>
        <v/>
      </c>
    </row>
    <row r="7" ht="15" customHeight="1" s="40">
      <c r="A7" s="85" t="n">
        <v>3</v>
      </c>
      <c r="B7" s="87" t="n"/>
      <c r="C7" s="86" t="n"/>
      <c r="D7" s="87" t="n"/>
      <c r="E7" s="88" t="n"/>
      <c r="F7" s="86" t="n"/>
      <c r="G7" s="87" t="n"/>
      <c r="H7" s="93">
        <f>IF(OR(C7="",F7=""),"",F7-C7)</f>
        <v/>
      </c>
      <c r="I7" s="56">
        <f>IF(H7="","—",IF(D7="مواد مخزنية",  IF(H7&lt;=3,"🟢 ضمن الهدف","🔴 متأخر"),  IF(H7&lt;=5,"🟢 ضمن الهدف","🔴 متأخر")))</f>
        <v/>
      </c>
    </row>
    <row r="8" ht="15" customHeight="1" s="40">
      <c r="A8" s="85" t="n">
        <v>4</v>
      </c>
      <c r="B8" s="87" t="n"/>
      <c r="C8" s="86" t="n"/>
      <c r="D8" s="87" t="n"/>
      <c r="E8" s="88" t="n"/>
      <c r="F8" s="86" t="n"/>
      <c r="G8" s="87" t="n"/>
      <c r="H8" s="93">
        <f>IF(OR(C8="",F8=""),"",F8-C8)</f>
        <v/>
      </c>
      <c r="I8" s="56">
        <f>IF(H8="","—",IF(D8="مواد مخزنية",  IF(H8&lt;=3,"🟢 ضمن الهدف","🔴 متأخر"),  IF(H8&lt;=5,"🟢 ضمن الهدف","🔴 متأخر")))</f>
        <v/>
      </c>
    </row>
    <row r="9" ht="15" customHeight="1" s="40">
      <c r="A9" s="85" t="n">
        <v>5</v>
      </c>
      <c r="B9" s="87" t="n"/>
      <c r="C9" s="86" t="n"/>
      <c r="D9" s="87" t="n"/>
      <c r="E9" s="88" t="n"/>
      <c r="F9" s="86" t="n"/>
      <c r="G9" s="87" t="n"/>
      <c r="H9" s="93">
        <f>IF(OR(C9="",F9=""),"",F9-C9)</f>
        <v/>
      </c>
      <c r="I9" s="56">
        <f>IF(H9="","—",IF(D9="مواد مخزنية",  IF(H9&lt;=3,"🟢 ضمن الهدف","🔴 متأخر"),  IF(H9&lt;=5,"🟢 ضمن الهدف","🔴 متأخر")))</f>
        <v/>
      </c>
    </row>
    <row r="10" ht="15" customHeight="1" s="40">
      <c r="A10" s="85" t="n">
        <v>6</v>
      </c>
      <c r="B10" s="87" t="n"/>
      <c r="C10" s="86" t="n"/>
      <c r="D10" s="87" t="n"/>
      <c r="E10" s="88" t="n"/>
      <c r="F10" s="86" t="n"/>
      <c r="G10" s="87" t="n"/>
      <c r="H10" s="93">
        <f>IF(OR(C10="",F10=""),"",F10-C10)</f>
        <v/>
      </c>
      <c r="I10" s="56">
        <f>IF(H10="","—",IF(D10="مواد مخزنية",  IF(H10&lt;=3,"🟢 ضمن الهدف","🔴 متأخر"),  IF(H10&lt;=5,"🟢 ضمن الهدف","🔴 متأخر")))</f>
        <v/>
      </c>
    </row>
    <row r="11" ht="15" customHeight="1" s="40">
      <c r="A11" s="85" t="n">
        <v>7</v>
      </c>
      <c r="B11" s="87" t="n"/>
      <c r="C11" s="86" t="n"/>
      <c r="D11" s="87" t="n"/>
      <c r="E11" s="88" t="n"/>
      <c r="F11" s="86" t="n"/>
      <c r="G11" s="87" t="n"/>
      <c r="H11" s="93">
        <f>IF(OR(C11="",F11=""),"",F11-C11)</f>
        <v/>
      </c>
      <c r="I11" s="56">
        <f>IF(H11="","—",IF(D11="مواد مخزنية",  IF(H11&lt;=3,"🟢 ضمن الهدف","🔴 متأخر"),  IF(H11&lt;=5,"🟢 ضمن الهدف","🔴 متأخر")))</f>
        <v/>
      </c>
    </row>
    <row r="12" ht="15" customHeight="1" s="40">
      <c r="A12" s="85" t="n">
        <v>8</v>
      </c>
      <c r="B12" s="87" t="n"/>
      <c r="C12" s="86" t="n"/>
      <c r="D12" s="87" t="n"/>
      <c r="E12" s="88" t="n"/>
      <c r="F12" s="86" t="n"/>
      <c r="G12" s="87" t="n"/>
      <c r="H12" s="93">
        <f>IF(OR(C12="",F12=""),"",F12-C12)</f>
        <v/>
      </c>
      <c r="I12" s="56">
        <f>IF(H12="","—",IF(D12="مواد مخزنية",  IF(H12&lt;=3,"🟢 ضمن الهدف","🔴 متأخر"),  IF(H12&lt;=5,"🟢 ضمن الهدف","🔴 متأخر")))</f>
        <v/>
      </c>
    </row>
    <row r="13" ht="15" customHeight="1" s="40">
      <c r="A13" s="85" t="n">
        <v>9</v>
      </c>
      <c r="B13" s="87" t="n"/>
      <c r="C13" s="86" t="n"/>
      <c r="D13" s="87" t="n"/>
      <c r="E13" s="88" t="n"/>
      <c r="F13" s="86" t="n"/>
      <c r="G13" s="87" t="n"/>
      <c r="H13" s="93">
        <f>IF(OR(C13="",F13=""),"",F13-C13)</f>
        <v/>
      </c>
      <c r="I13" s="56">
        <f>IF(H13="","—",IF(D13="مواد مخزنية",  IF(H13&lt;=3,"🟢 ضمن الهدف","🔴 متأخر"),  IF(H13&lt;=5,"🟢 ضمن الهدف","🔴 متأخر")))</f>
        <v/>
      </c>
    </row>
    <row r="14" ht="15" customHeight="1" s="40">
      <c r="A14" s="85" t="n">
        <v>10</v>
      </c>
      <c r="B14" s="87" t="n"/>
      <c r="C14" s="86" t="n"/>
      <c r="D14" s="87" t="n"/>
      <c r="E14" s="88" t="n"/>
      <c r="F14" s="86" t="n"/>
      <c r="G14" s="87" t="n"/>
      <c r="H14" s="93">
        <f>IF(OR(C14="",F14=""),"",F14-C14)</f>
        <v/>
      </c>
      <c r="I14" s="56">
        <f>IF(H14="","—",IF(D14="مواد مخزنية",  IF(H14&lt;=3,"🟢 ضمن الهدف","🔴 متأخر"),  IF(H14&lt;=5,"🟢 ضمن الهدف","🔴 متأخر")))</f>
        <v/>
      </c>
    </row>
    <row r="15" ht="15" customHeight="1" s="40">
      <c r="A15" s="85" t="n">
        <v>11</v>
      </c>
      <c r="B15" s="87" t="n"/>
      <c r="C15" s="86" t="n"/>
      <c r="D15" s="87" t="n"/>
      <c r="E15" s="88" t="n"/>
      <c r="F15" s="86" t="n"/>
      <c r="G15" s="87" t="n"/>
      <c r="H15" s="93">
        <f>IF(OR(C15="",F15=""),"",F15-C15)</f>
        <v/>
      </c>
      <c r="I15" s="56">
        <f>IF(H15="","—",IF(D15="مواد مخزنية",  IF(H15&lt;=3,"🟢 ضمن الهدف","🔴 متأخر"),  IF(H15&lt;=5,"🟢 ضمن الهدف","🔴 متأخر")))</f>
        <v/>
      </c>
    </row>
    <row r="16" ht="15" customHeight="1" s="40">
      <c r="A16" s="85" t="n">
        <v>12</v>
      </c>
      <c r="B16" s="87" t="n"/>
      <c r="C16" s="86" t="n"/>
      <c r="D16" s="87" t="n"/>
      <c r="E16" s="88" t="n"/>
      <c r="F16" s="86" t="n"/>
      <c r="G16" s="87" t="n"/>
      <c r="H16" s="93">
        <f>IF(OR(C16="",F16=""),"",F16-C16)</f>
        <v/>
      </c>
      <c r="I16" s="56">
        <f>IF(H16="","—",IF(D16="مواد مخزنية",  IF(H16&lt;=3,"🟢 ضمن الهدف","🔴 متأخر"),  IF(H16&lt;=5,"🟢 ضمن الهدف","🔴 متأخر")))</f>
        <v/>
      </c>
    </row>
    <row r="17" ht="15" customHeight="1" s="40">
      <c r="A17" s="85" t="n">
        <v>13</v>
      </c>
      <c r="B17" s="87" t="n"/>
      <c r="C17" s="86" t="n"/>
      <c r="D17" s="87" t="n"/>
      <c r="E17" s="88" t="n"/>
      <c r="F17" s="86" t="n"/>
      <c r="G17" s="87" t="n"/>
      <c r="H17" s="93">
        <f>IF(OR(C17="",F17=""),"",F17-C17)</f>
        <v/>
      </c>
      <c r="I17" s="56">
        <f>IF(H17="","—",IF(D17="مواد مخزنية",  IF(H17&lt;=3,"🟢 ضمن الهدف","🔴 متأخر"),  IF(H17&lt;=5,"🟢 ضمن الهدف","🔴 متأخر")))</f>
        <v/>
      </c>
    </row>
    <row r="18" ht="15" customHeight="1" s="40">
      <c r="A18" s="85" t="n">
        <v>14</v>
      </c>
      <c r="B18" s="87" t="n"/>
      <c r="C18" s="86" t="n"/>
      <c r="D18" s="87" t="n"/>
      <c r="E18" s="88" t="n"/>
      <c r="F18" s="86" t="n"/>
      <c r="G18" s="87" t="n"/>
      <c r="H18" s="93">
        <f>IF(OR(C18="",F18=""),"",F18-C18)</f>
        <v/>
      </c>
      <c r="I18" s="56">
        <f>IF(H18="","—",IF(D18="مواد مخزنية",  IF(H18&lt;=3,"🟢 ضمن الهدف","🔴 متأخر"),  IF(H18&lt;=5,"🟢 ضمن الهدف","🔴 متأخر")))</f>
        <v/>
      </c>
    </row>
    <row r="19" ht="15" customHeight="1" s="40">
      <c r="A19" s="85" t="n">
        <v>15</v>
      </c>
      <c r="B19" s="87" t="n"/>
      <c r="C19" s="86" t="n"/>
      <c r="D19" s="87" t="n"/>
      <c r="E19" s="88" t="n"/>
      <c r="F19" s="86" t="n"/>
      <c r="G19" s="87" t="n"/>
      <c r="H19" s="93">
        <f>IF(OR(C19="",F19=""),"",F19-C19)</f>
        <v/>
      </c>
      <c r="I19" s="56">
        <f>IF(H19="","—",IF(D19="مواد مخزنية",  IF(H19&lt;=3,"🟢 ضمن الهدف","🔴 متأخر"),  IF(H19&lt;=5,"🟢 ضمن الهدف","🔴 متأخر")))</f>
        <v/>
      </c>
    </row>
    <row r="20" ht="15" customHeight="1" s="40">
      <c r="A20" s="85" t="n">
        <v>16</v>
      </c>
      <c r="B20" s="87" t="n"/>
      <c r="C20" s="86" t="n"/>
      <c r="D20" s="87" t="n"/>
      <c r="E20" s="88" t="n"/>
      <c r="F20" s="86" t="n"/>
      <c r="G20" s="87" t="n"/>
      <c r="H20" s="93">
        <f>IF(OR(C20="",F20=""),"",F20-C20)</f>
        <v/>
      </c>
      <c r="I20" s="56">
        <f>IF(H20="","—",IF(D20="مواد مخزنية",  IF(H20&lt;=3,"🟢 ضمن الهدف","🔴 متأخر"),  IF(H20&lt;=5,"🟢 ضمن الهدف","🔴 متأخر")))</f>
        <v/>
      </c>
    </row>
    <row r="21" ht="15" customHeight="1" s="40">
      <c r="A21" s="85" t="n">
        <v>17</v>
      </c>
      <c r="B21" s="87" t="n"/>
      <c r="C21" s="86" t="n"/>
      <c r="D21" s="87" t="n"/>
      <c r="E21" s="88" t="n"/>
      <c r="F21" s="86" t="n"/>
      <c r="G21" s="87" t="n"/>
      <c r="H21" s="93">
        <f>IF(OR(C21="",F21=""),"",F21-C21)</f>
        <v/>
      </c>
      <c r="I21" s="56">
        <f>IF(H21="","—",IF(D21="مواد مخزنية",  IF(H21&lt;=3,"🟢 ضمن الهدف","🔴 متأخر"),  IF(H21&lt;=5,"🟢 ضمن الهدف","🔴 متأخر")))</f>
        <v/>
      </c>
    </row>
    <row r="22" ht="15" customHeight="1" s="40">
      <c r="A22" s="85" t="n">
        <v>18</v>
      </c>
      <c r="B22" s="87" t="n"/>
      <c r="C22" s="86" t="n"/>
      <c r="D22" s="87" t="n"/>
      <c r="E22" s="88" t="n"/>
      <c r="F22" s="86" t="n"/>
      <c r="G22" s="87" t="n"/>
      <c r="H22" s="93">
        <f>IF(OR(C22="",F22=""),"",F22-C22)</f>
        <v/>
      </c>
      <c r="I22" s="56">
        <f>IF(H22="","—",IF(D22="مواد مخزنية",  IF(H22&lt;=3,"🟢 ضمن الهدف","🔴 متأخر"),  IF(H22&lt;=5,"🟢 ضمن الهدف","🔴 متأخر")))</f>
        <v/>
      </c>
    </row>
    <row r="23" ht="15" customHeight="1" s="40">
      <c r="A23" s="85" t="n">
        <v>19</v>
      </c>
      <c r="B23" s="87" t="n"/>
      <c r="C23" s="86" t="n"/>
      <c r="D23" s="87" t="n"/>
      <c r="E23" s="88" t="n"/>
      <c r="F23" s="86" t="n"/>
      <c r="G23" s="87" t="n"/>
      <c r="H23" s="93">
        <f>IF(OR(C23="",F23=""),"",F23-C23)</f>
        <v/>
      </c>
      <c r="I23" s="56">
        <f>IF(H23="","—",IF(D23="مواد مخزنية",  IF(H23&lt;=3,"🟢 ضمن الهدف","🔴 متأخر"),  IF(H23&lt;=5,"🟢 ضمن الهدف","🔴 متأخر")))</f>
        <v/>
      </c>
    </row>
    <row r="24" ht="15" customHeight="1" s="40">
      <c r="A24" s="85" t="n">
        <v>20</v>
      </c>
      <c r="B24" s="87" t="n"/>
      <c r="C24" s="86" t="n"/>
      <c r="D24" s="87" t="n"/>
      <c r="E24" s="88" t="n"/>
      <c r="F24" s="86" t="n"/>
      <c r="G24" s="87" t="n"/>
      <c r="H24" s="93">
        <f>IF(OR(C24="",F24=""),"",F24-C24)</f>
        <v/>
      </c>
      <c r="I24" s="56">
        <f>IF(H24="","—",IF(D24="مواد مخزنية",  IF(H24&lt;=3,"🟢 ضمن الهدف","🔴 متأخر"),  IF(H24&lt;=5,"🟢 ضمن الهدف","🔴 متأخر")))</f>
        <v/>
      </c>
    </row>
    <row r="25" ht="15" customHeight="1" s="40">
      <c r="A25" s="85" t="n">
        <v>21</v>
      </c>
      <c r="B25" s="87" t="n"/>
      <c r="C25" s="86" t="n"/>
      <c r="D25" s="87" t="n"/>
      <c r="E25" s="88" t="n"/>
      <c r="F25" s="86" t="n"/>
      <c r="G25" s="87" t="n"/>
      <c r="H25" s="93">
        <f>IF(OR(C25="",F25=""),"",F25-C25)</f>
        <v/>
      </c>
      <c r="I25" s="56">
        <f>IF(H25="","—",IF(D25="مواد مخزنية",  IF(H25&lt;=3,"🟢 ضمن الهدف","🔴 متأخر"),  IF(H25&lt;=5,"🟢 ضمن الهدف","🔴 متأخر")))</f>
        <v/>
      </c>
    </row>
    <row r="26" ht="15" customHeight="1" s="40">
      <c r="A26" s="85" t="n">
        <v>22</v>
      </c>
      <c r="B26" s="87" t="n"/>
      <c r="C26" s="86" t="n"/>
      <c r="D26" s="87" t="n"/>
      <c r="E26" s="88" t="n"/>
      <c r="F26" s="86" t="n"/>
      <c r="G26" s="87" t="n"/>
      <c r="H26" s="93">
        <f>IF(OR(C26="",F26=""),"",F26-C26)</f>
        <v/>
      </c>
      <c r="I26" s="56">
        <f>IF(H26="","—",IF(D26="مواد مخزنية",  IF(H26&lt;=3,"🟢 ضمن الهدف","🔴 متأخر"),  IF(H26&lt;=5,"🟢 ضمن الهدف","🔴 متأخر")))</f>
        <v/>
      </c>
    </row>
    <row r="27" ht="15" customHeight="1" s="40">
      <c r="A27" s="85" t="n">
        <v>23</v>
      </c>
      <c r="B27" s="87" t="n"/>
      <c r="C27" s="86" t="n"/>
      <c r="D27" s="87" t="n"/>
      <c r="E27" s="88" t="n"/>
      <c r="F27" s="86" t="n"/>
      <c r="G27" s="87" t="n"/>
      <c r="H27" s="93">
        <f>IF(OR(C27="",F27=""),"",F27-C27)</f>
        <v/>
      </c>
      <c r="I27" s="56">
        <f>IF(H27="","—",IF(D27="مواد مخزنية",  IF(H27&lt;=3,"🟢 ضمن الهدف","🔴 متأخر"),  IF(H27&lt;=5,"🟢 ضمن الهدف","🔴 متأخر")))</f>
        <v/>
      </c>
    </row>
    <row r="28" ht="15" customHeight="1" s="40">
      <c r="A28" s="85" t="n">
        <v>24</v>
      </c>
      <c r="B28" s="87" t="n"/>
      <c r="C28" s="86" t="n"/>
      <c r="D28" s="87" t="n"/>
      <c r="E28" s="88" t="n"/>
      <c r="F28" s="86" t="n"/>
      <c r="G28" s="87" t="n"/>
      <c r="H28" s="93">
        <f>IF(OR(C28="",F28=""),"",F28-C28)</f>
        <v/>
      </c>
      <c r="I28" s="56">
        <f>IF(H28="","—",IF(D28="مواد مخزنية",  IF(H28&lt;=3,"🟢 ضمن الهدف","🔴 متأخر"),  IF(H28&lt;=5,"🟢 ضمن الهدف","🔴 متأخر")))</f>
        <v/>
      </c>
    </row>
    <row r="29" ht="15" customHeight="1" s="40">
      <c r="A29" s="85" t="n">
        <v>25</v>
      </c>
      <c r="B29" s="87" t="n"/>
      <c r="C29" s="86" t="n"/>
      <c r="D29" s="87" t="n"/>
      <c r="E29" s="88" t="n"/>
      <c r="F29" s="86" t="n"/>
      <c r="G29" s="87" t="n"/>
      <c r="H29" s="93">
        <f>IF(OR(C29="",F29=""),"",F29-C29)</f>
        <v/>
      </c>
      <c r="I29" s="56">
        <f>IF(H29="","—",IF(D29="مواد مخزنية",  IF(H29&lt;=3,"🟢 ضمن الهدف","🔴 متأخر"),  IF(H29&lt;=5,"🟢 ضمن الهدف","🔴 متأخر")))</f>
        <v/>
      </c>
    </row>
    <row r="30" ht="15" customHeight="1" s="40">
      <c r="A30" s="85" t="n">
        <v>26</v>
      </c>
      <c r="B30" s="87" t="n"/>
      <c r="C30" s="86" t="n"/>
      <c r="D30" s="87" t="n"/>
      <c r="E30" s="88" t="n"/>
      <c r="F30" s="86" t="n"/>
      <c r="G30" s="87" t="n"/>
      <c r="H30" s="93">
        <f>IF(OR(C30="",F30=""),"",F30-C30)</f>
        <v/>
      </c>
      <c r="I30" s="56">
        <f>IF(H30="","—",IF(D30="مواد مخزنية",  IF(H30&lt;=3,"🟢 ضمن الهدف","🔴 متأخر"),  IF(H30&lt;=5,"🟢 ضمن الهدف","🔴 متأخر")))</f>
        <v/>
      </c>
    </row>
    <row r="31" ht="15" customHeight="1" s="40">
      <c r="A31" s="85" t="n">
        <v>27</v>
      </c>
      <c r="B31" s="87" t="n"/>
      <c r="C31" s="86" t="n"/>
      <c r="D31" s="87" t="n"/>
      <c r="E31" s="88" t="n"/>
      <c r="F31" s="86" t="n"/>
      <c r="G31" s="87" t="n"/>
      <c r="H31" s="93">
        <f>IF(OR(C31="",F31=""),"",F31-C31)</f>
        <v/>
      </c>
      <c r="I31" s="56">
        <f>IF(H31="","—",IF(D31="مواد مخزنية",  IF(H31&lt;=3,"🟢 ضمن الهدف","🔴 متأخر"),  IF(H31&lt;=5,"🟢 ضمن الهدف","🔴 متأخر")))</f>
        <v/>
      </c>
    </row>
    <row r="32" ht="15" customHeight="1" s="40">
      <c r="A32" s="85" t="n">
        <v>28</v>
      </c>
      <c r="B32" s="87" t="n"/>
      <c r="C32" s="86" t="n"/>
      <c r="D32" s="87" t="n"/>
      <c r="E32" s="88" t="n"/>
      <c r="F32" s="86" t="n"/>
      <c r="G32" s="87" t="n"/>
      <c r="H32" s="93">
        <f>IF(OR(C32="",F32=""),"",F32-C32)</f>
        <v/>
      </c>
      <c r="I32" s="56">
        <f>IF(H32="","—",IF(D32="مواد مخزنية",  IF(H32&lt;=3,"🟢 ضمن الهدف","🔴 متأخر"),  IF(H32&lt;=5,"🟢 ضمن الهدف","🔴 متأخر")))</f>
        <v/>
      </c>
    </row>
    <row r="33" ht="15" customHeight="1" s="40">
      <c r="A33" s="85" t="n">
        <v>29</v>
      </c>
      <c r="B33" s="87" t="n"/>
      <c r="C33" s="86" t="n"/>
      <c r="D33" s="87" t="n"/>
      <c r="E33" s="88" t="n"/>
      <c r="F33" s="86" t="n"/>
      <c r="G33" s="87" t="n"/>
      <c r="H33" s="93">
        <f>IF(OR(C33="",F33=""),"",F33-C33)</f>
        <v/>
      </c>
      <c r="I33" s="56">
        <f>IF(H33="","—",IF(D33="مواد مخزنية",  IF(H33&lt;=3,"🟢 ضمن الهدف","🔴 متأخر"),  IF(H33&lt;=5,"🟢 ضمن الهدف","🔴 متأخر")))</f>
        <v/>
      </c>
    </row>
    <row r="34" ht="15" customHeight="1" s="40">
      <c r="A34" s="85" t="n">
        <v>30</v>
      </c>
      <c r="B34" s="87" t="n"/>
      <c r="C34" s="86" t="n"/>
      <c r="D34" s="87" t="n"/>
      <c r="E34" s="88" t="n"/>
      <c r="F34" s="86" t="n"/>
      <c r="G34" s="87" t="n"/>
      <c r="H34" s="93">
        <f>IF(OR(C34="",F34=""),"",F34-C34)</f>
        <v/>
      </c>
      <c r="I34" s="56">
        <f>IF(H34="","—",IF(D34="مواد مخزنية",  IF(H34&lt;=3,"🟢 ضمن الهدف","🔴 متأخر"),  IF(H34&lt;=5,"🟢 ضمن الهدف","🔴 متأخر")))</f>
        <v/>
      </c>
    </row>
    <row r="35" ht="15" customHeight="1" s="40">
      <c r="A35" s="85" t="n">
        <v>31</v>
      </c>
      <c r="B35" s="87" t="n"/>
      <c r="C35" s="86" t="n"/>
      <c r="D35" s="87" t="n"/>
      <c r="E35" s="88" t="n"/>
      <c r="F35" s="86" t="n"/>
      <c r="G35" s="87" t="n"/>
      <c r="H35" s="93">
        <f>IF(OR(C35="",F35=""),"",F35-C35)</f>
        <v/>
      </c>
      <c r="I35" s="56">
        <f>IF(H35="","—",IF(D35="مواد مخزنية",  IF(H35&lt;=3,"🟢 ضمن الهدف","🔴 متأخر"),  IF(H35&lt;=5,"🟢 ضمن الهدف","🔴 متأخر")))</f>
        <v/>
      </c>
    </row>
    <row r="36" ht="15" customHeight="1" s="40">
      <c r="A36" s="85" t="n">
        <v>32</v>
      </c>
      <c r="B36" s="87" t="n"/>
      <c r="C36" s="86" t="n"/>
      <c r="D36" s="87" t="n"/>
      <c r="E36" s="88" t="n"/>
      <c r="F36" s="86" t="n"/>
      <c r="G36" s="87" t="n"/>
      <c r="H36" s="93">
        <f>IF(OR(C36="",F36=""),"",F36-C36)</f>
        <v/>
      </c>
      <c r="I36" s="56">
        <f>IF(H36="","—",IF(D36="مواد مخزنية",  IF(H36&lt;=3,"🟢 ضمن الهدف","🔴 متأخر"),  IF(H36&lt;=5,"🟢 ضمن الهدف","🔴 متأخر")))</f>
        <v/>
      </c>
    </row>
    <row r="37" ht="15" customHeight="1" s="40">
      <c r="A37" s="85" t="n">
        <v>33</v>
      </c>
      <c r="B37" s="87" t="n"/>
      <c r="C37" s="86" t="n"/>
      <c r="D37" s="87" t="n"/>
      <c r="E37" s="88" t="n"/>
      <c r="F37" s="86" t="n"/>
      <c r="G37" s="87" t="n"/>
      <c r="H37" s="93">
        <f>IF(OR(C37="",F37=""),"",F37-C37)</f>
        <v/>
      </c>
      <c r="I37" s="56">
        <f>IF(H37="","—",IF(D37="مواد مخزنية",  IF(H37&lt;=3,"🟢 ضمن الهدف","🔴 متأخر"),  IF(H37&lt;=5,"🟢 ضمن الهدف","🔴 متأخر")))</f>
        <v/>
      </c>
    </row>
    <row r="38" ht="15" customHeight="1" s="40">
      <c r="A38" s="85" t="n">
        <v>34</v>
      </c>
      <c r="B38" s="87" t="n"/>
      <c r="C38" s="86" t="n"/>
      <c r="D38" s="87" t="n"/>
      <c r="E38" s="88" t="n"/>
      <c r="F38" s="86" t="n"/>
      <c r="G38" s="87" t="n"/>
      <c r="H38" s="93">
        <f>IF(OR(C38="",F38=""),"",F38-C38)</f>
        <v/>
      </c>
      <c r="I38" s="56">
        <f>IF(H38="","—",IF(D38="مواد مخزنية",  IF(H38&lt;=3,"🟢 ضمن الهدف","🔴 متأخر"),  IF(H38&lt;=5,"🟢 ضمن الهدف","🔴 متأخر")))</f>
        <v/>
      </c>
    </row>
    <row r="39" ht="15" customHeight="1" s="40">
      <c r="A39" s="85" t="n">
        <v>35</v>
      </c>
      <c r="B39" s="87" t="n"/>
      <c r="C39" s="86" t="n"/>
      <c r="D39" s="87" t="n"/>
      <c r="E39" s="88" t="n"/>
      <c r="F39" s="86" t="n"/>
      <c r="G39" s="87" t="n"/>
      <c r="H39" s="93">
        <f>IF(OR(C39="",F39=""),"",F39-C39)</f>
        <v/>
      </c>
      <c r="I39" s="56">
        <f>IF(H39="","—",IF(D39="مواد مخزنية",  IF(H39&lt;=3,"🟢 ضمن الهدف","🔴 متأخر"),  IF(H39&lt;=5,"🟢 ضمن الهدف","🔴 متأخر")))</f>
        <v/>
      </c>
    </row>
    <row r="40" ht="15" customHeight="1" s="40">
      <c r="A40" s="85" t="n">
        <v>36</v>
      </c>
      <c r="B40" s="87" t="n"/>
      <c r="C40" s="86" t="n"/>
      <c r="D40" s="87" t="n"/>
      <c r="E40" s="88" t="n"/>
      <c r="F40" s="86" t="n"/>
      <c r="G40" s="87" t="n"/>
      <c r="H40" s="93">
        <f>IF(OR(C40="",F40=""),"",F40-C40)</f>
        <v/>
      </c>
      <c r="I40" s="56">
        <f>IF(H40="","—",IF(D40="مواد مخزنية",  IF(H40&lt;=3,"🟢 ضمن الهدف","🔴 متأخر"),  IF(H40&lt;=5,"🟢 ضمن الهدف","🔴 متأخر")))</f>
        <v/>
      </c>
    </row>
    <row r="41" ht="15" customHeight="1" s="40">
      <c r="A41" s="85" t="n">
        <v>37</v>
      </c>
      <c r="B41" s="87" t="n"/>
      <c r="C41" s="86" t="n"/>
      <c r="D41" s="87" t="n"/>
      <c r="E41" s="88" t="n"/>
      <c r="F41" s="86" t="n"/>
      <c r="G41" s="87" t="n"/>
      <c r="H41" s="93">
        <f>IF(OR(C41="",F41=""),"",F41-C41)</f>
        <v/>
      </c>
      <c r="I41" s="56">
        <f>IF(H41="","—",IF(D41="مواد مخزنية",  IF(H41&lt;=3,"🟢 ضمن الهدف","🔴 متأخر"),  IF(H41&lt;=5,"🟢 ضمن الهدف","🔴 متأخر")))</f>
        <v/>
      </c>
    </row>
    <row r="42" ht="15" customHeight="1" s="40">
      <c r="A42" s="85" t="n">
        <v>38</v>
      </c>
      <c r="B42" s="87" t="n"/>
      <c r="C42" s="86" t="n"/>
      <c r="D42" s="87" t="n"/>
      <c r="E42" s="88" t="n"/>
      <c r="F42" s="86" t="n"/>
      <c r="G42" s="87" t="n"/>
      <c r="H42" s="93">
        <f>IF(OR(C42="",F42=""),"",F42-C42)</f>
        <v/>
      </c>
      <c r="I42" s="56">
        <f>IF(H42="","—",IF(D42="مواد مخزنية",  IF(H42&lt;=3,"🟢 ضمن الهدف","🔴 متأخر"),  IF(H42&lt;=5,"🟢 ضمن الهدف","🔴 متأخر")))</f>
        <v/>
      </c>
    </row>
    <row r="43" ht="15" customHeight="1" s="40">
      <c r="A43" s="85" t="n">
        <v>39</v>
      </c>
      <c r="B43" s="87" t="n"/>
      <c r="C43" s="86" t="n"/>
      <c r="D43" s="87" t="n"/>
      <c r="E43" s="88" t="n"/>
      <c r="F43" s="86" t="n"/>
      <c r="G43" s="87" t="n"/>
      <c r="H43" s="93">
        <f>IF(OR(C43="",F43=""),"",F43-C43)</f>
        <v/>
      </c>
      <c r="I43" s="56">
        <f>IF(H43="","—",IF(D43="مواد مخزنية",  IF(H43&lt;=3,"🟢 ضمن الهدف","🔴 متأخر"),  IF(H43&lt;=5,"🟢 ضمن الهدف","🔴 متأخر")))</f>
        <v/>
      </c>
    </row>
    <row r="44" ht="15" customHeight="1" s="40">
      <c r="A44" s="85" t="n">
        <v>40</v>
      </c>
      <c r="B44" s="87" t="n"/>
      <c r="C44" s="86" t="n"/>
      <c r="D44" s="87" t="n"/>
      <c r="E44" s="88" t="n"/>
      <c r="F44" s="86" t="n"/>
      <c r="G44" s="87" t="n"/>
      <c r="H44" s="93">
        <f>IF(OR(C44="",F44=""),"",F44-C44)</f>
        <v/>
      </c>
      <c r="I44" s="56">
        <f>IF(H44="","—",IF(D44="مواد مخزنية",  IF(H44&lt;=3,"🟢 ضمن الهدف","🔴 متأخر"),  IF(H44&lt;=5,"🟢 ضمن الهدف","🔴 متأخر")))</f>
        <v/>
      </c>
    </row>
    <row r="45" ht="15" customHeight="1" s="40">
      <c r="A45" s="85" t="n">
        <v>41</v>
      </c>
      <c r="B45" s="87" t="n"/>
      <c r="C45" s="86" t="n"/>
      <c r="D45" s="87" t="n"/>
      <c r="E45" s="88" t="n"/>
      <c r="F45" s="86" t="n"/>
      <c r="G45" s="87" t="n"/>
      <c r="H45" s="93">
        <f>IF(OR(C45="",F45=""),"",F45-C45)</f>
        <v/>
      </c>
      <c r="I45" s="56">
        <f>IF(H45="","—",IF(D45="مواد مخزنية",  IF(H45&lt;=3,"🟢 ضمن الهدف","🔴 متأخر"),  IF(H45&lt;=5,"🟢 ضمن الهدف","🔴 متأخر")))</f>
        <v/>
      </c>
    </row>
    <row r="46" ht="15" customHeight="1" s="40">
      <c r="A46" s="85" t="n">
        <v>42</v>
      </c>
      <c r="B46" s="87" t="n"/>
      <c r="C46" s="86" t="n"/>
      <c r="D46" s="87" t="n"/>
      <c r="E46" s="88" t="n"/>
      <c r="F46" s="86" t="n"/>
      <c r="G46" s="87" t="n"/>
      <c r="H46" s="93">
        <f>IF(OR(C46="",F46=""),"",F46-C46)</f>
        <v/>
      </c>
      <c r="I46" s="56">
        <f>IF(H46="","—",IF(D46="مواد مخزنية",  IF(H46&lt;=3,"🟢 ضمن الهدف","🔴 متأخر"),  IF(H46&lt;=5,"🟢 ضمن الهدف","🔴 متأخر")))</f>
        <v/>
      </c>
    </row>
    <row r="47" ht="15" customHeight="1" s="40">
      <c r="A47" s="85" t="n">
        <v>43</v>
      </c>
      <c r="B47" s="87" t="n"/>
      <c r="C47" s="86" t="n"/>
      <c r="D47" s="87" t="n"/>
      <c r="E47" s="88" t="n"/>
      <c r="F47" s="86" t="n"/>
      <c r="G47" s="87" t="n"/>
      <c r="H47" s="93">
        <f>IF(OR(C47="",F47=""),"",F47-C47)</f>
        <v/>
      </c>
      <c r="I47" s="56">
        <f>IF(H47="","—",IF(D47="مواد مخزنية",  IF(H47&lt;=3,"🟢 ضمن الهدف","🔴 متأخر"),  IF(H47&lt;=5,"🟢 ضمن الهدف","🔴 متأخر")))</f>
        <v/>
      </c>
    </row>
    <row r="48" ht="15" customHeight="1" s="40">
      <c r="A48" s="85" t="n">
        <v>44</v>
      </c>
      <c r="B48" s="87" t="n"/>
      <c r="C48" s="86" t="n"/>
      <c r="D48" s="87" t="n"/>
      <c r="E48" s="88" t="n"/>
      <c r="F48" s="86" t="n"/>
      <c r="G48" s="87" t="n"/>
      <c r="H48" s="93">
        <f>IF(OR(C48="",F48=""),"",F48-C48)</f>
        <v/>
      </c>
      <c r="I48" s="56">
        <f>IF(H48="","—",IF(D48="مواد مخزنية",  IF(H48&lt;=3,"🟢 ضمن الهدف","🔴 متأخر"),  IF(H48&lt;=5,"🟢 ضمن الهدف","🔴 متأخر")))</f>
        <v/>
      </c>
    </row>
    <row r="49" ht="15" customHeight="1" s="40">
      <c r="A49" s="85" t="n">
        <v>45</v>
      </c>
      <c r="B49" s="87" t="n"/>
      <c r="C49" s="86" t="n"/>
      <c r="D49" s="87" t="n"/>
      <c r="E49" s="88" t="n"/>
      <c r="F49" s="86" t="n"/>
      <c r="G49" s="87" t="n"/>
      <c r="H49" s="93">
        <f>IF(OR(C49="",F49=""),"",F49-C49)</f>
        <v/>
      </c>
      <c r="I49" s="56">
        <f>IF(H49="","—",IF(D49="مواد مخزنية",  IF(H49&lt;=3,"🟢 ضمن الهدف","🔴 متأخر"),  IF(H49&lt;=5,"🟢 ضمن الهدف","🔴 متأخر")))</f>
        <v/>
      </c>
    </row>
    <row r="50" ht="15" customHeight="1" s="40">
      <c r="A50" s="85" t="n">
        <v>46</v>
      </c>
      <c r="B50" s="87" t="n"/>
      <c r="C50" s="86" t="n"/>
      <c r="D50" s="87" t="n"/>
      <c r="E50" s="88" t="n"/>
      <c r="F50" s="86" t="n"/>
      <c r="G50" s="87" t="n"/>
      <c r="H50" s="93">
        <f>IF(OR(C50="",F50=""),"",F50-C50)</f>
        <v/>
      </c>
      <c r="I50" s="56">
        <f>IF(H50="","—",IF(D50="مواد مخزنية",  IF(H50&lt;=3,"🟢 ضمن الهدف","🔴 متأخر"),  IF(H50&lt;=5,"🟢 ضمن الهدف","🔴 متأخر")))</f>
        <v/>
      </c>
    </row>
    <row r="51" ht="15" customHeight="1" s="40">
      <c r="A51" s="85" t="n">
        <v>47</v>
      </c>
      <c r="B51" s="87" t="n"/>
      <c r="C51" s="86" t="n"/>
      <c r="D51" s="87" t="n"/>
      <c r="E51" s="88" t="n"/>
      <c r="F51" s="86" t="n"/>
      <c r="G51" s="87" t="n"/>
      <c r="H51" s="93">
        <f>IF(OR(C51="",F51=""),"",F51-C51)</f>
        <v/>
      </c>
      <c r="I51" s="56">
        <f>IF(H51="","—",IF(D51="مواد مخزنية",  IF(H51&lt;=3,"🟢 ضمن الهدف","🔴 متأخر"),  IF(H51&lt;=5,"🟢 ضمن الهدف","🔴 متأخر")))</f>
        <v/>
      </c>
    </row>
    <row r="52" ht="15" customHeight="1" s="40">
      <c r="A52" s="85" t="n">
        <v>48</v>
      </c>
      <c r="B52" s="87" t="n"/>
      <c r="C52" s="86" t="n"/>
      <c r="D52" s="87" t="n"/>
      <c r="E52" s="88" t="n"/>
      <c r="F52" s="86" t="n"/>
      <c r="G52" s="87" t="n"/>
      <c r="H52" s="93">
        <f>IF(OR(C52="",F52=""),"",F52-C52)</f>
        <v/>
      </c>
      <c r="I52" s="56">
        <f>IF(H52="","—",IF(D52="مواد مخزنية",  IF(H52&lt;=3,"🟢 ضمن الهدف","🔴 متأخر"),  IF(H52&lt;=5,"🟢 ضمن الهدف","🔴 متأخر")))</f>
        <v/>
      </c>
    </row>
    <row r="53" ht="15" customHeight="1" s="40">
      <c r="A53" s="85" t="n">
        <v>49</v>
      </c>
      <c r="B53" s="87" t="n"/>
      <c r="C53" s="86" t="n"/>
      <c r="D53" s="87" t="n"/>
      <c r="E53" s="88" t="n"/>
      <c r="F53" s="86" t="n"/>
      <c r="G53" s="87" t="n"/>
      <c r="H53" s="93">
        <f>IF(OR(C53="",F53=""),"",F53-C53)</f>
        <v/>
      </c>
      <c r="I53" s="56">
        <f>IF(H53="","—",IF(D53="مواد مخزنية",  IF(H53&lt;=3,"🟢 ضمن الهدف","🔴 متأخر"),  IF(H53&lt;=5,"🟢 ضمن الهدف","🔴 متأخر")))</f>
        <v/>
      </c>
    </row>
    <row r="54" ht="15" customHeight="1" s="40">
      <c r="A54" s="85" t="n">
        <v>50</v>
      </c>
      <c r="B54" s="87" t="n"/>
      <c r="C54" s="86" t="n"/>
      <c r="D54" s="87" t="n"/>
      <c r="E54" s="88" t="n"/>
      <c r="F54" s="86" t="n"/>
      <c r="G54" s="87" t="n"/>
      <c r="H54" s="93">
        <f>IF(OR(C54="",F54=""),"",F54-C54)</f>
        <v/>
      </c>
      <c r="I54" s="56">
        <f>IF(H54="","—",IF(D54="مواد مخزنية",  IF(H54&lt;=3,"🟢 ضمن الهدف","🔴 متأخر"),  IF(H54&lt;=5,"🟢 ضمن الهدف","🔴 متأخر")))</f>
        <v/>
      </c>
    </row>
    <row r="55" ht="15" customHeight="1" s="40">
      <c r="A55" s="85" t="n">
        <v>51</v>
      </c>
      <c r="B55" s="87" t="n"/>
      <c r="C55" s="86" t="n"/>
      <c r="D55" s="87" t="n"/>
      <c r="E55" s="88" t="n"/>
      <c r="F55" s="86" t="n"/>
      <c r="G55" s="87" t="n"/>
      <c r="H55" s="93">
        <f>IF(OR(C55="",F55=""),"",F55-C55)</f>
        <v/>
      </c>
      <c r="I55" s="56">
        <f>IF(H55="","—",IF(D55="مواد مخزنية",  IF(H55&lt;=3,"🟢 ضمن الهدف","🔴 متأخر"),  IF(H55&lt;=5,"🟢 ضمن الهدف","🔴 متأخر")))</f>
        <v/>
      </c>
    </row>
    <row r="56" ht="15" customHeight="1" s="40">
      <c r="A56" s="85" t="n">
        <v>52</v>
      </c>
      <c r="B56" s="87" t="n"/>
      <c r="C56" s="86" t="n"/>
      <c r="D56" s="87" t="n"/>
      <c r="E56" s="88" t="n"/>
      <c r="F56" s="86" t="n"/>
      <c r="G56" s="87" t="n"/>
      <c r="H56" s="93">
        <f>IF(OR(C56="",F56=""),"",F56-C56)</f>
        <v/>
      </c>
      <c r="I56" s="56">
        <f>IF(H56="","—",IF(D56="مواد مخزنية",  IF(H56&lt;=3,"🟢 ضمن الهدف","🔴 متأخر"),  IF(H56&lt;=5,"🟢 ضمن الهدف","🔴 متأخر")))</f>
        <v/>
      </c>
    </row>
    <row r="57" ht="15" customHeight="1" s="40">
      <c r="A57" s="85" t="n">
        <v>53</v>
      </c>
      <c r="B57" s="87" t="n"/>
      <c r="C57" s="86" t="n"/>
      <c r="D57" s="87" t="n"/>
      <c r="E57" s="88" t="n"/>
      <c r="F57" s="86" t="n"/>
      <c r="G57" s="87" t="n"/>
      <c r="H57" s="93">
        <f>IF(OR(C57="",F57=""),"",F57-C57)</f>
        <v/>
      </c>
      <c r="I57" s="56">
        <f>IF(H57="","—",IF(D57="مواد مخزنية",  IF(H57&lt;=3,"🟢 ضمن الهدف","🔴 متأخر"),  IF(H57&lt;=5,"🟢 ضمن الهدف","🔴 متأخر")))</f>
        <v/>
      </c>
    </row>
    <row r="58" ht="15" customHeight="1" s="40">
      <c r="A58" s="85" t="n">
        <v>54</v>
      </c>
      <c r="B58" s="87" t="n"/>
      <c r="C58" s="86" t="n"/>
      <c r="D58" s="87" t="n"/>
      <c r="E58" s="88" t="n"/>
      <c r="F58" s="86" t="n"/>
      <c r="G58" s="87" t="n"/>
      <c r="H58" s="93">
        <f>IF(OR(C58="",F58=""),"",F58-C58)</f>
        <v/>
      </c>
      <c r="I58" s="56">
        <f>IF(H58="","—",IF(D58="مواد مخزنية",  IF(H58&lt;=3,"🟢 ضمن الهدف","🔴 متأخر"),  IF(H58&lt;=5,"🟢 ضمن الهدف","🔴 متأخر")))</f>
        <v/>
      </c>
    </row>
    <row r="59" ht="15" customHeight="1" s="40">
      <c r="A59" s="85" t="n">
        <v>55</v>
      </c>
      <c r="B59" s="87" t="n"/>
      <c r="C59" s="86" t="n"/>
      <c r="D59" s="87" t="n"/>
      <c r="E59" s="88" t="n"/>
      <c r="F59" s="86" t="n"/>
      <c r="G59" s="87" t="n"/>
      <c r="H59" s="93">
        <f>IF(OR(C59="",F59=""),"",F59-C59)</f>
        <v/>
      </c>
      <c r="I59" s="56">
        <f>IF(H59="","—",IF(D59="مواد مخزنية",  IF(H59&lt;=3,"🟢 ضمن الهدف","🔴 متأخر"),  IF(H59&lt;=5,"🟢 ضمن الهدف","🔴 متأخر")))</f>
        <v/>
      </c>
    </row>
    <row r="60" ht="15" customHeight="1" s="40">
      <c r="A60" s="85" t="n">
        <v>56</v>
      </c>
      <c r="B60" s="87" t="n"/>
      <c r="C60" s="86" t="n"/>
      <c r="D60" s="87" t="n"/>
      <c r="E60" s="88" t="n"/>
      <c r="F60" s="86" t="n"/>
      <c r="G60" s="87" t="n"/>
      <c r="H60" s="93">
        <f>IF(OR(C60="",F60=""),"",F60-C60)</f>
        <v/>
      </c>
      <c r="I60" s="56">
        <f>IF(H60="","—",IF(D60="مواد مخزنية",  IF(H60&lt;=3,"🟢 ضمن الهدف","🔴 متأخر"),  IF(H60&lt;=5,"🟢 ضمن الهدف","🔴 متأخر")))</f>
        <v/>
      </c>
    </row>
    <row r="61" ht="15" customHeight="1" s="40">
      <c r="A61" s="85" t="n">
        <v>57</v>
      </c>
      <c r="B61" s="87" t="n"/>
      <c r="C61" s="86" t="n"/>
      <c r="D61" s="87" t="n"/>
      <c r="E61" s="88" t="n"/>
      <c r="F61" s="86" t="n"/>
      <c r="G61" s="87" t="n"/>
      <c r="H61" s="93">
        <f>IF(OR(C61="",F61=""),"",F61-C61)</f>
        <v/>
      </c>
      <c r="I61" s="56">
        <f>IF(H61="","—",IF(D61="مواد مخزنية",  IF(H61&lt;=3,"🟢 ضمن الهدف","🔴 متأخر"),  IF(H61&lt;=5,"🟢 ضمن الهدف","🔴 متأخر")))</f>
        <v/>
      </c>
    </row>
    <row r="62" ht="15" customHeight="1" s="40">
      <c r="A62" s="85" t="n">
        <v>58</v>
      </c>
      <c r="B62" s="87" t="n"/>
      <c r="C62" s="86" t="n"/>
      <c r="D62" s="87" t="n"/>
      <c r="E62" s="88" t="n"/>
      <c r="F62" s="86" t="n"/>
      <c r="G62" s="87" t="n"/>
      <c r="H62" s="93">
        <f>IF(OR(C62="",F62=""),"",F62-C62)</f>
        <v/>
      </c>
      <c r="I62" s="56">
        <f>IF(H62="","—",IF(D62="مواد مخزنية",  IF(H62&lt;=3,"🟢 ضمن الهدف","🔴 متأخر"),  IF(H62&lt;=5,"🟢 ضمن الهدف","🔴 متأخر")))</f>
        <v/>
      </c>
    </row>
    <row r="63" ht="15" customHeight="1" s="40">
      <c r="A63" s="85" t="n">
        <v>59</v>
      </c>
      <c r="B63" s="87" t="n"/>
      <c r="C63" s="86" t="n"/>
      <c r="D63" s="87" t="n"/>
      <c r="E63" s="88" t="n"/>
      <c r="F63" s="86" t="n"/>
      <c r="G63" s="87" t="n"/>
      <c r="H63" s="93">
        <f>IF(OR(C63="",F63=""),"",F63-C63)</f>
        <v/>
      </c>
      <c r="I63" s="56">
        <f>IF(H63="","—",IF(D63="مواد مخزنية",  IF(H63&lt;=3,"🟢 ضمن الهدف","🔴 متأخر"),  IF(H63&lt;=5,"🟢 ضمن الهدف","🔴 متأخر")))</f>
        <v/>
      </c>
    </row>
    <row r="64" ht="15" customHeight="1" s="40">
      <c r="A64" s="85" t="n">
        <v>60</v>
      </c>
      <c r="B64" s="87" t="n"/>
      <c r="C64" s="86" t="n"/>
      <c r="D64" s="87" t="n"/>
      <c r="E64" s="88" t="n"/>
      <c r="F64" s="86" t="n"/>
      <c r="G64" s="87" t="n"/>
      <c r="H64" s="93">
        <f>IF(OR(C64="",F64=""),"",F64-C64)</f>
        <v/>
      </c>
      <c r="I64" s="56">
        <f>IF(H64="","—",IF(D64="مواد مخزنية",  IF(H64&lt;=3,"🟢 ضمن الهدف","🔴 متأخر"),  IF(H64&lt;=5,"🟢 ضمن الهدف","🔴 متأخر")))</f>
        <v/>
      </c>
    </row>
    <row r="65" ht="15" customHeight="1" s="40">
      <c r="A65" s="85" t="n">
        <v>61</v>
      </c>
      <c r="B65" s="87" t="n"/>
      <c r="C65" s="86" t="n"/>
      <c r="D65" s="87" t="n"/>
      <c r="E65" s="88" t="n"/>
      <c r="F65" s="86" t="n"/>
      <c r="G65" s="87" t="n"/>
      <c r="H65" s="93">
        <f>IF(OR(C65="",F65=""),"",F65-C65)</f>
        <v/>
      </c>
      <c r="I65" s="56">
        <f>IF(H65="","—",IF(D65="مواد مخزنية",  IF(H65&lt;=3,"🟢 ضمن الهدف","🔴 متأخر"),  IF(H65&lt;=5,"🟢 ضمن الهدف","🔴 متأخر")))</f>
        <v/>
      </c>
    </row>
    <row r="66" ht="15" customHeight="1" s="40">
      <c r="A66" s="85" t="n">
        <v>62</v>
      </c>
      <c r="B66" s="87" t="n"/>
      <c r="C66" s="86" t="n"/>
      <c r="D66" s="87" t="n"/>
      <c r="E66" s="88" t="n"/>
      <c r="F66" s="86" t="n"/>
      <c r="G66" s="87" t="n"/>
      <c r="H66" s="93">
        <f>IF(OR(C66="",F66=""),"",F66-C66)</f>
        <v/>
      </c>
      <c r="I66" s="56">
        <f>IF(H66="","—",IF(D66="مواد مخزنية",  IF(H66&lt;=3,"🟢 ضمن الهدف","🔴 متأخر"),  IF(H66&lt;=5,"🟢 ضمن الهدف","🔴 متأخر")))</f>
        <v/>
      </c>
    </row>
    <row r="67" ht="15" customHeight="1" s="40">
      <c r="A67" s="85" t="n">
        <v>63</v>
      </c>
      <c r="B67" s="87" t="n"/>
      <c r="C67" s="86" t="n"/>
      <c r="D67" s="87" t="n"/>
      <c r="E67" s="88" t="n"/>
      <c r="F67" s="86" t="n"/>
      <c r="G67" s="87" t="n"/>
      <c r="H67" s="93">
        <f>IF(OR(C67="",F67=""),"",F67-C67)</f>
        <v/>
      </c>
      <c r="I67" s="56">
        <f>IF(H67="","—",IF(D67="مواد مخزنية",  IF(H67&lt;=3,"🟢 ضمن الهدف","🔴 متأخر"),  IF(H67&lt;=5,"🟢 ضمن الهدف","🔴 متأخر")))</f>
        <v/>
      </c>
    </row>
    <row r="68" ht="15" customHeight="1" s="40">
      <c r="A68" s="85" t="n">
        <v>64</v>
      </c>
      <c r="B68" s="87" t="n"/>
      <c r="C68" s="86" t="n"/>
      <c r="D68" s="87" t="n"/>
      <c r="E68" s="88" t="n"/>
      <c r="F68" s="86" t="n"/>
      <c r="G68" s="87" t="n"/>
      <c r="H68" s="93">
        <f>IF(OR(C68="",F68=""),"",F68-C68)</f>
        <v/>
      </c>
      <c r="I68" s="56">
        <f>IF(H68="","—",IF(D68="مواد مخزنية",  IF(H68&lt;=3,"🟢 ضمن الهدف","🔴 متأخر"),  IF(H68&lt;=5,"🟢 ضمن الهدف","🔴 متأخر")))</f>
        <v/>
      </c>
    </row>
    <row r="69" ht="15" customHeight="1" s="40">
      <c r="A69" s="85" t="n">
        <v>65</v>
      </c>
      <c r="B69" s="87" t="n"/>
      <c r="C69" s="86" t="n"/>
      <c r="D69" s="87" t="n"/>
      <c r="E69" s="88" t="n"/>
      <c r="F69" s="86" t="n"/>
      <c r="G69" s="87" t="n"/>
      <c r="H69" s="93">
        <f>IF(OR(C69="",F69=""),"",F69-C69)</f>
        <v/>
      </c>
      <c r="I69" s="56">
        <f>IF(H69="","—",IF(D69="مواد مخزنية",  IF(H69&lt;=3,"🟢 ضمن الهدف","🔴 متأخر"),  IF(H69&lt;=5,"🟢 ضمن الهدف","🔴 متأخر")))</f>
        <v/>
      </c>
    </row>
    <row r="70" ht="15" customHeight="1" s="40">
      <c r="A70" s="85" t="n">
        <v>66</v>
      </c>
      <c r="B70" s="87" t="n"/>
      <c r="C70" s="86" t="n"/>
      <c r="D70" s="87" t="n"/>
      <c r="E70" s="88" t="n"/>
      <c r="F70" s="86" t="n"/>
      <c r="G70" s="87" t="n"/>
      <c r="H70" s="93">
        <f>IF(OR(C70="",F70=""),"",F70-C70)</f>
        <v/>
      </c>
      <c r="I70" s="56">
        <f>IF(H70="","—",IF(D70="مواد مخزنية",  IF(H70&lt;=3,"🟢 ضمن الهدف","🔴 متأخر"),  IF(H70&lt;=5,"🟢 ضمن الهدف","🔴 متأخر")))</f>
        <v/>
      </c>
    </row>
    <row r="71" ht="15" customHeight="1" s="40">
      <c r="A71" s="85" t="n">
        <v>67</v>
      </c>
      <c r="B71" s="87" t="n"/>
      <c r="C71" s="86" t="n"/>
      <c r="D71" s="87" t="n"/>
      <c r="E71" s="88" t="n"/>
      <c r="F71" s="86" t="n"/>
      <c r="G71" s="87" t="n"/>
      <c r="H71" s="93">
        <f>IF(OR(C71="",F71=""),"",F71-C71)</f>
        <v/>
      </c>
      <c r="I71" s="56">
        <f>IF(H71="","—",IF(D71="مواد مخزنية",  IF(H71&lt;=3,"🟢 ضمن الهدف","🔴 متأخر"),  IF(H71&lt;=5,"🟢 ضمن الهدف","🔴 متأخر")))</f>
        <v/>
      </c>
    </row>
    <row r="72" ht="15" customHeight="1" s="40">
      <c r="A72" s="85" t="n">
        <v>68</v>
      </c>
      <c r="B72" s="87" t="n"/>
      <c r="C72" s="86" t="n"/>
      <c r="D72" s="87" t="n"/>
      <c r="E72" s="88" t="n"/>
      <c r="F72" s="86" t="n"/>
      <c r="G72" s="87" t="n"/>
      <c r="H72" s="93">
        <f>IF(OR(C72="",F72=""),"",F72-C72)</f>
        <v/>
      </c>
      <c r="I72" s="56">
        <f>IF(H72="","—",IF(D72="مواد مخزنية",  IF(H72&lt;=3,"🟢 ضمن الهدف","🔴 متأخر"),  IF(H72&lt;=5,"🟢 ضمن الهدف","🔴 متأخر")))</f>
        <v/>
      </c>
    </row>
    <row r="73" ht="15" customHeight="1" s="40">
      <c r="A73" s="85" t="n">
        <v>69</v>
      </c>
      <c r="B73" s="87" t="n"/>
      <c r="C73" s="86" t="n"/>
      <c r="D73" s="87" t="n"/>
      <c r="E73" s="88" t="n"/>
      <c r="F73" s="86" t="n"/>
      <c r="G73" s="87" t="n"/>
      <c r="H73" s="93">
        <f>IF(OR(C73="",F73=""),"",F73-C73)</f>
        <v/>
      </c>
      <c r="I73" s="56">
        <f>IF(H73="","—",IF(D73="مواد مخزنية",  IF(H73&lt;=3,"🟢 ضمن الهدف","🔴 متأخر"),  IF(H73&lt;=5,"🟢 ضمن الهدف","🔴 متأخر")))</f>
        <v/>
      </c>
    </row>
    <row r="74" ht="15" customHeight="1" s="40">
      <c r="A74" s="85" t="n">
        <v>70</v>
      </c>
      <c r="B74" s="87" t="n"/>
      <c r="C74" s="86" t="n"/>
      <c r="D74" s="87" t="n"/>
      <c r="E74" s="88" t="n"/>
      <c r="F74" s="86" t="n"/>
      <c r="G74" s="87" t="n"/>
      <c r="H74" s="93">
        <f>IF(OR(C74="",F74=""),"",F74-C74)</f>
        <v/>
      </c>
      <c r="I74" s="56">
        <f>IF(H74="","—",IF(D74="مواد مخزنية",  IF(H74&lt;=3,"🟢 ضمن الهدف","🔴 متأخر"),  IF(H74&lt;=5,"🟢 ضمن الهدف","🔴 متأخر")))</f>
        <v/>
      </c>
    </row>
    <row r="75" ht="15" customHeight="1" s="40">
      <c r="A75" s="85" t="n">
        <v>71</v>
      </c>
      <c r="B75" s="87" t="n"/>
      <c r="C75" s="86" t="n"/>
      <c r="D75" s="87" t="n"/>
      <c r="E75" s="88" t="n"/>
      <c r="F75" s="86" t="n"/>
      <c r="G75" s="87" t="n"/>
      <c r="H75" s="93">
        <f>IF(OR(C75="",F75=""),"",F75-C75)</f>
        <v/>
      </c>
      <c r="I75" s="56">
        <f>IF(H75="","—",IF(D75="مواد مخزنية",  IF(H75&lt;=3,"🟢 ضمن الهدف","🔴 متأخر"),  IF(H75&lt;=5,"🟢 ضمن الهدف","🔴 متأخر")))</f>
        <v/>
      </c>
    </row>
    <row r="76" ht="15" customHeight="1" s="40">
      <c r="A76" s="85" t="n">
        <v>72</v>
      </c>
      <c r="B76" s="87" t="n"/>
      <c r="C76" s="86" t="n"/>
      <c r="D76" s="87" t="n"/>
      <c r="E76" s="88" t="n"/>
      <c r="F76" s="86" t="n"/>
      <c r="G76" s="87" t="n"/>
      <c r="H76" s="93">
        <f>IF(OR(C76="",F76=""),"",F76-C76)</f>
        <v/>
      </c>
      <c r="I76" s="56">
        <f>IF(H76="","—",IF(D76="مواد مخزنية",  IF(H76&lt;=3,"🟢 ضمن الهدف","🔴 متأخر"),  IF(H76&lt;=5,"🟢 ضمن الهدف","🔴 متأخر")))</f>
        <v/>
      </c>
    </row>
    <row r="77" ht="15" customHeight="1" s="40">
      <c r="A77" s="85" t="n">
        <v>73</v>
      </c>
      <c r="B77" s="87" t="n"/>
      <c r="C77" s="86" t="n"/>
      <c r="D77" s="87" t="n"/>
      <c r="E77" s="88" t="n"/>
      <c r="F77" s="86" t="n"/>
      <c r="G77" s="87" t="n"/>
      <c r="H77" s="93">
        <f>IF(OR(C77="",F77=""),"",F77-C77)</f>
        <v/>
      </c>
      <c r="I77" s="56">
        <f>IF(H77="","—",IF(D77="مواد مخزنية",  IF(H77&lt;=3,"🟢 ضمن الهدف","🔴 متأخر"),  IF(H77&lt;=5,"🟢 ضمن الهدف","🔴 متأخر")))</f>
        <v/>
      </c>
    </row>
    <row r="78" ht="15" customHeight="1" s="40">
      <c r="A78" s="85" t="n">
        <v>74</v>
      </c>
      <c r="B78" s="87" t="n"/>
      <c r="C78" s="86" t="n"/>
      <c r="D78" s="87" t="n"/>
      <c r="E78" s="88" t="n"/>
      <c r="F78" s="86" t="n"/>
      <c r="G78" s="87" t="n"/>
      <c r="H78" s="93">
        <f>IF(OR(C78="",F78=""),"",F78-C78)</f>
        <v/>
      </c>
      <c r="I78" s="56">
        <f>IF(H78="","—",IF(D78="مواد مخزنية",  IF(H78&lt;=3,"🟢 ضمن الهدف","🔴 متأخر"),  IF(H78&lt;=5,"🟢 ضمن الهدف","🔴 متأخر")))</f>
        <v/>
      </c>
    </row>
    <row r="79" ht="15" customHeight="1" s="40">
      <c r="A79" s="85" t="n">
        <v>75</v>
      </c>
      <c r="B79" s="87" t="n"/>
      <c r="C79" s="86" t="n"/>
      <c r="D79" s="87" t="n"/>
      <c r="E79" s="88" t="n"/>
      <c r="F79" s="86" t="n"/>
      <c r="G79" s="87" t="n"/>
      <c r="H79" s="93">
        <f>IF(OR(C79="",F79=""),"",F79-C79)</f>
        <v/>
      </c>
      <c r="I79" s="56">
        <f>IF(H79="","—",IF(D79="مواد مخزنية",  IF(H79&lt;=3,"🟢 ضمن الهدف","🔴 متأخر"),  IF(H79&lt;=5,"🟢 ضمن الهدف","🔴 متأخر")))</f>
        <v/>
      </c>
    </row>
    <row r="80" ht="15" customHeight="1" s="40">
      <c r="A80" s="85" t="n">
        <v>76</v>
      </c>
      <c r="B80" s="87" t="n"/>
      <c r="C80" s="86" t="n"/>
      <c r="D80" s="87" t="n"/>
      <c r="E80" s="88" t="n"/>
      <c r="F80" s="86" t="n"/>
      <c r="G80" s="87" t="n"/>
      <c r="H80" s="93">
        <f>IF(OR(C80="",F80=""),"",F80-C80)</f>
        <v/>
      </c>
      <c r="I80" s="56">
        <f>IF(H80="","—",IF(D80="مواد مخزنية",  IF(H80&lt;=3,"🟢 ضمن الهدف","🔴 متأخر"),  IF(H80&lt;=5,"🟢 ضمن الهدف","🔴 متأخر")))</f>
        <v/>
      </c>
    </row>
    <row r="81" ht="15" customHeight="1" s="40">
      <c r="A81" s="85" t="n">
        <v>77</v>
      </c>
      <c r="B81" s="87" t="n"/>
      <c r="C81" s="86" t="n"/>
      <c r="D81" s="87" t="n"/>
      <c r="E81" s="88" t="n"/>
      <c r="F81" s="86" t="n"/>
      <c r="G81" s="87" t="n"/>
      <c r="H81" s="93">
        <f>IF(OR(C81="",F81=""),"",F81-C81)</f>
        <v/>
      </c>
      <c r="I81" s="56">
        <f>IF(H81="","—",IF(D81="مواد مخزنية",  IF(H81&lt;=3,"🟢 ضمن الهدف","🔴 متأخر"),  IF(H81&lt;=5,"🟢 ضمن الهدف","🔴 متأخر")))</f>
        <v/>
      </c>
    </row>
    <row r="82" ht="15" customHeight="1" s="40">
      <c r="A82" s="85" t="n">
        <v>78</v>
      </c>
      <c r="B82" s="87" t="n"/>
      <c r="C82" s="86" t="n"/>
      <c r="D82" s="87" t="n"/>
      <c r="E82" s="88" t="n"/>
      <c r="F82" s="86" t="n"/>
      <c r="G82" s="87" t="n"/>
      <c r="H82" s="93">
        <f>IF(OR(C82="",F82=""),"",F82-C82)</f>
        <v/>
      </c>
      <c r="I82" s="56">
        <f>IF(H82="","—",IF(D82="مواد مخزنية",  IF(H82&lt;=3,"🟢 ضمن الهدف","🔴 متأخر"),  IF(H82&lt;=5,"🟢 ضمن الهدف","🔴 متأخر")))</f>
        <v/>
      </c>
    </row>
    <row r="83" ht="15" customHeight="1" s="40">
      <c r="A83" s="85" t="n">
        <v>79</v>
      </c>
      <c r="B83" s="87" t="n"/>
      <c r="C83" s="86" t="n"/>
      <c r="D83" s="87" t="n"/>
      <c r="E83" s="88" t="n"/>
      <c r="F83" s="86" t="n"/>
      <c r="G83" s="87" t="n"/>
      <c r="H83" s="93">
        <f>IF(OR(C83="",F83=""),"",F83-C83)</f>
        <v/>
      </c>
      <c r="I83" s="56">
        <f>IF(H83="","—",IF(D83="مواد مخزنية",  IF(H83&lt;=3,"🟢 ضمن الهدف","🔴 متأخر"),  IF(H83&lt;=5,"🟢 ضمن الهدف","🔴 متأخر")))</f>
        <v/>
      </c>
    </row>
    <row r="84" ht="15" customHeight="1" s="40">
      <c r="A84" s="85" t="n">
        <v>80</v>
      </c>
      <c r="B84" s="87" t="n"/>
      <c r="C84" s="86" t="n"/>
      <c r="D84" s="87" t="n"/>
      <c r="E84" s="88" t="n"/>
      <c r="F84" s="86" t="n"/>
      <c r="G84" s="87" t="n"/>
      <c r="H84" s="93">
        <f>IF(OR(C84="",F84=""),"",F84-C84)</f>
        <v/>
      </c>
      <c r="I84" s="56">
        <f>IF(H84="","—",IF(D84="مواد مخزنية",  IF(H84&lt;=3,"🟢 ضمن الهدف","🔴 متأخر"),  IF(H84&lt;=5,"🟢 ضمن الهدف","🔴 متأخر")))</f>
        <v/>
      </c>
    </row>
    <row r="85" ht="15" customHeight="1" s="40">
      <c r="A85" s="85" t="n">
        <v>81</v>
      </c>
      <c r="B85" s="87" t="n"/>
      <c r="C85" s="86" t="n"/>
      <c r="D85" s="87" t="n"/>
      <c r="E85" s="88" t="n"/>
      <c r="F85" s="86" t="n"/>
      <c r="G85" s="87" t="n"/>
      <c r="H85" s="93">
        <f>IF(OR(C85="",F85=""),"",F85-C85)</f>
        <v/>
      </c>
      <c r="I85" s="56">
        <f>IF(H85="","—",IF(D85="مواد مخزنية",  IF(H85&lt;=3,"🟢 ضمن الهدف","🔴 متأخر"),  IF(H85&lt;=5,"🟢 ضمن الهدف","🔴 متأخر")))</f>
        <v/>
      </c>
    </row>
    <row r="86" ht="15" customHeight="1" s="40">
      <c r="A86" s="85" t="n">
        <v>82</v>
      </c>
      <c r="B86" s="87" t="n"/>
      <c r="C86" s="86" t="n"/>
      <c r="D86" s="87" t="n"/>
      <c r="E86" s="88" t="n"/>
      <c r="F86" s="86" t="n"/>
      <c r="G86" s="87" t="n"/>
      <c r="H86" s="93">
        <f>IF(OR(C86="",F86=""),"",F86-C86)</f>
        <v/>
      </c>
      <c r="I86" s="56">
        <f>IF(H86="","—",IF(D86="مواد مخزنية",  IF(H86&lt;=3,"🟢 ضمن الهدف","🔴 متأخر"),  IF(H86&lt;=5,"🟢 ضمن الهدف","🔴 متأخر")))</f>
        <v/>
      </c>
    </row>
    <row r="87" ht="15" customHeight="1" s="40">
      <c r="A87" s="85" t="n">
        <v>83</v>
      </c>
      <c r="B87" s="87" t="n"/>
      <c r="C87" s="86" t="n"/>
      <c r="D87" s="87" t="n"/>
      <c r="E87" s="88" t="n"/>
      <c r="F87" s="86" t="n"/>
      <c r="G87" s="87" t="n"/>
      <c r="H87" s="93">
        <f>IF(OR(C87="",F87=""),"",F87-C87)</f>
        <v/>
      </c>
      <c r="I87" s="56">
        <f>IF(H87="","—",IF(D87="مواد مخزنية",  IF(H87&lt;=3,"🟢 ضمن الهدف","🔴 متأخر"),  IF(H87&lt;=5,"🟢 ضمن الهدف","🔴 متأخر")))</f>
        <v/>
      </c>
    </row>
    <row r="88" ht="15" customHeight="1" s="40">
      <c r="A88" s="85" t="n">
        <v>84</v>
      </c>
      <c r="B88" s="87" t="n"/>
      <c r="C88" s="86" t="n"/>
      <c r="D88" s="87" t="n"/>
      <c r="E88" s="88" t="n"/>
      <c r="F88" s="86" t="n"/>
      <c r="G88" s="87" t="n"/>
      <c r="H88" s="93">
        <f>IF(OR(C88="",F88=""),"",F88-C88)</f>
        <v/>
      </c>
      <c r="I88" s="56">
        <f>IF(H88="","—",IF(D88="مواد مخزنية",  IF(H88&lt;=3,"🟢 ضمن الهدف","🔴 متأخر"),  IF(H88&lt;=5,"🟢 ضمن الهدف","🔴 متأخر")))</f>
        <v/>
      </c>
    </row>
    <row r="89" ht="15" customHeight="1" s="40">
      <c r="A89" s="85" t="n">
        <v>85</v>
      </c>
      <c r="B89" s="87" t="n"/>
      <c r="C89" s="86" t="n"/>
      <c r="D89" s="87" t="n"/>
      <c r="E89" s="88" t="n"/>
      <c r="F89" s="86" t="n"/>
      <c r="G89" s="87" t="n"/>
      <c r="H89" s="93">
        <f>IF(OR(C89="",F89=""),"",F89-C89)</f>
        <v/>
      </c>
      <c r="I89" s="56">
        <f>IF(H89="","—",IF(D89="مواد مخزنية",  IF(H89&lt;=3,"🟢 ضمن الهدف","🔴 متأخر"),  IF(H89&lt;=5,"🟢 ضمن الهدف","🔴 متأخر")))</f>
        <v/>
      </c>
    </row>
    <row r="90" ht="15" customHeight="1" s="40">
      <c r="A90" s="85" t="n">
        <v>86</v>
      </c>
      <c r="B90" s="87" t="n"/>
      <c r="C90" s="86" t="n"/>
      <c r="D90" s="87" t="n"/>
      <c r="E90" s="88" t="n"/>
      <c r="F90" s="86" t="n"/>
      <c r="G90" s="87" t="n"/>
      <c r="H90" s="93">
        <f>IF(OR(C90="",F90=""),"",F90-C90)</f>
        <v/>
      </c>
      <c r="I90" s="56">
        <f>IF(H90="","—",IF(D90="مواد مخزنية",  IF(H90&lt;=3,"🟢 ضمن الهدف","🔴 متأخر"),  IF(H90&lt;=5,"🟢 ضمن الهدف","🔴 متأخر")))</f>
        <v/>
      </c>
    </row>
    <row r="91" ht="15" customHeight="1" s="40">
      <c r="A91" s="85" t="n">
        <v>87</v>
      </c>
      <c r="B91" s="87" t="n"/>
      <c r="C91" s="86" t="n"/>
      <c r="D91" s="87" t="n"/>
      <c r="E91" s="88" t="n"/>
      <c r="F91" s="86" t="n"/>
      <c r="G91" s="87" t="n"/>
      <c r="H91" s="93">
        <f>IF(OR(C91="",F91=""),"",F91-C91)</f>
        <v/>
      </c>
      <c r="I91" s="56">
        <f>IF(H91="","—",IF(D91="مواد مخزنية",  IF(H91&lt;=3,"🟢 ضمن الهدف","🔴 متأخر"),  IF(H91&lt;=5,"🟢 ضمن الهدف","🔴 متأخر")))</f>
        <v/>
      </c>
    </row>
    <row r="92" ht="15" customHeight="1" s="40">
      <c r="A92" s="85" t="n">
        <v>88</v>
      </c>
      <c r="B92" s="87" t="n"/>
      <c r="C92" s="86" t="n"/>
      <c r="D92" s="87" t="n"/>
      <c r="E92" s="88" t="n"/>
      <c r="F92" s="86" t="n"/>
      <c r="G92" s="87" t="n"/>
      <c r="H92" s="93">
        <f>IF(OR(C92="",F92=""),"",F92-C92)</f>
        <v/>
      </c>
      <c r="I92" s="56">
        <f>IF(H92="","—",IF(D92="مواد مخزنية",  IF(H92&lt;=3,"🟢 ضمن الهدف","🔴 متأخر"),  IF(H92&lt;=5,"🟢 ضمن الهدف","🔴 متأخر")))</f>
        <v/>
      </c>
    </row>
    <row r="93" ht="15" customHeight="1" s="40">
      <c r="A93" s="85" t="n">
        <v>89</v>
      </c>
      <c r="B93" s="87" t="n"/>
      <c r="C93" s="86" t="n"/>
      <c r="D93" s="87" t="n"/>
      <c r="E93" s="88" t="n"/>
      <c r="F93" s="86" t="n"/>
      <c r="G93" s="87" t="n"/>
      <c r="H93" s="93">
        <f>IF(OR(C93="",F93=""),"",F93-C93)</f>
        <v/>
      </c>
      <c r="I93" s="56">
        <f>IF(H93="","—",IF(D93="مواد مخزنية",  IF(H93&lt;=3,"🟢 ضمن الهدف","🔴 متأخر"),  IF(H93&lt;=5,"🟢 ضمن الهدف","🔴 متأخر")))</f>
        <v/>
      </c>
    </row>
    <row r="94" ht="15" customHeight="1" s="40">
      <c r="A94" s="85" t="n">
        <v>90</v>
      </c>
      <c r="B94" s="87" t="n"/>
      <c r="C94" s="86" t="n"/>
      <c r="D94" s="87" t="n"/>
      <c r="E94" s="88" t="n"/>
      <c r="F94" s="86" t="n"/>
      <c r="G94" s="87" t="n"/>
      <c r="H94" s="93">
        <f>IF(OR(C94="",F94=""),"",F94-C94)</f>
        <v/>
      </c>
      <c r="I94" s="56">
        <f>IF(H94="","—",IF(D94="مواد مخزنية",  IF(H94&lt;=3,"🟢 ضمن الهدف","🔴 متأخر"),  IF(H94&lt;=5,"🟢 ضمن الهدف","🔴 متأخر")))</f>
        <v/>
      </c>
    </row>
    <row r="95" ht="15" customHeight="1" s="40">
      <c r="A95" s="85" t="n">
        <v>91</v>
      </c>
      <c r="B95" s="87" t="n"/>
      <c r="C95" s="86" t="n"/>
      <c r="D95" s="87" t="n"/>
      <c r="E95" s="88" t="n"/>
      <c r="F95" s="86" t="n"/>
      <c r="G95" s="87" t="n"/>
      <c r="H95" s="93">
        <f>IF(OR(C95="",F95=""),"",F95-C95)</f>
        <v/>
      </c>
      <c r="I95" s="56">
        <f>IF(H95="","—",IF(D95="مواد مخزنية",  IF(H95&lt;=3,"🟢 ضمن الهدف","🔴 متأخر"),  IF(H95&lt;=5,"🟢 ضمن الهدف","🔴 متأخر")))</f>
        <v/>
      </c>
    </row>
    <row r="96" ht="15" customHeight="1" s="40">
      <c r="A96" s="85" t="n">
        <v>92</v>
      </c>
      <c r="B96" s="87" t="n"/>
      <c r="C96" s="86" t="n"/>
      <c r="D96" s="87" t="n"/>
      <c r="E96" s="88" t="n"/>
      <c r="F96" s="86" t="n"/>
      <c r="G96" s="87" t="n"/>
      <c r="H96" s="93">
        <f>IF(OR(C96="",F96=""),"",F96-C96)</f>
        <v/>
      </c>
      <c r="I96" s="56">
        <f>IF(H96="","—",IF(D96="مواد مخزنية",  IF(H96&lt;=3,"🟢 ضمن الهدف","🔴 متأخر"),  IF(H96&lt;=5,"🟢 ضمن الهدف","🔴 متأخر")))</f>
        <v/>
      </c>
    </row>
    <row r="97" ht="15" customHeight="1" s="40">
      <c r="A97" s="85" t="n">
        <v>93</v>
      </c>
      <c r="B97" s="87" t="n"/>
      <c r="C97" s="86" t="n"/>
      <c r="D97" s="87" t="n"/>
      <c r="E97" s="88" t="n"/>
      <c r="F97" s="86" t="n"/>
      <c r="G97" s="87" t="n"/>
      <c r="H97" s="93">
        <f>IF(OR(C97="",F97=""),"",F97-C97)</f>
        <v/>
      </c>
      <c r="I97" s="56">
        <f>IF(H97="","—",IF(D97="مواد مخزنية",  IF(H97&lt;=3,"🟢 ضمن الهدف","🔴 متأخر"),  IF(H97&lt;=5,"🟢 ضمن الهدف","🔴 متأخر")))</f>
        <v/>
      </c>
    </row>
    <row r="98" ht="15" customHeight="1" s="40">
      <c r="A98" s="85" t="n">
        <v>94</v>
      </c>
      <c r="B98" s="87" t="n"/>
      <c r="C98" s="86" t="n"/>
      <c r="D98" s="87" t="n"/>
      <c r="E98" s="88" t="n"/>
      <c r="F98" s="86" t="n"/>
      <c r="G98" s="87" t="n"/>
      <c r="H98" s="93">
        <f>IF(OR(C98="",F98=""),"",F98-C98)</f>
        <v/>
      </c>
      <c r="I98" s="56">
        <f>IF(H98="","—",IF(D98="مواد مخزنية",  IF(H98&lt;=3,"🟢 ضمن الهدف","🔴 متأخر"),  IF(H98&lt;=5,"🟢 ضمن الهدف","🔴 متأخر")))</f>
        <v/>
      </c>
    </row>
    <row r="99" ht="15" customHeight="1" s="40">
      <c r="A99" s="85" t="n">
        <v>95</v>
      </c>
      <c r="B99" s="87" t="n"/>
      <c r="C99" s="86" t="n"/>
      <c r="D99" s="87" t="n"/>
      <c r="E99" s="88" t="n"/>
      <c r="F99" s="86" t="n"/>
      <c r="G99" s="87" t="n"/>
      <c r="H99" s="93">
        <f>IF(OR(C99="",F99=""),"",F99-C99)</f>
        <v/>
      </c>
      <c r="I99" s="56">
        <f>IF(H99="","—",IF(D99="مواد مخزنية",  IF(H99&lt;=3,"🟢 ضمن الهدف","🔴 متأخر"),  IF(H99&lt;=5,"🟢 ضمن الهدف","🔴 متأخر")))</f>
        <v/>
      </c>
    </row>
    <row r="100" ht="15" customHeight="1" s="40">
      <c r="A100" s="85" t="n">
        <v>96</v>
      </c>
      <c r="B100" s="87" t="n"/>
      <c r="C100" s="86" t="n"/>
      <c r="D100" s="87" t="n"/>
      <c r="E100" s="88" t="n"/>
      <c r="F100" s="86" t="n"/>
      <c r="G100" s="87" t="n"/>
      <c r="H100" s="93">
        <f>IF(OR(C100="",F100=""),"",F100-C100)</f>
        <v/>
      </c>
      <c r="I100" s="56">
        <f>IF(H100="","—",IF(D100="مواد مخزنية",  IF(H100&lt;=3,"🟢 ضمن الهدف","🔴 متأخر"),  IF(H100&lt;=5,"🟢 ضمن الهدف","🔴 متأخر")))</f>
        <v/>
      </c>
    </row>
    <row r="101" ht="15" customHeight="1" s="40">
      <c r="A101" s="85" t="n">
        <v>97</v>
      </c>
      <c r="B101" s="87" t="n"/>
      <c r="C101" s="86" t="n"/>
      <c r="D101" s="87" t="n"/>
      <c r="E101" s="88" t="n"/>
      <c r="F101" s="86" t="n"/>
      <c r="G101" s="87" t="n"/>
      <c r="H101" s="93">
        <f>IF(OR(C101="",F101=""),"",F101-C101)</f>
        <v/>
      </c>
      <c r="I101" s="56">
        <f>IF(H101="","—",IF(D101="مواد مخزنية",  IF(H101&lt;=3,"🟢 ضمن الهدف","🔴 متأخر"),  IF(H101&lt;=5,"🟢 ضمن الهدف","🔴 متأخر")))</f>
        <v/>
      </c>
    </row>
    <row r="102" ht="15" customHeight="1" s="40">
      <c r="A102" s="85" t="n">
        <v>98</v>
      </c>
      <c r="B102" s="87" t="n"/>
      <c r="C102" s="86" t="n"/>
      <c r="D102" s="87" t="n"/>
      <c r="E102" s="88" t="n"/>
      <c r="F102" s="86" t="n"/>
      <c r="G102" s="87" t="n"/>
      <c r="H102" s="93">
        <f>IF(OR(C102="",F102=""),"",F102-C102)</f>
        <v/>
      </c>
      <c r="I102" s="56">
        <f>IF(H102="","—",IF(D102="مواد مخزنية",  IF(H102&lt;=3,"🟢 ضمن الهدف","🔴 متأخر"),  IF(H102&lt;=5,"🟢 ضمن الهدف","🔴 متأخر")))</f>
        <v/>
      </c>
    </row>
    <row r="103" ht="15" customHeight="1" s="40">
      <c r="A103" s="85" t="n">
        <v>99</v>
      </c>
      <c r="B103" s="87" t="n"/>
      <c r="C103" s="86" t="n"/>
      <c r="D103" s="87" t="n"/>
      <c r="E103" s="88" t="n"/>
      <c r="F103" s="86" t="n"/>
      <c r="G103" s="87" t="n"/>
      <c r="H103" s="93">
        <f>IF(OR(C103="",F103=""),"",F103-C103)</f>
        <v/>
      </c>
      <c r="I103" s="56">
        <f>IF(H103="","—",IF(D103="مواد مخزنية",  IF(H103&lt;=3,"🟢 ضمن الهدف","🔴 متأخر"),  IF(H103&lt;=5,"🟢 ضمن الهدف","🔴 متأخر")))</f>
        <v/>
      </c>
    </row>
    <row r="104" ht="15" customHeight="1" s="40">
      <c r="A104" s="85" t="n">
        <v>100</v>
      </c>
      <c r="B104" s="87" t="n"/>
      <c r="C104" s="86" t="n"/>
      <c r="D104" s="87" t="n"/>
      <c r="E104" s="88" t="n"/>
      <c r="F104" s="86" t="n"/>
      <c r="G104" s="87" t="n"/>
      <c r="H104" s="93">
        <f>IF(OR(C104="",F104=""),"",F104-C104)</f>
        <v/>
      </c>
      <c r="I104" s="56">
        <f>IF(H104="","—",IF(D104="مواد مخزنية",  IF(H104&lt;=3,"🟢 ضمن الهدف","🔴 متأخر"),  IF(H104&lt;=5,"🟢 ضمن الهدف","🔴 متأخر")))</f>
        <v/>
      </c>
    </row>
    <row r="105" ht="15" customHeight="1" s="40">
      <c r="A105" s="85" t="n">
        <v>101</v>
      </c>
      <c r="B105" s="87" t="n"/>
      <c r="C105" s="86" t="n"/>
      <c r="D105" s="87" t="n"/>
      <c r="E105" s="88" t="n"/>
      <c r="F105" s="86" t="n"/>
      <c r="G105" s="87" t="n"/>
      <c r="H105" s="93">
        <f>IF(OR(C105="",F105=""),"",F105-C105)</f>
        <v/>
      </c>
      <c r="I105" s="56">
        <f>IF(H105="","—",IF(D105="مواد مخزنية",  IF(H105&lt;=3,"🟢 ضمن الهدف","🔴 متأخر"),  IF(H105&lt;=5,"🟢 ضمن الهدف","🔴 متأخر")))</f>
        <v/>
      </c>
    </row>
    <row r="106" ht="15" customHeight="1" s="40">
      <c r="A106" s="85" t="n">
        <v>102</v>
      </c>
      <c r="B106" s="87" t="n"/>
      <c r="C106" s="86" t="n"/>
      <c r="D106" s="87" t="n"/>
      <c r="E106" s="88" t="n"/>
      <c r="F106" s="86" t="n"/>
      <c r="G106" s="87" t="n"/>
      <c r="H106" s="93">
        <f>IF(OR(C106="",F106=""),"",F106-C106)</f>
        <v/>
      </c>
      <c r="I106" s="56">
        <f>IF(H106="","—",IF(D106="مواد مخزنية",  IF(H106&lt;=3,"🟢 ضمن الهدف","🔴 متأخر"),  IF(H106&lt;=5,"🟢 ضمن الهدف","🔴 متأخر")))</f>
        <v/>
      </c>
    </row>
    <row r="107" ht="15" customHeight="1" s="40">
      <c r="A107" s="85" t="n">
        <v>103</v>
      </c>
      <c r="B107" s="87" t="n"/>
      <c r="C107" s="86" t="n"/>
      <c r="D107" s="87" t="n"/>
      <c r="E107" s="88" t="n"/>
      <c r="F107" s="86" t="n"/>
      <c r="G107" s="87" t="n"/>
      <c r="H107" s="93">
        <f>IF(OR(C107="",F107=""),"",F107-C107)</f>
        <v/>
      </c>
      <c r="I107" s="56">
        <f>IF(H107="","—",IF(D107="مواد مخزنية",  IF(H107&lt;=3,"🟢 ضمن الهدف","🔴 متأخر"),  IF(H107&lt;=5,"🟢 ضمن الهدف","🔴 متأخر")))</f>
        <v/>
      </c>
    </row>
    <row r="108" ht="15" customHeight="1" s="40">
      <c r="A108" s="85" t="n">
        <v>104</v>
      </c>
      <c r="B108" s="87" t="n"/>
      <c r="C108" s="86" t="n"/>
      <c r="D108" s="87" t="n"/>
      <c r="E108" s="88" t="n"/>
      <c r="F108" s="86" t="n"/>
      <c r="G108" s="87" t="n"/>
      <c r="H108" s="93">
        <f>IF(OR(C108="",F108=""),"",F108-C108)</f>
        <v/>
      </c>
      <c r="I108" s="56">
        <f>IF(H108="","—",IF(D108="مواد مخزنية",  IF(H108&lt;=3,"🟢 ضمن الهدف","🔴 متأخر"),  IF(H108&lt;=5,"🟢 ضمن الهدف","🔴 متأخر")))</f>
        <v/>
      </c>
    </row>
    <row r="109" ht="15" customHeight="1" s="40">
      <c r="A109" s="85" t="n">
        <v>105</v>
      </c>
      <c r="B109" s="87" t="n"/>
      <c r="C109" s="86" t="n"/>
      <c r="D109" s="87" t="n"/>
      <c r="E109" s="88" t="n"/>
      <c r="F109" s="86" t="n"/>
      <c r="G109" s="87" t="n"/>
      <c r="H109" s="93">
        <f>IF(OR(C109="",F109=""),"",F109-C109)</f>
        <v/>
      </c>
      <c r="I109" s="56">
        <f>IF(H109="","—",IF(D109="مواد مخزنية",  IF(H109&lt;=3,"🟢 ضمن الهدف","🔴 متأخر"),  IF(H109&lt;=5,"🟢 ضمن الهدف","🔴 متأخر")))</f>
        <v/>
      </c>
    </row>
    <row r="110" ht="15" customHeight="1" s="40">
      <c r="A110" s="85" t="n">
        <v>106</v>
      </c>
      <c r="B110" s="87" t="n"/>
      <c r="C110" s="86" t="n"/>
      <c r="D110" s="87" t="n"/>
      <c r="E110" s="88" t="n"/>
      <c r="F110" s="86" t="n"/>
      <c r="G110" s="87" t="n"/>
      <c r="H110" s="93">
        <f>IF(OR(C110="",F110=""),"",F110-C110)</f>
        <v/>
      </c>
      <c r="I110" s="56">
        <f>IF(H110="","—",IF(D110="مواد مخزنية",  IF(H110&lt;=3,"🟢 ضمن الهدف","🔴 متأخر"),  IF(H110&lt;=5,"🟢 ضمن الهدف","🔴 متأخر")))</f>
        <v/>
      </c>
    </row>
    <row r="111" ht="15" customHeight="1" s="40">
      <c r="A111" s="85" t="n">
        <v>107</v>
      </c>
      <c r="B111" s="87" t="n"/>
      <c r="C111" s="86" t="n"/>
      <c r="D111" s="87" t="n"/>
      <c r="E111" s="88" t="n"/>
      <c r="F111" s="86" t="n"/>
      <c r="G111" s="87" t="n"/>
      <c r="H111" s="93">
        <f>IF(OR(C111="",F111=""),"",F111-C111)</f>
        <v/>
      </c>
      <c r="I111" s="56">
        <f>IF(H111="","—",IF(D111="مواد مخزنية",  IF(H111&lt;=3,"🟢 ضمن الهدف","🔴 متأخر"),  IF(H111&lt;=5,"🟢 ضمن الهدف","🔴 متأخر")))</f>
        <v/>
      </c>
    </row>
    <row r="112" ht="15" customHeight="1" s="40">
      <c r="A112" s="85" t="n">
        <v>108</v>
      </c>
      <c r="B112" s="87" t="n"/>
      <c r="C112" s="86" t="n"/>
      <c r="D112" s="87" t="n"/>
      <c r="E112" s="88" t="n"/>
      <c r="F112" s="86" t="n"/>
      <c r="G112" s="87" t="n"/>
      <c r="H112" s="93">
        <f>IF(OR(C112="",F112=""),"",F112-C112)</f>
        <v/>
      </c>
      <c r="I112" s="56">
        <f>IF(H112="","—",IF(D112="مواد مخزنية",  IF(H112&lt;=3,"🟢 ضمن الهدف","🔴 متأخر"),  IF(H112&lt;=5,"🟢 ضمن الهدف","🔴 متأخر")))</f>
        <v/>
      </c>
    </row>
    <row r="113" ht="15" customHeight="1" s="40">
      <c r="A113" s="85" t="n">
        <v>109</v>
      </c>
      <c r="B113" s="87" t="n"/>
      <c r="C113" s="86" t="n"/>
      <c r="D113" s="87" t="n"/>
      <c r="E113" s="88" t="n"/>
      <c r="F113" s="86" t="n"/>
      <c r="G113" s="87" t="n"/>
      <c r="H113" s="93">
        <f>IF(OR(C113="",F113=""),"",F113-C113)</f>
        <v/>
      </c>
      <c r="I113" s="56">
        <f>IF(H113="","—",IF(D113="مواد مخزنية",  IF(H113&lt;=3,"🟢 ضمن الهدف","🔴 متأخر"),  IF(H113&lt;=5,"🟢 ضمن الهدف","🔴 متأخر")))</f>
        <v/>
      </c>
    </row>
    <row r="114" ht="15" customHeight="1" s="40">
      <c r="A114" s="85" t="n">
        <v>110</v>
      </c>
      <c r="B114" s="87" t="n"/>
      <c r="C114" s="86" t="n"/>
      <c r="D114" s="87" t="n"/>
      <c r="E114" s="88" t="n"/>
      <c r="F114" s="86" t="n"/>
      <c r="G114" s="87" t="n"/>
      <c r="H114" s="93">
        <f>IF(OR(C114="",F114=""),"",F114-C114)</f>
        <v/>
      </c>
      <c r="I114" s="56">
        <f>IF(H114="","—",IF(D114="مواد مخزنية",  IF(H114&lt;=3,"🟢 ضمن الهدف","🔴 متأخر"),  IF(H114&lt;=5,"🟢 ضمن الهدف","🔴 متأخر")))</f>
        <v/>
      </c>
    </row>
    <row r="115" ht="15" customHeight="1" s="40">
      <c r="A115" s="85" t="n">
        <v>111</v>
      </c>
      <c r="B115" s="87" t="n"/>
      <c r="C115" s="86" t="n"/>
      <c r="D115" s="87" t="n"/>
      <c r="E115" s="88" t="n"/>
      <c r="F115" s="86" t="n"/>
      <c r="G115" s="87" t="n"/>
      <c r="H115" s="93">
        <f>IF(OR(C115="",F115=""),"",F115-C115)</f>
        <v/>
      </c>
      <c r="I115" s="56">
        <f>IF(H115="","—",IF(D115="مواد مخزنية",  IF(H115&lt;=3,"🟢 ضمن الهدف","🔴 متأخر"),  IF(H115&lt;=5,"🟢 ضمن الهدف","🔴 متأخر")))</f>
        <v/>
      </c>
    </row>
    <row r="116" ht="15" customHeight="1" s="40">
      <c r="A116" s="85" t="n">
        <v>112</v>
      </c>
      <c r="B116" s="87" t="n"/>
      <c r="C116" s="86" t="n"/>
      <c r="D116" s="87" t="n"/>
      <c r="E116" s="88" t="n"/>
      <c r="F116" s="86" t="n"/>
      <c r="G116" s="87" t="n"/>
      <c r="H116" s="93">
        <f>IF(OR(C116="",F116=""),"",F116-C116)</f>
        <v/>
      </c>
      <c r="I116" s="56">
        <f>IF(H116="","—",IF(D116="مواد مخزنية",  IF(H116&lt;=3,"🟢 ضمن الهدف","🔴 متأخر"),  IF(H116&lt;=5,"🟢 ضمن الهدف","🔴 متأخر")))</f>
        <v/>
      </c>
    </row>
    <row r="117" ht="15" customHeight="1" s="40">
      <c r="A117" s="85" t="n">
        <v>113</v>
      </c>
      <c r="B117" s="87" t="n"/>
      <c r="C117" s="86" t="n"/>
      <c r="D117" s="87" t="n"/>
      <c r="E117" s="88" t="n"/>
      <c r="F117" s="86" t="n"/>
      <c r="G117" s="87" t="n"/>
      <c r="H117" s="93">
        <f>IF(OR(C117="",F117=""),"",F117-C117)</f>
        <v/>
      </c>
      <c r="I117" s="56">
        <f>IF(H117="","—",IF(D117="مواد مخزنية",  IF(H117&lt;=3,"🟢 ضمن الهدف","🔴 متأخر"),  IF(H117&lt;=5,"🟢 ضمن الهدف","🔴 متأخر")))</f>
        <v/>
      </c>
    </row>
    <row r="118" ht="15" customHeight="1" s="40">
      <c r="A118" s="85" t="n">
        <v>114</v>
      </c>
      <c r="B118" s="87" t="n"/>
      <c r="C118" s="86" t="n"/>
      <c r="D118" s="87" t="n"/>
      <c r="E118" s="88" t="n"/>
      <c r="F118" s="86" t="n"/>
      <c r="G118" s="87" t="n"/>
      <c r="H118" s="93">
        <f>IF(OR(C118="",F118=""),"",F118-C118)</f>
        <v/>
      </c>
      <c r="I118" s="56">
        <f>IF(H118="","—",IF(D118="مواد مخزنية",  IF(H118&lt;=3,"🟢 ضمن الهدف","🔴 متأخر"),  IF(H118&lt;=5,"🟢 ضمن الهدف","🔴 متأخر")))</f>
        <v/>
      </c>
    </row>
    <row r="119" ht="15" customHeight="1" s="40">
      <c r="A119" s="85" t="n">
        <v>115</v>
      </c>
      <c r="B119" s="87" t="n"/>
      <c r="C119" s="86" t="n"/>
      <c r="D119" s="87" t="n"/>
      <c r="E119" s="88" t="n"/>
      <c r="F119" s="86" t="n"/>
      <c r="G119" s="87" t="n"/>
      <c r="H119" s="93">
        <f>IF(OR(C119="",F119=""),"",F119-C119)</f>
        <v/>
      </c>
      <c r="I119" s="56">
        <f>IF(H119="","—",IF(D119="مواد مخزنية",  IF(H119&lt;=3,"🟢 ضمن الهدف","🔴 متأخر"),  IF(H119&lt;=5,"🟢 ضمن الهدف","🔴 متأخر")))</f>
        <v/>
      </c>
    </row>
    <row r="120" ht="15" customHeight="1" s="40">
      <c r="A120" s="85" t="n">
        <v>116</v>
      </c>
      <c r="B120" s="87" t="n"/>
      <c r="C120" s="86" t="n"/>
      <c r="D120" s="87" t="n"/>
      <c r="E120" s="88" t="n"/>
      <c r="F120" s="86" t="n"/>
      <c r="G120" s="87" t="n"/>
      <c r="H120" s="93">
        <f>IF(OR(C120="",F120=""),"",F120-C120)</f>
        <v/>
      </c>
      <c r="I120" s="56">
        <f>IF(H120="","—",IF(D120="مواد مخزنية",  IF(H120&lt;=3,"🟢 ضمن الهدف","🔴 متأخر"),  IF(H120&lt;=5,"🟢 ضمن الهدف","🔴 متأخر")))</f>
        <v/>
      </c>
    </row>
    <row r="121" ht="15" customHeight="1" s="40">
      <c r="A121" s="85" t="n">
        <v>117</v>
      </c>
      <c r="B121" s="87" t="n"/>
      <c r="C121" s="86" t="n"/>
      <c r="D121" s="87" t="n"/>
      <c r="E121" s="88" t="n"/>
      <c r="F121" s="86" t="n"/>
      <c r="G121" s="87" t="n"/>
      <c r="H121" s="93">
        <f>IF(OR(C121="",F121=""),"",F121-C121)</f>
        <v/>
      </c>
      <c r="I121" s="56">
        <f>IF(H121="","—",IF(D121="مواد مخزنية",  IF(H121&lt;=3,"🟢 ضمن الهدف","🔴 متأخر"),  IF(H121&lt;=5,"🟢 ضمن الهدف","🔴 متأخر")))</f>
        <v/>
      </c>
    </row>
    <row r="122" ht="15" customHeight="1" s="40">
      <c r="A122" s="85" t="n">
        <v>118</v>
      </c>
      <c r="B122" s="87" t="n"/>
      <c r="C122" s="86" t="n"/>
      <c r="D122" s="87" t="n"/>
      <c r="E122" s="88" t="n"/>
      <c r="F122" s="86" t="n"/>
      <c r="G122" s="87" t="n"/>
      <c r="H122" s="93">
        <f>IF(OR(C122="",F122=""),"",F122-C122)</f>
        <v/>
      </c>
      <c r="I122" s="56">
        <f>IF(H122="","—",IF(D122="مواد مخزنية",  IF(H122&lt;=3,"🟢 ضمن الهدف","🔴 متأخر"),  IF(H122&lt;=5,"🟢 ضمن الهدف","🔴 متأخر")))</f>
        <v/>
      </c>
    </row>
    <row r="123" ht="15" customHeight="1" s="40">
      <c r="A123" s="85" t="n">
        <v>119</v>
      </c>
      <c r="B123" s="87" t="n"/>
      <c r="C123" s="86" t="n"/>
      <c r="D123" s="87" t="n"/>
      <c r="E123" s="88" t="n"/>
      <c r="F123" s="86" t="n"/>
      <c r="G123" s="87" t="n"/>
      <c r="H123" s="93">
        <f>IF(OR(C123="",F123=""),"",F123-C123)</f>
        <v/>
      </c>
      <c r="I123" s="56">
        <f>IF(H123="","—",IF(D123="مواد مخزنية",  IF(H123&lt;=3,"🟢 ضمن الهدف","🔴 متأخر"),  IF(H123&lt;=5,"🟢 ضمن الهدف","🔴 متأخر")))</f>
        <v/>
      </c>
    </row>
    <row r="124" ht="15" customHeight="1" s="40">
      <c r="A124" s="85" t="n">
        <v>120</v>
      </c>
      <c r="B124" s="87" t="n"/>
      <c r="C124" s="86" t="n"/>
      <c r="D124" s="87" t="n"/>
      <c r="E124" s="88" t="n"/>
      <c r="F124" s="86" t="n"/>
      <c r="G124" s="87" t="n"/>
      <c r="H124" s="93">
        <f>IF(OR(C124="",F124=""),"",F124-C124)</f>
        <v/>
      </c>
      <c r="I124" s="56">
        <f>IF(H124="","—",IF(D124="مواد مخزنية",  IF(H124&lt;=3,"🟢 ضمن الهدف","🔴 متأخر"),  IF(H124&lt;=5,"🟢 ضمن الهدف","🔴 متأخر")))</f>
        <v/>
      </c>
    </row>
    <row r="125" ht="15" customHeight="1" s="40">
      <c r="A125" s="85" t="n">
        <v>121</v>
      </c>
      <c r="B125" s="87" t="n"/>
      <c r="C125" s="86" t="n"/>
      <c r="D125" s="87" t="n"/>
      <c r="E125" s="88" t="n"/>
      <c r="F125" s="86" t="n"/>
      <c r="G125" s="87" t="n"/>
      <c r="H125" s="93">
        <f>IF(OR(C125="",F125=""),"",F125-C125)</f>
        <v/>
      </c>
      <c r="I125" s="56">
        <f>IF(H125="","—",IF(D125="مواد مخزنية",  IF(H125&lt;=3,"🟢 ضمن الهدف","🔴 متأخر"),  IF(H125&lt;=5,"🟢 ضمن الهدف","🔴 متأخر")))</f>
        <v/>
      </c>
    </row>
    <row r="126" ht="15" customHeight="1" s="40">
      <c r="A126" s="85" t="n">
        <v>122</v>
      </c>
      <c r="B126" s="87" t="n"/>
      <c r="C126" s="86" t="n"/>
      <c r="D126" s="87" t="n"/>
      <c r="E126" s="88" t="n"/>
      <c r="F126" s="86" t="n"/>
      <c r="G126" s="87" t="n"/>
      <c r="H126" s="93">
        <f>IF(OR(C126="",F126=""),"",F126-C126)</f>
        <v/>
      </c>
      <c r="I126" s="56">
        <f>IF(H126="","—",IF(D126="مواد مخزنية",  IF(H126&lt;=3,"🟢 ضمن الهدف","🔴 متأخر"),  IF(H126&lt;=5,"🟢 ضمن الهدف","🔴 متأخر")))</f>
        <v/>
      </c>
    </row>
    <row r="127" ht="15" customHeight="1" s="40">
      <c r="A127" s="85" t="n">
        <v>123</v>
      </c>
      <c r="B127" s="87" t="n"/>
      <c r="C127" s="86" t="n"/>
      <c r="D127" s="87" t="n"/>
      <c r="E127" s="88" t="n"/>
      <c r="F127" s="86" t="n"/>
      <c r="G127" s="87" t="n"/>
      <c r="H127" s="93">
        <f>IF(OR(C127="",F127=""),"",F127-C127)</f>
        <v/>
      </c>
      <c r="I127" s="56">
        <f>IF(H127="","—",IF(D127="مواد مخزنية",  IF(H127&lt;=3,"🟢 ضمن الهدف","🔴 متأخر"),  IF(H127&lt;=5,"🟢 ضمن الهدف","🔴 متأخر")))</f>
        <v/>
      </c>
    </row>
    <row r="128" ht="15" customHeight="1" s="40">
      <c r="A128" s="85" t="n">
        <v>124</v>
      </c>
      <c r="B128" s="87" t="n"/>
      <c r="C128" s="86" t="n"/>
      <c r="D128" s="87" t="n"/>
      <c r="E128" s="88" t="n"/>
      <c r="F128" s="86" t="n"/>
      <c r="G128" s="87" t="n"/>
      <c r="H128" s="93">
        <f>IF(OR(C128="",F128=""),"",F128-C128)</f>
        <v/>
      </c>
      <c r="I128" s="56">
        <f>IF(H128="","—",IF(D128="مواد مخزنية",  IF(H128&lt;=3,"🟢 ضمن الهدف","🔴 متأخر"),  IF(H128&lt;=5,"🟢 ضمن الهدف","🔴 متأخر")))</f>
        <v/>
      </c>
    </row>
    <row r="129" ht="15" customHeight="1" s="40">
      <c r="A129" s="85" t="n">
        <v>125</v>
      </c>
      <c r="B129" s="87" t="n"/>
      <c r="C129" s="86" t="n"/>
      <c r="D129" s="87" t="n"/>
      <c r="E129" s="88" t="n"/>
      <c r="F129" s="86" t="n"/>
      <c r="G129" s="87" t="n"/>
      <c r="H129" s="93">
        <f>IF(OR(C129="",F129=""),"",F129-C129)</f>
        <v/>
      </c>
      <c r="I129" s="56">
        <f>IF(H129="","—",IF(D129="مواد مخزنية",  IF(H129&lt;=3,"🟢 ضمن الهدف","🔴 متأخر"),  IF(H129&lt;=5,"🟢 ضمن الهدف","🔴 متأخر")))</f>
        <v/>
      </c>
    </row>
    <row r="130" ht="15" customHeight="1" s="40">
      <c r="A130" s="85" t="n">
        <v>126</v>
      </c>
      <c r="B130" s="87" t="n"/>
      <c r="C130" s="86" t="n"/>
      <c r="D130" s="87" t="n"/>
      <c r="E130" s="88" t="n"/>
      <c r="F130" s="86" t="n"/>
      <c r="G130" s="87" t="n"/>
      <c r="H130" s="93">
        <f>IF(OR(C130="",F130=""),"",F130-C130)</f>
        <v/>
      </c>
      <c r="I130" s="56">
        <f>IF(H130="","—",IF(D130="مواد مخزنية",  IF(H130&lt;=3,"🟢 ضمن الهدف","🔴 متأخر"),  IF(H130&lt;=5,"🟢 ضمن الهدف","🔴 متأخر")))</f>
        <v/>
      </c>
    </row>
    <row r="131" ht="15" customHeight="1" s="40">
      <c r="A131" s="85" t="n">
        <v>127</v>
      </c>
      <c r="B131" s="87" t="n"/>
      <c r="C131" s="86" t="n"/>
      <c r="D131" s="87" t="n"/>
      <c r="E131" s="88" t="n"/>
      <c r="F131" s="86" t="n"/>
      <c r="G131" s="87" t="n"/>
      <c r="H131" s="93">
        <f>IF(OR(C131="",F131=""),"",F131-C131)</f>
        <v/>
      </c>
      <c r="I131" s="56">
        <f>IF(H131="","—",IF(D131="مواد مخزنية",  IF(H131&lt;=3,"🟢 ضمن الهدف","🔴 متأخر"),  IF(H131&lt;=5,"🟢 ضمن الهدف","🔴 متأخر")))</f>
        <v/>
      </c>
    </row>
    <row r="132" ht="15" customHeight="1" s="40">
      <c r="A132" s="85" t="n">
        <v>128</v>
      </c>
      <c r="B132" s="87" t="n"/>
      <c r="C132" s="86" t="n"/>
      <c r="D132" s="87" t="n"/>
      <c r="E132" s="88" t="n"/>
      <c r="F132" s="86" t="n"/>
      <c r="G132" s="87" t="n"/>
      <c r="H132" s="93">
        <f>IF(OR(C132="",F132=""),"",F132-C132)</f>
        <v/>
      </c>
      <c r="I132" s="56">
        <f>IF(H132="","—",IF(D132="مواد مخزنية",  IF(H132&lt;=3,"🟢 ضمن الهدف","🔴 متأخر"),  IF(H132&lt;=5,"🟢 ضمن الهدف","🔴 متأخر")))</f>
        <v/>
      </c>
    </row>
    <row r="133" ht="15" customHeight="1" s="40">
      <c r="A133" s="85" t="n">
        <v>129</v>
      </c>
      <c r="B133" s="87" t="n"/>
      <c r="C133" s="86" t="n"/>
      <c r="D133" s="87" t="n"/>
      <c r="E133" s="88" t="n"/>
      <c r="F133" s="86" t="n"/>
      <c r="G133" s="87" t="n"/>
      <c r="H133" s="93">
        <f>IF(OR(C133="",F133=""),"",F133-C133)</f>
        <v/>
      </c>
      <c r="I133" s="56">
        <f>IF(H133="","—",IF(D133="مواد مخزنية",  IF(H133&lt;=3,"🟢 ضمن الهدف","🔴 متأخر"),  IF(H133&lt;=5,"🟢 ضمن الهدف","🔴 متأخر")))</f>
        <v/>
      </c>
    </row>
    <row r="134" ht="15" customHeight="1" s="40">
      <c r="A134" s="85" t="n">
        <v>130</v>
      </c>
      <c r="B134" s="87" t="n"/>
      <c r="C134" s="86" t="n"/>
      <c r="D134" s="87" t="n"/>
      <c r="E134" s="88" t="n"/>
      <c r="F134" s="86" t="n"/>
      <c r="G134" s="87" t="n"/>
      <c r="H134" s="93">
        <f>IF(OR(C134="",F134=""),"",F134-C134)</f>
        <v/>
      </c>
      <c r="I134" s="56">
        <f>IF(H134="","—",IF(D134="مواد مخزنية",  IF(H134&lt;=3,"🟢 ضمن الهدف","🔴 متأخر"),  IF(H134&lt;=5,"🟢 ضمن الهدف","🔴 متأخر")))</f>
        <v/>
      </c>
    </row>
    <row r="135" ht="15" customHeight="1" s="40">
      <c r="A135" s="85" t="n">
        <v>131</v>
      </c>
      <c r="B135" s="87" t="n"/>
      <c r="C135" s="86" t="n"/>
      <c r="D135" s="87" t="n"/>
      <c r="E135" s="88" t="n"/>
      <c r="F135" s="86" t="n"/>
      <c r="G135" s="87" t="n"/>
      <c r="H135" s="93">
        <f>IF(OR(C135="",F135=""),"",F135-C135)</f>
        <v/>
      </c>
      <c r="I135" s="56">
        <f>IF(H135="","—",IF(D135="مواد مخزنية",  IF(H135&lt;=3,"🟢 ضمن الهدف","🔴 متأخر"),  IF(H135&lt;=5,"🟢 ضمن الهدف","🔴 متأخر")))</f>
        <v/>
      </c>
    </row>
    <row r="136" ht="15" customHeight="1" s="40">
      <c r="A136" s="85" t="n">
        <v>132</v>
      </c>
      <c r="B136" s="87" t="n"/>
      <c r="C136" s="86" t="n"/>
      <c r="D136" s="87" t="n"/>
      <c r="E136" s="88" t="n"/>
      <c r="F136" s="86" t="n"/>
      <c r="G136" s="87" t="n"/>
      <c r="H136" s="93">
        <f>IF(OR(C136="",F136=""),"",F136-C136)</f>
        <v/>
      </c>
      <c r="I136" s="56">
        <f>IF(H136="","—",IF(D136="مواد مخزنية",  IF(H136&lt;=3,"🟢 ضمن الهدف","🔴 متأخر"),  IF(H136&lt;=5,"🟢 ضمن الهدف","🔴 متأخر")))</f>
        <v/>
      </c>
    </row>
    <row r="137" ht="15" customHeight="1" s="40">
      <c r="A137" s="85" t="n">
        <v>133</v>
      </c>
      <c r="B137" s="87" t="n"/>
      <c r="C137" s="86" t="n"/>
      <c r="D137" s="87" t="n"/>
      <c r="E137" s="88" t="n"/>
      <c r="F137" s="86" t="n"/>
      <c r="G137" s="87" t="n"/>
      <c r="H137" s="93">
        <f>IF(OR(C137="",F137=""),"",F137-C137)</f>
        <v/>
      </c>
      <c r="I137" s="56">
        <f>IF(H137="","—",IF(D137="مواد مخزنية",  IF(H137&lt;=3,"🟢 ضمن الهدف","🔴 متأخر"),  IF(H137&lt;=5,"🟢 ضمن الهدف","🔴 متأخر")))</f>
        <v/>
      </c>
    </row>
    <row r="138" ht="15" customHeight="1" s="40">
      <c r="A138" s="85" t="n">
        <v>134</v>
      </c>
      <c r="B138" s="87" t="n"/>
      <c r="C138" s="86" t="n"/>
      <c r="D138" s="87" t="n"/>
      <c r="E138" s="88" t="n"/>
      <c r="F138" s="86" t="n"/>
      <c r="G138" s="87" t="n"/>
      <c r="H138" s="93">
        <f>IF(OR(C138="",F138=""),"",F138-C138)</f>
        <v/>
      </c>
      <c r="I138" s="56">
        <f>IF(H138="","—",IF(D138="مواد مخزنية",  IF(H138&lt;=3,"🟢 ضمن الهدف","🔴 متأخر"),  IF(H138&lt;=5,"🟢 ضمن الهدف","🔴 متأخر")))</f>
        <v/>
      </c>
    </row>
    <row r="139" ht="15" customHeight="1" s="40">
      <c r="A139" s="85" t="n">
        <v>135</v>
      </c>
      <c r="B139" s="87" t="n"/>
      <c r="C139" s="86" t="n"/>
      <c r="D139" s="87" t="n"/>
      <c r="E139" s="88" t="n"/>
      <c r="F139" s="86" t="n"/>
      <c r="G139" s="87" t="n"/>
      <c r="H139" s="93">
        <f>IF(OR(C139="",F139=""),"",F139-C139)</f>
        <v/>
      </c>
      <c r="I139" s="56">
        <f>IF(H139="","—",IF(D139="مواد مخزنية",  IF(H139&lt;=3,"🟢 ضمن الهدف","🔴 متأخر"),  IF(H139&lt;=5,"🟢 ضمن الهدف","🔴 متأخر")))</f>
        <v/>
      </c>
    </row>
    <row r="140" ht="15" customHeight="1" s="40">
      <c r="A140" s="85" t="n">
        <v>136</v>
      </c>
      <c r="B140" s="87" t="n"/>
      <c r="C140" s="86" t="n"/>
      <c r="D140" s="87" t="n"/>
      <c r="E140" s="88" t="n"/>
      <c r="F140" s="86" t="n"/>
      <c r="G140" s="87" t="n"/>
      <c r="H140" s="93">
        <f>IF(OR(C140="",F140=""),"",F140-C140)</f>
        <v/>
      </c>
      <c r="I140" s="56">
        <f>IF(H140="","—",IF(D140="مواد مخزنية",  IF(H140&lt;=3,"🟢 ضمن الهدف","🔴 متأخر"),  IF(H140&lt;=5,"🟢 ضمن الهدف","🔴 متأخر")))</f>
        <v/>
      </c>
    </row>
    <row r="141" ht="15" customHeight="1" s="40">
      <c r="A141" s="85" t="n">
        <v>137</v>
      </c>
      <c r="B141" s="87" t="n"/>
      <c r="C141" s="86" t="n"/>
      <c r="D141" s="87" t="n"/>
      <c r="E141" s="88" t="n"/>
      <c r="F141" s="86" t="n"/>
      <c r="G141" s="87" t="n"/>
      <c r="H141" s="93">
        <f>IF(OR(C141="",F141=""),"",F141-C141)</f>
        <v/>
      </c>
      <c r="I141" s="56">
        <f>IF(H141="","—",IF(D141="مواد مخزنية",  IF(H141&lt;=3,"🟢 ضمن الهدف","🔴 متأخر"),  IF(H141&lt;=5,"🟢 ضمن الهدف","🔴 متأخر")))</f>
        <v/>
      </c>
    </row>
    <row r="142" ht="15" customHeight="1" s="40">
      <c r="A142" s="85" t="n">
        <v>138</v>
      </c>
      <c r="B142" s="87" t="n"/>
      <c r="C142" s="86" t="n"/>
      <c r="D142" s="87" t="n"/>
      <c r="E142" s="88" t="n"/>
      <c r="F142" s="86" t="n"/>
      <c r="G142" s="87" t="n"/>
      <c r="H142" s="93">
        <f>IF(OR(C142="",F142=""),"",F142-C142)</f>
        <v/>
      </c>
      <c r="I142" s="56">
        <f>IF(H142="","—",IF(D142="مواد مخزنية",  IF(H142&lt;=3,"🟢 ضمن الهدف","🔴 متأخر"),  IF(H142&lt;=5,"🟢 ضمن الهدف","🔴 متأخر")))</f>
        <v/>
      </c>
    </row>
    <row r="143" ht="15" customHeight="1" s="40">
      <c r="A143" s="85" t="n">
        <v>139</v>
      </c>
      <c r="B143" s="87" t="n"/>
      <c r="C143" s="86" t="n"/>
      <c r="D143" s="87" t="n"/>
      <c r="E143" s="88" t="n"/>
      <c r="F143" s="86" t="n"/>
      <c r="G143" s="87" t="n"/>
      <c r="H143" s="93">
        <f>IF(OR(C143="",F143=""),"",F143-C143)</f>
        <v/>
      </c>
      <c r="I143" s="56">
        <f>IF(H143="","—",IF(D143="مواد مخزنية",  IF(H143&lt;=3,"🟢 ضمن الهدف","🔴 متأخر"),  IF(H143&lt;=5,"🟢 ضمن الهدف","🔴 متأخر")))</f>
        <v/>
      </c>
    </row>
    <row r="144" ht="15" customHeight="1" s="40">
      <c r="A144" s="85" t="n">
        <v>140</v>
      </c>
      <c r="B144" s="87" t="n"/>
      <c r="C144" s="86" t="n"/>
      <c r="D144" s="87" t="n"/>
      <c r="E144" s="88" t="n"/>
      <c r="F144" s="86" t="n"/>
      <c r="G144" s="87" t="n"/>
      <c r="H144" s="93">
        <f>IF(OR(C144="",F144=""),"",F144-C144)</f>
        <v/>
      </c>
      <c r="I144" s="56">
        <f>IF(H144="","—",IF(D144="مواد مخزنية",  IF(H144&lt;=3,"🟢 ضمن الهدف","🔴 متأخر"),  IF(H144&lt;=5,"🟢 ضمن الهدف","🔴 متأخر")))</f>
        <v/>
      </c>
    </row>
    <row r="145" ht="15" customHeight="1" s="40">
      <c r="A145" s="85" t="n">
        <v>141</v>
      </c>
      <c r="B145" s="87" t="n"/>
      <c r="C145" s="86" t="n"/>
      <c r="D145" s="87" t="n"/>
      <c r="E145" s="88" t="n"/>
      <c r="F145" s="86" t="n"/>
      <c r="G145" s="87" t="n"/>
      <c r="H145" s="93">
        <f>IF(OR(C145="",F145=""),"",F145-C145)</f>
        <v/>
      </c>
      <c r="I145" s="56">
        <f>IF(H145="","—",IF(D145="مواد مخزنية",  IF(H145&lt;=3,"🟢 ضمن الهدف","🔴 متأخر"),  IF(H145&lt;=5,"🟢 ضمن الهدف","🔴 متأخر")))</f>
        <v/>
      </c>
    </row>
    <row r="146" ht="15" customHeight="1" s="40">
      <c r="A146" s="85" t="n">
        <v>142</v>
      </c>
      <c r="B146" s="87" t="n"/>
      <c r="C146" s="86" t="n"/>
      <c r="D146" s="87" t="n"/>
      <c r="E146" s="88" t="n"/>
      <c r="F146" s="86" t="n"/>
      <c r="G146" s="87" t="n"/>
      <c r="H146" s="93">
        <f>IF(OR(C146="",F146=""),"",F146-C146)</f>
        <v/>
      </c>
      <c r="I146" s="56">
        <f>IF(H146="","—",IF(D146="مواد مخزنية",  IF(H146&lt;=3,"🟢 ضمن الهدف","🔴 متأخر"),  IF(H146&lt;=5,"🟢 ضمن الهدف","🔴 متأخر")))</f>
        <v/>
      </c>
    </row>
    <row r="147" ht="15" customHeight="1" s="40">
      <c r="A147" s="85" t="n">
        <v>143</v>
      </c>
      <c r="B147" s="87" t="n"/>
      <c r="C147" s="86" t="n"/>
      <c r="D147" s="87" t="n"/>
      <c r="E147" s="88" t="n"/>
      <c r="F147" s="86" t="n"/>
      <c r="G147" s="87" t="n"/>
      <c r="H147" s="93">
        <f>IF(OR(C147="",F147=""),"",F147-C147)</f>
        <v/>
      </c>
      <c r="I147" s="56">
        <f>IF(H147="","—",IF(D147="مواد مخزنية",  IF(H147&lt;=3,"🟢 ضمن الهدف","🔴 متأخر"),  IF(H147&lt;=5,"🟢 ضمن الهدف","🔴 متأخر")))</f>
        <v/>
      </c>
    </row>
    <row r="148" ht="15" customHeight="1" s="40">
      <c r="A148" s="85" t="n">
        <v>144</v>
      </c>
      <c r="B148" s="87" t="n"/>
      <c r="C148" s="86" t="n"/>
      <c r="D148" s="87" t="n"/>
      <c r="E148" s="88" t="n"/>
      <c r="F148" s="86" t="n"/>
      <c r="G148" s="87" t="n"/>
      <c r="H148" s="93">
        <f>IF(OR(C148="",F148=""),"",F148-C148)</f>
        <v/>
      </c>
      <c r="I148" s="56">
        <f>IF(H148="","—",IF(D148="مواد مخزنية",  IF(H148&lt;=3,"🟢 ضمن الهدف","🔴 متأخر"),  IF(H148&lt;=5,"🟢 ضمن الهدف","🔴 متأخر")))</f>
        <v/>
      </c>
    </row>
    <row r="149" ht="15" customHeight="1" s="40">
      <c r="A149" s="85" t="n">
        <v>145</v>
      </c>
      <c r="B149" s="87" t="n"/>
      <c r="C149" s="86" t="n"/>
      <c r="D149" s="87" t="n"/>
      <c r="E149" s="88" t="n"/>
      <c r="F149" s="86" t="n"/>
      <c r="G149" s="87" t="n"/>
      <c r="H149" s="93">
        <f>IF(OR(C149="",F149=""),"",F149-C149)</f>
        <v/>
      </c>
      <c r="I149" s="56">
        <f>IF(H149="","—",IF(D149="مواد مخزنية",  IF(H149&lt;=3,"🟢 ضمن الهدف","🔴 متأخر"),  IF(H149&lt;=5,"🟢 ضمن الهدف","🔴 متأخر")))</f>
        <v/>
      </c>
    </row>
    <row r="150" ht="15" customHeight="1" s="40">
      <c r="A150" s="85" t="n">
        <v>146</v>
      </c>
      <c r="B150" s="87" t="n"/>
      <c r="C150" s="86" t="n"/>
      <c r="D150" s="87" t="n"/>
      <c r="E150" s="88" t="n"/>
      <c r="F150" s="86" t="n"/>
      <c r="G150" s="87" t="n"/>
      <c r="H150" s="93">
        <f>IF(OR(C150="",F150=""),"",F150-C150)</f>
        <v/>
      </c>
      <c r="I150" s="56">
        <f>IF(H150="","—",IF(D150="مواد مخزنية",  IF(H150&lt;=3,"🟢 ضمن الهدف","🔴 متأخر"),  IF(H150&lt;=5,"🟢 ضمن الهدف","🔴 متأخر")))</f>
        <v/>
      </c>
    </row>
    <row r="151" ht="15" customHeight="1" s="40">
      <c r="A151" s="85" t="n">
        <v>147</v>
      </c>
      <c r="B151" s="87" t="n"/>
      <c r="C151" s="86" t="n"/>
      <c r="D151" s="87" t="n"/>
      <c r="E151" s="88" t="n"/>
      <c r="F151" s="86" t="n"/>
      <c r="G151" s="87" t="n"/>
      <c r="H151" s="93">
        <f>IF(OR(C151="",F151=""),"",F151-C151)</f>
        <v/>
      </c>
      <c r="I151" s="56">
        <f>IF(H151="","—",IF(D151="مواد مخزنية",  IF(H151&lt;=3,"🟢 ضمن الهدف","🔴 متأخر"),  IF(H151&lt;=5,"🟢 ضمن الهدف","🔴 متأخر")))</f>
        <v/>
      </c>
    </row>
    <row r="152" ht="15" customHeight="1" s="40">
      <c r="A152" s="85" t="n">
        <v>148</v>
      </c>
      <c r="B152" s="87" t="n"/>
      <c r="C152" s="86" t="n"/>
      <c r="D152" s="87" t="n"/>
      <c r="E152" s="88" t="n"/>
      <c r="F152" s="86" t="n"/>
      <c r="G152" s="87" t="n"/>
      <c r="H152" s="93">
        <f>IF(OR(C152="",F152=""),"",F152-C152)</f>
        <v/>
      </c>
      <c r="I152" s="56">
        <f>IF(H152="","—",IF(D152="مواد مخزنية",  IF(H152&lt;=3,"🟢 ضمن الهدف","🔴 متأخر"),  IF(H152&lt;=5,"🟢 ضمن الهدف","🔴 متأخر")))</f>
        <v/>
      </c>
    </row>
    <row r="153" ht="15" customHeight="1" s="40">
      <c r="A153" s="85" t="n">
        <v>149</v>
      </c>
      <c r="B153" s="87" t="n"/>
      <c r="C153" s="86" t="n"/>
      <c r="D153" s="87" t="n"/>
      <c r="E153" s="88" t="n"/>
      <c r="F153" s="86" t="n"/>
      <c r="G153" s="87" t="n"/>
      <c r="H153" s="93">
        <f>IF(OR(C153="",F153=""),"",F153-C153)</f>
        <v/>
      </c>
      <c r="I153" s="56">
        <f>IF(H153="","—",IF(D153="مواد مخزنية",  IF(H153&lt;=3,"🟢 ضمن الهدف","🔴 متأخر"),  IF(H153&lt;=5,"🟢 ضمن الهدف","🔴 متأخر")))</f>
        <v/>
      </c>
    </row>
    <row r="154" ht="15" customHeight="1" s="40">
      <c r="A154" s="85" t="n">
        <v>150</v>
      </c>
      <c r="B154" s="87" t="n"/>
      <c r="C154" s="86" t="n"/>
      <c r="D154" s="87" t="n"/>
      <c r="E154" s="88" t="n"/>
      <c r="F154" s="86" t="n"/>
      <c r="G154" s="87" t="n"/>
      <c r="H154" s="93">
        <f>IF(OR(C154="",F154=""),"",F154-C154)</f>
        <v/>
      </c>
      <c r="I154" s="56">
        <f>IF(H154="","—",IF(D154="مواد مخزنية",  IF(H154&lt;=3,"🟢 ضمن الهدف","🔴 متأخر"),  IF(H154&lt;=5,"🟢 ضمن الهدف","🔴 متأخر")))</f>
        <v/>
      </c>
    </row>
    <row r="155" ht="15" customHeight="1" s="40">
      <c r="A155" s="85" t="n">
        <v>151</v>
      </c>
      <c r="B155" s="87" t="n"/>
      <c r="C155" s="86" t="n"/>
      <c r="D155" s="87" t="n"/>
      <c r="E155" s="88" t="n"/>
      <c r="F155" s="86" t="n"/>
      <c r="G155" s="87" t="n"/>
      <c r="H155" s="93">
        <f>IF(OR(C155="",F155=""),"",F155-C155)</f>
        <v/>
      </c>
      <c r="I155" s="56">
        <f>IF(H155="","—",IF(D155="مواد مخزنية",  IF(H155&lt;=3,"🟢 ضمن الهدف","🔴 متأخر"),  IF(H155&lt;=5,"🟢 ضمن الهدف","🔴 متأخر")))</f>
        <v/>
      </c>
    </row>
    <row r="156" ht="15" customHeight="1" s="40">
      <c r="A156" s="85" t="n">
        <v>152</v>
      </c>
      <c r="B156" s="87" t="n"/>
      <c r="C156" s="86" t="n"/>
      <c r="D156" s="87" t="n"/>
      <c r="E156" s="88" t="n"/>
      <c r="F156" s="86" t="n"/>
      <c r="G156" s="87" t="n"/>
      <c r="H156" s="93">
        <f>IF(OR(C156="",F156=""),"",F156-C156)</f>
        <v/>
      </c>
      <c r="I156" s="56">
        <f>IF(H156="","—",IF(D156="مواد مخزنية",  IF(H156&lt;=3,"🟢 ضمن الهدف","🔴 متأخر"),  IF(H156&lt;=5,"🟢 ضمن الهدف","🔴 متأخر")))</f>
        <v/>
      </c>
    </row>
    <row r="157" ht="15" customHeight="1" s="40">
      <c r="A157" s="85" t="n">
        <v>153</v>
      </c>
      <c r="B157" s="87" t="n"/>
      <c r="C157" s="86" t="n"/>
      <c r="D157" s="87" t="n"/>
      <c r="E157" s="88" t="n"/>
      <c r="F157" s="86" t="n"/>
      <c r="G157" s="87" t="n"/>
      <c r="H157" s="93">
        <f>IF(OR(C157="",F157=""),"",F157-C157)</f>
        <v/>
      </c>
      <c r="I157" s="56">
        <f>IF(H157="","—",IF(D157="مواد مخزنية",  IF(H157&lt;=3,"🟢 ضمن الهدف","🔴 متأخر"),  IF(H157&lt;=5,"🟢 ضمن الهدف","🔴 متأخر")))</f>
        <v/>
      </c>
    </row>
    <row r="158" ht="15" customHeight="1" s="40">
      <c r="A158" s="85" t="n">
        <v>154</v>
      </c>
      <c r="B158" s="87" t="n"/>
      <c r="C158" s="86" t="n"/>
      <c r="D158" s="87" t="n"/>
      <c r="E158" s="88" t="n"/>
      <c r="F158" s="86" t="n"/>
      <c r="G158" s="87" t="n"/>
      <c r="H158" s="93">
        <f>IF(OR(C158="",F158=""),"",F158-C158)</f>
        <v/>
      </c>
      <c r="I158" s="56">
        <f>IF(H158="","—",IF(D158="مواد مخزنية",  IF(H158&lt;=3,"🟢 ضمن الهدف","🔴 متأخر"),  IF(H158&lt;=5,"🟢 ضمن الهدف","🔴 متأخر")))</f>
        <v/>
      </c>
    </row>
    <row r="159" ht="15" customHeight="1" s="40">
      <c r="A159" s="85" t="n">
        <v>155</v>
      </c>
      <c r="B159" s="87" t="n"/>
      <c r="C159" s="86" t="n"/>
      <c r="D159" s="87" t="n"/>
      <c r="E159" s="88" t="n"/>
      <c r="F159" s="86" t="n"/>
      <c r="G159" s="87" t="n"/>
      <c r="H159" s="93">
        <f>IF(OR(C159="",F159=""),"",F159-C159)</f>
        <v/>
      </c>
      <c r="I159" s="56">
        <f>IF(H159="","—",IF(D159="مواد مخزنية",  IF(H159&lt;=3,"🟢 ضمن الهدف","🔴 متأخر"),  IF(H159&lt;=5,"🟢 ضمن الهدف","🔴 متأخر")))</f>
        <v/>
      </c>
    </row>
    <row r="160" ht="15" customHeight="1" s="40">
      <c r="A160" s="85" t="n">
        <v>156</v>
      </c>
      <c r="B160" s="87" t="n"/>
      <c r="C160" s="86" t="n"/>
      <c r="D160" s="87" t="n"/>
      <c r="E160" s="88" t="n"/>
      <c r="F160" s="86" t="n"/>
      <c r="G160" s="87" t="n"/>
      <c r="H160" s="93">
        <f>IF(OR(C160="",F160=""),"",F160-C160)</f>
        <v/>
      </c>
      <c r="I160" s="56">
        <f>IF(H160="","—",IF(D160="مواد مخزنية",  IF(H160&lt;=3,"🟢 ضمن الهدف","🔴 متأخر"),  IF(H160&lt;=5,"🟢 ضمن الهدف","🔴 متأخر")))</f>
        <v/>
      </c>
    </row>
    <row r="161" ht="15" customHeight="1" s="40">
      <c r="A161" s="85" t="n">
        <v>157</v>
      </c>
      <c r="B161" s="87" t="n"/>
      <c r="C161" s="86" t="n"/>
      <c r="D161" s="87" t="n"/>
      <c r="E161" s="88" t="n"/>
      <c r="F161" s="86" t="n"/>
      <c r="G161" s="87" t="n"/>
      <c r="H161" s="93">
        <f>IF(OR(C161="",F161=""),"",F161-C161)</f>
        <v/>
      </c>
      <c r="I161" s="56">
        <f>IF(H161="","—",IF(D161="مواد مخزنية",  IF(H161&lt;=3,"🟢 ضمن الهدف","🔴 متأخر"),  IF(H161&lt;=5,"🟢 ضمن الهدف","🔴 متأخر")))</f>
        <v/>
      </c>
    </row>
    <row r="162" ht="15" customHeight="1" s="40">
      <c r="A162" s="85" t="n">
        <v>158</v>
      </c>
      <c r="B162" s="87" t="n"/>
      <c r="C162" s="86" t="n"/>
      <c r="D162" s="87" t="n"/>
      <c r="E162" s="88" t="n"/>
      <c r="F162" s="86" t="n"/>
      <c r="G162" s="87" t="n"/>
      <c r="H162" s="93">
        <f>IF(OR(C162="",F162=""),"",F162-C162)</f>
        <v/>
      </c>
      <c r="I162" s="56">
        <f>IF(H162="","—",IF(D162="مواد مخزنية",  IF(H162&lt;=3,"🟢 ضمن الهدف","🔴 متأخر"),  IF(H162&lt;=5,"🟢 ضمن الهدف","🔴 متأخر")))</f>
        <v/>
      </c>
    </row>
    <row r="163" ht="15" customHeight="1" s="40">
      <c r="A163" s="85" t="n">
        <v>159</v>
      </c>
      <c r="B163" s="87" t="n"/>
      <c r="C163" s="86" t="n"/>
      <c r="D163" s="87" t="n"/>
      <c r="E163" s="88" t="n"/>
      <c r="F163" s="86" t="n"/>
      <c r="G163" s="87" t="n"/>
      <c r="H163" s="93">
        <f>IF(OR(C163="",F163=""),"",F163-C163)</f>
        <v/>
      </c>
      <c r="I163" s="56">
        <f>IF(H163="","—",IF(D163="مواد مخزنية",  IF(H163&lt;=3,"🟢 ضمن الهدف","🔴 متأخر"),  IF(H163&lt;=5,"🟢 ضمن الهدف","🔴 متأخر")))</f>
        <v/>
      </c>
    </row>
    <row r="164" ht="15" customHeight="1" s="40">
      <c r="A164" s="85" t="n">
        <v>160</v>
      </c>
      <c r="B164" s="87" t="n"/>
      <c r="C164" s="86" t="n"/>
      <c r="D164" s="87" t="n"/>
      <c r="E164" s="88" t="n"/>
      <c r="F164" s="86" t="n"/>
      <c r="G164" s="87" t="n"/>
      <c r="H164" s="93">
        <f>IF(OR(C164="",F164=""),"",F164-C164)</f>
        <v/>
      </c>
      <c r="I164" s="56">
        <f>IF(H164="","—",IF(D164="مواد مخزنية",  IF(H164&lt;=3,"🟢 ضمن الهدف","🔴 متأخر"),  IF(H164&lt;=5,"🟢 ضمن الهدف","🔴 متأخر")))</f>
        <v/>
      </c>
    </row>
    <row r="165" ht="15" customHeight="1" s="40">
      <c r="A165" s="85" t="n">
        <v>161</v>
      </c>
      <c r="B165" s="87" t="n"/>
      <c r="C165" s="86" t="n"/>
      <c r="D165" s="87" t="n"/>
      <c r="E165" s="88" t="n"/>
      <c r="F165" s="86" t="n"/>
      <c r="G165" s="87" t="n"/>
      <c r="H165" s="93">
        <f>IF(OR(C165="",F165=""),"",F165-C165)</f>
        <v/>
      </c>
      <c r="I165" s="56">
        <f>IF(H165="","—",IF(D165="مواد مخزنية",  IF(H165&lt;=3,"🟢 ضمن الهدف","🔴 متأخر"),  IF(H165&lt;=5,"🟢 ضمن الهدف","🔴 متأخر")))</f>
        <v/>
      </c>
    </row>
    <row r="166" ht="15" customHeight="1" s="40">
      <c r="A166" s="85" t="n">
        <v>162</v>
      </c>
      <c r="B166" s="87" t="n"/>
      <c r="C166" s="86" t="n"/>
      <c r="D166" s="87" t="n"/>
      <c r="E166" s="88" t="n"/>
      <c r="F166" s="86" t="n"/>
      <c r="G166" s="87" t="n"/>
      <c r="H166" s="93">
        <f>IF(OR(C166="",F166=""),"",F166-C166)</f>
        <v/>
      </c>
      <c r="I166" s="56">
        <f>IF(H166="","—",IF(D166="مواد مخزنية",  IF(H166&lt;=3,"🟢 ضمن الهدف","🔴 متأخر"),  IF(H166&lt;=5,"🟢 ضمن الهدف","🔴 متأخر")))</f>
        <v/>
      </c>
    </row>
    <row r="167" ht="15" customHeight="1" s="40">
      <c r="A167" s="85" t="n">
        <v>163</v>
      </c>
      <c r="B167" s="87" t="n"/>
      <c r="C167" s="86" t="n"/>
      <c r="D167" s="87" t="n"/>
      <c r="E167" s="88" t="n"/>
      <c r="F167" s="86" t="n"/>
      <c r="G167" s="87" t="n"/>
      <c r="H167" s="93">
        <f>IF(OR(C167="",F167=""),"",F167-C167)</f>
        <v/>
      </c>
      <c r="I167" s="56">
        <f>IF(H167="","—",IF(D167="مواد مخزنية",  IF(H167&lt;=3,"🟢 ضمن الهدف","🔴 متأخر"),  IF(H167&lt;=5,"🟢 ضمن الهدف","🔴 متأخر")))</f>
        <v/>
      </c>
    </row>
    <row r="168" ht="15" customHeight="1" s="40">
      <c r="A168" s="85" t="n">
        <v>164</v>
      </c>
      <c r="B168" s="87" t="n"/>
      <c r="C168" s="86" t="n"/>
      <c r="D168" s="87" t="n"/>
      <c r="E168" s="88" t="n"/>
      <c r="F168" s="86" t="n"/>
      <c r="G168" s="87" t="n"/>
      <c r="H168" s="93">
        <f>IF(OR(C168="",F168=""),"",F168-C168)</f>
        <v/>
      </c>
      <c r="I168" s="56">
        <f>IF(H168="","—",IF(D168="مواد مخزنية",  IF(H168&lt;=3,"🟢 ضمن الهدف","🔴 متأخر"),  IF(H168&lt;=5,"🟢 ضمن الهدف","🔴 متأخر")))</f>
        <v/>
      </c>
    </row>
    <row r="169" ht="15" customHeight="1" s="40">
      <c r="A169" s="85" t="n">
        <v>165</v>
      </c>
      <c r="B169" s="87" t="n"/>
      <c r="C169" s="86" t="n"/>
      <c r="D169" s="87" t="n"/>
      <c r="E169" s="88" t="n"/>
      <c r="F169" s="86" t="n"/>
      <c r="G169" s="87" t="n"/>
      <c r="H169" s="93">
        <f>IF(OR(C169="",F169=""),"",F169-C169)</f>
        <v/>
      </c>
      <c r="I169" s="56">
        <f>IF(H169="","—",IF(D169="مواد مخزنية",  IF(H169&lt;=3,"🟢 ضمن الهدف","🔴 متأخر"),  IF(H169&lt;=5,"🟢 ضمن الهدف","🔴 متأخر")))</f>
        <v/>
      </c>
    </row>
    <row r="170" ht="15" customHeight="1" s="40">
      <c r="A170" s="85" t="n">
        <v>166</v>
      </c>
      <c r="B170" s="87" t="n"/>
      <c r="C170" s="86" t="n"/>
      <c r="D170" s="87" t="n"/>
      <c r="E170" s="88" t="n"/>
      <c r="F170" s="86" t="n"/>
      <c r="G170" s="87" t="n"/>
      <c r="H170" s="93">
        <f>IF(OR(C170="",F170=""),"",F170-C170)</f>
        <v/>
      </c>
      <c r="I170" s="56">
        <f>IF(H170="","—",IF(D170="مواد مخزنية",  IF(H170&lt;=3,"🟢 ضمن الهدف","🔴 متأخر"),  IF(H170&lt;=5,"🟢 ضمن الهدف","🔴 متأخر")))</f>
        <v/>
      </c>
    </row>
    <row r="171" ht="15" customHeight="1" s="40">
      <c r="A171" s="85" t="n">
        <v>167</v>
      </c>
      <c r="B171" s="87" t="n"/>
      <c r="C171" s="86" t="n"/>
      <c r="D171" s="87" t="n"/>
      <c r="E171" s="88" t="n"/>
      <c r="F171" s="86" t="n"/>
      <c r="G171" s="87" t="n"/>
      <c r="H171" s="93">
        <f>IF(OR(C171="",F171=""),"",F171-C171)</f>
        <v/>
      </c>
      <c r="I171" s="56">
        <f>IF(H171="","—",IF(D171="مواد مخزنية",  IF(H171&lt;=3,"🟢 ضمن الهدف","🔴 متأخر"),  IF(H171&lt;=5,"🟢 ضمن الهدف","🔴 متأخر")))</f>
        <v/>
      </c>
    </row>
    <row r="172" ht="15" customHeight="1" s="40">
      <c r="A172" s="85" t="n">
        <v>168</v>
      </c>
      <c r="B172" s="87" t="n"/>
      <c r="C172" s="86" t="n"/>
      <c r="D172" s="87" t="n"/>
      <c r="E172" s="88" t="n"/>
      <c r="F172" s="86" t="n"/>
      <c r="G172" s="87" t="n"/>
      <c r="H172" s="93">
        <f>IF(OR(C172="",F172=""),"",F172-C172)</f>
        <v/>
      </c>
      <c r="I172" s="56">
        <f>IF(H172="","—",IF(D172="مواد مخزنية",  IF(H172&lt;=3,"🟢 ضمن الهدف","🔴 متأخر"),  IF(H172&lt;=5,"🟢 ضمن الهدف","🔴 متأخر")))</f>
        <v/>
      </c>
    </row>
    <row r="173" ht="15" customHeight="1" s="40">
      <c r="A173" s="85" t="n">
        <v>169</v>
      </c>
      <c r="B173" s="87" t="n"/>
      <c r="C173" s="86" t="n"/>
      <c r="D173" s="87" t="n"/>
      <c r="E173" s="88" t="n"/>
      <c r="F173" s="86" t="n"/>
      <c r="G173" s="87" t="n"/>
      <c r="H173" s="93">
        <f>IF(OR(C173="",F173=""),"",F173-C173)</f>
        <v/>
      </c>
      <c r="I173" s="56">
        <f>IF(H173="","—",IF(D173="مواد مخزنية",  IF(H173&lt;=3,"🟢 ضمن الهدف","🔴 متأخر"),  IF(H173&lt;=5,"🟢 ضمن الهدف","🔴 متأخر")))</f>
        <v/>
      </c>
    </row>
    <row r="174" ht="15" customHeight="1" s="40">
      <c r="A174" s="85" t="n">
        <v>170</v>
      </c>
      <c r="B174" s="87" t="n"/>
      <c r="C174" s="86" t="n"/>
      <c r="D174" s="87" t="n"/>
      <c r="E174" s="88" t="n"/>
      <c r="F174" s="86" t="n"/>
      <c r="G174" s="87" t="n"/>
      <c r="H174" s="93">
        <f>IF(OR(C174="",F174=""),"",F174-C174)</f>
        <v/>
      </c>
      <c r="I174" s="56">
        <f>IF(H174="","—",IF(D174="مواد مخزنية",  IF(H174&lt;=3,"🟢 ضمن الهدف","🔴 متأخر"),  IF(H174&lt;=5,"🟢 ضمن الهدف","🔴 متأخر")))</f>
        <v/>
      </c>
    </row>
    <row r="175" ht="15" customHeight="1" s="40">
      <c r="A175" s="85" t="n">
        <v>171</v>
      </c>
      <c r="B175" s="87" t="n"/>
      <c r="C175" s="86" t="n"/>
      <c r="D175" s="87" t="n"/>
      <c r="E175" s="88" t="n"/>
      <c r="F175" s="86" t="n"/>
      <c r="G175" s="87" t="n"/>
      <c r="H175" s="93">
        <f>IF(OR(C175="",F175=""),"",F175-C175)</f>
        <v/>
      </c>
      <c r="I175" s="56">
        <f>IF(H175="","—",IF(D175="مواد مخزنية",  IF(H175&lt;=3,"🟢 ضمن الهدف","🔴 متأخر"),  IF(H175&lt;=5,"🟢 ضمن الهدف","🔴 متأخر")))</f>
        <v/>
      </c>
    </row>
    <row r="176" ht="15" customHeight="1" s="40">
      <c r="A176" s="85" t="n">
        <v>172</v>
      </c>
      <c r="B176" s="87" t="n"/>
      <c r="C176" s="86" t="n"/>
      <c r="D176" s="87" t="n"/>
      <c r="E176" s="88" t="n"/>
      <c r="F176" s="86" t="n"/>
      <c r="G176" s="87" t="n"/>
      <c r="H176" s="93">
        <f>IF(OR(C176="",F176=""),"",F176-C176)</f>
        <v/>
      </c>
      <c r="I176" s="56">
        <f>IF(H176="","—",IF(D176="مواد مخزنية",  IF(H176&lt;=3,"🟢 ضمن الهدف","🔴 متأخر"),  IF(H176&lt;=5,"🟢 ضمن الهدف","🔴 متأخر")))</f>
        <v/>
      </c>
    </row>
    <row r="177" ht="15" customHeight="1" s="40">
      <c r="A177" s="85" t="n">
        <v>173</v>
      </c>
      <c r="B177" s="87" t="n"/>
      <c r="C177" s="86" t="n"/>
      <c r="D177" s="87" t="n"/>
      <c r="E177" s="88" t="n"/>
      <c r="F177" s="86" t="n"/>
      <c r="G177" s="87" t="n"/>
      <c r="H177" s="93">
        <f>IF(OR(C177="",F177=""),"",F177-C177)</f>
        <v/>
      </c>
      <c r="I177" s="56">
        <f>IF(H177="","—",IF(D177="مواد مخزنية",  IF(H177&lt;=3,"🟢 ضمن الهدف","🔴 متأخر"),  IF(H177&lt;=5,"🟢 ضمن الهدف","🔴 متأخر")))</f>
        <v/>
      </c>
    </row>
    <row r="178" ht="15" customHeight="1" s="40">
      <c r="A178" s="85" t="n">
        <v>174</v>
      </c>
      <c r="B178" s="87" t="n"/>
      <c r="C178" s="86" t="n"/>
      <c r="D178" s="87" t="n"/>
      <c r="E178" s="88" t="n"/>
      <c r="F178" s="86" t="n"/>
      <c r="G178" s="87" t="n"/>
      <c r="H178" s="93">
        <f>IF(OR(C178="",F178=""),"",F178-C178)</f>
        <v/>
      </c>
      <c r="I178" s="56">
        <f>IF(H178="","—",IF(D178="مواد مخزنية",  IF(H178&lt;=3,"🟢 ضمن الهدف","🔴 متأخر"),  IF(H178&lt;=5,"🟢 ضمن الهدف","🔴 متأخر")))</f>
        <v/>
      </c>
    </row>
    <row r="179" ht="15" customHeight="1" s="40">
      <c r="A179" s="85" t="n">
        <v>175</v>
      </c>
      <c r="B179" s="87" t="n"/>
      <c r="C179" s="86" t="n"/>
      <c r="D179" s="87" t="n"/>
      <c r="E179" s="88" t="n"/>
      <c r="F179" s="86" t="n"/>
      <c r="G179" s="87" t="n"/>
      <c r="H179" s="93">
        <f>IF(OR(C179="",F179=""),"",F179-C179)</f>
        <v/>
      </c>
      <c r="I179" s="56">
        <f>IF(H179="","—",IF(D179="مواد مخزنية",  IF(H179&lt;=3,"🟢 ضمن الهدف","🔴 متأخر"),  IF(H179&lt;=5,"🟢 ضمن الهدف","🔴 متأخر")))</f>
        <v/>
      </c>
    </row>
    <row r="180" ht="15" customHeight="1" s="40">
      <c r="A180" s="85" t="n">
        <v>176</v>
      </c>
      <c r="B180" s="87" t="n"/>
      <c r="C180" s="86" t="n"/>
      <c r="D180" s="87" t="n"/>
      <c r="E180" s="88" t="n"/>
      <c r="F180" s="86" t="n"/>
      <c r="G180" s="87" t="n"/>
      <c r="H180" s="93">
        <f>IF(OR(C180="",F180=""),"",F180-C180)</f>
        <v/>
      </c>
      <c r="I180" s="56">
        <f>IF(H180="","—",IF(D180="مواد مخزنية",  IF(H180&lt;=3,"🟢 ضمن الهدف","🔴 متأخر"),  IF(H180&lt;=5,"🟢 ضمن الهدف","🔴 متأخر")))</f>
        <v/>
      </c>
    </row>
    <row r="181" ht="15" customHeight="1" s="40">
      <c r="A181" s="85" t="n">
        <v>177</v>
      </c>
      <c r="B181" s="87" t="n"/>
      <c r="C181" s="86" t="n"/>
      <c r="D181" s="87" t="n"/>
      <c r="E181" s="88" t="n"/>
      <c r="F181" s="86" t="n"/>
      <c r="G181" s="87" t="n"/>
      <c r="H181" s="93">
        <f>IF(OR(C181="",F181=""),"",F181-C181)</f>
        <v/>
      </c>
      <c r="I181" s="56">
        <f>IF(H181="","—",IF(D181="مواد مخزنية",  IF(H181&lt;=3,"🟢 ضمن الهدف","🔴 متأخر"),  IF(H181&lt;=5,"🟢 ضمن الهدف","🔴 متأخر")))</f>
        <v/>
      </c>
    </row>
    <row r="182" ht="15" customHeight="1" s="40">
      <c r="A182" s="85" t="n">
        <v>178</v>
      </c>
      <c r="B182" s="87" t="n"/>
      <c r="C182" s="86" t="n"/>
      <c r="D182" s="87" t="n"/>
      <c r="E182" s="88" t="n"/>
      <c r="F182" s="86" t="n"/>
      <c r="G182" s="87" t="n"/>
      <c r="H182" s="93">
        <f>IF(OR(C182="",F182=""),"",F182-C182)</f>
        <v/>
      </c>
      <c r="I182" s="56">
        <f>IF(H182="","—",IF(D182="مواد مخزنية",  IF(H182&lt;=3,"🟢 ضمن الهدف","🔴 متأخر"),  IF(H182&lt;=5,"🟢 ضمن الهدف","🔴 متأخر")))</f>
        <v/>
      </c>
    </row>
    <row r="183" ht="15" customHeight="1" s="40">
      <c r="A183" s="85" t="n">
        <v>179</v>
      </c>
      <c r="B183" s="87" t="n"/>
      <c r="C183" s="86" t="n"/>
      <c r="D183" s="87" t="n"/>
      <c r="E183" s="88" t="n"/>
      <c r="F183" s="86" t="n"/>
      <c r="G183" s="87" t="n"/>
      <c r="H183" s="93">
        <f>IF(OR(C183="",F183=""),"",F183-C183)</f>
        <v/>
      </c>
      <c r="I183" s="56">
        <f>IF(H183="","—",IF(D183="مواد مخزنية",  IF(H183&lt;=3,"🟢 ضمن الهدف","🔴 متأخر"),  IF(H183&lt;=5,"🟢 ضمن الهدف","🔴 متأخر")))</f>
        <v/>
      </c>
    </row>
    <row r="184" ht="15" customHeight="1" s="40">
      <c r="A184" s="85" t="n">
        <v>180</v>
      </c>
      <c r="B184" s="87" t="n"/>
      <c r="C184" s="86" t="n"/>
      <c r="D184" s="87" t="n"/>
      <c r="E184" s="88" t="n"/>
      <c r="F184" s="86" t="n"/>
      <c r="G184" s="87" t="n"/>
      <c r="H184" s="93">
        <f>IF(OR(C184="",F184=""),"",F184-C184)</f>
        <v/>
      </c>
      <c r="I184" s="56">
        <f>IF(H184="","—",IF(D184="مواد مخزنية",  IF(H184&lt;=3,"🟢 ضمن الهدف","🔴 متأخر"),  IF(H184&lt;=5,"🟢 ضمن الهدف","🔴 متأخر")))</f>
        <v/>
      </c>
    </row>
    <row r="185" ht="15" customHeight="1" s="40">
      <c r="A185" s="85" t="n">
        <v>181</v>
      </c>
      <c r="B185" s="87" t="n"/>
      <c r="C185" s="86" t="n"/>
      <c r="D185" s="87" t="n"/>
      <c r="E185" s="88" t="n"/>
      <c r="F185" s="86" t="n"/>
      <c r="G185" s="87" t="n"/>
      <c r="H185" s="93">
        <f>IF(OR(C185="",F185=""),"",F185-C185)</f>
        <v/>
      </c>
      <c r="I185" s="56">
        <f>IF(H185="","—",IF(D185="مواد مخزنية",  IF(H185&lt;=3,"🟢 ضمن الهدف","🔴 متأخر"),  IF(H185&lt;=5,"🟢 ضمن الهدف","🔴 متأخر")))</f>
        <v/>
      </c>
    </row>
    <row r="186" ht="15" customHeight="1" s="40">
      <c r="A186" s="85" t="n">
        <v>182</v>
      </c>
      <c r="B186" s="87" t="n"/>
      <c r="C186" s="86" t="n"/>
      <c r="D186" s="87" t="n"/>
      <c r="E186" s="88" t="n"/>
      <c r="F186" s="86" t="n"/>
      <c r="G186" s="87" t="n"/>
      <c r="H186" s="93">
        <f>IF(OR(C186="",F186=""),"",F186-C186)</f>
        <v/>
      </c>
      <c r="I186" s="56">
        <f>IF(H186="","—",IF(D186="مواد مخزنية",  IF(H186&lt;=3,"🟢 ضمن الهدف","🔴 متأخر"),  IF(H186&lt;=5,"🟢 ضمن الهدف","🔴 متأخر")))</f>
        <v/>
      </c>
    </row>
    <row r="187" ht="15" customHeight="1" s="40">
      <c r="A187" s="85" t="n">
        <v>183</v>
      </c>
      <c r="B187" s="87" t="n"/>
      <c r="C187" s="86" t="n"/>
      <c r="D187" s="87" t="n"/>
      <c r="E187" s="88" t="n"/>
      <c r="F187" s="86" t="n"/>
      <c r="G187" s="87" t="n"/>
      <c r="H187" s="93">
        <f>IF(OR(C187="",F187=""),"",F187-C187)</f>
        <v/>
      </c>
      <c r="I187" s="56">
        <f>IF(H187="","—",IF(D187="مواد مخزنية",  IF(H187&lt;=3,"🟢 ضمن الهدف","🔴 متأخر"),  IF(H187&lt;=5,"🟢 ضمن الهدف","🔴 متأخر")))</f>
        <v/>
      </c>
    </row>
    <row r="188" ht="15" customHeight="1" s="40">
      <c r="A188" s="85" t="n">
        <v>184</v>
      </c>
      <c r="B188" s="87" t="n"/>
      <c r="C188" s="86" t="n"/>
      <c r="D188" s="87" t="n"/>
      <c r="E188" s="88" t="n"/>
      <c r="F188" s="86" t="n"/>
      <c r="G188" s="87" t="n"/>
      <c r="H188" s="93">
        <f>IF(OR(C188="",F188=""),"",F188-C188)</f>
        <v/>
      </c>
      <c r="I188" s="56">
        <f>IF(H188="","—",IF(D188="مواد مخزنية",  IF(H188&lt;=3,"🟢 ضمن الهدف","🔴 متأخر"),  IF(H188&lt;=5,"🟢 ضمن الهدف","🔴 متأخر")))</f>
        <v/>
      </c>
    </row>
    <row r="189" ht="15" customHeight="1" s="40">
      <c r="A189" s="85" t="n">
        <v>185</v>
      </c>
      <c r="B189" s="87" t="n"/>
      <c r="C189" s="86" t="n"/>
      <c r="D189" s="87" t="n"/>
      <c r="E189" s="88" t="n"/>
      <c r="F189" s="86" t="n"/>
      <c r="G189" s="87" t="n"/>
      <c r="H189" s="93">
        <f>IF(OR(C189="",F189=""),"",F189-C189)</f>
        <v/>
      </c>
      <c r="I189" s="56">
        <f>IF(H189="","—",IF(D189="مواد مخزنية",  IF(H189&lt;=3,"🟢 ضمن الهدف","🔴 متأخر"),  IF(H189&lt;=5,"🟢 ضمن الهدف","🔴 متأخر")))</f>
        <v/>
      </c>
    </row>
    <row r="190" ht="15" customHeight="1" s="40">
      <c r="A190" s="85" t="n">
        <v>186</v>
      </c>
      <c r="B190" s="87" t="n"/>
      <c r="C190" s="86" t="n"/>
      <c r="D190" s="87" t="n"/>
      <c r="E190" s="88" t="n"/>
      <c r="F190" s="86" t="n"/>
      <c r="G190" s="87" t="n"/>
      <c r="H190" s="93">
        <f>IF(OR(C190="",F190=""),"",F190-C190)</f>
        <v/>
      </c>
      <c r="I190" s="56">
        <f>IF(H190="","—",IF(D190="مواد مخزنية",  IF(H190&lt;=3,"🟢 ضمن الهدف","🔴 متأخر"),  IF(H190&lt;=5,"🟢 ضمن الهدف","🔴 متأخر")))</f>
        <v/>
      </c>
    </row>
    <row r="191" ht="15" customHeight="1" s="40">
      <c r="A191" s="85" t="n">
        <v>187</v>
      </c>
      <c r="B191" s="87" t="n"/>
      <c r="C191" s="86" t="n"/>
      <c r="D191" s="87" t="n"/>
      <c r="E191" s="88" t="n"/>
      <c r="F191" s="86" t="n"/>
      <c r="G191" s="87" t="n"/>
      <c r="H191" s="93">
        <f>IF(OR(C191="",F191=""),"",F191-C191)</f>
        <v/>
      </c>
      <c r="I191" s="56">
        <f>IF(H191="","—",IF(D191="مواد مخزنية",  IF(H191&lt;=3,"🟢 ضمن الهدف","🔴 متأخر"),  IF(H191&lt;=5,"🟢 ضمن الهدف","🔴 متأخر")))</f>
        <v/>
      </c>
    </row>
    <row r="192" ht="15" customHeight="1" s="40">
      <c r="A192" s="85" t="n">
        <v>188</v>
      </c>
      <c r="B192" s="87" t="n"/>
      <c r="C192" s="86" t="n"/>
      <c r="D192" s="87" t="n"/>
      <c r="E192" s="88" t="n"/>
      <c r="F192" s="86" t="n"/>
      <c r="G192" s="87" t="n"/>
      <c r="H192" s="93">
        <f>IF(OR(C192="",F192=""),"",F192-C192)</f>
        <v/>
      </c>
      <c r="I192" s="56">
        <f>IF(H192="","—",IF(D192="مواد مخزنية",  IF(H192&lt;=3,"🟢 ضمن الهدف","🔴 متأخر"),  IF(H192&lt;=5,"🟢 ضمن الهدف","🔴 متأخر")))</f>
        <v/>
      </c>
    </row>
    <row r="193" ht="15" customHeight="1" s="40">
      <c r="A193" s="85" t="n">
        <v>189</v>
      </c>
      <c r="B193" s="87" t="n"/>
      <c r="C193" s="86" t="n"/>
      <c r="D193" s="87" t="n"/>
      <c r="E193" s="88" t="n"/>
      <c r="F193" s="86" t="n"/>
      <c r="G193" s="87" t="n"/>
      <c r="H193" s="93">
        <f>IF(OR(C193="",F193=""),"",F193-C193)</f>
        <v/>
      </c>
      <c r="I193" s="56">
        <f>IF(H193="","—",IF(D193="مواد مخزنية",  IF(H193&lt;=3,"🟢 ضمن الهدف","🔴 متأخر"),  IF(H193&lt;=5,"🟢 ضمن الهدف","🔴 متأخر")))</f>
        <v/>
      </c>
    </row>
    <row r="194" ht="15" customHeight="1" s="40">
      <c r="A194" s="85" t="n">
        <v>190</v>
      </c>
      <c r="B194" s="87" t="n"/>
      <c r="C194" s="86" t="n"/>
      <c r="D194" s="87" t="n"/>
      <c r="E194" s="88" t="n"/>
      <c r="F194" s="86" t="n"/>
      <c r="G194" s="87" t="n"/>
      <c r="H194" s="93">
        <f>IF(OR(C194="",F194=""),"",F194-C194)</f>
        <v/>
      </c>
      <c r="I194" s="56">
        <f>IF(H194="","—",IF(D194="مواد مخزنية",  IF(H194&lt;=3,"🟢 ضمن الهدف","🔴 متأخر"),  IF(H194&lt;=5,"🟢 ضمن الهدف","🔴 متأخر")))</f>
        <v/>
      </c>
    </row>
    <row r="195" ht="15" customHeight="1" s="40">
      <c r="A195" s="85" t="n">
        <v>191</v>
      </c>
      <c r="B195" s="87" t="n"/>
      <c r="C195" s="86" t="n"/>
      <c r="D195" s="87" t="n"/>
      <c r="E195" s="88" t="n"/>
      <c r="F195" s="86" t="n"/>
      <c r="G195" s="87" t="n"/>
      <c r="H195" s="93">
        <f>IF(OR(C195="",F195=""),"",F195-C195)</f>
        <v/>
      </c>
      <c r="I195" s="56">
        <f>IF(H195="","—",IF(D195="مواد مخزنية",  IF(H195&lt;=3,"🟢 ضمن الهدف","🔴 متأخر"),  IF(H195&lt;=5,"🟢 ضمن الهدف","🔴 متأخر")))</f>
        <v/>
      </c>
    </row>
    <row r="196" ht="15" customHeight="1" s="40">
      <c r="A196" s="85" t="n">
        <v>192</v>
      </c>
      <c r="B196" s="87" t="n"/>
      <c r="C196" s="86" t="n"/>
      <c r="D196" s="87" t="n"/>
      <c r="E196" s="88" t="n"/>
      <c r="F196" s="86" t="n"/>
      <c r="G196" s="87" t="n"/>
      <c r="H196" s="93">
        <f>IF(OR(C196="",F196=""),"",F196-C196)</f>
        <v/>
      </c>
      <c r="I196" s="56">
        <f>IF(H196="","—",IF(D196="مواد مخزنية",  IF(H196&lt;=3,"🟢 ضمن الهدف","🔴 متأخر"),  IF(H196&lt;=5,"🟢 ضمن الهدف","🔴 متأخر")))</f>
        <v/>
      </c>
    </row>
    <row r="197" ht="15" customHeight="1" s="40">
      <c r="A197" s="85" t="n">
        <v>193</v>
      </c>
      <c r="B197" s="87" t="n"/>
      <c r="C197" s="86" t="n"/>
      <c r="D197" s="87" t="n"/>
      <c r="E197" s="88" t="n"/>
      <c r="F197" s="86" t="n"/>
      <c r="G197" s="87" t="n"/>
      <c r="H197" s="93">
        <f>IF(OR(C197="",F197=""),"",F197-C197)</f>
        <v/>
      </c>
      <c r="I197" s="56">
        <f>IF(H197="","—",IF(D197="مواد مخزنية",  IF(H197&lt;=3,"🟢 ضمن الهدف","🔴 متأخر"),  IF(H197&lt;=5,"🟢 ضمن الهدف","🔴 متأخر")))</f>
        <v/>
      </c>
    </row>
    <row r="198" ht="15" customHeight="1" s="40">
      <c r="A198" s="85" t="n">
        <v>194</v>
      </c>
      <c r="B198" s="87" t="n"/>
      <c r="C198" s="86" t="n"/>
      <c r="D198" s="87" t="n"/>
      <c r="E198" s="88" t="n"/>
      <c r="F198" s="86" t="n"/>
      <c r="G198" s="87" t="n"/>
      <c r="H198" s="93">
        <f>IF(OR(C198="",F198=""),"",F198-C198)</f>
        <v/>
      </c>
      <c r="I198" s="56">
        <f>IF(H198="","—",IF(D198="مواد مخزنية",  IF(H198&lt;=3,"🟢 ضمن الهدف","🔴 متأخر"),  IF(H198&lt;=5,"🟢 ضمن الهدف","🔴 متأخر")))</f>
        <v/>
      </c>
    </row>
    <row r="199" ht="15" customHeight="1" s="40">
      <c r="A199" s="85" t="n">
        <v>195</v>
      </c>
      <c r="B199" s="87" t="n"/>
      <c r="C199" s="86" t="n"/>
      <c r="D199" s="87" t="n"/>
      <c r="E199" s="88" t="n"/>
      <c r="F199" s="86" t="n"/>
      <c r="G199" s="87" t="n"/>
      <c r="H199" s="93">
        <f>IF(OR(C199="",F199=""),"",F199-C199)</f>
        <v/>
      </c>
      <c r="I199" s="56">
        <f>IF(H199="","—",IF(D199="مواد مخزنية",  IF(H199&lt;=3,"🟢 ضمن الهدف","🔴 متأخر"),  IF(H199&lt;=5,"🟢 ضمن الهدف","🔴 متأخر")))</f>
        <v/>
      </c>
    </row>
    <row r="200" ht="15" customHeight="1" s="40">
      <c r="A200" s="85" t="n">
        <v>196</v>
      </c>
      <c r="B200" s="87" t="n"/>
      <c r="C200" s="86" t="n"/>
      <c r="D200" s="87" t="n"/>
      <c r="E200" s="88" t="n"/>
      <c r="F200" s="86" t="n"/>
      <c r="G200" s="87" t="n"/>
      <c r="H200" s="93">
        <f>IF(OR(C200="",F200=""),"",F200-C200)</f>
        <v/>
      </c>
      <c r="I200" s="56">
        <f>IF(H200="","—",IF(D200="مواد مخزنية",  IF(H200&lt;=3,"🟢 ضمن الهدف","🔴 متأخر"),  IF(H200&lt;=5,"🟢 ضمن الهدف","🔴 متأخر")))</f>
        <v/>
      </c>
    </row>
    <row r="201" ht="15" customHeight="1" s="40">
      <c r="A201" s="85" t="n">
        <v>197</v>
      </c>
      <c r="B201" s="87" t="n"/>
      <c r="C201" s="86" t="n"/>
      <c r="D201" s="87" t="n"/>
      <c r="E201" s="88" t="n"/>
      <c r="F201" s="86" t="n"/>
      <c r="G201" s="87" t="n"/>
      <c r="H201" s="93">
        <f>IF(OR(C201="",F201=""),"",F201-C201)</f>
        <v/>
      </c>
      <c r="I201" s="56">
        <f>IF(H201="","—",IF(D201="مواد مخزنية",  IF(H201&lt;=3,"🟢 ضمن الهدف","🔴 متأخر"),  IF(H201&lt;=5,"🟢 ضمن الهدف","🔴 متأخر")))</f>
        <v/>
      </c>
    </row>
    <row r="202" ht="15" customHeight="1" s="40">
      <c r="A202" s="85" t="n">
        <v>198</v>
      </c>
      <c r="B202" s="87" t="n"/>
      <c r="C202" s="86" t="n"/>
      <c r="D202" s="87" t="n"/>
      <c r="E202" s="88" t="n"/>
      <c r="F202" s="86" t="n"/>
      <c r="G202" s="87" t="n"/>
      <c r="H202" s="93">
        <f>IF(OR(C202="",F202=""),"",F202-C202)</f>
        <v/>
      </c>
      <c r="I202" s="56">
        <f>IF(H202="","—",IF(D202="مواد مخزنية",  IF(H202&lt;=3,"🟢 ضمن الهدف","🔴 متأخر"),  IF(H202&lt;=5,"🟢 ضمن الهدف","🔴 متأخر")))</f>
        <v/>
      </c>
    </row>
    <row r="203" ht="15" customHeight="1" s="40">
      <c r="A203" s="85" t="n">
        <v>199</v>
      </c>
      <c r="B203" s="87" t="n"/>
      <c r="C203" s="86" t="n"/>
      <c r="D203" s="87" t="n"/>
      <c r="E203" s="88" t="n"/>
      <c r="F203" s="86" t="n"/>
      <c r="G203" s="87" t="n"/>
      <c r="H203" s="93">
        <f>IF(OR(C203="",F203=""),"",F203-C203)</f>
        <v/>
      </c>
      <c r="I203" s="56">
        <f>IF(H203="","—",IF(D203="مواد مخزنية",  IF(H203&lt;=3,"🟢 ضمن الهدف","🔴 متأخر"),  IF(H203&lt;=5,"🟢 ضمن الهدف","🔴 متأخر")))</f>
        <v/>
      </c>
    </row>
    <row r="204" ht="15" customHeight="1" s="40">
      <c r="A204" s="85" t="n">
        <v>200</v>
      </c>
      <c r="B204" s="87" t="n"/>
      <c r="C204" s="86" t="n"/>
      <c r="D204" s="87" t="n"/>
      <c r="E204" s="88" t="n"/>
      <c r="F204" s="86" t="n"/>
      <c r="G204" s="87" t="n"/>
      <c r="H204" s="93">
        <f>IF(OR(C204="",F204=""),"",F204-C204)</f>
        <v/>
      </c>
      <c r="I204" s="56">
        <f>IF(H204="","—",IF(D204="مواد مخزنية",  IF(H204&lt;=3,"🟢 ضمن الهدف","🔴 متأخر"),  IF(H204&lt;=5,"🟢 ضمن الهدف","🔴 متأخر")))</f>
        <v/>
      </c>
    </row>
  </sheetData>
  <mergeCells count="5">
    <mergeCell ref="F3:G3"/>
    <mergeCell ref="A2:I2"/>
    <mergeCell ref="A1:I1"/>
    <mergeCell ref="A3:E3"/>
    <mergeCell ref="H3:I3"/>
  </mergeCells>
  <conditionalFormatting sqref="I5:I204">
    <cfRule type="cellIs" rank="0" priority="2" equalAverage="0" operator="equal" aboveAverage="0" dxfId="0" text="" percent="0" bottom="0">
      <formula>"🟢 ضمن الهدف"</formula>
    </cfRule>
    <cfRule type="cellIs" rank="0" priority="3" equalAverage="0" operator="equal" aboveAverage="0" dxfId="2" text="" percent="0" bottom="0">
      <formula>"🔴 متأخر"</formula>
    </cfRule>
  </conditionalFormatting>
  <dataValidations count="2">
    <dataValidation sqref="D5:D204" showDropDown="0" showInputMessage="0" showErrorMessage="0" allowBlank="1" type="list" errorStyle="stop" operator="between">
      <formula1>"مواد مخزنية,أمر شراء"</formula1>
      <formula2>0</formula2>
    </dataValidation>
    <dataValidation sqref="G5:G204" showDropDown="0" showInputMessage="0" showErrorMessage="0" allowBlank="1" type="list" errorStyle="stop" operator="between">
      <formula1>"إصدار,تسليم,موافقة"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M304"/>
  <sheetViews>
    <sheetView showFormulas="0" showGridLines="1" showRowColHeaders="1" showZeros="1" rightToLeft="1" tabSelected="0" showOutlineSymbols="1" defaultGridColor="1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baseColWidth="8" defaultColWidth="8.6796875" defaultRowHeight="15" zeroHeight="0" outlineLevelRow="0"/>
  <cols>
    <col width="4" customWidth="1" style="39" min="1" max="1"/>
    <col width="12" customWidth="1" style="39" min="2" max="2"/>
    <col width="10" customWidth="1" style="39" min="3" max="3"/>
    <col width="14" customWidth="1" style="39" min="4" max="4"/>
    <col width="18" customWidth="1" style="39" min="5" max="5"/>
    <col width="16" customWidth="1" style="39" min="6" max="6"/>
    <col width="14" customWidth="1" style="39" min="7" max="9"/>
    <col width="12" customWidth="1" style="39" min="10" max="11"/>
    <col width="20" customWidth="1" style="39" min="12" max="12"/>
    <col width="12" customWidth="1" style="39" min="13" max="13"/>
  </cols>
  <sheetData>
    <row r="1" ht="31.5" customHeight="1" s="40">
      <c r="A1" s="41" t="inlineStr">
        <is>
          <t>🚚 سجل رحلات النقل (وقود + مواد + متخصصة)</t>
        </is>
      </c>
    </row>
    <row r="2" ht="27.75" customHeight="1" s="40">
      <c r="A2" s="42" t="inlineStr">
        <is>
          <t>📝 صف لكل رحلة  ·  الحوادث والتأخير تُتابع آلياً</t>
        </is>
      </c>
    </row>
    <row r="3" ht="24" customHeight="1" s="40">
      <c r="A3" s="84" t="inlineStr">
        <is>
          <t>بيانات الرحلة</t>
        </is>
      </c>
      <c r="F3" s="44" t="inlineStr">
        <is>
          <t>👨‍✈️ السائق</t>
        </is>
      </c>
      <c r="H3" s="94" t="inlineStr">
        <is>
          <t>⏱️ التوقيت</t>
        </is>
      </c>
      <c r="K3" s="43" t="inlineStr">
        <is>
          <t>🛡️ السلامة</t>
        </is>
      </c>
    </row>
    <row r="4" ht="43.5" customHeight="1" s="40">
      <c r="A4" s="45" t="inlineStr">
        <is>
          <t>#</t>
        </is>
      </c>
      <c r="B4" s="45" t="inlineStr">
        <is>
          <t>تاريخ الرحلة</t>
        </is>
      </c>
      <c r="C4" s="45" t="inlineStr">
        <is>
          <t>رقم الرحلة</t>
        </is>
      </c>
      <c r="D4" s="45" t="inlineStr">
        <is>
          <t>نوع الحمولة</t>
        </is>
      </c>
      <c r="E4" s="45" t="inlineStr">
        <is>
          <t>المحطة الوجهة</t>
        </is>
      </c>
      <c r="F4" s="45" t="inlineStr">
        <is>
          <t>اسم السائق</t>
        </is>
      </c>
      <c r="G4" s="45" t="inlineStr">
        <is>
          <t>ملكية الصهريج</t>
        </is>
      </c>
      <c r="H4" s="45" t="inlineStr">
        <is>
          <t>الوقت المخطط</t>
        </is>
      </c>
      <c r="I4" s="45" t="inlineStr">
        <is>
          <t>الوقت الفعلي</t>
        </is>
      </c>
      <c r="J4" s="45" t="inlineStr">
        <is>
          <t>في الوقت؟</t>
        </is>
      </c>
      <c r="K4" s="45" t="inlineStr">
        <is>
          <t>حادث/مخالفة؟</t>
        </is>
      </c>
      <c r="L4" s="45" t="inlineStr">
        <is>
          <t>وصف الحادث</t>
        </is>
      </c>
      <c r="M4" s="45" t="inlineStr">
        <is>
          <t>الحالة</t>
        </is>
      </c>
    </row>
    <row r="5" ht="15" customHeight="1" s="40">
      <c r="A5" s="85" t="n">
        <v>1</v>
      </c>
      <c r="B5" s="86" t="n"/>
      <c r="C5" s="87" t="n"/>
      <c r="D5" s="87" t="n"/>
      <c r="E5" s="87" t="n"/>
      <c r="F5" s="88" t="n"/>
      <c r="G5" s="87" t="n"/>
      <c r="H5" s="95" t="n"/>
      <c r="I5" s="95" t="n"/>
      <c r="J5" s="56">
        <f>IF(OR(H5="",I5=""),"—",IF(I5&lt;=H5,"🟢 في الوقت","🔴 متأخر"))</f>
        <v/>
      </c>
      <c r="K5" s="87" t="n"/>
      <c r="L5" s="88" t="n"/>
      <c r="M5" s="87" t="n"/>
    </row>
    <row r="6" ht="15" customHeight="1" s="40">
      <c r="A6" s="85" t="n">
        <v>2</v>
      </c>
      <c r="B6" s="86" t="n"/>
      <c r="C6" s="87" t="n"/>
      <c r="D6" s="87" t="n"/>
      <c r="E6" s="87" t="n"/>
      <c r="F6" s="88" t="n"/>
      <c r="G6" s="87" t="n"/>
      <c r="H6" s="95" t="n"/>
      <c r="I6" s="95" t="n"/>
      <c r="J6" s="56">
        <f>IF(OR(H6="",I6=""),"—",IF(I6&lt;=H6,"🟢 في الوقت","🔴 متأخر"))</f>
        <v/>
      </c>
      <c r="K6" s="87" t="n"/>
      <c r="L6" s="88" t="n"/>
      <c r="M6" s="87" t="n"/>
    </row>
    <row r="7" ht="15" customHeight="1" s="40">
      <c r="A7" s="85" t="n">
        <v>3</v>
      </c>
      <c r="B7" s="86" t="n"/>
      <c r="C7" s="87" t="n"/>
      <c r="D7" s="87" t="n"/>
      <c r="E7" s="87" t="n"/>
      <c r="F7" s="88" t="n"/>
      <c r="G7" s="87" t="n"/>
      <c r="H7" s="95" t="n"/>
      <c r="I7" s="95" t="n"/>
      <c r="J7" s="56">
        <f>IF(OR(H7="",I7=""),"—",IF(I7&lt;=H7,"🟢 في الوقت","🔴 متأخر"))</f>
        <v/>
      </c>
      <c r="K7" s="87" t="n"/>
      <c r="L7" s="88" t="n"/>
      <c r="M7" s="87" t="n"/>
    </row>
    <row r="8" ht="15" customHeight="1" s="40">
      <c r="A8" s="85" t="n">
        <v>4</v>
      </c>
      <c r="B8" s="86" t="n"/>
      <c r="C8" s="87" t="n"/>
      <c r="D8" s="87" t="n"/>
      <c r="E8" s="87" t="n"/>
      <c r="F8" s="88" t="n"/>
      <c r="G8" s="87" t="n"/>
      <c r="H8" s="95" t="n"/>
      <c r="I8" s="95" t="n"/>
      <c r="J8" s="56">
        <f>IF(OR(H8="",I8=""),"—",IF(I8&lt;=H8,"🟢 في الوقت","🔴 متأخر"))</f>
        <v/>
      </c>
      <c r="K8" s="87" t="n"/>
      <c r="L8" s="88" t="n"/>
      <c r="M8" s="87" t="n"/>
    </row>
    <row r="9" ht="15" customHeight="1" s="40">
      <c r="A9" s="85" t="n">
        <v>5</v>
      </c>
      <c r="B9" s="86" t="n"/>
      <c r="C9" s="87" t="n"/>
      <c r="D9" s="87" t="n"/>
      <c r="E9" s="87" t="n"/>
      <c r="F9" s="88" t="n"/>
      <c r="G9" s="87" t="n"/>
      <c r="H9" s="95" t="n"/>
      <c r="I9" s="95" t="n"/>
      <c r="J9" s="56">
        <f>IF(OR(H9="",I9=""),"—",IF(I9&lt;=H9,"🟢 في الوقت","🔴 متأخر"))</f>
        <v/>
      </c>
      <c r="K9" s="87" t="n"/>
      <c r="L9" s="88" t="n"/>
      <c r="M9" s="87" t="n"/>
    </row>
    <row r="10" ht="15" customHeight="1" s="40">
      <c r="A10" s="85" t="n">
        <v>6</v>
      </c>
      <c r="B10" s="86" t="n"/>
      <c r="C10" s="87" t="n"/>
      <c r="D10" s="87" t="n"/>
      <c r="E10" s="87" t="n"/>
      <c r="F10" s="88" t="n"/>
      <c r="G10" s="87" t="n"/>
      <c r="H10" s="95" t="n"/>
      <c r="I10" s="95" t="n"/>
      <c r="J10" s="56">
        <f>IF(OR(H10="",I10=""),"—",IF(I10&lt;=H10,"🟢 في الوقت","🔴 متأخر"))</f>
        <v/>
      </c>
      <c r="K10" s="87" t="n"/>
      <c r="L10" s="88" t="n"/>
      <c r="M10" s="87" t="n"/>
    </row>
    <row r="11" ht="15" customHeight="1" s="40">
      <c r="A11" s="85" t="n">
        <v>7</v>
      </c>
      <c r="B11" s="86" t="n"/>
      <c r="C11" s="87" t="n"/>
      <c r="D11" s="87" t="n"/>
      <c r="E11" s="87" t="n"/>
      <c r="F11" s="88" t="n"/>
      <c r="G11" s="87" t="n"/>
      <c r="H11" s="95" t="n"/>
      <c r="I11" s="95" t="n"/>
      <c r="J11" s="56">
        <f>IF(OR(H11="",I11=""),"—",IF(I11&lt;=H11,"🟢 في الوقت","🔴 متأخر"))</f>
        <v/>
      </c>
      <c r="K11" s="87" t="n"/>
      <c r="L11" s="88" t="n"/>
      <c r="M11" s="87" t="n"/>
    </row>
    <row r="12" ht="15" customHeight="1" s="40">
      <c r="A12" s="85" t="n">
        <v>8</v>
      </c>
      <c r="B12" s="86" t="n"/>
      <c r="C12" s="87" t="n"/>
      <c r="D12" s="87" t="n"/>
      <c r="E12" s="87" t="n"/>
      <c r="F12" s="88" t="n"/>
      <c r="G12" s="87" t="n"/>
      <c r="H12" s="95" t="n"/>
      <c r="I12" s="95" t="n"/>
      <c r="J12" s="56">
        <f>IF(OR(H12="",I12=""),"—",IF(I12&lt;=H12,"🟢 في الوقت","🔴 متأخر"))</f>
        <v/>
      </c>
      <c r="K12" s="87" t="n"/>
      <c r="L12" s="88" t="n"/>
      <c r="M12" s="87" t="n"/>
    </row>
    <row r="13" ht="15" customHeight="1" s="40">
      <c r="A13" s="85" t="n">
        <v>9</v>
      </c>
      <c r="B13" s="86" t="n"/>
      <c r="C13" s="87" t="n"/>
      <c r="D13" s="87" t="n"/>
      <c r="E13" s="87" t="n"/>
      <c r="F13" s="88" t="n"/>
      <c r="G13" s="87" t="n"/>
      <c r="H13" s="95" t="n"/>
      <c r="I13" s="95" t="n"/>
      <c r="J13" s="56">
        <f>IF(OR(H13="",I13=""),"—",IF(I13&lt;=H13,"🟢 في الوقت","🔴 متأخر"))</f>
        <v/>
      </c>
      <c r="K13" s="87" t="n"/>
      <c r="L13" s="88" t="n"/>
      <c r="M13" s="87" t="n"/>
    </row>
    <row r="14" ht="15" customHeight="1" s="40">
      <c r="A14" s="85" t="n">
        <v>10</v>
      </c>
      <c r="B14" s="86" t="n"/>
      <c r="C14" s="87" t="n"/>
      <c r="D14" s="87" t="n"/>
      <c r="E14" s="87" t="n"/>
      <c r="F14" s="88" t="n"/>
      <c r="G14" s="87" t="n"/>
      <c r="H14" s="95" t="n"/>
      <c r="I14" s="95" t="n"/>
      <c r="J14" s="56">
        <f>IF(OR(H14="",I14=""),"—",IF(I14&lt;=H14,"🟢 في الوقت","🔴 متأخر"))</f>
        <v/>
      </c>
      <c r="K14" s="87" t="n"/>
      <c r="L14" s="88" t="n"/>
      <c r="M14" s="87" t="n"/>
    </row>
    <row r="15" ht="15" customHeight="1" s="40">
      <c r="A15" s="85" t="n">
        <v>11</v>
      </c>
      <c r="B15" s="86" t="n"/>
      <c r="C15" s="87" t="n"/>
      <c r="D15" s="87" t="n"/>
      <c r="E15" s="87" t="n"/>
      <c r="F15" s="88" t="n"/>
      <c r="G15" s="87" t="n"/>
      <c r="H15" s="95" t="n"/>
      <c r="I15" s="95" t="n"/>
      <c r="J15" s="56">
        <f>IF(OR(H15="",I15=""),"—",IF(I15&lt;=H15,"🟢 في الوقت","🔴 متأخر"))</f>
        <v/>
      </c>
      <c r="K15" s="87" t="n"/>
      <c r="L15" s="88" t="n"/>
      <c r="M15" s="87" t="n"/>
    </row>
    <row r="16" ht="15" customHeight="1" s="40">
      <c r="A16" s="85" t="n">
        <v>12</v>
      </c>
      <c r="B16" s="86" t="n"/>
      <c r="C16" s="87" t="n"/>
      <c r="D16" s="87" t="n"/>
      <c r="E16" s="87" t="n"/>
      <c r="F16" s="88" t="n"/>
      <c r="G16" s="87" t="n"/>
      <c r="H16" s="95" t="n"/>
      <c r="I16" s="95" t="n"/>
      <c r="J16" s="56">
        <f>IF(OR(H16="",I16=""),"—",IF(I16&lt;=H16,"🟢 في الوقت","🔴 متأخر"))</f>
        <v/>
      </c>
      <c r="K16" s="87" t="n"/>
      <c r="L16" s="88" t="n"/>
      <c r="M16" s="87" t="n"/>
    </row>
    <row r="17" ht="15" customHeight="1" s="40">
      <c r="A17" s="85" t="n">
        <v>13</v>
      </c>
      <c r="B17" s="86" t="n"/>
      <c r="C17" s="87" t="n"/>
      <c r="D17" s="87" t="n"/>
      <c r="E17" s="87" t="n"/>
      <c r="F17" s="88" t="n"/>
      <c r="G17" s="87" t="n"/>
      <c r="H17" s="95" t="n"/>
      <c r="I17" s="95" t="n"/>
      <c r="J17" s="56">
        <f>IF(OR(H17="",I17=""),"—",IF(I17&lt;=H17,"🟢 في الوقت","🔴 متأخر"))</f>
        <v/>
      </c>
      <c r="K17" s="87" t="n"/>
      <c r="L17" s="88" t="n"/>
      <c r="M17" s="87" t="n"/>
    </row>
    <row r="18" ht="15" customHeight="1" s="40">
      <c r="A18" s="85" t="n">
        <v>14</v>
      </c>
      <c r="B18" s="86" t="n"/>
      <c r="C18" s="87" t="n"/>
      <c r="D18" s="87" t="n"/>
      <c r="E18" s="87" t="n"/>
      <c r="F18" s="88" t="n"/>
      <c r="G18" s="87" t="n"/>
      <c r="H18" s="95" t="n"/>
      <c r="I18" s="95" t="n"/>
      <c r="J18" s="56">
        <f>IF(OR(H18="",I18=""),"—",IF(I18&lt;=H18,"🟢 في الوقت","🔴 متأخر"))</f>
        <v/>
      </c>
      <c r="K18" s="87" t="n"/>
      <c r="L18" s="88" t="n"/>
      <c r="M18" s="87" t="n"/>
    </row>
    <row r="19" ht="15" customHeight="1" s="40">
      <c r="A19" s="85" t="n">
        <v>15</v>
      </c>
      <c r="B19" s="86" t="n"/>
      <c r="C19" s="87" t="n"/>
      <c r="D19" s="87" t="n"/>
      <c r="E19" s="87" t="n"/>
      <c r="F19" s="88" t="n"/>
      <c r="G19" s="87" t="n"/>
      <c r="H19" s="95" t="n"/>
      <c r="I19" s="95" t="n"/>
      <c r="J19" s="56">
        <f>IF(OR(H19="",I19=""),"—",IF(I19&lt;=H19,"🟢 في الوقت","🔴 متأخر"))</f>
        <v/>
      </c>
      <c r="K19" s="87" t="n"/>
      <c r="L19" s="88" t="n"/>
      <c r="M19" s="87" t="n"/>
    </row>
    <row r="20" ht="15" customHeight="1" s="40">
      <c r="A20" s="85" t="n">
        <v>16</v>
      </c>
      <c r="B20" s="86" t="n"/>
      <c r="C20" s="87" t="n"/>
      <c r="D20" s="87" t="n"/>
      <c r="E20" s="87" t="n"/>
      <c r="F20" s="88" t="n"/>
      <c r="G20" s="87" t="n"/>
      <c r="H20" s="95" t="n"/>
      <c r="I20" s="95" t="n"/>
      <c r="J20" s="56">
        <f>IF(OR(H20="",I20=""),"—",IF(I20&lt;=H20,"🟢 في الوقت","🔴 متأخر"))</f>
        <v/>
      </c>
      <c r="K20" s="87" t="n"/>
      <c r="L20" s="88" t="n"/>
      <c r="M20" s="87" t="n"/>
    </row>
    <row r="21" ht="15" customHeight="1" s="40">
      <c r="A21" s="85" t="n">
        <v>17</v>
      </c>
      <c r="B21" s="86" t="n"/>
      <c r="C21" s="87" t="n"/>
      <c r="D21" s="87" t="n"/>
      <c r="E21" s="87" t="n"/>
      <c r="F21" s="88" t="n"/>
      <c r="G21" s="87" t="n"/>
      <c r="H21" s="95" t="n"/>
      <c r="I21" s="95" t="n"/>
      <c r="J21" s="56">
        <f>IF(OR(H21="",I21=""),"—",IF(I21&lt;=H21,"🟢 في الوقت","🔴 متأخر"))</f>
        <v/>
      </c>
      <c r="K21" s="87" t="n"/>
      <c r="L21" s="88" t="n"/>
      <c r="M21" s="87" t="n"/>
    </row>
    <row r="22" ht="15" customHeight="1" s="40">
      <c r="A22" s="85" t="n">
        <v>18</v>
      </c>
      <c r="B22" s="86" t="n"/>
      <c r="C22" s="87" t="n"/>
      <c r="D22" s="87" t="n"/>
      <c r="E22" s="87" t="n"/>
      <c r="F22" s="88" t="n"/>
      <c r="G22" s="87" t="n"/>
      <c r="H22" s="95" t="n"/>
      <c r="I22" s="95" t="n"/>
      <c r="J22" s="56">
        <f>IF(OR(H22="",I22=""),"—",IF(I22&lt;=H22,"🟢 في الوقت","🔴 متأخر"))</f>
        <v/>
      </c>
      <c r="K22" s="87" t="n"/>
      <c r="L22" s="88" t="n"/>
      <c r="M22" s="87" t="n"/>
    </row>
    <row r="23" ht="15" customHeight="1" s="40">
      <c r="A23" s="85" t="n">
        <v>19</v>
      </c>
      <c r="B23" s="86" t="n"/>
      <c r="C23" s="87" t="n"/>
      <c r="D23" s="87" t="n"/>
      <c r="E23" s="87" t="n"/>
      <c r="F23" s="88" t="n"/>
      <c r="G23" s="87" t="n"/>
      <c r="H23" s="95" t="n"/>
      <c r="I23" s="95" t="n"/>
      <c r="J23" s="56">
        <f>IF(OR(H23="",I23=""),"—",IF(I23&lt;=H23,"🟢 في الوقت","🔴 متأخر"))</f>
        <v/>
      </c>
      <c r="K23" s="87" t="n"/>
      <c r="L23" s="88" t="n"/>
      <c r="M23" s="87" t="n"/>
    </row>
    <row r="24" ht="15" customHeight="1" s="40">
      <c r="A24" s="85" t="n">
        <v>20</v>
      </c>
      <c r="B24" s="86" t="n"/>
      <c r="C24" s="87" t="n"/>
      <c r="D24" s="87" t="n"/>
      <c r="E24" s="87" t="n"/>
      <c r="F24" s="88" t="n"/>
      <c r="G24" s="87" t="n"/>
      <c r="H24" s="95" t="n"/>
      <c r="I24" s="95" t="n"/>
      <c r="J24" s="56">
        <f>IF(OR(H24="",I24=""),"—",IF(I24&lt;=H24,"🟢 في الوقت","🔴 متأخر"))</f>
        <v/>
      </c>
      <c r="K24" s="87" t="n"/>
      <c r="L24" s="88" t="n"/>
      <c r="M24" s="87" t="n"/>
    </row>
    <row r="25" ht="15" customHeight="1" s="40">
      <c r="A25" s="85" t="n">
        <v>21</v>
      </c>
      <c r="B25" s="86" t="n"/>
      <c r="C25" s="87" t="n"/>
      <c r="D25" s="87" t="n"/>
      <c r="E25" s="87" t="n"/>
      <c r="F25" s="88" t="n"/>
      <c r="G25" s="87" t="n"/>
      <c r="H25" s="95" t="n"/>
      <c r="I25" s="95" t="n"/>
      <c r="J25" s="56">
        <f>IF(OR(H25="",I25=""),"—",IF(I25&lt;=H25,"🟢 في الوقت","🔴 متأخر"))</f>
        <v/>
      </c>
      <c r="K25" s="87" t="n"/>
      <c r="L25" s="88" t="n"/>
      <c r="M25" s="87" t="n"/>
    </row>
    <row r="26" ht="15" customHeight="1" s="40">
      <c r="A26" s="85" t="n">
        <v>22</v>
      </c>
      <c r="B26" s="86" t="n"/>
      <c r="C26" s="87" t="n"/>
      <c r="D26" s="87" t="n"/>
      <c r="E26" s="87" t="n"/>
      <c r="F26" s="88" t="n"/>
      <c r="G26" s="87" t="n"/>
      <c r="H26" s="95" t="n"/>
      <c r="I26" s="95" t="n"/>
      <c r="J26" s="56">
        <f>IF(OR(H26="",I26=""),"—",IF(I26&lt;=H26,"🟢 في الوقت","🔴 متأخر"))</f>
        <v/>
      </c>
      <c r="K26" s="87" t="n"/>
      <c r="L26" s="88" t="n"/>
      <c r="M26" s="87" t="n"/>
    </row>
    <row r="27" ht="15" customHeight="1" s="40">
      <c r="A27" s="85" t="n">
        <v>23</v>
      </c>
      <c r="B27" s="86" t="n"/>
      <c r="C27" s="87" t="n"/>
      <c r="D27" s="87" t="n"/>
      <c r="E27" s="87" t="n"/>
      <c r="F27" s="88" t="n"/>
      <c r="G27" s="87" t="n"/>
      <c r="H27" s="95" t="n"/>
      <c r="I27" s="95" t="n"/>
      <c r="J27" s="56">
        <f>IF(OR(H27="",I27=""),"—",IF(I27&lt;=H27,"🟢 في الوقت","🔴 متأخر"))</f>
        <v/>
      </c>
      <c r="K27" s="87" t="n"/>
      <c r="L27" s="88" t="n"/>
      <c r="M27" s="87" t="n"/>
    </row>
    <row r="28" ht="15" customHeight="1" s="40">
      <c r="A28" s="85" t="n">
        <v>24</v>
      </c>
      <c r="B28" s="86" t="n"/>
      <c r="C28" s="87" t="n"/>
      <c r="D28" s="87" t="n"/>
      <c r="E28" s="87" t="n"/>
      <c r="F28" s="88" t="n"/>
      <c r="G28" s="87" t="n"/>
      <c r="H28" s="95" t="n"/>
      <c r="I28" s="95" t="n"/>
      <c r="J28" s="56">
        <f>IF(OR(H28="",I28=""),"—",IF(I28&lt;=H28,"🟢 في الوقت","🔴 متأخر"))</f>
        <v/>
      </c>
      <c r="K28" s="87" t="n"/>
      <c r="L28" s="88" t="n"/>
      <c r="M28" s="87" t="n"/>
    </row>
    <row r="29" ht="15" customHeight="1" s="40">
      <c r="A29" s="85" t="n">
        <v>25</v>
      </c>
      <c r="B29" s="86" t="n"/>
      <c r="C29" s="87" t="n"/>
      <c r="D29" s="87" t="n"/>
      <c r="E29" s="87" t="n"/>
      <c r="F29" s="88" t="n"/>
      <c r="G29" s="87" t="n"/>
      <c r="H29" s="95" t="n"/>
      <c r="I29" s="95" t="n"/>
      <c r="J29" s="56">
        <f>IF(OR(H29="",I29=""),"—",IF(I29&lt;=H29,"🟢 في الوقت","🔴 متأخر"))</f>
        <v/>
      </c>
      <c r="K29" s="87" t="n"/>
      <c r="L29" s="88" t="n"/>
      <c r="M29" s="87" t="n"/>
    </row>
    <row r="30" ht="15" customHeight="1" s="40">
      <c r="A30" s="85" t="n">
        <v>26</v>
      </c>
      <c r="B30" s="86" t="n"/>
      <c r="C30" s="87" t="n"/>
      <c r="D30" s="87" t="n"/>
      <c r="E30" s="87" t="n"/>
      <c r="F30" s="88" t="n"/>
      <c r="G30" s="87" t="n"/>
      <c r="H30" s="95" t="n"/>
      <c r="I30" s="95" t="n"/>
      <c r="J30" s="56">
        <f>IF(OR(H30="",I30=""),"—",IF(I30&lt;=H30,"🟢 في الوقت","🔴 متأخر"))</f>
        <v/>
      </c>
      <c r="K30" s="87" t="n"/>
      <c r="L30" s="88" t="n"/>
      <c r="M30" s="87" t="n"/>
    </row>
    <row r="31" ht="15" customHeight="1" s="40">
      <c r="A31" s="85" t="n">
        <v>27</v>
      </c>
      <c r="B31" s="86" t="n"/>
      <c r="C31" s="87" t="n"/>
      <c r="D31" s="87" t="n"/>
      <c r="E31" s="87" t="n"/>
      <c r="F31" s="88" t="n"/>
      <c r="G31" s="87" t="n"/>
      <c r="H31" s="95" t="n"/>
      <c r="I31" s="95" t="n"/>
      <c r="J31" s="56">
        <f>IF(OR(H31="",I31=""),"—",IF(I31&lt;=H31,"🟢 في الوقت","🔴 متأخر"))</f>
        <v/>
      </c>
      <c r="K31" s="87" t="n"/>
      <c r="L31" s="88" t="n"/>
      <c r="M31" s="87" t="n"/>
    </row>
    <row r="32" ht="15" customHeight="1" s="40">
      <c r="A32" s="85" t="n">
        <v>28</v>
      </c>
      <c r="B32" s="86" t="n"/>
      <c r="C32" s="87" t="n"/>
      <c r="D32" s="87" t="n"/>
      <c r="E32" s="87" t="n"/>
      <c r="F32" s="88" t="n"/>
      <c r="G32" s="87" t="n"/>
      <c r="H32" s="95" t="n"/>
      <c r="I32" s="95" t="n"/>
      <c r="J32" s="56">
        <f>IF(OR(H32="",I32=""),"—",IF(I32&lt;=H32,"🟢 في الوقت","🔴 متأخر"))</f>
        <v/>
      </c>
      <c r="K32" s="87" t="n"/>
      <c r="L32" s="88" t="n"/>
      <c r="M32" s="87" t="n"/>
    </row>
    <row r="33" ht="15" customHeight="1" s="40">
      <c r="A33" s="85" t="n">
        <v>29</v>
      </c>
      <c r="B33" s="86" t="n"/>
      <c r="C33" s="87" t="n"/>
      <c r="D33" s="87" t="n"/>
      <c r="E33" s="87" t="n"/>
      <c r="F33" s="88" t="n"/>
      <c r="G33" s="87" t="n"/>
      <c r="H33" s="95" t="n"/>
      <c r="I33" s="95" t="n"/>
      <c r="J33" s="56">
        <f>IF(OR(H33="",I33=""),"—",IF(I33&lt;=H33,"🟢 في الوقت","🔴 متأخر"))</f>
        <v/>
      </c>
      <c r="K33" s="87" t="n"/>
      <c r="L33" s="88" t="n"/>
      <c r="M33" s="87" t="n"/>
    </row>
    <row r="34" ht="15" customHeight="1" s="40">
      <c r="A34" s="85" t="n">
        <v>30</v>
      </c>
      <c r="B34" s="86" t="n"/>
      <c r="C34" s="87" t="n"/>
      <c r="D34" s="87" t="n"/>
      <c r="E34" s="87" t="n"/>
      <c r="F34" s="88" t="n"/>
      <c r="G34" s="87" t="n"/>
      <c r="H34" s="95" t="n"/>
      <c r="I34" s="95" t="n"/>
      <c r="J34" s="56">
        <f>IF(OR(H34="",I34=""),"—",IF(I34&lt;=H34,"🟢 في الوقت","🔴 متأخر"))</f>
        <v/>
      </c>
      <c r="K34" s="87" t="n"/>
      <c r="L34" s="88" t="n"/>
      <c r="M34" s="87" t="n"/>
    </row>
    <row r="35" ht="15" customHeight="1" s="40">
      <c r="A35" s="85" t="n">
        <v>31</v>
      </c>
      <c r="B35" s="86" t="n"/>
      <c r="C35" s="87" t="n"/>
      <c r="D35" s="87" t="n"/>
      <c r="E35" s="87" t="n"/>
      <c r="F35" s="88" t="n"/>
      <c r="G35" s="87" t="n"/>
      <c r="H35" s="95" t="n"/>
      <c r="I35" s="95" t="n"/>
      <c r="J35" s="56">
        <f>IF(OR(H35="",I35=""),"—",IF(I35&lt;=H35,"🟢 في الوقت","🔴 متأخر"))</f>
        <v/>
      </c>
      <c r="K35" s="87" t="n"/>
      <c r="L35" s="88" t="n"/>
      <c r="M35" s="87" t="n"/>
    </row>
    <row r="36" ht="15" customHeight="1" s="40">
      <c r="A36" s="85" t="n">
        <v>32</v>
      </c>
      <c r="B36" s="86" t="n"/>
      <c r="C36" s="87" t="n"/>
      <c r="D36" s="87" t="n"/>
      <c r="E36" s="87" t="n"/>
      <c r="F36" s="88" t="n"/>
      <c r="G36" s="87" t="n"/>
      <c r="H36" s="95" t="n"/>
      <c r="I36" s="95" t="n"/>
      <c r="J36" s="56">
        <f>IF(OR(H36="",I36=""),"—",IF(I36&lt;=H36,"🟢 في الوقت","🔴 متأخر"))</f>
        <v/>
      </c>
      <c r="K36" s="87" t="n"/>
      <c r="L36" s="88" t="n"/>
      <c r="M36" s="87" t="n"/>
    </row>
    <row r="37" ht="15" customHeight="1" s="40">
      <c r="A37" s="85" t="n">
        <v>33</v>
      </c>
      <c r="B37" s="86" t="n"/>
      <c r="C37" s="87" t="n"/>
      <c r="D37" s="87" t="n"/>
      <c r="E37" s="87" t="n"/>
      <c r="F37" s="88" t="n"/>
      <c r="G37" s="87" t="n"/>
      <c r="H37" s="95" t="n"/>
      <c r="I37" s="95" t="n"/>
      <c r="J37" s="56">
        <f>IF(OR(H37="",I37=""),"—",IF(I37&lt;=H37,"🟢 في الوقت","🔴 متأخر"))</f>
        <v/>
      </c>
      <c r="K37" s="87" t="n"/>
      <c r="L37" s="88" t="n"/>
      <c r="M37" s="87" t="n"/>
    </row>
    <row r="38" ht="15" customHeight="1" s="40">
      <c r="A38" s="85" t="n">
        <v>34</v>
      </c>
      <c r="B38" s="86" t="n"/>
      <c r="C38" s="87" t="n"/>
      <c r="D38" s="87" t="n"/>
      <c r="E38" s="87" t="n"/>
      <c r="F38" s="88" t="n"/>
      <c r="G38" s="87" t="n"/>
      <c r="H38" s="95" t="n"/>
      <c r="I38" s="95" t="n"/>
      <c r="J38" s="56">
        <f>IF(OR(H38="",I38=""),"—",IF(I38&lt;=H38,"🟢 في الوقت","🔴 متأخر"))</f>
        <v/>
      </c>
      <c r="K38" s="87" t="n"/>
      <c r="L38" s="88" t="n"/>
      <c r="M38" s="87" t="n"/>
    </row>
    <row r="39" ht="15" customHeight="1" s="40">
      <c r="A39" s="85" t="n">
        <v>35</v>
      </c>
      <c r="B39" s="86" t="n"/>
      <c r="C39" s="87" t="n"/>
      <c r="D39" s="87" t="n"/>
      <c r="E39" s="87" t="n"/>
      <c r="F39" s="88" t="n"/>
      <c r="G39" s="87" t="n"/>
      <c r="H39" s="95" t="n"/>
      <c r="I39" s="95" t="n"/>
      <c r="J39" s="56">
        <f>IF(OR(H39="",I39=""),"—",IF(I39&lt;=H39,"🟢 في الوقت","🔴 متأخر"))</f>
        <v/>
      </c>
      <c r="K39" s="87" t="n"/>
      <c r="L39" s="88" t="n"/>
      <c r="M39" s="87" t="n"/>
    </row>
    <row r="40" ht="15" customHeight="1" s="40">
      <c r="A40" s="85" t="n">
        <v>36</v>
      </c>
      <c r="B40" s="86" t="n"/>
      <c r="C40" s="87" t="n"/>
      <c r="D40" s="87" t="n"/>
      <c r="E40" s="87" t="n"/>
      <c r="F40" s="88" t="n"/>
      <c r="G40" s="87" t="n"/>
      <c r="H40" s="95" t="n"/>
      <c r="I40" s="95" t="n"/>
      <c r="J40" s="56">
        <f>IF(OR(H40="",I40=""),"—",IF(I40&lt;=H40,"🟢 في الوقت","🔴 متأخر"))</f>
        <v/>
      </c>
      <c r="K40" s="87" t="n"/>
      <c r="L40" s="88" t="n"/>
      <c r="M40" s="87" t="n"/>
    </row>
    <row r="41" ht="15" customHeight="1" s="40">
      <c r="A41" s="85" t="n">
        <v>37</v>
      </c>
      <c r="B41" s="86" t="n"/>
      <c r="C41" s="87" t="n"/>
      <c r="D41" s="87" t="n"/>
      <c r="E41" s="87" t="n"/>
      <c r="F41" s="88" t="n"/>
      <c r="G41" s="87" t="n"/>
      <c r="H41" s="95" t="n"/>
      <c r="I41" s="95" t="n"/>
      <c r="J41" s="56">
        <f>IF(OR(H41="",I41=""),"—",IF(I41&lt;=H41,"🟢 في الوقت","🔴 متأخر"))</f>
        <v/>
      </c>
      <c r="K41" s="87" t="n"/>
      <c r="L41" s="88" t="n"/>
      <c r="M41" s="87" t="n"/>
    </row>
    <row r="42" ht="15" customHeight="1" s="40">
      <c r="A42" s="85" t="n">
        <v>38</v>
      </c>
      <c r="B42" s="86" t="n"/>
      <c r="C42" s="87" t="n"/>
      <c r="D42" s="87" t="n"/>
      <c r="E42" s="87" t="n"/>
      <c r="F42" s="88" t="n"/>
      <c r="G42" s="87" t="n"/>
      <c r="H42" s="95" t="n"/>
      <c r="I42" s="95" t="n"/>
      <c r="J42" s="56">
        <f>IF(OR(H42="",I42=""),"—",IF(I42&lt;=H42,"🟢 في الوقت","🔴 متأخر"))</f>
        <v/>
      </c>
      <c r="K42" s="87" t="n"/>
      <c r="L42" s="88" t="n"/>
      <c r="M42" s="87" t="n"/>
    </row>
    <row r="43" ht="15" customHeight="1" s="40">
      <c r="A43" s="85" t="n">
        <v>39</v>
      </c>
      <c r="B43" s="86" t="n"/>
      <c r="C43" s="87" t="n"/>
      <c r="D43" s="87" t="n"/>
      <c r="E43" s="87" t="n"/>
      <c r="F43" s="88" t="n"/>
      <c r="G43" s="87" t="n"/>
      <c r="H43" s="95" t="n"/>
      <c r="I43" s="95" t="n"/>
      <c r="J43" s="56">
        <f>IF(OR(H43="",I43=""),"—",IF(I43&lt;=H43,"🟢 في الوقت","🔴 متأخر"))</f>
        <v/>
      </c>
      <c r="K43" s="87" t="n"/>
      <c r="L43" s="88" t="n"/>
      <c r="M43" s="87" t="n"/>
    </row>
    <row r="44" ht="15" customHeight="1" s="40">
      <c r="A44" s="85" t="n">
        <v>40</v>
      </c>
      <c r="B44" s="86" t="n"/>
      <c r="C44" s="87" t="n"/>
      <c r="D44" s="87" t="n"/>
      <c r="E44" s="87" t="n"/>
      <c r="F44" s="88" t="n"/>
      <c r="G44" s="87" t="n"/>
      <c r="H44" s="95" t="n"/>
      <c r="I44" s="95" t="n"/>
      <c r="J44" s="56">
        <f>IF(OR(H44="",I44=""),"—",IF(I44&lt;=H44,"🟢 في الوقت","🔴 متأخر"))</f>
        <v/>
      </c>
      <c r="K44" s="87" t="n"/>
      <c r="L44" s="88" t="n"/>
      <c r="M44" s="87" t="n"/>
    </row>
    <row r="45" ht="15" customHeight="1" s="40">
      <c r="A45" s="85" t="n">
        <v>41</v>
      </c>
      <c r="B45" s="86" t="n"/>
      <c r="C45" s="87" t="n"/>
      <c r="D45" s="87" t="n"/>
      <c r="E45" s="87" t="n"/>
      <c r="F45" s="88" t="n"/>
      <c r="G45" s="87" t="n"/>
      <c r="H45" s="95" t="n"/>
      <c r="I45" s="95" t="n"/>
      <c r="J45" s="56">
        <f>IF(OR(H45="",I45=""),"—",IF(I45&lt;=H45,"🟢 في الوقت","🔴 متأخر"))</f>
        <v/>
      </c>
      <c r="K45" s="87" t="n"/>
      <c r="L45" s="88" t="n"/>
      <c r="M45" s="87" t="n"/>
    </row>
    <row r="46" ht="15" customHeight="1" s="40">
      <c r="A46" s="85" t="n">
        <v>42</v>
      </c>
      <c r="B46" s="86" t="n"/>
      <c r="C46" s="87" t="n"/>
      <c r="D46" s="87" t="n"/>
      <c r="E46" s="87" t="n"/>
      <c r="F46" s="88" t="n"/>
      <c r="G46" s="87" t="n"/>
      <c r="H46" s="95" t="n"/>
      <c r="I46" s="95" t="n"/>
      <c r="J46" s="56">
        <f>IF(OR(H46="",I46=""),"—",IF(I46&lt;=H46,"🟢 في الوقت","🔴 متأخر"))</f>
        <v/>
      </c>
      <c r="K46" s="87" t="n"/>
      <c r="L46" s="88" t="n"/>
      <c r="M46" s="87" t="n"/>
    </row>
    <row r="47" ht="15" customHeight="1" s="40">
      <c r="A47" s="85" t="n">
        <v>43</v>
      </c>
      <c r="B47" s="86" t="n"/>
      <c r="C47" s="87" t="n"/>
      <c r="D47" s="87" t="n"/>
      <c r="E47" s="87" t="n"/>
      <c r="F47" s="88" t="n"/>
      <c r="G47" s="87" t="n"/>
      <c r="H47" s="95" t="n"/>
      <c r="I47" s="95" t="n"/>
      <c r="J47" s="56">
        <f>IF(OR(H47="",I47=""),"—",IF(I47&lt;=H47,"🟢 في الوقت","🔴 متأخر"))</f>
        <v/>
      </c>
      <c r="K47" s="87" t="n"/>
      <c r="L47" s="88" t="n"/>
      <c r="M47" s="87" t="n"/>
    </row>
    <row r="48" ht="15" customHeight="1" s="40">
      <c r="A48" s="85" t="n">
        <v>44</v>
      </c>
      <c r="B48" s="86" t="n"/>
      <c r="C48" s="87" t="n"/>
      <c r="D48" s="87" t="n"/>
      <c r="E48" s="87" t="n"/>
      <c r="F48" s="88" t="n"/>
      <c r="G48" s="87" t="n"/>
      <c r="H48" s="95" t="n"/>
      <c r="I48" s="95" t="n"/>
      <c r="J48" s="56">
        <f>IF(OR(H48="",I48=""),"—",IF(I48&lt;=H48,"🟢 في الوقت","🔴 متأخر"))</f>
        <v/>
      </c>
      <c r="K48" s="87" t="n"/>
      <c r="L48" s="88" t="n"/>
      <c r="M48" s="87" t="n"/>
    </row>
    <row r="49" ht="15" customHeight="1" s="40">
      <c r="A49" s="85" t="n">
        <v>45</v>
      </c>
      <c r="B49" s="86" t="n"/>
      <c r="C49" s="87" t="n"/>
      <c r="D49" s="87" t="n"/>
      <c r="E49" s="87" t="n"/>
      <c r="F49" s="88" t="n"/>
      <c r="G49" s="87" t="n"/>
      <c r="H49" s="95" t="n"/>
      <c r="I49" s="95" t="n"/>
      <c r="J49" s="56">
        <f>IF(OR(H49="",I49=""),"—",IF(I49&lt;=H49,"🟢 في الوقت","🔴 متأخر"))</f>
        <v/>
      </c>
      <c r="K49" s="87" t="n"/>
      <c r="L49" s="88" t="n"/>
      <c r="M49" s="87" t="n"/>
    </row>
    <row r="50" ht="15" customHeight="1" s="40">
      <c r="A50" s="85" t="n">
        <v>46</v>
      </c>
      <c r="B50" s="86" t="n"/>
      <c r="C50" s="87" t="n"/>
      <c r="D50" s="87" t="n"/>
      <c r="E50" s="87" t="n"/>
      <c r="F50" s="88" t="n"/>
      <c r="G50" s="87" t="n"/>
      <c r="H50" s="95" t="n"/>
      <c r="I50" s="95" t="n"/>
      <c r="J50" s="56">
        <f>IF(OR(H50="",I50=""),"—",IF(I50&lt;=H50,"🟢 في الوقت","🔴 متأخر"))</f>
        <v/>
      </c>
      <c r="K50" s="87" t="n"/>
      <c r="L50" s="88" t="n"/>
      <c r="M50" s="87" t="n"/>
    </row>
    <row r="51" ht="15" customHeight="1" s="40">
      <c r="A51" s="85" t="n">
        <v>47</v>
      </c>
      <c r="B51" s="86" t="n"/>
      <c r="C51" s="87" t="n"/>
      <c r="D51" s="87" t="n"/>
      <c r="E51" s="87" t="n"/>
      <c r="F51" s="88" t="n"/>
      <c r="G51" s="87" t="n"/>
      <c r="H51" s="95" t="n"/>
      <c r="I51" s="95" t="n"/>
      <c r="J51" s="56">
        <f>IF(OR(H51="",I51=""),"—",IF(I51&lt;=H51,"🟢 في الوقت","🔴 متأخر"))</f>
        <v/>
      </c>
      <c r="K51" s="87" t="n"/>
      <c r="L51" s="88" t="n"/>
      <c r="M51" s="87" t="n"/>
    </row>
    <row r="52" ht="15" customHeight="1" s="40">
      <c r="A52" s="85" t="n">
        <v>48</v>
      </c>
      <c r="B52" s="86" t="n"/>
      <c r="C52" s="87" t="n"/>
      <c r="D52" s="87" t="n"/>
      <c r="E52" s="87" t="n"/>
      <c r="F52" s="88" t="n"/>
      <c r="G52" s="87" t="n"/>
      <c r="H52" s="95" t="n"/>
      <c r="I52" s="95" t="n"/>
      <c r="J52" s="56">
        <f>IF(OR(H52="",I52=""),"—",IF(I52&lt;=H52,"🟢 في الوقت","🔴 متأخر"))</f>
        <v/>
      </c>
      <c r="K52" s="87" t="n"/>
      <c r="L52" s="88" t="n"/>
      <c r="M52" s="87" t="n"/>
    </row>
    <row r="53" ht="15" customHeight="1" s="40">
      <c r="A53" s="85" t="n">
        <v>49</v>
      </c>
      <c r="B53" s="86" t="n"/>
      <c r="C53" s="87" t="n"/>
      <c r="D53" s="87" t="n"/>
      <c r="E53" s="87" t="n"/>
      <c r="F53" s="88" t="n"/>
      <c r="G53" s="87" t="n"/>
      <c r="H53" s="95" t="n"/>
      <c r="I53" s="95" t="n"/>
      <c r="J53" s="56">
        <f>IF(OR(H53="",I53=""),"—",IF(I53&lt;=H53,"🟢 في الوقت","🔴 متأخر"))</f>
        <v/>
      </c>
      <c r="K53" s="87" t="n"/>
      <c r="L53" s="88" t="n"/>
      <c r="M53" s="87" t="n"/>
    </row>
    <row r="54" ht="15" customHeight="1" s="40">
      <c r="A54" s="85" t="n">
        <v>50</v>
      </c>
      <c r="B54" s="86" t="n"/>
      <c r="C54" s="87" t="n"/>
      <c r="D54" s="87" t="n"/>
      <c r="E54" s="87" t="n"/>
      <c r="F54" s="88" t="n"/>
      <c r="G54" s="87" t="n"/>
      <c r="H54" s="95" t="n"/>
      <c r="I54" s="95" t="n"/>
      <c r="J54" s="56">
        <f>IF(OR(H54="",I54=""),"—",IF(I54&lt;=H54,"🟢 في الوقت","🔴 متأخر"))</f>
        <v/>
      </c>
      <c r="K54" s="87" t="n"/>
      <c r="L54" s="88" t="n"/>
      <c r="M54" s="87" t="n"/>
    </row>
    <row r="55" ht="15" customHeight="1" s="40">
      <c r="A55" s="85" t="n">
        <v>51</v>
      </c>
      <c r="B55" s="86" t="n"/>
      <c r="C55" s="87" t="n"/>
      <c r="D55" s="87" t="n"/>
      <c r="E55" s="87" t="n"/>
      <c r="F55" s="88" t="n"/>
      <c r="G55" s="87" t="n"/>
      <c r="H55" s="95" t="n"/>
      <c r="I55" s="95" t="n"/>
      <c r="J55" s="56">
        <f>IF(OR(H55="",I55=""),"—",IF(I55&lt;=H55,"🟢 في الوقت","🔴 متأخر"))</f>
        <v/>
      </c>
      <c r="K55" s="87" t="n"/>
      <c r="L55" s="88" t="n"/>
      <c r="M55" s="87" t="n"/>
    </row>
    <row r="56" ht="15" customHeight="1" s="40">
      <c r="A56" s="85" t="n">
        <v>52</v>
      </c>
      <c r="B56" s="86" t="n"/>
      <c r="C56" s="87" t="n"/>
      <c r="D56" s="87" t="n"/>
      <c r="E56" s="87" t="n"/>
      <c r="F56" s="88" t="n"/>
      <c r="G56" s="87" t="n"/>
      <c r="H56" s="95" t="n"/>
      <c r="I56" s="95" t="n"/>
      <c r="J56" s="56">
        <f>IF(OR(H56="",I56=""),"—",IF(I56&lt;=H56,"🟢 في الوقت","🔴 متأخر"))</f>
        <v/>
      </c>
      <c r="K56" s="87" t="n"/>
      <c r="L56" s="88" t="n"/>
      <c r="M56" s="87" t="n"/>
    </row>
    <row r="57" ht="15" customHeight="1" s="40">
      <c r="A57" s="85" t="n">
        <v>53</v>
      </c>
      <c r="B57" s="86" t="n"/>
      <c r="C57" s="87" t="n"/>
      <c r="D57" s="87" t="n"/>
      <c r="E57" s="87" t="n"/>
      <c r="F57" s="88" t="n"/>
      <c r="G57" s="87" t="n"/>
      <c r="H57" s="95" t="n"/>
      <c r="I57" s="95" t="n"/>
      <c r="J57" s="56">
        <f>IF(OR(H57="",I57=""),"—",IF(I57&lt;=H57,"🟢 في الوقت","🔴 متأخر"))</f>
        <v/>
      </c>
      <c r="K57" s="87" t="n"/>
      <c r="L57" s="88" t="n"/>
      <c r="M57" s="87" t="n"/>
    </row>
    <row r="58" ht="15" customHeight="1" s="40">
      <c r="A58" s="85" t="n">
        <v>54</v>
      </c>
      <c r="B58" s="86" t="n"/>
      <c r="C58" s="87" t="n"/>
      <c r="D58" s="87" t="n"/>
      <c r="E58" s="87" t="n"/>
      <c r="F58" s="88" t="n"/>
      <c r="G58" s="87" t="n"/>
      <c r="H58" s="95" t="n"/>
      <c r="I58" s="95" t="n"/>
      <c r="J58" s="56">
        <f>IF(OR(H58="",I58=""),"—",IF(I58&lt;=H58,"🟢 في الوقت","🔴 متأخر"))</f>
        <v/>
      </c>
      <c r="K58" s="87" t="n"/>
      <c r="L58" s="88" t="n"/>
      <c r="M58" s="87" t="n"/>
    </row>
    <row r="59" ht="15" customHeight="1" s="40">
      <c r="A59" s="85" t="n">
        <v>55</v>
      </c>
      <c r="B59" s="86" t="n"/>
      <c r="C59" s="87" t="n"/>
      <c r="D59" s="87" t="n"/>
      <c r="E59" s="87" t="n"/>
      <c r="F59" s="88" t="n"/>
      <c r="G59" s="87" t="n"/>
      <c r="H59" s="95" t="n"/>
      <c r="I59" s="95" t="n"/>
      <c r="J59" s="56">
        <f>IF(OR(H59="",I59=""),"—",IF(I59&lt;=H59,"🟢 في الوقت","🔴 متأخر"))</f>
        <v/>
      </c>
      <c r="K59" s="87" t="n"/>
      <c r="L59" s="88" t="n"/>
      <c r="M59" s="87" t="n"/>
    </row>
    <row r="60" ht="15" customHeight="1" s="40">
      <c r="A60" s="85" t="n">
        <v>56</v>
      </c>
      <c r="B60" s="86" t="n"/>
      <c r="C60" s="87" t="n"/>
      <c r="D60" s="87" t="n"/>
      <c r="E60" s="87" t="n"/>
      <c r="F60" s="88" t="n"/>
      <c r="G60" s="87" t="n"/>
      <c r="H60" s="95" t="n"/>
      <c r="I60" s="95" t="n"/>
      <c r="J60" s="56">
        <f>IF(OR(H60="",I60=""),"—",IF(I60&lt;=H60,"🟢 في الوقت","🔴 متأخر"))</f>
        <v/>
      </c>
      <c r="K60" s="87" t="n"/>
      <c r="L60" s="88" t="n"/>
      <c r="M60" s="87" t="n"/>
    </row>
    <row r="61" ht="15" customHeight="1" s="40">
      <c r="A61" s="85" t="n">
        <v>57</v>
      </c>
      <c r="B61" s="86" t="n"/>
      <c r="C61" s="87" t="n"/>
      <c r="D61" s="87" t="n"/>
      <c r="E61" s="87" t="n"/>
      <c r="F61" s="88" t="n"/>
      <c r="G61" s="87" t="n"/>
      <c r="H61" s="95" t="n"/>
      <c r="I61" s="95" t="n"/>
      <c r="J61" s="56">
        <f>IF(OR(H61="",I61=""),"—",IF(I61&lt;=H61,"🟢 في الوقت","🔴 متأخر"))</f>
        <v/>
      </c>
      <c r="K61" s="87" t="n"/>
      <c r="L61" s="88" t="n"/>
      <c r="M61" s="87" t="n"/>
    </row>
    <row r="62" ht="15" customHeight="1" s="40">
      <c r="A62" s="85" t="n">
        <v>58</v>
      </c>
      <c r="B62" s="86" t="n"/>
      <c r="C62" s="87" t="n"/>
      <c r="D62" s="87" t="n"/>
      <c r="E62" s="87" t="n"/>
      <c r="F62" s="88" t="n"/>
      <c r="G62" s="87" t="n"/>
      <c r="H62" s="95" t="n"/>
      <c r="I62" s="95" t="n"/>
      <c r="J62" s="56">
        <f>IF(OR(H62="",I62=""),"—",IF(I62&lt;=H62,"🟢 في الوقت","🔴 متأخر"))</f>
        <v/>
      </c>
      <c r="K62" s="87" t="n"/>
      <c r="L62" s="88" t="n"/>
      <c r="M62" s="87" t="n"/>
    </row>
    <row r="63" ht="15" customHeight="1" s="40">
      <c r="A63" s="85" t="n">
        <v>59</v>
      </c>
      <c r="B63" s="86" t="n"/>
      <c r="C63" s="87" t="n"/>
      <c r="D63" s="87" t="n"/>
      <c r="E63" s="87" t="n"/>
      <c r="F63" s="88" t="n"/>
      <c r="G63" s="87" t="n"/>
      <c r="H63" s="95" t="n"/>
      <c r="I63" s="95" t="n"/>
      <c r="J63" s="56">
        <f>IF(OR(H63="",I63=""),"—",IF(I63&lt;=H63,"🟢 في الوقت","🔴 متأخر"))</f>
        <v/>
      </c>
      <c r="K63" s="87" t="n"/>
      <c r="L63" s="88" t="n"/>
      <c r="M63" s="87" t="n"/>
    </row>
    <row r="64" ht="15" customHeight="1" s="40">
      <c r="A64" s="85" t="n">
        <v>60</v>
      </c>
      <c r="B64" s="86" t="n"/>
      <c r="C64" s="87" t="n"/>
      <c r="D64" s="87" t="n"/>
      <c r="E64" s="87" t="n"/>
      <c r="F64" s="88" t="n"/>
      <c r="G64" s="87" t="n"/>
      <c r="H64" s="95" t="n"/>
      <c r="I64" s="95" t="n"/>
      <c r="J64" s="56">
        <f>IF(OR(H64="",I64=""),"—",IF(I64&lt;=H64,"🟢 في الوقت","🔴 متأخر"))</f>
        <v/>
      </c>
      <c r="K64" s="87" t="n"/>
      <c r="L64" s="88" t="n"/>
      <c r="M64" s="87" t="n"/>
    </row>
    <row r="65" ht="15" customHeight="1" s="40">
      <c r="A65" s="85" t="n">
        <v>61</v>
      </c>
      <c r="B65" s="86" t="n"/>
      <c r="C65" s="87" t="n"/>
      <c r="D65" s="87" t="n"/>
      <c r="E65" s="87" t="n"/>
      <c r="F65" s="88" t="n"/>
      <c r="G65" s="87" t="n"/>
      <c r="H65" s="95" t="n"/>
      <c r="I65" s="95" t="n"/>
      <c r="J65" s="56">
        <f>IF(OR(H65="",I65=""),"—",IF(I65&lt;=H65,"🟢 في الوقت","🔴 متأخر"))</f>
        <v/>
      </c>
      <c r="K65" s="87" t="n"/>
      <c r="L65" s="88" t="n"/>
      <c r="M65" s="87" t="n"/>
    </row>
    <row r="66" ht="15" customHeight="1" s="40">
      <c r="A66" s="85" t="n">
        <v>62</v>
      </c>
      <c r="B66" s="86" t="n"/>
      <c r="C66" s="87" t="n"/>
      <c r="D66" s="87" t="n"/>
      <c r="E66" s="87" t="n"/>
      <c r="F66" s="88" t="n"/>
      <c r="G66" s="87" t="n"/>
      <c r="H66" s="95" t="n"/>
      <c r="I66" s="95" t="n"/>
      <c r="J66" s="56">
        <f>IF(OR(H66="",I66=""),"—",IF(I66&lt;=H66,"🟢 في الوقت","🔴 متأخر"))</f>
        <v/>
      </c>
      <c r="K66" s="87" t="n"/>
      <c r="L66" s="88" t="n"/>
      <c r="M66" s="87" t="n"/>
    </row>
    <row r="67" ht="15" customHeight="1" s="40">
      <c r="A67" s="85" t="n">
        <v>63</v>
      </c>
      <c r="B67" s="86" t="n"/>
      <c r="C67" s="87" t="n"/>
      <c r="D67" s="87" t="n"/>
      <c r="E67" s="87" t="n"/>
      <c r="F67" s="88" t="n"/>
      <c r="G67" s="87" t="n"/>
      <c r="H67" s="95" t="n"/>
      <c r="I67" s="95" t="n"/>
      <c r="J67" s="56">
        <f>IF(OR(H67="",I67=""),"—",IF(I67&lt;=H67,"🟢 في الوقت","🔴 متأخر"))</f>
        <v/>
      </c>
      <c r="K67" s="87" t="n"/>
      <c r="L67" s="88" t="n"/>
      <c r="M67" s="87" t="n"/>
    </row>
    <row r="68" ht="15" customHeight="1" s="40">
      <c r="A68" s="85" t="n">
        <v>64</v>
      </c>
      <c r="B68" s="86" t="n"/>
      <c r="C68" s="87" t="n"/>
      <c r="D68" s="87" t="n"/>
      <c r="E68" s="87" t="n"/>
      <c r="F68" s="88" t="n"/>
      <c r="G68" s="87" t="n"/>
      <c r="H68" s="95" t="n"/>
      <c r="I68" s="95" t="n"/>
      <c r="J68" s="56">
        <f>IF(OR(H68="",I68=""),"—",IF(I68&lt;=H68,"🟢 في الوقت","🔴 متأخر"))</f>
        <v/>
      </c>
      <c r="K68" s="87" t="n"/>
      <c r="L68" s="88" t="n"/>
      <c r="M68" s="87" t="n"/>
    </row>
    <row r="69" ht="15" customHeight="1" s="40">
      <c r="A69" s="85" t="n">
        <v>65</v>
      </c>
      <c r="B69" s="86" t="n"/>
      <c r="C69" s="87" t="n"/>
      <c r="D69" s="87" t="n"/>
      <c r="E69" s="87" t="n"/>
      <c r="F69" s="88" t="n"/>
      <c r="G69" s="87" t="n"/>
      <c r="H69" s="95" t="n"/>
      <c r="I69" s="95" t="n"/>
      <c r="J69" s="56">
        <f>IF(OR(H69="",I69=""),"—",IF(I69&lt;=H69,"🟢 في الوقت","🔴 متأخر"))</f>
        <v/>
      </c>
      <c r="K69" s="87" t="n"/>
      <c r="L69" s="88" t="n"/>
      <c r="M69" s="87" t="n"/>
    </row>
    <row r="70" ht="15" customHeight="1" s="40">
      <c r="A70" s="85" t="n">
        <v>66</v>
      </c>
      <c r="B70" s="86" t="n"/>
      <c r="C70" s="87" t="n"/>
      <c r="D70" s="87" t="n"/>
      <c r="E70" s="87" t="n"/>
      <c r="F70" s="88" t="n"/>
      <c r="G70" s="87" t="n"/>
      <c r="H70" s="95" t="n"/>
      <c r="I70" s="95" t="n"/>
      <c r="J70" s="56">
        <f>IF(OR(H70="",I70=""),"—",IF(I70&lt;=H70,"🟢 في الوقت","🔴 متأخر"))</f>
        <v/>
      </c>
      <c r="K70" s="87" t="n"/>
      <c r="L70" s="88" t="n"/>
      <c r="M70" s="87" t="n"/>
    </row>
    <row r="71" ht="15" customHeight="1" s="40">
      <c r="A71" s="85" t="n">
        <v>67</v>
      </c>
      <c r="B71" s="86" t="n"/>
      <c r="C71" s="87" t="n"/>
      <c r="D71" s="87" t="n"/>
      <c r="E71" s="87" t="n"/>
      <c r="F71" s="88" t="n"/>
      <c r="G71" s="87" t="n"/>
      <c r="H71" s="95" t="n"/>
      <c r="I71" s="95" t="n"/>
      <c r="J71" s="56">
        <f>IF(OR(H71="",I71=""),"—",IF(I71&lt;=H71,"🟢 في الوقت","🔴 متأخر"))</f>
        <v/>
      </c>
      <c r="K71" s="87" t="n"/>
      <c r="L71" s="88" t="n"/>
      <c r="M71" s="87" t="n"/>
    </row>
    <row r="72" ht="15" customHeight="1" s="40">
      <c r="A72" s="85" t="n">
        <v>68</v>
      </c>
      <c r="B72" s="86" t="n"/>
      <c r="C72" s="87" t="n"/>
      <c r="D72" s="87" t="n"/>
      <c r="E72" s="87" t="n"/>
      <c r="F72" s="88" t="n"/>
      <c r="G72" s="87" t="n"/>
      <c r="H72" s="95" t="n"/>
      <c r="I72" s="95" t="n"/>
      <c r="J72" s="56">
        <f>IF(OR(H72="",I72=""),"—",IF(I72&lt;=H72,"🟢 في الوقت","🔴 متأخر"))</f>
        <v/>
      </c>
      <c r="K72" s="87" t="n"/>
      <c r="L72" s="88" t="n"/>
      <c r="M72" s="87" t="n"/>
    </row>
    <row r="73" ht="15" customHeight="1" s="40">
      <c r="A73" s="85" t="n">
        <v>69</v>
      </c>
      <c r="B73" s="86" t="n"/>
      <c r="C73" s="87" t="n"/>
      <c r="D73" s="87" t="n"/>
      <c r="E73" s="87" t="n"/>
      <c r="F73" s="88" t="n"/>
      <c r="G73" s="87" t="n"/>
      <c r="H73" s="95" t="n"/>
      <c r="I73" s="95" t="n"/>
      <c r="J73" s="56">
        <f>IF(OR(H73="",I73=""),"—",IF(I73&lt;=H73,"🟢 في الوقت","🔴 متأخر"))</f>
        <v/>
      </c>
      <c r="K73" s="87" t="n"/>
      <c r="L73" s="88" t="n"/>
      <c r="M73" s="87" t="n"/>
    </row>
    <row r="74" ht="15" customHeight="1" s="40">
      <c r="A74" s="85" t="n">
        <v>70</v>
      </c>
      <c r="B74" s="86" t="n"/>
      <c r="C74" s="87" t="n"/>
      <c r="D74" s="87" t="n"/>
      <c r="E74" s="87" t="n"/>
      <c r="F74" s="88" t="n"/>
      <c r="G74" s="87" t="n"/>
      <c r="H74" s="95" t="n"/>
      <c r="I74" s="95" t="n"/>
      <c r="J74" s="56">
        <f>IF(OR(H74="",I74=""),"—",IF(I74&lt;=H74,"🟢 في الوقت","🔴 متأخر"))</f>
        <v/>
      </c>
      <c r="K74" s="87" t="n"/>
      <c r="L74" s="88" t="n"/>
      <c r="M74" s="87" t="n"/>
    </row>
    <row r="75" ht="15" customHeight="1" s="40">
      <c r="A75" s="85" t="n">
        <v>71</v>
      </c>
      <c r="B75" s="86" t="n"/>
      <c r="C75" s="87" t="n"/>
      <c r="D75" s="87" t="n"/>
      <c r="E75" s="87" t="n"/>
      <c r="F75" s="88" t="n"/>
      <c r="G75" s="87" t="n"/>
      <c r="H75" s="95" t="n"/>
      <c r="I75" s="95" t="n"/>
      <c r="J75" s="56">
        <f>IF(OR(H75="",I75=""),"—",IF(I75&lt;=H75,"🟢 في الوقت","🔴 متأخر"))</f>
        <v/>
      </c>
      <c r="K75" s="87" t="n"/>
      <c r="L75" s="88" t="n"/>
      <c r="M75" s="87" t="n"/>
    </row>
    <row r="76" ht="15" customHeight="1" s="40">
      <c r="A76" s="85" t="n">
        <v>72</v>
      </c>
      <c r="B76" s="86" t="n"/>
      <c r="C76" s="87" t="n"/>
      <c r="D76" s="87" t="n"/>
      <c r="E76" s="87" t="n"/>
      <c r="F76" s="88" t="n"/>
      <c r="G76" s="87" t="n"/>
      <c r="H76" s="95" t="n"/>
      <c r="I76" s="95" t="n"/>
      <c r="J76" s="56">
        <f>IF(OR(H76="",I76=""),"—",IF(I76&lt;=H76,"🟢 في الوقت","🔴 متأخر"))</f>
        <v/>
      </c>
      <c r="K76" s="87" t="n"/>
      <c r="L76" s="88" t="n"/>
      <c r="M76" s="87" t="n"/>
    </row>
    <row r="77" ht="15" customHeight="1" s="40">
      <c r="A77" s="85" t="n">
        <v>73</v>
      </c>
      <c r="B77" s="86" t="n"/>
      <c r="C77" s="87" t="n"/>
      <c r="D77" s="87" t="n"/>
      <c r="E77" s="87" t="n"/>
      <c r="F77" s="88" t="n"/>
      <c r="G77" s="87" t="n"/>
      <c r="H77" s="95" t="n"/>
      <c r="I77" s="95" t="n"/>
      <c r="J77" s="56">
        <f>IF(OR(H77="",I77=""),"—",IF(I77&lt;=H77,"🟢 في الوقت","🔴 متأخر"))</f>
        <v/>
      </c>
      <c r="K77" s="87" t="n"/>
      <c r="L77" s="88" t="n"/>
      <c r="M77" s="87" t="n"/>
    </row>
    <row r="78" ht="15" customHeight="1" s="40">
      <c r="A78" s="85" t="n">
        <v>74</v>
      </c>
      <c r="B78" s="86" t="n"/>
      <c r="C78" s="87" t="n"/>
      <c r="D78" s="87" t="n"/>
      <c r="E78" s="87" t="n"/>
      <c r="F78" s="88" t="n"/>
      <c r="G78" s="87" t="n"/>
      <c r="H78" s="95" t="n"/>
      <c r="I78" s="95" t="n"/>
      <c r="J78" s="56">
        <f>IF(OR(H78="",I78=""),"—",IF(I78&lt;=H78,"🟢 في الوقت","🔴 متأخر"))</f>
        <v/>
      </c>
      <c r="K78" s="87" t="n"/>
      <c r="L78" s="88" t="n"/>
      <c r="M78" s="87" t="n"/>
    </row>
    <row r="79" ht="15" customHeight="1" s="40">
      <c r="A79" s="85" t="n">
        <v>75</v>
      </c>
      <c r="B79" s="86" t="n"/>
      <c r="C79" s="87" t="n"/>
      <c r="D79" s="87" t="n"/>
      <c r="E79" s="87" t="n"/>
      <c r="F79" s="88" t="n"/>
      <c r="G79" s="87" t="n"/>
      <c r="H79" s="95" t="n"/>
      <c r="I79" s="95" t="n"/>
      <c r="J79" s="56">
        <f>IF(OR(H79="",I79=""),"—",IF(I79&lt;=H79,"🟢 في الوقت","🔴 متأخر"))</f>
        <v/>
      </c>
      <c r="K79" s="87" t="n"/>
      <c r="L79" s="88" t="n"/>
      <c r="M79" s="87" t="n"/>
    </row>
    <row r="80" ht="15" customHeight="1" s="40">
      <c r="A80" s="85" t="n">
        <v>76</v>
      </c>
      <c r="B80" s="86" t="n"/>
      <c r="C80" s="87" t="n"/>
      <c r="D80" s="87" t="n"/>
      <c r="E80" s="87" t="n"/>
      <c r="F80" s="88" t="n"/>
      <c r="G80" s="87" t="n"/>
      <c r="H80" s="95" t="n"/>
      <c r="I80" s="95" t="n"/>
      <c r="J80" s="56">
        <f>IF(OR(H80="",I80=""),"—",IF(I80&lt;=H80,"🟢 في الوقت","🔴 متأخر"))</f>
        <v/>
      </c>
      <c r="K80" s="87" t="n"/>
      <c r="L80" s="88" t="n"/>
      <c r="M80" s="87" t="n"/>
    </row>
    <row r="81" ht="15" customHeight="1" s="40">
      <c r="A81" s="85" t="n">
        <v>77</v>
      </c>
      <c r="B81" s="86" t="n"/>
      <c r="C81" s="87" t="n"/>
      <c r="D81" s="87" t="n"/>
      <c r="E81" s="87" t="n"/>
      <c r="F81" s="88" t="n"/>
      <c r="G81" s="87" t="n"/>
      <c r="H81" s="95" t="n"/>
      <c r="I81" s="95" t="n"/>
      <c r="J81" s="56">
        <f>IF(OR(H81="",I81=""),"—",IF(I81&lt;=H81,"🟢 في الوقت","🔴 متأخر"))</f>
        <v/>
      </c>
      <c r="K81" s="87" t="n"/>
      <c r="L81" s="88" t="n"/>
      <c r="M81" s="87" t="n"/>
    </row>
    <row r="82" ht="15" customHeight="1" s="40">
      <c r="A82" s="85" t="n">
        <v>78</v>
      </c>
      <c r="B82" s="86" t="n"/>
      <c r="C82" s="87" t="n"/>
      <c r="D82" s="87" t="n"/>
      <c r="E82" s="87" t="n"/>
      <c r="F82" s="88" t="n"/>
      <c r="G82" s="87" t="n"/>
      <c r="H82" s="95" t="n"/>
      <c r="I82" s="95" t="n"/>
      <c r="J82" s="56">
        <f>IF(OR(H82="",I82=""),"—",IF(I82&lt;=H82,"🟢 في الوقت","🔴 متأخر"))</f>
        <v/>
      </c>
      <c r="K82" s="87" t="n"/>
      <c r="L82" s="88" t="n"/>
      <c r="M82" s="87" t="n"/>
    </row>
    <row r="83" ht="15" customHeight="1" s="40">
      <c r="A83" s="85" t="n">
        <v>79</v>
      </c>
      <c r="B83" s="86" t="n"/>
      <c r="C83" s="87" t="n"/>
      <c r="D83" s="87" t="n"/>
      <c r="E83" s="87" t="n"/>
      <c r="F83" s="88" t="n"/>
      <c r="G83" s="87" t="n"/>
      <c r="H83" s="95" t="n"/>
      <c r="I83" s="95" t="n"/>
      <c r="J83" s="56">
        <f>IF(OR(H83="",I83=""),"—",IF(I83&lt;=H83,"🟢 في الوقت","🔴 متأخر"))</f>
        <v/>
      </c>
      <c r="K83" s="87" t="n"/>
      <c r="L83" s="88" t="n"/>
      <c r="M83" s="87" t="n"/>
    </row>
    <row r="84" ht="15" customHeight="1" s="40">
      <c r="A84" s="85" t="n">
        <v>80</v>
      </c>
      <c r="B84" s="86" t="n"/>
      <c r="C84" s="87" t="n"/>
      <c r="D84" s="87" t="n"/>
      <c r="E84" s="87" t="n"/>
      <c r="F84" s="88" t="n"/>
      <c r="G84" s="87" t="n"/>
      <c r="H84" s="95" t="n"/>
      <c r="I84" s="95" t="n"/>
      <c r="J84" s="56">
        <f>IF(OR(H84="",I84=""),"—",IF(I84&lt;=H84,"🟢 في الوقت","🔴 متأخر"))</f>
        <v/>
      </c>
      <c r="K84" s="87" t="n"/>
      <c r="L84" s="88" t="n"/>
      <c r="M84" s="87" t="n"/>
    </row>
    <row r="85" ht="15" customHeight="1" s="40">
      <c r="A85" s="85" t="n">
        <v>81</v>
      </c>
      <c r="B85" s="86" t="n"/>
      <c r="C85" s="87" t="n"/>
      <c r="D85" s="87" t="n"/>
      <c r="E85" s="87" t="n"/>
      <c r="F85" s="88" t="n"/>
      <c r="G85" s="87" t="n"/>
      <c r="H85" s="95" t="n"/>
      <c r="I85" s="95" t="n"/>
      <c r="J85" s="56">
        <f>IF(OR(H85="",I85=""),"—",IF(I85&lt;=H85,"🟢 في الوقت","🔴 متأخر"))</f>
        <v/>
      </c>
      <c r="K85" s="87" t="n"/>
      <c r="L85" s="88" t="n"/>
      <c r="M85" s="87" t="n"/>
    </row>
    <row r="86" ht="15" customHeight="1" s="40">
      <c r="A86" s="85" t="n">
        <v>82</v>
      </c>
      <c r="B86" s="86" t="n"/>
      <c r="C86" s="87" t="n"/>
      <c r="D86" s="87" t="n"/>
      <c r="E86" s="87" t="n"/>
      <c r="F86" s="88" t="n"/>
      <c r="G86" s="87" t="n"/>
      <c r="H86" s="95" t="n"/>
      <c r="I86" s="95" t="n"/>
      <c r="J86" s="56">
        <f>IF(OR(H86="",I86=""),"—",IF(I86&lt;=H86,"🟢 في الوقت","🔴 متأخر"))</f>
        <v/>
      </c>
      <c r="K86" s="87" t="n"/>
      <c r="L86" s="88" t="n"/>
      <c r="M86" s="87" t="n"/>
    </row>
    <row r="87" ht="15" customHeight="1" s="40">
      <c r="A87" s="85" t="n">
        <v>83</v>
      </c>
      <c r="B87" s="86" t="n"/>
      <c r="C87" s="87" t="n"/>
      <c r="D87" s="87" t="n"/>
      <c r="E87" s="87" t="n"/>
      <c r="F87" s="88" t="n"/>
      <c r="G87" s="87" t="n"/>
      <c r="H87" s="95" t="n"/>
      <c r="I87" s="95" t="n"/>
      <c r="J87" s="56">
        <f>IF(OR(H87="",I87=""),"—",IF(I87&lt;=H87,"🟢 في الوقت","🔴 متأخر"))</f>
        <v/>
      </c>
      <c r="K87" s="87" t="n"/>
      <c r="L87" s="88" t="n"/>
      <c r="M87" s="87" t="n"/>
    </row>
    <row r="88" ht="15" customHeight="1" s="40">
      <c r="A88" s="85" t="n">
        <v>84</v>
      </c>
      <c r="B88" s="86" t="n"/>
      <c r="C88" s="87" t="n"/>
      <c r="D88" s="87" t="n"/>
      <c r="E88" s="87" t="n"/>
      <c r="F88" s="88" t="n"/>
      <c r="G88" s="87" t="n"/>
      <c r="H88" s="95" t="n"/>
      <c r="I88" s="95" t="n"/>
      <c r="J88" s="56">
        <f>IF(OR(H88="",I88=""),"—",IF(I88&lt;=H88,"🟢 في الوقت","🔴 متأخر"))</f>
        <v/>
      </c>
      <c r="K88" s="87" t="n"/>
      <c r="L88" s="88" t="n"/>
      <c r="M88" s="87" t="n"/>
    </row>
    <row r="89" ht="15" customHeight="1" s="40">
      <c r="A89" s="85" t="n">
        <v>85</v>
      </c>
      <c r="B89" s="86" t="n"/>
      <c r="C89" s="87" t="n"/>
      <c r="D89" s="87" t="n"/>
      <c r="E89" s="87" t="n"/>
      <c r="F89" s="88" t="n"/>
      <c r="G89" s="87" t="n"/>
      <c r="H89" s="95" t="n"/>
      <c r="I89" s="95" t="n"/>
      <c r="J89" s="56">
        <f>IF(OR(H89="",I89=""),"—",IF(I89&lt;=H89,"🟢 في الوقت","🔴 متأخر"))</f>
        <v/>
      </c>
      <c r="K89" s="87" t="n"/>
      <c r="L89" s="88" t="n"/>
      <c r="M89" s="87" t="n"/>
    </row>
    <row r="90" ht="15" customHeight="1" s="40">
      <c r="A90" s="85" t="n">
        <v>86</v>
      </c>
      <c r="B90" s="86" t="n"/>
      <c r="C90" s="87" t="n"/>
      <c r="D90" s="87" t="n"/>
      <c r="E90" s="87" t="n"/>
      <c r="F90" s="88" t="n"/>
      <c r="G90" s="87" t="n"/>
      <c r="H90" s="95" t="n"/>
      <c r="I90" s="95" t="n"/>
      <c r="J90" s="56">
        <f>IF(OR(H90="",I90=""),"—",IF(I90&lt;=H90,"🟢 في الوقت","🔴 متأخر"))</f>
        <v/>
      </c>
      <c r="K90" s="87" t="n"/>
      <c r="L90" s="88" t="n"/>
      <c r="M90" s="87" t="n"/>
    </row>
    <row r="91" ht="15" customHeight="1" s="40">
      <c r="A91" s="85" t="n">
        <v>87</v>
      </c>
      <c r="B91" s="86" t="n"/>
      <c r="C91" s="87" t="n"/>
      <c r="D91" s="87" t="n"/>
      <c r="E91" s="87" t="n"/>
      <c r="F91" s="88" t="n"/>
      <c r="G91" s="87" t="n"/>
      <c r="H91" s="95" t="n"/>
      <c r="I91" s="95" t="n"/>
      <c r="J91" s="56">
        <f>IF(OR(H91="",I91=""),"—",IF(I91&lt;=H91,"🟢 في الوقت","🔴 متأخر"))</f>
        <v/>
      </c>
      <c r="K91" s="87" t="n"/>
      <c r="L91" s="88" t="n"/>
      <c r="M91" s="87" t="n"/>
    </row>
    <row r="92" ht="15" customHeight="1" s="40">
      <c r="A92" s="85" t="n">
        <v>88</v>
      </c>
      <c r="B92" s="86" t="n"/>
      <c r="C92" s="87" t="n"/>
      <c r="D92" s="87" t="n"/>
      <c r="E92" s="87" t="n"/>
      <c r="F92" s="88" t="n"/>
      <c r="G92" s="87" t="n"/>
      <c r="H92" s="95" t="n"/>
      <c r="I92" s="95" t="n"/>
      <c r="J92" s="56">
        <f>IF(OR(H92="",I92=""),"—",IF(I92&lt;=H92,"🟢 في الوقت","🔴 متأخر"))</f>
        <v/>
      </c>
      <c r="K92" s="87" t="n"/>
      <c r="L92" s="88" t="n"/>
      <c r="M92" s="87" t="n"/>
    </row>
    <row r="93" ht="15" customHeight="1" s="40">
      <c r="A93" s="85" t="n">
        <v>89</v>
      </c>
      <c r="B93" s="86" t="n"/>
      <c r="C93" s="87" t="n"/>
      <c r="D93" s="87" t="n"/>
      <c r="E93" s="87" t="n"/>
      <c r="F93" s="88" t="n"/>
      <c r="G93" s="87" t="n"/>
      <c r="H93" s="95" t="n"/>
      <c r="I93" s="95" t="n"/>
      <c r="J93" s="56">
        <f>IF(OR(H93="",I93=""),"—",IF(I93&lt;=H93,"🟢 في الوقت","🔴 متأخر"))</f>
        <v/>
      </c>
      <c r="K93" s="87" t="n"/>
      <c r="L93" s="88" t="n"/>
      <c r="M93" s="87" t="n"/>
    </row>
    <row r="94" ht="15" customHeight="1" s="40">
      <c r="A94" s="85" t="n">
        <v>90</v>
      </c>
      <c r="B94" s="86" t="n"/>
      <c r="C94" s="87" t="n"/>
      <c r="D94" s="87" t="n"/>
      <c r="E94" s="87" t="n"/>
      <c r="F94" s="88" t="n"/>
      <c r="G94" s="87" t="n"/>
      <c r="H94" s="95" t="n"/>
      <c r="I94" s="95" t="n"/>
      <c r="J94" s="56">
        <f>IF(OR(H94="",I94=""),"—",IF(I94&lt;=H94,"🟢 في الوقت","🔴 متأخر"))</f>
        <v/>
      </c>
      <c r="K94" s="87" t="n"/>
      <c r="L94" s="88" t="n"/>
      <c r="M94" s="87" t="n"/>
    </row>
    <row r="95" ht="15" customHeight="1" s="40">
      <c r="A95" s="85" t="n">
        <v>91</v>
      </c>
      <c r="B95" s="86" t="n"/>
      <c r="C95" s="87" t="n"/>
      <c r="D95" s="87" t="n"/>
      <c r="E95" s="87" t="n"/>
      <c r="F95" s="88" t="n"/>
      <c r="G95" s="87" t="n"/>
      <c r="H95" s="95" t="n"/>
      <c r="I95" s="95" t="n"/>
      <c r="J95" s="56">
        <f>IF(OR(H95="",I95=""),"—",IF(I95&lt;=H95,"🟢 في الوقت","🔴 متأخر"))</f>
        <v/>
      </c>
      <c r="K95" s="87" t="n"/>
      <c r="L95" s="88" t="n"/>
      <c r="M95" s="87" t="n"/>
    </row>
    <row r="96" ht="15" customHeight="1" s="40">
      <c r="A96" s="85" t="n">
        <v>92</v>
      </c>
      <c r="B96" s="86" t="n"/>
      <c r="C96" s="87" t="n"/>
      <c r="D96" s="87" t="n"/>
      <c r="E96" s="87" t="n"/>
      <c r="F96" s="88" t="n"/>
      <c r="G96" s="87" t="n"/>
      <c r="H96" s="95" t="n"/>
      <c r="I96" s="95" t="n"/>
      <c r="J96" s="56">
        <f>IF(OR(H96="",I96=""),"—",IF(I96&lt;=H96,"🟢 في الوقت","🔴 متأخر"))</f>
        <v/>
      </c>
      <c r="K96" s="87" t="n"/>
      <c r="L96" s="88" t="n"/>
      <c r="M96" s="87" t="n"/>
    </row>
    <row r="97" ht="15" customHeight="1" s="40">
      <c r="A97" s="85" t="n">
        <v>93</v>
      </c>
      <c r="B97" s="86" t="n"/>
      <c r="C97" s="87" t="n"/>
      <c r="D97" s="87" t="n"/>
      <c r="E97" s="87" t="n"/>
      <c r="F97" s="88" t="n"/>
      <c r="G97" s="87" t="n"/>
      <c r="H97" s="95" t="n"/>
      <c r="I97" s="95" t="n"/>
      <c r="J97" s="56">
        <f>IF(OR(H97="",I97=""),"—",IF(I97&lt;=H97,"🟢 في الوقت","🔴 متأخر"))</f>
        <v/>
      </c>
      <c r="K97" s="87" t="n"/>
      <c r="L97" s="88" t="n"/>
      <c r="M97" s="87" t="n"/>
    </row>
    <row r="98" ht="15" customHeight="1" s="40">
      <c r="A98" s="85" t="n">
        <v>94</v>
      </c>
      <c r="B98" s="86" t="n"/>
      <c r="C98" s="87" t="n"/>
      <c r="D98" s="87" t="n"/>
      <c r="E98" s="87" t="n"/>
      <c r="F98" s="88" t="n"/>
      <c r="G98" s="87" t="n"/>
      <c r="H98" s="95" t="n"/>
      <c r="I98" s="95" t="n"/>
      <c r="J98" s="56">
        <f>IF(OR(H98="",I98=""),"—",IF(I98&lt;=H98,"🟢 في الوقت","🔴 متأخر"))</f>
        <v/>
      </c>
      <c r="K98" s="87" t="n"/>
      <c r="L98" s="88" t="n"/>
      <c r="M98" s="87" t="n"/>
    </row>
    <row r="99" ht="15" customHeight="1" s="40">
      <c r="A99" s="85" t="n">
        <v>95</v>
      </c>
      <c r="B99" s="86" t="n"/>
      <c r="C99" s="87" t="n"/>
      <c r="D99" s="87" t="n"/>
      <c r="E99" s="87" t="n"/>
      <c r="F99" s="88" t="n"/>
      <c r="G99" s="87" t="n"/>
      <c r="H99" s="95" t="n"/>
      <c r="I99" s="95" t="n"/>
      <c r="J99" s="56">
        <f>IF(OR(H99="",I99=""),"—",IF(I99&lt;=H99,"🟢 في الوقت","🔴 متأخر"))</f>
        <v/>
      </c>
      <c r="K99" s="87" t="n"/>
      <c r="L99" s="88" t="n"/>
      <c r="M99" s="87" t="n"/>
    </row>
    <row r="100" ht="15" customHeight="1" s="40">
      <c r="A100" s="85" t="n">
        <v>96</v>
      </c>
      <c r="B100" s="86" t="n"/>
      <c r="C100" s="87" t="n"/>
      <c r="D100" s="87" t="n"/>
      <c r="E100" s="87" t="n"/>
      <c r="F100" s="88" t="n"/>
      <c r="G100" s="87" t="n"/>
      <c r="H100" s="95" t="n"/>
      <c r="I100" s="95" t="n"/>
      <c r="J100" s="56">
        <f>IF(OR(H100="",I100=""),"—",IF(I100&lt;=H100,"🟢 في الوقت","🔴 متأخر"))</f>
        <v/>
      </c>
      <c r="K100" s="87" t="n"/>
      <c r="L100" s="88" t="n"/>
      <c r="M100" s="87" t="n"/>
    </row>
    <row r="101" ht="15" customHeight="1" s="40">
      <c r="A101" s="85" t="n">
        <v>97</v>
      </c>
      <c r="B101" s="86" t="n"/>
      <c r="C101" s="87" t="n"/>
      <c r="D101" s="87" t="n"/>
      <c r="E101" s="87" t="n"/>
      <c r="F101" s="88" t="n"/>
      <c r="G101" s="87" t="n"/>
      <c r="H101" s="95" t="n"/>
      <c r="I101" s="95" t="n"/>
      <c r="J101" s="56">
        <f>IF(OR(H101="",I101=""),"—",IF(I101&lt;=H101,"🟢 في الوقت","🔴 متأخر"))</f>
        <v/>
      </c>
      <c r="K101" s="87" t="n"/>
      <c r="L101" s="88" t="n"/>
      <c r="M101" s="87" t="n"/>
    </row>
    <row r="102" ht="15" customHeight="1" s="40">
      <c r="A102" s="85" t="n">
        <v>98</v>
      </c>
      <c r="B102" s="86" t="n"/>
      <c r="C102" s="87" t="n"/>
      <c r="D102" s="87" t="n"/>
      <c r="E102" s="87" t="n"/>
      <c r="F102" s="88" t="n"/>
      <c r="G102" s="87" t="n"/>
      <c r="H102" s="95" t="n"/>
      <c r="I102" s="95" t="n"/>
      <c r="J102" s="56">
        <f>IF(OR(H102="",I102=""),"—",IF(I102&lt;=H102,"🟢 في الوقت","🔴 متأخر"))</f>
        <v/>
      </c>
      <c r="K102" s="87" t="n"/>
      <c r="L102" s="88" t="n"/>
      <c r="M102" s="87" t="n"/>
    </row>
    <row r="103" ht="15" customHeight="1" s="40">
      <c r="A103" s="85" t="n">
        <v>99</v>
      </c>
      <c r="B103" s="86" t="n"/>
      <c r="C103" s="87" t="n"/>
      <c r="D103" s="87" t="n"/>
      <c r="E103" s="87" t="n"/>
      <c r="F103" s="88" t="n"/>
      <c r="G103" s="87" t="n"/>
      <c r="H103" s="95" t="n"/>
      <c r="I103" s="95" t="n"/>
      <c r="J103" s="56">
        <f>IF(OR(H103="",I103=""),"—",IF(I103&lt;=H103,"🟢 في الوقت","🔴 متأخر"))</f>
        <v/>
      </c>
      <c r="K103" s="87" t="n"/>
      <c r="L103" s="88" t="n"/>
      <c r="M103" s="87" t="n"/>
    </row>
    <row r="104" ht="15" customHeight="1" s="40">
      <c r="A104" s="85" t="n">
        <v>100</v>
      </c>
      <c r="B104" s="86" t="n"/>
      <c r="C104" s="87" t="n"/>
      <c r="D104" s="87" t="n"/>
      <c r="E104" s="87" t="n"/>
      <c r="F104" s="88" t="n"/>
      <c r="G104" s="87" t="n"/>
      <c r="H104" s="95" t="n"/>
      <c r="I104" s="95" t="n"/>
      <c r="J104" s="56">
        <f>IF(OR(H104="",I104=""),"—",IF(I104&lt;=H104,"🟢 في الوقت","🔴 متأخر"))</f>
        <v/>
      </c>
      <c r="K104" s="87" t="n"/>
      <c r="L104" s="88" t="n"/>
      <c r="M104" s="87" t="n"/>
    </row>
    <row r="105" ht="15" customHeight="1" s="40">
      <c r="A105" s="85" t="n">
        <v>101</v>
      </c>
      <c r="B105" s="86" t="n"/>
      <c r="C105" s="87" t="n"/>
      <c r="D105" s="87" t="n"/>
      <c r="E105" s="87" t="n"/>
      <c r="F105" s="88" t="n"/>
      <c r="G105" s="87" t="n"/>
      <c r="H105" s="95" t="n"/>
      <c r="I105" s="95" t="n"/>
      <c r="J105" s="56">
        <f>IF(OR(H105="",I105=""),"—",IF(I105&lt;=H105,"🟢 في الوقت","🔴 متأخر"))</f>
        <v/>
      </c>
      <c r="K105" s="87" t="n"/>
      <c r="L105" s="88" t="n"/>
      <c r="M105" s="87" t="n"/>
    </row>
    <row r="106" ht="15" customHeight="1" s="40">
      <c r="A106" s="85" t="n">
        <v>102</v>
      </c>
      <c r="B106" s="86" t="n"/>
      <c r="C106" s="87" t="n"/>
      <c r="D106" s="87" t="n"/>
      <c r="E106" s="87" t="n"/>
      <c r="F106" s="88" t="n"/>
      <c r="G106" s="87" t="n"/>
      <c r="H106" s="95" t="n"/>
      <c r="I106" s="95" t="n"/>
      <c r="J106" s="56">
        <f>IF(OR(H106="",I106=""),"—",IF(I106&lt;=H106,"🟢 في الوقت","🔴 متأخر"))</f>
        <v/>
      </c>
      <c r="K106" s="87" t="n"/>
      <c r="L106" s="88" t="n"/>
      <c r="M106" s="87" t="n"/>
    </row>
    <row r="107" ht="15" customHeight="1" s="40">
      <c r="A107" s="85" t="n">
        <v>103</v>
      </c>
      <c r="B107" s="86" t="n"/>
      <c r="C107" s="87" t="n"/>
      <c r="D107" s="87" t="n"/>
      <c r="E107" s="87" t="n"/>
      <c r="F107" s="88" t="n"/>
      <c r="G107" s="87" t="n"/>
      <c r="H107" s="95" t="n"/>
      <c r="I107" s="95" t="n"/>
      <c r="J107" s="56">
        <f>IF(OR(H107="",I107=""),"—",IF(I107&lt;=H107,"🟢 في الوقت","🔴 متأخر"))</f>
        <v/>
      </c>
      <c r="K107" s="87" t="n"/>
      <c r="L107" s="88" t="n"/>
      <c r="M107" s="87" t="n"/>
    </row>
    <row r="108" ht="15" customHeight="1" s="40">
      <c r="A108" s="85" t="n">
        <v>104</v>
      </c>
      <c r="B108" s="86" t="n"/>
      <c r="C108" s="87" t="n"/>
      <c r="D108" s="87" t="n"/>
      <c r="E108" s="87" t="n"/>
      <c r="F108" s="88" t="n"/>
      <c r="G108" s="87" t="n"/>
      <c r="H108" s="95" t="n"/>
      <c r="I108" s="95" t="n"/>
      <c r="J108" s="56">
        <f>IF(OR(H108="",I108=""),"—",IF(I108&lt;=H108,"🟢 في الوقت","🔴 متأخر"))</f>
        <v/>
      </c>
      <c r="K108" s="87" t="n"/>
      <c r="L108" s="88" t="n"/>
      <c r="M108" s="87" t="n"/>
    </row>
    <row r="109" ht="15" customHeight="1" s="40">
      <c r="A109" s="85" t="n">
        <v>105</v>
      </c>
      <c r="B109" s="86" t="n"/>
      <c r="C109" s="87" t="n"/>
      <c r="D109" s="87" t="n"/>
      <c r="E109" s="87" t="n"/>
      <c r="F109" s="88" t="n"/>
      <c r="G109" s="87" t="n"/>
      <c r="H109" s="95" t="n"/>
      <c r="I109" s="95" t="n"/>
      <c r="J109" s="56">
        <f>IF(OR(H109="",I109=""),"—",IF(I109&lt;=H109,"🟢 في الوقت","🔴 متأخر"))</f>
        <v/>
      </c>
      <c r="K109" s="87" t="n"/>
      <c r="L109" s="88" t="n"/>
      <c r="M109" s="87" t="n"/>
    </row>
    <row r="110" ht="15" customHeight="1" s="40">
      <c r="A110" s="85" t="n">
        <v>106</v>
      </c>
      <c r="B110" s="86" t="n"/>
      <c r="C110" s="87" t="n"/>
      <c r="D110" s="87" t="n"/>
      <c r="E110" s="87" t="n"/>
      <c r="F110" s="88" t="n"/>
      <c r="G110" s="87" t="n"/>
      <c r="H110" s="95" t="n"/>
      <c r="I110" s="95" t="n"/>
      <c r="J110" s="56">
        <f>IF(OR(H110="",I110=""),"—",IF(I110&lt;=H110,"🟢 في الوقت","🔴 متأخر"))</f>
        <v/>
      </c>
      <c r="K110" s="87" t="n"/>
      <c r="L110" s="88" t="n"/>
      <c r="M110" s="87" t="n"/>
    </row>
    <row r="111" ht="15" customHeight="1" s="40">
      <c r="A111" s="85" t="n">
        <v>107</v>
      </c>
      <c r="B111" s="86" t="n"/>
      <c r="C111" s="87" t="n"/>
      <c r="D111" s="87" t="n"/>
      <c r="E111" s="87" t="n"/>
      <c r="F111" s="88" t="n"/>
      <c r="G111" s="87" t="n"/>
      <c r="H111" s="95" t="n"/>
      <c r="I111" s="95" t="n"/>
      <c r="J111" s="56">
        <f>IF(OR(H111="",I111=""),"—",IF(I111&lt;=H111,"🟢 في الوقت","🔴 متأخر"))</f>
        <v/>
      </c>
      <c r="K111" s="87" t="n"/>
      <c r="L111" s="88" t="n"/>
      <c r="M111" s="87" t="n"/>
    </row>
    <row r="112" ht="15" customHeight="1" s="40">
      <c r="A112" s="85" t="n">
        <v>108</v>
      </c>
      <c r="B112" s="86" t="n"/>
      <c r="C112" s="87" t="n"/>
      <c r="D112" s="87" t="n"/>
      <c r="E112" s="87" t="n"/>
      <c r="F112" s="88" t="n"/>
      <c r="G112" s="87" t="n"/>
      <c r="H112" s="95" t="n"/>
      <c r="I112" s="95" t="n"/>
      <c r="J112" s="56">
        <f>IF(OR(H112="",I112=""),"—",IF(I112&lt;=H112,"🟢 في الوقت","🔴 متأخر"))</f>
        <v/>
      </c>
      <c r="K112" s="87" t="n"/>
      <c r="L112" s="88" t="n"/>
      <c r="M112" s="87" t="n"/>
    </row>
    <row r="113" ht="15" customHeight="1" s="40">
      <c r="A113" s="85" t="n">
        <v>109</v>
      </c>
      <c r="B113" s="86" t="n"/>
      <c r="C113" s="87" t="n"/>
      <c r="D113" s="87" t="n"/>
      <c r="E113" s="87" t="n"/>
      <c r="F113" s="88" t="n"/>
      <c r="G113" s="87" t="n"/>
      <c r="H113" s="95" t="n"/>
      <c r="I113" s="95" t="n"/>
      <c r="J113" s="56">
        <f>IF(OR(H113="",I113=""),"—",IF(I113&lt;=H113,"🟢 في الوقت","🔴 متأخر"))</f>
        <v/>
      </c>
      <c r="K113" s="87" t="n"/>
      <c r="L113" s="88" t="n"/>
      <c r="M113" s="87" t="n"/>
    </row>
    <row r="114" ht="15" customHeight="1" s="40">
      <c r="A114" s="85" t="n">
        <v>110</v>
      </c>
      <c r="B114" s="86" t="n"/>
      <c r="C114" s="87" t="n"/>
      <c r="D114" s="87" t="n"/>
      <c r="E114" s="87" t="n"/>
      <c r="F114" s="88" t="n"/>
      <c r="G114" s="87" t="n"/>
      <c r="H114" s="95" t="n"/>
      <c r="I114" s="95" t="n"/>
      <c r="J114" s="56">
        <f>IF(OR(H114="",I114=""),"—",IF(I114&lt;=H114,"🟢 في الوقت","🔴 متأخر"))</f>
        <v/>
      </c>
      <c r="K114" s="87" t="n"/>
      <c r="L114" s="88" t="n"/>
      <c r="M114" s="87" t="n"/>
    </row>
    <row r="115" ht="15" customHeight="1" s="40">
      <c r="A115" s="85" t="n">
        <v>111</v>
      </c>
      <c r="B115" s="86" t="n"/>
      <c r="C115" s="87" t="n"/>
      <c r="D115" s="87" t="n"/>
      <c r="E115" s="87" t="n"/>
      <c r="F115" s="88" t="n"/>
      <c r="G115" s="87" t="n"/>
      <c r="H115" s="95" t="n"/>
      <c r="I115" s="95" t="n"/>
      <c r="J115" s="56">
        <f>IF(OR(H115="",I115=""),"—",IF(I115&lt;=H115,"🟢 في الوقت","🔴 متأخر"))</f>
        <v/>
      </c>
      <c r="K115" s="87" t="n"/>
      <c r="L115" s="88" t="n"/>
      <c r="M115" s="87" t="n"/>
    </row>
    <row r="116" ht="15" customHeight="1" s="40">
      <c r="A116" s="85" t="n">
        <v>112</v>
      </c>
      <c r="B116" s="86" t="n"/>
      <c r="C116" s="87" t="n"/>
      <c r="D116" s="87" t="n"/>
      <c r="E116" s="87" t="n"/>
      <c r="F116" s="88" t="n"/>
      <c r="G116" s="87" t="n"/>
      <c r="H116" s="95" t="n"/>
      <c r="I116" s="95" t="n"/>
      <c r="J116" s="56">
        <f>IF(OR(H116="",I116=""),"—",IF(I116&lt;=H116,"🟢 في الوقت","🔴 متأخر"))</f>
        <v/>
      </c>
      <c r="K116" s="87" t="n"/>
      <c r="L116" s="88" t="n"/>
      <c r="M116" s="87" t="n"/>
    </row>
    <row r="117" ht="15" customHeight="1" s="40">
      <c r="A117" s="85" t="n">
        <v>113</v>
      </c>
      <c r="B117" s="86" t="n"/>
      <c r="C117" s="87" t="n"/>
      <c r="D117" s="87" t="n"/>
      <c r="E117" s="87" t="n"/>
      <c r="F117" s="88" t="n"/>
      <c r="G117" s="87" t="n"/>
      <c r="H117" s="95" t="n"/>
      <c r="I117" s="95" t="n"/>
      <c r="J117" s="56">
        <f>IF(OR(H117="",I117=""),"—",IF(I117&lt;=H117,"🟢 في الوقت","🔴 متأخر"))</f>
        <v/>
      </c>
      <c r="K117" s="87" t="n"/>
      <c r="L117" s="88" t="n"/>
      <c r="M117" s="87" t="n"/>
    </row>
    <row r="118" ht="15" customHeight="1" s="40">
      <c r="A118" s="85" t="n">
        <v>114</v>
      </c>
      <c r="B118" s="86" t="n"/>
      <c r="C118" s="87" t="n"/>
      <c r="D118" s="87" t="n"/>
      <c r="E118" s="87" t="n"/>
      <c r="F118" s="88" t="n"/>
      <c r="G118" s="87" t="n"/>
      <c r="H118" s="95" t="n"/>
      <c r="I118" s="95" t="n"/>
      <c r="J118" s="56">
        <f>IF(OR(H118="",I118=""),"—",IF(I118&lt;=H118,"🟢 في الوقت","🔴 متأخر"))</f>
        <v/>
      </c>
      <c r="K118" s="87" t="n"/>
      <c r="L118" s="88" t="n"/>
      <c r="M118" s="87" t="n"/>
    </row>
    <row r="119" ht="15" customHeight="1" s="40">
      <c r="A119" s="85" t="n">
        <v>115</v>
      </c>
      <c r="B119" s="86" t="n"/>
      <c r="C119" s="87" t="n"/>
      <c r="D119" s="87" t="n"/>
      <c r="E119" s="87" t="n"/>
      <c r="F119" s="88" t="n"/>
      <c r="G119" s="87" t="n"/>
      <c r="H119" s="95" t="n"/>
      <c r="I119" s="95" t="n"/>
      <c r="J119" s="56">
        <f>IF(OR(H119="",I119=""),"—",IF(I119&lt;=H119,"🟢 في الوقت","🔴 متأخر"))</f>
        <v/>
      </c>
      <c r="K119" s="87" t="n"/>
      <c r="L119" s="88" t="n"/>
      <c r="M119" s="87" t="n"/>
    </row>
    <row r="120" ht="15" customHeight="1" s="40">
      <c r="A120" s="85" t="n">
        <v>116</v>
      </c>
      <c r="B120" s="86" t="n"/>
      <c r="C120" s="87" t="n"/>
      <c r="D120" s="87" t="n"/>
      <c r="E120" s="87" t="n"/>
      <c r="F120" s="88" t="n"/>
      <c r="G120" s="87" t="n"/>
      <c r="H120" s="95" t="n"/>
      <c r="I120" s="95" t="n"/>
      <c r="J120" s="56">
        <f>IF(OR(H120="",I120=""),"—",IF(I120&lt;=H120,"🟢 في الوقت","🔴 متأخر"))</f>
        <v/>
      </c>
      <c r="K120" s="87" t="n"/>
      <c r="L120" s="88" t="n"/>
      <c r="M120" s="87" t="n"/>
    </row>
    <row r="121" ht="15" customHeight="1" s="40">
      <c r="A121" s="85" t="n">
        <v>117</v>
      </c>
      <c r="B121" s="86" t="n"/>
      <c r="C121" s="87" t="n"/>
      <c r="D121" s="87" t="n"/>
      <c r="E121" s="87" t="n"/>
      <c r="F121" s="88" t="n"/>
      <c r="G121" s="87" t="n"/>
      <c r="H121" s="95" t="n"/>
      <c r="I121" s="95" t="n"/>
      <c r="J121" s="56">
        <f>IF(OR(H121="",I121=""),"—",IF(I121&lt;=H121,"🟢 في الوقت","🔴 متأخر"))</f>
        <v/>
      </c>
      <c r="K121" s="87" t="n"/>
      <c r="L121" s="88" t="n"/>
      <c r="M121" s="87" t="n"/>
    </row>
    <row r="122" ht="15" customHeight="1" s="40">
      <c r="A122" s="85" t="n">
        <v>118</v>
      </c>
      <c r="B122" s="86" t="n"/>
      <c r="C122" s="87" t="n"/>
      <c r="D122" s="87" t="n"/>
      <c r="E122" s="87" t="n"/>
      <c r="F122" s="88" t="n"/>
      <c r="G122" s="87" t="n"/>
      <c r="H122" s="95" t="n"/>
      <c r="I122" s="95" t="n"/>
      <c r="J122" s="56">
        <f>IF(OR(H122="",I122=""),"—",IF(I122&lt;=H122,"🟢 في الوقت","🔴 متأخر"))</f>
        <v/>
      </c>
      <c r="K122" s="87" t="n"/>
      <c r="L122" s="88" t="n"/>
      <c r="M122" s="87" t="n"/>
    </row>
    <row r="123" ht="15" customHeight="1" s="40">
      <c r="A123" s="85" t="n">
        <v>119</v>
      </c>
      <c r="B123" s="86" t="n"/>
      <c r="C123" s="87" t="n"/>
      <c r="D123" s="87" t="n"/>
      <c r="E123" s="87" t="n"/>
      <c r="F123" s="88" t="n"/>
      <c r="G123" s="87" t="n"/>
      <c r="H123" s="95" t="n"/>
      <c r="I123" s="95" t="n"/>
      <c r="J123" s="56">
        <f>IF(OR(H123="",I123=""),"—",IF(I123&lt;=H123,"🟢 في الوقت","🔴 متأخر"))</f>
        <v/>
      </c>
      <c r="K123" s="87" t="n"/>
      <c r="L123" s="88" t="n"/>
      <c r="M123" s="87" t="n"/>
    </row>
    <row r="124" ht="15" customHeight="1" s="40">
      <c r="A124" s="85" t="n">
        <v>120</v>
      </c>
      <c r="B124" s="86" t="n"/>
      <c r="C124" s="87" t="n"/>
      <c r="D124" s="87" t="n"/>
      <c r="E124" s="87" t="n"/>
      <c r="F124" s="88" t="n"/>
      <c r="G124" s="87" t="n"/>
      <c r="H124" s="95" t="n"/>
      <c r="I124" s="95" t="n"/>
      <c r="J124" s="56">
        <f>IF(OR(H124="",I124=""),"—",IF(I124&lt;=H124,"🟢 في الوقت","🔴 متأخر"))</f>
        <v/>
      </c>
      <c r="K124" s="87" t="n"/>
      <c r="L124" s="88" t="n"/>
      <c r="M124" s="87" t="n"/>
    </row>
    <row r="125" ht="15" customHeight="1" s="40">
      <c r="A125" s="85" t="n">
        <v>121</v>
      </c>
      <c r="B125" s="86" t="n"/>
      <c r="C125" s="87" t="n"/>
      <c r="D125" s="87" t="n"/>
      <c r="E125" s="87" t="n"/>
      <c r="F125" s="88" t="n"/>
      <c r="G125" s="87" t="n"/>
      <c r="H125" s="95" t="n"/>
      <c r="I125" s="95" t="n"/>
      <c r="J125" s="56">
        <f>IF(OR(H125="",I125=""),"—",IF(I125&lt;=H125,"🟢 في الوقت","🔴 متأخر"))</f>
        <v/>
      </c>
      <c r="K125" s="87" t="n"/>
      <c r="L125" s="88" t="n"/>
      <c r="M125" s="87" t="n"/>
    </row>
    <row r="126" ht="15" customHeight="1" s="40">
      <c r="A126" s="85" t="n">
        <v>122</v>
      </c>
      <c r="B126" s="86" t="n"/>
      <c r="C126" s="87" t="n"/>
      <c r="D126" s="87" t="n"/>
      <c r="E126" s="87" t="n"/>
      <c r="F126" s="88" t="n"/>
      <c r="G126" s="87" t="n"/>
      <c r="H126" s="95" t="n"/>
      <c r="I126" s="95" t="n"/>
      <c r="J126" s="56">
        <f>IF(OR(H126="",I126=""),"—",IF(I126&lt;=H126,"🟢 في الوقت","🔴 متأخر"))</f>
        <v/>
      </c>
      <c r="K126" s="87" t="n"/>
      <c r="L126" s="88" t="n"/>
      <c r="M126" s="87" t="n"/>
    </row>
    <row r="127" ht="15" customHeight="1" s="40">
      <c r="A127" s="85" t="n">
        <v>123</v>
      </c>
      <c r="B127" s="86" t="n"/>
      <c r="C127" s="87" t="n"/>
      <c r="D127" s="87" t="n"/>
      <c r="E127" s="87" t="n"/>
      <c r="F127" s="88" t="n"/>
      <c r="G127" s="87" t="n"/>
      <c r="H127" s="95" t="n"/>
      <c r="I127" s="95" t="n"/>
      <c r="J127" s="56">
        <f>IF(OR(H127="",I127=""),"—",IF(I127&lt;=H127,"🟢 في الوقت","🔴 متأخر"))</f>
        <v/>
      </c>
      <c r="K127" s="87" t="n"/>
      <c r="L127" s="88" t="n"/>
      <c r="M127" s="87" t="n"/>
    </row>
    <row r="128" ht="15" customHeight="1" s="40">
      <c r="A128" s="85" t="n">
        <v>124</v>
      </c>
      <c r="B128" s="86" t="n"/>
      <c r="C128" s="87" t="n"/>
      <c r="D128" s="87" t="n"/>
      <c r="E128" s="87" t="n"/>
      <c r="F128" s="88" t="n"/>
      <c r="G128" s="87" t="n"/>
      <c r="H128" s="95" t="n"/>
      <c r="I128" s="95" t="n"/>
      <c r="J128" s="56">
        <f>IF(OR(H128="",I128=""),"—",IF(I128&lt;=H128,"🟢 في الوقت","🔴 متأخر"))</f>
        <v/>
      </c>
      <c r="K128" s="87" t="n"/>
      <c r="L128" s="88" t="n"/>
      <c r="M128" s="87" t="n"/>
    </row>
    <row r="129" ht="15" customHeight="1" s="40">
      <c r="A129" s="85" t="n">
        <v>125</v>
      </c>
      <c r="B129" s="86" t="n"/>
      <c r="C129" s="87" t="n"/>
      <c r="D129" s="87" t="n"/>
      <c r="E129" s="87" t="n"/>
      <c r="F129" s="88" t="n"/>
      <c r="G129" s="87" t="n"/>
      <c r="H129" s="95" t="n"/>
      <c r="I129" s="95" t="n"/>
      <c r="J129" s="56">
        <f>IF(OR(H129="",I129=""),"—",IF(I129&lt;=H129,"🟢 في الوقت","🔴 متأخر"))</f>
        <v/>
      </c>
      <c r="K129" s="87" t="n"/>
      <c r="L129" s="88" t="n"/>
      <c r="M129" s="87" t="n"/>
    </row>
    <row r="130" ht="15" customHeight="1" s="40">
      <c r="A130" s="85" t="n">
        <v>126</v>
      </c>
      <c r="B130" s="86" t="n"/>
      <c r="C130" s="87" t="n"/>
      <c r="D130" s="87" t="n"/>
      <c r="E130" s="87" t="n"/>
      <c r="F130" s="88" t="n"/>
      <c r="G130" s="87" t="n"/>
      <c r="H130" s="95" t="n"/>
      <c r="I130" s="95" t="n"/>
      <c r="J130" s="56">
        <f>IF(OR(H130="",I130=""),"—",IF(I130&lt;=H130,"🟢 في الوقت","🔴 متأخر"))</f>
        <v/>
      </c>
      <c r="K130" s="87" t="n"/>
      <c r="L130" s="88" t="n"/>
      <c r="M130" s="87" t="n"/>
    </row>
    <row r="131" ht="15" customHeight="1" s="40">
      <c r="A131" s="85" t="n">
        <v>127</v>
      </c>
      <c r="B131" s="86" t="n"/>
      <c r="C131" s="87" t="n"/>
      <c r="D131" s="87" t="n"/>
      <c r="E131" s="87" t="n"/>
      <c r="F131" s="88" t="n"/>
      <c r="G131" s="87" t="n"/>
      <c r="H131" s="95" t="n"/>
      <c r="I131" s="95" t="n"/>
      <c r="J131" s="56">
        <f>IF(OR(H131="",I131=""),"—",IF(I131&lt;=H131,"🟢 في الوقت","🔴 متأخر"))</f>
        <v/>
      </c>
      <c r="K131" s="87" t="n"/>
      <c r="L131" s="88" t="n"/>
      <c r="M131" s="87" t="n"/>
    </row>
    <row r="132" ht="15" customHeight="1" s="40">
      <c r="A132" s="85" t="n">
        <v>128</v>
      </c>
      <c r="B132" s="86" t="n"/>
      <c r="C132" s="87" t="n"/>
      <c r="D132" s="87" t="n"/>
      <c r="E132" s="87" t="n"/>
      <c r="F132" s="88" t="n"/>
      <c r="G132" s="87" t="n"/>
      <c r="H132" s="95" t="n"/>
      <c r="I132" s="95" t="n"/>
      <c r="J132" s="56">
        <f>IF(OR(H132="",I132=""),"—",IF(I132&lt;=H132,"🟢 في الوقت","🔴 متأخر"))</f>
        <v/>
      </c>
      <c r="K132" s="87" t="n"/>
      <c r="L132" s="88" t="n"/>
      <c r="M132" s="87" t="n"/>
    </row>
    <row r="133" ht="15" customHeight="1" s="40">
      <c r="A133" s="85" t="n">
        <v>129</v>
      </c>
      <c r="B133" s="86" t="n"/>
      <c r="C133" s="87" t="n"/>
      <c r="D133" s="87" t="n"/>
      <c r="E133" s="87" t="n"/>
      <c r="F133" s="88" t="n"/>
      <c r="G133" s="87" t="n"/>
      <c r="H133" s="95" t="n"/>
      <c r="I133" s="95" t="n"/>
      <c r="J133" s="56">
        <f>IF(OR(H133="",I133=""),"—",IF(I133&lt;=H133,"🟢 في الوقت","🔴 متأخر"))</f>
        <v/>
      </c>
      <c r="K133" s="87" t="n"/>
      <c r="L133" s="88" t="n"/>
      <c r="M133" s="87" t="n"/>
    </row>
    <row r="134" ht="15" customHeight="1" s="40">
      <c r="A134" s="85" t="n">
        <v>130</v>
      </c>
      <c r="B134" s="86" t="n"/>
      <c r="C134" s="87" t="n"/>
      <c r="D134" s="87" t="n"/>
      <c r="E134" s="87" t="n"/>
      <c r="F134" s="88" t="n"/>
      <c r="G134" s="87" t="n"/>
      <c r="H134" s="95" t="n"/>
      <c r="I134" s="95" t="n"/>
      <c r="J134" s="56">
        <f>IF(OR(H134="",I134=""),"—",IF(I134&lt;=H134,"🟢 في الوقت","🔴 متأخر"))</f>
        <v/>
      </c>
      <c r="K134" s="87" t="n"/>
      <c r="L134" s="88" t="n"/>
      <c r="M134" s="87" t="n"/>
    </row>
    <row r="135" ht="15" customHeight="1" s="40">
      <c r="A135" s="85" t="n">
        <v>131</v>
      </c>
      <c r="B135" s="86" t="n"/>
      <c r="C135" s="87" t="n"/>
      <c r="D135" s="87" t="n"/>
      <c r="E135" s="87" t="n"/>
      <c r="F135" s="88" t="n"/>
      <c r="G135" s="87" t="n"/>
      <c r="H135" s="95" t="n"/>
      <c r="I135" s="95" t="n"/>
      <c r="J135" s="56">
        <f>IF(OR(H135="",I135=""),"—",IF(I135&lt;=H135,"🟢 في الوقت","🔴 متأخر"))</f>
        <v/>
      </c>
      <c r="K135" s="87" t="n"/>
      <c r="L135" s="88" t="n"/>
      <c r="M135" s="87" t="n"/>
    </row>
    <row r="136" ht="15" customHeight="1" s="40">
      <c r="A136" s="85" t="n">
        <v>132</v>
      </c>
      <c r="B136" s="86" t="n"/>
      <c r="C136" s="87" t="n"/>
      <c r="D136" s="87" t="n"/>
      <c r="E136" s="87" t="n"/>
      <c r="F136" s="88" t="n"/>
      <c r="G136" s="87" t="n"/>
      <c r="H136" s="95" t="n"/>
      <c r="I136" s="95" t="n"/>
      <c r="J136" s="56">
        <f>IF(OR(H136="",I136=""),"—",IF(I136&lt;=H136,"🟢 في الوقت","🔴 متأخر"))</f>
        <v/>
      </c>
      <c r="K136" s="87" t="n"/>
      <c r="L136" s="88" t="n"/>
      <c r="M136" s="87" t="n"/>
    </row>
    <row r="137" ht="15" customHeight="1" s="40">
      <c r="A137" s="85" t="n">
        <v>133</v>
      </c>
      <c r="B137" s="86" t="n"/>
      <c r="C137" s="87" t="n"/>
      <c r="D137" s="87" t="n"/>
      <c r="E137" s="87" t="n"/>
      <c r="F137" s="88" t="n"/>
      <c r="G137" s="87" t="n"/>
      <c r="H137" s="95" t="n"/>
      <c r="I137" s="95" t="n"/>
      <c r="J137" s="56">
        <f>IF(OR(H137="",I137=""),"—",IF(I137&lt;=H137,"🟢 في الوقت","🔴 متأخر"))</f>
        <v/>
      </c>
      <c r="K137" s="87" t="n"/>
      <c r="L137" s="88" t="n"/>
      <c r="M137" s="87" t="n"/>
    </row>
    <row r="138" ht="15" customHeight="1" s="40">
      <c r="A138" s="85" t="n">
        <v>134</v>
      </c>
      <c r="B138" s="86" t="n"/>
      <c r="C138" s="87" t="n"/>
      <c r="D138" s="87" t="n"/>
      <c r="E138" s="87" t="n"/>
      <c r="F138" s="88" t="n"/>
      <c r="G138" s="87" t="n"/>
      <c r="H138" s="95" t="n"/>
      <c r="I138" s="95" t="n"/>
      <c r="J138" s="56">
        <f>IF(OR(H138="",I138=""),"—",IF(I138&lt;=H138,"🟢 في الوقت","🔴 متأخر"))</f>
        <v/>
      </c>
      <c r="K138" s="87" t="n"/>
      <c r="L138" s="88" t="n"/>
      <c r="M138" s="87" t="n"/>
    </row>
    <row r="139" ht="15" customHeight="1" s="40">
      <c r="A139" s="85" t="n">
        <v>135</v>
      </c>
      <c r="B139" s="86" t="n"/>
      <c r="C139" s="87" t="n"/>
      <c r="D139" s="87" t="n"/>
      <c r="E139" s="87" t="n"/>
      <c r="F139" s="88" t="n"/>
      <c r="G139" s="87" t="n"/>
      <c r="H139" s="95" t="n"/>
      <c r="I139" s="95" t="n"/>
      <c r="J139" s="56">
        <f>IF(OR(H139="",I139=""),"—",IF(I139&lt;=H139,"🟢 في الوقت","🔴 متأخر"))</f>
        <v/>
      </c>
      <c r="K139" s="87" t="n"/>
      <c r="L139" s="88" t="n"/>
      <c r="M139" s="87" t="n"/>
    </row>
    <row r="140" ht="15" customHeight="1" s="40">
      <c r="A140" s="85" t="n">
        <v>136</v>
      </c>
      <c r="B140" s="86" t="n"/>
      <c r="C140" s="87" t="n"/>
      <c r="D140" s="87" t="n"/>
      <c r="E140" s="87" t="n"/>
      <c r="F140" s="88" t="n"/>
      <c r="G140" s="87" t="n"/>
      <c r="H140" s="95" t="n"/>
      <c r="I140" s="95" t="n"/>
      <c r="J140" s="56">
        <f>IF(OR(H140="",I140=""),"—",IF(I140&lt;=H140,"🟢 في الوقت","🔴 متأخر"))</f>
        <v/>
      </c>
      <c r="K140" s="87" t="n"/>
      <c r="L140" s="88" t="n"/>
      <c r="M140" s="87" t="n"/>
    </row>
    <row r="141" ht="15" customHeight="1" s="40">
      <c r="A141" s="85" t="n">
        <v>137</v>
      </c>
      <c r="B141" s="86" t="n"/>
      <c r="C141" s="87" t="n"/>
      <c r="D141" s="87" t="n"/>
      <c r="E141" s="87" t="n"/>
      <c r="F141" s="88" t="n"/>
      <c r="G141" s="87" t="n"/>
      <c r="H141" s="95" t="n"/>
      <c r="I141" s="95" t="n"/>
      <c r="J141" s="56">
        <f>IF(OR(H141="",I141=""),"—",IF(I141&lt;=H141,"🟢 في الوقت","🔴 متأخر"))</f>
        <v/>
      </c>
      <c r="K141" s="87" t="n"/>
      <c r="L141" s="88" t="n"/>
      <c r="M141" s="87" t="n"/>
    </row>
    <row r="142" ht="15" customHeight="1" s="40">
      <c r="A142" s="85" t="n">
        <v>138</v>
      </c>
      <c r="B142" s="86" t="n"/>
      <c r="C142" s="87" t="n"/>
      <c r="D142" s="87" t="n"/>
      <c r="E142" s="87" t="n"/>
      <c r="F142" s="88" t="n"/>
      <c r="G142" s="87" t="n"/>
      <c r="H142" s="95" t="n"/>
      <c r="I142" s="95" t="n"/>
      <c r="J142" s="56">
        <f>IF(OR(H142="",I142=""),"—",IF(I142&lt;=H142,"🟢 في الوقت","🔴 متأخر"))</f>
        <v/>
      </c>
      <c r="K142" s="87" t="n"/>
      <c r="L142" s="88" t="n"/>
      <c r="M142" s="87" t="n"/>
    </row>
    <row r="143" ht="15" customHeight="1" s="40">
      <c r="A143" s="85" t="n">
        <v>139</v>
      </c>
      <c r="B143" s="86" t="n"/>
      <c r="C143" s="87" t="n"/>
      <c r="D143" s="87" t="n"/>
      <c r="E143" s="87" t="n"/>
      <c r="F143" s="88" t="n"/>
      <c r="G143" s="87" t="n"/>
      <c r="H143" s="95" t="n"/>
      <c r="I143" s="95" t="n"/>
      <c r="J143" s="56">
        <f>IF(OR(H143="",I143=""),"—",IF(I143&lt;=H143,"🟢 في الوقت","🔴 متأخر"))</f>
        <v/>
      </c>
      <c r="K143" s="87" t="n"/>
      <c r="L143" s="88" t="n"/>
      <c r="M143" s="87" t="n"/>
    </row>
    <row r="144" ht="15" customHeight="1" s="40">
      <c r="A144" s="85" t="n">
        <v>140</v>
      </c>
      <c r="B144" s="86" t="n"/>
      <c r="C144" s="87" t="n"/>
      <c r="D144" s="87" t="n"/>
      <c r="E144" s="87" t="n"/>
      <c r="F144" s="88" t="n"/>
      <c r="G144" s="87" t="n"/>
      <c r="H144" s="95" t="n"/>
      <c r="I144" s="95" t="n"/>
      <c r="J144" s="56">
        <f>IF(OR(H144="",I144=""),"—",IF(I144&lt;=H144,"🟢 في الوقت","🔴 متأخر"))</f>
        <v/>
      </c>
      <c r="K144" s="87" t="n"/>
      <c r="L144" s="88" t="n"/>
      <c r="M144" s="87" t="n"/>
    </row>
    <row r="145" ht="15" customHeight="1" s="40">
      <c r="A145" s="85" t="n">
        <v>141</v>
      </c>
      <c r="B145" s="86" t="n"/>
      <c r="C145" s="87" t="n"/>
      <c r="D145" s="87" t="n"/>
      <c r="E145" s="87" t="n"/>
      <c r="F145" s="88" t="n"/>
      <c r="G145" s="87" t="n"/>
      <c r="H145" s="95" t="n"/>
      <c r="I145" s="95" t="n"/>
      <c r="J145" s="56">
        <f>IF(OR(H145="",I145=""),"—",IF(I145&lt;=H145,"🟢 في الوقت","🔴 متأخر"))</f>
        <v/>
      </c>
      <c r="K145" s="87" t="n"/>
      <c r="L145" s="88" t="n"/>
      <c r="M145" s="87" t="n"/>
    </row>
    <row r="146" ht="15" customHeight="1" s="40">
      <c r="A146" s="85" t="n">
        <v>142</v>
      </c>
      <c r="B146" s="86" t="n"/>
      <c r="C146" s="87" t="n"/>
      <c r="D146" s="87" t="n"/>
      <c r="E146" s="87" t="n"/>
      <c r="F146" s="88" t="n"/>
      <c r="G146" s="87" t="n"/>
      <c r="H146" s="95" t="n"/>
      <c r="I146" s="95" t="n"/>
      <c r="J146" s="56">
        <f>IF(OR(H146="",I146=""),"—",IF(I146&lt;=H146,"🟢 في الوقت","🔴 متأخر"))</f>
        <v/>
      </c>
      <c r="K146" s="87" t="n"/>
      <c r="L146" s="88" t="n"/>
      <c r="M146" s="87" t="n"/>
    </row>
    <row r="147" ht="15" customHeight="1" s="40">
      <c r="A147" s="85" t="n">
        <v>143</v>
      </c>
      <c r="B147" s="86" t="n"/>
      <c r="C147" s="87" t="n"/>
      <c r="D147" s="87" t="n"/>
      <c r="E147" s="87" t="n"/>
      <c r="F147" s="88" t="n"/>
      <c r="G147" s="87" t="n"/>
      <c r="H147" s="95" t="n"/>
      <c r="I147" s="95" t="n"/>
      <c r="J147" s="56">
        <f>IF(OR(H147="",I147=""),"—",IF(I147&lt;=H147,"🟢 في الوقت","🔴 متأخر"))</f>
        <v/>
      </c>
      <c r="K147" s="87" t="n"/>
      <c r="L147" s="88" t="n"/>
      <c r="M147" s="87" t="n"/>
    </row>
    <row r="148" ht="15" customHeight="1" s="40">
      <c r="A148" s="85" t="n">
        <v>144</v>
      </c>
      <c r="B148" s="86" t="n"/>
      <c r="C148" s="87" t="n"/>
      <c r="D148" s="87" t="n"/>
      <c r="E148" s="87" t="n"/>
      <c r="F148" s="88" t="n"/>
      <c r="G148" s="87" t="n"/>
      <c r="H148" s="95" t="n"/>
      <c r="I148" s="95" t="n"/>
      <c r="J148" s="56">
        <f>IF(OR(H148="",I148=""),"—",IF(I148&lt;=H148,"🟢 في الوقت","🔴 متأخر"))</f>
        <v/>
      </c>
      <c r="K148" s="87" t="n"/>
      <c r="L148" s="88" t="n"/>
      <c r="M148" s="87" t="n"/>
    </row>
    <row r="149" ht="15" customHeight="1" s="40">
      <c r="A149" s="85" t="n">
        <v>145</v>
      </c>
      <c r="B149" s="86" t="n"/>
      <c r="C149" s="87" t="n"/>
      <c r="D149" s="87" t="n"/>
      <c r="E149" s="87" t="n"/>
      <c r="F149" s="88" t="n"/>
      <c r="G149" s="87" t="n"/>
      <c r="H149" s="95" t="n"/>
      <c r="I149" s="95" t="n"/>
      <c r="J149" s="56">
        <f>IF(OR(H149="",I149=""),"—",IF(I149&lt;=H149,"🟢 في الوقت","🔴 متأخر"))</f>
        <v/>
      </c>
      <c r="K149" s="87" t="n"/>
      <c r="L149" s="88" t="n"/>
      <c r="M149" s="87" t="n"/>
    </row>
    <row r="150" ht="15" customHeight="1" s="40">
      <c r="A150" s="85" t="n">
        <v>146</v>
      </c>
      <c r="B150" s="86" t="n"/>
      <c r="C150" s="87" t="n"/>
      <c r="D150" s="87" t="n"/>
      <c r="E150" s="87" t="n"/>
      <c r="F150" s="88" t="n"/>
      <c r="G150" s="87" t="n"/>
      <c r="H150" s="95" t="n"/>
      <c r="I150" s="95" t="n"/>
      <c r="J150" s="56">
        <f>IF(OR(H150="",I150=""),"—",IF(I150&lt;=H150,"🟢 في الوقت","🔴 متأخر"))</f>
        <v/>
      </c>
      <c r="K150" s="87" t="n"/>
      <c r="L150" s="88" t="n"/>
      <c r="M150" s="87" t="n"/>
    </row>
    <row r="151" ht="15" customHeight="1" s="40">
      <c r="A151" s="85" t="n">
        <v>147</v>
      </c>
      <c r="B151" s="86" t="n"/>
      <c r="C151" s="87" t="n"/>
      <c r="D151" s="87" t="n"/>
      <c r="E151" s="87" t="n"/>
      <c r="F151" s="88" t="n"/>
      <c r="G151" s="87" t="n"/>
      <c r="H151" s="95" t="n"/>
      <c r="I151" s="95" t="n"/>
      <c r="J151" s="56">
        <f>IF(OR(H151="",I151=""),"—",IF(I151&lt;=H151,"🟢 في الوقت","🔴 متأخر"))</f>
        <v/>
      </c>
      <c r="K151" s="87" t="n"/>
      <c r="L151" s="88" t="n"/>
      <c r="M151" s="87" t="n"/>
    </row>
    <row r="152" ht="15" customHeight="1" s="40">
      <c r="A152" s="85" t="n">
        <v>148</v>
      </c>
      <c r="B152" s="86" t="n"/>
      <c r="C152" s="87" t="n"/>
      <c r="D152" s="87" t="n"/>
      <c r="E152" s="87" t="n"/>
      <c r="F152" s="88" t="n"/>
      <c r="G152" s="87" t="n"/>
      <c r="H152" s="95" t="n"/>
      <c r="I152" s="95" t="n"/>
      <c r="J152" s="56">
        <f>IF(OR(H152="",I152=""),"—",IF(I152&lt;=H152,"🟢 في الوقت","🔴 متأخر"))</f>
        <v/>
      </c>
      <c r="K152" s="87" t="n"/>
      <c r="L152" s="88" t="n"/>
      <c r="M152" s="87" t="n"/>
    </row>
    <row r="153" ht="15" customHeight="1" s="40">
      <c r="A153" s="85" t="n">
        <v>149</v>
      </c>
      <c r="B153" s="86" t="n"/>
      <c r="C153" s="87" t="n"/>
      <c r="D153" s="87" t="n"/>
      <c r="E153" s="87" t="n"/>
      <c r="F153" s="88" t="n"/>
      <c r="G153" s="87" t="n"/>
      <c r="H153" s="95" t="n"/>
      <c r="I153" s="95" t="n"/>
      <c r="J153" s="56">
        <f>IF(OR(H153="",I153=""),"—",IF(I153&lt;=H153,"🟢 في الوقت","🔴 متأخر"))</f>
        <v/>
      </c>
      <c r="K153" s="87" t="n"/>
      <c r="L153" s="88" t="n"/>
      <c r="M153" s="87" t="n"/>
    </row>
    <row r="154" ht="15" customHeight="1" s="40">
      <c r="A154" s="85" t="n">
        <v>150</v>
      </c>
      <c r="B154" s="86" t="n"/>
      <c r="C154" s="87" t="n"/>
      <c r="D154" s="87" t="n"/>
      <c r="E154" s="87" t="n"/>
      <c r="F154" s="88" t="n"/>
      <c r="G154" s="87" t="n"/>
      <c r="H154" s="95" t="n"/>
      <c r="I154" s="95" t="n"/>
      <c r="J154" s="56">
        <f>IF(OR(H154="",I154=""),"—",IF(I154&lt;=H154,"🟢 في الوقت","🔴 متأخر"))</f>
        <v/>
      </c>
      <c r="K154" s="87" t="n"/>
      <c r="L154" s="88" t="n"/>
      <c r="M154" s="87" t="n"/>
    </row>
    <row r="155" ht="15" customHeight="1" s="40">
      <c r="A155" s="85" t="n">
        <v>151</v>
      </c>
      <c r="B155" s="86" t="n"/>
      <c r="C155" s="87" t="n"/>
      <c r="D155" s="87" t="n"/>
      <c r="E155" s="87" t="n"/>
      <c r="F155" s="88" t="n"/>
      <c r="G155" s="87" t="n"/>
      <c r="H155" s="95" t="n"/>
      <c r="I155" s="95" t="n"/>
      <c r="J155" s="56">
        <f>IF(OR(H155="",I155=""),"—",IF(I155&lt;=H155,"🟢 في الوقت","🔴 متأخر"))</f>
        <v/>
      </c>
      <c r="K155" s="87" t="n"/>
      <c r="L155" s="88" t="n"/>
      <c r="M155" s="87" t="n"/>
    </row>
    <row r="156" ht="15" customHeight="1" s="40">
      <c r="A156" s="85" t="n">
        <v>152</v>
      </c>
      <c r="B156" s="86" t="n"/>
      <c r="C156" s="87" t="n"/>
      <c r="D156" s="87" t="n"/>
      <c r="E156" s="87" t="n"/>
      <c r="F156" s="88" t="n"/>
      <c r="G156" s="87" t="n"/>
      <c r="H156" s="95" t="n"/>
      <c r="I156" s="95" t="n"/>
      <c r="J156" s="56">
        <f>IF(OR(H156="",I156=""),"—",IF(I156&lt;=H156,"🟢 في الوقت","🔴 متأخر"))</f>
        <v/>
      </c>
      <c r="K156" s="87" t="n"/>
      <c r="L156" s="88" t="n"/>
      <c r="M156" s="87" t="n"/>
    </row>
    <row r="157" ht="15" customHeight="1" s="40">
      <c r="A157" s="85" t="n">
        <v>153</v>
      </c>
      <c r="B157" s="86" t="n"/>
      <c r="C157" s="87" t="n"/>
      <c r="D157" s="87" t="n"/>
      <c r="E157" s="87" t="n"/>
      <c r="F157" s="88" t="n"/>
      <c r="G157" s="87" t="n"/>
      <c r="H157" s="95" t="n"/>
      <c r="I157" s="95" t="n"/>
      <c r="J157" s="56">
        <f>IF(OR(H157="",I157=""),"—",IF(I157&lt;=H157,"🟢 في الوقت","🔴 متأخر"))</f>
        <v/>
      </c>
      <c r="K157" s="87" t="n"/>
      <c r="L157" s="88" t="n"/>
      <c r="M157" s="87" t="n"/>
    </row>
    <row r="158" ht="15" customHeight="1" s="40">
      <c r="A158" s="85" t="n">
        <v>154</v>
      </c>
      <c r="B158" s="86" t="n"/>
      <c r="C158" s="87" t="n"/>
      <c r="D158" s="87" t="n"/>
      <c r="E158" s="87" t="n"/>
      <c r="F158" s="88" t="n"/>
      <c r="G158" s="87" t="n"/>
      <c r="H158" s="95" t="n"/>
      <c r="I158" s="95" t="n"/>
      <c r="J158" s="56">
        <f>IF(OR(H158="",I158=""),"—",IF(I158&lt;=H158,"🟢 في الوقت","🔴 متأخر"))</f>
        <v/>
      </c>
      <c r="K158" s="87" t="n"/>
      <c r="L158" s="88" t="n"/>
      <c r="M158" s="87" t="n"/>
    </row>
    <row r="159" ht="15" customHeight="1" s="40">
      <c r="A159" s="85" t="n">
        <v>155</v>
      </c>
      <c r="B159" s="86" t="n"/>
      <c r="C159" s="87" t="n"/>
      <c r="D159" s="87" t="n"/>
      <c r="E159" s="87" t="n"/>
      <c r="F159" s="88" t="n"/>
      <c r="G159" s="87" t="n"/>
      <c r="H159" s="95" t="n"/>
      <c r="I159" s="95" t="n"/>
      <c r="J159" s="56">
        <f>IF(OR(H159="",I159=""),"—",IF(I159&lt;=H159,"🟢 في الوقت","🔴 متأخر"))</f>
        <v/>
      </c>
      <c r="K159" s="87" t="n"/>
      <c r="L159" s="88" t="n"/>
      <c r="M159" s="87" t="n"/>
    </row>
    <row r="160" ht="15" customHeight="1" s="40">
      <c r="A160" s="85" t="n">
        <v>156</v>
      </c>
      <c r="B160" s="86" t="n"/>
      <c r="C160" s="87" t="n"/>
      <c r="D160" s="87" t="n"/>
      <c r="E160" s="87" t="n"/>
      <c r="F160" s="88" t="n"/>
      <c r="G160" s="87" t="n"/>
      <c r="H160" s="95" t="n"/>
      <c r="I160" s="95" t="n"/>
      <c r="J160" s="56">
        <f>IF(OR(H160="",I160=""),"—",IF(I160&lt;=H160,"🟢 في الوقت","🔴 متأخر"))</f>
        <v/>
      </c>
      <c r="K160" s="87" t="n"/>
      <c r="L160" s="88" t="n"/>
      <c r="M160" s="87" t="n"/>
    </row>
    <row r="161" ht="15" customHeight="1" s="40">
      <c r="A161" s="85" t="n">
        <v>157</v>
      </c>
      <c r="B161" s="86" t="n"/>
      <c r="C161" s="87" t="n"/>
      <c r="D161" s="87" t="n"/>
      <c r="E161" s="87" t="n"/>
      <c r="F161" s="88" t="n"/>
      <c r="G161" s="87" t="n"/>
      <c r="H161" s="95" t="n"/>
      <c r="I161" s="95" t="n"/>
      <c r="J161" s="56">
        <f>IF(OR(H161="",I161=""),"—",IF(I161&lt;=H161,"🟢 في الوقت","🔴 متأخر"))</f>
        <v/>
      </c>
      <c r="K161" s="87" t="n"/>
      <c r="L161" s="88" t="n"/>
      <c r="M161" s="87" t="n"/>
    </row>
    <row r="162" ht="15" customHeight="1" s="40">
      <c r="A162" s="85" t="n">
        <v>158</v>
      </c>
      <c r="B162" s="86" t="n"/>
      <c r="C162" s="87" t="n"/>
      <c r="D162" s="87" t="n"/>
      <c r="E162" s="87" t="n"/>
      <c r="F162" s="88" t="n"/>
      <c r="G162" s="87" t="n"/>
      <c r="H162" s="95" t="n"/>
      <c r="I162" s="95" t="n"/>
      <c r="J162" s="56">
        <f>IF(OR(H162="",I162=""),"—",IF(I162&lt;=H162,"🟢 في الوقت","🔴 متأخر"))</f>
        <v/>
      </c>
      <c r="K162" s="87" t="n"/>
      <c r="L162" s="88" t="n"/>
      <c r="M162" s="87" t="n"/>
    </row>
    <row r="163" ht="15" customHeight="1" s="40">
      <c r="A163" s="85" t="n">
        <v>159</v>
      </c>
      <c r="B163" s="86" t="n"/>
      <c r="C163" s="87" t="n"/>
      <c r="D163" s="87" t="n"/>
      <c r="E163" s="87" t="n"/>
      <c r="F163" s="88" t="n"/>
      <c r="G163" s="87" t="n"/>
      <c r="H163" s="95" t="n"/>
      <c r="I163" s="95" t="n"/>
      <c r="J163" s="56">
        <f>IF(OR(H163="",I163=""),"—",IF(I163&lt;=H163,"🟢 في الوقت","🔴 متأخر"))</f>
        <v/>
      </c>
      <c r="K163" s="87" t="n"/>
      <c r="L163" s="88" t="n"/>
      <c r="M163" s="87" t="n"/>
    </row>
    <row r="164" ht="15" customHeight="1" s="40">
      <c r="A164" s="85" t="n">
        <v>160</v>
      </c>
      <c r="B164" s="86" t="n"/>
      <c r="C164" s="87" t="n"/>
      <c r="D164" s="87" t="n"/>
      <c r="E164" s="87" t="n"/>
      <c r="F164" s="88" t="n"/>
      <c r="G164" s="87" t="n"/>
      <c r="H164" s="95" t="n"/>
      <c r="I164" s="95" t="n"/>
      <c r="J164" s="56">
        <f>IF(OR(H164="",I164=""),"—",IF(I164&lt;=H164,"🟢 في الوقت","🔴 متأخر"))</f>
        <v/>
      </c>
      <c r="K164" s="87" t="n"/>
      <c r="L164" s="88" t="n"/>
      <c r="M164" s="87" t="n"/>
    </row>
    <row r="165" ht="15" customHeight="1" s="40">
      <c r="A165" s="85" t="n">
        <v>161</v>
      </c>
      <c r="B165" s="86" t="n"/>
      <c r="C165" s="87" t="n"/>
      <c r="D165" s="87" t="n"/>
      <c r="E165" s="87" t="n"/>
      <c r="F165" s="88" t="n"/>
      <c r="G165" s="87" t="n"/>
      <c r="H165" s="95" t="n"/>
      <c r="I165" s="95" t="n"/>
      <c r="J165" s="56">
        <f>IF(OR(H165="",I165=""),"—",IF(I165&lt;=H165,"🟢 في الوقت","🔴 متأخر"))</f>
        <v/>
      </c>
      <c r="K165" s="87" t="n"/>
      <c r="L165" s="88" t="n"/>
      <c r="M165" s="87" t="n"/>
    </row>
    <row r="166" ht="15" customHeight="1" s="40">
      <c r="A166" s="85" t="n">
        <v>162</v>
      </c>
      <c r="B166" s="86" t="n"/>
      <c r="C166" s="87" t="n"/>
      <c r="D166" s="87" t="n"/>
      <c r="E166" s="87" t="n"/>
      <c r="F166" s="88" t="n"/>
      <c r="G166" s="87" t="n"/>
      <c r="H166" s="95" t="n"/>
      <c r="I166" s="95" t="n"/>
      <c r="J166" s="56">
        <f>IF(OR(H166="",I166=""),"—",IF(I166&lt;=H166,"🟢 في الوقت","🔴 متأخر"))</f>
        <v/>
      </c>
      <c r="K166" s="87" t="n"/>
      <c r="L166" s="88" t="n"/>
      <c r="M166" s="87" t="n"/>
    </row>
    <row r="167" ht="15" customHeight="1" s="40">
      <c r="A167" s="85" t="n">
        <v>163</v>
      </c>
      <c r="B167" s="86" t="n"/>
      <c r="C167" s="87" t="n"/>
      <c r="D167" s="87" t="n"/>
      <c r="E167" s="87" t="n"/>
      <c r="F167" s="88" t="n"/>
      <c r="G167" s="87" t="n"/>
      <c r="H167" s="95" t="n"/>
      <c r="I167" s="95" t="n"/>
      <c r="J167" s="56">
        <f>IF(OR(H167="",I167=""),"—",IF(I167&lt;=H167,"🟢 في الوقت","🔴 متأخر"))</f>
        <v/>
      </c>
      <c r="K167" s="87" t="n"/>
      <c r="L167" s="88" t="n"/>
      <c r="M167" s="87" t="n"/>
    </row>
    <row r="168" ht="15" customHeight="1" s="40">
      <c r="A168" s="85" t="n">
        <v>164</v>
      </c>
      <c r="B168" s="86" t="n"/>
      <c r="C168" s="87" t="n"/>
      <c r="D168" s="87" t="n"/>
      <c r="E168" s="87" t="n"/>
      <c r="F168" s="88" t="n"/>
      <c r="G168" s="87" t="n"/>
      <c r="H168" s="95" t="n"/>
      <c r="I168" s="95" t="n"/>
      <c r="J168" s="56">
        <f>IF(OR(H168="",I168=""),"—",IF(I168&lt;=H168,"🟢 في الوقت","🔴 متأخر"))</f>
        <v/>
      </c>
      <c r="K168" s="87" t="n"/>
      <c r="L168" s="88" t="n"/>
      <c r="M168" s="87" t="n"/>
    </row>
    <row r="169" ht="15" customHeight="1" s="40">
      <c r="A169" s="85" t="n">
        <v>165</v>
      </c>
      <c r="B169" s="86" t="n"/>
      <c r="C169" s="87" t="n"/>
      <c r="D169" s="87" t="n"/>
      <c r="E169" s="87" t="n"/>
      <c r="F169" s="88" t="n"/>
      <c r="G169" s="87" t="n"/>
      <c r="H169" s="95" t="n"/>
      <c r="I169" s="95" t="n"/>
      <c r="J169" s="56">
        <f>IF(OR(H169="",I169=""),"—",IF(I169&lt;=H169,"🟢 في الوقت","🔴 متأخر"))</f>
        <v/>
      </c>
      <c r="K169" s="87" t="n"/>
      <c r="L169" s="88" t="n"/>
      <c r="M169" s="87" t="n"/>
    </row>
    <row r="170" ht="15" customHeight="1" s="40">
      <c r="A170" s="85" t="n">
        <v>166</v>
      </c>
      <c r="B170" s="86" t="n"/>
      <c r="C170" s="87" t="n"/>
      <c r="D170" s="87" t="n"/>
      <c r="E170" s="87" t="n"/>
      <c r="F170" s="88" t="n"/>
      <c r="G170" s="87" t="n"/>
      <c r="H170" s="95" t="n"/>
      <c r="I170" s="95" t="n"/>
      <c r="J170" s="56">
        <f>IF(OR(H170="",I170=""),"—",IF(I170&lt;=H170,"🟢 في الوقت","🔴 متأخر"))</f>
        <v/>
      </c>
      <c r="K170" s="87" t="n"/>
      <c r="L170" s="88" t="n"/>
      <c r="M170" s="87" t="n"/>
    </row>
    <row r="171" ht="15" customHeight="1" s="40">
      <c r="A171" s="85" t="n">
        <v>167</v>
      </c>
      <c r="B171" s="86" t="n"/>
      <c r="C171" s="87" t="n"/>
      <c r="D171" s="87" t="n"/>
      <c r="E171" s="87" t="n"/>
      <c r="F171" s="88" t="n"/>
      <c r="G171" s="87" t="n"/>
      <c r="H171" s="95" t="n"/>
      <c r="I171" s="95" t="n"/>
      <c r="J171" s="56">
        <f>IF(OR(H171="",I171=""),"—",IF(I171&lt;=H171,"🟢 في الوقت","🔴 متأخر"))</f>
        <v/>
      </c>
      <c r="K171" s="87" t="n"/>
      <c r="L171" s="88" t="n"/>
      <c r="M171" s="87" t="n"/>
    </row>
    <row r="172" ht="15" customHeight="1" s="40">
      <c r="A172" s="85" t="n">
        <v>168</v>
      </c>
      <c r="B172" s="86" t="n"/>
      <c r="C172" s="87" t="n"/>
      <c r="D172" s="87" t="n"/>
      <c r="E172" s="87" t="n"/>
      <c r="F172" s="88" t="n"/>
      <c r="G172" s="87" t="n"/>
      <c r="H172" s="95" t="n"/>
      <c r="I172" s="95" t="n"/>
      <c r="J172" s="56">
        <f>IF(OR(H172="",I172=""),"—",IF(I172&lt;=H172,"🟢 في الوقت","🔴 متأخر"))</f>
        <v/>
      </c>
      <c r="K172" s="87" t="n"/>
      <c r="L172" s="88" t="n"/>
      <c r="M172" s="87" t="n"/>
    </row>
    <row r="173" ht="15" customHeight="1" s="40">
      <c r="A173" s="85" t="n">
        <v>169</v>
      </c>
      <c r="B173" s="86" t="n"/>
      <c r="C173" s="87" t="n"/>
      <c r="D173" s="87" t="n"/>
      <c r="E173" s="87" t="n"/>
      <c r="F173" s="88" t="n"/>
      <c r="G173" s="87" t="n"/>
      <c r="H173" s="95" t="n"/>
      <c r="I173" s="95" t="n"/>
      <c r="J173" s="56">
        <f>IF(OR(H173="",I173=""),"—",IF(I173&lt;=H173,"🟢 في الوقت","🔴 متأخر"))</f>
        <v/>
      </c>
      <c r="K173" s="87" t="n"/>
      <c r="L173" s="88" t="n"/>
      <c r="M173" s="87" t="n"/>
    </row>
    <row r="174" ht="15" customHeight="1" s="40">
      <c r="A174" s="85" t="n">
        <v>170</v>
      </c>
      <c r="B174" s="86" t="n"/>
      <c r="C174" s="87" t="n"/>
      <c r="D174" s="87" t="n"/>
      <c r="E174" s="87" t="n"/>
      <c r="F174" s="88" t="n"/>
      <c r="G174" s="87" t="n"/>
      <c r="H174" s="95" t="n"/>
      <c r="I174" s="95" t="n"/>
      <c r="J174" s="56">
        <f>IF(OR(H174="",I174=""),"—",IF(I174&lt;=H174,"🟢 في الوقت","🔴 متأخر"))</f>
        <v/>
      </c>
      <c r="K174" s="87" t="n"/>
      <c r="L174" s="88" t="n"/>
      <c r="M174" s="87" t="n"/>
    </row>
    <row r="175" ht="15" customHeight="1" s="40">
      <c r="A175" s="85" t="n">
        <v>171</v>
      </c>
      <c r="B175" s="86" t="n"/>
      <c r="C175" s="87" t="n"/>
      <c r="D175" s="87" t="n"/>
      <c r="E175" s="87" t="n"/>
      <c r="F175" s="88" t="n"/>
      <c r="G175" s="87" t="n"/>
      <c r="H175" s="95" t="n"/>
      <c r="I175" s="95" t="n"/>
      <c r="J175" s="56">
        <f>IF(OR(H175="",I175=""),"—",IF(I175&lt;=H175,"🟢 في الوقت","🔴 متأخر"))</f>
        <v/>
      </c>
      <c r="K175" s="87" t="n"/>
      <c r="L175" s="88" t="n"/>
      <c r="M175" s="87" t="n"/>
    </row>
    <row r="176" ht="15" customHeight="1" s="40">
      <c r="A176" s="85" t="n">
        <v>172</v>
      </c>
      <c r="B176" s="86" t="n"/>
      <c r="C176" s="87" t="n"/>
      <c r="D176" s="87" t="n"/>
      <c r="E176" s="87" t="n"/>
      <c r="F176" s="88" t="n"/>
      <c r="G176" s="87" t="n"/>
      <c r="H176" s="95" t="n"/>
      <c r="I176" s="95" t="n"/>
      <c r="J176" s="56">
        <f>IF(OR(H176="",I176=""),"—",IF(I176&lt;=H176,"🟢 في الوقت","🔴 متأخر"))</f>
        <v/>
      </c>
      <c r="K176" s="87" t="n"/>
      <c r="L176" s="88" t="n"/>
      <c r="M176" s="87" t="n"/>
    </row>
    <row r="177" ht="15" customHeight="1" s="40">
      <c r="A177" s="85" t="n">
        <v>173</v>
      </c>
      <c r="B177" s="86" t="n"/>
      <c r="C177" s="87" t="n"/>
      <c r="D177" s="87" t="n"/>
      <c r="E177" s="87" t="n"/>
      <c r="F177" s="88" t="n"/>
      <c r="G177" s="87" t="n"/>
      <c r="H177" s="95" t="n"/>
      <c r="I177" s="95" t="n"/>
      <c r="J177" s="56">
        <f>IF(OR(H177="",I177=""),"—",IF(I177&lt;=H177,"🟢 في الوقت","🔴 متأخر"))</f>
        <v/>
      </c>
      <c r="K177" s="87" t="n"/>
      <c r="L177" s="88" t="n"/>
      <c r="M177" s="87" t="n"/>
    </row>
    <row r="178" ht="15" customHeight="1" s="40">
      <c r="A178" s="85" t="n">
        <v>174</v>
      </c>
      <c r="B178" s="86" t="n"/>
      <c r="C178" s="87" t="n"/>
      <c r="D178" s="87" t="n"/>
      <c r="E178" s="87" t="n"/>
      <c r="F178" s="88" t="n"/>
      <c r="G178" s="87" t="n"/>
      <c r="H178" s="95" t="n"/>
      <c r="I178" s="95" t="n"/>
      <c r="J178" s="56">
        <f>IF(OR(H178="",I178=""),"—",IF(I178&lt;=H178,"🟢 في الوقت","🔴 متأخر"))</f>
        <v/>
      </c>
      <c r="K178" s="87" t="n"/>
      <c r="L178" s="88" t="n"/>
      <c r="M178" s="87" t="n"/>
    </row>
    <row r="179" ht="15" customHeight="1" s="40">
      <c r="A179" s="85" t="n">
        <v>175</v>
      </c>
      <c r="B179" s="86" t="n"/>
      <c r="C179" s="87" t="n"/>
      <c r="D179" s="87" t="n"/>
      <c r="E179" s="87" t="n"/>
      <c r="F179" s="88" t="n"/>
      <c r="G179" s="87" t="n"/>
      <c r="H179" s="95" t="n"/>
      <c r="I179" s="95" t="n"/>
      <c r="J179" s="56">
        <f>IF(OR(H179="",I179=""),"—",IF(I179&lt;=H179,"🟢 في الوقت","🔴 متأخر"))</f>
        <v/>
      </c>
      <c r="K179" s="87" t="n"/>
      <c r="L179" s="88" t="n"/>
      <c r="M179" s="87" t="n"/>
    </row>
    <row r="180" ht="15" customHeight="1" s="40">
      <c r="A180" s="85" t="n">
        <v>176</v>
      </c>
      <c r="B180" s="86" t="n"/>
      <c r="C180" s="87" t="n"/>
      <c r="D180" s="87" t="n"/>
      <c r="E180" s="87" t="n"/>
      <c r="F180" s="88" t="n"/>
      <c r="G180" s="87" t="n"/>
      <c r="H180" s="95" t="n"/>
      <c r="I180" s="95" t="n"/>
      <c r="J180" s="56">
        <f>IF(OR(H180="",I180=""),"—",IF(I180&lt;=H180,"🟢 في الوقت","🔴 متأخر"))</f>
        <v/>
      </c>
      <c r="K180" s="87" t="n"/>
      <c r="L180" s="88" t="n"/>
      <c r="M180" s="87" t="n"/>
    </row>
    <row r="181" ht="15" customHeight="1" s="40">
      <c r="A181" s="85" t="n">
        <v>177</v>
      </c>
      <c r="B181" s="86" t="n"/>
      <c r="C181" s="87" t="n"/>
      <c r="D181" s="87" t="n"/>
      <c r="E181" s="87" t="n"/>
      <c r="F181" s="88" t="n"/>
      <c r="G181" s="87" t="n"/>
      <c r="H181" s="95" t="n"/>
      <c r="I181" s="95" t="n"/>
      <c r="J181" s="56">
        <f>IF(OR(H181="",I181=""),"—",IF(I181&lt;=H181,"🟢 في الوقت","🔴 متأخر"))</f>
        <v/>
      </c>
      <c r="K181" s="87" t="n"/>
      <c r="L181" s="88" t="n"/>
      <c r="M181" s="87" t="n"/>
    </row>
    <row r="182" ht="15" customHeight="1" s="40">
      <c r="A182" s="85" t="n">
        <v>178</v>
      </c>
      <c r="B182" s="86" t="n"/>
      <c r="C182" s="87" t="n"/>
      <c r="D182" s="87" t="n"/>
      <c r="E182" s="87" t="n"/>
      <c r="F182" s="88" t="n"/>
      <c r="G182" s="87" t="n"/>
      <c r="H182" s="95" t="n"/>
      <c r="I182" s="95" t="n"/>
      <c r="J182" s="56">
        <f>IF(OR(H182="",I182=""),"—",IF(I182&lt;=H182,"🟢 في الوقت","🔴 متأخر"))</f>
        <v/>
      </c>
      <c r="K182" s="87" t="n"/>
      <c r="L182" s="88" t="n"/>
      <c r="M182" s="87" t="n"/>
    </row>
    <row r="183" ht="15" customHeight="1" s="40">
      <c r="A183" s="85" t="n">
        <v>179</v>
      </c>
      <c r="B183" s="86" t="n"/>
      <c r="C183" s="87" t="n"/>
      <c r="D183" s="87" t="n"/>
      <c r="E183" s="87" t="n"/>
      <c r="F183" s="88" t="n"/>
      <c r="G183" s="87" t="n"/>
      <c r="H183" s="95" t="n"/>
      <c r="I183" s="95" t="n"/>
      <c r="J183" s="56">
        <f>IF(OR(H183="",I183=""),"—",IF(I183&lt;=H183,"🟢 في الوقت","🔴 متأخر"))</f>
        <v/>
      </c>
      <c r="K183" s="87" t="n"/>
      <c r="L183" s="88" t="n"/>
      <c r="M183" s="87" t="n"/>
    </row>
    <row r="184" ht="15" customHeight="1" s="40">
      <c r="A184" s="85" t="n">
        <v>180</v>
      </c>
      <c r="B184" s="86" t="n"/>
      <c r="C184" s="87" t="n"/>
      <c r="D184" s="87" t="n"/>
      <c r="E184" s="87" t="n"/>
      <c r="F184" s="88" t="n"/>
      <c r="G184" s="87" t="n"/>
      <c r="H184" s="95" t="n"/>
      <c r="I184" s="95" t="n"/>
      <c r="J184" s="56">
        <f>IF(OR(H184="",I184=""),"—",IF(I184&lt;=H184,"🟢 في الوقت","🔴 متأخر"))</f>
        <v/>
      </c>
      <c r="K184" s="87" t="n"/>
      <c r="L184" s="88" t="n"/>
      <c r="M184" s="87" t="n"/>
    </row>
    <row r="185" ht="15" customHeight="1" s="40">
      <c r="A185" s="85" t="n">
        <v>181</v>
      </c>
      <c r="B185" s="86" t="n"/>
      <c r="C185" s="87" t="n"/>
      <c r="D185" s="87" t="n"/>
      <c r="E185" s="87" t="n"/>
      <c r="F185" s="88" t="n"/>
      <c r="G185" s="87" t="n"/>
      <c r="H185" s="95" t="n"/>
      <c r="I185" s="95" t="n"/>
      <c r="J185" s="56">
        <f>IF(OR(H185="",I185=""),"—",IF(I185&lt;=H185,"🟢 في الوقت","🔴 متأخر"))</f>
        <v/>
      </c>
      <c r="K185" s="87" t="n"/>
      <c r="L185" s="88" t="n"/>
      <c r="M185" s="87" t="n"/>
    </row>
    <row r="186" ht="15" customHeight="1" s="40">
      <c r="A186" s="85" t="n">
        <v>182</v>
      </c>
      <c r="B186" s="86" t="n"/>
      <c r="C186" s="87" t="n"/>
      <c r="D186" s="87" t="n"/>
      <c r="E186" s="87" t="n"/>
      <c r="F186" s="88" t="n"/>
      <c r="G186" s="87" t="n"/>
      <c r="H186" s="95" t="n"/>
      <c r="I186" s="95" t="n"/>
      <c r="J186" s="56">
        <f>IF(OR(H186="",I186=""),"—",IF(I186&lt;=H186,"🟢 في الوقت","🔴 متأخر"))</f>
        <v/>
      </c>
      <c r="K186" s="87" t="n"/>
      <c r="L186" s="88" t="n"/>
      <c r="M186" s="87" t="n"/>
    </row>
    <row r="187" ht="15" customHeight="1" s="40">
      <c r="A187" s="85" t="n">
        <v>183</v>
      </c>
      <c r="B187" s="86" t="n"/>
      <c r="C187" s="87" t="n"/>
      <c r="D187" s="87" t="n"/>
      <c r="E187" s="87" t="n"/>
      <c r="F187" s="88" t="n"/>
      <c r="G187" s="87" t="n"/>
      <c r="H187" s="95" t="n"/>
      <c r="I187" s="95" t="n"/>
      <c r="J187" s="56">
        <f>IF(OR(H187="",I187=""),"—",IF(I187&lt;=H187,"🟢 في الوقت","🔴 متأخر"))</f>
        <v/>
      </c>
      <c r="K187" s="87" t="n"/>
      <c r="L187" s="88" t="n"/>
      <c r="M187" s="87" t="n"/>
    </row>
    <row r="188" ht="15" customHeight="1" s="40">
      <c r="A188" s="85" t="n">
        <v>184</v>
      </c>
      <c r="B188" s="86" t="n"/>
      <c r="C188" s="87" t="n"/>
      <c r="D188" s="87" t="n"/>
      <c r="E188" s="87" t="n"/>
      <c r="F188" s="88" t="n"/>
      <c r="G188" s="87" t="n"/>
      <c r="H188" s="95" t="n"/>
      <c r="I188" s="95" t="n"/>
      <c r="J188" s="56">
        <f>IF(OR(H188="",I188=""),"—",IF(I188&lt;=H188,"🟢 في الوقت","🔴 متأخر"))</f>
        <v/>
      </c>
      <c r="K188" s="87" t="n"/>
      <c r="L188" s="88" t="n"/>
      <c r="M188" s="87" t="n"/>
    </row>
    <row r="189" ht="15" customHeight="1" s="40">
      <c r="A189" s="85" t="n">
        <v>185</v>
      </c>
      <c r="B189" s="86" t="n"/>
      <c r="C189" s="87" t="n"/>
      <c r="D189" s="87" t="n"/>
      <c r="E189" s="87" t="n"/>
      <c r="F189" s="88" t="n"/>
      <c r="G189" s="87" t="n"/>
      <c r="H189" s="95" t="n"/>
      <c r="I189" s="95" t="n"/>
      <c r="J189" s="56">
        <f>IF(OR(H189="",I189=""),"—",IF(I189&lt;=H189,"🟢 في الوقت","🔴 متأخر"))</f>
        <v/>
      </c>
      <c r="K189" s="87" t="n"/>
      <c r="L189" s="88" t="n"/>
      <c r="M189" s="87" t="n"/>
    </row>
    <row r="190" ht="15" customHeight="1" s="40">
      <c r="A190" s="85" t="n">
        <v>186</v>
      </c>
      <c r="B190" s="86" t="n"/>
      <c r="C190" s="87" t="n"/>
      <c r="D190" s="87" t="n"/>
      <c r="E190" s="87" t="n"/>
      <c r="F190" s="88" t="n"/>
      <c r="G190" s="87" t="n"/>
      <c r="H190" s="95" t="n"/>
      <c r="I190" s="95" t="n"/>
      <c r="J190" s="56">
        <f>IF(OR(H190="",I190=""),"—",IF(I190&lt;=H190,"🟢 في الوقت","🔴 متأخر"))</f>
        <v/>
      </c>
      <c r="K190" s="87" t="n"/>
      <c r="L190" s="88" t="n"/>
      <c r="M190" s="87" t="n"/>
    </row>
    <row r="191" ht="15" customHeight="1" s="40">
      <c r="A191" s="85" t="n">
        <v>187</v>
      </c>
      <c r="B191" s="86" t="n"/>
      <c r="C191" s="87" t="n"/>
      <c r="D191" s="87" t="n"/>
      <c r="E191" s="87" t="n"/>
      <c r="F191" s="88" t="n"/>
      <c r="G191" s="87" t="n"/>
      <c r="H191" s="95" t="n"/>
      <c r="I191" s="95" t="n"/>
      <c r="J191" s="56">
        <f>IF(OR(H191="",I191=""),"—",IF(I191&lt;=H191,"🟢 في الوقت","🔴 متأخر"))</f>
        <v/>
      </c>
      <c r="K191" s="87" t="n"/>
      <c r="L191" s="88" t="n"/>
      <c r="M191" s="87" t="n"/>
    </row>
    <row r="192" ht="15" customHeight="1" s="40">
      <c r="A192" s="85" t="n">
        <v>188</v>
      </c>
      <c r="B192" s="86" t="n"/>
      <c r="C192" s="87" t="n"/>
      <c r="D192" s="87" t="n"/>
      <c r="E192" s="87" t="n"/>
      <c r="F192" s="88" t="n"/>
      <c r="G192" s="87" t="n"/>
      <c r="H192" s="95" t="n"/>
      <c r="I192" s="95" t="n"/>
      <c r="J192" s="56">
        <f>IF(OR(H192="",I192=""),"—",IF(I192&lt;=H192,"🟢 في الوقت","🔴 متأخر"))</f>
        <v/>
      </c>
      <c r="K192" s="87" t="n"/>
      <c r="L192" s="88" t="n"/>
      <c r="M192" s="87" t="n"/>
    </row>
    <row r="193" ht="15" customHeight="1" s="40">
      <c r="A193" s="85" t="n">
        <v>189</v>
      </c>
      <c r="B193" s="86" t="n"/>
      <c r="C193" s="87" t="n"/>
      <c r="D193" s="87" t="n"/>
      <c r="E193" s="87" t="n"/>
      <c r="F193" s="88" t="n"/>
      <c r="G193" s="87" t="n"/>
      <c r="H193" s="95" t="n"/>
      <c r="I193" s="95" t="n"/>
      <c r="J193" s="56">
        <f>IF(OR(H193="",I193=""),"—",IF(I193&lt;=H193,"🟢 في الوقت","🔴 متأخر"))</f>
        <v/>
      </c>
      <c r="K193" s="87" t="n"/>
      <c r="L193" s="88" t="n"/>
      <c r="M193" s="87" t="n"/>
    </row>
    <row r="194" ht="15" customHeight="1" s="40">
      <c r="A194" s="85" t="n">
        <v>190</v>
      </c>
      <c r="B194" s="86" t="n"/>
      <c r="C194" s="87" t="n"/>
      <c r="D194" s="87" t="n"/>
      <c r="E194" s="87" t="n"/>
      <c r="F194" s="88" t="n"/>
      <c r="G194" s="87" t="n"/>
      <c r="H194" s="95" t="n"/>
      <c r="I194" s="95" t="n"/>
      <c r="J194" s="56">
        <f>IF(OR(H194="",I194=""),"—",IF(I194&lt;=H194,"🟢 في الوقت","🔴 متأخر"))</f>
        <v/>
      </c>
      <c r="K194" s="87" t="n"/>
      <c r="L194" s="88" t="n"/>
      <c r="M194" s="87" t="n"/>
    </row>
    <row r="195" ht="15" customHeight="1" s="40">
      <c r="A195" s="85" t="n">
        <v>191</v>
      </c>
      <c r="B195" s="86" t="n"/>
      <c r="C195" s="87" t="n"/>
      <c r="D195" s="87" t="n"/>
      <c r="E195" s="87" t="n"/>
      <c r="F195" s="88" t="n"/>
      <c r="G195" s="87" t="n"/>
      <c r="H195" s="95" t="n"/>
      <c r="I195" s="95" t="n"/>
      <c r="J195" s="56">
        <f>IF(OR(H195="",I195=""),"—",IF(I195&lt;=H195,"🟢 في الوقت","🔴 متأخر"))</f>
        <v/>
      </c>
      <c r="K195" s="87" t="n"/>
      <c r="L195" s="88" t="n"/>
      <c r="M195" s="87" t="n"/>
    </row>
    <row r="196" ht="15" customHeight="1" s="40">
      <c r="A196" s="85" t="n">
        <v>192</v>
      </c>
      <c r="B196" s="86" t="n"/>
      <c r="C196" s="87" t="n"/>
      <c r="D196" s="87" t="n"/>
      <c r="E196" s="87" t="n"/>
      <c r="F196" s="88" t="n"/>
      <c r="G196" s="87" t="n"/>
      <c r="H196" s="95" t="n"/>
      <c r="I196" s="95" t="n"/>
      <c r="J196" s="56">
        <f>IF(OR(H196="",I196=""),"—",IF(I196&lt;=H196,"🟢 في الوقت","🔴 متأخر"))</f>
        <v/>
      </c>
      <c r="K196" s="87" t="n"/>
      <c r="L196" s="88" t="n"/>
      <c r="M196" s="87" t="n"/>
    </row>
    <row r="197" ht="15" customHeight="1" s="40">
      <c r="A197" s="85" t="n">
        <v>193</v>
      </c>
      <c r="B197" s="86" t="n"/>
      <c r="C197" s="87" t="n"/>
      <c r="D197" s="87" t="n"/>
      <c r="E197" s="87" t="n"/>
      <c r="F197" s="88" t="n"/>
      <c r="G197" s="87" t="n"/>
      <c r="H197" s="95" t="n"/>
      <c r="I197" s="95" t="n"/>
      <c r="J197" s="56">
        <f>IF(OR(H197="",I197=""),"—",IF(I197&lt;=H197,"🟢 في الوقت","🔴 متأخر"))</f>
        <v/>
      </c>
      <c r="K197" s="87" t="n"/>
      <c r="L197" s="88" t="n"/>
      <c r="M197" s="87" t="n"/>
    </row>
    <row r="198" ht="15" customHeight="1" s="40">
      <c r="A198" s="85" t="n">
        <v>194</v>
      </c>
      <c r="B198" s="86" t="n"/>
      <c r="C198" s="87" t="n"/>
      <c r="D198" s="87" t="n"/>
      <c r="E198" s="87" t="n"/>
      <c r="F198" s="88" t="n"/>
      <c r="G198" s="87" t="n"/>
      <c r="H198" s="95" t="n"/>
      <c r="I198" s="95" t="n"/>
      <c r="J198" s="56">
        <f>IF(OR(H198="",I198=""),"—",IF(I198&lt;=H198,"🟢 في الوقت","🔴 متأخر"))</f>
        <v/>
      </c>
      <c r="K198" s="87" t="n"/>
      <c r="L198" s="88" t="n"/>
      <c r="M198" s="87" t="n"/>
    </row>
    <row r="199" ht="15" customHeight="1" s="40">
      <c r="A199" s="85" t="n">
        <v>195</v>
      </c>
      <c r="B199" s="86" t="n"/>
      <c r="C199" s="87" t="n"/>
      <c r="D199" s="87" t="n"/>
      <c r="E199" s="87" t="n"/>
      <c r="F199" s="88" t="n"/>
      <c r="G199" s="87" t="n"/>
      <c r="H199" s="95" t="n"/>
      <c r="I199" s="95" t="n"/>
      <c r="J199" s="56">
        <f>IF(OR(H199="",I199=""),"—",IF(I199&lt;=H199,"🟢 في الوقت","🔴 متأخر"))</f>
        <v/>
      </c>
      <c r="K199" s="87" t="n"/>
      <c r="L199" s="88" t="n"/>
      <c r="M199" s="87" t="n"/>
    </row>
    <row r="200" ht="15" customHeight="1" s="40">
      <c r="A200" s="85" t="n">
        <v>196</v>
      </c>
      <c r="B200" s="86" t="n"/>
      <c r="C200" s="87" t="n"/>
      <c r="D200" s="87" t="n"/>
      <c r="E200" s="87" t="n"/>
      <c r="F200" s="88" t="n"/>
      <c r="G200" s="87" t="n"/>
      <c r="H200" s="95" t="n"/>
      <c r="I200" s="95" t="n"/>
      <c r="J200" s="56">
        <f>IF(OR(H200="",I200=""),"—",IF(I200&lt;=H200,"🟢 في الوقت","🔴 متأخر"))</f>
        <v/>
      </c>
      <c r="K200" s="87" t="n"/>
      <c r="L200" s="88" t="n"/>
      <c r="M200" s="87" t="n"/>
    </row>
    <row r="201" ht="15" customHeight="1" s="40">
      <c r="A201" s="85" t="n">
        <v>197</v>
      </c>
      <c r="B201" s="86" t="n"/>
      <c r="C201" s="87" t="n"/>
      <c r="D201" s="87" t="n"/>
      <c r="E201" s="87" t="n"/>
      <c r="F201" s="88" t="n"/>
      <c r="G201" s="87" t="n"/>
      <c r="H201" s="95" t="n"/>
      <c r="I201" s="95" t="n"/>
      <c r="J201" s="56">
        <f>IF(OR(H201="",I201=""),"—",IF(I201&lt;=H201,"🟢 في الوقت","🔴 متأخر"))</f>
        <v/>
      </c>
      <c r="K201" s="87" t="n"/>
      <c r="L201" s="88" t="n"/>
      <c r="M201" s="87" t="n"/>
    </row>
    <row r="202" ht="15" customHeight="1" s="40">
      <c r="A202" s="85" t="n">
        <v>198</v>
      </c>
      <c r="B202" s="86" t="n"/>
      <c r="C202" s="87" t="n"/>
      <c r="D202" s="87" t="n"/>
      <c r="E202" s="87" t="n"/>
      <c r="F202" s="88" t="n"/>
      <c r="G202" s="87" t="n"/>
      <c r="H202" s="95" t="n"/>
      <c r="I202" s="95" t="n"/>
      <c r="J202" s="56">
        <f>IF(OR(H202="",I202=""),"—",IF(I202&lt;=H202,"🟢 في الوقت","🔴 متأخر"))</f>
        <v/>
      </c>
      <c r="K202" s="87" t="n"/>
      <c r="L202" s="88" t="n"/>
      <c r="M202" s="87" t="n"/>
    </row>
    <row r="203" ht="15" customHeight="1" s="40">
      <c r="A203" s="85" t="n">
        <v>199</v>
      </c>
      <c r="B203" s="86" t="n"/>
      <c r="C203" s="87" t="n"/>
      <c r="D203" s="87" t="n"/>
      <c r="E203" s="87" t="n"/>
      <c r="F203" s="88" t="n"/>
      <c r="G203" s="87" t="n"/>
      <c r="H203" s="95" t="n"/>
      <c r="I203" s="95" t="n"/>
      <c r="J203" s="56">
        <f>IF(OR(H203="",I203=""),"—",IF(I203&lt;=H203,"🟢 في الوقت","🔴 متأخر"))</f>
        <v/>
      </c>
      <c r="K203" s="87" t="n"/>
      <c r="L203" s="88" t="n"/>
      <c r="M203" s="87" t="n"/>
    </row>
    <row r="204" ht="15" customHeight="1" s="40">
      <c r="A204" s="85" t="n">
        <v>200</v>
      </c>
      <c r="B204" s="86" t="n"/>
      <c r="C204" s="87" t="n"/>
      <c r="D204" s="87" t="n"/>
      <c r="E204" s="87" t="n"/>
      <c r="F204" s="88" t="n"/>
      <c r="G204" s="87" t="n"/>
      <c r="H204" s="95" t="n"/>
      <c r="I204" s="95" t="n"/>
      <c r="J204" s="56">
        <f>IF(OR(H204="",I204=""),"—",IF(I204&lt;=H204,"🟢 في الوقت","🔴 متأخر"))</f>
        <v/>
      </c>
      <c r="K204" s="87" t="n"/>
      <c r="L204" s="88" t="n"/>
      <c r="M204" s="87" t="n"/>
    </row>
    <row r="205" ht="15" customHeight="1" s="40">
      <c r="A205" s="85" t="n">
        <v>201</v>
      </c>
      <c r="B205" s="86" t="n"/>
      <c r="C205" s="87" t="n"/>
      <c r="D205" s="87" t="n"/>
      <c r="E205" s="87" t="n"/>
      <c r="F205" s="88" t="n"/>
      <c r="G205" s="87" t="n"/>
      <c r="H205" s="95" t="n"/>
      <c r="I205" s="95" t="n"/>
      <c r="J205" s="56">
        <f>IF(OR(H205="",I205=""),"—",IF(I205&lt;=H205,"🟢 في الوقت","🔴 متأخر"))</f>
        <v/>
      </c>
      <c r="K205" s="87" t="n"/>
      <c r="L205" s="88" t="n"/>
      <c r="M205" s="87" t="n"/>
    </row>
    <row r="206" ht="15" customHeight="1" s="40">
      <c r="A206" s="85" t="n">
        <v>202</v>
      </c>
      <c r="B206" s="86" t="n"/>
      <c r="C206" s="87" t="n"/>
      <c r="D206" s="87" t="n"/>
      <c r="E206" s="87" t="n"/>
      <c r="F206" s="88" t="n"/>
      <c r="G206" s="87" t="n"/>
      <c r="H206" s="95" t="n"/>
      <c r="I206" s="95" t="n"/>
      <c r="J206" s="56">
        <f>IF(OR(H206="",I206=""),"—",IF(I206&lt;=H206,"🟢 في الوقت","🔴 متأخر"))</f>
        <v/>
      </c>
      <c r="K206" s="87" t="n"/>
      <c r="L206" s="88" t="n"/>
      <c r="M206" s="87" t="n"/>
    </row>
    <row r="207" ht="15" customHeight="1" s="40">
      <c r="A207" s="85" t="n">
        <v>203</v>
      </c>
      <c r="B207" s="86" t="n"/>
      <c r="C207" s="87" t="n"/>
      <c r="D207" s="87" t="n"/>
      <c r="E207" s="87" t="n"/>
      <c r="F207" s="88" t="n"/>
      <c r="G207" s="87" t="n"/>
      <c r="H207" s="95" t="n"/>
      <c r="I207" s="95" t="n"/>
      <c r="J207" s="56">
        <f>IF(OR(H207="",I207=""),"—",IF(I207&lt;=H207,"🟢 في الوقت","🔴 متأخر"))</f>
        <v/>
      </c>
      <c r="K207" s="87" t="n"/>
      <c r="L207" s="88" t="n"/>
      <c r="M207" s="87" t="n"/>
    </row>
    <row r="208" ht="15" customHeight="1" s="40">
      <c r="A208" s="85" t="n">
        <v>204</v>
      </c>
      <c r="B208" s="86" t="n"/>
      <c r="C208" s="87" t="n"/>
      <c r="D208" s="87" t="n"/>
      <c r="E208" s="87" t="n"/>
      <c r="F208" s="88" t="n"/>
      <c r="G208" s="87" t="n"/>
      <c r="H208" s="95" t="n"/>
      <c r="I208" s="95" t="n"/>
      <c r="J208" s="56">
        <f>IF(OR(H208="",I208=""),"—",IF(I208&lt;=H208,"🟢 في الوقت","🔴 متأخر"))</f>
        <v/>
      </c>
      <c r="K208" s="87" t="n"/>
      <c r="L208" s="88" t="n"/>
      <c r="M208" s="87" t="n"/>
    </row>
    <row r="209" ht="15" customHeight="1" s="40">
      <c r="A209" s="85" t="n">
        <v>205</v>
      </c>
      <c r="B209" s="86" t="n"/>
      <c r="C209" s="87" t="n"/>
      <c r="D209" s="87" t="n"/>
      <c r="E209" s="87" t="n"/>
      <c r="F209" s="88" t="n"/>
      <c r="G209" s="87" t="n"/>
      <c r="H209" s="95" t="n"/>
      <c r="I209" s="95" t="n"/>
      <c r="J209" s="56">
        <f>IF(OR(H209="",I209=""),"—",IF(I209&lt;=H209,"🟢 في الوقت","🔴 متأخر"))</f>
        <v/>
      </c>
      <c r="K209" s="87" t="n"/>
      <c r="L209" s="88" t="n"/>
      <c r="M209" s="87" t="n"/>
    </row>
    <row r="210" ht="15" customHeight="1" s="40">
      <c r="A210" s="85" t="n">
        <v>206</v>
      </c>
      <c r="B210" s="86" t="n"/>
      <c r="C210" s="87" t="n"/>
      <c r="D210" s="87" t="n"/>
      <c r="E210" s="87" t="n"/>
      <c r="F210" s="88" t="n"/>
      <c r="G210" s="87" t="n"/>
      <c r="H210" s="95" t="n"/>
      <c r="I210" s="95" t="n"/>
      <c r="J210" s="56">
        <f>IF(OR(H210="",I210=""),"—",IF(I210&lt;=H210,"🟢 في الوقت","🔴 متأخر"))</f>
        <v/>
      </c>
      <c r="K210" s="87" t="n"/>
      <c r="L210" s="88" t="n"/>
      <c r="M210" s="87" t="n"/>
    </row>
    <row r="211" ht="15" customHeight="1" s="40">
      <c r="A211" s="85" t="n">
        <v>207</v>
      </c>
      <c r="B211" s="86" t="n"/>
      <c r="C211" s="87" t="n"/>
      <c r="D211" s="87" t="n"/>
      <c r="E211" s="87" t="n"/>
      <c r="F211" s="88" t="n"/>
      <c r="G211" s="87" t="n"/>
      <c r="H211" s="95" t="n"/>
      <c r="I211" s="95" t="n"/>
      <c r="J211" s="56">
        <f>IF(OR(H211="",I211=""),"—",IF(I211&lt;=H211,"🟢 في الوقت","🔴 متأخر"))</f>
        <v/>
      </c>
      <c r="K211" s="87" t="n"/>
      <c r="L211" s="88" t="n"/>
      <c r="M211" s="87" t="n"/>
    </row>
    <row r="212" ht="15" customHeight="1" s="40">
      <c r="A212" s="85" t="n">
        <v>208</v>
      </c>
      <c r="B212" s="86" t="n"/>
      <c r="C212" s="87" t="n"/>
      <c r="D212" s="87" t="n"/>
      <c r="E212" s="87" t="n"/>
      <c r="F212" s="88" t="n"/>
      <c r="G212" s="87" t="n"/>
      <c r="H212" s="95" t="n"/>
      <c r="I212" s="95" t="n"/>
      <c r="J212" s="56">
        <f>IF(OR(H212="",I212=""),"—",IF(I212&lt;=H212,"🟢 في الوقت","🔴 متأخر"))</f>
        <v/>
      </c>
      <c r="K212" s="87" t="n"/>
      <c r="L212" s="88" t="n"/>
      <c r="M212" s="87" t="n"/>
    </row>
    <row r="213" ht="15" customHeight="1" s="40">
      <c r="A213" s="85" t="n">
        <v>209</v>
      </c>
      <c r="B213" s="86" t="n"/>
      <c r="C213" s="87" t="n"/>
      <c r="D213" s="87" t="n"/>
      <c r="E213" s="87" t="n"/>
      <c r="F213" s="88" t="n"/>
      <c r="G213" s="87" t="n"/>
      <c r="H213" s="95" t="n"/>
      <c r="I213" s="95" t="n"/>
      <c r="J213" s="56">
        <f>IF(OR(H213="",I213=""),"—",IF(I213&lt;=H213,"🟢 في الوقت","🔴 متأخر"))</f>
        <v/>
      </c>
      <c r="K213" s="87" t="n"/>
      <c r="L213" s="88" t="n"/>
      <c r="M213" s="87" t="n"/>
    </row>
    <row r="214" ht="15" customHeight="1" s="40">
      <c r="A214" s="85" t="n">
        <v>210</v>
      </c>
      <c r="B214" s="86" t="n"/>
      <c r="C214" s="87" t="n"/>
      <c r="D214" s="87" t="n"/>
      <c r="E214" s="87" t="n"/>
      <c r="F214" s="88" t="n"/>
      <c r="G214" s="87" t="n"/>
      <c r="H214" s="95" t="n"/>
      <c r="I214" s="95" t="n"/>
      <c r="J214" s="56">
        <f>IF(OR(H214="",I214=""),"—",IF(I214&lt;=H214,"🟢 في الوقت","🔴 متأخر"))</f>
        <v/>
      </c>
      <c r="K214" s="87" t="n"/>
      <c r="L214" s="88" t="n"/>
      <c r="M214" s="87" t="n"/>
    </row>
    <row r="215" ht="15" customHeight="1" s="40">
      <c r="A215" s="85" t="n">
        <v>211</v>
      </c>
      <c r="B215" s="86" t="n"/>
      <c r="C215" s="87" t="n"/>
      <c r="D215" s="87" t="n"/>
      <c r="E215" s="87" t="n"/>
      <c r="F215" s="88" t="n"/>
      <c r="G215" s="87" t="n"/>
      <c r="H215" s="95" t="n"/>
      <c r="I215" s="95" t="n"/>
      <c r="J215" s="56">
        <f>IF(OR(H215="",I215=""),"—",IF(I215&lt;=H215,"🟢 في الوقت","🔴 متأخر"))</f>
        <v/>
      </c>
      <c r="K215" s="87" t="n"/>
      <c r="L215" s="88" t="n"/>
      <c r="M215" s="87" t="n"/>
    </row>
    <row r="216" ht="15" customHeight="1" s="40">
      <c r="A216" s="85" t="n">
        <v>212</v>
      </c>
      <c r="B216" s="86" t="n"/>
      <c r="C216" s="87" t="n"/>
      <c r="D216" s="87" t="n"/>
      <c r="E216" s="87" t="n"/>
      <c r="F216" s="88" t="n"/>
      <c r="G216" s="87" t="n"/>
      <c r="H216" s="95" t="n"/>
      <c r="I216" s="95" t="n"/>
      <c r="J216" s="56">
        <f>IF(OR(H216="",I216=""),"—",IF(I216&lt;=H216,"🟢 في الوقت","🔴 متأخر"))</f>
        <v/>
      </c>
      <c r="K216" s="87" t="n"/>
      <c r="L216" s="88" t="n"/>
      <c r="M216" s="87" t="n"/>
    </row>
    <row r="217" ht="15" customHeight="1" s="40">
      <c r="A217" s="85" t="n">
        <v>213</v>
      </c>
      <c r="B217" s="86" t="n"/>
      <c r="C217" s="87" t="n"/>
      <c r="D217" s="87" t="n"/>
      <c r="E217" s="87" t="n"/>
      <c r="F217" s="88" t="n"/>
      <c r="G217" s="87" t="n"/>
      <c r="H217" s="95" t="n"/>
      <c r="I217" s="95" t="n"/>
      <c r="J217" s="56">
        <f>IF(OR(H217="",I217=""),"—",IF(I217&lt;=H217,"🟢 في الوقت","🔴 متأخر"))</f>
        <v/>
      </c>
      <c r="K217" s="87" t="n"/>
      <c r="L217" s="88" t="n"/>
      <c r="M217" s="87" t="n"/>
    </row>
    <row r="218" ht="15" customHeight="1" s="40">
      <c r="A218" s="85" t="n">
        <v>214</v>
      </c>
      <c r="B218" s="86" t="n"/>
      <c r="C218" s="87" t="n"/>
      <c r="D218" s="87" t="n"/>
      <c r="E218" s="87" t="n"/>
      <c r="F218" s="88" t="n"/>
      <c r="G218" s="87" t="n"/>
      <c r="H218" s="95" t="n"/>
      <c r="I218" s="95" t="n"/>
      <c r="J218" s="56">
        <f>IF(OR(H218="",I218=""),"—",IF(I218&lt;=H218,"🟢 في الوقت","🔴 متأخر"))</f>
        <v/>
      </c>
      <c r="K218" s="87" t="n"/>
      <c r="L218" s="88" t="n"/>
      <c r="M218" s="87" t="n"/>
    </row>
    <row r="219" ht="15" customHeight="1" s="40">
      <c r="A219" s="85" t="n">
        <v>215</v>
      </c>
      <c r="B219" s="86" t="n"/>
      <c r="C219" s="87" t="n"/>
      <c r="D219" s="87" t="n"/>
      <c r="E219" s="87" t="n"/>
      <c r="F219" s="88" t="n"/>
      <c r="G219" s="87" t="n"/>
      <c r="H219" s="95" t="n"/>
      <c r="I219" s="95" t="n"/>
      <c r="J219" s="56">
        <f>IF(OR(H219="",I219=""),"—",IF(I219&lt;=H219,"🟢 في الوقت","🔴 متأخر"))</f>
        <v/>
      </c>
      <c r="K219" s="87" t="n"/>
      <c r="L219" s="88" t="n"/>
      <c r="M219" s="87" t="n"/>
    </row>
    <row r="220" ht="15" customHeight="1" s="40">
      <c r="A220" s="85" t="n">
        <v>216</v>
      </c>
      <c r="B220" s="86" t="n"/>
      <c r="C220" s="87" t="n"/>
      <c r="D220" s="87" t="n"/>
      <c r="E220" s="87" t="n"/>
      <c r="F220" s="88" t="n"/>
      <c r="G220" s="87" t="n"/>
      <c r="H220" s="95" t="n"/>
      <c r="I220" s="95" t="n"/>
      <c r="J220" s="56">
        <f>IF(OR(H220="",I220=""),"—",IF(I220&lt;=H220,"🟢 في الوقت","🔴 متأخر"))</f>
        <v/>
      </c>
      <c r="K220" s="87" t="n"/>
      <c r="L220" s="88" t="n"/>
      <c r="M220" s="87" t="n"/>
    </row>
    <row r="221" ht="15" customHeight="1" s="40">
      <c r="A221" s="85" t="n">
        <v>217</v>
      </c>
      <c r="B221" s="86" t="n"/>
      <c r="C221" s="87" t="n"/>
      <c r="D221" s="87" t="n"/>
      <c r="E221" s="87" t="n"/>
      <c r="F221" s="88" t="n"/>
      <c r="G221" s="87" t="n"/>
      <c r="H221" s="95" t="n"/>
      <c r="I221" s="95" t="n"/>
      <c r="J221" s="56">
        <f>IF(OR(H221="",I221=""),"—",IF(I221&lt;=H221,"🟢 في الوقت","🔴 متأخر"))</f>
        <v/>
      </c>
      <c r="K221" s="87" t="n"/>
      <c r="L221" s="88" t="n"/>
      <c r="M221" s="87" t="n"/>
    </row>
    <row r="222" ht="15" customHeight="1" s="40">
      <c r="A222" s="85" t="n">
        <v>218</v>
      </c>
      <c r="B222" s="86" t="n"/>
      <c r="C222" s="87" t="n"/>
      <c r="D222" s="87" t="n"/>
      <c r="E222" s="87" t="n"/>
      <c r="F222" s="88" t="n"/>
      <c r="G222" s="87" t="n"/>
      <c r="H222" s="95" t="n"/>
      <c r="I222" s="95" t="n"/>
      <c r="J222" s="56">
        <f>IF(OR(H222="",I222=""),"—",IF(I222&lt;=H222,"🟢 في الوقت","🔴 متأخر"))</f>
        <v/>
      </c>
      <c r="K222" s="87" t="n"/>
      <c r="L222" s="88" t="n"/>
      <c r="M222" s="87" t="n"/>
    </row>
    <row r="223" ht="15" customHeight="1" s="40">
      <c r="A223" s="85" t="n">
        <v>219</v>
      </c>
      <c r="B223" s="86" t="n"/>
      <c r="C223" s="87" t="n"/>
      <c r="D223" s="87" t="n"/>
      <c r="E223" s="87" t="n"/>
      <c r="F223" s="88" t="n"/>
      <c r="G223" s="87" t="n"/>
      <c r="H223" s="95" t="n"/>
      <c r="I223" s="95" t="n"/>
      <c r="J223" s="56">
        <f>IF(OR(H223="",I223=""),"—",IF(I223&lt;=H223,"🟢 في الوقت","🔴 متأخر"))</f>
        <v/>
      </c>
      <c r="K223" s="87" t="n"/>
      <c r="L223" s="88" t="n"/>
      <c r="M223" s="87" t="n"/>
    </row>
    <row r="224" ht="15" customHeight="1" s="40">
      <c r="A224" s="85" t="n">
        <v>220</v>
      </c>
      <c r="B224" s="86" t="n"/>
      <c r="C224" s="87" t="n"/>
      <c r="D224" s="87" t="n"/>
      <c r="E224" s="87" t="n"/>
      <c r="F224" s="88" t="n"/>
      <c r="G224" s="87" t="n"/>
      <c r="H224" s="95" t="n"/>
      <c r="I224" s="95" t="n"/>
      <c r="J224" s="56">
        <f>IF(OR(H224="",I224=""),"—",IF(I224&lt;=H224,"🟢 في الوقت","🔴 متأخر"))</f>
        <v/>
      </c>
      <c r="K224" s="87" t="n"/>
      <c r="L224" s="88" t="n"/>
      <c r="M224" s="87" t="n"/>
    </row>
    <row r="225" ht="15" customHeight="1" s="40">
      <c r="A225" s="85" t="n">
        <v>221</v>
      </c>
      <c r="B225" s="86" t="n"/>
      <c r="C225" s="87" t="n"/>
      <c r="D225" s="87" t="n"/>
      <c r="E225" s="87" t="n"/>
      <c r="F225" s="88" t="n"/>
      <c r="G225" s="87" t="n"/>
      <c r="H225" s="95" t="n"/>
      <c r="I225" s="95" t="n"/>
      <c r="J225" s="56">
        <f>IF(OR(H225="",I225=""),"—",IF(I225&lt;=H225,"🟢 في الوقت","🔴 متأخر"))</f>
        <v/>
      </c>
      <c r="K225" s="87" t="n"/>
      <c r="L225" s="88" t="n"/>
      <c r="M225" s="87" t="n"/>
    </row>
    <row r="226" ht="15" customHeight="1" s="40">
      <c r="A226" s="85" t="n">
        <v>222</v>
      </c>
      <c r="B226" s="86" t="n"/>
      <c r="C226" s="87" t="n"/>
      <c r="D226" s="87" t="n"/>
      <c r="E226" s="87" t="n"/>
      <c r="F226" s="88" t="n"/>
      <c r="G226" s="87" t="n"/>
      <c r="H226" s="95" t="n"/>
      <c r="I226" s="95" t="n"/>
      <c r="J226" s="56">
        <f>IF(OR(H226="",I226=""),"—",IF(I226&lt;=H226,"🟢 في الوقت","🔴 متأخر"))</f>
        <v/>
      </c>
      <c r="K226" s="87" t="n"/>
      <c r="L226" s="88" t="n"/>
      <c r="M226" s="87" t="n"/>
    </row>
    <row r="227" ht="15" customHeight="1" s="40">
      <c r="A227" s="85" t="n">
        <v>223</v>
      </c>
      <c r="B227" s="86" t="n"/>
      <c r="C227" s="87" t="n"/>
      <c r="D227" s="87" t="n"/>
      <c r="E227" s="87" t="n"/>
      <c r="F227" s="88" t="n"/>
      <c r="G227" s="87" t="n"/>
      <c r="H227" s="95" t="n"/>
      <c r="I227" s="95" t="n"/>
      <c r="J227" s="56">
        <f>IF(OR(H227="",I227=""),"—",IF(I227&lt;=H227,"🟢 في الوقت","🔴 متأخر"))</f>
        <v/>
      </c>
      <c r="K227" s="87" t="n"/>
      <c r="L227" s="88" t="n"/>
      <c r="M227" s="87" t="n"/>
    </row>
    <row r="228" ht="15" customHeight="1" s="40">
      <c r="A228" s="85" t="n">
        <v>224</v>
      </c>
      <c r="B228" s="86" t="n"/>
      <c r="C228" s="87" t="n"/>
      <c r="D228" s="87" t="n"/>
      <c r="E228" s="87" t="n"/>
      <c r="F228" s="88" t="n"/>
      <c r="G228" s="87" t="n"/>
      <c r="H228" s="95" t="n"/>
      <c r="I228" s="95" t="n"/>
      <c r="J228" s="56">
        <f>IF(OR(H228="",I228=""),"—",IF(I228&lt;=H228,"🟢 في الوقت","🔴 متأخر"))</f>
        <v/>
      </c>
      <c r="K228" s="87" t="n"/>
      <c r="L228" s="88" t="n"/>
      <c r="M228" s="87" t="n"/>
    </row>
    <row r="229" ht="15" customHeight="1" s="40">
      <c r="A229" s="85" t="n">
        <v>225</v>
      </c>
      <c r="B229" s="86" t="n"/>
      <c r="C229" s="87" t="n"/>
      <c r="D229" s="87" t="n"/>
      <c r="E229" s="87" t="n"/>
      <c r="F229" s="88" t="n"/>
      <c r="G229" s="87" t="n"/>
      <c r="H229" s="95" t="n"/>
      <c r="I229" s="95" t="n"/>
      <c r="J229" s="56">
        <f>IF(OR(H229="",I229=""),"—",IF(I229&lt;=H229,"🟢 في الوقت","🔴 متأخر"))</f>
        <v/>
      </c>
      <c r="K229" s="87" t="n"/>
      <c r="L229" s="88" t="n"/>
      <c r="M229" s="87" t="n"/>
    </row>
    <row r="230" ht="15" customHeight="1" s="40">
      <c r="A230" s="85" t="n">
        <v>226</v>
      </c>
      <c r="B230" s="86" t="n"/>
      <c r="C230" s="87" t="n"/>
      <c r="D230" s="87" t="n"/>
      <c r="E230" s="87" t="n"/>
      <c r="F230" s="88" t="n"/>
      <c r="G230" s="87" t="n"/>
      <c r="H230" s="95" t="n"/>
      <c r="I230" s="95" t="n"/>
      <c r="J230" s="56">
        <f>IF(OR(H230="",I230=""),"—",IF(I230&lt;=H230,"🟢 في الوقت","🔴 متأخر"))</f>
        <v/>
      </c>
      <c r="K230" s="87" t="n"/>
      <c r="L230" s="88" t="n"/>
      <c r="M230" s="87" t="n"/>
    </row>
    <row r="231" ht="15" customHeight="1" s="40">
      <c r="A231" s="85" t="n">
        <v>227</v>
      </c>
      <c r="B231" s="86" t="n"/>
      <c r="C231" s="87" t="n"/>
      <c r="D231" s="87" t="n"/>
      <c r="E231" s="87" t="n"/>
      <c r="F231" s="88" t="n"/>
      <c r="G231" s="87" t="n"/>
      <c r="H231" s="95" t="n"/>
      <c r="I231" s="95" t="n"/>
      <c r="J231" s="56">
        <f>IF(OR(H231="",I231=""),"—",IF(I231&lt;=H231,"🟢 في الوقت","🔴 متأخر"))</f>
        <v/>
      </c>
      <c r="K231" s="87" t="n"/>
      <c r="L231" s="88" t="n"/>
      <c r="M231" s="87" t="n"/>
    </row>
    <row r="232" ht="15" customHeight="1" s="40">
      <c r="A232" s="85" t="n">
        <v>228</v>
      </c>
      <c r="B232" s="86" t="n"/>
      <c r="C232" s="87" t="n"/>
      <c r="D232" s="87" t="n"/>
      <c r="E232" s="87" t="n"/>
      <c r="F232" s="88" t="n"/>
      <c r="G232" s="87" t="n"/>
      <c r="H232" s="95" t="n"/>
      <c r="I232" s="95" t="n"/>
      <c r="J232" s="56">
        <f>IF(OR(H232="",I232=""),"—",IF(I232&lt;=H232,"🟢 في الوقت","🔴 متأخر"))</f>
        <v/>
      </c>
      <c r="K232" s="87" t="n"/>
      <c r="L232" s="88" t="n"/>
      <c r="M232" s="87" t="n"/>
    </row>
    <row r="233" ht="15" customHeight="1" s="40">
      <c r="A233" s="85" t="n">
        <v>229</v>
      </c>
      <c r="B233" s="86" t="n"/>
      <c r="C233" s="87" t="n"/>
      <c r="D233" s="87" t="n"/>
      <c r="E233" s="87" t="n"/>
      <c r="F233" s="88" t="n"/>
      <c r="G233" s="87" t="n"/>
      <c r="H233" s="95" t="n"/>
      <c r="I233" s="95" t="n"/>
      <c r="J233" s="56">
        <f>IF(OR(H233="",I233=""),"—",IF(I233&lt;=H233,"🟢 في الوقت","🔴 متأخر"))</f>
        <v/>
      </c>
      <c r="K233" s="87" t="n"/>
      <c r="L233" s="88" t="n"/>
      <c r="M233" s="87" t="n"/>
    </row>
    <row r="234" ht="15" customHeight="1" s="40">
      <c r="A234" s="85" t="n">
        <v>230</v>
      </c>
      <c r="B234" s="86" t="n"/>
      <c r="C234" s="87" t="n"/>
      <c r="D234" s="87" t="n"/>
      <c r="E234" s="87" t="n"/>
      <c r="F234" s="88" t="n"/>
      <c r="G234" s="87" t="n"/>
      <c r="H234" s="95" t="n"/>
      <c r="I234" s="95" t="n"/>
      <c r="J234" s="56">
        <f>IF(OR(H234="",I234=""),"—",IF(I234&lt;=H234,"🟢 في الوقت","🔴 متأخر"))</f>
        <v/>
      </c>
      <c r="K234" s="87" t="n"/>
      <c r="L234" s="88" t="n"/>
      <c r="M234" s="87" t="n"/>
    </row>
    <row r="235" ht="15" customHeight="1" s="40">
      <c r="A235" s="85" t="n">
        <v>231</v>
      </c>
      <c r="B235" s="86" t="n"/>
      <c r="C235" s="87" t="n"/>
      <c r="D235" s="87" t="n"/>
      <c r="E235" s="87" t="n"/>
      <c r="F235" s="88" t="n"/>
      <c r="G235" s="87" t="n"/>
      <c r="H235" s="95" t="n"/>
      <c r="I235" s="95" t="n"/>
      <c r="J235" s="56">
        <f>IF(OR(H235="",I235=""),"—",IF(I235&lt;=H235,"🟢 في الوقت","🔴 متأخر"))</f>
        <v/>
      </c>
      <c r="K235" s="87" t="n"/>
      <c r="L235" s="88" t="n"/>
      <c r="M235" s="87" t="n"/>
    </row>
    <row r="236" ht="15" customHeight="1" s="40">
      <c r="A236" s="85" t="n">
        <v>232</v>
      </c>
      <c r="B236" s="86" t="n"/>
      <c r="C236" s="87" t="n"/>
      <c r="D236" s="87" t="n"/>
      <c r="E236" s="87" t="n"/>
      <c r="F236" s="88" t="n"/>
      <c r="G236" s="87" t="n"/>
      <c r="H236" s="95" t="n"/>
      <c r="I236" s="95" t="n"/>
      <c r="J236" s="56">
        <f>IF(OR(H236="",I236=""),"—",IF(I236&lt;=H236,"🟢 في الوقت","🔴 متأخر"))</f>
        <v/>
      </c>
      <c r="K236" s="87" t="n"/>
      <c r="L236" s="88" t="n"/>
      <c r="M236" s="87" t="n"/>
    </row>
    <row r="237" ht="15" customHeight="1" s="40">
      <c r="A237" s="85" t="n">
        <v>233</v>
      </c>
      <c r="B237" s="86" t="n"/>
      <c r="C237" s="87" t="n"/>
      <c r="D237" s="87" t="n"/>
      <c r="E237" s="87" t="n"/>
      <c r="F237" s="88" t="n"/>
      <c r="G237" s="87" t="n"/>
      <c r="H237" s="95" t="n"/>
      <c r="I237" s="95" t="n"/>
      <c r="J237" s="56">
        <f>IF(OR(H237="",I237=""),"—",IF(I237&lt;=H237,"🟢 في الوقت","🔴 متأخر"))</f>
        <v/>
      </c>
      <c r="K237" s="87" t="n"/>
      <c r="L237" s="88" t="n"/>
      <c r="M237" s="87" t="n"/>
    </row>
    <row r="238" ht="15" customHeight="1" s="40">
      <c r="A238" s="85" t="n">
        <v>234</v>
      </c>
      <c r="B238" s="86" t="n"/>
      <c r="C238" s="87" t="n"/>
      <c r="D238" s="87" t="n"/>
      <c r="E238" s="87" t="n"/>
      <c r="F238" s="88" t="n"/>
      <c r="G238" s="87" t="n"/>
      <c r="H238" s="95" t="n"/>
      <c r="I238" s="95" t="n"/>
      <c r="J238" s="56">
        <f>IF(OR(H238="",I238=""),"—",IF(I238&lt;=H238,"🟢 في الوقت","🔴 متأخر"))</f>
        <v/>
      </c>
      <c r="K238" s="87" t="n"/>
      <c r="L238" s="88" t="n"/>
      <c r="M238" s="87" t="n"/>
    </row>
    <row r="239" ht="15" customHeight="1" s="40">
      <c r="A239" s="85" t="n">
        <v>235</v>
      </c>
      <c r="B239" s="86" t="n"/>
      <c r="C239" s="87" t="n"/>
      <c r="D239" s="87" t="n"/>
      <c r="E239" s="87" t="n"/>
      <c r="F239" s="88" t="n"/>
      <c r="G239" s="87" t="n"/>
      <c r="H239" s="95" t="n"/>
      <c r="I239" s="95" t="n"/>
      <c r="J239" s="56">
        <f>IF(OR(H239="",I239=""),"—",IF(I239&lt;=H239,"🟢 في الوقت","🔴 متأخر"))</f>
        <v/>
      </c>
      <c r="K239" s="87" t="n"/>
      <c r="L239" s="88" t="n"/>
      <c r="M239" s="87" t="n"/>
    </row>
    <row r="240" ht="15" customHeight="1" s="40">
      <c r="A240" s="85" t="n">
        <v>236</v>
      </c>
      <c r="B240" s="86" t="n"/>
      <c r="C240" s="87" t="n"/>
      <c r="D240" s="87" t="n"/>
      <c r="E240" s="87" t="n"/>
      <c r="F240" s="88" t="n"/>
      <c r="G240" s="87" t="n"/>
      <c r="H240" s="95" t="n"/>
      <c r="I240" s="95" t="n"/>
      <c r="J240" s="56">
        <f>IF(OR(H240="",I240=""),"—",IF(I240&lt;=H240,"🟢 في الوقت","🔴 متأخر"))</f>
        <v/>
      </c>
      <c r="K240" s="87" t="n"/>
      <c r="L240" s="88" t="n"/>
      <c r="M240" s="87" t="n"/>
    </row>
    <row r="241" ht="15" customHeight="1" s="40">
      <c r="A241" s="85" t="n">
        <v>237</v>
      </c>
      <c r="B241" s="86" t="n"/>
      <c r="C241" s="87" t="n"/>
      <c r="D241" s="87" t="n"/>
      <c r="E241" s="87" t="n"/>
      <c r="F241" s="88" t="n"/>
      <c r="G241" s="87" t="n"/>
      <c r="H241" s="95" t="n"/>
      <c r="I241" s="95" t="n"/>
      <c r="J241" s="56">
        <f>IF(OR(H241="",I241=""),"—",IF(I241&lt;=H241,"🟢 في الوقت","🔴 متأخر"))</f>
        <v/>
      </c>
      <c r="K241" s="87" t="n"/>
      <c r="L241" s="88" t="n"/>
      <c r="M241" s="87" t="n"/>
    </row>
    <row r="242" ht="15" customHeight="1" s="40">
      <c r="A242" s="85" t="n">
        <v>238</v>
      </c>
      <c r="B242" s="86" t="n"/>
      <c r="C242" s="87" t="n"/>
      <c r="D242" s="87" t="n"/>
      <c r="E242" s="87" t="n"/>
      <c r="F242" s="88" t="n"/>
      <c r="G242" s="87" t="n"/>
      <c r="H242" s="95" t="n"/>
      <c r="I242" s="95" t="n"/>
      <c r="J242" s="56">
        <f>IF(OR(H242="",I242=""),"—",IF(I242&lt;=H242,"🟢 في الوقت","🔴 متأخر"))</f>
        <v/>
      </c>
      <c r="K242" s="87" t="n"/>
      <c r="L242" s="88" t="n"/>
      <c r="M242" s="87" t="n"/>
    </row>
    <row r="243" ht="15" customHeight="1" s="40">
      <c r="A243" s="85" t="n">
        <v>239</v>
      </c>
      <c r="B243" s="86" t="n"/>
      <c r="C243" s="87" t="n"/>
      <c r="D243" s="87" t="n"/>
      <c r="E243" s="87" t="n"/>
      <c r="F243" s="88" t="n"/>
      <c r="G243" s="87" t="n"/>
      <c r="H243" s="95" t="n"/>
      <c r="I243" s="95" t="n"/>
      <c r="J243" s="56">
        <f>IF(OR(H243="",I243=""),"—",IF(I243&lt;=H243,"🟢 في الوقت","🔴 متأخر"))</f>
        <v/>
      </c>
      <c r="K243" s="87" t="n"/>
      <c r="L243" s="88" t="n"/>
      <c r="M243" s="87" t="n"/>
    </row>
    <row r="244" ht="15" customHeight="1" s="40">
      <c r="A244" s="85" t="n">
        <v>240</v>
      </c>
      <c r="B244" s="86" t="n"/>
      <c r="C244" s="87" t="n"/>
      <c r="D244" s="87" t="n"/>
      <c r="E244" s="87" t="n"/>
      <c r="F244" s="88" t="n"/>
      <c r="G244" s="87" t="n"/>
      <c r="H244" s="95" t="n"/>
      <c r="I244" s="95" t="n"/>
      <c r="J244" s="56">
        <f>IF(OR(H244="",I244=""),"—",IF(I244&lt;=H244,"🟢 في الوقت","🔴 متأخر"))</f>
        <v/>
      </c>
      <c r="K244" s="87" t="n"/>
      <c r="L244" s="88" t="n"/>
      <c r="M244" s="87" t="n"/>
    </row>
    <row r="245" ht="15" customHeight="1" s="40">
      <c r="A245" s="85" t="n">
        <v>241</v>
      </c>
      <c r="B245" s="86" t="n"/>
      <c r="C245" s="87" t="n"/>
      <c r="D245" s="87" t="n"/>
      <c r="E245" s="87" t="n"/>
      <c r="F245" s="88" t="n"/>
      <c r="G245" s="87" t="n"/>
      <c r="H245" s="95" t="n"/>
      <c r="I245" s="95" t="n"/>
      <c r="J245" s="56">
        <f>IF(OR(H245="",I245=""),"—",IF(I245&lt;=H245,"🟢 في الوقت","🔴 متأخر"))</f>
        <v/>
      </c>
      <c r="K245" s="87" t="n"/>
      <c r="L245" s="88" t="n"/>
      <c r="M245" s="87" t="n"/>
    </row>
    <row r="246" ht="15" customHeight="1" s="40">
      <c r="A246" s="85" t="n">
        <v>242</v>
      </c>
      <c r="B246" s="86" t="n"/>
      <c r="C246" s="87" t="n"/>
      <c r="D246" s="87" t="n"/>
      <c r="E246" s="87" t="n"/>
      <c r="F246" s="88" t="n"/>
      <c r="G246" s="87" t="n"/>
      <c r="H246" s="95" t="n"/>
      <c r="I246" s="95" t="n"/>
      <c r="J246" s="56">
        <f>IF(OR(H246="",I246=""),"—",IF(I246&lt;=H246,"🟢 في الوقت","🔴 متأخر"))</f>
        <v/>
      </c>
      <c r="K246" s="87" t="n"/>
      <c r="L246" s="88" t="n"/>
      <c r="M246" s="87" t="n"/>
    </row>
    <row r="247" ht="15" customHeight="1" s="40">
      <c r="A247" s="85" t="n">
        <v>243</v>
      </c>
      <c r="B247" s="86" t="n"/>
      <c r="C247" s="87" t="n"/>
      <c r="D247" s="87" t="n"/>
      <c r="E247" s="87" t="n"/>
      <c r="F247" s="88" t="n"/>
      <c r="G247" s="87" t="n"/>
      <c r="H247" s="95" t="n"/>
      <c r="I247" s="95" t="n"/>
      <c r="J247" s="56">
        <f>IF(OR(H247="",I247=""),"—",IF(I247&lt;=H247,"🟢 في الوقت","🔴 متأخر"))</f>
        <v/>
      </c>
      <c r="K247" s="87" t="n"/>
      <c r="L247" s="88" t="n"/>
      <c r="M247" s="87" t="n"/>
    </row>
    <row r="248" ht="15" customHeight="1" s="40">
      <c r="A248" s="85" t="n">
        <v>244</v>
      </c>
      <c r="B248" s="86" t="n"/>
      <c r="C248" s="87" t="n"/>
      <c r="D248" s="87" t="n"/>
      <c r="E248" s="87" t="n"/>
      <c r="F248" s="88" t="n"/>
      <c r="G248" s="87" t="n"/>
      <c r="H248" s="95" t="n"/>
      <c r="I248" s="95" t="n"/>
      <c r="J248" s="56">
        <f>IF(OR(H248="",I248=""),"—",IF(I248&lt;=H248,"🟢 في الوقت","🔴 متأخر"))</f>
        <v/>
      </c>
      <c r="K248" s="87" t="n"/>
      <c r="L248" s="88" t="n"/>
      <c r="M248" s="87" t="n"/>
    </row>
    <row r="249" ht="15" customHeight="1" s="40">
      <c r="A249" s="85" t="n">
        <v>245</v>
      </c>
      <c r="B249" s="86" t="n"/>
      <c r="C249" s="87" t="n"/>
      <c r="D249" s="87" t="n"/>
      <c r="E249" s="87" t="n"/>
      <c r="F249" s="88" t="n"/>
      <c r="G249" s="87" t="n"/>
      <c r="H249" s="95" t="n"/>
      <c r="I249" s="95" t="n"/>
      <c r="J249" s="56">
        <f>IF(OR(H249="",I249=""),"—",IF(I249&lt;=H249,"🟢 في الوقت","🔴 متأخر"))</f>
        <v/>
      </c>
      <c r="K249" s="87" t="n"/>
      <c r="L249" s="88" t="n"/>
      <c r="M249" s="87" t="n"/>
    </row>
    <row r="250" ht="15" customHeight="1" s="40">
      <c r="A250" s="85" t="n">
        <v>246</v>
      </c>
      <c r="B250" s="86" t="n"/>
      <c r="C250" s="87" t="n"/>
      <c r="D250" s="87" t="n"/>
      <c r="E250" s="87" t="n"/>
      <c r="F250" s="88" t="n"/>
      <c r="G250" s="87" t="n"/>
      <c r="H250" s="95" t="n"/>
      <c r="I250" s="95" t="n"/>
      <c r="J250" s="56">
        <f>IF(OR(H250="",I250=""),"—",IF(I250&lt;=H250,"🟢 في الوقت","🔴 متأخر"))</f>
        <v/>
      </c>
      <c r="K250" s="87" t="n"/>
      <c r="L250" s="88" t="n"/>
      <c r="M250" s="87" t="n"/>
    </row>
    <row r="251" ht="15" customHeight="1" s="40">
      <c r="A251" s="85" t="n">
        <v>247</v>
      </c>
      <c r="B251" s="86" t="n"/>
      <c r="C251" s="87" t="n"/>
      <c r="D251" s="87" t="n"/>
      <c r="E251" s="87" t="n"/>
      <c r="F251" s="88" t="n"/>
      <c r="G251" s="87" t="n"/>
      <c r="H251" s="95" t="n"/>
      <c r="I251" s="95" t="n"/>
      <c r="J251" s="56">
        <f>IF(OR(H251="",I251=""),"—",IF(I251&lt;=H251,"🟢 في الوقت","🔴 متأخر"))</f>
        <v/>
      </c>
      <c r="K251" s="87" t="n"/>
      <c r="L251" s="88" t="n"/>
      <c r="M251" s="87" t="n"/>
    </row>
    <row r="252" ht="15" customHeight="1" s="40">
      <c r="A252" s="85" t="n">
        <v>248</v>
      </c>
      <c r="B252" s="86" t="n"/>
      <c r="C252" s="87" t="n"/>
      <c r="D252" s="87" t="n"/>
      <c r="E252" s="87" t="n"/>
      <c r="F252" s="88" t="n"/>
      <c r="G252" s="87" t="n"/>
      <c r="H252" s="95" t="n"/>
      <c r="I252" s="95" t="n"/>
      <c r="J252" s="56">
        <f>IF(OR(H252="",I252=""),"—",IF(I252&lt;=H252,"🟢 في الوقت","🔴 متأخر"))</f>
        <v/>
      </c>
      <c r="K252" s="87" t="n"/>
      <c r="L252" s="88" t="n"/>
      <c r="M252" s="87" t="n"/>
    </row>
    <row r="253" ht="15" customHeight="1" s="40">
      <c r="A253" s="85" t="n">
        <v>249</v>
      </c>
      <c r="B253" s="86" t="n"/>
      <c r="C253" s="87" t="n"/>
      <c r="D253" s="87" t="n"/>
      <c r="E253" s="87" t="n"/>
      <c r="F253" s="88" t="n"/>
      <c r="G253" s="87" t="n"/>
      <c r="H253" s="95" t="n"/>
      <c r="I253" s="95" t="n"/>
      <c r="J253" s="56">
        <f>IF(OR(H253="",I253=""),"—",IF(I253&lt;=H253,"🟢 في الوقت","🔴 متأخر"))</f>
        <v/>
      </c>
      <c r="K253" s="87" t="n"/>
      <c r="L253" s="88" t="n"/>
      <c r="M253" s="87" t="n"/>
    </row>
    <row r="254" ht="15" customHeight="1" s="40">
      <c r="A254" s="85" t="n">
        <v>250</v>
      </c>
      <c r="B254" s="86" t="n"/>
      <c r="C254" s="87" t="n"/>
      <c r="D254" s="87" t="n"/>
      <c r="E254" s="87" t="n"/>
      <c r="F254" s="88" t="n"/>
      <c r="G254" s="87" t="n"/>
      <c r="H254" s="95" t="n"/>
      <c r="I254" s="95" t="n"/>
      <c r="J254" s="56">
        <f>IF(OR(H254="",I254=""),"—",IF(I254&lt;=H254,"🟢 في الوقت","🔴 متأخر"))</f>
        <v/>
      </c>
      <c r="K254" s="87" t="n"/>
      <c r="L254" s="88" t="n"/>
      <c r="M254" s="87" t="n"/>
    </row>
    <row r="255" ht="15" customHeight="1" s="40">
      <c r="A255" s="85" t="n">
        <v>251</v>
      </c>
      <c r="B255" s="86" t="n"/>
      <c r="C255" s="87" t="n"/>
      <c r="D255" s="87" t="n"/>
      <c r="E255" s="87" t="n"/>
      <c r="F255" s="88" t="n"/>
      <c r="G255" s="87" t="n"/>
      <c r="H255" s="95" t="n"/>
      <c r="I255" s="95" t="n"/>
      <c r="J255" s="56">
        <f>IF(OR(H255="",I255=""),"—",IF(I255&lt;=H255,"🟢 في الوقت","🔴 متأخر"))</f>
        <v/>
      </c>
      <c r="K255" s="87" t="n"/>
      <c r="L255" s="88" t="n"/>
      <c r="M255" s="87" t="n"/>
    </row>
    <row r="256" ht="15" customHeight="1" s="40">
      <c r="A256" s="85" t="n">
        <v>252</v>
      </c>
      <c r="B256" s="86" t="n"/>
      <c r="C256" s="87" t="n"/>
      <c r="D256" s="87" t="n"/>
      <c r="E256" s="87" t="n"/>
      <c r="F256" s="88" t="n"/>
      <c r="G256" s="87" t="n"/>
      <c r="H256" s="95" t="n"/>
      <c r="I256" s="95" t="n"/>
      <c r="J256" s="56">
        <f>IF(OR(H256="",I256=""),"—",IF(I256&lt;=H256,"🟢 في الوقت","🔴 متأخر"))</f>
        <v/>
      </c>
      <c r="K256" s="87" t="n"/>
      <c r="L256" s="88" t="n"/>
      <c r="M256" s="87" t="n"/>
    </row>
    <row r="257" ht="15" customHeight="1" s="40">
      <c r="A257" s="85" t="n">
        <v>253</v>
      </c>
      <c r="B257" s="86" t="n"/>
      <c r="C257" s="87" t="n"/>
      <c r="D257" s="87" t="n"/>
      <c r="E257" s="87" t="n"/>
      <c r="F257" s="88" t="n"/>
      <c r="G257" s="87" t="n"/>
      <c r="H257" s="95" t="n"/>
      <c r="I257" s="95" t="n"/>
      <c r="J257" s="56">
        <f>IF(OR(H257="",I257=""),"—",IF(I257&lt;=H257,"🟢 في الوقت","🔴 متأخر"))</f>
        <v/>
      </c>
      <c r="K257" s="87" t="n"/>
      <c r="L257" s="88" t="n"/>
      <c r="M257" s="87" t="n"/>
    </row>
    <row r="258" ht="15" customHeight="1" s="40">
      <c r="A258" s="85" t="n">
        <v>254</v>
      </c>
      <c r="B258" s="86" t="n"/>
      <c r="C258" s="87" t="n"/>
      <c r="D258" s="87" t="n"/>
      <c r="E258" s="87" t="n"/>
      <c r="F258" s="88" t="n"/>
      <c r="G258" s="87" t="n"/>
      <c r="H258" s="95" t="n"/>
      <c r="I258" s="95" t="n"/>
      <c r="J258" s="56">
        <f>IF(OR(H258="",I258=""),"—",IF(I258&lt;=H258,"🟢 في الوقت","🔴 متأخر"))</f>
        <v/>
      </c>
      <c r="K258" s="87" t="n"/>
      <c r="L258" s="88" t="n"/>
      <c r="M258" s="87" t="n"/>
    </row>
    <row r="259" ht="15" customHeight="1" s="40">
      <c r="A259" s="85" t="n">
        <v>255</v>
      </c>
      <c r="B259" s="86" t="n"/>
      <c r="C259" s="87" t="n"/>
      <c r="D259" s="87" t="n"/>
      <c r="E259" s="87" t="n"/>
      <c r="F259" s="88" t="n"/>
      <c r="G259" s="87" t="n"/>
      <c r="H259" s="95" t="n"/>
      <c r="I259" s="95" t="n"/>
      <c r="J259" s="56">
        <f>IF(OR(H259="",I259=""),"—",IF(I259&lt;=H259,"🟢 في الوقت","🔴 متأخر"))</f>
        <v/>
      </c>
      <c r="K259" s="87" t="n"/>
      <c r="L259" s="88" t="n"/>
      <c r="M259" s="87" t="n"/>
    </row>
    <row r="260" ht="15" customHeight="1" s="40">
      <c r="A260" s="85" t="n">
        <v>256</v>
      </c>
      <c r="B260" s="86" t="n"/>
      <c r="C260" s="87" t="n"/>
      <c r="D260" s="87" t="n"/>
      <c r="E260" s="87" t="n"/>
      <c r="F260" s="88" t="n"/>
      <c r="G260" s="87" t="n"/>
      <c r="H260" s="95" t="n"/>
      <c r="I260" s="95" t="n"/>
      <c r="J260" s="56">
        <f>IF(OR(H260="",I260=""),"—",IF(I260&lt;=H260,"🟢 في الوقت","🔴 متأخر"))</f>
        <v/>
      </c>
      <c r="K260" s="87" t="n"/>
      <c r="L260" s="88" t="n"/>
      <c r="M260" s="87" t="n"/>
    </row>
    <row r="261" ht="15" customHeight="1" s="40">
      <c r="A261" s="85" t="n">
        <v>257</v>
      </c>
      <c r="B261" s="86" t="n"/>
      <c r="C261" s="87" t="n"/>
      <c r="D261" s="87" t="n"/>
      <c r="E261" s="87" t="n"/>
      <c r="F261" s="88" t="n"/>
      <c r="G261" s="87" t="n"/>
      <c r="H261" s="95" t="n"/>
      <c r="I261" s="95" t="n"/>
      <c r="J261" s="56">
        <f>IF(OR(H261="",I261=""),"—",IF(I261&lt;=H261,"🟢 في الوقت","🔴 متأخر"))</f>
        <v/>
      </c>
      <c r="K261" s="87" t="n"/>
      <c r="L261" s="88" t="n"/>
      <c r="M261" s="87" t="n"/>
    </row>
    <row r="262" ht="15" customHeight="1" s="40">
      <c r="A262" s="85" t="n">
        <v>258</v>
      </c>
      <c r="B262" s="86" t="n"/>
      <c r="C262" s="87" t="n"/>
      <c r="D262" s="87" t="n"/>
      <c r="E262" s="87" t="n"/>
      <c r="F262" s="88" t="n"/>
      <c r="G262" s="87" t="n"/>
      <c r="H262" s="95" t="n"/>
      <c r="I262" s="95" t="n"/>
      <c r="J262" s="56">
        <f>IF(OR(H262="",I262=""),"—",IF(I262&lt;=H262,"🟢 في الوقت","🔴 متأخر"))</f>
        <v/>
      </c>
      <c r="K262" s="87" t="n"/>
      <c r="L262" s="88" t="n"/>
      <c r="M262" s="87" t="n"/>
    </row>
    <row r="263" ht="15" customHeight="1" s="40">
      <c r="A263" s="85" t="n">
        <v>259</v>
      </c>
      <c r="B263" s="86" t="n"/>
      <c r="C263" s="87" t="n"/>
      <c r="D263" s="87" t="n"/>
      <c r="E263" s="87" t="n"/>
      <c r="F263" s="88" t="n"/>
      <c r="G263" s="87" t="n"/>
      <c r="H263" s="95" t="n"/>
      <c r="I263" s="95" t="n"/>
      <c r="J263" s="56">
        <f>IF(OR(H263="",I263=""),"—",IF(I263&lt;=H263,"🟢 في الوقت","🔴 متأخر"))</f>
        <v/>
      </c>
      <c r="K263" s="87" t="n"/>
      <c r="L263" s="88" t="n"/>
      <c r="M263" s="87" t="n"/>
    </row>
    <row r="264" ht="15" customHeight="1" s="40">
      <c r="A264" s="85" t="n">
        <v>260</v>
      </c>
      <c r="B264" s="86" t="n"/>
      <c r="C264" s="87" t="n"/>
      <c r="D264" s="87" t="n"/>
      <c r="E264" s="87" t="n"/>
      <c r="F264" s="88" t="n"/>
      <c r="G264" s="87" t="n"/>
      <c r="H264" s="95" t="n"/>
      <c r="I264" s="95" t="n"/>
      <c r="J264" s="56">
        <f>IF(OR(H264="",I264=""),"—",IF(I264&lt;=H264,"🟢 في الوقت","🔴 متأخر"))</f>
        <v/>
      </c>
      <c r="K264" s="87" t="n"/>
      <c r="L264" s="88" t="n"/>
      <c r="M264" s="87" t="n"/>
    </row>
    <row r="265" ht="15" customHeight="1" s="40">
      <c r="A265" s="85" t="n">
        <v>261</v>
      </c>
      <c r="B265" s="86" t="n"/>
      <c r="C265" s="87" t="n"/>
      <c r="D265" s="87" t="n"/>
      <c r="E265" s="87" t="n"/>
      <c r="F265" s="88" t="n"/>
      <c r="G265" s="87" t="n"/>
      <c r="H265" s="95" t="n"/>
      <c r="I265" s="95" t="n"/>
      <c r="J265" s="56">
        <f>IF(OR(H265="",I265=""),"—",IF(I265&lt;=H265,"🟢 في الوقت","🔴 متأخر"))</f>
        <v/>
      </c>
      <c r="K265" s="87" t="n"/>
      <c r="L265" s="88" t="n"/>
      <c r="M265" s="87" t="n"/>
    </row>
    <row r="266" ht="15" customHeight="1" s="40">
      <c r="A266" s="85" t="n">
        <v>262</v>
      </c>
      <c r="B266" s="86" t="n"/>
      <c r="C266" s="87" t="n"/>
      <c r="D266" s="87" t="n"/>
      <c r="E266" s="87" t="n"/>
      <c r="F266" s="88" t="n"/>
      <c r="G266" s="87" t="n"/>
      <c r="H266" s="95" t="n"/>
      <c r="I266" s="95" t="n"/>
      <c r="J266" s="56">
        <f>IF(OR(H266="",I266=""),"—",IF(I266&lt;=H266,"🟢 في الوقت","🔴 متأخر"))</f>
        <v/>
      </c>
      <c r="K266" s="87" t="n"/>
      <c r="L266" s="88" t="n"/>
      <c r="M266" s="87" t="n"/>
    </row>
    <row r="267" ht="15" customHeight="1" s="40">
      <c r="A267" s="85" t="n">
        <v>263</v>
      </c>
      <c r="B267" s="86" t="n"/>
      <c r="C267" s="87" t="n"/>
      <c r="D267" s="87" t="n"/>
      <c r="E267" s="87" t="n"/>
      <c r="F267" s="88" t="n"/>
      <c r="G267" s="87" t="n"/>
      <c r="H267" s="95" t="n"/>
      <c r="I267" s="95" t="n"/>
      <c r="J267" s="56">
        <f>IF(OR(H267="",I267=""),"—",IF(I267&lt;=H267,"🟢 في الوقت","🔴 متأخر"))</f>
        <v/>
      </c>
      <c r="K267" s="87" t="n"/>
      <c r="L267" s="88" t="n"/>
      <c r="M267" s="87" t="n"/>
    </row>
    <row r="268" ht="15" customHeight="1" s="40">
      <c r="A268" s="85" t="n">
        <v>264</v>
      </c>
      <c r="B268" s="86" t="n"/>
      <c r="C268" s="87" t="n"/>
      <c r="D268" s="87" t="n"/>
      <c r="E268" s="87" t="n"/>
      <c r="F268" s="88" t="n"/>
      <c r="G268" s="87" t="n"/>
      <c r="H268" s="95" t="n"/>
      <c r="I268" s="95" t="n"/>
      <c r="J268" s="56">
        <f>IF(OR(H268="",I268=""),"—",IF(I268&lt;=H268,"🟢 في الوقت","🔴 متأخر"))</f>
        <v/>
      </c>
      <c r="K268" s="87" t="n"/>
      <c r="L268" s="88" t="n"/>
      <c r="M268" s="87" t="n"/>
    </row>
    <row r="269" ht="15" customHeight="1" s="40">
      <c r="A269" s="85" t="n">
        <v>265</v>
      </c>
      <c r="B269" s="86" t="n"/>
      <c r="C269" s="87" t="n"/>
      <c r="D269" s="87" t="n"/>
      <c r="E269" s="87" t="n"/>
      <c r="F269" s="88" t="n"/>
      <c r="G269" s="87" t="n"/>
      <c r="H269" s="95" t="n"/>
      <c r="I269" s="95" t="n"/>
      <c r="J269" s="56">
        <f>IF(OR(H269="",I269=""),"—",IF(I269&lt;=H269,"🟢 في الوقت","🔴 متأخر"))</f>
        <v/>
      </c>
      <c r="K269" s="87" t="n"/>
      <c r="L269" s="88" t="n"/>
      <c r="M269" s="87" t="n"/>
    </row>
    <row r="270" ht="15" customHeight="1" s="40">
      <c r="A270" s="85" t="n">
        <v>266</v>
      </c>
      <c r="B270" s="86" t="n"/>
      <c r="C270" s="87" t="n"/>
      <c r="D270" s="87" t="n"/>
      <c r="E270" s="87" t="n"/>
      <c r="F270" s="88" t="n"/>
      <c r="G270" s="87" t="n"/>
      <c r="H270" s="95" t="n"/>
      <c r="I270" s="95" t="n"/>
      <c r="J270" s="56">
        <f>IF(OR(H270="",I270=""),"—",IF(I270&lt;=H270,"🟢 في الوقت","🔴 متأخر"))</f>
        <v/>
      </c>
      <c r="K270" s="87" t="n"/>
      <c r="L270" s="88" t="n"/>
      <c r="M270" s="87" t="n"/>
    </row>
    <row r="271" ht="15" customHeight="1" s="40">
      <c r="A271" s="85" t="n">
        <v>267</v>
      </c>
      <c r="B271" s="86" t="n"/>
      <c r="C271" s="87" t="n"/>
      <c r="D271" s="87" t="n"/>
      <c r="E271" s="87" t="n"/>
      <c r="F271" s="88" t="n"/>
      <c r="G271" s="87" t="n"/>
      <c r="H271" s="95" t="n"/>
      <c r="I271" s="95" t="n"/>
      <c r="J271" s="56">
        <f>IF(OR(H271="",I271=""),"—",IF(I271&lt;=H271,"🟢 في الوقت","🔴 متأخر"))</f>
        <v/>
      </c>
      <c r="K271" s="87" t="n"/>
      <c r="L271" s="88" t="n"/>
      <c r="M271" s="87" t="n"/>
    </row>
    <row r="272" ht="15" customHeight="1" s="40">
      <c r="A272" s="85" t="n">
        <v>268</v>
      </c>
      <c r="B272" s="86" t="n"/>
      <c r="C272" s="87" t="n"/>
      <c r="D272" s="87" t="n"/>
      <c r="E272" s="87" t="n"/>
      <c r="F272" s="88" t="n"/>
      <c r="G272" s="87" t="n"/>
      <c r="H272" s="95" t="n"/>
      <c r="I272" s="95" t="n"/>
      <c r="J272" s="56">
        <f>IF(OR(H272="",I272=""),"—",IF(I272&lt;=H272,"🟢 في الوقت","🔴 متأخر"))</f>
        <v/>
      </c>
      <c r="K272" s="87" t="n"/>
      <c r="L272" s="88" t="n"/>
      <c r="M272" s="87" t="n"/>
    </row>
    <row r="273" ht="15" customHeight="1" s="40">
      <c r="A273" s="85" t="n">
        <v>269</v>
      </c>
      <c r="B273" s="86" t="n"/>
      <c r="C273" s="87" t="n"/>
      <c r="D273" s="87" t="n"/>
      <c r="E273" s="87" t="n"/>
      <c r="F273" s="88" t="n"/>
      <c r="G273" s="87" t="n"/>
      <c r="H273" s="95" t="n"/>
      <c r="I273" s="95" t="n"/>
      <c r="J273" s="56">
        <f>IF(OR(H273="",I273=""),"—",IF(I273&lt;=H273,"🟢 في الوقت","🔴 متأخر"))</f>
        <v/>
      </c>
      <c r="K273" s="87" t="n"/>
      <c r="L273" s="88" t="n"/>
      <c r="M273" s="87" t="n"/>
    </row>
    <row r="274" ht="15" customHeight="1" s="40">
      <c r="A274" s="85" t="n">
        <v>270</v>
      </c>
      <c r="B274" s="86" t="n"/>
      <c r="C274" s="87" t="n"/>
      <c r="D274" s="87" t="n"/>
      <c r="E274" s="87" t="n"/>
      <c r="F274" s="88" t="n"/>
      <c r="G274" s="87" t="n"/>
      <c r="H274" s="95" t="n"/>
      <c r="I274" s="95" t="n"/>
      <c r="J274" s="56">
        <f>IF(OR(H274="",I274=""),"—",IF(I274&lt;=H274,"🟢 في الوقت","🔴 متأخر"))</f>
        <v/>
      </c>
      <c r="K274" s="87" t="n"/>
      <c r="L274" s="88" t="n"/>
      <c r="M274" s="87" t="n"/>
    </row>
    <row r="275" ht="15" customHeight="1" s="40">
      <c r="A275" s="85" t="n">
        <v>271</v>
      </c>
      <c r="B275" s="86" t="n"/>
      <c r="C275" s="87" t="n"/>
      <c r="D275" s="87" t="n"/>
      <c r="E275" s="87" t="n"/>
      <c r="F275" s="88" t="n"/>
      <c r="G275" s="87" t="n"/>
      <c r="H275" s="95" t="n"/>
      <c r="I275" s="95" t="n"/>
      <c r="J275" s="56">
        <f>IF(OR(H275="",I275=""),"—",IF(I275&lt;=H275,"🟢 في الوقت","🔴 متأخر"))</f>
        <v/>
      </c>
      <c r="K275" s="87" t="n"/>
      <c r="L275" s="88" t="n"/>
      <c r="M275" s="87" t="n"/>
    </row>
    <row r="276" ht="15" customHeight="1" s="40">
      <c r="A276" s="85" t="n">
        <v>272</v>
      </c>
      <c r="B276" s="86" t="n"/>
      <c r="C276" s="87" t="n"/>
      <c r="D276" s="87" t="n"/>
      <c r="E276" s="87" t="n"/>
      <c r="F276" s="88" t="n"/>
      <c r="G276" s="87" t="n"/>
      <c r="H276" s="95" t="n"/>
      <c r="I276" s="95" t="n"/>
      <c r="J276" s="56">
        <f>IF(OR(H276="",I276=""),"—",IF(I276&lt;=H276,"🟢 في الوقت","🔴 متأخر"))</f>
        <v/>
      </c>
      <c r="K276" s="87" t="n"/>
      <c r="L276" s="88" t="n"/>
      <c r="M276" s="87" t="n"/>
    </row>
    <row r="277" ht="15" customHeight="1" s="40">
      <c r="A277" s="85" t="n">
        <v>273</v>
      </c>
      <c r="B277" s="86" t="n"/>
      <c r="C277" s="87" t="n"/>
      <c r="D277" s="87" t="n"/>
      <c r="E277" s="87" t="n"/>
      <c r="F277" s="88" t="n"/>
      <c r="G277" s="87" t="n"/>
      <c r="H277" s="95" t="n"/>
      <c r="I277" s="95" t="n"/>
      <c r="J277" s="56">
        <f>IF(OR(H277="",I277=""),"—",IF(I277&lt;=H277,"🟢 في الوقت","🔴 متأخر"))</f>
        <v/>
      </c>
      <c r="K277" s="87" t="n"/>
      <c r="L277" s="88" t="n"/>
      <c r="M277" s="87" t="n"/>
    </row>
    <row r="278" ht="15" customHeight="1" s="40">
      <c r="A278" s="85" t="n">
        <v>274</v>
      </c>
      <c r="B278" s="86" t="n"/>
      <c r="C278" s="87" t="n"/>
      <c r="D278" s="87" t="n"/>
      <c r="E278" s="87" t="n"/>
      <c r="F278" s="88" t="n"/>
      <c r="G278" s="87" t="n"/>
      <c r="H278" s="95" t="n"/>
      <c r="I278" s="95" t="n"/>
      <c r="J278" s="56">
        <f>IF(OR(H278="",I278=""),"—",IF(I278&lt;=H278,"🟢 في الوقت","🔴 متأخر"))</f>
        <v/>
      </c>
      <c r="K278" s="87" t="n"/>
      <c r="L278" s="88" t="n"/>
      <c r="M278" s="87" t="n"/>
    </row>
    <row r="279" ht="15" customHeight="1" s="40">
      <c r="A279" s="85" t="n">
        <v>275</v>
      </c>
      <c r="B279" s="86" t="n"/>
      <c r="C279" s="87" t="n"/>
      <c r="D279" s="87" t="n"/>
      <c r="E279" s="87" t="n"/>
      <c r="F279" s="88" t="n"/>
      <c r="G279" s="87" t="n"/>
      <c r="H279" s="95" t="n"/>
      <c r="I279" s="95" t="n"/>
      <c r="J279" s="56">
        <f>IF(OR(H279="",I279=""),"—",IF(I279&lt;=H279,"🟢 في الوقت","🔴 متأخر"))</f>
        <v/>
      </c>
      <c r="K279" s="87" t="n"/>
      <c r="L279" s="88" t="n"/>
      <c r="M279" s="87" t="n"/>
    </row>
    <row r="280" ht="15" customHeight="1" s="40">
      <c r="A280" s="85" t="n">
        <v>276</v>
      </c>
      <c r="B280" s="86" t="n"/>
      <c r="C280" s="87" t="n"/>
      <c r="D280" s="87" t="n"/>
      <c r="E280" s="87" t="n"/>
      <c r="F280" s="88" t="n"/>
      <c r="G280" s="87" t="n"/>
      <c r="H280" s="95" t="n"/>
      <c r="I280" s="95" t="n"/>
      <c r="J280" s="56">
        <f>IF(OR(H280="",I280=""),"—",IF(I280&lt;=H280,"🟢 في الوقت","🔴 متأخر"))</f>
        <v/>
      </c>
      <c r="K280" s="87" t="n"/>
      <c r="L280" s="88" t="n"/>
      <c r="M280" s="87" t="n"/>
    </row>
    <row r="281" ht="15" customHeight="1" s="40">
      <c r="A281" s="85" t="n">
        <v>277</v>
      </c>
      <c r="B281" s="86" t="n"/>
      <c r="C281" s="87" t="n"/>
      <c r="D281" s="87" t="n"/>
      <c r="E281" s="87" t="n"/>
      <c r="F281" s="88" t="n"/>
      <c r="G281" s="87" t="n"/>
      <c r="H281" s="95" t="n"/>
      <c r="I281" s="95" t="n"/>
      <c r="J281" s="56">
        <f>IF(OR(H281="",I281=""),"—",IF(I281&lt;=H281,"🟢 في الوقت","🔴 متأخر"))</f>
        <v/>
      </c>
      <c r="K281" s="87" t="n"/>
      <c r="L281" s="88" t="n"/>
      <c r="M281" s="87" t="n"/>
    </row>
    <row r="282" ht="15" customHeight="1" s="40">
      <c r="A282" s="85" t="n">
        <v>278</v>
      </c>
      <c r="B282" s="86" t="n"/>
      <c r="C282" s="87" t="n"/>
      <c r="D282" s="87" t="n"/>
      <c r="E282" s="87" t="n"/>
      <c r="F282" s="88" t="n"/>
      <c r="G282" s="87" t="n"/>
      <c r="H282" s="95" t="n"/>
      <c r="I282" s="95" t="n"/>
      <c r="J282" s="56">
        <f>IF(OR(H282="",I282=""),"—",IF(I282&lt;=H282,"🟢 في الوقت","🔴 متأخر"))</f>
        <v/>
      </c>
      <c r="K282" s="87" t="n"/>
      <c r="L282" s="88" t="n"/>
      <c r="M282" s="87" t="n"/>
    </row>
    <row r="283" ht="15" customHeight="1" s="40">
      <c r="A283" s="85" t="n">
        <v>279</v>
      </c>
      <c r="B283" s="86" t="n"/>
      <c r="C283" s="87" t="n"/>
      <c r="D283" s="87" t="n"/>
      <c r="E283" s="87" t="n"/>
      <c r="F283" s="88" t="n"/>
      <c r="G283" s="87" t="n"/>
      <c r="H283" s="95" t="n"/>
      <c r="I283" s="95" t="n"/>
      <c r="J283" s="56">
        <f>IF(OR(H283="",I283=""),"—",IF(I283&lt;=H283,"🟢 في الوقت","🔴 متأخر"))</f>
        <v/>
      </c>
      <c r="K283" s="87" t="n"/>
      <c r="L283" s="88" t="n"/>
      <c r="M283" s="87" t="n"/>
    </row>
    <row r="284" ht="15" customHeight="1" s="40">
      <c r="A284" s="85" t="n">
        <v>280</v>
      </c>
      <c r="B284" s="86" t="n"/>
      <c r="C284" s="87" t="n"/>
      <c r="D284" s="87" t="n"/>
      <c r="E284" s="87" t="n"/>
      <c r="F284" s="88" t="n"/>
      <c r="G284" s="87" t="n"/>
      <c r="H284" s="95" t="n"/>
      <c r="I284" s="95" t="n"/>
      <c r="J284" s="56">
        <f>IF(OR(H284="",I284=""),"—",IF(I284&lt;=H284,"🟢 في الوقت","🔴 متأخر"))</f>
        <v/>
      </c>
      <c r="K284" s="87" t="n"/>
      <c r="L284" s="88" t="n"/>
      <c r="M284" s="87" t="n"/>
    </row>
    <row r="285" ht="15" customHeight="1" s="40">
      <c r="A285" s="85" t="n">
        <v>281</v>
      </c>
      <c r="B285" s="86" t="n"/>
      <c r="C285" s="87" t="n"/>
      <c r="D285" s="87" t="n"/>
      <c r="E285" s="87" t="n"/>
      <c r="F285" s="88" t="n"/>
      <c r="G285" s="87" t="n"/>
      <c r="H285" s="95" t="n"/>
      <c r="I285" s="95" t="n"/>
      <c r="J285" s="56">
        <f>IF(OR(H285="",I285=""),"—",IF(I285&lt;=H285,"🟢 في الوقت","🔴 متأخر"))</f>
        <v/>
      </c>
      <c r="K285" s="87" t="n"/>
      <c r="L285" s="88" t="n"/>
      <c r="M285" s="87" t="n"/>
    </row>
    <row r="286" ht="15" customHeight="1" s="40">
      <c r="A286" s="85" t="n">
        <v>282</v>
      </c>
      <c r="B286" s="86" t="n"/>
      <c r="C286" s="87" t="n"/>
      <c r="D286" s="87" t="n"/>
      <c r="E286" s="87" t="n"/>
      <c r="F286" s="88" t="n"/>
      <c r="G286" s="87" t="n"/>
      <c r="H286" s="95" t="n"/>
      <c r="I286" s="95" t="n"/>
      <c r="J286" s="56">
        <f>IF(OR(H286="",I286=""),"—",IF(I286&lt;=H286,"🟢 في الوقت","🔴 متأخر"))</f>
        <v/>
      </c>
      <c r="K286" s="87" t="n"/>
      <c r="L286" s="88" t="n"/>
      <c r="M286" s="87" t="n"/>
    </row>
    <row r="287" ht="15" customHeight="1" s="40">
      <c r="A287" s="85" t="n">
        <v>283</v>
      </c>
      <c r="B287" s="86" t="n"/>
      <c r="C287" s="87" t="n"/>
      <c r="D287" s="87" t="n"/>
      <c r="E287" s="87" t="n"/>
      <c r="F287" s="88" t="n"/>
      <c r="G287" s="87" t="n"/>
      <c r="H287" s="95" t="n"/>
      <c r="I287" s="95" t="n"/>
      <c r="J287" s="56">
        <f>IF(OR(H287="",I287=""),"—",IF(I287&lt;=H287,"🟢 في الوقت","🔴 متأخر"))</f>
        <v/>
      </c>
      <c r="K287" s="87" t="n"/>
      <c r="L287" s="88" t="n"/>
      <c r="M287" s="87" t="n"/>
    </row>
    <row r="288" ht="15" customHeight="1" s="40">
      <c r="A288" s="85" t="n">
        <v>284</v>
      </c>
      <c r="B288" s="86" t="n"/>
      <c r="C288" s="87" t="n"/>
      <c r="D288" s="87" t="n"/>
      <c r="E288" s="87" t="n"/>
      <c r="F288" s="88" t="n"/>
      <c r="G288" s="87" t="n"/>
      <c r="H288" s="95" t="n"/>
      <c r="I288" s="95" t="n"/>
      <c r="J288" s="56">
        <f>IF(OR(H288="",I288=""),"—",IF(I288&lt;=H288,"🟢 في الوقت","🔴 متأخر"))</f>
        <v/>
      </c>
      <c r="K288" s="87" t="n"/>
      <c r="L288" s="88" t="n"/>
      <c r="M288" s="87" t="n"/>
    </row>
    <row r="289" ht="15" customHeight="1" s="40">
      <c r="A289" s="85" t="n">
        <v>285</v>
      </c>
      <c r="B289" s="86" t="n"/>
      <c r="C289" s="87" t="n"/>
      <c r="D289" s="87" t="n"/>
      <c r="E289" s="87" t="n"/>
      <c r="F289" s="88" t="n"/>
      <c r="G289" s="87" t="n"/>
      <c r="H289" s="95" t="n"/>
      <c r="I289" s="95" t="n"/>
      <c r="J289" s="56">
        <f>IF(OR(H289="",I289=""),"—",IF(I289&lt;=H289,"🟢 في الوقت","🔴 متأخر"))</f>
        <v/>
      </c>
      <c r="K289" s="87" t="n"/>
      <c r="L289" s="88" t="n"/>
      <c r="M289" s="87" t="n"/>
    </row>
    <row r="290" ht="15" customHeight="1" s="40">
      <c r="A290" s="85" t="n">
        <v>286</v>
      </c>
      <c r="B290" s="86" t="n"/>
      <c r="C290" s="87" t="n"/>
      <c r="D290" s="87" t="n"/>
      <c r="E290" s="87" t="n"/>
      <c r="F290" s="88" t="n"/>
      <c r="G290" s="87" t="n"/>
      <c r="H290" s="95" t="n"/>
      <c r="I290" s="95" t="n"/>
      <c r="J290" s="56">
        <f>IF(OR(H290="",I290=""),"—",IF(I290&lt;=H290,"🟢 في الوقت","🔴 متأخر"))</f>
        <v/>
      </c>
      <c r="K290" s="87" t="n"/>
      <c r="L290" s="88" t="n"/>
      <c r="M290" s="87" t="n"/>
    </row>
    <row r="291" ht="15" customHeight="1" s="40">
      <c r="A291" s="85" t="n">
        <v>287</v>
      </c>
      <c r="B291" s="86" t="n"/>
      <c r="C291" s="87" t="n"/>
      <c r="D291" s="87" t="n"/>
      <c r="E291" s="87" t="n"/>
      <c r="F291" s="88" t="n"/>
      <c r="G291" s="87" t="n"/>
      <c r="H291" s="95" t="n"/>
      <c r="I291" s="95" t="n"/>
      <c r="J291" s="56">
        <f>IF(OR(H291="",I291=""),"—",IF(I291&lt;=H291,"🟢 في الوقت","🔴 متأخر"))</f>
        <v/>
      </c>
      <c r="K291" s="87" t="n"/>
      <c r="L291" s="88" t="n"/>
      <c r="M291" s="87" t="n"/>
    </row>
    <row r="292" ht="15" customHeight="1" s="40">
      <c r="A292" s="85" t="n">
        <v>288</v>
      </c>
      <c r="B292" s="86" t="n"/>
      <c r="C292" s="87" t="n"/>
      <c r="D292" s="87" t="n"/>
      <c r="E292" s="87" t="n"/>
      <c r="F292" s="88" t="n"/>
      <c r="G292" s="87" t="n"/>
      <c r="H292" s="95" t="n"/>
      <c r="I292" s="95" t="n"/>
      <c r="J292" s="56">
        <f>IF(OR(H292="",I292=""),"—",IF(I292&lt;=H292,"🟢 في الوقت","🔴 متأخر"))</f>
        <v/>
      </c>
      <c r="K292" s="87" t="n"/>
      <c r="L292" s="88" t="n"/>
      <c r="M292" s="87" t="n"/>
    </row>
    <row r="293" ht="15" customHeight="1" s="40">
      <c r="A293" s="85" t="n">
        <v>289</v>
      </c>
      <c r="B293" s="86" t="n"/>
      <c r="C293" s="87" t="n"/>
      <c r="D293" s="87" t="n"/>
      <c r="E293" s="87" t="n"/>
      <c r="F293" s="88" t="n"/>
      <c r="G293" s="87" t="n"/>
      <c r="H293" s="95" t="n"/>
      <c r="I293" s="95" t="n"/>
      <c r="J293" s="56">
        <f>IF(OR(H293="",I293=""),"—",IF(I293&lt;=H293,"🟢 في الوقت","🔴 متأخر"))</f>
        <v/>
      </c>
      <c r="K293" s="87" t="n"/>
      <c r="L293" s="88" t="n"/>
      <c r="M293" s="87" t="n"/>
    </row>
    <row r="294" ht="15" customHeight="1" s="40">
      <c r="A294" s="85" t="n">
        <v>290</v>
      </c>
      <c r="B294" s="86" t="n"/>
      <c r="C294" s="87" t="n"/>
      <c r="D294" s="87" t="n"/>
      <c r="E294" s="87" t="n"/>
      <c r="F294" s="88" t="n"/>
      <c r="G294" s="87" t="n"/>
      <c r="H294" s="95" t="n"/>
      <c r="I294" s="95" t="n"/>
      <c r="J294" s="56">
        <f>IF(OR(H294="",I294=""),"—",IF(I294&lt;=H294,"🟢 في الوقت","🔴 متأخر"))</f>
        <v/>
      </c>
      <c r="K294" s="87" t="n"/>
      <c r="L294" s="88" t="n"/>
      <c r="M294" s="87" t="n"/>
    </row>
    <row r="295" ht="15" customHeight="1" s="40">
      <c r="A295" s="85" t="n">
        <v>291</v>
      </c>
      <c r="B295" s="86" t="n"/>
      <c r="C295" s="87" t="n"/>
      <c r="D295" s="87" t="n"/>
      <c r="E295" s="87" t="n"/>
      <c r="F295" s="88" t="n"/>
      <c r="G295" s="87" t="n"/>
      <c r="H295" s="95" t="n"/>
      <c r="I295" s="95" t="n"/>
      <c r="J295" s="56">
        <f>IF(OR(H295="",I295=""),"—",IF(I295&lt;=H295,"🟢 في الوقت","🔴 متأخر"))</f>
        <v/>
      </c>
      <c r="K295" s="87" t="n"/>
      <c r="L295" s="88" t="n"/>
      <c r="M295" s="87" t="n"/>
    </row>
    <row r="296" ht="15" customHeight="1" s="40">
      <c r="A296" s="85" t="n">
        <v>292</v>
      </c>
      <c r="B296" s="86" t="n"/>
      <c r="C296" s="87" t="n"/>
      <c r="D296" s="87" t="n"/>
      <c r="E296" s="87" t="n"/>
      <c r="F296" s="88" t="n"/>
      <c r="G296" s="87" t="n"/>
      <c r="H296" s="95" t="n"/>
      <c r="I296" s="95" t="n"/>
      <c r="J296" s="56">
        <f>IF(OR(H296="",I296=""),"—",IF(I296&lt;=H296,"🟢 في الوقت","🔴 متأخر"))</f>
        <v/>
      </c>
      <c r="K296" s="87" t="n"/>
      <c r="L296" s="88" t="n"/>
      <c r="M296" s="87" t="n"/>
    </row>
    <row r="297" ht="15" customHeight="1" s="40">
      <c r="A297" s="85" t="n">
        <v>293</v>
      </c>
      <c r="B297" s="86" t="n"/>
      <c r="C297" s="87" t="n"/>
      <c r="D297" s="87" t="n"/>
      <c r="E297" s="87" t="n"/>
      <c r="F297" s="88" t="n"/>
      <c r="G297" s="87" t="n"/>
      <c r="H297" s="95" t="n"/>
      <c r="I297" s="95" t="n"/>
      <c r="J297" s="56">
        <f>IF(OR(H297="",I297=""),"—",IF(I297&lt;=H297,"🟢 في الوقت","🔴 متأخر"))</f>
        <v/>
      </c>
      <c r="K297" s="87" t="n"/>
      <c r="L297" s="88" t="n"/>
      <c r="M297" s="87" t="n"/>
    </row>
    <row r="298" ht="15" customHeight="1" s="40">
      <c r="A298" s="85" t="n">
        <v>294</v>
      </c>
      <c r="B298" s="86" t="n"/>
      <c r="C298" s="87" t="n"/>
      <c r="D298" s="87" t="n"/>
      <c r="E298" s="87" t="n"/>
      <c r="F298" s="88" t="n"/>
      <c r="G298" s="87" t="n"/>
      <c r="H298" s="95" t="n"/>
      <c r="I298" s="95" t="n"/>
      <c r="J298" s="56">
        <f>IF(OR(H298="",I298=""),"—",IF(I298&lt;=H298,"🟢 في الوقت","🔴 متأخر"))</f>
        <v/>
      </c>
      <c r="K298" s="87" t="n"/>
      <c r="L298" s="88" t="n"/>
      <c r="M298" s="87" t="n"/>
    </row>
    <row r="299" ht="15" customHeight="1" s="40">
      <c r="A299" s="85" t="n">
        <v>295</v>
      </c>
      <c r="B299" s="86" t="n"/>
      <c r="C299" s="87" t="n"/>
      <c r="D299" s="87" t="n"/>
      <c r="E299" s="87" t="n"/>
      <c r="F299" s="88" t="n"/>
      <c r="G299" s="87" t="n"/>
      <c r="H299" s="95" t="n"/>
      <c r="I299" s="95" t="n"/>
      <c r="J299" s="56">
        <f>IF(OR(H299="",I299=""),"—",IF(I299&lt;=H299,"🟢 في الوقت","🔴 متأخر"))</f>
        <v/>
      </c>
      <c r="K299" s="87" t="n"/>
      <c r="L299" s="88" t="n"/>
      <c r="M299" s="87" t="n"/>
    </row>
    <row r="300" ht="15" customHeight="1" s="40">
      <c r="A300" s="85" t="n">
        <v>296</v>
      </c>
      <c r="B300" s="86" t="n"/>
      <c r="C300" s="87" t="n"/>
      <c r="D300" s="87" t="n"/>
      <c r="E300" s="87" t="n"/>
      <c r="F300" s="88" t="n"/>
      <c r="G300" s="87" t="n"/>
      <c r="H300" s="95" t="n"/>
      <c r="I300" s="95" t="n"/>
      <c r="J300" s="56">
        <f>IF(OR(H300="",I300=""),"—",IF(I300&lt;=H300,"🟢 في الوقت","🔴 متأخر"))</f>
        <v/>
      </c>
      <c r="K300" s="87" t="n"/>
      <c r="L300" s="88" t="n"/>
      <c r="M300" s="87" t="n"/>
    </row>
    <row r="301" ht="15" customHeight="1" s="40">
      <c r="A301" s="85" t="n">
        <v>297</v>
      </c>
      <c r="B301" s="86" t="n"/>
      <c r="C301" s="87" t="n"/>
      <c r="D301" s="87" t="n"/>
      <c r="E301" s="87" t="n"/>
      <c r="F301" s="88" t="n"/>
      <c r="G301" s="87" t="n"/>
      <c r="H301" s="95" t="n"/>
      <c r="I301" s="95" t="n"/>
      <c r="J301" s="56">
        <f>IF(OR(H301="",I301=""),"—",IF(I301&lt;=H301,"🟢 في الوقت","🔴 متأخر"))</f>
        <v/>
      </c>
      <c r="K301" s="87" t="n"/>
      <c r="L301" s="88" t="n"/>
      <c r="M301" s="87" t="n"/>
    </row>
    <row r="302" ht="15" customHeight="1" s="40">
      <c r="A302" s="85" t="n">
        <v>298</v>
      </c>
      <c r="B302" s="86" t="n"/>
      <c r="C302" s="87" t="n"/>
      <c r="D302" s="87" t="n"/>
      <c r="E302" s="87" t="n"/>
      <c r="F302" s="88" t="n"/>
      <c r="G302" s="87" t="n"/>
      <c r="H302" s="95" t="n"/>
      <c r="I302" s="95" t="n"/>
      <c r="J302" s="56">
        <f>IF(OR(H302="",I302=""),"—",IF(I302&lt;=H302,"🟢 في الوقت","🔴 متأخر"))</f>
        <v/>
      </c>
      <c r="K302" s="87" t="n"/>
      <c r="L302" s="88" t="n"/>
      <c r="M302" s="87" t="n"/>
    </row>
    <row r="303" ht="15" customHeight="1" s="40">
      <c r="A303" s="85" t="n">
        <v>299</v>
      </c>
      <c r="B303" s="86" t="n"/>
      <c r="C303" s="87" t="n"/>
      <c r="D303" s="87" t="n"/>
      <c r="E303" s="87" t="n"/>
      <c r="F303" s="88" t="n"/>
      <c r="G303" s="87" t="n"/>
      <c r="H303" s="95" t="n"/>
      <c r="I303" s="95" t="n"/>
      <c r="J303" s="56">
        <f>IF(OR(H303="",I303=""),"—",IF(I303&lt;=H303,"🟢 في الوقت","🔴 متأخر"))</f>
        <v/>
      </c>
      <c r="K303" s="87" t="n"/>
      <c r="L303" s="88" t="n"/>
      <c r="M303" s="87" t="n"/>
    </row>
    <row r="304" ht="15" customHeight="1" s="40">
      <c r="A304" s="85" t="n">
        <v>300</v>
      </c>
      <c r="B304" s="86" t="n"/>
      <c r="C304" s="87" t="n"/>
      <c r="D304" s="87" t="n"/>
      <c r="E304" s="87" t="n"/>
      <c r="F304" s="88" t="n"/>
      <c r="G304" s="87" t="n"/>
      <c r="H304" s="95" t="n"/>
      <c r="I304" s="95" t="n"/>
      <c r="J304" s="56">
        <f>IF(OR(H304="",I304=""),"—",IF(I304&lt;=H304,"🟢 في الوقت","🔴 متأخر"))</f>
        <v/>
      </c>
      <c r="K304" s="87" t="n"/>
      <c r="L304" s="88" t="n"/>
      <c r="M304" s="87" t="n"/>
    </row>
  </sheetData>
  <mergeCells count="6">
    <mergeCell ref="F3:G3"/>
    <mergeCell ref="A1:M1"/>
    <mergeCell ref="K3:M3"/>
    <mergeCell ref="H3:J3"/>
    <mergeCell ref="A2:M2"/>
    <mergeCell ref="A3:E3"/>
  </mergeCells>
  <conditionalFormatting sqref="J5:J304">
    <cfRule type="cellIs" rank="0" priority="2" equalAverage="0" operator="equal" aboveAverage="0" dxfId="0" text="" percent="0" bottom="0">
      <formula>"🟢 في الوقت"</formula>
    </cfRule>
    <cfRule type="cellIs" rank="0" priority="3" equalAverage="0" operator="equal" aboveAverage="0" dxfId="2" text="" percent="0" bottom="0">
      <formula>"🔴 متأخر"</formula>
    </cfRule>
  </conditionalFormatting>
  <dataValidations count="4">
    <dataValidation sqref="D5:D304" showDropDown="0" showInputMessage="0" showErrorMessage="0" allowBlank="1" type="list" errorStyle="stop" operator="between">
      <formula1>"وقود,مواد مخزنية,زيوت,مستهلكات"</formula1>
      <formula2>0</formula2>
    </dataValidation>
    <dataValidation sqref="G5:G304" showDropDown="0" showInputMessage="0" showErrorMessage="0" allowBlank="1" type="list" errorStyle="stop" operator="between">
      <formula1>"مملوك درب,متعاقد خارجي"</formula1>
      <formula2>0</formula2>
    </dataValidation>
    <dataValidation sqref="K5:K304" showDropDown="0" showInputMessage="0" showErrorMessage="0" allowBlank="1" type="list" errorStyle="stop" operator="between">
      <formula1>"لا يوجد,حادث بسيط,حادث جسيم,مخالفة سرعة,مخالفة سلوك"</formula1>
      <formula2>0</formula2>
    </dataValidation>
    <dataValidation sqref="M5:M304" showDropDown="0" showInputMessage="0" showErrorMessage="0" allowBlank="1" type="list" errorStyle="stop" operator="between">
      <formula1>"مكتملة,قيد التنفيذ,ملغية"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2026-06-08T05:18:22Z</dcterms:created>
  <dcterms:modified xsi:type="dcterms:W3CDTF">2026-06-16T09:26:20Z</dcterms:modified>
  <cp:revision>0</cp:revision>
</cp:coreProperties>
</file>