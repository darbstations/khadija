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الملخص التنفيذي" sheetId="1" state="visible" r:id="rId1"/>
    <sheet name="السيناريوهات" sheetId="2" state="visible" r:id="rId2"/>
    <sheet name="كيف يعمل النظام" sheetId="3" state="visible" r:id="rId3"/>
    <sheet name="محاكي العميل" sheetId="4" state="visible" r:id="rId4"/>
    <sheet name="خطة التوسع" sheetId="5" state="visible" r:id="rId5"/>
    <sheet name="محرر المستأجرين" sheetId="6" state="visible" r:id="rId6"/>
    <sheet name="حاسبة ROI" sheetId="7" state="visible" r:id="rId7"/>
    <sheet name="مقارنة السيناريوهات" sheetId="8" state="visible" r:id="rId8"/>
    <sheet name="قيمة النقطة" sheetId="9" state="visible" r:id="rId9"/>
    <sheet name="المستويات الثلاثة" sheetId="10" state="visible" r:id="rId10"/>
    <sheet name="تكلفة المحطات" sheetId="11" state="visible" r:id="rId11"/>
    <sheet name="التحصيل من الامتياز" sheetId="12" state="visible" r:id="rId12"/>
    <sheet name="التوقعات السنوية" sheetId="13" state="visible" r:id="rId13"/>
    <sheet name="الاقتصاد الموسّع" sheetId="14" state="visible" r:id="rId14"/>
    <sheet name="قنوات الاستبدال" sheetId="15" state="visible" r:id="rId15"/>
    <sheet name="نموذج المحفظة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9">
    <numFmt numFmtId="164" formatCode="#,##0&quot; ريال&quot;"/>
    <numFmt numFmtId="165" formatCode="#,##0&quot; ر&quot;"/>
    <numFmt numFmtId="166" formatCode="0.0"/>
    <numFmt numFmtId="167" formatCode="0.0%"/>
    <numFmt numFmtId="168" formatCode="yyyy\-mm\-dd"/>
    <numFmt numFmtId="169" formatCode="0.0&quot; هللة&quot;"/>
    <numFmt numFmtId="170" formatCode="\+#,##0&quot; ر&quot;"/>
    <numFmt numFmtId="171" formatCode="#,##0&quot; ر/سنة&quot;"/>
    <numFmt numFmtId="172" formatCode="\+0%;\-0%"/>
    <numFmt numFmtId="173" formatCode="\+0%"/>
    <numFmt numFmtId="174" formatCode="0&quot; = ريال&quot;"/>
    <numFmt numFmtId="175" formatCode="#,##0&quot; = ريال&quot;"/>
    <numFmt numFmtId="176" formatCode="0.0&quot; م ر&quot;"/>
    <numFmt numFmtId="177" formatCode="\+0.0;\-0.0;0"/>
    <numFmt numFmtId="178" formatCode="0.0000"/>
    <numFmt numFmtId="179" formatCode="0.0\x"/>
    <numFmt numFmtId="180" formatCode="#,##0&quot; نقطة/ريال&quot;"/>
    <numFmt numFmtId="181" formatCode="#,##0&quot; نقطة&quot;"/>
    <numFmt numFmtId="182" formatCode="0.00&quot; م&quot;"/>
  </numFmts>
  <fonts count="10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IN Next LT Arabic"/>
      <charset val="1"/>
      <family val="0"/>
      <b val="1"/>
      <color rgb="FFFFFFFF"/>
      <sz val="20"/>
    </font>
    <font>
      <name val="DIN Next LT Arabic"/>
      <charset val="1"/>
      <family val="0"/>
      <i val="1"/>
      <color rgb="FFFFFFFF"/>
      <sz val="11"/>
    </font>
    <font>
      <name val="DIN Next LT Arabic"/>
      <charset val="1"/>
      <family val="0"/>
      <b val="1"/>
      <color rgb="FFC04E0E"/>
      <sz val="12"/>
    </font>
    <font>
      <name val="DIN Next LT Arabic"/>
      <charset val="1"/>
      <family val="0"/>
      <b val="1"/>
      <color rgb="FF0D47A1"/>
      <sz val="12"/>
    </font>
    <font>
      <name val="DIN Next LT Arabic"/>
      <charset val="1"/>
      <family val="0"/>
      <b val="1"/>
      <color rgb="FFE65100"/>
      <sz val="12"/>
    </font>
    <font>
      <name val="DIN Next LT Arabic"/>
      <charset val="1"/>
      <family val="0"/>
      <b val="1"/>
      <color rgb="FFC04E0E"/>
      <sz val="36"/>
    </font>
    <font>
      <name val="DIN Next LT Arabic"/>
      <charset val="1"/>
      <family val="0"/>
      <b val="1"/>
      <color rgb="FF0D47A1"/>
      <sz val="36"/>
    </font>
    <font>
      <name val="DIN Next LT Arabic"/>
      <charset val="1"/>
      <family val="0"/>
      <b val="1"/>
      <color rgb="FFE65100"/>
      <sz val="36"/>
    </font>
    <font>
      <name val="DIN Next LT Arabic"/>
      <charset val="1"/>
      <family val="0"/>
      <i val="1"/>
      <color rgb="FFC04E0E"/>
      <sz val="10"/>
    </font>
    <font>
      <name val="DIN Next LT Arabic"/>
      <charset val="1"/>
      <family val="0"/>
      <i val="1"/>
      <color rgb="FF0D47A1"/>
      <sz val="10"/>
    </font>
    <font>
      <name val="DIN Next LT Arabic"/>
      <charset val="1"/>
      <family val="0"/>
      <i val="1"/>
      <color rgb="FFE65100"/>
      <sz val="10"/>
    </font>
    <font>
      <name val="DIN Next LT Arabic"/>
      <charset val="1"/>
      <family val="0"/>
      <b val="1"/>
      <color rgb="FFFFFFFF"/>
      <sz val="14"/>
    </font>
    <font>
      <name val="DIN Next LT Arabic"/>
      <charset val="1"/>
      <family val="0"/>
      <b val="1"/>
      <color rgb="FFFFFFFF"/>
      <sz val="10"/>
    </font>
    <font>
      <name val="DIN Next LT Arabic"/>
      <charset val="1"/>
      <family val="0"/>
      <b val="1"/>
      <color rgb="FF37474F"/>
      <sz val="12"/>
    </font>
    <font>
      <name val="DIN Next LT Arabic"/>
      <charset val="1"/>
      <family val="0"/>
      <b val="1"/>
      <color rgb="FFC04E0E"/>
      <sz val="13"/>
    </font>
    <font>
      <name val="DIN Next LT Arabic"/>
      <charset val="1"/>
      <family val="0"/>
      <color rgb="FF000000"/>
      <sz val="11"/>
    </font>
    <font>
      <name val="DIN Next LT Arabic"/>
      <charset val="1"/>
      <family val="0"/>
      <b val="1"/>
      <color rgb="FF000000"/>
      <sz val="12"/>
    </font>
    <font>
      <name val="DIN Next LT Arabic"/>
      <charset val="1"/>
      <family val="0"/>
      <b val="1"/>
      <color rgb="FF006100"/>
      <sz val="12"/>
    </font>
    <font>
      <name val="DIN Next LT Arabic"/>
      <charset val="1"/>
      <family val="0"/>
      <b val="1"/>
      <color rgb="FF9C0006"/>
      <sz val="11"/>
    </font>
    <font>
      <name val="DIN Next LT Arabic"/>
      <charset val="1"/>
      <family val="0"/>
      <b val="1"/>
      <color rgb="FF263238"/>
      <sz val="12"/>
    </font>
    <font>
      <name val="DIN Next LT Arabic"/>
      <charset val="1"/>
      <family val="0"/>
      <b val="1"/>
      <color rgb="FFFFFFFF"/>
      <sz val="11"/>
    </font>
    <font>
      <name val="DIN Next LT Arabic"/>
      <charset val="1"/>
      <family val="0"/>
      <b val="1"/>
      <color rgb="FF37474F"/>
      <sz val="11"/>
    </font>
    <font>
      <name val="DIN Next LT Arabic"/>
      <charset val="1"/>
      <family val="0"/>
      <b val="1"/>
      <color rgb="FF263238"/>
      <sz val="11"/>
    </font>
    <font>
      <name val="DIN Next LT Arabic"/>
      <charset val="1"/>
      <family val="0"/>
      <b val="1"/>
      <color rgb="FFE65100"/>
      <sz val="11"/>
    </font>
    <font>
      <name val="DIN Next LT Arabic"/>
      <charset val="1"/>
      <family val="0"/>
      <b val="1"/>
      <color rgb="FF006100"/>
      <sz val="11"/>
    </font>
    <font>
      <name val="DIN Next LT Arabic"/>
      <charset val="1"/>
      <family val="0"/>
      <b val="1"/>
      <color rgb="FF3D3D3D"/>
      <sz val="11"/>
    </font>
    <font>
      <name val="DIN Next LT Arabic"/>
      <charset val="1"/>
      <family val="0"/>
      <color rgb="FF9C0006"/>
      <sz val="11"/>
    </font>
    <font>
      <name val="DIN Next LT Arabic"/>
      <charset val="1"/>
      <family val="0"/>
      <b val="1"/>
      <color rgb="FFC04E0E"/>
      <sz val="11"/>
    </font>
    <font>
      <name val="DIN Next LT Arabic"/>
      <charset val="1"/>
      <family val="0"/>
      <i val="1"/>
      <color rgb="FFFFFFFF"/>
      <sz val="12"/>
    </font>
    <font>
      <name val="DIN Next LT Arabic"/>
      <charset val="1"/>
      <family val="0"/>
      <b val="1"/>
      <color rgb="FF000000"/>
      <sz val="10"/>
    </font>
    <font>
      <name val="DIN Next LT Arabic"/>
      <charset val="1"/>
      <family val="0"/>
      <b val="1"/>
      <color rgb="FFC04E0E"/>
      <sz val="14"/>
    </font>
    <font>
      <name val="DIN Next LT Arabic"/>
      <charset val="1"/>
      <family val="0"/>
      <i val="1"/>
      <color rgb="FF555555"/>
      <sz val="10"/>
    </font>
    <font>
      <name val="DIN Next LT Arabic"/>
      <charset val="1"/>
      <family val="0"/>
      <b val="1"/>
      <color rgb="FF000000"/>
      <sz val="11"/>
    </font>
    <font>
      <name val="DIN Next LT Arabic"/>
      <charset val="1"/>
      <family val="0"/>
      <b val="1"/>
      <color rgb="FF0D47A1"/>
      <sz val="11"/>
    </font>
    <font>
      <name val="DIN Next LT Arabic"/>
      <charset val="1"/>
      <family val="0"/>
      <b val="1"/>
      <color rgb="FF0D47A1"/>
      <sz val="14"/>
    </font>
    <font>
      <name val="DIN Next LT Arabic"/>
      <charset val="1"/>
      <family val="0"/>
      <b val="1"/>
      <color rgb="FF1B5E20"/>
      <sz val="11"/>
    </font>
    <font>
      <name val="DIN Next LT Arabic"/>
      <charset val="1"/>
      <family val="0"/>
      <b val="1"/>
      <color rgb="FF1B5E20"/>
      <sz val="14"/>
    </font>
    <font>
      <name val="DIN Next LT Arabic"/>
      <charset val="1"/>
      <family val="0"/>
      <i val="1"/>
      <color rgb="FF6D4C41"/>
      <sz val="11"/>
    </font>
    <font>
      <name val="DIN Next LT Arabic"/>
      <charset val="1"/>
      <family val="0"/>
      <b val="1"/>
      <color rgb="FF0D47A1"/>
      <sz val="16"/>
    </font>
    <font>
      <name val="DIN Next LT Arabic"/>
      <charset val="1"/>
      <family val="0"/>
      <b val="1"/>
      <color rgb="FF5E35B1"/>
      <sz val="16"/>
    </font>
    <font>
      <name val="DIN Next LT Arabic"/>
      <charset val="1"/>
      <family val="0"/>
      <i val="1"/>
      <color rgb="FF0D47A1"/>
      <sz val="12"/>
    </font>
    <font>
      <name val="DIN Next LT Arabic"/>
      <charset val="1"/>
      <family val="0"/>
      <i val="1"/>
      <color rgb="FF5E35B1"/>
      <sz val="12"/>
    </font>
    <font>
      <name val="DIN Next LT Arabic"/>
      <charset val="1"/>
      <family val="0"/>
      <color rgb="FF0D47A1"/>
      <sz val="11"/>
    </font>
    <font>
      <name val="DIN Next LT Arabic"/>
      <charset val="1"/>
      <family val="0"/>
      <color rgb="FF5E35B1"/>
      <sz val="11"/>
    </font>
    <font>
      <name val="DIN Next LT Arabic"/>
      <charset val="1"/>
      <family val="0"/>
      <b val="1"/>
      <color rgb="FFC04E0E"/>
      <sz val="28"/>
    </font>
    <font>
      <name val="DIN Next LT Arabic"/>
      <charset val="1"/>
      <family val="0"/>
      <i val="1"/>
      <color rgb="FF3D3D3D"/>
      <sz val="11"/>
    </font>
    <font>
      <name val="DIN Next LT Arabic"/>
      <charset val="1"/>
      <family val="0"/>
      <b val="1"/>
      <color rgb="FF5E35B1"/>
      <sz val="11"/>
    </font>
    <font>
      <name val="DIN Next LT Arabic"/>
      <charset val="1"/>
      <family val="0"/>
      <b val="1"/>
      <color rgb="FF3D3D3D"/>
      <sz val="22"/>
    </font>
    <font>
      <name val="DIN Next LT Arabic"/>
      <charset val="1"/>
      <family val="0"/>
      <b val="1"/>
      <color rgb="FF5E35B1"/>
      <sz val="22"/>
    </font>
    <font>
      <name val="DIN Next LT Arabic"/>
      <charset val="1"/>
      <family val="0"/>
      <b val="1"/>
      <color rgb="FF0D47A1"/>
      <sz val="22"/>
    </font>
    <font>
      <name val="DIN Next LT Arabic"/>
      <charset val="1"/>
      <family val="0"/>
      <b val="1"/>
      <color rgb="FF006100"/>
      <sz val="22"/>
    </font>
    <font>
      <name val="DIN Next LT Arabic"/>
      <charset val="1"/>
      <family val="0"/>
      <i val="1"/>
      <color rgb="FF3D3D3D"/>
      <sz val="9"/>
    </font>
    <font>
      <name val="DIN Next LT Arabic"/>
      <charset val="1"/>
      <family val="0"/>
      <i val="1"/>
      <color rgb="FF5E35B1"/>
      <sz val="9"/>
    </font>
    <font>
      <name val="DIN Next LT Arabic"/>
      <charset val="1"/>
      <family val="0"/>
      <i val="1"/>
      <color rgb="FF0D47A1"/>
      <sz val="9"/>
    </font>
    <font>
      <name val="DIN Next LT Arabic"/>
      <charset val="1"/>
      <family val="0"/>
      <i val="1"/>
      <color rgb="FF006100"/>
      <sz val="9"/>
    </font>
    <font>
      <name val="DIN Next LT Arabic"/>
      <charset val="1"/>
      <family val="0"/>
      <b val="1"/>
      <color rgb="FFC04E0E"/>
      <sz val="16"/>
    </font>
    <font>
      <name val="DIN Next LT Arabic"/>
      <charset val="1"/>
      <family val="0"/>
      <i val="1"/>
      <color rgb="FF000000"/>
      <sz val="10"/>
    </font>
    <font>
      <name val="DIN Next LT Arabic"/>
      <charset val="1"/>
      <family val="0"/>
      <b val="1"/>
      <color rgb="FF000000"/>
      <sz val="24"/>
    </font>
    <font>
      <name val="DIN Next LT Arabic"/>
      <charset val="1"/>
      <family val="0"/>
      <b val="1"/>
      <color rgb="FF1B5E20"/>
      <sz val="12"/>
    </font>
    <font>
      <name val="DIN Next LT Arabic"/>
      <charset val="1"/>
      <family val="0"/>
      <color rgb="FF000000"/>
      <sz val="10"/>
    </font>
    <font>
      <name val="DIN Next LT Arabic"/>
      <charset val="1"/>
      <family val="0"/>
      <b val="1"/>
      <color rgb="FF5E35B1"/>
      <sz val="12"/>
    </font>
    <font>
      <name val="DIN Next LT Arabic"/>
      <charset val="1"/>
      <family val="0"/>
      <b val="1"/>
      <color rgb="FF1B5E20"/>
      <sz val="10"/>
    </font>
    <font>
      <name val="DIN Next LT Arabic"/>
      <charset val="1"/>
      <family val="0"/>
      <color rgb="FF006100"/>
      <sz val="10"/>
    </font>
    <font>
      <name val="DIN Next LT Arabic"/>
      <charset val="1"/>
      <family val="0"/>
      <color rgb="FF9C0006"/>
      <sz val="10"/>
    </font>
    <font>
      <name val="DIN Next LT Arabic"/>
      <charset val="1"/>
      <family val="0"/>
      <b val="1"/>
      <color rgb="FF0D47A1"/>
      <sz val="10"/>
    </font>
    <font>
      <name val="DIN Next LT Arabic"/>
      <charset val="1"/>
      <family val="0"/>
      <b val="1"/>
      <color rgb="FF5E35B1"/>
      <sz val="10"/>
    </font>
    <font>
      <name val="DIN Next LT Arabic"/>
      <charset val="1"/>
      <family val="0"/>
      <b val="1"/>
      <color rgb="FFC04E0E"/>
      <sz val="10"/>
    </font>
    <font>
      <name val="DIN Next LT Arabic"/>
      <charset val="1"/>
      <family val="0"/>
      <i val="1"/>
      <color rgb="FF000000"/>
      <sz val="9"/>
    </font>
    <font>
      <name val="DIN Next LT Arabic"/>
      <charset val="1"/>
      <family val="0"/>
      <b val="1"/>
      <color rgb="FFF57F17"/>
      <sz val="11"/>
    </font>
    <font>
      <name val="DIN Next LT Arabic"/>
      <charset val="1"/>
      <family val="0"/>
      <b val="1"/>
      <color rgb="FF9C5700"/>
      <sz val="11"/>
    </font>
    <font>
      <name val="DIN Next LT Arabic"/>
      <charset val="1"/>
      <family val="0"/>
      <b val="1"/>
      <color rgb="FFFFFFFF"/>
      <sz val="13"/>
    </font>
    <font>
      <name val="DIN Next LT Arabic"/>
      <charset val="1"/>
      <family val="0"/>
      <b val="1"/>
      <color rgb="FF3D3D3D"/>
      <sz val="16"/>
    </font>
    <font>
      <name val="DIN Next LT Arabic"/>
      <charset val="1"/>
      <family val="0"/>
      <b val="1"/>
      <color rgb="FF006100"/>
      <sz val="16"/>
    </font>
    <font>
      <name val="DIN Next LT Arabic"/>
      <charset val="1"/>
      <family val="0"/>
      <b val="1"/>
      <color rgb="FF9C0006"/>
      <sz val="16"/>
    </font>
    <font>
      <name val="DIN Next LT Arabic"/>
      <charset val="1"/>
      <family val="0"/>
      <b val="1"/>
      <color rgb="FF9C5700"/>
      <sz val="16"/>
    </font>
    <font>
      <name val="DIN Next LT Arabic"/>
      <charset val="1"/>
      <family val="0"/>
      <b val="1"/>
      <color rgb="FFC04E0E"/>
      <sz val="18"/>
    </font>
    <font>
      <name val="DIN Next LT Arabic"/>
      <charset val="1"/>
      <family val="0"/>
      <i val="1"/>
      <color rgb="FF006100"/>
      <sz val="10"/>
    </font>
    <font>
      <name val="DIN Next LT Arabic"/>
      <charset val="1"/>
      <family val="0"/>
      <b val="1"/>
      <color rgb="FF9C0006"/>
      <sz val="10"/>
    </font>
    <font>
      <name val="DIN Next LT Arabic"/>
      <charset val="1"/>
      <family val="0"/>
      <color rgb="FF9C5700"/>
      <sz val="10"/>
    </font>
    <font>
      <name val="DIN Next LT Arabic"/>
      <charset val="1"/>
      <family val="0"/>
      <b val="1"/>
      <color rgb="FFFFFFFF"/>
      <sz val="12"/>
    </font>
    <font>
      <name val="DIN Next LT Arabic"/>
      <charset val="1"/>
      <family val="0"/>
      <i val="1"/>
      <color rgb="FF1B5E20"/>
      <sz val="10"/>
    </font>
    <font>
      <name val="DIN Next LT Arabic"/>
      <charset val="1"/>
      <family val="0"/>
      <b val="1"/>
      <color rgb="FF9C0006"/>
      <sz val="12"/>
    </font>
    <font>
      <name val="DIN Next LT Arabic"/>
      <charset val="1"/>
      <family val="0"/>
      <i val="1"/>
      <color rgb="FF9C0006"/>
      <sz val="10"/>
    </font>
    <font>
      <name val="DIN Next LT Arabic"/>
      <charset val="1"/>
      <family val="0"/>
      <b val="1"/>
      <color rgb="FFFFFFFF"/>
      <sz val="16"/>
    </font>
    <font>
      <name val="DIN Next LT Arabic"/>
      <charset val="1"/>
      <family val="0"/>
      <b val="1"/>
      <color rgb="FFC04E0E"/>
      <sz val="32"/>
    </font>
    <font>
      <name val="DIN Next LT Arabic"/>
      <charset val="1"/>
      <family val="0"/>
      <b val="1"/>
      <color rgb="FF1B5E20"/>
      <sz val="28"/>
    </font>
    <font>
      <name val="DIN Next LT Arabic"/>
      <charset val="1"/>
      <family val="0"/>
      <b val="1"/>
      <color rgb="FF0D47A1"/>
      <sz val="24"/>
    </font>
    <font>
      <name val="DIN Next LT Arabic"/>
      <charset val="1"/>
      <family val="0"/>
      <b val="1"/>
      <color rgb="FF5E35B1"/>
      <sz val="18"/>
    </font>
    <font>
      <name val="DIN Next LT Arabic"/>
      <charset val="1"/>
      <family val="0"/>
      <b val="1"/>
      <color rgb="FFFFFFFF"/>
      <sz val="18"/>
    </font>
    <font>
      <name val="DIN Next LT Arabic"/>
      <charset val="1"/>
      <family val="0"/>
      <i val="1"/>
      <color rgb="FF000000"/>
      <sz val="11"/>
    </font>
    <font>
      <name val="DIN Next LT Arabic"/>
      <charset val="1"/>
      <family val="0"/>
      <b val="1"/>
      <color rgb="FF37474F"/>
      <sz val="13"/>
    </font>
    <font>
      <name val="DIN Next LT Arabic"/>
      <charset val="1"/>
      <family val="0"/>
      <color rgb="FF000000"/>
      <sz val="12"/>
    </font>
    <font>
      <name val="DIN Next LT Arabic"/>
      <charset val="1"/>
      <family val="0"/>
      <b val="1"/>
      <color rgb="FF006100"/>
      <sz val="13"/>
    </font>
    <font>
      <name val="DIN Next LT Arabic"/>
      <charset val="1"/>
      <family val="0"/>
      <b val="1"/>
      <color rgb="FF263238"/>
      <sz val="13"/>
    </font>
    <font>
      <name val="DIN Next LT Arabic"/>
      <charset val="1"/>
      <family val="0"/>
      <b val="1"/>
      <color rgb="FFE65100"/>
      <sz val="13"/>
    </font>
    <font>
      <b val="1"/>
      <color rgb="FFFFD54A"/>
    </font>
    <font>
      <b val="1"/>
    </font>
    <font>
      <b val="1"/>
      <color rgb="FFE8EEFC"/>
    </font>
    <font>
      <color rgb="FFE8EEFC"/>
    </font>
  </fonts>
  <fills count="31">
    <fill>
      <patternFill/>
    </fill>
    <fill>
      <patternFill patternType="gray125"/>
    </fill>
    <fill>
      <patternFill patternType="solid">
        <fgColor rgb="FFF18321"/>
        <bgColor rgb="FFF57F17"/>
      </patternFill>
    </fill>
    <fill>
      <patternFill patternType="solid">
        <fgColor rgb="FF3D3D3D"/>
        <bgColor rgb="FF424242"/>
      </patternFill>
    </fill>
    <fill>
      <patternFill patternType="solid">
        <fgColor rgb="FFFEF0E6"/>
        <bgColor rgb="FFFFF3E0"/>
      </patternFill>
    </fill>
    <fill>
      <patternFill patternType="solid">
        <fgColor rgb="FFE3F2FD"/>
        <bgColor rgb="FFECEFF1"/>
      </patternFill>
    </fill>
    <fill>
      <patternFill patternType="solid">
        <fgColor rgb="FFFFF3E0"/>
        <bgColor rgb="FFFEF0E6"/>
      </patternFill>
    </fill>
    <fill>
      <patternFill patternType="solid">
        <fgColor rgb="FFFFFFFF"/>
        <bgColor rgb="FFFFFCE6"/>
      </patternFill>
    </fill>
    <fill>
      <patternFill patternType="solid">
        <fgColor rgb="FFECEFF1"/>
        <bgColor rgb="FFE8F5E9"/>
      </patternFill>
    </fill>
    <fill>
      <patternFill patternType="solid">
        <fgColor rgb="FFF0F8FF"/>
        <bgColor rgb="FFF5F5F5"/>
      </patternFill>
    </fill>
    <fill>
      <patternFill patternType="solid">
        <fgColor rgb="FFC6EFCE"/>
        <bgColor rgb="FFE2E3E3"/>
      </patternFill>
    </fill>
    <fill>
      <patternFill patternType="solid">
        <fgColor rgb="FFFFC7CE"/>
        <bgColor rgb="FFFDD8B5"/>
      </patternFill>
    </fill>
    <fill>
      <patternFill patternType="solid">
        <fgColor rgb="FFB0BEC5"/>
        <bgColor rgb="FFBDBDBD"/>
      </patternFill>
    </fill>
    <fill>
      <patternFill patternType="solid">
        <fgColor rgb="FFFFB74D"/>
        <bgColor rgb="FFFFCC80"/>
      </patternFill>
    </fill>
    <fill>
      <patternFill patternType="solid">
        <fgColor rgb="FF5E35B1"/>
        <bgColor rgb="FF555555"/>
      </patternFill>
    </fill>
    <fill>
      <patternFill patternType="solid">
        <fgColor rgb="FFF5F5F5"/>
        <bgColor rgb="FFF0F8FF"/>
      </patternFill>
    </fill>
    <fill>
      <patternFill patternType="solid">
        <fgColor rgb="FFFFFCE6"/>
        <bgColor rgb="FFFFF3E0"/>
      </patternFill>
    </fill>
    <fill>
      <patternFill patternType="solid">
        <fgColor rgb="FF0277BD"/>
        <bgColor rgb="FF008080"/>
      </patternFill>
    </fill>
    <fill>
      <patternFill patternType="solid">
        <fgColor rgb="FF388E3C"/>
        <bgColor rgb="FF008080"/>
      </patternFill>
    </fill>
    <fill>
      <patternFill patternType="solid">
        <fgColor rgb="FFE8F5E9"/>
        <bgColor rgb="FFECEFF1"/>
      </patternFill>
    </fill>
    <fill>
      <patternFill patternType="solid">
        <fgColor rgb="FFFFF9C4"/>
        <bgColor rgb="FFFFF3E0"/>
      </patternFill>
    </fill>
    <fill>
      <patternFill patternType="solid">
        <fgColor rgb="FFF3E5F5"/>
        <bgColor rgb="FFECEFF1"/>
      </patternFill>
    </fill>
    <fill>
      <patternFill patternType="solid">
        <fgColor rgb="FF0D47A1"/>
        <bgColor rgb="FF37474F"/>
      </patternFill>
    </fill>
    <fill>
      <patternFill patternType="solid">
        <fgColor rgb="FFFFE0B2"/>
        <bgColor rgb="FFFDD8B5"/>
      </patternFill>
    </fill>
    <fill>
      <patternFill patternType="solid">
        <fgColor rgb="FFFFEB9C"/>
        <bgColor rgb="FFFFE0B2"/>
      </patternFill>
    </fill>
    <fill>
      <patternFill patternType="solid">
        <fgColor rgb="FFFDD8B5"/>
        <bgColor rgb="FFFFE0B2"/>
      </patternFill>
    </fill>
    <fill>
      <patternFill patternType="solid">
        <fgColor rgb="FF9C0006"/>
        <bgColor rgb="FF800000"/>
      </patternFill>
    </fill>
    <fill>
      <patternFill patternType="solid">
        <fgColor rgb="FF1B5E20"/>
        <bgColor rgb="FF006100"/>
      </patternFill>
    </fill>
    <fill>
      <patternFill patternType="solid">
        <fgColor rgb="FFC04E0E"/>
        <bgColor rgb="FF9C5700"/>
      </patternFill>
    </fill>
    <fill>
      <patternFill patternType="solid">
        <fgColor rgb="FFF6D26B"/>
      </patternFill>
    </fill>
    <fill>
      <patternFill patternType="solid">
        <fgColor rgb="FF16223C"/>
      </patternFill>
    </fill>
  </fills>
  <borders count="9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 readingOrder="2"/>
    </xf>
    <xf numFmtId="0" fontId="5" fillId="3" borderId="0" applyAlignment="1" pivotButton="0" quotePrefix="0" xfId="0">
      <alignment horizontal="center" vertical="center" wrapText="1" readingOrder="2"/>
    </xf>
    <xf numFmtId="0" fontId="6" fillId="4" borderId="0" applyAlignment="1" pivotButton="0" quotePrefix="0" xfId="0">
      <alignment horizontal="center" vertical="center" wrapText="1" readingOrder="2"/>
    </xf>
    <xf numFmtId="0" fontId="7" fillId="5" borderId="0" applyAlignment="1" pivotButton="0" quotePrefix="0" xfId="0">
      <alignment horizontal="center" vertical="center" wrapText="1" readingOrder="2"/>
    </xf>
    <xf numFmtId="0" fontId="8" fillId="6" borderId="0" applyAlignment="1" pivotButton="0" quotePrefix="0" xfId="0">
      <alignment horizontal="center" vertical="center" wrapText="1" readingOrder="2"/>
    </xf>
    <xf numFmtId="10" fontId="9" fillId="7" borderId="0" applyAlignment="1" pivotButton="0" quotePrefix="0" xfId="0">
      <alignment horizontal="center" vertical="center" wrapText="1" readingOrder="2"/>
    </xf>
    <xf numFmtId="10" fontId="10" fillId="7" borderId="0" applyAlignment="1" pivotButton="0" quotePrefix="0" xfId="0">
      <alignment horizontal="center" vertical="center" wrapText="1" readingOrder="2"/>
    </xf>
    <xf numFmtId="10" fontId="11" fillId="7" borderId="0" applyAlignment="1" pivotButton="0" quotePrefix="0" xfId="0">
      <alignment horizontal="center" vertical="center" wrapText="1" readingOrder="2"/>
    </xf>
    <xf numFmtId="0" fontId="12" fillId="4" borderId="0" applyAlignment="1" pivotButton="0" quotePrefix="0" xfId="0">
      <alignment horizontal="center" vertical="center" wrapText="1" readingOrder="2"/>
    </xf>
    <xf numFmtId="0" fontId="13" fillId="5" borderId="0" applyAlignment="1" pivotButton="0" quotePrefix="0" xfId="0">
      <alignment horizontal="center" vertical="center" wrapText="1" readingOrder="2"/>
    </xf>
    <xf numFmtId="0" fontId="14" fillId="6" borderId="0" applyAlignment="1" pivotButton="0" quotePrefix="0" xfId="0">
      <alignment horizontal="center" vertical="center" wrapText="1" readingOrder="2"/>
    </xf>
    <xf numFmtId="0" fontId="15" fillId="2" borderId="0" applyAlignment="1" pivotButton="0" quotePrefix="0" xfId="0">
      <alignment horizontal="center" vertical="center" wrapText="1" readingOrder="2"/>
    </xf>
    <xf numFmtId="0" fontId="16" fillId="3" borderId="1" applyAlignment="1" pivotButton="0" quotePrefix="0" xfId="0">
      <alignment horizontal="center" vertical="center" wrapText="1" readingOrder="2"/>
    </xf>
    <xf numFmtId="0" fontId="17" fillId="8" borderId="1" applyAlignment="1" pivotButton="0" quotePrefix="0" xfId="0">
      <alignment horizontal="right" vertical="center" wrapText="1" readingOrder="2"/>
    </xf>
    <xf numFmtId="3" fontId="18" fillId="7" borderId="1" applyAlignment="1" pivotButton="0" quotePrefix="0" xfId="0">
      <alignment horizontal="center" vertical="center" wrapText="1" readingOrder="2"/>
    </xf>
    <xf numFmtId="164" fontId="19" fillId="7" borderId="1" applyAlignment="1" pivotButton="0" quotePrefix="0" xfId="0">
      <alignment horizontal="center" vertical="center" wrapText="1" readingOrder="2"/>
    </xf>
    <xf numFmtId="165" fontId="19" fillId="7" borderId="1" applyAlignment="1" pivotButton="0" quotePrefix="0" xfId="0">
      <alignment horizontal="center" vertical="center" wrapText="1" readingOrder="2"/>
    </xf>
    <xf numFmtId="3" fontId="20" fillId="9" borderId="1" applyAlignment="1" pivotButton="0" quotePrefix="0" xfId="0">
      <alignment horizontal="center" vertical="center" wrapText="1" readingOrder="2"/>
    </xf>
    <xf numFmtId="164" fontId="21" fillId="10" borderId="1" applyAlignment="1" pivotButton="0" quotePrefix="0" xfId="0">
      <alignment horizontal="center" vertical="center" wrapText="1" readingOrder="2"/>
    </xf>
    <xf numFmtId="10" fontId="6" fillId="4" borderId="1" applyAlignment="1" pivotButton="0" quotePrefix="0" xfId="0">
      <alignment horizontal="center" vertical="center" wrapText="1" readingOrder="2"/>
    </xf>
    <xf numFmtId="165" fontId="22" fillId="11" borderId="1" applyAlignment="1" pivotButton="0" quotePrefix="0" xfId="0">
      <alignment horizontal="center" vertical="center" wrapText="1" readingOrder="2"/>
    </xf>
    <xf numFmtId="0" fontId="23" fillId="12" borderId="1" applyAlignment="1" pivotButton="0" quotePrefix="0" xfId="0">
      <alignment horizontal="right" vertical="center" wrapText="1" readingOrder="2"/>
    </xf>
    <xf numFmtId="0" fontId="8" fillId="13" borderId="1" applyAlignment="1" pivotButton="0" quotePrefix="0" xfId="0">
      <alignment horizontal="right" vertical="center" wrapText="1" readingOrder="2"/>
    </xf>
    <xf numFmtId="0" fontId="19" fillId="7" borderId="1" applyAlignment="1" pivotButton="0" quotePrefix="0" xfId="0">
      <alignment horizontal="center" vertical="center" wrapText="1" readingOrder="2"/>
    </xf>
    <xf numFmtId="0" fontId="15" fillId="14" borderId="0" applyAlignment="1" pivotButton="0" quotePrefix="0" xfId="0">
      <alignment horizontal="center" vertical="center" wrapText="1" readingOrder="2"/>
    </xf>
    <xf numFmtId="0" fontId="24" fillId="14" borderId="1" applyAlignment="1" pivotButton="0" quotePrefix="0" xfId="0">
      <alignment horizontal="center" vertical="center" wrapText="1" readingOrder="2"/>
    </xf>
    <xf numFmtId="0" fontId="22" fillId="11" borderId="1" applyAlignment="1" pivotButton="0" quotePrefix="0" xfId="0">
      <alignment horizontal="center" vertical="center" wrapText="1" readingOrder="2"/>
    </xf>
    <xf numFmtId="0" fontId="25" fillId="8" borderId="1" applyAlignment="1" pivotButton="0" quotePrefix="0" xfId="0">
      <alignment horizontal="center" vertical="center" wrapText="1" readingOrder="2"/>
    </xf>
    <xf numFmtId="0" fontId="26" fillId="12" borderId="1" applyAlignment="1" pivotButton="0" quotePrefix="0" xfId="0">
      <alignment horizontal="center" vertical="center" wrapText="1" readingOrder="2"/>
    </xf>
    <xf numFmtId="0" fontId="27" fillId="13" borderId="1" applyAlignment="1" pivotButton="0" quotePrefix="0" xfId="0">
      <alignment horizontal="center" vertical="center" wrapText="1" readingOrder="2"/>
    </xf>
    <xf numFmtId="0" fontId="28" fillId="10" borderId="1" applyAlignment="1" pivotButton="0" quotePrefix="0" xfId="0">
      <alignment horizontal="center" vertical="center" wrapText="1" readingOrder="2"/>
    </xf>
    <xf numFmtId="0" fontId="29" fillId="15" borderId="1" applyAlignment="1" pivotButton="0" quotePrefix="0" xfId="0">
      <alignment horizontal="right" vertical="center" wrapText="1" readingOrder="2"/>
    </xf>
    <xf numFmtId="0" fontId="30" fillId="11" borderId="1" applyAlignment="1" pivotButton="0" quotePrefix="0" xfId="0">
      <alignment horizontal="center" vertical="center" wrapText="1" readingOrder="2"/>
    </xf>
    <xf numFmtId="0" fontId="31" fillId="4" borderId="1" applyAlignment="1" pivotButton="0" quotePrefix="0" xfId="0">
      <alignment horizontal="right" vertical="center" wrapText="1" readingOrder="2"/>
    </xf>
    <xf numFmtId="0" fontId="16" fillId="3" borderId="0" applyAlignment="1" pivotButton="0" quotePrefix="0" xfId="0">
      <alignment horizontal="center" vertical="center" wrapText="1" readingOrder="2"/>
    </xf>
    <xf numFmtId="0" fontId="4" fillId="2" borderId="2" applyAlignment="1" pivotButton="0" quotePrefix="0" xfId="0">
      <alignment horizontal="center" vertical="center" wrapText="1" readingOrder="2"/>
    </xf>
    <xf numFmtId="0" fontId="32" fillId="3" borderId="2" applyAlignment="1" pivotButton="0" quotePrefix="0" xfId="0">
      <alignment horizontal="center" vertical="center" wrapText="1" readingOrder="2"/>
    </xf>
    <xf numFmtId="0" fontId="15" fillId="2" borderId="2" applyAlignment="1" pivotButton="0" quotePrefix="0" xfId="0">
      <alignment horizontal="center" vertical="center" wrapText="1" readingOrder="2"/>
    </xf>
    <xf numFmtId="0" fontId="33" fillId="15" borderId="1" applyAlignment="1" pivotButton="0" quotePrefix="0" xfId="0">
      <alignment horizontal="center" vertical="center" wrapText="1" readingOrder="2"/>
    </xf>
    <xf numFmtId="3" fontId="34" fillId="16" borderId="1" applyAlignment="1" pivotButton="0" quotePrefix="0" xfId="0">
      <alignment horizontal="center" vertical="center" wrapText="1" readingOrder="2"/>
    </xf>
    <xf numFmtId="0" fontId="35" fillId="7" borderId="1" applyAlignment="1" pivotButton="0" quotePrefix="0" xfId="0">
      <alignment horizontal="right" vertical="center" wrapText="1" readingOrder="2"/>
    </xf>
    <xf numFmtId="0" fontId="36" fillId="7" borderId="1" applyAlignment="1" pivotButton="0" quotePrefix="0" xfId="0">
      <alignment horizontal="center" vertical="center" wrapText="1" readingOrder="2"/>
    </xf>
    <xf numFmtId="2" fontId="34" fillId="16" borderId="1" applyAlignment="1" pivotButton="0" quotePrefix="0" xfId="0">
      <alignment horizontal="center" vertical="center" wrapText="1" readingOrder="2"/>
    </xf>
    <xf numFmtId="0" fontId="15" fillId="17" borderId="2" applyAlignment="1" pivotButton="0" quotePrefix="0" xfId="0">
      <alignment horizontal="center" vertical="center" wrapText="1" readingOrder="2"/>
    </xf>
    <xf numFmtId="0" fontId="37" fillId="5" borderId="1" applyAlignment="1" pivotButton="0" quotePrefix="0" xfId="0">
      <alignment horizontal="right" vertical="center" wrapText="1" readingOrder="2"/>
    </xf>
    <xf numFmtId="3" fontId="38" fillId="16" borderId="1" applyAlignment="1" pivotButton="0" quotePrefix="0" xfId="0">
      <alignment horizontal="center" vertical="center" wrapText="1" readingOrder="2"/>
    </xf>
    <xf numFmtId="0" fontId="0" fillId="0" borderId="0" applyAlignment="1" pivotButton="0" quotePrefix="0" xfId="0">
      <alignment horizontal="general" vertical="bottom"/>
    </xf>
    <xf numFmtId="0" fontId="15" fillId="18" borderId="2" applyAlignment="1" pivotButton="0" quotePrefix="0" xfId="0">
      <alignment horizontal="center" vertical="center" wrapText="1" readingOrder="2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39" fillId="19" borderId="1" applyAlignment="1" pivotButton="0" quotePrefix="0" xfId="0">
      <alignment horizontal="right" vertical="center" wrapText="1" readingOrder="2"/>
    </xf>
    <xf numFmtId="3" fontId="40" fillId="16" borderId="1" applyAlignment="1" pivotButton="0" quotePrefix="0" xfId="0">
      <alignment horizontal="center" vertical="center" wrapText="1" readingOrder="2"/>
    </xf>
    <xf numFmtId="166" fontId="40" fillId="16" borderId="1" applyAlignment="1" pivotButton="0" quotePrefix="0" xfId="0">
      <alignment horizontal="center" vertical="center" wrapText="1" readingOrder="2"/>
    </xf>
    <xf numFmtId="9" fontId="40" fillId="16" borderId="1" applyAlignment="1" pivotButton="0" quotePrefix="0" xfId="0">
      <alignment horizontal="center" vertical="center" wrapText="1" readingOrder="2"/>
    </xf>
    <xf numFmtId="0" fontId="41" fillId="20" borderId="2" applyAlignment="1" pivotButton="0" quotePrefix="0" xfId="0">
      <alignment horizontal="center" vertical="center" wrapText="1" readingOrder="2"/>
    </xf>
    <xf numFmtId="0" fontId="32" fillId="3" borderId="0" applyAlignment="1" pivotButton="0" quotePrefix="0" xfId="0">
      <alignment horizontal="center" vertical="center" wrapText="1" readingOrder="2"/>
    </xf>
    <xf numFmtId="0" fontId="42" fillId="5" borderId="0" applyAlignment="1" pivotButton="0" quotePrefix="0" xfId="0">
      <alignment horizontal="center" vertical="center" wrapText="1" readingOrder="2"/>
    </xf>
    <xf numFmtId="0" fontId="0" fillId="15" borderId="0" applyAlignment="1" pivotButton="0" quotePrefix="0" xfId="0">
      <alignment horizontal="general" vertical="bottom"/>
    </xf>
    <xf numFmtId="0" fontId="43" fillId="21" borderId="0" applyAlignment="1" pivotButton="0" quotePrefix="0" xfId="0">
      <alignment horizontal="center" vertical="center" wrapText="1" readingOrder="2"/>
    </xf>
    <xf numFmtId="0" fontId="44" fillId="5" borderId="0" applyAlignment="1" pivotButton="0" quotePrefix="0" xfId="0">
      <alignment horizontal="center" vertical="center" wrapText="1" readingOrder="2"/>
    </xf>
    <xf numFmtId="0" fontId="45" fillId="21" borderId="0" applyAlignment="1" pivotButton="0" quotePrefix="0" xfId="0">
      <alignment horizontal="center" vertical="center" wrapText="1" readingOrder="2"/>
    </xf>
    <xf numFmtId="0" fontId="19" fillId="7" borderId="1" applyAlignment="1" pivotButton="0" quotePrefix="0" xfId="0">
      <alignment horizontal="right" vertical="center" wrapText="1" readingOrder="2"/>
    </xf>
    <xf numFmtId="0" fontId="15" fillId="17" borderId="0" applyAlignment="1" pivotButton="0" quotePrefix="0" xfId="0">
      <alignment horizontal="center" vertical="center" wrapText="1" readingOrder="2"/>
    </xf>
    <xf numFmtId="0" fontId="24" fillId="3" borderId="1" applyAlignment="1" pivotButton="0" quotePrefix="0" xfId="0">
      <alignment horizontal="center" vertical="center" wrapText="1" readingOrder="2"/>
    </xf>
    <xf numFmtId="0" fontId="24" fillId="22" borderId="1" applyAlignment="1" pivotButton="0" quotePrefix="0" xfId="0">
      <alignment horizontal="center" vertical="center" wrapText="1" readingOrder="2"/>
    </xf>
    <xf numFmtId="0" fontId="46" fillId="5" borderId="1" applyAlignment="1" pivotButton="0" quotePrefix="0" xfId="0">
      <alignment horizontal="center" vertical="center" wrapText="1" readingOrder="2"/>
    </xf>
    <xf numFmtId="0" fontId="47" fillId="21" borderId="1" applyAlignment="1" pivotButton="0" quotePrefix="0" xfId="0">
      <alignment horizontal="center" vertical="center" wrapText="1" readingOrder="2"/>
    </xf>
    <xf numFmtId="0" fontId="46" fillId="5" borderId="1" applyAlignment="1" pivotButton="0" quotePrefix="0" xfId="0">
      <alignment horizontal="right" vertical="center" wrapText="1" readingOrder="2"/>
    </xf>
    <xf numFmtId="0" fontId="47" fillId="21" borderId="1" applyAlignment="1" pivotButton="0" quotePrefix="0" xfId="0">
      <alignment horizontal="right" vertical="center" wrapText="1" readingOrder="2"/>
    </xf>
    <xf numFmtId="0" fontId="15" fillId="18" borderId="0" applyAlignment="1" pivotButton="0" quotePrefix="0" xfId="0">
      <alignment horizontal="center" vertical="center" wrapText="1" readingOrder="2"/>
    </xf>
    <xf numFmtId="0" fontId="21" fillId="10" borderId="1" applyAlignment="1" pivotButton="0" quotePrefix="0" xfId="0">
      <alignment horizontal="right" vertical="center" wrapText="1" readingOrder="2"/>
    </xf>
    <xf numFmtId="0" fontId="34" fillId="4" borderId="1" applyAlignment="1" pivotButton="0" quotePrefix="0" xfId="0">
      <alignment horizontal="right" vertical="center" wrapText="1" readingOrder="2"/>
    </xf>
    <xf numFmtId="165" fontId="48" fillId="16" borderId="1" applyAlignment="1" pivotButton="0" quotePrefix="0" xfId="0">
      <alignment horizontal="center" vertical="center" wrapText="1" readingOrder="2"/>
    </xf>
    <xf numFmtId="0" fontId="49" fillId="7" borderId="1" applyAlignment="1" pivotButton="0" quotePrefix="0" xfId="0">
      <alignment horizontal="right" vertical="center" wrapText="1" readingOrder="2"/>
    </xf>
    <xf numFmtId="0" fontId="29" fillId="15" borderId="1" applyAlignment="1" pivotButton="0" quotePrefix="0" xfId="0">
      <alignment horizontal="center" vertical="center" wrapText="1" readingOrder="2"/>
    </xf>
    <xf numFmtId="0" fontId="50" fillId="21" borderId="1" applyAlignment="1" pivotButton="0" quotePrefix="0" xfId="0">
      <alignment horizontal="center" vertical="center" wrapText="1" readingOrder="2"/>
    </xf>
    <xf numFmtId="0" fontId="37" fillId="5" borderId="1" applyAlignment="1" pivotButton="0" quotePrefix="0" xfId="0">
      <alignment horizontal="center" vertical="center" wrapText="1" readingOrder="2"/>
    </xf>
    <xf numFmtId="0" fontId="28" fillId="19" borderId="1" applyAlignment="1" pivotButton="0" quotePrefix="0" xfId="0">
      <alignment horizontal="center" vertical="center" wrapText="1" readingOrder="2"/>
    </xf>
    <xf numFmtId="165" fontId="51" fillId="7" borderId="1" applyAlignment="1" pivotButton="0" quotePrefix="0" xfId="0">
      <alignment horizontal="center" vertical="center" wrapText="1" readingOrder="2"/>
    </xf>
    <xf numFmtId="0" fontId="52" fillId="7" borderId="1" applyAlignment="1" pivotButton="0" quotePrefix="0" xfId="0">
      <alignment horizontal="center" vertical="center" wrapText="1" readingOrder="2"/>
    </xf>
    <xf numFmtId="3" fontId="53" fillId="7" borderId="1" applyAlignment="1" pivotButton="0" quotePrefix="0" xfId="0">
      <alignment horizontal="center" vertical="center" wrapText="1" readingOrder="2"/>
    </xf>
    <xf numFmtId="165" fontId="54" fillId="7" borderId="1" applyAlignment="1" pivotButton="0" quotePrefix="0" xfId="0">
      <alignment horizontal="center" vertical="center" wrapText="1" readingOrder="2"/>
    </xf>
    <xf numFmtId="0" fontId="55" fillId="15" borderId="1" applyAlignment="1" pivotButton="0" quotePrefix="0" xfId="0">
      <alignment horizontal="center" vertical="center" wrapText="1" readingOrder="2"/>
    </xf>
    <xf numFmtId="0" fontId="56" fillId="21" borderId="1" applyAlignment="1" pivotButton="0" quotePrefix="0" xfId="0">
      <alignment horizontal="center" vertical="center" wrapText="1" readingOrder="2"/>
    </xf>
    <xf numFmtId="0" fontId="57" fillId="5" borderId="1" applyAlignment="1" pivotButton="0" quotePrefix="0" xfId="0">
      <alignment horizontal="center" vertical="center" wrapText="1" readingOrder="2"/>
    </xf>
    <xf numFmtId="0" fontId="58" fillId="19" borderId="1" applyAlignment="1" pivotButton="0" quotePrefix="0" xfId="0">
      <alignment horizontal="center" vertical="center" wrapText="1" readingOrder="2"/>
    </xf>
    <xf numFmtId="0" fontId="6" fillId="4" borderId="1" applyAlignment="1" pivotButton="0" quotePrefix="0" xfId="0">
      <alignment horizontal="right" vertical="center" wrapText="1" readingOrder="2"/>
    </xf>
    <xf numFmtId="0" fontId="59" fillId="7" borderId="1" applyAlignment="1" pivotButton="0" quotePrefix="0" xfId="0">
      <alignment horizontal="center" vertical="center" wrapText="1" readingOrder="2"/>
    </xf>
    <xf numFmtId="165" fontId="59" fillId="7" borderId="1" applyAlignment="1" pivotButton="0" quotePrefix="0" xfId="0">
      <alignment horizontal="center" vertical="center" wrapText="1" readingOrder="2"/>
    </xf>
    <xf numFmtId="0" fontId="60" fillId="15" borderId="1" applyAlignment="1" pivotButton="0" quotePrefix="0" xfId="0">
      <alignment horizontal="center" vertical="center" wrapText="1" readingOrder="2"/>
    </xf>
    <xf numFmtId="167" fontId="34" fillId="7" borderId="1" applyAlignment="1" pivotButton="0" quotePrefix="0" xfId="0">
      <alignment horizontal="center" vertical="center" wrapText="1" readingOrder="2"/>
    </xf>
    <xf numFmtId="0" fontId="41" fillId="20" borderId="1" applyAlignment="1" pivotButton="0" quotePrefix="0" xfId="0">
      <alignment horizontal="right" vertical="center" wrapText="1" readingOrder="2"/>
    </xf>
    <xf numFmtId="165" fontId="20" fillId="7" borderId="1" applyAlignment="1" pivotButton="0" quotePrefix="0" xfId="0">
      <alignment horizontal="center" vertical="center" wrapText="1" readingOrder="2"/>
    </xf>
    <xf numFmtId="165" fontId="36" fillId="9" borderId="1" applyAlignment="1" pivotButton="0" quotePrefix="0" xfId="0">
      <alignment horizontal="center" vertical="center" wrapText="1" readingOrder="2"/>
    </xf>
    <xf numFmtId="0" fontId="20" fillId="7" borderId="1" applyAlignment="1" pivotButton="0" quotePrefix="0" xfId="0">
      <alignment horizontal="center" vertical="center" wrapText="1" readingOrder="2"/>
    </xf>
    <xf numFmtId="3" fontId="37" fillId="5" borderId="1" applyAlignment="1" pivotButton="0" quotePrefix="0" xfId="0">
      <alignment horizontal="center" vertical="center" wrapText="1" readingOrder="2"/>
    </xf>
    <xf numFmtId="165" fontId="21" fillId="10" borderId="1" applyAlignment="1" pivotButton="0" quotePrefix="0" xfId="0">
      <alignment horizontal="center" vertical="center" wrapText="1" readingOrder="2"/>
    </xf>
    <xf numFmtId="10" fontId="31" fillId="4" borderId="1" applyAlignment="1" pivotButton="0" quotePrefix="0" xfId="0">
      <alignment horizontal="center" vertical="center" wrapText="1" readingOrder="2"/>
    </xf>
    <xf numFmtId="0" fontId="60" fillId="7" borderId="1" applyAlignment="1" pivotButton="0" quotePrefix="0" xfId="0">
      <alignment horizontal="right" vertical="center" wrapText="1" readingOrder="2"/>
    </xf>
    <xf numFmtId="0" fontId="61" fillId="19" borderId="1" applyAlignment="1" pivotButton="0" quotePrefix="0" xfId="0">
      <alignment horizontal="center" vertical="center" wrapText="1" readingOrder="2"/>
    </xf>
    <xf numFmtId="0" fontId="39" fillId="19" borderId="1" applyAlignment="1" pivotButton="0" quotePrefix="0" xfId="0">
      <alignment horizontal="center" vertical="center" wrapText="1" readingOrder="2"/>
    </xf>
    <xf numFmtId="0" fontId="62" fillId="19" borderId="1" applyAlignment="1" pivotButton="0" quotePrefix="0" xfId="0">
      <alignment horizontal="center" vertical="center" wrapText="1" readingOrder="2"/>
    </xf>
    <xf numFmtId="0" fontId="63" fillId="7" borderId="1" applyAlignment="1" pivotButton="0" quotePrefix="0" xfId="0">
      <alignment horizontal="right" vertical="center" wrapText="1" readingOrder="2"/>
    </xf>
    <xf numFmtId="0" fontId="31" fillId="7" borderId="1" applyAlignment="1" pivotButton="0" quotePrefix="0" xfId="0">
      <alignment horizontal="center" vertical="center" wrapText="1" readingOrder="2"/>
    </xf>
    <xf numFmtId="0" fontId="61" fillId="5" borderId="1" applyAlignment="1" pivotButton="0" quotePrefix="0" xfId="0">
      <alignment horizontal="center" vertical="center" wrapText="1" readingOrder="2"/>
    </xf>
    <xf numFmtId="0" fontId="7" fillId="5" borderId="1" applyAlignment="1" pivotButton="0" quotePrefix="0" xfId="0">
      <alignment horizontal="center" vertical="center" wrapText="1" readingOrder="2"/>
    </xf>
    <xf numFmtId="0" fontId="61" fillId="21" borderId="1" applyAlignment="1" pivotButton="0" quotePrefix="0" xfId="0">
      <alignment horizontal="center" vertical="center" wrapText="1" readingOrder="2"/>
    </xf>
    <xf numFmtId="0" fontId="64" fillId="21" borderId="1" applyAlignment="1" pivotButton="0" quotePrefix="0" xfId="0">
      <alignment horizontal="center" vertical="center" wrapText="1" readingOrder="2"/>
    </xf>
    <xf numFmtId="0" fontId="61" fillId="23" borderId="1" applyAlignment="1" pivotButton="0" quotePrefix="0" xfId="0">
      <alignment horizontal="center" vertical="center" wrapText="1" readingOrder="2"/>
    </xf>
    <xf numFmtId="0" fontId="31" fillId="23" borderId="1" applyAlignment="1" pivotButton="0" quotePrefix="0" xfId="0">
      <alignment horizontal="center" vertical="center" wrapText="1" readingOrder="2"/>
    </xf>
    <xf numFmtId="0" fontId="6" fillId="23" borderId="1" applyAlignment="1" pivotButton="0" quotePrefix="0" xfId="0">
      <alignment horizontal="center" vertical="center" wrapText="1" readingOrder="2"/>
    </xf>
    <xf numFmtId="0" fontId="65" fillId="19" borderId="1" applyAlignment="1" pivotButton="0" quotePrefix="0" xfId="0">
      <alignment horizontal="center" vertical="center" wrapText="1" readingOrder="2"/>
    </xf>
    <xf numFmtId="0" fontId="66" fillId="10" borderId="1" applyAlignment="1" pivotButton="0" quotePrefix="0" xfId="0">
      <alignment horizontal="right" vertical="center" wrapText="1" readingOrder="2"/>
    </xf>
    <xf numFmtId="0" fontId="67" fillId="11" borderId="1" applyAlignment="1" pivotButton="0" quotePrefix="0" xfId="0">
      <alignment horizontal="right" vertical="center" wrapText="1" readingOrder="2"/>
    </xf>
    <xf numFmtId="0" fontId="68" fillId="5" borderId="1" applyAlignment="1" pivotButton="0" quotePrefix="0" xfId="0">
      <alignment horizontal="center" vertical="center" wrapText="1" readingOrder="2"/>
    </xf>
    <xf numFmtId="0" fontId="69" fillId="21" borderId="1" applyAlignment="1" pivotButton="0" quotePrefix="0" xfId="0">
      <alignment horizontal="center" vertical="center" wrapText="1" readingOrder="2"/>
    </xf>
    <xf numFmtId="0" fontId="70" fillId="23" borderId="1" applyAlignment="1" pivotButton="0" quotePrefix="0" xfId="0">
      <alignment horizontal="center" vertical="center" wrapText="1" readingOrder="2"/>
    </xf>
    <xf numFmtId="0" fontId="70" fillId="4" borderId="1" applyAlignment="1" pivotButton="0" quotePrefix="0" xfId="0">
      <alignment horizontal="right" vertical="center" wrapText="1" readingOrder="2"/>
    </xf>
    <xf numFmtId="0" fontId="71" fillId="15" borderId="1" applyAlignment="1" pivotButton="0" quotePrefix="0" xfId="0">
      <alignment horizontal="right" vertical="center" wrapText="1" readingOrder="2"/>
    </xf>
    <xf numFmtId="0" fontId="33" fillId="7" borderId="1" applyAlignment="1" pivotButton="0" quotePrefix="0" xfId="0">
      <alignment horizontal="right" vertical="center" wrapText="1" readingOrder="2"/>
    </xf>
    <xf numFmtId="0" fontId="63" fillId="7" borderId="1" applyAlignment="1" pivotButton="0" quotePrefix="0" xfId="0">
      <alignment horizontal="center" vertical="center" wrapText="1" readingOrder="2"/>
    </xf>
    <xf numFmtId="165" fontId="63" fillId="7" borderId="1" applyAlignment="1" pivotButton="0" quotePrefix="0" xfId="0">
      <alignment horizontal="center" vertical="center" wrapText="1" readingOrder="2"/>
    </xf>
    <xf numFmtId="9" fontId="63" fillId="7" borderId="1" applyAlignment="1" pivotButton="0" quotePrefix="0" xfId="0">
      <alignment horizontal="center" vertical="center" wrapText="1" readingOrder="2"/>
    </xf>
    <xf numFmtId="166" fontId="63" fillId="7" borderId="1" applyAlignment="1" pivotButton="0" quotePrefix="0" xfId="0">
      <alignment horizontal="center" vertical="center" wrapText="1" readingOrder="2"/>
    </xf>
    <xf numFmtId="168" fontId="63" fillId="7" borderId="1" applyAlignment="1" pivotButton="0" quotePrefix="0" xfId="0">
      <alignment horizontal="center" vertical="center" wrapText="1" readingOrder="2"/>
    </xf>
    <xf numFmtId="0" fontId="71" fillId="7" borderId="1" applyAlignment="1" pivotButton="0" quotePrefix="0" xfId="0">
      <alignment horizontal="right" vertical="center" wrapText="1" readingOrder="2"/>
    </xf>
    <xf numFmtId="0" fontId="63" fillId="16" borderId="1" applyAlignment="1" pivotButton="0" quotePrefix="0" xfId="0">
      <alignment horizontal="right" vertical="center" wrapText="1" readingOrder="2"/>
    </xf>
    <xf numFmtId="0" fontId="63" fillId="16" borderId="1" applyAlignment="1" pivotButton="0" quotePrefix="0" xfId="0">
      <alignment horizontal="center" vertical="center" wrapText="1" readingOrder="2"/>
    </xf>
    <xf numFmtId="165" fontId="63" fillId="16" borderId="1" applyAlignment="1" pivotButton="0" quotePrefix="0" xfId="0">
      <alignment horizontal="center" vertical="center" wrapText="1" readingOrder="2"/>
    </xf>
    <xf numFmtId="9" fontId="63" fillId="16" borderId="1" applyAlignment="1" pivotButton="0" quotePrefix="0" xfId="0">
      <alignment horizontal="center" vertical="center" wrapText="1" readingOrder="2"/>
    </xf>
    <xf numFmtId="166" fontId="63" fillId="16" borderId="1" applyAlignment="1" pivotButton="0" quotePrefix="0" xfId="0">
      <alignment horizontal="center" vertical="center" wrapText="1" readingOrder="2"/>
    </xf>
    <xf numFmtId="168" fontId="63" fillId="16" borderId="1" applyAlignment="1" pivotButton="0" quotePrefix="0" xfId="0">
      <alignment horizontal="center" vertical="center" wrapText="1" readingOrder="2"/>
    </xf>
    <xf numFmtId="0" fontId="22" fillId="7" borderId="1" applyAlignment="1" pivotButton="0" quotePrefix="0" xfId="0">
      <alignment horizontal="center" vertical="center" wrapText="1" readingOrder="2"/>
    </xf>
    <xf numFmtId="0" fontId="13" fillId="5" borderId="1" applyAlignment="1" pivotButton="0" quotePrefix="0" xfId="0">
      <alignment horizontal="right" vertical="center" wrapText="1" readingOrder="2"/>
    </xf>
    <xf numFmtId="0" fontId="72" fillId="20" borderId="1" applyAlignment="1" pivotButton="0" quotePrefix="0" xfId="0">
      <alignment horizontal="right" vertical="center" wrapText="1" readingOrder="2"/>
    </xf>
    <xf numFmtId="0" fontId="73" fillId="24" borderId="1" applyAlignment="1" pivotButton="0" quotePrefix="0" xfId="0">
      <alignment horizontal="center" vertical="center" wrapText="1" readingOrder="2"/>
    </xf>
    <xf numFmtId="0" fontId="27" fillId="23" borderId="1" applyAlignment="1" pivotButton="0" quotePrefix="0" xfId="0">
      <alignment horizontal="right" vertical="center" wrapText="1" readingOrder="2"/>
    </xf>
    <xf numFmtId="0" fontId="6" fillId="4" borderId="1" applyAlignment="1" pivotButton="0" quotePrefix="0" xfId="0">
      <alignment horizontal="center" vertical="center" wrapText="1" readingOrder="2"/>
    </xf>
    <xf numFmtId="0" fontId="34" fillId="16" borderId="1" applyAlignment="1" pivotButton="0" quotePrefix="0" xfId="0">
      <alignment horizontal="center" vertical="center" wrapText="1" readingOrder="2"/>
    </xf>
    <xf numFmtId="165" fontId="34" fillId="16" borderId="1" applyAlignment="1" pivotButton="0" quotePrefix="0" xfId="0">
      <alignment horizontal="center" vertical="center" wrapText="1" readingOrder="2"/>
    </xf>
    <xf numFmtId="9" fontId="34" fillId="16" borderId="1" applyAlignment="1" pivotButton="0" quotePrefix="0" xfId="0">
      <alignment horizontal="center" vertical="center" wrapText="1" readingOrder="2"/>
    </xf>
    <xf numFmtId="169" fontId="34" fillId="16" borderId="1" applyAlignment="1" pivotButton="0" quotePrefix="0" xfId="0">
      <alignment horizontal="center" vertical="center" wrapText="1" readingOrder="2"/>
    </xf>
    <xf numFmtId="0" fontId="74" fillId="17" borderId="1" applyAlignment="1" pivotButton="0" quotePrefix="0" xfId="0">
      <alignment horizontal="center" vertical="center" wrapText="1" readingOrder="2"/>
    </xf>
    <xf numFmtId="165" fontId="75" fillId="7" borderId="1" applyAlignment="1" pivotButton="0" quotePrefix="0" xfId="0">
      <alignment horizontal="center" vertical="center" wrapText="1" readingOrder="2"/>
    </xf>
    <xf numFmtId="165" fontId="76" fillId="10" borderId="1" applyAlignment="1" pivotButton="0" quotePrefix="0" xfId="0">
      <alignment horizontal="center" vertical="center" wrapText="1" readingOrder="2"/>
    </xf>
    <xf numFmtId="165" fontId="77" fillId="11" borderId="1" applyAlignment="1" pivotButton="0" quotePrefix="0" xfId="0">
      <alignment horizontal="center" vertical="center" wrapText="1" readingOrder="2"/>
    </xf>
    <xf numFmtId="10" fontId="78" fillId="24" borderId="1" applyAlignment="1" pivotButton="0" quotePrefix="0" xfId="0">
      <alignment horizontal="center" vertical="center" wrapText="1" readingOrder="2"/>
    </xf>
    <xf numFmtId="170" fontId="76" fillId="10" borderId="1" applyAlignment="1" pivotButton="0" quotePrefix="0" xfId="0">
      <alignment horizontal="center" vertical="center" wrapText="1" readingOrder="2"/>
    </xf>
    <xf numFmtId="0" fontId="74" fillId="2" borderId="1" applyAlignment="1" pivotButton="0" quotePrefix="0" xfId="0">
      <alignment horizontal="center" vertical="center" wrapText="1" readingOrder="2"/>
    </xf>
    <xf numFmtId="171" fontId="79" fillId="25" borderId="1" applyAlignment="1" pivotButton="0" quotePrefix="0" xfId="0">
      <alignment horizontal="center" vertical="center" wrapText="1" readingOrder="2"/>
    </xf>
    <xf numFmtId="9" fontId="79" fillId="25" borderId="1" applyAlignment="1" pivotButton="0" quotePrefix="0" xfId="0">
      <alignment horizontal="center" vertical="center" wrapText="1" readingOrder="2"/>
    </xf>
    <xf numFmtId="0" fontId="4" fillId="2" borderId="1" applyAlignment="1" pivotButton="0" quotePrefix="0" xfId="0">
      <alignment horizontal="center" vertical="center" wrapText="1" readingOrder="2"/>
    </xf>
    <xf numFmtId="0" fontId="68" fillId="5" borderId="1" applyAlignment="1" pivotButton="0" quotePrefix="0" xfId="0">
      <alignment horizontal="right" vertical="center" wrapText="1" readingOrder="2"/>
    </xf>
    <xf numFmtId="0" fontId="80" fillId="10" borderId="1" applyAlignment="1" pivotButton="0" quotePrefix="0" xfId="0">
      <alignment horizontal="right" vertical="center" wrapText="1" readingOrder="2"/>
    </xf>
    <xf numFmtId="0" fontId="15" fillId="26" borderId="0" applyAlignment="1" pivotButton="0" quotePrefix="0" xfId="0">
      <alignment horizontal="center" vertical="center" wrapText="1" readingOrder="2"/>
    </xf>
    <xf numFmtId="0" fontId="81" fillId="11" borderId="1" applyAlignment="1" pivotButton="0" quotePrefix="0" xfId="0">
      <alignment horizontal="right" vertical="center" wrapText="1" readingOrder="2"/>
    </xf>
    <xf numFmtId="0" fontId="13" fillId="5" borderId="1" applyAlignment="1" pivotButton="0" quotePrefix="0" xfId="0">
      <alignment horizontal="center" vertical="center" wrapText="1" readingOrder="2"/>
    </xf>
    <xf numFmtId="0" fontId="67" fillId="11" borderId="1" applyAlignment="1" pivotButton="0" quotePrefix="0" xfId="0">
      <alignment horizontal="center" vertical="center" wrapText="1" readingOrder="2"/>
    </xf>
    <xf numFmtId="3" fontId="19" fillId="7" borderId="1" applyAlignment="1" pivotButton="0" quotePrefix="0" xfId="0">
      <alignment horizontal="center" vertical="center" wrapText="1" readingOrder="2"/>
    </xf>
    <xf numFmtId="3" fontId="6" fillId="4" borderId="1" applyAlignment="1" pivotButton="0" quotePrefix="0" xfId="0">
      <alignment horizontal="center" vertical="center" wrapText="1" readingOrder="2"/>
    </xf>
    <xf numFmtId="167" fontId="36" fillId="15" borderId="1" applyAlignment="1" pivotButton="0" quotePrefix="0" xfId="0">
      <alignment horizontal="center" vertical="center" wrapText="1" readingOrder="2"/>
    </xf>
    <xf numFmtId="0" fontId="82" fillId="24" borderId="1" applyAlignment="1" pivotButton="0" quotePrefix="0" xfId="0">
      <alignment horizontal="center" vertical="center" wrapText="1" readingOrder="2"/>
    </xf>
    <xf numFmtId="0" fontId="83" fillId="26" borderId="1" applyAlignment="1" pivotButton="0" quotePrefix="0" xfId="0">
      <alignment horizontal="right" vertical="center" wrapText="1" readingOrder="2"/>
    </xf>
    <xf numFmtId="0" fontId="83" fillId="26" borderId="1" applyAlignment="1" pivotButton="0" quotePrefix="0" xfId="0">
      <alignment horizontal="center" vertical="center" wrapText="1" readingOrder="2"/>
    </xf>
    <xf numFmtId="3" fontId="74" fillId="26" borderId="1" applyAlignment="1" pivotButton="0" quotePrefix="0" xfId="0">
      <alignment horizontal="center" vertical="center" wrapText="1" readingOrder="2"/>
    </xf>
    <xf numFmtId="3" fontId="15" fillId="26" borderId="1" applyAlignment="1" pivotButton="0" quotePrefix="0" xfId="0">
      <alignment horizontal="center" vertical="center" wrapText="1" readingOrder="2"/>
    </xf>
    <xf numFmtId="0" fontId="15" fillId="27" borderId="0" applyAlignment="1" pivotButton="0" quotePrefix="0" xfId="0">
      <alignment horizontal="center" vertical="center" wrapText="1" readingOrder="2"/>
    </xf>
    <xf numFmtId="0" fontId="66" fillId="10" borderId="1" applyAlignment="1" pivotButton="0" quotePrefix="0" xfId="0">
      <alignment horizontal="center" vertical="center" wrapText="1" readingOrder="2"/>
    </xf>
    <xf numFmtId="3" fontId="62" fillId="19" borderId="1" applyAlignment="1" pivotButton="0" quotePrefix="0" xfId="0">
      <alignment horizontal="center" vertical="center" wrapText="1" readingOrder="2"/>
    </xf>
    <xf numFmtId="0" fontId="83" fillId="27" borderId="1" applyAlignment="1" pivotButton="0" quotePrefix="0" xfId="0">
      <alignment horizontal="right" vertical="center" wrapText="1" readingOrder="2"/>
    </xf>
    <xf numFmtId="0" fontId="83" fillId="27" borderId="1" applyAlignment="1" pivotButton="0" quotePrefix="0" xfId="0">
      <alignment horizontal="center" vertical="center" wrapText="1" readingOrder="2"/>
    </xf>
    <xf numFmtId="3" fontId="74" fillId="27" borderId="1" applyAlignment="1" pivotButton="0" quotePrefix="0" xfId="0">
      <alignment horizontal="center" vertical="center" wrapText="1" readingOrder="2"/>
    </xf>
    <xf numFmtId="3" fontId="15" fillId="27" borderId="1" applyAlignment="1" pivotButton="0" quotePrefix="0" xfId="0">
      <alignment horizontal="center" vertical="center" wrapText="1" readingOrder="2"/>
    </xf>
    <xf numFmtId="0" fontId="62" fillId="19" borderId="1" applyAlignment="1" pivotButton="0" quotePrefix="0" xfId="0">
      <alignment horizontal="right" vertical="center" wrapText="1" readingOrder="2"/>
    </xf>
    <xf numFmtId="0" fontId="63" fillId="19" borderId="1" applyAlignment="1" pivotButton="0" quotePrefix="0" xfId="0">
      <alignment horizontal="center" vertical="center" wrapText="1" readingOrder="2"/>
    </xf>
    <xf numFmtId="3" fontId="39" fillId="19" borderId="1" applyAlignment="1" pivotButton="0" quotePrefix="0" xfId="0">
      <alignment horizontal="center" vertical="center" wrapText="1" readingOrder="2"/>
    </xf>
    <xf numFmtId="0" fontId="84" fillId="19" borderId="1" applyAlignment="1" pivotButton="0" quotePrefix="0" xfId="0">
      <alignment horizontal="center" vertical="center" wrapText="1" readingOrder="2"/>
    </xf>
    <xf numFmtId="0" fontId="85" fillId="11" borderId="1" applyAlignment="1" pivotButton="0" quotePrefix="0" xfId="0">
      <alignment horizontal="right" vertical="center" wrapText="1" readingOrder="2"/>
    </xf>
    <xf numFmtId="0" fontId="63" fillId="11" borderId="1" applyAlignment="1" pivotButton="0" quotePrefix="0" xfId="0">
      <alignment horizontal="center" vertical="center" wrapText="1" readingOrder="2"/>
    </xf>
    <xf numFmtId="3" fontId="22" fillId="11" borderId="1" applyAlignment="1" pivotButton="0" quotePrefix="0" xfId="0">
      <alignment horizontal="center" vertical="center" wrapText="1" readingOrder="2"/>
    </xf>
    <xf numFmtId="0" fontId="86" fillId="11" borderId="1" applyAlignment="1" pivotButton="0" quotePrefix="0" xfId="0">
      <alignment horizontal="center" vertical="center" wrapText="1" readingOrder="2"/>
    </xf>
    <xf numFmtId="0" fontId="74" fillId="2" borderId="1" applyAlignment="1" pivotButton="0" quotePrefix="0" xfId="0">
      <alignment horizontal="right" vertical="center" wrapText="1" readingOrder="2"/>
    </xf>
    <xf numFmtId="0" fontId="63" fillId="2" borderId="1" applyAlignment="1" pivotButton="0" quotePrefix="0" xfId="0">
      <alignment horizontal="center" vertical="center" wrapText="1" readingOrder="2"/>
    </xf>
    <xf numFmtId="3" fontId="6" fillId="25" borderId="1" applyAlignment="1" pivotButton="0" quotePrefix="0" xfId="0">
      <alignment horizontal="center" vertical="center" wrapText="1" readingOrder="2"/>
    </xf>
    <xf numFmtId="3" fontId="15" fillId="2" borderId="1" applyAlignment="1" pivotButton="0" quotePrefix="0" xfId="0">
      <alignment horizontal="center" vertical="center" wrapText="1" readingOrder="2"/>
    </xf>
    <xf numFmtId="0" fontId="12" fillId="25" borderId="1" applyAlignment="1" pivotButton="0" quotePrefix="0" xfId="0">
      <alignment horizontal="center" vertical="center" wrapText="1" readingOrder="2"/>
    </xf>
    <xf numFmtId="0" fontId="74" fillId="28" borderId="1" applyAlignment="1" pivotButton="0" quotePrefix="0" xfId="0">
      <alignment horizontal="right" vertical="center" wrapText="1" readingOrder="2"/>
    </xf>
    <xf numFmtId="0" fontId="63" fillId="28" borderId="1" applyAlignment="1" pivotButton="0" quotePrefix="0" xfId="0">
      <alignment horizontal="center" vertical="center" wrapText="1" readingOrder="2"/>
    </xf>
    <xf numFmtId="172" fontId="34" fillId="25" borderId="1" applyAlignment="1" pivotButton="0" quotePrefix="0" xfId="0">
      <alignment horizontal="center" vertical="center" wrapText="1" readingOrder="2"/>
    </xf>
    <xf numFmtId="172" fontId="87" fillId="28" borderId="1" applyAlignment="1" pivotButton="0" quotePrefix="0" xfId="0">
      <alignment horizontal="center" vertical="center" wrapText="1" readingOrder="2"/>
    </xf>
    <xf numFmtId="0" fontId="31" fillId="4" borderId="1" applyAlignment="1" pivotButton="0" quotePrefix="0" xfId="0">
      <alignment horizontal="center" vertical="center" wrapText="1" readingOrder="2"/>
    </xf>
    <xf numFmtId="173" fontId="88" fillId="7" borderId="1" applyAlignment="1" pivotButton="0" quotePrefix="0" xfId="0">
      <alignment horizontal="center" vertical="center" wrapText="1" readingOrder="2"/>
    </xf>
    <xf numFmtId="165" fontId="89" fillId="7" borderId="1" applyAlignment="1" pivotButton="0" quotePrefix="0" xfId="0">
      <alignment horizontal="center" vertical="center" wrapText="1" readingOrder="2"/>
    </xf>
    <xf numFmtId="0" fontId="90" fillId="7" borderId="1" applyAlignment="1" pivotButton="0" quotePrefix="0" xfId="0">
      <alignment horizontal="center" vertical="center" wrapText="1" readingOrder="2"/>
    </xf>
    <xf numFmtId="0" fontId="91" fillId="7" borderId="1" applyAlignment="1" pivotButton="0" quotePrefix="0" xfId="0">
      <alignment horizontal="center" vertical="center" wrapText="1" readingOrder="2"/>
    </xf>
    <xf numFmtId="0" fontId="83" fillId="3" borderId="0" applyAlignment="1" pivotButton="0" quotePrefix="0" xfId="0">
      <alignment horizontal="center" vertical="center" wrapText="1" readingOrder="2"/>
    </xf>
    <xf numFmtId="174" fontId="19" fillId="7" borderId="1" applyAlignment="1" pivotButton="0" quotePrefix="0" xfId="0">
      <alignment horizontal="center" vertical="center" wrapText="1" readingOrder="2"/>
    </xf>
    <xf numFmtId="175" fontId="19" fillId="7" borderId="1" applyAlignment="1" pivotButton="0" quotePrefix="0" xfId="0">
      <alignment horizontal="center" vertical="center" wrapText="1" readingOrder="2"/>
    </xf>
    <xf numFmtId="175" fontId="6" fillId="25" borderId="1" applyAlignment="1" pivotButton="0" quotePrefix="0" xfId="0">
      <alignment horizontal="center" vertical="center" wrapText="1" readingOrder="2"/>
    </xf>
    <xf numFmtId="10" fontId="19" fillId="7" borderId="1" applyAlignment="1" pivotButton="0" quotePrefix="0" xfId="0">
      <alignment horizontal="center" vertical="center" wrapText="1" readingOrder="2"/>
    </xf>
    <xf numFmtId="10" fontId="6" fillId="25" borderId="1" applyAlignment="1" pivotButton="0" quotePrefix="0" xfId="0">
      <alignment horizontal="center" vertical="center" wrapText="1" readingOrder="2"/>
    </xf>
    <xf numFmtId="2" fontId="19" fillId="7" borderId="1" applyAlignment="1" pivotButton="0" quotePrefix="0" xfId="0">
      <alignment horizontal="center" vertical="center" wrapText="1" readingOrder="2"/>
    </xf>
    <xf numFmtId="2" fontId="6" fillId="25" borderId="1" applyAlignment="1" pivotButton="0" quotePrefix="0" xfId="0">
      <alignment horizontal="center" vertical="center" wrapText="1" readingOrder="2"/>
    </xf>
    <xf numFmtId="0" fontId="74" fillId="28" borderId="1" applyAlignment="1" pivotButton="0" quotePrefix="0" xfId="0">
      <alignment horizontal="center" vertical="center" wrapText="1" readingOrder="2"/>
    </xf>
    <xf numFmtId="0" fontId="15" fillId="2" borderId="1" applyAlignment="1" pivotButton="0" quotePrefix="0" xfId="0">
      <alignment horizontal="center" vertical="center" wrapText="1" readingOrder="2"/>
    </xf>
    <xf numFmtId="0" fontId="0" fillId="28" borderId="1" applyAlignment="1" pivotButton="0" quotePrefix="0" xfId="0">
      <alignment horizontal="general" vertical="bottom"/>
    </xf>
    <xf numFmtId="176" fontId="20" fillId="7" borderId="1" applyAlignment="1" pivotButton="0" quotePrefix="0" xfId="0">
      <alignment horizontal="center" vertical="center" wrapText="1" readingOrder="2"/>
    </xf>
    <xf numFmtId="176" fontId="18" fillId="25" borderId="1" applyAlignment="1" pivotButton="0" quotePrefix="0" xfId="0">
      <alignment horizontal="center" vertical="center" wrapText="1" readingOrder="2"/>
    </xf>
    <xf numFmtId="177" fontId="36" fillId="7" borderId="1" applyAlignment="1" pivotButton="0" quotePrefix="0" xfId="0">
      <alignment horizontal="center" vertical="center" wrapText="1" readingOrder="2"/>
    </xf>
    <xf numFmtId="0" fontId="92" fillId="2" borderId="0" applyAlignment="1" pivotButton="0" quotePrefix="0" xfId="0">
      <alignment horizontal="center" vertical="center" wrapText="1" readingOrder="2"/>
    </xf>
    <xf numFmtId="0" fontId="93" fillId="9" borderId="1" applyAlignment="1" pivotButton="0" quotePrefix="0" xfId="0">
      <alignment horizontal="center" vertical="center" wrapText="1" readingOrder="2"/>
    </xf>
    <xf numFmtId="178" fontId="18" fillId="7" borderId="1" applyAlignment="1" pivotButton="0" quotePrefix="0" xfId="0">
      <alignment horizontal="center" vertical="center" wrapText="1" readingOrder="2"/>
    </xf>
    <xf numFmtId="2" fontId="18" fillId="7" borderId="1" applyAlignment="1" pivotButton="0" quotePrefix="0" xfId="0">
      <alignment horizontal="center" vertical="center" wrapText="1" readingOrder="2"/>
    </xf>
    <xf numFmtId="10" fontId="18" fillId="7" borderId="1" applyAlignment="1" pivotButton="0" quotePrefix="0" xfId="0">
      <alignment horizontal="center" vertical="center" wrapText="1" readingOrder="2"/>
    </xf>
    <xf numFmtId="3" fontId="31" fillId="7" borderId="1" applyAlignment="1" pivotButton="0" quotePrefix="0" xfId="0">
      <alignment horizontal="center" vertical="center" wrapText="1" readingOrder="2"/>
    </xf>
    <xf numFmtId="165" fontId="28" fillId="10" borderId="1" applyAlignment="1" pivotButton="0" quotePrefix="0" xfId="0">
      <alignment horizontal="center" vertical="center" wrapText="1" readingOrder="2"/>
    </xf>
    <xf numFmtId="179" fontId="50" fillId="21" borderId="1" applyAlignment="1" pivotButton="0" quotePrefix="0" xfId="0">
      <alignment horizontal="center" vertical="center" wrapText="1" readingOrder="2"/>
    </xf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94" fillId="8" borderId="1" applyAlignment="1" pivotButton="0" quotePrefix="0" xfId="0">
      <alignment horizontal="right" vertical="center" wrapText="1" readingOrder="2"/>
    </xf>
    <xf numFmtId="180" fontId="18" fillId="7" borderId="1" applyAlignment="1" pivotButton="0" quotePrefix="0" xfId="0">
      <alignment horizontal="center" vertical="center" wrapText="1" readingOrder="2"/>
    </xf>
    <xf numFmtId="171" fontId="95" fillId="7" borderId="1" applyAlignment="1" pivotButton="0" quotePrefix="0" xfId="0">
      <alignment horizontal="center" vertical="center" wrapText="1" readingOrder="2"/>
    </xf>
    <xf numFmtId="10" fontId="96" fillId="10" borderId="1" applyAlignment="1" pivotButton="0" quotePrefix="0" xfId="0">
      <alignment horizontal="center" vertical="center" wrapText="1" readingOrder="2"/>
    </xf>
    <xf numFmtId="181" fontId="64" fillId="21" borderId="1" applyAlignment="1" pivotButton="0" quotePrefix="0" xfId="0">
      <alignment horizontal="center" vertical="center" wrapText="1" readingOrder="2"/>
    </xf>
    <xf numFmtId="0" fontId="97" fillId="12" borderId="1" applyAlignment="1" pivotButton="0" quotePrefix="0" xfId="0">
      <alignment horizontal="right" vertical="center" wrapText="1" readingOrder="2"/>
    </xf>
    <xf numFmtId="0" fontId="98" fillId="13" borderId="1" applyAlignment="1" pivotButton="0" quotePrefix="0" xfId="0">
      <alignment horizontal="right" vertical="center" wrapText="1" readingOrder="2"/>
    </xf>
    <xf numFmtId="0" fontId="60" fillId="15" borderId="1" applyAlignment="1" pivotButton="0" quotePrefix="0" xfId="0">
      <alignment horizontal="right" vertical="center" wrapText="1" readingOrder="2"/>
    </xf>
    <xf numFmtId="0" fontId="0" fillId="17" borderId="0" applyAlignment="1" pivotButton="0" quotePrefix="0" xfId="0">
      <alignment horizontal="general" vertical="bottom"/>
    </xf>
    <xf numFmtId="166" fontId="20" fillId="7" borderId="1" applyAlignment="1" pivotButton="0" quotePrefix="0" xfId="0">
      <alignment horizontal="center" vertical="center" wrapText="1" readingOrder="2"/>
    </xf>
    <xf numFmtId="0" fontId="0" fillId="7" borderId="1" applyAlignment="1" pivotButton="0" quotePrefix="0" xfId="0">
      <alignment horizontal="general" vertical="bottom"/>
    </xf>
    <xf numFmtId="2" fontId="20" fillId="7" borderId="1" applyAlignment="1" pivotButton="0" quotePrefix="0" xfId="0">
      <alignment horizontal="center" vertical="center" wrapText="1" readingOrder="2"/>
    </xf>
    <xf numFmtId="0" fontId="22" fillId="11" borderId="1" applyAlignment="1" pivotButton="0" quotePrefix="0" xfId="0">
      <alignment horizontal="right" vertical="center" wrapText="1" readingOrder="2"/>
    </xf>
    <xf numFmtId="2" fontId="85" fillId="7" borderId="1" applyAlignment="1" pivotButton="0" quotePrefix="0" xfId="0">
      <alignment horizontal="center" vertical="center" wrapText="1" readingOrder="2"/>
    </xf>
    <xf numFmtId="0" fontId="31" fillId="25" borderId="1" applyAlignment="1" pivotButton="0" quotePrefix="0" xfId="0">
      <alignment horizontal="right" vertical="center" wrapText="1" readingOrder="2"/>
    </xf>
    <xf numFmtId="9" fontId="6" fillId="7" borderId="1" applyAlignment="1" pivotButton="0" quotePrefix="0" xfId="0">
      <alignment horizontal="center" vertical="center" wrapText="1" readingOrder="2"/>
    </xf>
    <xf numFmtId="0" fontId="37" fillId="9" borderId="1" applyAlignment="1" pivotButton="0" quotePrefix="0" xfId="0">
      <alignment horizontal="right" vertical="center" wrapText="1" readingOrder="2"/>
    </xf>
    <xf numFmtId="2" fontId="7" fillId="9" borderId="1" applyAlignment="1" pivotButton="0" quotePrefix="0" xfId="0">
      <alignment horizontal="center" vertical="center" wrapText="1" readingOrder="2"/>
    </xf>
    <xf numFmtId="0" fontId="28" fillId="10" borderId="1" applyAlignment="1" pivotButton="0" quotePrefix="0" xfId="0">
      <alignment horizontal="right" vertical="center" wrapText="1" readingOrder="2"/>
    </xf>
    <xf numFmtId="2" fontId="21" fillId="10" borderId="1" applyAlignment="1" pivotButton="0" quotePrefix="0" xfId="0">
      <alignment horizontal="center" vertical="center" wrapText="1" readingOrder="2"/>
    </xf>
    <xf numFmtId="0" fontId="70" fillId="7" borderId="1" applyAlignment="1" pivotButton="0" quotePrefix="0" xfId="0">
      <alignment horizontal="center" vertical="center" wrapText="1" readingOrder="2"/>
    </xf>
    <xf numFmtId="3" fontId="36" fillId="16" borderId="1" applyAlignment="1" pivotButton="0" quotePrefix="0" xfId="0">
      <alignment horizontal="center" vertical="center" wrapText="1" readingOrder="2"/>
    </xf>
    <xf numFmtId="165" fontId="31" fillId="4" borderId="1" applyAlignment="1" pivotButton="0" quotePrefix="0" xfId="0">
      <alignment horizontal="center" vertical="center" wrapText="1" readingOrder="2"/>
    </xf>
    <xf numFmtId="3" fontId="74" fillId="2" borderId="1" applyAlignment="1" pivotButton="0" quotePrefix="0" xfId="0">
      <alignment horizontal="center" vertical="center" wrapText="1" readingOrder="2"/>
    </xf>
    <xf numFmtId="165" fontId="74" fillId="2" borderId="1" applyAlignment="1" pivotButton="0" quotePrefix="0" xfId="0">
      <alignment horizontal="center" vertical="center" wrapText="1" readingOrder="2"/>
    </xf>
    <xf numFmtId="3" fontId="74" fillId="28" borderId="1" applyAlignment="1" pivotButton="0" quotePrefix="0" xfId="0">
      <alignment horizontal="center" vertical="center" wrapText="1" readingOrder="2"/>
    </xf>
    <xf numFmtId="165" fontId="74" fillId="28" borderId="1" applyAlignment="1" pivotButton="0" quotePrefix="0" xfId="0">
      <alignment horizontal="center" vertical="center" wrapText="1" readingOrder="2"/>
    </xf>
    <xf numFmtId="1" fontId="36" fillId="7" borderId="1" applyAlignment="1" pivotButton="0" quotePrefix="0" xfId="0">
      <alignment horizontal="center" vertical="center" wrapText="1" readingOrder="2"/>
    </xf>
    <xf numFmtId="173" fontId="28" fillId="10" borderId="1" applyAlignment="1" pivotButton="0" quotePrefix="0" xfId="0">
      <alignment horizontal="center" vertical="center" wrapText="1" readingOrder="2"/>
    </xf>
    <xf numFmtId="0" fontId="83" fillId="2" borderId="1" applyAlignment="1" pivotButton="0" quotePrefix="0" xfId="0">
      <alignment horizontal="right" vertical="center" wrapText="1" readingOrder="2"/>
    </xf>
    <xf numFmtId="1" fontId="83" fillId="2" borderId="1" applyAlignment="1" pivotButton="0" quotePrefix="0" xfId="0">
      <alignment horizontal="center" vertical="center" wrapText="1" readingOrder="2"/>
    </xf>
    <xf numFmtId="173" fontId="83" fillId="2" borderId="1" applyAlignment="1" pivotButton="0" quotePrefix="0" xfId="0">
      <alignment horizontal="center" vertical="center" wrapText="1" readingOrder="2"/>
    </xf>
    <xf numFmtId="182" fontId="19" fillId="7" borderId="1" applyAlignment="1" pivotButton="0" quotePrefix="0" xfId="0">
      <alignment horizontal="center" vertical="center" wrapText="1" readingOrder="2"/>
    </xf>
    <xf numFmtId="173" fontId="73" fillId="24" borderId="1" applyAlignment="1" pivotButton="0" quotePrefix="0" xfId="0">
      <alignment horizontal="center" vertical="center" wrapText="1" readingOrder="2"/>
    </xf>
    <xf numFmtId="0" fontId="83" fillId="28" borderId="1" applyAlignment="1" pivotButton="0" quotePrefix="0" xfId="0">
      <alignment horizontal="right" vertical="center" wrapText="1" readingOrder="2"/>
    </xf>
    <xf numFmtId="182" fontId="74" fillId="28" borderId="1" applyAlignment="1" pivotButton="0" quotePrefix="0" xfId="0">
      <alignment horizontal="center" vertical="center" wrapText="1" readingOrder="2"/>
    </xf>
    <xf numFmtId="173" fontId="83" fillId="28" borderId="1" applyAlignment="1" pivotButton="0" quotePrefix="0" xfId="0">
      <alignment horizontal="center" vertical="center" wrapText="1" readingOrder="2"/>
    </xf>
    <xf numFmtId="0" fontId="87" fillId="2" borderId="0" applyAlignment="1" pivotButton="0" quotePrefix="0" xfId="0">
      <alignment horizontal="center" vertical="center" wrapText="1" readingOrder="2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 readingOrder="2"/>
    </xf>
    <xf numFmtId="0" fontId="5" fillId="3" borderId="0" applyAlignment="1" pivotButton="0" quotePrefix="0" xfId="0">
      <alignment horizontal="center" vertical="center" wrapText="1" readingOrder="2"/>
    </xf>
    <xf numFmtId="0" fontId="6" fillId="4" borderId="0" applyAlignment="1" pivotButton="0" quotePrefix="0" xfId="0">
      <alignment horizontal="center" vertical="center" wrapText="1" readingOrder="2"/>
    </xf>
    <xf numFmtId="0" fontId="7" fillId="5" borderId="0" applyAlignment="1" pivotButton="0" quotePrefix="0" xfId="0">
      <alignment horizontal="center" vertical="center" wrapText="1" readingOrder="2"/>
    </xf>
    <xf numFmtId="0" fontId="8" fillId="6" borderId="0" applyAlignment="1" pivotButton="0" quotePrefix="0" xfId="0">
      <alignment horizontal="center" vertical="center" wrapText="1" readingOrder="2"/>
    </xf>
    <xf numFmtId="10" fontId="9" fillId="7" borderId="0" applyAlignment="1" pivotButton="0" quotePrefix="0" xfId="0">
      <alignment horizontal="center" vertical="center" wrapText="1" readingOrder="2"/>
    </xf>
    <xf numFmtId="10" fontId="10" fillId="7" borderId="0" applyAlignment="1" pivotButton="0" quotePrefix="0" xfId="0">
      <alignment horizontal="center" vertical="center" wrapText="1" readingOrder="2"/>
    </xf>
    <xf numFmtId="10" fontId="11" fillId="7" borderId="0" applyAlignment="1" pivotButton="0" quotePrefix="0" xfId="0">
      <alignment horizontal="center" vertical="center" wrapText="1" readingOrder="2"/>
    </xf>
    <xf numFmtId="0" fontId="12" fillId="4" borderId="0" applyAlignment="1" pivotButton="0" quotePrefix="0" xfId="0">
      <alignment horizontal="center" vertical="center" wrapText="1" readingOrder="2"/>
    </xf>
    <xf numFmtId="0" fontId="13" fillId="5" borderId="0" applyAlignment="1" pivotButton="0" quotePrefix="0" xfId="0">
      <alignment horizontal="center" vertical="center" wrapText="1" readingOrder="2"/>
    </xf>
    <xf numFmtId="0" fontId="14" fillId="6" borderId="0" applyAlignment="1" pivotButton="0" quotePrefix="0" xfId="0">
      <alignment horizontal="center" vertical="center" wrapText="1" readingOrder="2"/>
    </xf>
    <xf numFmtId="0" fontId="15" fillId="2" borderId="0" applyAlignment="1" pivotButton="0" quotePrefix="0" xfId="0">
      <alignment horizontal="center" vertical="center" wrapText="1" readingOrder="2"/>
    </xf>
    <xf numFmtId="0" fontId="16" fillId="3" borderId="1" applyAlignment="1" pivotButton="0" quotePrefix="0" xfId="0">
      <alignment horizontal="center" vertical="center" wrapText="1" readingOrder="2"/>
    </xf>
    <xf numFmtId="0" fontId="17" fillId="8" borderId="1" applyAlignment="1" pivotButton="0" quotePrefix="0" xfId="0">
      <alignment horizontal="right" vertical="center" wrapText="1" readingOrder="2"/>
    </xf>
    <xf numFmtId="3" fontId="18" fillId="7" borderId="1" applyAlignment="1" pivotButton="0" quotePrefix="0" xfId="0">
      <alignment horizontal="center" vertical="center" wrapText="1" readingOrder="2"/>
    </xf>
    <xf numFmtId="164" fontId="19" fillId="7" borderId="1" applyAlignment="1" pivotButton="0" quotePrefix="0" xfId="0">
      <alignment horizontal="center" vertical="center" wrapText="1" readingOrder="2"/>
    </xf>
    <xf numFmtId="165" fontId="19" fillId="7" borderId="1" applyAlignment="1" pivotButton="0" quotePrefix="0" xfId="0">
      <alignment horizontal="center" vertical="center" wrapText="1" readingOrder="2"/>
    </xf>
    <xf numFmtId="3" fontId="20" fillId="9" borderId="1" applyAlignment="1" pivotButton="0" quotePrefix="0" xfId="0">
      <alignment horizontal="center" vertical="center" wrapText="1" readingOrder="2"/>
    </xf>
    <xf numFmtId="164" fontId="21" fillId="10" borderId="1" applyAlignment="1" pivotButton="0" quotePrefix="0" xfId="0">
      <alignment horizontal="center" vertical="center" wrapText="1" readingOrder="2"/>
    </xf>
    <xf numFmtId="10" fontId="6" fillId="4" borderId="1" applyAlignment="1" pivotButton="0" quotePrefix="0" xfId="0">
      <alignment horizontal="center" vertical="center" wrapText="1" readingOrder="2"/>
    </xf>
    <xf numFmtId="165" fontId="22" fillId="11" borderId="1" applyAlignment="1" pivotButton="0" quotePrefix="0" xfId="0">
      <alignment horizontal="center" vertical="center" wrapText="1" readingOrder="2"/>
    </xf>
    <xf numFmtId="0" fontId="23" fillId="12" borderId="1" applyAlignment="1" pivotButton="0" quotePrefix="0" xfId="0">
      <alignment horizontal="right" vertical="center" wrapText="1" readingOrder="2"/>
    </xf>
    <xf numFmtId="0" fontId="8" fillId="13" borderId="1" applyAlignment="1" pivotButton="0" quotePrefix="0" xfId="0">
      <alignment horizontal="right" vertical="center" wrapText="1" readingOrder="2"/>
    </xf>
    <xf numFmtId="0" fontId="19" fillId="7" borderId="1" applyAlignment="1" pivotButton="0" quotePrefix="0" xfId="0">
      <alignment horizontal="center" vertical="center" wrapText="1" readingOrder="2"/>
    </xf>
    <xf numFmtId="0" fontId="15" fillId="14" borderId="0" applyAlignment="1" pivotButton="0" quotePrefix="0" xfId="0">
      <alignment horizontal="center" vertical="center" wrapText="1" readingOrder="2"/>
    </xf>
    <xf numFmtId="0" fontId="24" fillId="14" borderId="1" applyAlignment="1" pivotButton="0" quotePrefix="0" xfId="0">
      <alignment horizontal="center" vertical="center" wrapText="1" readingOrder="2"/>
    </xf>
    <xf numFmtId="0" fontId="0" fillId="0" borderId="6" pivotButton="0" quotePrefix="0" xfId="0"/>
    <xf numFmtId="0" fontId="22" fillId="11" borderId="1" applyAlignment="1" pivotButton="0" quotePrefix="0" xfId="0">
      <alignment horizontal="center" vertical="center" wrapText="1" readingOrder="2"/>
    </xf>
    <xf numFmtId="0" fontId="25" fillId="8" borderId="1" applyAlignment="1" pivotButton="0" quotePrefix="0" xfId="0">
      <alignment horizontal="center" vertical="center" wrapText="1" readingOrder="2"/>
    </xf>
    <xf numFmtId="0" fontId="26" fillId="12" borderId="1" applyAlignment="1" pivotButton="0" quotePrefix="0" xfId="0">
      <alignment horizontal="center" vertical="center" wrapText="1" readingOrder="2"/>
    </xf>
    <xf numFmtId="0" fontId="27" fillId="13" borderId="1" applyAlignment="1" pivotButton="0" quotePrefix="0" xfId="0">
      <alignment horizontal="center" vertical="center" wrapText="1" readingOrder="2"/>
    </xf>
    <xf numFmtId="0" fontId="28" fillId="10" borderId="1" applyAlignment="1" pivotButton="0" quotePrefix="0" xfId="0">
      <alignment horizontal="center" vertical="center" wrapText="1" readingOrder="2"/>
    </xf>
    <xf numFmtId="0" fontId="0" fillId="0" borderId="7" pivotButton="0" quotePrefix="0" xfId="0"/>
    <xf numFmtId="0" fontId="29" fillId="15" borderId="1" applyAlignment="1" pivotButton="0" quotePrefix="0" xfId="0">
      <alignment horizontal="right" vertical="center" wrapText="1" readingOrder="2"/>
    </xf>
    <xf numFmtId="0" fontId="30" fillId="11" borderId="1" applyAlignment="1" pivotButton="0" quotePrefix="0" xfId="0">
      <alignment horizontal="center" vertical="center" wrapText="1" readingOrder="2"/>
    </xf>
    <xf numFmtId="0" fontId="31" fillId="4" borderId="1" applyAlignment="1" pivotButton="0" quotePrefix="0" xfId="0">
      <alignment horizontal="right" vertical="center" wrapText="1" readingOrder="2"/>
    </xf>
    <xf numFmtId="0" fontId="16" fillId="3" borderId="0" applyAlignment="1" pivotButton="0" quotePrefix="0" xfId="0">
      <alignment horizontal="center" vertical="center" wrapText="1" readingOrder="2"/>
    </xf>
    <xf numFmtId="0" fontId="4" fillId="2" borderId="2" applyAlignment="1" pivotButton="0" quotePrefix="0" xfId="0">
      <alignment horizontal="center" vertical="center" wrapText="1" readingOrder="2"/>
    </xf>
    <xf numFmtId="0" fontId="0" fillId="0" borderId="3" pivotButton="0" quotePrefix="0" xfId="0"/>
    <xf numFmtId="0" fontId="0" fillId="0" borderId="2" pivotButton="0" quotePrefix="0" xfId="0"/>
    <xf numFmtId="0" fontId="32" fillId="3" borderId="2" applyAlignment="1" pivotButton="0" quotePrefix="0" xfId="0">
      <alignment horizontal="center" vertical="center" wrapText="1" readingOrder="2"/>
    </xf>
    <xf numFmtId="0" fontId="15" fillId="2" borderId="2" applyAlignment="1" pivotButton="0" quotePrefix="0" xfId="0">
      <alignment horizontal="center" vertical="center" wrapText="1" readingOrder="2"/>
    </xf>
    <xf numFmtId="0" fontId="33" fillId="15" borderId="1" applyAlignment="1" pivotButton="0" quotePrefix="0" xfId="0">
      <alignment horizontal="center" vertical="center" wrapText="1" readingOrder="2"/>
    </xf>
    <xf numFmtId="3" fontId="34" fillId="16" borderId="1" applyAlignment="1" pivotButton="0" quotePrefix="0" xfId="0">
      <alignment horizontal="center" vertical="center" wrapText="1" readingOrder="2"/>
    </xf>
    <xf numFmtId="0" fontId="35" fillId="7" borderId="1" applyAlignment="1" pivotButton="0" quotePrefix="0" xfId="0">
      <alignment horizontal="right" vertical="center" wrapText="1" readingOrder="2"/>
    </xf>
    <xf numFmtId="0" fontId="36" fillId="7" borderId="1" applyAlignment="1" pivotButton="0" quotePrefix="0" xfId="0">
      <alignment horizontal="center" vertical="center" wrapText="1" readingOrder="2"/>
    </xf>
    <xf numFmtId="2" fontId="34" fillId="16" borderId="1" applyAlignment="1" pivotButton="0" quotePrefix="0" xfId="0">
      <alignment horizontal="center" vertical="center" wrapText="1" readingOrder="2"/>
    </xf>
    <xf numFmtId="0" fontId="15" fillId="17" borderId="2" applyAlignment="1" pivotButton="0" quotePrefix="0" xfId="0">
      <alignment horizontal="center" vertical="center" wrapText="1" readingOrder="2"/>
    </xf>
    <xf numFmtId="0" fontId="37" fillId="5" borderId="1" applyAlignment="1" pivotButton="0" quotePrefix="0" xfId="0">
      <alignment horizontal="right" vertical="center" wrapText="1" readingOrder="2"/>
    </xf>
    <xf numFmtId="3" fontId="38" fillId="16" borderId="1" applyAlignment="1" pivotButton="0" quotePrefix="0" xfId="0">
      <alignment horizontal="center" vertical="center" wrapText="1" readingOrder="2"/>
    </xf>
    <xf numFmtId="0" fontId="15" fillId="18" borderId="2" applyAlignment="1" pivotButton="0" quotePrefix="0" xfId="0">
      <alignment horizontal="center" vertical="center" wrapText="1" readingOrder="2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39" fillId="19" borderId="1" applyAlignment="1" pivotButton="0" quotePrefix="0" xfId="0">
      <alignment horizontal="right" vertical="center" wrapText="1" readingOrder="2"/>
    </xf>
    <xf numFmtId="3" fontId="40" fillId="16" borderId="1" applyAlignment="1" pivotButton="0" quotePrefix="0" xfId="0">
      <alignment horizontal="center" vertical="center" wrapText="1" readingOrder="2"/>
    </xf>
    <xf numFmtId="166" fontId="40" fillId="16" borderId="1" applyAlignment="1" pivotButton="0" quotePrefix="0" xfId="0">
      <alignment horizontal="center" vertical="center" wrapText="1" readingOrder="2"/>
    </xf>
    <xf numFmtId="9" fontId="40" fillId="16" borderId="1" applyAlignment="1" pivotButton="0" quotePrefix="0" xfId="0">
      <alignment horizontal="center" vertical="center" wrapText="1" readingOrder="2"/>
    </xf>
    <xf numFmtId="0" fontId="41" fillId="20" borderId="2" applyAlignment="1" pivotButton="0" quotePrefix="0" xfId="0">
      <alignment horizontal="center" vertical="center" wrapText="1" readingOrder="2"/>
    </xf>
    <xf numFmtId="0" fontId="99" fillId="0" borderId="0" pivotButton="0" quotePrefix="0" xfId="0"/>
    <xf numFmtId="0" fontId="0" fillId="0" borderId="0" applyAlignment="1" pivotButton="0" quotePrefix="0" xfId="0">
      <alignment horizontal="right" vertical="center" wrapText="1" readingOrder="2"/>
    </xf>
    <xf numFmtId="0" fontId="100" fillId="29" borderId="0" pivotButton="0" quotePrefix="0" xfId="0"/>
    <xf numFmtId="0" fontId="32" fillId="3" borderId="0" applyAlignment="1" pivotButton="0" quotePrefix="0" xfId="0">
      <alignment horizontal="center" vertical="center" wrapText="1" readingOrder="2"/>
    </xf>
    <xf numFmtId="0" fontId="42" fillId="5" borderId="0" applyAlignment="1" pivotButton="0" quotePrefix="0" xfId="0">
      <alignment horizontal="center" vertical="center" wrapText="1" readingOrder="2"/>
    </xf>
    <xf numFmtId="0" fontId="0" fillId="15" borderId="0" applyAlignment="1" pivotButton="0" quotePrefix="0" xfId="0">
      <alignment horizontal="general" vertical="bottom"/>
    </xf>
    <xf numFmtId="0" fontId="43" fillId="21" borderId="0" applyAlignment="1" pivotButton="0" quotePrefix="0" xfId="0">
      <alignment horizontal="center" vertical="center" wrapText="1" readingOrder="2"/>
    </xf>
    <xf numFmtId="0" fontId="44" fillId="5" borderId="0" applyAlignment="1" pivotButton="0" quotePrefix="0" xfId="0">
      <alignment horizontal="center" vertical="center" wrapText="1" readingOrder="2"/>
    </xf>
    <xf numFmtId="0" fontId="45" fillId="21" borderId="0" applyAlignment="1" pivotButton="0" quotePrefix="0" xfId="0">
      <alignment horizontal="center" vertical="center" wrapText="1" readingOrder="2"/>
    </xf>
    <xf numFmtId="0" fontId="19" fillId="7" borderId="1" applyAlignment="1" pivotButton="0" quotePrefix="0" xfId="0">
      <alignment horizontal="right" vertical="center" wrapText="1" readingOrder="2"/>
    </xf>
    <xf numFmtId="0" fontId="15" fillId="17" borderId="0" applyAlignment="1" pivotButton="0" quotePrefix="0" xfId="0">
      <alignment horizontal="center" vertical="center" wrapText="1" readingOrder="2"/>
    </xf>
    <xf numFmtId="0" fontId="24" fillId="3" borderId="1" applyAlignment="1" pivotButton="0" quotePrefix="0" xfId="0">
      <alignment horizontal="center" vertical="center" wrapText="1" readingOrder="2"/>
    </xf>
    <xf numFmtId="0" fontId="24" fillId="22" borderId="1" applyAlignment="1" pivotButton="0" quotePrefix="0" xfId="0">
      <alignment horizontal="center" vertical="center" wrapText="1" readingOrder="2"/>
    </xf>
    <xf numFmtId="0" fontId="46" fillId="5" borderId="1" applyAlignment="1" pivotButton="0" quotePrefix="0" xfId="0">
      <alignment horizontal="center" vertical="center" wrapText="1" readingOrder="2"/>
    </xf>
    <xf numFmtId="0" fontId="47" fillId="21" borderId="1" applyAlignment="1" pivotButton="0" quotePrefix="0" xfId="0">
      <alignment horizontal="center" vertical="center" wrapText="1" readingOrder="2"/>
    </xf>
    <xf numFmtId="0" fontId="46" fillId="5" borderId="1" applyAlignment="1" pivotButton="0" quotePrefix="0" xfId="0">
      <alignment horizontal="right" vertical="center" wrapText="1" readingOrder="2"/>
    </xf>
    <xf numFmtId="0" fontId="47" fillId="21" borderId="1" applyAlignment="1" pivotButton="0" quotePrefix="0" xfId="0">
      <alignment horizontal="right" vertical="center" wrapText="1" readingOrder="2"/>
    </xf>
    <xf numFmtId="0" fontId="15" fillId="18" borderId="0" applyAlignment="1" pivotButton="0" quotePrefix="0" xfId="0">
      <alignment horizontal="center" vertical="center" wrapText="1" readingOrder="2"/>
    </xf>
    <xf numFmtId="0" fontId="21" fillId="10" borderId="1" applyAlignment="1" pivotButton="0" quotePrefix="0" xfId="0">
      <alignment horizontal="right" vertical="center" wrapText="1" readingOrder="2"/>
    </xf>
    <xf numFmtId="0" fontId="34" fillId="4" borderId="1" applyAlignment="1" pivotButton="0" quotePrefix="0" xfId="0">
      <alignment horizontal="right" vertical="center" wrapText="1" readingOrder="2"/>
    </xf>
    <xf numFmtId="165" fontId="48" fillId="16" borderId="1" applyAlignment="1" pivotButton="0" quotePrefix="0" xfId="0">
      <alignment horizontal="center" vertical="center" wrapText="1" readingOrder="2"/>
    </xf>
    <xf numFmtId="0" fontId="49" fillId="7" borderId="1" applyAlignment="1" pivotButton="0" quotePrefix="0" xfId="0">
      <alignment horizontal="right" vertical="center" wrapText="1" readingOrder="2"/>
    </xf>
    <xf numFmtId="0" fontId="29" fillId="15" borderId="1" applyAlignment="1" pivotButton="0" quotePrefix="0" xfId="0">
      <alignment horizontal="center" vertical="center" wrapText="1" readingOrder="2"/>
    </xf>
    <xf numFmtId="0" fontId="50" fillId="21" borderId="1" applyAlignment="1" pivotButton="0" quotePrefix="0" xfId="0">
      <alignment horizontal="center" vertical="center" wrapText="1" readingOrder="2"/>
    </xf>
    <xf numFmtId="0" fontId="37" fillId="5" borderId="1" applyAlignment="1" pivotButton="0" quotePrefix="0" xfId="0">
      <alignment horizontal="center" vertical="center" wrapText="1" readingOrder="2"/>
    </xf>
    <xf numFmtId="0" fontId="28" fillId="19" borderId="1" applyAlignment="1" pivotButton="0" quotePrefix="0" xfId="0">
      <alignment horizontal="center" vertical="center" wrapText="1" readingOrder="2"/>
    </xf>
    <xf numFmtId="165" fontId="51" fillId="7" borderId="1" applyAlignment="1" pivotButton="0" quotePrefix="0" xfId="0">
      <alignment horizontal="center" vertical="center" wrapText="1" readingOrder="2"/>
    </xf>
    <xf numFmtId="0" fontId="52" fillId="7" borderId="1" applyAlignment="1" pivotButton="0" quotePrefix="0" xfId="0">
      <alignment horizontal="center" vertical="center" wrapText="1" readingOrder="2"/>
    </xf>
    <xf numFmtId="3" fontId="53" fillId="7" borderId="1" applyAlignment="1" pivotButton="0" quotePrefix="0" xfId="0">
      <alignment horizontal="center" vertical="center" wrapText="1" readingOrder="2"/>
    </xf>
    <xf numFmtId="165" fontId="54" fillId="7" borderId="1" applyAlignment="1" pivotButton="0" quotePrefix="0" xfId="0">
      <alignment horizontal="center" vertical="center" wrapText="1" readingOrder="2"/>
    </xf>
    <xf numFmtId="0" fontId="55" fillId="15" borderId="1" applyAlignment="1" pivotButton="0" quotePrefix="0" xfId="0">
      <alignment horizontal="center" vertical="center" wrapText="1" readingOrder="2"/>
    </xf>
    <xf numFmtId="0" fontId="56" fillId="21" borderId="1" applyAlignment="1" pivotButton="0" quotePrefix="0" xfId="0">
      <alignment horizontal="center" vertical="center" wrapText="1" readingOrder="2"/>
    </xf>
    <xf numFmtId="0" fontId="57" fillId="5" borderId="1" applyAlignment="1" pivotButton="0" quotePrefix="0" xfId="0">
      <alignment horizontal="center" vertical="center" wrapText="1" readingOrder="2"/>
    </xf>
    <xf numFmtId="0" fontId="58" fillId="19" borderId="1" applyAlignment="1" pivotButton="0" quotePrefix="0" xfId="0">
      <alignment horizontal="center" vertical="center" wrapText="1" readingOrder="2"/>
    </xf>
    <xf numFmtId="0" fontId="6" fillId="4" borderId="1" applyAlignment="1" pivotButton="0" quotePrefix="0" xfId="0">
      <alignment horizontal="right" vertical="center" wrapText="1" readingOrder="2"/>
    </xf>
    <xf numFmtId="0" fontId="59" fillId="7" borderId="1" applyAlignment="1" pivotButton="0" quotePrefix="0" xfId="0">
      <alignment horizontal="center" vertical="center" wrapText="1" readingOrder="2"/>
    </xf>
    <xf numFmtId="165" fontId="59" fillId="7" borderId="1" applyAlignment="1" pivotButton="0" quotePrefix="0" xfId="0">
      <alignment horizontal="center" vertical="center" wrapText="1" readingOrder="2"/>
    </xf>
    <xf numFmtId="0" fontId="60" fillId="15" borderId="1" applyAlignment="1" pivotButton="0" quotePrefix="0" xfId="0">
      <alignment horizontal="center" vertical="center" wrapText="1" readingOrder="2"/>
    </xf>
    <xf numFmtId="167" fontId="34" fillId="7" borderId="1" applyAlignment="1" pivotButton="0" quotePrefix="0" xfId="0">
      <alignment horizontal="center" vertical="center" wrapText="1" readingOrder="2"/>
    </xf>
    <xf numFmtId="0" fontId="41" fillId="20" borderId="1" applyAlignment="1" pivotButton="0" quotePrefix="0" xfId="0">
      <alignment horizontal="right" vertical="center" wrapText="1" readingOrder="2"/>
    </xf>
    <xf numFmtId="165" fontId="20" fillId="7" borderId="1" applyAlignment="1" pivotButton="0" quotePrefix="0" xfId="0">
      <alignment horizontal="center" vertical="center" wrapText="1" readingOrder="2"/>
    </xf>
    <xf numFmtId="165" fontId="36" fillId="9" borderId="1" applyAlignment="1" pivotButton="0" quotePrefix="0" xfId="0">
      <alignment horizontal="center" vertical="center" wrapText="1" readingOrder="2"/>
    </xf>
    <xf numFmtId="0" fontId="20" fillId="7" borderId="1" applyAlignment="1" pivotButton="0" quotePrefix="0" xfId="0">
      <alignment horizontal="center" vertical="center" wrapText="1" readingOrder="2"/>
    </xf>
    <xf numFmtId="3" fontId="37" fillId="5" borderId="1" applyAlignment="1" pivotButton="0" quotePrefix="0" xfId="0">
      <alignment horizontal="center" vertical="center" wrapText="1" readingOrder="2"/>
    </xf>
    <xf numFmtId="165" fontId="21" fillId="10" borderId="1" applyAlignment="1" pivotButton="0" quotePrefix="0" xfId="0">
      <alignment horizontal="center" vertical="center" wrapText="1" readingOrder="2"/>
    </xf>
    <xf numFmtId="10" fontId="31" fillId="4" borderId="1" applyAlignment="1" pivotButton="0" quotePrefix="0" xfId="0">
      <alignment horizontal="center" vertical="center" wrapText="1" readingOrder="2"/>
    </xf>
    <xf numFmtId="0" fontId="60" fillId="7" borderId="1" applyAlignment="1" pivotButton="0" quotePrefix="0" xfId="0">
      <alignment horizontal="right" vertical="center" wrapText="1" readingOrder="2"/>
    </xf>
    <xf numFmtId="0" fontId="61" fillId="19" borderId="1" applyAlignment="1" pivotButton="0" quotePrefix="0" xfId="0">
      <alignment horizontal="center" vertical="center" wrapText="1" readingOrder="2"/>
    </xf>
    <xf numFmtId="0" fontId="39" fillId="19" borderId="1" applyAlignment="1" pivotButton="0" quotePrefix="0" xfId="0">
      <alignment horizontal="center" vertical="center" wrapText="1" readingOrder="2"/>
    </xf>
    <xf numFmtId="0" fontId="62" fillId="19" borderId="1" applyAlignment="1" pivotButton="0" quotePrefix="0" xfId="0">
      <alignment horizontal="center" vertical="center" wrapText="1" readingOrder="2"/>
    </xf>
    <xf numFmtId="0" fontId="63" fillId="7" borderId="1" applyAlignment="1" pivotButton="0" quotePrefix="0" xfId="0">
      <alignment horizontal="right" vertical="center" wrapText="1" readingOrder="2"/>
    </xf>
    <xf numFmtId="0" fontId="31" fillId="7" borderId="1" applyAlignment="1" pivotButton="0" quotePrefix="0" xfId="0">
      <alignment horizontal="center" vertical="center" wrapText="1" readingOrder="2"/>
    </xf>
    <xf numFmtId="0" fontId="61" fillId="5" borderId="1" applyAlignment="1" pivotButton="0" quotePrefix="0" xfId="0">
      <alignment horizontal="center" vertical="center" wrapText="1" readingOrder="2"/>
    </xf>
    <xf numFmtId="0" fontId="7" fillId="5" borderId="1" applyAlignment="1" pivotButton="0" quotePrefix="0" xfId="0">
      <alignment horizontal="center" vertical="center" wrapText="1" readingOrder="2"/>
    </xf>
    <xf numFmtId="0" fontId="61" fillId="21" borderId="1" applyAlignment="1" pivotButton="0" quotePrefix="0" xfId="0">
      <alignment horizontal="center" vertical="center" wrapText="1" readingOrder="2"/>
    </xf>
    <xf numFmtId="0" fontId="64" fillId="21" borderId="1" applyAlignment="1" pivotButton="0" quotePrefix="0" xfId="0">
      <alignment horizontal="center" vertical="center" wrapText="1" readingOrder="2"/>
    </xf>
    <xf numFmtId="0" fontId="61" fillId="23" borderId="1" applyAlignment="1" pivotButton="0" quotePrefix="0" xfId="0">
      <alignment horizontal="center" vertical="center" wrapText="1" readingOrder="2"/>
    </xf>
    <xf numFmtId="0" fontId="31" fillId="23" borderId="1" applyAlignment="1" pivotButton="0" quotePrefix="0" xfId="0">
      <alignment horizontal="center" vertical="center" wrapText="1" readingOrder="2"/>
    </xf>
    <xf numFmtId="0" fontId="6" fillId="23" borderId="1" applyAlignment="1" pivotButton="0" quotePrefix="0" xfId="0">
      <alignment horizontal="center" vertical="center" wrapText="1" readingOrder="2"/>
    </xf>
    <xf numFmtId="0" fontId="65" fillId="19" borderId="1" applyAlignment="1" pivotButton="0" quotePrefix="0" xfId="0">
      <alignment horizontal="center" vertical="center" wrapText="1" readingOrder="2"/>
    </xf>
    <xf numFmtId="0" fontId="66" fillId="10" borderId="1" applyAlignment="1" pivotButton="0" quotePrefix="0" xfId="0">
      <alignment horizontal="right" vertical="center" wrapText="1" readingOrder="2"/>
    </xf>
    <xf numFmtId="0" fontId="67" fillId="11" borderId="1" applyAlignment="1" pivotButton="0" quotePrefix="0" xfId="0">
      <alignment horizontal="right" vertical="center" wrapText="1" readingOrder="2"/>
    </xf>
    <xf numFmtId="0" fontId="68" fillId="5" borderId="1" applyAlignment="1" pivotButton="0" quotePrefix="0" xfId="0">
      <alignment horizontal="center" vertical="center" wrapText="1" readingOrder="2"/>
    </xf>
    <xf numFmtId="0" fontId="69" fillId="21" borderId="1" applyAlignment="1" pivotButton="0" quotePrefix="0" xfId="0">
      <alignment horizontal="center" vertical="center" wrapText="1" readingOrder="2"/>
    </xf>
    <xf numFmtId="0" fontId="70" fillId="23" borderId="1" applyAlignment="1" pivotButton="0" quotePrefix="0" xfId="0">
      <alignment horizontal="center" vertical="center" wrapText="1" readingOrder="2"/>
    </xf>
    <xf numFmtId="0" fontId="70" fillId="4" borderId="1" applyAlignment="1" pivotButton="0" quotePrefix="0" xfId="0">
      <alignment horizontal="right" vertical="center" wrapText="1" readingOrder="2"/>
    </xf>
    <xf numFmtId="0" fontId="71" fillId="15" borderId="1" applyAlignment="1" pivotButton="0" quotePrefix="0" xfId="0">
      <alignment horizontal="right" vertical="center" wrapText="1" readingOrder="2"/>
    </xf>
    <xf numFmtId="0" fontId="33" fillId="7" borderId="1" applyAlignment="1" pivotButton="0" quotePrefix="0" xfId="0">
      <alignment horizontal="right" vertical="center" wrapText="1" readingOrder="2"/>
    </xf>
    <xf numFmtId="0" fontId="63" fillId="7" borderId="1" applyAlignment="1" pivotButton="0" quotePrefix="0" xfId="0">
      <alignment horizontal="center" vertical="center" wrapText="1" readingOrder="2"/>
    </xf>
    <xf numFmtId="165" fontId="63" fillId="7" borderId="1" applyAlignment="1" pivotButton="0" quotePrefix="0" xfId="0">
      <alignment horizontal="center" vertical="center" wrapText="1" readingOrder="2"/>
    </xf>
    <xf numFmtId="9" fontId="63" fillId="7" borderId="1" applyAlignment="1" pivotButton="0" quotePrefix="0" xfId="0">
      <alignment horizontal="center" vertical="center" wrapText="1" readingOrder="2"/>
    </xf>
    <xf numFmtId="166" fontId="63" fillId="7" borderId="1" applyAlignment="1" pivotButton="0" quotePrefix="0" xfId="0">
      <alignment horizontal="center" vertical="center" wrapText="1" readingOrder="2"/>
    </xf>
    <xf numFmtId="168" fontId="63" fillId="7" borderId="1" applyAlignment="1" pivotButton="0" quotePrefix="0" xfId="0">
      <alignment horizontal="center" vertical="center" wrapText="1" readingOrder="2"/>
    </xf>
    <xf numFmtId="0" fontId="71" fillId="7" borderId="1" applyAlignment="1" pivotButton="0" quotePrefix="0" xfId="0">
      <alignment horizontal="right" vertical="center" wrapText="1" readingOrder="2"/>
    </xf>
    <xf numFmtId="0" fontId="63" fillId="16" borderId="1" applyAlignment="1" pivotButton="0" quotePrefix="0" xfId="0">
      <alignment horizontal="right" vertical="center" wrapText="1" readingOrder="2"/>
    </xf>
    <xf numFmtId="0" fontId="63" fillId="16" borderId="1" applyAlignment="1" pivotButton="0" quotePrefix="0" xfId="0">
      <alignment horizontal="center" vertical="center" wrapText="1" readingOrder="2"/>
    </xf>
    <xf numFmtId="165" fontId="63" fillId="16" borderId="1" applyAlignment="1" pivotButton="0" quotePrefix="0" xfId="0">
      <alignment horizontal="center" vertical="center" wrapText="1" readingOrder="2"/>
    </xf>
    <xf numFmtId="9" fontId="63" fillId="16" borderId="1" applyAlignment="1" pivotButton="0" quotePrefix="0" xfId="0">
      <alignment horizontal="center" vertical="center" wrapText="1" readingOrder="2"/>
    </xf>
    <xf numFmtId="166" fontId="63" fillId="16" borderId="1" applyAlignment="1" pivotButton="0" quotePrefix="0" xfId="0">
      <alignment horizontal="center" vertical="center" wrapText="1" readingOrder="2"/>
    </xf>
    <xf numFmtId="168" fontId="63" fillId="16" borderId="1" applyAlignment="1" pivotButton="0" quotePrefix="0" xfId="0">
      <alignment horizontal="center" vertical="center" wrapText="1" readingOrder="2"/>
    </xf>
    <xf numFmtId="0" fontId="22" fillId="7" borderId="1" applyAlignment="1" pivotButton="0" quotePrefix="0" xfId="0">
      <alignment horizontal="center" vertical="center" wrapText="1" readingOrder="2"/>
    </xf>
    <xf numFmtId="0" fontId="13" fillId="5" borderId="1" applyAlignment="1" pivotButton="0" quotePrefix="0" xfId="0">
      <alignment horizontal="right" vertical="center" wrapText="1" readingOrder="2"/>
    </xf>
    <xf numFmtId="0" fontId="72" fillId="20" borderId="1" applyAlignment="1" pivotButton="0" quotePrefix="0" xfId="0">
      <alignment horizontal="right" vertical="center" wrapText="1" readingOrder="2"/>
    </xf>
    <xf numFmtId="0" fontId="73" fillId="24" borderId="1" applyAlignment="1" pivotButton="0" quotePrefix="0" xfId="0">
      <alignment horizontal="center" vertical="center" wrapText="1" readingOrder="2"/>
    </xf>
    <xf numFmtId="0" fontId="27" fillId="23" borderId="1" applyAlignment="1" pivotButton="0" quotePrefix="0" xfId="0">
      <alignment horizontal="right" vertical="center" wrapText="1" readingOrder="2"/>
    </xf>
    <xf numFmtId="0" fontId="6" fillId="4" borderId="1" applyAlignment="1" pivotButton="0" quotePrefix="0" xfId="0">
      <alignment horizontal="center" vertical="center" wrapText="1" readingOrder="2"/>
    </xf>
    <xf numFmtId="0" fontId="34" fillId="16" borderId="1" applyAlignment="1" pivotButton="0" quotePrefix="0" xfId="0">
      <alignment horizontal="center" vertical="center" wrapText="1" readingOrder="2"/>
    </xf>
    <xf numFmtId="165" fontId="34" fillId="16" borderId="1" applyAlignment="1" pivotButton="0" quotePrefix="0" xfId="0">
      <alignment horizontal="center" vertical="center" wrapText="1" readingOrder="2"/>
    </xf>
    <xf numFmtId="9" fontId="34" fillId="16" borderId="1" applyAlignment="1" pivotButton="0" quotePrefix="0" xfId="0">
      <alignment horizontal="center" vertical="center" wrapText="1" readingOrder="2"/>
    </xf>
    <xf numFmtId="169" fontId="34" fillId="16" borderId="1" applyAlignment="1" pivotButton="0" quotePrefix="0" xfId="0">
      <alignment horizontal="center" vertical="center" wrapText="1" readingOrder="2"/>
    </xf>
    <xf numFmtId="0" fontId="74" fillId="17" borderId="1" applyAlignment="1" pivotButton="0" quotePrefix="0" xfId="0">
      <alignment horizontal="center" vertical="center" wrapText="1" readingOrder="2"/>
    </xf>
    <xf numFmtId="165" fontId="75" fillId="7" borderId="1" applyAlignment="1" pivotButton="0" quotePrefix="0" xfId="0">
      <alignment horizontal="center" vertical="center" wrapText="1" readingOrder="2"/>
    </xf>
    <xf numFmtId="165" fontId="76" fillId="10" borderId="1" applyAlignment="1" pivotButton="0" quotePrefix="0" xfId="0">
      <alignment horizontal="center" vertical="center" wrapText="1" readingOrder="2"/>
    </xf>
    <xf numFmtId="165" fontId="77" fillId="11" borderId="1" applyAlignment="1" pivotButton="0" quotePrefix="0" xfId="0">
      <alignment horizontal="center" vertical="center" wrapText="1" readingOrder="2"/>
    </xf>
    <xf numFmtId="10" fontId="78" fillId="24" borderId="1" applyAlignment="1" pivotButton="0" quotePrefix="0" xfId="0">
      <alignment horizontal="center" vertical="center" wrapText="1" readingOrder="2"/>
    </xf>
    <xf numFmtId="170" fontId="76" fillId="10" borderId="1" applyAlignment="1" pivotButton="0" quotePrefix="0" xfId="0">
      <alignment horizontal="center" vertical="center" wrapText="1" readingOrder="2"/>
    </xf>
    <xf numFmtId="0" fontId="74" fillId="2" borderId="1" applyAlignment="1" pivotButton="0" quotePrefix="0" xfId="0">
      <alignment horizontal="center" vertical="center" wrapText="1" readingOrder="2"/>
    </xf>
    <xf numFmtId="171" fontId="79" fillId="25" borderId="1" applyAlignment="1" pivotButton="0" quotePrefix="0" xfId="0">
      <alignment horizontal="center" vertical="center" wrapText="1" readingOrder="2"/>
    </xf>
    <xf numFmtId="9" fontId="79" fillId="25" borderId="1" applyAlignment="1" pivotButton="0" quotePrefix="0" xfId="0">
      <alignment horizontal="center" vertical="center" wrapText="1" readingOrder="2"/>
    </xf>
    <xf numFmtId="0" fontId="4" fillId="2" borderId="1" applyAlignment="1" pivotButton="0" quotePrefix="0" xfId="0">
      <alignment horizontal="center" vertical="center" wrapText="1" readingOrder="2"/>
    </xf>
    <xf numFmtId="0" fontId="68" fillId="5" borderId="1" applyAlignment="1" pivotButton="0" quotePrefix="0" xfId="0">
      <alignment horizontal="right" vertical="center" wrapText="1" readingOrder="2"/>
    </xf>
    <xf numFmtId="0" fontId="80" fillId="10" borderId="1" applyAlignment="1" pivotButton="0" quotePrefix="0" xfId="0">
      <alignment horizontal="right" vertical="center" wrapText="1" readingOrder="2"/>
    </xf>
    <xf numFmtId="0" fontId="15" fillId="26" borderId="0" applyAlignment="1" pivotButton="0" quotePrefix="0" xfId="0">
      <alignment horizontal="center" vertical="center" wrapText="1" readingOrder="2"/>
    </xf>
    <xf numFmtId="0" fontId="81" fillId="11" borderId="1" applyAlignment="1" pivotButton="0" quotePrefix="0" xfId="0">
      <alignment horizontal="right" vertical="center" wrapText="1" readingOrder="2"/>
    </xf>
    <xf numFmtId="0" fontId="13" fillId="5" borderId="1" applyAlignment="1" pivotButton="0" quotePrefix="0" xfId="0">
      <alignment horizontal="center" vertical="center" wrapText="1" readingOrder="2"/>
    </xf>
    <xf numFmtId="0" fontId="67" fillId="11" borderId="1" applyAlignment="1" pivotButton="0" quotePrefix="0" xfId="0">
      <alignment horizontal="center" vertical="center" wrapText="1" readingOrder="2"/>
    </xf>
    <xf numFmtId="3" fontId="19" fillId="7" borderId="1" applyAlignment="1" pivotButton="0" quotePrefix="0" xfId="0">
      <alignment horizontal="center" vertical="center" wrapText="1" readingOrder="2"/>
    </xf>
    <xf numFmtId="3" fontId="6" fillId="4" borderId="1" applyAlignment="1" pivotButton="0" quotePrefix="0" xfId="0">
      <alignment horizontal="center" vertical="center" wrapText="1" readingOrder="2"/>
    </xf>
    <xf numFmtId="167" fontId="36" fillId="15" borderId="1" applyAlignment="1" pivotButton="0" quotePrefix="0" xfId="0">
      <alignment horizontal="center" vertical="center" wrapText="1" readingOrder="2"/>
    </xf>
    <xf numFmtId="0" fontId="82" fillId="24" borderId="1" applyAlignment="1" pivotButton="0" quotePrefix="0" xfId="0">
      <alignment horizontal="center" vertical="center" wrapText="1" readingOrder="2"/>
    </xf>
    <xf numFmtId="0" fontId="83" fillId="26" borderId="1" applyAlignment="1" pivotButton="0" quotePrefix="0" xfId="0">
      <alignment horizontal="right" vertical="center" wrapText="1" readingOrder="2"/>
    </xf>
    <xf numFmtId="0" fontId="83" fillId="26" borderId="1" applyAlignment="1" pivotButton="0" quotePrefix="0" xfId="0">
      <alignment horizontal="center" vertical="center" wrapText="1" readingOrder="2"/>
    </xf>
    <xf numFmtId="3" fontId="74" fillId="26" borderId="1" applyAlignment="1" pivotButton="0" quotePrefix="0" xfId="0">
      <alignment horizontal="center" vertical="center" wrapText="1" readingOrder="2"/>
    </xf>
    <xf numFmtId="3" fontId="15" fillId="26" borderId="1" applyAlignment="1" pivotButton="0" quotePrefix="0" xfId="0">
      <alignment horizontal="center" vertical="center" wrapText="1" readingOrder="2"/>
    </xf>
    <xf numFmtId="0" fontId="15" fillId="27" borderId="0" applyAlignment="1" pivotButton="0" quotePrefix="0" xfId="0">
      <alignment horizontal="center" vertical="center" wrapText="1" readingOrder="2"/>
    </xf>
    <xf numFmtId="0" fontId="66" fillId="10" borderId="1" applyAlignment="1" pivotButton="0" quotePrefix="0" xfId="0">
      <alignment horizontal="center" vertical="center" wrapText="1" readingOrder="2"/>
    </xf>
    <xf numFmtId="3" fontId="62" fillId="19" borderId="1" applyAlignment="1" pivotButton="0" quotePrefix="0" xfId="0">
      <alignment horizontal="center" vertical="center" wrapText="1" readingOrder="2"/>
    </xf>
    <xf numFmtId="0" fontId="83" fillId="27" borderId="1" applyAlignment="1" pivotButton="0" quotePrefix="0" xfId="0">
      <alignment horizontal="right" vertical="center" wrapText="1" readingOrder="2"/>
    </xf>
    <xf numFmtId="0" fontId="83" fillId="27" borderId="1" applyAlignment="1" pivotButton="0" quotePrefix="0" xfId="0">
      <alignment horizontal="center" vertical="center" wrapText="1" readingOrder="2"/>
    </xf>
    <xf numFmtId="3" fontId="74" fillId="27" borderId="1" applyAlignment="1" pivotButton="0" quotePrefix="0" xfId="0">
      <alignment horizontal="center" vertical="center" wrapText="1" readingOrder="2"/>
    </xf>
    <xf numFmtId="3" fontId="15" fillId="27" borderId="1" applyAlignment="1" pivotButton="0" quotePrefix="0" xfId="0">
      <alignment horizontal="center" vertical="center" wrapText="1" readingOrder="2"/>
    </xf>
    <xf numFmtId="0" fontId="62" fillId="19" borderId="1" applyAlignment="1" pivotButton="0" quotePrefix="0" xfId="0">
      <alignment horizontal="right" vertical="center" wrapText="1" readingOrder="2"/>
    </xf>
    <xf numFmtId="0" fontId="63" fillId="19" borderId="1" applyAlignment="1" pivotButton="0" quotePrefix="0" xfId="0">
      <alignment horizontal="center" vertical="center" wrapText="1" readingOrder="2"/>
    </xf>
    <xf numFmtId="3" fontId="39" fillId="19" borderId="1" applyAlignment="1" pivotButton="0" quotePrefix="0" xfId="0">
      <alignment horizontal="center" vertical="center" wrapText="1" readingOrder="2"/>
    </xf>
    <xf numFmtId="0" fontId="84" fillId="19" borderId="1" applyAlignment="1" pivotButton="0" quotePrefix="0" xfId="0">
      <alignment horizontal="center" vertical="center" wrapText="1" readingOrder="2"/>
    </xf>
    <xf numFmtId="0" fontId="85" fillId="11" borderId="1" applyAlignment="1" pivotButton="0" quotePrefix="0" xfId="0">
      <alignment horizontal="right" vertical="center" wrapText="1" readingOrder="2"/>
    </xf>
    <xf numFmtId="0" fontId="63" fillId="11" borderId="1" applyAlignment="1" pivotButton="0" quotePrefix="0" xfId="0">
      <alignment horizontal="center" vertical="center" wrapText="1" readingOrder="2"/>
    </xf>
    <xf numFmtId="3" fontId="22" fillId="11" borderId="1" applyAlignment="1" pivotButton="0" quotePrefix="0" xfId="0">
      <alignment horizontal="center" vertical="center" wrapText="1" readingOrder="2"/>
    </xf>
    <xf numFmtId="0" fontId="86" fillId="11" borderId="1" applyAlignment="1" pivotButton="0" quotePrefix="0" xfId="0">
      <alignment horizontal="center" vertical="center" wrapText="1" readingOrder="2"/>
    </xf>
    <xf numFmtId="0" fontId="74" fillId="2" borderId="1" applyAlignment="1" pivotButton="0" quotePrefix="0" xfId="0">
      <alignment horizontal="right" vertical="center" wrapText="1" readingOrder="2"/>
    </xf>
    <xf numFmtId="0" fontId="63" fillId="2" borderId="1" applyAlignment="1" pivotButton="0" quotePrefix="0" xfId="0">
      <alignment horizontal="center" vertical="center" wrapText="1" readingOrder="2"/>
    </xf>
    <xf numFmtId="3" fontId="6" fillId="25" borderId="1" applyAlignment="1" pivotButton="0" quotePrefix="0" xfId="0">
      <alignment horizontal="center" vertical="center" wrapText="1" readingOrder="2"/>
    </xf>
    <xf numFmtId="3" fontId="15" fillId="2" borderId="1" applyAlignment="1" pivotButton="0" quotePrefix="0" xfId="0">
      <alignment horizontal="center" vertical="center" wrapText="1" readingOrder="2"/>
    </xf>
    <xf numFmtId="0" fontId="12" fillId="25" borderId="1" applyAlignment="1" pivotButton="0" quotePrefix="0" xfId="0">
      <alignment horizontal="center" vertical="center" wrapText="1" readingOrder="2"/>
    </xf>
    <xf numFmtId="0" fontId="74" fillId="28" borderId="1" applyAlignment="1" pivotButton="0" quotePrefix="0" xfId="0">
      <alignment horizontal="right" vertical="center" wrapText="1" readingOrder="2"/>
    </xf>
    <xf numFmtId="0" fontId="63" fillId="28" borderId="1" applyAlignment="1" pivotButton="0" quotePrefix="0" xfId="0">
      <alignment horizontal="center" vertical="center" wrapText="1" readingOrder="2"/>
    </xf>
    <xf numFmtId="172" fontId="34" fillId="25" borderId="1" applyAlignment="1" pivotButton="0" quotePrefix="0" xfId="0">
      <alignment horizontal="center" vertical="center" wrapText="1" readingOrder="2"/>
    </xf>
    <xf numFmtId="172" fontId="87" fillId="28" borderId="1" applyAlignment="1" pivotButton="0" quotePrefix="0" xfId="0">
      <alignment horizontal="center" vertical="center" wrapText="1" readingOrder="2"/>
    </xf>
    <xf numFmtId="0" fontId="31" fillId="4" borderId="1" applyAlignment="1" pivotButton="0" quotePrefix="0" xfId="0">
      <alignment horizontal="center" vertical="center" wrapText="1" readingOrder="2"/>
    </xf>
    <xf numFmtId="173" fontId="88" fillId="7" borderId="1" applyAlignment="1" pivotButton="0" quotePrefix="0" xfId="0">
      <alignment horizontal="center" vertical="center" wrapText="1" readingOrder="2"/>
    </xf>
    <xf numFmtId="165" fontId="89" fillId="7" borderId="1" applyAlignment="1" pivotButton="0" quotePrefix="0" xfId="0">
      <alignment horizontal="center" vertical="center" wrapText="1" readingOrder="2"/>
    </xf>
    <xf numFmtId="0" fontId="90" fillId="7" borderId="1" applyAlignment="1" pivotButton="0" quotePrefix="0" xfId="0">
      <alignment horizontal="center" vertical="center" wrapText="1" readingOrder="2"/>
    </xf>
    <xf numFmtId="0" fontId="91" fillId="7" borderId="1" applyAlignment="1" pivotButton="0" quotePrefix="0" xfId="0">
      <alignment horizontal="center" vertical="center" wrapText="1" readingOrder="2"/>
    </xf>
    <xf numFmtId="0" fontId="83" fillId="3" borderId="0" applyAlignment="1" pivotButton="0" quotePrefix="0" xfId="0">
      <alignment horizontal="center" vertical="center" wrapText="1" readingOrder="2"/>
    </xf>
    <xf numFmtId="174" fontId="19" fillId="7" borderId="1" applyAlignment="1" pivotButton="0" quotePrefix="0" xfId="0">
      <alignment horizontal="center" vertical="center" wrapText="1" readingOrder="2"/>
    </xf>
    <xf numFmtId="175" fontId="19" fillId="7" borderId="1" applyAlignment="1" pivotButton="0" quotePrefix="0" xfId="0">
      <alignment horizontal="center" vertical="center" wrapText="1" readingOrder="2"/>
    </xf>
    <xf numFmtId="175" fontId="6" fillId="25" borderId="1" applyAlignment="1" pivotButton="0" quotePrefix="0" xfId="0">
      <alignment horizontal="center" vertical="center" wrapText="1" readingOrder="2"/>
    </xf>
    <xf numFmtId="10" fontId="19" fillId="7" borderId="1" applyAlignment="1" pivotButton="0" quotePrefix="0" xfId="0">
      <alignment horizontal="center" vertical="center" wrapText="1" readingOrder="2"/>
    </xf>
    <xf numFmtId="10" fontId="6" fillId="25" borderId="1" applyAlignment="1" pivotButton="0" quotePrefix="0" xfId="0">
      <alignment horizontal="center" vertical="center" wrapText="1" readingOrder="2"/>
    </xf>
    <xf numFmtId="2" fontId="19" fillId="7" borderId="1" applyAlignment="1" pivotButton="0" quotePrefix="0" xfId="0">
      <alignment horizontal="center" vertical="center" wrapText="1" readingOrder="2"/>
    </xf>
    <xf numFmtId="2" fontId="6" fillId="25" borderId="1" applyAlignment="1" pivotButton="0" quotePrefix="0" xfId="0">
      <alignment horizontal="center" vertical="center" wrapText="1" readingOrder="2"/>
    </xf>
    <xf numFmtId="0" fontId="74" fillId="28" borderId="1" applyAlignment="1" pivotButton="0" quotePrefix="0" xfId="0">
      <alignment horizontal="center" vertical="center" wrapText="1" readingOrder="2"/>
    </xf>
    <xf numFmtId="0" fontId="15" fillId="2" borderId="1" applyAlignment="1" pivotButton="0" quotePrefix="0" xfId="0">
      <alignment horizontal="center" vertical="center" wrapText="1" readingOrder="2"/>
    </xf>
    <xf numFmtId="0" fontId="0" fillId="28" borderId="1" applyAlignment="1" pivotButton="0" quotePrefix="0" xfId="0">
      <alignment horizontal="general" vertical="bottom"/>
    </xf>
    <xf numFmtId="176" fontId="20" fillId="7" borderId="1" applyAlignment="1" pivotButton="0" quotePrefix="0" xfId="0">
      <alignment horizontal="center" vertical="center" wrapText="1" readingOrder="2"/>
    </xf>
    <xf numFmtId="176" fontId="18" fillId="25" borderId="1" applyAlignment="1" pivotButton="0" quotePrefix="0" xfId="0">
      <alignment horizontal="center" vertical="center" wrapText="1" readingOrder="2"/>
    </xf>
    <xf numFmtId="177" fontId="36" fillId="7" borderId="1" applyAlignment="1" pivotButton="0" quotePrefix="0" xfId="0">
      <alignment horizontal="center" vertical="center" wrapText="1" readingOrder="2"/>
    </xf>
    <xf numFmtId="0" fontId="92" fillId="2" borderId="0" applyAlignment="1" pivotButton="0" quotePrefix="0" xfId="0">
      <alignment horizontal="center" vertical="center" wrapText="1" readingOrder="2"/>
    </xf>
    <xf numFmtId="0" fontId="93" fillId="9" borderId="1" applyAlignment="1" pivotButton="0" quotePrefix="0" xfId="0">
      <alignment horizontal="center" vertical="center" wrapText="1" readingOrder="2"/>
    </xf>
    <xf numFmtId="178" fontId="18" fillId="7" borderId="1" applyAlignment="1" pivotButton="0" quotePrefix="0" xfId="0">
      <alignment horizontal="center" vertical="center" wrapText="1" readingOrder="2"/>
    </xf>
    <xf numFmtId="2" fontId="18" fillId="7" borderId="1" applyAlignment="1" pivotButton="0" quotePrefix="0" xfId="0">
      <alignment horizontal="center" vertical="center" wrapText="1" readingOrder="2"/>
    </xf>
    <xf numFmtId="10" fontId="18" fillId="7" borderId="1" applyAlignment="1" pivotButton="0" quotePrefix="0" xfId="0">
      <alignment horizontal="center" vertical="center" wrapText="1" readingOrder="2"/>
    </xf>
    <xf numFmtId="3" fontId="31" fillId="7" borderId="1" applyAlignment="1" pivotButton="0" quotePrefix="0" xfId="0">
      <alignment horizontal="center" vertical="center" wrapText="1" readingOrder="2"/>
    </xf>
    <xf numFmtId="165" fontId="28" fillId="10" borderId="1" applyAlignment="1" pivotButton="0" quotePrefix="0" xfId="0">
      <alignment horizontal="center" vertical="center" wrapText="1" readingOrder="2"/>
    </xf>
    <xf numFmtId="179" fontId="50" fillId="21" borderId="1" applyAlignment="1" pivotButton="0" quotePrefix="0" xfId="0">
      <alignment horizontal="center" vertical="center" wrapText="1" readingOrder="2"/>
    </xf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94" fillId="8" borderId="1" applyAlignment="1" pivotButton="0" quotePrefix="0" xfId="0">
      <alignment horizontal="right" vertical="center" wrapText="1" readingOrder="2"/>
    </xf>
    <xf numFmtId="180" fontId="18" fillId="7" borderId="1" applyAlignment="1" pivotButton="0" quotePrefix="0" xfId="0">
      <alignment horizontal="center" vertical="center" wrapText="1" readingOrder="2"/>
    </xf>
    <xf numFmtId="171" fontId="95" fillId="7" borderId="1" applyAlignment="1" pivotButton="0" quotePrefix="0" xfId="0">
      <alignment horizontal="center" vertical="center" wrapText="1" readingOrder="2"/>
    </xf>
    <xf numFmtId="10" fontId="96" fillId="10" borderId="1" applyAlignment="1" pivotButton="0" quotePrefix="0" xfId="0">
      <alignment horizontal="center" vertical="center" wrapText="1" readingOrder="2"/>
    </xf>
    <xf numFmtId="181" fontId="64" fillId="21" borderId="1" applyAlignment="1" pivotButton="0" quotePrefix="0" xfId="0">
      <alignment horizontal="center" vertical="center" wrapText="1" readingOrder="2"/>
    </xf>
    <xf numFmtId="0" fontId="97" fillId="12" borderId="1" applyAlignment="1" pivotButton="0" quotePrefix="0" xfId="0">
      <alignment horizontal="right" vertical="center" wrapText="1" readingOrder="2"/>
    </xf>
    <xf numFmtId="0" fontId="98" fillId="13" borderId="1" applyAlignment="1" pivotButton="0" quotePrefix="0" xfId="0">
      <alignment horizontal="right" vertical="center" wrapText="1" readingOrder="2"/>
    </xf>
    <xf numFmtId="0" fontId="60" fillId="15" borderId="1" applyAlignment="1" pivotButton="0" quotePrefix="0" xfId="0">
      <alignment horizontal="right" vertical="center" wrapText="1" readingOrder="2"/>
    </xf>
    <xf numFmtId="0" fontId="0" fillId="17" borderId="0" applyAlignment="1" pivotButton="0" quotePrefix="0" xfId="0">
      <alignment horizontal="general" vertical="bottom"/>
    </xf>
    <xf numFmtId="166" fontId="20" fillId="7" borderId="1" applyAlignment="1" pivotButton="0" quotePrefix="0" xfId="0">
      <alignment horizontal="center" vertical="center" wrapText="1" readingOrder="2"/>
    </xf>
    <xf numFmtId="0" fontId="0" fillId="7" borderId="1" applyAlignment="1" pivotButton="0" quotePrefix="0" xfId="0">
      <alignment horizontal="general" vertical="bottom"/>
    </xf>
    <xf numFmtId="2" fontId="20" fillId="7" borderId="1" applyAlignment="1" pivotButton="0" quotePrefix="0" xfId="0">
      <alignment horizontal="center" vertical="center" wrapText="1" readingOrder="2"/>
    </xf>
    <xf numFmtId="0" fontId="22" fillId="11" borderId="1" applyAlignment="1" pivotButton="0" quotePrefix="0" xfId="0">
      <alignment horizontal="right" vertical="center" wrapText="1" readingOrder="2"/>
    </xf>
    <xf numFmtId="2" fontId="85" fillId="7" borderId="1" applyAlignment="1" pivotButton="0" quotePrefix="0" xfId="0">
      <alignment horizontal="center" vertical="center" wrapText="1" readingOrder="2"/>
    </xf>
    <xf numFmtId="0" fontId="31" fillId="25" borderId="1" applyAlignment="1" pivotButton="0" quotePrefix="0" xfId="0">
      <alignment horizontal="right" vertical="center" wrapText="1" readingOrder="2"/>
    </xf>
    <xf numFmtId="9" fontId="6" fillId="7" borderId="1" applyAlignment="1" pivotButton="0" quotePrefix="0" xfId="0">
      <alignment horizontal="center" vertical="center" wrapText="1" readingOrder="2"/>
    </xf>
    <xf numFmtId="0" fontId="37" fillId="9" borderId="1" applyAlignment="1" pivotButton="0" quotePrefix="0" xfId="0">
      <alignment horizontal="right" vertical="center" wrapText="1" readingOrder="2"/>
    </xf>
    <xf numFmtId="2" fontId="7" fillId="9" borderId="1" applyAlignment="1" pivotButton="0" quotePrefix="0" xfId="0">
      <alignment horizontal="center" vertical="center" wrapText="1" readingOrder="2"/>
    </xf>
    <xf numFmtId="0" fontId="28" fillId="10" borderId="1" applyAlignment="1" pivotButton="0" quotePrefix="0" xfId="0">
      <alignment horizontal="right" vertical="center" wrapText="1" readingOrder="2"/>
    </xf>
    <xf numFmtId="2" fontId="21" fillId="10" borderId="1" applyAlignment="1" pivotButton="0" quotePrefix="0" xfId="0">
      <alignment horizontal="center" vertical="center" wrapText="1" readingOrder="2"/>
    </xf>
    <xf numFmtId="0" fontId="70" fillId="7" borderId="1" applyAlignment="1" pivotButton="0" quotePrefix="0" xfId="0">
      <alignment horizontal="center" vertical="center" wrapText="1" readingOrder="2"/>
    </xf>
    <xf numFmtId="3" fontId="36" fillId="16" borderId="1" applyAlignment="1" pivotButton="0" quotePrefix="0" xfId="0">
      <alignment horizontal="center" vertical="center" wrapText="1" readingOrder="2"/>
    </xf>
    <xf numFmtId="165" fontId="31" fillId="4" borderId="1" applyAlignment="1" pivotButton="0" quotePrefix="0" xfId="0">
      <alignment horizontal="center" vertical="center" wrapText="1" readingOrder="2"/>
    </xf>
    <xf numFmtId="3" fontId="74" fillId="2" borderId="1" applyAlignment="1" pivotButton="0" quotePrefix="0" xfId="0">
      <alignment horizontal="center" vertical="center" wrapText="1" readingOrder="2"/>
    </xf>
    <xf numFmtId="165" fontId="74" fillId="2" borderId="1" applyAlignment="1" pivotButton="0" quotePrefix="0" xfId="0">
      <alignment horizontal="center" vertical="center" wrapText="1" readingOrder="2"/>
    </xf>
    <xf numFmtId="3" fontId="74" fillId="28" borderId="1" applyAlignment="1" pivotButton="0" quotePrefix="0" xfId="0">
      <alignment horizontal="center" vertical="center" wrapText="1" readingOrder="2"/>
    </xf>
    <xf numFmtId="165" fontId="74" fillId="28" borderId="1" applyAlignment="1" pivotButton="0" quotePrefix="0" xfId="0">
      <alignment horizontal="center" vertical="center" wrapText="1" readingOrder="2"/>
    </xf>
    <xf numFmtId="1" fontId="36" fillId="7" borderId="1" applyAlignment="1" pivotButton="0" quotePrefix="0" xfId="0">
      <alignment horizontal="center" vertical="center" wrapText="1" readingOrder="2"/>
    </xf>
    <xf numFmtId="173" fontId="28" fillId="10" borderId="1" applyAlignment="1" pivotButton="0" quotePrefix="0" xfId="0">
      <alignment horizontal="center" vertical="center" wrapText="1" readingOrder="2"/>
    </xf>
    <xf numFmtId="0" fontId="83" fillId="2" borderId="1" applyAlignment="1" pivotButton="0" quotePrefix="0" xfId="0">
      <alignment horizontal="right" vertical="center" wrapText="1" readingOrder="2"/>
    </xf>
    <xf numFmtId="1" fontId="83" fillId="2" borderId="1" applyAlignment="1" pivotButton="0" quotePrefix="0" xfId="0">
      <alignment horizontal="center" vertical="center" wrapText="1" readingOrder="2"/>
    </xf>
    <xf numFmtId="173" fontId="83" fillId="2" borderId="1" applyAlignment="1" pivotButton="0" quotePrefix="0" xfId="0">
      <alignment horizontal="center" vertical="center" wrapText="1" readingOrder="2"/>
    </xf>
    <xf numFmtId="182" fontId="19" fillId="7" borderId="1" applyAlignment="1" pivotButton="0" quotePrefix="0" xfId="0">
      <alignment horizontal="center" vertical="center" wrapText="1" readingOrder="2"/>
    </xf>
    <xf numFmtId="173" fontId="73" fillId="24" borderId="1" applyAlignment="1" pivotButton="0" quotePrefix="0" xfId="0">
      <alignment horizontal="center" vertical="center" wrapText="1" readingOrder="2"/>
    </xf>
    <xf numFmtId="0" fontId="83" fillId="28" borderId="1" applyAlignment="1" pivotButton="0" quotePrefix="0" xfId="0">
      <alignment horizontal="right" vertical="center" wrapText="1" readingOrder="2"/>
    </xf>
    <xf numFmtId="182" fontId="74" fillId="28" borderId="1" applyAlignment="1" pivotButton="0" quotePrefix="0" xfId="0">
      <alignment horizontal="center" vertical="center" wrapText="1" readingOrder="2"/>
    </xf>
    <xf numFmtId="173" fontId="83" fillId="28" borderId="1" applyAlignment="1" pivotButton="0" quotePrefix="0" xfId="0">
      <alignment horizontal="center" vertical="center" wrapText="1" readingOrder="2"/>
    </xf>
    <xf numFmtId="0" fontId="87" fillId="2" borderId="0" applyAlignment="1" pivotButton="0" quotePrefix="0" xfId="0">
      <alignment horizontal="center" vertical="center" wrapText="1" readingOrder="2"/>
    </xf>
    <xf numFmtId="0" fontId="101" fillId="0" borderId="0" applyAlignment="1" pivotButton="0" quotePrefix="0" xfId="0">
      <alignment horizontal="right" vertical="center" wrapText="1" readingOrder="2"/>
    </xf>
    <xf numFmtId="0" fontId="102" fillId="0" borderId="0" applyAlignment="1" pivotButton="0" quotePrefix="0" xfId="0">
      <alignment horizontal="right" vertical="center" wrapText="1" readingOrder="2"/>
    </xf>
    <xf numFmtId="0" fontId="101" fillId="30" borderId="0" applyAlignment="1" pivotButton="0" quotePrefix="0" xfId="0">
      <alignment horizontal="right" vertical="center" wrapText="1" readingOrder="2"/>
    </xf>
    <xf numFmtId="4" fontId="101" fillId="0" borderId="0" applyAlignment="1" pivotButton="0" quotePrefix="0" xfId="0">
      <alignment horizontal="right" vertical="center" wrapText="1" readingOrder="2"/>
    </xf>
    <xf numFmtId="10" fontId="101" fillId="0" borderId="0" applyAlignment="1" pivotButton="0" quotePrefix="0" xfId="0">
      <alignment horizontal="right" vertical="center" wrapText="1" readingOrder="2"/>
    </xf>
    <xf numFmtId="3" fontId="101" fillId="29" borderId="0" applyAlignment="1" pivotButton="0" quotePrefix="0" xfId="0">
      <alignment horizontal="right" vertical="center" wrapText="1" readingOrder="2"/>
    </xf>
    <xf numFmtId="9" fontId="102" fillId="29" borderId="0" applyAlignment="1" pivotButton="0" quotePrefix="0" xfId="0">
      <alignment horizontal="right" vertical="center" wrapText="1" readingOrder="2"/>
    </xf>
    <xf numFmtId="4" fontId="102" fillId="0" borderId="0" applyAlignment="1" pivotButton="0" quotePrefix="0" xfId="0">
      <alignment horizontal="right" vertical="center" wrapText="1" readingOrder="2"/>
    </xf>
    <xf numFmtId="9" fontId="101" fillId="0" borderId="0" applyAlignment="1" pivotButton="0" quotePrefix="0" xfId="0">
      <alignment horizontal="right" vertical="center" wrapText="1" readingOrder="2"/>
    </xf>
    <xf numFmtId="167" fontId="101" fillId="0" borderId="0" applyAlignment="1" pivotButton="0" quotePrefix="0" xfId="0">
      <alignment horizontal="right" vertical="center" wrapText="1" readingOrder="2"/>
    </xf>
    <xf numFmtId="3" fontId="102" fillId="29" borderId="0" applyAlignment="1" pivotButton="0" quotePrefix="0" xfId="0">
      <alignment horizontal="right" vertical="center" wrapText="1" readingOrder="2"/>
    </xf>
    <xf numFmtId="166" fontId="102" fillId="29" borderId="0" applyAlignment="1" pivotButton="0" quotePrefix="0" xfId="0">
      <alignment horizontal="right" vertical="center" wrapText="1" readingOrder="2"/>
    </xf>
    <xf numFmtId="3" fontId="101" fillId="0" borderId="0" applyAlignment="1" pivotButton="0" quotePrefix="0" xfId="0">
      <alignment horizontal="right" vertical="center" wrapText="1" readingOrder="2"/>
    </xf>
    <xf numFmtId="4" fontId="102" fillId="29" borderId="0" applyAlignment="1" pivotButton="0" quotePrefix="0" xfId="0">
      <alignment horizontal="right" vertical="center" wrapText="1" readingOrder="2"/>
    </xf>
    <xf numFmtId="2" fontId="101" fillId="0" borderId="0" applyAlignment="1" pivotButton="0" quotePrefix="0" xfId="0">
      <alignment horizontal="right" vertical="center" wrapText="1" readingOrder="2"/>
    </xf>
    <xf numFmtId="1" fontId="102" fillId="29" borderId="0" applyAlignment="1" pivotButton="0" quotePrefix="0" xfId="0">
      <alignment horizontal="right" vertical="center" wrapText="1" readingOrder="2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ont>
        <name val="DIN Next LT Arabic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DIN Next LT Arabic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DIN Next LT Arabic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DIN Next LT Arabic"/>
        <charset val="1"/>
        <family val="0"/>
        <b val="1"/>
        <color rgb="FF424242"/>
      </font>
      <fill>
        <patternFill>
          <bgColor rgb="FFE2E3E3"/>
        </patternFill>
      </fill>
    </dxf>
    <dxf>
      <font>
        <name val="DIN Next LT Arabic"/>
        <charset val="1"/>
        <family val="0"/>
        <b val="1"/>
        <color rgb="FFE65100"/>
      </font>
      <fill>
        <patternFill>
          <bgColor rgb="FFFFE0B2"/>
        </patternFill>
      </fill>
    </dxf>
    <dxf>
      <font>
        <name val="DIN Next LT Arabic"/>
        <charset val="1"/>
        <family val="0"/>
        <b val="1"/>
        <color rgb="FFEF6C00"/>
      </font>
      <fill>
        <patternFill>
          <bgColor rgb="FFFFCC80"/>
        </patternFill>
      </fill>
    </dxf>
    <dxf>
      <font>
        <name val="DIN Next LT Arabic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DIN Next LT Arabic"/>
        <charset val="1"/>
        <family val="0"/>
        <b val="1"/>
        <color rgb="FF0D47A1"/>
      </font>
      <fill>
        <patternFill>
          <bgColor rgb="FFBBDEFB"/>
        </patternFill>
      </fill>
    </dxf>
    <dxf>
      <font>
        <name val="DIN Next LT Arabic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DIN Next LT Arabic"/>
        <charset val="1"/>
        <family val="0"/>
        <b val="1"/>
        <color rgb="FF1B5E20"/>
      </font>
      <fill>
        <patternFill>
          <bgColor rgb="FFA5D6A7"/>
        </patternFill>
      </fill>
    </dxf>
    <dxf>
      <font>
        <name val="DIN Next LT Arabic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DIN Next LT Arabic"/>
        <charset val="1"/>
        <family val="0"/>
        <b val="1"/>
        <color rgb="FFE65100"/>
      </font>
      <fill>
        <patternFill>
          <bgColor rgb="FFFFE082"/>
        </patternFill>
      </fill>
    </dxf>
  </dxfs>
  <colors>
    <indexedColors>
      <rgbColor rgb="FF000000"/>
      <rgbColor rgb="FFFFFFFF"/>
      <rgbColor rgb="FFE65100"/>
      <rgbColor rgb="FF00FF00"/>
      <rgbColor rgb="FF0000FF"/>
      <rgbColor rgb="FFFFE082"/>
      <rgbColor rgb="FFFF00FF"/>
      <rgbColor rgb="FFF0F8FF"/>
      <rgbColor rgb="FF9C0006"/>
      <rgbColor rgb="FF006100"/>
      <rgbColor rgb="FF000080"/>
      <rgbColor rgb="FFFFF3E0"/>
      <rgbColor rgb="FF800080"/>
      <rgbColor rgb="FF37474F"/>
      <rgbColor rgb="FFBDBDBD"/>
      <rgbColor rgb="FFFEF0E6"/>
      <rgbColor rgb="FFF3E5F5"/>
      <rgbColor rgb="FF6D4C41"/>
      <rgbColor rgb="FFFFF9C4"/>
      <rgbColor rgb="FFE3F2FD"/>
      <rgbColor rgb="FF424242"/>
      <rgbColor rgb="FFF57F17"/>
      <rgbColor rgb="FF0277BD"/>
      <rgbColor rgb="FFBBDEFB"/>
      <rgbColor rgb="FF000080"/>
      <rgbColor rgb="FFFF00FF"/>
      <rgbColor rgb="FFFFE0B2"/>
      <rgbColor rgb="FFF5F5F5"/>
      <rgbColor rgb="FF800080"/>
      <rgbColor rgb="FF800000"/>
      <rgbColor rgb="FF008080"/>
      <rgbColor rgb="FF0000FF"/>
      <rgbColor rgb="FFFFFCE6"/>
      <rgbColor rgb="FFE8F5E9"/>
      <rgbColor rgb="FFC6EFCE"/>
      <rgbColor rgb="FFFFEB9C"/>
      <rgbColor rgb="FFB0BEC5"/>
      <rgbColor rgb="FFFFC7CE"/>
      <rgbColor rgb="FFE2E3E3"/>
      <rgbColor rgb="FFFFCC80"/>
      <rgbColor rgb="FF3366FF"/>
      <rgbColor rgb="FFECEFF1"/>
      <rgbColor rgb="FFFDD8B5"/>
      <rgbColor rgb="FFFFB74D"/>
      <rgbColor rgb="FFF18321"/>
      <rgbColor rgb="FFEF6C00"/>
      <rgbColor rgb="FF555555"/>
      <rgbColor rgb="FFA5D6A7"/>
      <rgbColor rgb="FF0D47A1"/>
      <rgbColor rgb="FF388E3C"/>
      <rgbColor rgb="FF1B5E20"/>
      <rgbColor rgb="FF3D3D3D"/>
      <rgbColor rgb="FF9C5700"/>
      <rgbColor rgb="FFC04E0E"/>
      <rgbColor rgb="FF5E35B1"/>
      <rgbColor rgb="FF26323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59" min="1" max="1"/>
    <col width="12" customWidth="1" style="259" min="2" max="2"/>
    <col width="14" customWidth="1" style="259" min="3" max="5"/>
    <col width="16" customWidth="1" style="259" min="6" max="7"/>
    <col width="14" customWidth="1" style="259" min="8" max="9"/>
  </cols>
  <sheetData>
    <row r="1" ht="48" customHeight="1" s="260">
      <c r="A1" s="261" t="inlineStr">
        <is>
          <t xml:space="preserve">  درب · تانكي · النموذج المالي الاحترافي</t>
        </is>
      </c>
    </row>
    <row r="2" ht="25.5" customHeight="1" s="260">
      <c r="A2" s="262" t="inlineStr">
        <is>
          <t xml:space="preserve">  Inflated Points Economy · نقاط مُضخّمة لإحساس بالثراء</t>
        </is>
      </c>
    </row>
    <row r="3" ht="9.75" customHeight="1" s="260"/>
    <row r="4" ht="30" customHeight="1" s="260">
      <c r="A4" s="263" t="inlineStr">
        <is>
          <t>🤍 الكاش باك (الأبيض)</t>
        </is>
      </c>
      <c r="D4" s="264" t="inlineStr">
        <is>
          <t>🩶 الكاش باك (الفضي)</t>
        </is>
      </c>
      <c r="G4" s="265" t="inlineStr">
        <is>
          <t>🟠 الكاش باك (البرتقالي)</t>
        </is>
      </c>
    </row>
    <row r="5" ht="69.75" customHeight="1" s="260">
      <c r="A5" s="266">
        <f>السيناريوهات!C7/السيناريوهات!C6</f>
        <v/>
      </c>
      <c r="D5" s="267">
        <f>السيناريوهات!C8/السيناريوهات!C6</f>
        <v/>
      </c>
      <c r="G5" s="268">
        <f>السيناريوهات!C9/السيناريوهات!C6</f>
        <v/>
      </c>
    </row>
    <row r="6" ht="24" customHeight="1" s="260">
      <c r="A6" s="269" t="inlineStr">
        <is>
          <t>0.5% من كل ريال إنفاق</t>
        </is>
      </c>
      <c r="D6" s="270" t="inlineStr">
        <is>
          <t>0.5% + منافع للأعضاء النشطين</t>
        </is>
      </c>
      <c r="G6" s="271" t="inlineStr">
        <is>
          <t>0.5% + منافع VIP</t>
        </is>
      </c>
    </row>
    <row r="7" ht="9.75" customHeight="1" s="260"/>
    <row r="8" ht="30" customHeight="1" s="260">
      <c r="A8" s="272" t="inlineStr">
        <is>
          <t>🎯 المستويات الثلاثة · تفاصيل شاملة</t>
        </is>
      </c>
    </row>
    <row r="9" ht="39.75" customHeight="1" s="260">
      <c r="A9" s="273" t="inlineStr">
        <is>
          <t>المستوى</t>
        </is>
      </c>
      <c r="B9" s="273" t="inlineStr">
        <is>
          <t>الكسب (نقاط/ريال)</t>
        </is>
      </c>
      <c r="C9" s="273" t="inlineStr">
        <is>
          <t>الحد الأدنى</t>
        </is>
      </c>
      <c r="D9" s="273" t="inlineStr">
        <is>
          <t>الحد الأعلى</t>
        </is>
      </c>
      <c r="E9" s="273" t="inlineStr">
        <is>
          <t>إنفاق نموذجي</t>
        </is>
      </c>
      <c r="F9" s="273" t="inlineStr">
        <is>
          <t>النقاط/سنة</t>
        </is>
      </c>
      <c r="G9" s="273" t="inlineStr">
        <is>
          <t>القيمة بالريال</t>
        </is>
      </c>
      <c r="H9" s="273" t="inlineStr">
        <is>
          <t>الكاش باك %</t>
        </is>
      </c>
      <c r="I9" s="273" t="inlineStr">
        <is>
          <t>تكلفة درب</t>
        </is>
      </c>
    </row>
    <row r="10" ht="31.5" customHeight="1" s="260">
      <c r="A10" s="274" t="inlineStr">
        <is>
          <t>🤍 الأبيض</t>
        </is>
      </c>
      <c r="B10" s="275">
        <f>السيناريوهات!C7</f>
        <v/>
      </c>
      <c r="C10" s="276" t="n">
        <v>0</v>
      </c>
      <c r="D10" s="276" t="n">
        <v>10000</v>
      </c>
      <c r="E10" s="277" t="n">
        <v>5000</v>
      </c>
      <c r="F10" s="278">
        <f>E10*B10</f>
        <v/>
      </c>
      <c r="G10" s="279">
        <f>F10/السيناريوهات!$C$6</f>
        <v/>
      </c>
      <c r="H10" s="280">
        <f>G10/E10</f>
        <v/>
      </c>
      <c r="I10" s="281">
        <f>E10*السيناريوهات!$C$10/100</f>
        <v/>
      </c>
    </row>
    <row r="11" ht="31.5" customHeight="1" s="260">
      <c r="A11" s="282" t="inlineStr">
        <is>
          <t>🩶 الفضي</t>
        </is>
      </c>
      <c r="B11" s="275">
        <f>السيناريوهات!C8</f>
        <v/>
      </c>
      <c r="C11" s="276" t="n">
        <v>10000</v>
      </c>
      <c r="D11" s="276" t="n">
        <v>30000</v>
      </c>
      <c r="E11" s="277" t="n">
        <v>20000</v>
      </c>
      <c r="F11" s="278">
        <f>E11*B11</f>
        <v/>
      </c>
      <c r="G11" s="279">
        <f>F11/السيناريوهات!$C$6</f>
        <v/>
      </c>
      <c r="H11" s="280">
        <f>G11/E11</f>
        <v/>
      </c>
      <c r="I11" s="281">
        <f>E11*السيناريوهات!$C$10/100</f>
        <v/>
      </c>
    </row>
    <row r="12" ht="31.5" customHeight="1" s="260">
      <c r="A12" s="283" t="inlineStr">
        <is>
          <t>🟠 البرتقالي</t>
        </is>
      </c>
      <c r="B12" s="275">
        <f>السيناريوهات!C9</f>
        <v/>
      </c>
      <c r="C12" s="276" t="n">
        <v>30001</v>
      </c>
      <c r="D12" s="284" t="inlineStr">
        <is>
          <t>بلا حد</t>
        </is>
      </c>
      <c r="E12" s="277" t="n">
        <v>50000</v>
      </c>
      <c r="F12" s="278">
        <f>E12*B12</f>
        <v/>
      </c>
      <c r="G12" s="279">
        <f>F12/السيناريوهات!$C$6</f>
        <v/>
      </c>
      <c r="H12" s="280">
        <f>G12/E12</f>
        <v/>
      </c>
      <c r="I12" s="281">
        <f>E12*السيناريوهات!$C$10/100</f>
        <v/>
      </c>
    </row>
    <row r="13" ht="9.75" customHeight="1" s="260"/>
    <row r="14" ht="30" customHeight="1" s="260">
      <c r="A14" s="285" t="inlineStr">
        <is>
          <t>🆚 مقارنة درب مع ساسكو · الميزة التنافسية</t>
        </is>
      </c>
    </row>
    <row r="15" ht="31.5" customHeight="1" s="260">
      <c r="A15" s="286" t="inlineStr">
        <is>
          <t>المعيار</t>
        </is>
      </c>
      <c r="B15" s="287" t="n"/>
      <c r="C15" s="288" t="inlineStr">
        <is>
          <t>ساسكو</t>
        </is>
      </c>
      <c r="D15" s="289" t="inlineStr">
        <is>
          <t>الأبيض</t>
        </is>
      </c>
      <c r="E15" s="290" t="inlineStr">
        <is>
          <t>الفضي</t>
        </is>
      </c>
      <c r="F15" s="291" t="inlineStr">
        <is>
          <t>البرتقالي</t>
        </is>
      </c>
      <c r="G15" s="292" t="inlineStr">
        <is>
          <t>ميزة درب</t>
        </is>
      </c>
      <c r="H15" s="293" t="n"/>
      <c r="I15" s="287" t="n"/>
    </row>
    <row r="16" ht="30" customHeight="1" s="260">
      <c r="A16" s="294" t="inlineStr">
        <is>
          <t>نقاط لكل ريال</t>
        </is>
      </c>
      <c r="B16" s="287" t="n"/>
      <c r="C16" s="295" t="inlineStr">
        <is>
          <t>0.43 نقطة</t>
        </is>
      </c>
      <c r="D16" s="289" t="inlineStr">
        <is>
          <t>1 نقطة</t>
        </is>
      </c>
      <c r="E16" s="290" t="inlineStr">
        <is>
          <t>1 نقطة</t>
        </is>
      </c>
      <c r="F16" s="291" t="inlineStr">
        <is>
          <t>1 نقطة</t>
        </is>
      </c>
      <c r="G16" s="292" t="inlineStr">
        <is>
          <t>2.3x</t>
        </is>
      </c>
      <c r="H16" s="293" t="n"/>
      <c r="I16" s="287" t="n"/>
    </row>
    <row r="17" ht="30" customHeight="1" s="260">
      <c r="A17" s="294" t="inlineStr">
        <is>
          <t>قيمة النقطة</t>
        </is>
      </c>
      <c r="B17" s="287" t="n"/>
      <c r="C17" s="295" t="inlineStr">
        <is>
          <t>100 = ريال</t>
        </is>
      </c>
      <c r="D17" s="289" t="inlineStr">
        <is>
          <t>200 = ريال</t>
        </is>
      </c>
      <c r="E17" s="290" t="inlineStr">
        <is>
          <t>200 = ريال</t>
        </is>
      </c>
      <c r="F17" s="291" t="inlineStr">
        <is>
          <t>200 = ريال</t>
        </is>
      </c>
      <c r="G17" s="292" t="inlineStr">
        <is>
          <t>نقطة = نص هللة</t>
        </is>
      </c>
      <c r="H17" s="293" t="n"/>
      <c r="I17" s="287" t="n"/>
    </row>
    <row r="18" ht="30" customHeight="1" s="260">
      <c r="A18" s="294" t="inlineStr">
        <is>
          <t>الكاش باك الفعلي</t>
        </is>
      </c>
      <c r="B18" s="287" t="n"/>
      <c r="C18" s="295" t="inlineStr">
        <is>
          <t>0.43%</t>
        </is>
      </c>
      <c r="D18" s="289" t="inlineStr">
        <is>
          <t>0.50%</t>
        </is>
      </c>
      <c r="E18" s="290" t="inlineStr">
        <is>
          <t>0.50%</t>
        </is>
      </c>
      <c r="F18" s="291" t="inlineStr">
        <is>
          <t>0.50%</t>
        </is>
      </c>
      <c r="G18" s="292" t="inlineStr">
        <is>
          <t>1.2x</t>
        </is>
      </c>
      <c r="H18" s="293" t="n"/>
      <c r="I18" s="287" t="n"/>
    </row>
    <row r="19" ht="30" customHeight="1" s="260">
      <c r="A19" s="294" t="inlineStr">
        <is>
          <t>نقاط لـ 100 ريال</t>
        </is>
      </c>
      <c r="B19" s="287" t="n"/>
      <c r="C19" s="295" t="inlineStr">
        <is>
          <t>43 نقطة</t>
        </is>
      </c>
      <c r="D19" s="289" t="inlineStr">
        <is>
          <t>100 نقطة</t>
        </is>
      </c>
      <c r="E19" s="290" t="inlineStr">
        <is>
          <t>100 نقطة</t>
        </is>
      </c>
      <c r="F19" s="291" t="inlineStr">
        <is>
          <t>100 نقطة</t>
        </is>
      </c>
      <c r="G19" s="292" t="inlineStr">
        <is>
          <t>إحساس بالثراء</t>
        </is>
      </c>
      <c r="H19" s="293" t="n"/>
      <c r="I19" s="287" t="n"/>
    </row>
    <row r="20" ht="30" customHeight="1" s="260">
      <c r="A20" s="294" t="inlineStr">
        <is>
          <t>سرعة المكافأة</t>
        </is>
      </c>
      <c r="B20" s="287" t="n"/>
      <c r="C20" s="295" t="inlineStr">
        <is>
          <t>بطيء</t>
        </is>
      </c>
      <c r="D20" s="289" t="inlineStr">
        <is>
          <t>سريع</t>
        </is>
      </c>
      <c r="E20" s="290" t="inlineStr">
        <is>
          <t>أسرع</t>
        </is>
      </c>
      <c r="F20" s="291" t="inlineStr">
        <is>
          <t>الأسرع</t>
        </is>
      </c>
      <c r="G20" s="292" t="inlineStr">
        <is>
          <t>انخراط أعلى</t>
        </is>
      </c>
      <c r="H20" s="293" t="n"/>
      <c r="I20" s="287" t="n"/>
    </row>
    <row r="21" ht="9.75" customHeight="1" s="260"/>
    <row r="22" ht="30" customHeight="1" s="260">
      <c r="A22" s="272" t="inlineStr">
        <is>
          <t>🎯 التوصيات الاستراتيجية</t>
        </is>
      </c>
    </row>
    <row r="23" ht="27.75" customHeight="1" s="260">
      <c r="A23" s="296" t="inlineStr">
        <is>
          <t>1. اعتمد النموذج الشفّاف: كل ريال = نقطة · النقطة = نص هللة (200 نقطة = ريال) = 0.5%</t>
        </is>
      </c>
      <c r="B23" s="293" t="n"/>
      <c r="C23" s="293" t="n"/>
      <c r="D23" s="293" t="n"/>
      <c r="E23" s="293" t="n"/>
      <c r="F23" s="293" t="n"/>
      <c r="G23" s="293" t="n"/>
      <c r="H23" s="293" t="n"/>
      <c r="I23" s="287" t="n"/>
    </row>
    <row r="24" ht="27.75" customHeight="1" s="260">
      <c r="A24" s="296" t="inlineStr">
        <is>
          <t>2. ابدأ بـ 3 مستويات (أبيض/فضي/برتقالي) من اليوم الأول</t>
        </is>
      </c>
      <c r="B24" s="293" t="n"/>
      <c r="C24" s="293" t="n"/>
      <c r="D24" s="293" t="n"/>
      <c r="E24" s="293" t="n"/>
      <c r="F24" s="293" t="n"/>
      <c r="G24" s="293" t="n"/>
      <c r="H24" s="293" t="n"/>
      <c r="I24" s="287" t="n"/>
    </row>
    <row r="25" ht="27.75" customHeight="1" s="260">
      <c r="A25" s="296" t="inlineStr">
        <is>
          <t>3. هدية ترحيب 1,000 نقطة = 5 ريال · ترحيب بسيط وواضح</t>
        </is>
      </c>
      <c r="B25" s="293" t="n"/>
      <c r="C25" s="293" t="n"/>
      <c r="D25" s="293" t="n"/>
      <c r="E25" s="293" t="n"/>
      <c r="F25" s="293" t="n"/>
      <c r="G25" s="293" t="n"/>
      <c r="H25" s="293" t="n"/>
      <c r="I25" s="287" t="n"/>
    </row>
    <row r="26" ht="27.75" customHeight="1" s="260">
      <c r="A26" s="296" t="inlineStr">
        <is>
          <t>4. التسويق: 'كل ريال نقطة · أكثر كاش باك من ساسكو'</t>
        </is>
      </c>
      <c r="B26" s="293" t="n"/>
      <c r="C26" s="293" t="n"/>
      <c r="D26" s="293" t="n"/>
      <c r="E26" s="293" t="n"/>
      <c r="F26" s="293" t="n"/>
      <c r="G26" s="293" t="n"/>
      <c r="H26" s="293" t="n"/>
      <c r="I26" s="287" t="n"/>
    </row>
    <row r="27" ht="27.75" customHeight="1" s="260">
      <c r="A27" s="296" t="inlineStr">
        <is>
          <t>5. محطات الامتياز: 50/50 مع تحصيل شهري تلقائي</t>
        </is>
      </c>
      <c r="B27" s="293" t="n"/>
      <c r="C27" s="293" t="n"/>
      <c r="D27" s="293" t="n"/>
      <c r="E27" s="293" t="n"/>
      <c r="F27" s="293" t="n"/>
      <c r="G27" s="293" t="n"/>
      <c r="H27" s="293" t="n"/>
      <c r="I27" s="287" t="n"/>
    </row>
    <row r="28" ht="27.75" customHeight="1" s="260">
      <c r="A28" s="296" t="inlineStr">
        <is>
          <t>6. راجع الأرقام كل 3 أشهر · عدّل في شيت السيناريوهات</t>
        </is>
      </c>
      <c r="B28" s="293" t="n"/>
      <c r="C28" s="293" t="n"/>
      <c r="D28" s="293" t="n"/>
      <c r="E28" s="293" t="n"/>
      <c r="F28" s="293" t="n"/>
      <c r="G28" s="293" t="n"/>
      <c r="H28" s="293" t="n"/>
      <c r="I28" s="287" t="n"/>
    </row>
    <row r="30" ht="24" customHeight="1" s="260">
      <c r="A30" s="297" t="inlineStr">
        <is>
          <t xml:space="preserve">  درب · إدارة الشراكات · النموذج المالي · 2026  </t>
        </is>
      </c>
    </row>
  </sheetData>
  <mergeCells count="33">
    <mergeCell ref="A25:I25"/>
    <mergeCell ref="A15:B15"/>
    <mergeCell ref="G6:I6"/>
    <mergeCell ref="G19:I19"/>
    <mergeCell ref="G18:I18"/>
    <mergeCell ref="A27:I27"/>
    <mergeCell ref="A26:I26"/>
    <mergeCell ref="G15:I15"/>
    <mergeCell ref="A16:B16"/>
    <mergeCell ref="A2:I2"/>
    <mergeCell ref="A5:C5"/>
    <mergeCell ref="G5:I5"/>
    <mergeCell ref="D4:F4"/>
    <mergeCell ref="A14:I14"/>
    <mergeCell ref="A23:I23"/>
    <mergeCell ref="G4:I4"/>
    <mergeCell ref="A8:I8"/>
    <mergeCell ref="G20:I20"/>
    <mergeCell ref="A22:I22"/>
    <mergeCell ref="A18:B18"/>
    <mergeCell ref="A4:C4"/>
    <mergeCell ref="G16:I16"/>
    <mergeCell ref="D5:F5"/>
    <mergeCell ref="A28:I28"/>
    <mergeCell ref="A17:B17"/>
    <mergeCell ref="A24:I24"/>
    <mergeCell ref="A30:I30"/>
    <mergeCell ref="A20:B20"/>
    <mergeCell ref="A19:B19"/>
    <mergeCell ref="A6:C6"/>
    <mergeCell ref="A1:I1"/>
    <mergeCell ref="G17:I17"/>
    <mergeCell ref="D6:F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41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59" min="1" max="1"/>
    <col width="36" customWidth="1" style="259" min="2" max="2"/>
    <col width="18" customWidth="1" style="259" min="3" max="3"/>
    <col width="16" customWidth="1" style="259" min="4" max="7"/>
  </cols>
  <sheetData>
    <row r="1" ht="45.75" customHeight="1" s="260">
      <c r="A1" s="298" t="inlineStr">
        <is>
          <t xml:space="preserve">  درب · تانكي · لوحة التحكم بالسيناريوهات</t>
        </is>
      </c>
      <c r="B1" s="299" t="n"/>
      <c r="C1" s="299" t="n"/>
      <c r="D1" s="299" t="n"/>
      <c r="E1" s="299" t="n"/>
      <c r="F1" s="299" t="n"/>
      <c r="G1" s="300" t="n"/>
    </row>
    <row r="2" ht="25.5" customHeight="1" s="260">
      <c r="A2" s="301" t="inlineStr">
        <is>
          <t xml:space="preserve">  ⚡ غيّر القيم في الخلايا الصفراء · كل الشيتات تتحدث تلقائياً</t>
        </is>
      </c>
      <c r="B2" s="299" t="n"/>
      <c r="C2" s="299" t="n"/>
      <c r="D2" s="299" t="n"/>
      <c r="E2" s="299" t="n"/>
      <c r="F2" s="299" t="n"/>
      <c r="G2" s="300" t="n"/>
    </row>
    <row r="3" ht="9.75" customHeight="1" s="260"/>
    <row r="4" ht="31.5" customHeight="1" s="260">
      <c r="A4" s="302" t="inlineStr">
        <is>
          <t>1️⃣ قيمة النقطة ومعدلات الكسب (النموذج المُضخّم)</t>
        </is>
      </c>
      <c r="B4" s="299" t="n"/>
      <c r="C4" s="299" t="n"/>
      <c r="D4" s="299" t="n"/>
      <c r="E4" s="299" t="n"/>
      <c r="F4" s="299" t="n"/>
      <c r="G4" s="300" t="n"/>
    </row>
    <row r="5" ht="31.5" customHeight="1" s="260">
      <c r="A5" s="273" t="inlineStr">
        <is>
          <t>#</t>
        </is>
      </c>
      <c r="B5" s="273" t="inlineStr">
        <is>
          <t>الإفتراض</t>
        </is>
      </c>
      <c r="C5" s="273" t="inlineStr">
        <is>
          <t>القيمة</t>
        </is>
      </c>
      <c r="D5" s="273" t="inlineStr">
        <is>
          <t>الوصف</t>
        </is>
      </c>
      <c r="E5" s="287" t="n"/>
      <c r="F5" s="273" t="inlineStr">
        <is>
          <t>💡 المؤشر التفاعلي</t>
        </is>
      </c>
      <c r="G5" s="287" t="n"/>
    </row>
    <row r="6" ht="27.75" customHeight="1" s="260">
      <c r="A6" s="303" t="n">
        <v>1</v>
      </c>
      <c r="B6" s="296" t="inlineStr">
        <is>
          <t>قيمة النقطة (نقطة = 1 ريال)</t>
        </is>
      </c>
      <c r="C6" s="304" t="n">
        <v>200</v>
      </c>
      <c r="D6" s="305" t="inlineStr">
        <is>
          <t>كم نقطة تساوي 1 ريال عند الاستبدال</t>
        </is>
      </c>
      <c r="E6" s="287" t="n"/>
      <c r="F6" s="306">
        <f>IF(C6&lt;=5000,"🔴 سخي جداً",IF(C6&lt;=10000,"✅ موصى به",IF(C6&lt;=15000,"⚠️ متحفظ","🔴 بخيل جداً")))</f>
        <v/>
      </c>
      <c r="G6" s="287" t="n"/>
    </row>
    <row r="7" ht="27.75" customHeight="1" s="260">
      <c r="A7" s="303" t="n">
        <v>2</v>
      </c>
      <c r="B7" s="296" t="inlineStr">
        <is>
          <t>معدل الكسب · المستوى الأبيض (نقطة/ريال)</t>
        </is>
      </c>
      <c r="C7" s="304" t="n">
        <v>1</v>
      </c>
      <c r="D7" s="305" t="inlineStr">
        <is>
          <t>عدد النقاط لكل ريال إنفاق</t>
        </is>
      </c>
      <c r="E7" s="287" t="n"/>
      <c r="F7" s="306">
        <f>IF(C7/C6&lt;0.005,"🔴 ضعيف",IF(C7/C6&lt;=0.01,"✅ مثالي",IF(C7/C6&lt;=0.015,"⚠️ سخي","🔴 مكلف جداً")))</f>
        <v/>
      </c>
      <c r="G7" s="287" t="n"/>
    </row>
    <row r="8" ht="27.75" customHeight="1" s="260">
      <c r="A8" s="303" t="n">
        <v>3</v>
      </c>
      <c r="B8" s="296" t="inlineStr">
        <is>
          <t>معدل الكسب · المستوى الفضي (نقطة/ريال)</t>
        </is>
      </c>
      <c r="C8" s="304" t="n">
        <v>1</v>
      </c>
      <c r="D8" s="305" t="inlineStr">
        <is>
          <t>نقاط أكثر بـ 50%</t>
        </is>
      </c>
      <c r="E8" s="287" t="n"/>
      <c r="F8" s="306">
        <f>IF(C8/C6&lt;0.0075,"⚠️ ضعيف",IF(C8/C6&lt;=0.015,"✅ مناسب","⚠️ سخي"))</f>
        <v/>
      </c>
      <c r="G8" s="287" t="n"/>
    </row>
    <row r="9" ht="27.75" customHeight="1" s="260">
      <c r="A9" s="303" t="n">
        <v>4</v>
      </c>
      <c r="B9" s="296" t="inlineStr">
        <is>
          <t>معدل الكسب · المستوى البرتقالي (نقطة/ريال)</t>
        </is>
      </c>
      <c r="C9" s="304" t="n">
        <v>1</v>
      </c>
      <c r="D9" s="305" t="inlineStr">
        <is>
          <t>ضعف نقاط الأبيض</t>
        </is>
      </c>
      <c r="E9" s="287" t="n"/>
      <c r="F9" s="306">
        <f>IF(C9/C6&lt;0.01,"⚠️ ضعيف",IF(C9/C6&lt;=0.02,"✅ مناسب",IF(C9/C6&lt;=0.03,"⚠️ سخي","🔴 خسارة")))</f>
        <v/>
      </c>
      <c r="G9" s="287" t="n"/>
    </row>
    <row r="10" ht="27.75" customHeight="1" s="260">
      <c r="A10" s="303" t="n">
        <v>5</v>
      </c>
      <c r="B10" s="296" t="inlineStr">
        <is>
          <t>تكلفة النقطة على درب (هللة/ريال)</t>
        </is>
      </c>
      <c r="C10" s="307" t="n">
        <v>0.5</v>
      </c>
      <c r="D10" s="305" t="inlineStr">
        <is>
          <t>التكلفة الفعلية على درب</t>
        </is>
      </c>
      <c r="E10" s="287" t="n"/>
      <c r="F10" s="306">
        <f>IF(C10&lt;=0.75,"✅ مستدام",IF(C10&lt;=1.25,"⚠️ مقبول",IF(C10&lt;=1.5,"⚠️ ضغط على الامتياز","🔴 خسارة")))</f>
        <v/>
      </c>
      <c r="G10" s="287" t="n"/>
    </row>
    <row r="11" ht="27.75" customHeight="1" s="260">
      <c r="A11" s="303" t="n">
        <v>6</v>
      </c>
      <c r="B11" s="296" t="inlineStr">
        <is>
          <t>سعر اللتر المتوسط (ريال)</t>
        </is>
      </c>
      <c r="C11" s="307" t="n">
        <v>2.33</v>
      </c>
      <c r="D11" s="305" t="inlineStr">
        <is>
          <t>متوسط سعر بنزين 91</t>
        </is>
      </c>
      <c r="E11" s="287" t="n"/>
      <c r="F11" s="306">
        <f>IF(C11&gt;=2,"✅ منطقي","⚠️ تحقق")</f>
        <v/>
      </c>
      <c r="G11" s="287" t="n"/>
    </row>
    <row r="12" ht="27.75" customHeight="1" s="260">
      <c r="A12" s="303" t="n">
        <v>7</v>
      </c>
      <c r="B12" s="296" t="inlineStr">
        <is>
          <t>هدية الترحيب (نقطة)</t>
        </is>
      </c>
      <c r="C12" s="304" t="n">
        <v>5000</v>
      </c>
      <c r="D12" s="305" t="inlineStr">
        <is>
          <t>نقاط مجانية عند التسجيل</t>
        </is>
      </c>
      <c r="E12" s="287" t="n"/>
      <c r="F12" s="306">
        <f>IF(C12&gt;=5000,"✅ جذاب","⚠️ صغير")</f>
        <v/>
      </c>
      <c r="G12" s="287" t="n"/>
    </row>
    <row r="13" ht="9.75" customHeight="1" s="260"/>
    <row r="14" ht="31.5" customHeight="1" s="260">
      <c r="A14" s="308" t="inlineStr">
        <is>
          <t>2️⃣ معايير الترقية بين المستويات (إنفاق سنوي بالريال)</t>
        </is>
      </c>
      <c r="B14" s="299" t="n"/>
      <c r="C14" s="299" t="n"/>
      <c r="D14" s="299" t="n"/>
      <c r="E14" s="299" t="n"/>
      <c r="F14" s="299" t="n"/>
      <c r="G14" s="300" t="n"/>
    </row>
    <row r="15" ht="31.5" customHeight="1" s="260">
      <c r="A15" s="273" t="inlineStr">
        <is>
          <t>#</t>
        </is>
      </c>
      <c r="B15" s="273" t="inlineStr">
        <is>
          <t>الإفتراض</t>
        </is>
      </c>
      <c r="C15" s="273" t="inlineStr">
        <is>
          <t>القيمة</t>
        </is>
      </c>
      <c r="D15" s="273" t="inlineStr">
        <is>
          <t>الوصف</t>
        </is>
      </c>
      <c r="E15" s="287" t="n"/>
      <c r="F15" s="273" t="inlineStr">
        <is>
          <t>💡 المؤشر</t>
        </is>
      </c>
      <c r="G15" s="287" t="n"/>
    </row>
    <row r="16" ht="27.75" customHeight="1" s="260">
      <c r="A16" s="303" t="n">
        <v>1</v>
      </c>
      <c r="B16" s="309" t="inlineStr">
        <is>
          <t>حد الترقية للفضي (إنفاق ريال/سنة)</t>
        </is>
      </c>
      <c r="C16" s="310" t="n">
        <v>3600</v>
      </c>
      <c r="D16" s="305" t="inlineStr">
        <is>
          <t>300 ر/شهر = 3,600 ر/سنة → ترقية للفضي</t>
        </is>
      </c>
      <c r="E16" s="287" t="n"/>
      <c r="F16" s="306">
        <f>IF(C16&lt;=5000,"⚠️ منخفض",IF(C16&lt;=15000,"✅ مناسب","⚠️ مرتفع"))</f>
        <v/>
      </c>
      <c r="G16" s="287" t="n"/>
    </row>
    <row r="17" ht="27.75" customHeight="1" s="260">
      <c r="A17" s="303" t="n">
        <v>2</v>
      </c>
      <c r="B17" s="309" t="inlineStr">
        <is>
          <t>حد الترقية للبرتقالي (إنفاق ريال/سنة)</t>
        </is>
      </c>
      <c r="C17" s="310" t="n">
        <v>14400</v>
      </c>
      <c r="D17" s="305" t="inlineStr">
        <is>
          <t>1,200 ر/شهر = 14,400 ر/سنة → ترقية للبرتقالي</t>
        </is>
      </c>
      <c r="E17" s="287" t="n"/>
      <c r="F17" s="306">
        <f>IF(C17&lt;=20000,"⚠️ منخفض",IF(C17&lt;=50000,"✅ مناسب","⚠️ مرتفع"))</f>
        <v/>
      </c>
      <c r="G17" s="287" t="n"/>
    </row>
    <row r="18" ht="27.75" customHeight="1" s="260">
      <c r="A18" s="303" t="n">
        <v>3</v>
      </c>
      <c r="B18" s="309" t="inlineStr">
        <is>
          <t>فترة احتساب الإنفاق (شهر)</t>
        </is>
      </c>
      <c r="C18" s="310" t="n">
        <v>12</v>
      </c>
      <c r="D18" s="305" t="inlineStr">
        <is>
          <t>احتساب الإنفاق آخر 12 شهر متحرك</t>
        </is>
      </c>
      <c r="E18" s="287" t="n"/>
      <c r="F18" s="306">
        <f>IF(C18&lt;=12,"✅ سنوي","⚠️ طويل")</f>
        <v/>
      </c>
      <c r="G18" s="287" t="n"/>
    </row>
    <row r="19" ht="27.75" customHeight="1" s="260">
      <c r="A19" s="303" t="n">
        <v>4</v>
      </c>
      <c r="B19" s="309" t="inlineStr">
        <is>
          <t>فترة سماح بعد التنزيل (يوم)</t>
        </is>
      </c>
      <c r="C19" s="310" t="n">
        <v>30</v>
      </c>
      <c r="D19" s="305" t="inlineStr">
        <is>
          <t>فرصة لاستعادة المستوى</t>
        </is>
      </c>
      <c r="E19" s="287" t="n"/>
      <c r="F19" s="306">
        <f>IF(C19&lt;=30,"✅ معقول","⚠️ طويل")</f>
        <v/>
      </c>
      <c r="G19" s="287" t="n"/>
    </row>
    <row r="20" ht="9.75" customHeight="1" s="260">
      <c r="D20" s="259" t="n"/>
    </row>
    <row r="21" ht="31.5" customHeight="1" s="260">
      <c r="A21" s="311" t="inlineStr">
        <is>
          <t>3️⃣ المحطات وهوامش الربح</t>
        </is>
      </c>
      <c r="B21" s="312" t="n"/>
      <c r="C21" s="312" t="n"/>
      <c r="D21" s="312" t="n"/>
      <c r="E21" s="312" t="n"/>
      <c r="F21" s="312" t="n"/>
      <c r="G21" s="313" t="n"/>
    </row>
    <row r="22" ht="31.5" customHeight="1" s="260">
      <c r="A22" s="273" t="inlineStr">
        <is>
          <t>#</t>
        </is>
      </c>
      <c r="B22" s="293" t="n"/>
      <c r="C22" s="293" t="n"/>
      <c r="D22" s="293" t="n"/>
      <c r="E22" s="293" t="n"/>
      <c r="F22" s="293" t="n"/>
      <c r="G22" s="287" t="n"/>
    </row>
    <row r="23" ht="27.75" customHeight="1" s="260">
      <c r="A23" s="303" t="n">
        <v>1</v>
      </c>
      <c r="B23" s="314" t="inlineStr">
        <is>
          <t>عدد محطات التشغيل</t>
        </is>
      </c>
      <c r="C23" s="315" t="n">
        <v>30</v>
      </c>
      <c r="D23" s="305" t="inlineStr">
        <is>
          <t>محطات تديرها درب مباشرة</t>
        </is>
      </c>
      <c r="E23" s="287" t="n"/>
      <c r="F23" s="273">
        <f>IF(C23+C24+C25&gt;=150,"✅ منطقي","⚠️ تحقق")</f>
        <v/>
      </c>
      <c r="G23" s="287" t="n"/>
    </row>
    <row r="24" ht="27.75" customHeight="1" s="260">
      <c r="A24" s="303" t="n">
        <v>2</v>
      </c>
      <c r="B24" s="314" t="inlineStr">
        <is>
          <t>عدد محطات الاستثمار</t>
        </is>
      </c>
      <c r="C24" s="315" t="n">
        <v>70</v>
      </c>
      <c r="D24" s="305" t="inlineStr">
        <is>
          <t>محطات المستثمرين الشركاء</t>
        </is>
      </c>
      <c r="E24" s="287" t="n"/>
      <c r="F24" s="306" t="inlineStr"/>
      <c r="G24" s="287" t="n"/>
    </row>
    <row r="25" ht="27.75" customHeight="1" s="260">
      <c r="A25" s="303" t="n">
        <v>3</v>
      </c>
      <c r="B25" s="314" t="inlineStr">
        <is>
          <t>عدد محطات الامتياز</t>
        </is>
      </c>
      <c r="C25" s="315" t="n">
        <v>73</v>
      </c>
      <c r="D25" s="305" t="inlineStr">
        <is>
          <t>محطات الامتياز التجاري</t>
        </is>
      </c>
      <c r="E25" s="287" t="n"/>
      <c r="F25" s="306" t="inlineStr"/>
      <c r="G25" s="287" t="n"/>
    </row>
    <row r="26" ht="27.75" customHeight="1" s="260">
      <c r="A26" s="303" t="n">
        <v>4</v>
      </c>
      <c r="B26" s="314" t="inlineStr">
        <is>
          <t>متوسط هامش التشغيل (هللة/لتر)</t>
        </is>
      </c>
      <c r="C26" s="316" t="n">
        <v>13</v>
      </c>
      <c r="D26" s="305" t="inlineStr">
        <is>
          <t>متوسط 5-15 هللة</t>
        </is>
      </c>
      <c r="E26" s="287" t="n"/>
      <c r="F26" s="306">
        <f>IF(C26&gt;=5,"✅ معقول","⚠️ منخفض")</f>
        <v/>
      </c>
      <c r="G26" s="287" t="n"/>
    </row>
    <row r="27" ht="27.75" customHeight="1" s="260">
      <c r="A27" s="303" t="n">
        <v>5</v>
      </c>
      <c r="B27" s="314" t="inlineStr">
        <is>
          <t>متوسط هامش الاستثمار (هللة/لتر)</t>
        </is>
      </c>
      <c r="C27" s="316" t="n">
        <v>13</v>
      </c>
      <c r="D27" s="305" t="inlineStr">
        <is>
          <t>متوسط 5-15 هللة</t>
        </is>
      </c>
      <c r="E27" s="287" t="n"/>
      <c r="F27" s="306">
        <f>IF(C27&gt;=5,"✅ معقول","⚠️ منخفض")</f>
        <v/>
      </c>
      <c r="G27" s="287" t="n"/>
    </row>
    <row r="28" ht="27.75" customHeight="1" s="260">
      <c r="A28" s="303" t="n">
        <v>6</v>
      </c>
      <c r="B28" s="314" t="inlineStr">
        <is>
          <t>متوسط هامش الامتياز (هللة/لتر)</t>
        </is>
      </c>
      <c r="C28" s="316" t="n">
        <v>1.5</v>
      </c>
      <c r="D28" s="305" t="inlineStr">
        <is>
          <t>متوسط 0-3 هللة</t>
        </is>
      </c>
      <c r="E28" s="287" t="n"/>
      <c r="F28" s="306">
        <f>IF(C28&gt;=1,"✅ معقول","⚠️ ضيق")</f>
        <v/>
      </c>
      <c r="G28" s="287" t="n"/>
    </row>
    <row r="29" ht="27.75" customHeight="1" s="260">
      <c r="A29" s="303" t="n">
        <v>7</v>
      </c>
      <c r="B29" s="314" t="inlineStr">
        <is>
          <t>مساهمة درب في الامتياز (%)</t>
        </is>
      </c>
      <c r="C29" s="317" t="n">
        <v>0.5</v>
      </c>
      <c r="D29" s="305" t="inlineStr">
        <is>
          <t>50% من تكلفة النقاط</t>
        </is>
      </c>
      <c r="E29" s="287" t="n"/>
      <c r="F29" s="306" t="inlineStr"/>
      <c r="G29" s="287" t="n"/>
    </row>
    <row r="30" ht="27.75" customHeight="1" s="260">
      <c r="A30" s="303" t="n">
        <v>8</v>
      </c>
      <c r="B30" s="314" t="inlineStr">
        <is>
          <t>مساهمة صاحب الامتياز (%)</t>
        </is>
      </c>
      <c r="C30" s="317">
        <f>1-C29</f>
        <v/>
      </c>
      <c r="D30" s="305" t="inlineStr">
        <is>
          <t>50% من تكلفة النقاط</t>
        </is>
      </c>
      <c r="E30" s="287" t="n"/>
      <c r="F30" s="306">
        <f>IF(C29+C30=1,"✅ صحيح","🔴 خطأ المجموع")</f>
        <v/>
      </c>
      <c r="G30" s="287" t="n"/>
    </row>
    <row r="31" ht="27.75" customHeight="1" s="260">
      <c r="A31" s="303" t="n">
        <v>9</v>
      </c>
      <c r="B31" s="314" t="inlineStr">
        <is>
          <t>متوسط مبيعات المحطة (لتر/شهر)</t>
        </is>
      </c>
      <c r="C31" s="315" t="n">
        <v>80000</v>
      </c>
      <c r="D31" s="305" t="inlineStr">
        <is>
          <t>الاستهلاك الشهري للمحطة</t>
        </is>
      </c>
      <c r="E31" s="287" t="n"/>
      <c r="F31" s="306">
        <f>IF(C31&gt;=50000,"✅ ممتاز",IF(C31&gt;=30000,"⚠️ متوسط","🔴 منخفض"))</f>
        <v/>
      </c>
      <c r="G31" s="287" t="n"/>
    </row>
    <row r="32" ht="9.75" customHeight="1" s="260">
      <c r="D32" s="259" t="n"/>
      <c r="F32" s="306" t="inlineStr"/>
      <c r="G32" s="287" t="n"/>
    </row>
    <row r="33" ht="31.5" customHeight="1" s="260">
      <c r="A33" s="318" t="inlineStr">
        <is>
          <t>💡 الفلسفة · نموذج شفّاف: كل ريال = نقطة · النقطة = نص هللة (200 نقطة = ريال) = 0.5% · موحّد مع المتاجر · بلا تضخيم</t>
        </is>
      </c>
      <c r="B33" s="299" t="n"/>
      <c r="C33" s="299" t="n"/>
      <c r="D33" s="299" t="n"/>
      <c r="E33" s="299" t="n"/>
      <c r="F33" s="299" t="n"/>
      <c r="G33" s="300" t="n"/>
    </row>
    <row r="35">
      <c r="A35" s="319" t="inlineStr">
        <is>
          <t>🆕 الاقتصاد الموسّع — مدخلات</t>
        </is>
      </c>
    </row>
    <row r="36">
      <c r="A36" t="inlineStr">
        <is>
          <t>+</t>
        </is>
      </c>
      <c r="B36" s="320" t="inlineStr">
        <is>
          <t>سعر لتر الديزل (ريال)</t>
        </is>
      </c>
      <c r="C36" s="321" t="n">
        <v>1.79</v>
      </c>
      <c r="D36" s="320" t="inlineStr">
        <is>
          <t>يناير 2026</t>
        </is>
      </c>
    </row>
    <row r="37">
      <c r="A37" t="inlineStr">
        <is>
          <t>+</t>
        </is>
      </c>
      <c r="B37" s="320" t="inlineStr">
        <is>
          <t>هامش الديزل (هللة/لتر)</t>
        </is>
      </c>
      <c r="C37" s="321" t="n">
        <v>4</v>
      </c>
      <c r="D37" s="320" t="inlineStr">
        <is>
          <t>ضعيف جداً</t>
        </is>
      </c>
    </row>
    <row r="38">
      <c r="A38" t="inlineStr">
        <is>
          <t>+</t>
        </is>
      </c>
      <c r="B38" s="320" t="inlineStr">
        <is>
          <t>كسب الديزل (نقطة/ريال)</t>
        </is>
      </c>
      <c r="C38" s="321" t="n">
        <v>0.5</v>
      </c>
      <c r="D38" s="320" t="inlineStr">
        <is>
          <t>كاش باك 0.25% (هامش ضعيف)</t>
        </is>
      </c>
    </row>
    <row r="39">
      <c r="A39" t="inlineStr">
        <is>
          <t>+</t>
        </is>
      </c>
      <c r="B39" s="320" t="inlineStr">
        <is>
          <t>كسب الشركاء (نقطة/ريال)</t>
        </is>
      </c>
      <c r="C39" s="321" t="n">
        <v>8</v>
      </c>
      <c r="D39" s="320" t="inlineStr">
        <is>
          <t>~4% ممولة من الشريك</t>
        </is>
      </c>
    </row>
    <row r="40">
      <c r="A40" t="inlineStr">
        <is>
          <t>+</t>
        </is>
      </c>
      <c r="B40" s="320" t="inlineStr">
        <is>
          <t>مساهمة الشريك لدرب (هللة/ريال)</t>
        </is>
      </c>
      <c r="C40" s="321" t="n">
        <v>1</v>
      </c>
      <c r="D40" s="320" t="inlineStr">
        <is>
          <t>ما يدفعه الشريك مقابل عملاء درب</t>
        </is>
      </c>
    </row>
    <row r="41">
      <c r="A41" t="inlineStr">
        <is>
          <t>+</t>
        </is>
      </c>
      <c r="B41" s="320" t="inlineStr">
        <is>
          <t>هدية الترحيب الموصى بها (نقطة)</t>
        </is>
      </c>
      <c r="C41" s="321" t="n">
        <v>1000</v>
      </c>
      <c r="D41" s="320">
        <f> 5 ريال تكلفة فعلية</f>
        <v/>
      </c>
    </row>
  </sheetData>
  <mergeCells count="53">
    <mergeCell ref="D20:E20"/>
    <mergeCell ref="A14:G14"/>
    <mergeCell ref="F11:G11"/>
    <mergeCell ref="D10:E10"/>
    <mergeCell ref="F29:G29"/>
    <mergeCell ref="F10:G10"/>
    <mergeCell ref="F16:G16"/>
    <mergeCell ref="D19:E19"/>
    <mergeCell ref="A22:G22"/>
    <mergeCell ref="F19:G19"/>
    <mergeCell ref="F25:G25"/>
    <mergeCell ref="A4:G4"/>
    <mergeCell ref="F6:G6"/>
    <mergeCell ref="D31:E31"/>
    <mergeCell ref="F7:G7"/>
    <mergeCell ref="D6:E6"/>
    <mergeCell ref="F12:G12"/>
    <mergeCell ref="F24:G24"/>
    <mergeCell ref="F30:G30"/>
    <mergeCell ref="F15:G15"/>
    <mergeCell ref="D11:E11"/>
    <mergeCell ref="F5:G5"/>
    <mergeCell ref="D27:E27"/>
    <mergeCell ref="F18:G18"/>
    <mergeCell ref="D32:E32"/>
    <mergeCell ref="F32:G32"/>
    <mergeCell ref="D26:E26"/>
    <mergeCell ref="F26:G26"/>
    <mergeCell ref="D17:E17"/>
    <mergeCell ref="F17:G17"/>
    <mergeCell ref="F8:G8"/>
    <mergeCell ref="D16:E16"/>
    <mergeCell ref="A1:G1"/>
    <mergeCell ref="D7:E7"/>
    <mergeCell ref="F23:G23"/>
    <mergeCell ref="F31:G31"/>
    <mergeCell ref="D28:E28"/>
    <mergeCell ref="F28:G28"/>
    <mergeCell ref="D18:E18"/>
    <mergeCell ref="D9:E9"/>
    <mergeCell ref="F27:G27"/>
    <mergeCell ref="F9:G9"/>
    <mergeCell ref="D12:E12"/>
    <mergeCell ref="D8:E8"/>
    <mergeCell ref="D25:E25"/>
    <mergeCell ref="D24:E24"/>
    <mergeCell ref="D30:E30"/>
    <mergeCell ref="D15:E15"/>
    <mergeCell ref="D29:E29"/>
    <mergeCell ref="D5:E5"/>
    <mergeCell ref="D23:E23"/>
    <mergeCell ref="A2:G2"/>
    <mergeCell ref="A33:G33"/>
  </mergeCells>
  <conditionalFormatting sqref="F6:G6">
    <cfRule type="expression" rank="0" priority="2" equalAverage="0" aboveAverage="0" dxfId="0" text="" percent="0" bottom="0">
      <formula>ISNUMBER(SEARCH("✅",F6))</formula>
    </cfRule>
    <cfRule type="expression" rank="0" priority="3" equalAverage="0" aboveAverage="0" dxfId="1" text="" percent="0" bottom="0">
      <formula>ISNUMBER(SEARCH("⚠️",F6))</formula>
    </cfRule>
    <cfRule type="expression" rank="0" priority="4" equalAverage="0" aboveAverage="0" dxfId="2" text="" percent="0" bottom="0">
      <formula>ISNUMBER(SEARCH("🔴",F6))</formula>
    </cfRule>
  </conditionalFormatting>
  <conditionalFormatting sqref="F7:G7">
    <cfRule type="expression" rank="0" priority="5" equalAverage="0" aboveAverage="0" dxfId="0" text="" percent="0" bottom="0">
      <formula>ISNUMBER(SEARCH("✅",F7))</formula>
    </cfRule>
    <cfRule type="expression" rank="0" priority="6" equalAverage="0" aboveAverage="0" dxfId="1" text="" percent="0" bottom="0">
      <formula>ISNUMBER(SEARCH("⚠️",F7))</formula>
    </cfRule>
    <cfRule type="expression" rank="0" priority="7" equalAverage="0" aboveAverage="0" dxfId="2" text="" percent="0" bottom="0">
      <formula>ISNUMBER(SEARCH("🔴",F7))</formula>
    </cfRule>
  </conditionalFormatting>
  <conditionalFormatting sqref="F8:G8">
    <cfRule type="expression" rank="0" priority="8" equalAverage="0" aboveAverage="0" dxfId="0" text="" percent="0" bottom="0">
      <formula>ISNUMBER(SEARCH("✅",F8))</formula>
    </cfRule>
    <cfRule type="expression" rank="0" priority="9" equalAverage="0" aboveAverage="0" dxfId="1" text="" percent="0" bottom="0">
      <formula>ISNUMBER(SEARCH("⚠️",F8))</formula>
    </cfRule>
    <cfRule type="expression" rank="0" priority="10" equalAverage="0" aboveAverage="0" dxfId="2" text="" percent="0" bottom="0">
      <formula>ISNUMBER(SEARCH("🔴",F8))</formula>
    </cfRule>
  </conditionalFormatting>
  <conditionalFormatting sqref="F9:G9">
    <cfRule type="expression" rank="0" priority="11" equalAverage="0" aboveAverage="0" dxfId="0" text="" percent="0" bottom="0">
      <formula>ISNUMBER(SEARCH("✅",F9))</formula>
    </cfRule>
    <cfRule type="expression" rank="0" priority="12" equalAverage="0" aboveAverage="0" dxfId="1" text="" percent="0" bottom="0">
      <formula>ISNUMBER(SEARCH("⚠️",F9))</formula>
    </cfRule>
    <cfRule type="expression" rank="0" priority="13" equalAverage="0" aboveAverage="0" dxfId="2" text="" percent="0" bottom="0">
      <formula>ISNUMBER(SEARCH("🔴",F9))</formula>
    </cfRule>
  </conditionalFormatting>
  <conditionalFormatting sqref="F10:G10">
    <cfRule type="expression" rank="0" priority="14" equalAverage="0" aboveAverage="0" dxfId="0" text="" percent="0" bottom="0">
      <formula>ISNUMBER(SEARCH("✅",F10))</formula>
    </cfRule>
    <cfRule type="expression" rank="0" priority="15" equalAverage="0" aboveAverage="0" dxfId="1" text="" percent="0" bottom="0">
      <formula>ISNUMBER(SEARCH("⚠️",F10))</formula>
    </cfRule>
    <cfRule type="expression" rank="0" priority="16" equalAverage="0" aboveAverage="0" dxfId="2" text="" percent="0" bottom="0">
      <formula>ISNUMBER(SEARCH("🔴",F10))</formula>
    </cfRule>
  </conditionalFormatting>
  <conditionalFormatting sqref="F11:G11">
    <cfRule type="expression" rank="0" priority="17" equalAverage="0" aboveAverage="0" dxfId="0" text="" percent="0" bottom="0">
      <formula>ISNUMBER(SEARCH("✅",F11))</formula>
    </cfRule>
    <cfRule type="expression" rank="0" priority="18" equalAverage="0" aboveAverage="0" dxfId="1" text="" percent="0" bottom="0">
      <formula>ISNUMBER(SEARCH("⚠️",F11))</formula>
    </cfRule>
    <cfRule type="expression" rank="0" priority="19" equalAverage="0" aboveAverage="0" dxfId="2" text="" percent="0" bottom="0">
      <formula>ISNUMBER(SEARCH("🔴",F11))</formula>
    </cfRule>
  </conditionalFormatting>
  <conditionalFormatting sqref="F12:G12">
    <cfRule type="expression" rank="0" priority="20" equalAverage="0" aboveAverage="0" dxfId="0" text="" percent="0" bottom="0">
      <formula>ISNUMBER(SEARCH("✅",F12))</formula>
    </cfRule>
    <cfRule type="expression" rank="0" priority="21" equalAverage="0" aboveAverage="0" dxfId="1" text="" percent="0" bottom="0">
      <formula>ISNUMBER(SEARCH("⚠️",F12))</formula>
    </cfRule>
    <cfRule type="expression" rank="0" priority="22" equalAverage="0" aboveAverage="0" dxfId="2" text="" percent="0" bottom="0">
      <formula>ISNUMBER(SEARCH("🔴",F12))</formula>
    </cfRule>
  </conditionalFormatting>
  <conditionalFormatting sqref="F16:G16">
    <cfRule type="expression" rank="0" priority="23" equalAverage="0" aboveAverage="0" dxfId="0" text="" percent="0" bottom="0">
      <formula>ISNUMBER(SEARCH("✅",F16))</formula>
    </cfRule>
    <cfRule type="expression" rank="0" priority="24" equalAverage="0" aboveAverage="0" dxfId="1" text="" percent="0" bottom="0">
      <formula>ISNUMBER(SEARCH("⚠️",F16))</formula>
    </cfRule>
    <cfRule type="expression" rank="0" priority="25" equalAverage="0" aboveAverage="0" dxfId="2" text="" percent="0" bottom="0">
      <formula>ISNUMBER(SEARCH("🔴",F16))</formula>
    </cfRule>
  </conditionalFormatting>
  <conditionalFormatting sqref="F17:G17">
    <cfRule type="expression" rank="0" priority="26" equalAverage="0" aboveAverage="0" dxfId="0" text="" percent="0" bottom="0">
      <formula>ISNUMBER(SEARCH("✅",F17))</formula>
    </cfRule>
    <cfRule type="expression" rank="0" priority="27" equalAverage="0" aboveAverage="0" dxfId="1" text="" percent="0" bottom="0">
      <formula>ISNUMBER(SEARCH("⚠️",F17))</formula>
    </cfRule>
    <cfRule type="expression" rank="0" priority="28" equalAverage="0" aboveAverage="0" dxfId="2" text="" percent="0" bottom="0">
      <formula>ISNUMBER(SEARCH("🔴",F17))</formula>
    </cfRule>
  </conditionalFormatting>
  <conditionalFormatting sqref="F18:G18">
    <cfRule type="expression" rank="0" priority="29" equalAverage="0" aboveAverage="0" dxfId="0" text="" percent="0" bottom="0">
      <formula>ISNUMBER(SEARCH("✅",F18))</formula>
    </cfRule>
    <cfRule type="expression" rank="0" priority="30" equalAverage="0" aboveAverage="0" dxfId="1" text="" percent="0" bottom="0">
      <formula>ISNUMBER(SEARCH("⚠️",F18))</formula>
    </cfRule>
    <cfRule type="expression" rank="0" priority="31" equalAverage="0" aboveAverage="0" dxfId="2" text="" percent="0" bottom="0">
      <formula>ISNUMBER(SEARCH("🔴",F18))</formula>
    </cfRule>
  </conditionalFormatting>
  <conditionalFormatting sqref="F19:G19">
    <cfRule type="expression" rank="0" priority="32" equalAverage="0" aboveAverage="0" dxfId="0" text="" percent="0" bottom="0">
      <formula>ISNUMBER(SEARCH("✅",F19))</formula>
    </cfRule>
    <cfRule type="expression" rank="0" priority="33" equalAverage="0" aboveAverage="0" dxfId="1" text="" percent="0" bottom="0">
      <formula>ISNUMBER(SEARCH("⚠️",F19))</formula>
    </cfRule>
    <cfRule type="expression" rank="0" priority="34" equalAverage="0" aboveAverage="0" dxfId="2" text="" percent="0" bottom="0">
      <formula>ISNUMBER(SEARCH("🔴",F19))</formula>
    </cfRule>
  </conditionalFormatting>
  <conditionalFormatting sqref="F20:G20">
    <cfRule type="expression" rank="0" priority="35" equalAverage="0" aboveAverage="0" dxfId="0" text="" percent="0" bottom="0">
      <formula>ISNUMBER(SEARCH("✅",F20))</formula>
    </cfRule>
    <cfRule type="expression" rank="0" priority="36" equalAverage="0" aboveAverage="0" dxfId="1" text="" percent="0" bottom="0">
      <formula>ISNUMBER(SEARCH("⚠️",F20))</formula>
    </cfRule>
    <cfRule type="expression" rank="0" priority="37" equalAverage="0" aboveAverage="0" dxfId="2" text="" percent="0" bottom="0">
      <formula>ISNUMBER(SEARCH("🔴",F20))</formula>
    </cfRule>
  </conditionalFormatting>
  <conditionalFormatting sqref="F24:G24">
    <cfRule type="expression" rank="0" priority="38" equalAverage="0" aboveAverage="0" dxfId="0" text="" percent="0" bottom="0">
      <formula>ISNUMBER(SEARCH("✅",F24))</formula>
    </cfRule>
    <cfRule type="expression" rank="0" priority="39" equalAverage="0" aboveAverage="0" dxfId="1" text="" percent="0" bottom="0">
      <formula>ISNUMBER(SEARCH("⚠️",F24))</formula>
    </cfRule>
    <cfRule type="expression" rank="0" priority="40" equalAverage="0" aboveAverage="0" dxfId="2" text="" percent="0" bottom="0">
      <formula>ISNUMBER(SEARCH("🔴",F24))</formula>
    </cfRule>
  </conditionalFormatting>
  <conditionalFormatting sqref="F25:G25">
    <cfRule type="expression" rank="0" priority="41" equalAverage="0" aboveAverage="0" dxfId="0" text="" percent="0" bottom="0">
      <formula>ISNUMBER(SEARCH("✅",F25))</formula>
    </cfRule>
    <cfRule type="expression" rank="0" priority="42" equalAverage="0" aboveAverage="0" dxfId="1" text="" percent="0" bottom="0">
      <formula>ISNUMBER(SEARCH("⚠️",F25))</formula>
    </cfRule>
    <cfRule type="expression" rank="0" priority="43" equalAverage="0" aboveAverage="0" dxfId="2" text="" percent="0" bottom="0">
      <formula>ISNUMBER(SEARCH("🔴",F25))</formula>
    </cfRule>
  </conditionalFormatting>
  <conditionalFormatting sqref="F26:G26">
    <cfRule type="expression" rank="0" priority="44" equalAverage="0" aboveAverage="0" dxfId="0" text="" percent="0" bottom="0">
      <formula>ISNUMBER(SEARCH("✅",F26))</formula>
    </cfRule>
    <cfRule type="expression" rank="0" priority="45" equalAverage="0" aboveAverage="0" dxfId="1" text="" percent="0" bottom="0">
      <formula>ISNUMBER(SEARCH("⚠️",F26))</formula>
    </cfRule>
    <cfRule type="expression" rank="0" priority="46" equalAverage="0" aboveAverage="0" dxfId="2" text="" percent="0" bottom="0">
      <formula>ISNUMBER(SEARCH("🔴",F26))</formula>
    </cfRule>
  </conditionalFormatting>
  <conditionalFormatting sqref="F27:G27">
    <cfRule type="expression" rank="0" priority="47" equalAverage="0" aboveAverage="0" dxfId="0" text="" percent="0" bottom="0">
      <formula>ISNUMBER(SEARCH("✅",F27))</formula>
    </cfRule>
    <cfRule type="expression" rank="0" priority="48" equalAverage="0" aboveAverage="0" dxfId="1" text="" percent="0" bottom="0">
      <formula>ISNUMBER(SEARCH("⚠️",F27))</formula>
    </cfRule>
    <cfRule type="expression" rank="0" priority="49" equalAverage="0" aboveAverage="0" dxfId="2" text="" percent="0" bottom="0">
      <formula>ISNUMBER(SEARCH("🔴",F27))</formula>
    </cfRule>
  </conditionalFormatting>
  <conditionalFormatting sqref="F28:G28">
    <cfRule type="expression" rank="0" priority="50" equalAverage="0" aboveAverage="0" dxfId="0" text="" percent="0" bottom="0">
      <formula>ISNUMBER(SEARCH("✅",F28))</formula>
    </cfRule>
    <cfRule type="expression" rank="0" priority="51" equalAverage="0" aboveAverage="0" dxfId="1" text="" percent="0" bottom="0">
      <formula>ISNUMBER(SEARCH("⚠️",F28))</formula>
    </cfRule>
    <cfRule type="expression" rank="0" priority="52" equalAverage="0" aboveAverage="0" dxfId="2" text="" percent="0" bottom="0">
      <formula>ISNUMBER(SEARCH("🔴",F28))</formula>
    </cfRule>
  </conditionalFormatting>
  <conditionalFormatting sqref="F29:G29">
    <cfRule type="expression" rank="0" priority="53" equalAverage="0" aboveAverage="0" dxfId="0" text="" percent="0" bottom="0">
      <formula>ISNUMBER(SEARCH("✅",F29))</formula>
    </cfRule>
    <cfRule type="expression" rank="0" priority="54" equalAverage="0" aboveAverage="0" dxfId="1" text="" percent="0" bottom="0">
      <formula>ISNUMBER(SEARCH("⚠️",F29))</formula>
    </cfRule>
    <cfRule type="expression" rank="0" priority="55" equalAverage="0" aboveAverage="0" dxfId="2" text="" percent="0" bottom="0">
      <formula>ISNUMBER(SEARCH("🔴",F29))</formula>
    </cfRule>
  </conditionalFormatting>
  <conditionalFormatting sqref="F30:G30">
    <cfRule type="expression" rank="0" priority="56" equalAverage="0" aboveAverage="0" dxfId="0" text="" percent="0" bottom="0">
      <formula>ISNUMBER(SEARCH("✅",F30))</formula>
    </cfRule>
    <cfRule type="expression" rank="0" priority="57" equalAverage="0" aboveAverage="0" dxfId="1" text="" percent="0" bottom="0">
      <formula>ISNUMBER(SEARCH("⚠️",F30))</formula>
    </cfRule>
    <cfRule type="expression" rank="0" priority="58" equalAverage="0" aboveAverage="0" dxfId="2" text="" percent="0" bottom="0">
      <formula>ISNUMBER(SEARCH("🔴",F30))</formula>
    </cfRule>
  </conditionalFormatting>
  <conditionalFormatting sqref="F31:G31">
    <cfRule type="expression" rank="0" priority="59" equalAverage="0" aboveAverage="0" dxfId="0" text="" percent="0" bottom="0">
      <formula>ISNUMBER(SEARCH("✅",F31))</formula>
    </cfRule>
    <cfRule type="expression" rank="0" priority="60" equalAverage="0" aboveAverage="0" dxfId="1" text="" percent="0" bottom="0">
      <formula>ISNUMBER(SEARCH("⚠️",F31))</formula>
    </cfRule>
    <cfRule type="expression" rank="0" priority="61" equalAverage="0" aboveAverage="0" dxfId="2" text="" percent="0" bottom="0">
      <formula>ISNUMBER(SEARCH("🔴",F31))</formula>
    </cfRule>
  </conditionalFormatting>
  <conditionalFormatting sqref="F32:G32">
    <cfRule type="expression" rank="0" priority="62" equalAverage="0" aboveAverage="0" dxfId="0" text="" percent="0" bottom="0">
      <formula>ISNUMBER(SEARCH("✅",F32))</formula>
    </cfRule>
    <cfRule type="expression" rank="0" priority="63" equalAverage="0" aboveAverage="0" dxfId="1" text="" percent="0" bottom="0">
      <formula>ISNUMBER(SEARCH("⚠️",F32))</formula>
    </cfRule>
    <cfRule type="expression" rank="0" priority="64" equalAverage="0" aboveAverage="0" dxfId="2" text="" percent="0" bottom="0">
      <formula>ISNUMBER(SEARCH("🔴",F32))</formula>
    </cfRule>
  </conditionalFormatting>
  <dataValidations count="6">
    <dataValidation sqref="C6" showDropDown="0" showInputMessage="0" showErrorMessage="0" allowBlank="0" promptTitle="قيمة النقطة" prompt="اختر قيمة النقطة&#10;5000 = أسخى&#10;10000 = موصى به&#10;25000 = الأقل سخاء" type="list" errorStyle="stop" operator="between">
      <formula1>"5000,10000,15000,20000,25000"</formula1>
      <formula2>0</formula2>
    </dataValidation>
    <dataValidation sqref="C7" showDropDown="0" showInputMessage="0" showErrorMessage="0" allowBlank="0" promptTitle="معدل كسب الأبيض" prompt="100 = الموصى به (1% كاش باك)" type="list" errorStyle="stop" operator="between">
      <formula1>"50,75,100,125,150,200"</formula1>
      <formula2>0</formula2>
    </dataValidation>
    <dataValidation sqref="C8" showDropDown="0" showInputMessage="0" showErrorMessage="0" allowBlank="0" prompt="150 = الموصى به (1.5% كاش باك)" type="list" errorStyle="stop" operator="between">
      <formula1>"100,125,150,175,200,250"</formula1>
      <formula2>0</formula2>
    </dataValidation>
    <dataValidation sqref="C9" showDropDown="0" showInputMessage="0" showErrorMessage="0" allowBlank="0" prompt="200 = الموصى به (2% كاش باك)" type="list" errorStyle="stop" operator="between">
      <formula1>"150,175,200,225,250,300"</formula1>
      <formula2>0</formula2>
    </dataValidation>
    <dataValidation sqref="C10" showDropDown="0" showInputMessage="0" showErrorMessage="0" allowBlank="0" prompt="1.0 = الموصى به" type="list" errorStyle="stop" operator="between">
      <formula1>"0.5,0.75,1.0,1.25,1.5,2.0"</formula1>
      <formula2>0</formula2>
    </dataValidation>
    <dataValidation sqref="C29" showDropDown="0" showInputMessage="0" showErrorMessage="0" allowBlank="0" prompt="0.5 = 50/50 (الموصى به)" type="list" errorStyle="stop" operator="between">
      <formula1>"0.3,0.4,0.5,0.6,0.7,1.0"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" customWidth="1" style="259" min="1" max="4"/>
    <col width="2" customWidth="1" style="259" min="5" max="5"/>
    <col width="11" customWidth="1" style="259" min="6" max="9"/>
  </cols>
  <sheetData>
    <row r="1" ht="48" customHeight="1" s="260">
      <c r="A1" s="261" t="inlineStr">
        <is>
          <t xml:space="preserve">  درب · كيف يعمل تانكي · النقاط مقابل المستويات 📚</t>
        </is>
      </c>
    </row>
    <row r="2" ht="27.75" customHeight="1" s="260">
      <c r="A2" s="322" t="inlineStr">
        <is>
          <t xml:space="preserve">  الفكرة الأساسية · النقاط للاستبدال · الإنفاق للترقية · شيئان منفصلان تماماً</t>
        </is>
      </c>
    </row>
    <row r="3" ht="12" customHeight="1" s="260"/>
    <row r="4" ht="31.5" customHeight="1" s="260">
      <c r="A4" s="272" t="inlineStr">
        <is>
          <t>💡 المفهوم الأساسي</t>
        </is>
      </c>
    </row>
    <row r="5" ht="36" customHeight="1" s="260">
      <c r="A5" s="323" t="inlineStr">
        <is>
          <t>💎 النقاط (Points)</t>
        </is>
      </c>
      <c r="E5" s="324" t="n"/>
      <c r="F5" s="325" t="inlineStr">
        <is>
          <t>🎯 المستويات (Tiers)</t>
        </is>
      </c>
    </row>
    <row r="6" ht="24" customHeight="1" s="260">
      <c r="A6" s="326" t="inlineStr">
        <is>
          <t>للاستبدال فقط</t>
        </is>
      </c>
      <c r="E6" s="324" t="n"/>
      <c r="F6" s="327" t="inlineStr">
        <is>
          <t>للحالة والمزايا</t>
        </is>
      </c>
    </row>
    <row r="7" ht="25.5" customHeight="1" s="260">
      <c r="A7" s="328" t="inlineStr">
        <is>
          <t>✅ تكتسبها مع كل عملية تعبئة</t>
        </is>
      </c>
      <c r="B7" s="293" t="n"/>
      <c r="C7" s="293" t="n"/>
      <c r="D7" s="287" t="n"/>
      <c r="E7" s="324" t="n"/>
      <c r="F7" s="328" t="inlineStr">
        <is>
          <t>✅ تترقى بناءً على الإنفاق السنوي</t>
        </is>
      </c>
      <c r="G7" s="293" t="n"/>
      <c r="H7" s="293" t="n"/>
      <c r="I7" s="287" t="n"/>
    </row>
    <row r="8" ht="25.5" customHeight="1" s="260">
      <c r="A8" s="328" t="inlineStr">
        <is>
          <t>✅ تستبدلها بمكافآت من الشركاء</t>
        </is>
      </c>
      <c r="B8" s="293" t="n"/>
      <c r="C8" s="293" t="n"/>
      <c r="D8" s="287" t="n"/>
      <c r="E8" s="324" t="n"/>
      <c r="F8" s="328" t="inlineStr">
        <is>
          <t>✅ تمنحك معدل كسب أعلى</t>
        </is>
      </c>
      <c r="G8" s="293" t="n"/>
      <c r="H8" s="293" t="n"/>
      <c r="I8" s="287" t="n"/>
    </row>
    <row r="9" ht="25.5" customHeight="1" s="260">
      <c r="A9" s="328" t="inlineStr">
        <is>
          <t>✅ يمكن إهداؤها للعائلة</t>
        </is>
      </c>
      <c r="B9" s="293" t="n"/>
      <c r="C9" s="293" t="n"/>
      <c r="D9" s="287" t="n"/>
      <c r="E9" s="324" t="n"/>
      <c r="F9" s="328" t="inlineStr">
        <is>
          <t>✅ تمنحك مزايا حصرية</t>
        </is>
      </c>
      <c r="G9" s="293" t="n"/>
      <c r="H9" s="293" t="n"/>
      <c r="I9" s="287" t="n"/>
    </row>
    <row r="10" ht="25.5" customHeight="1" s="260">
      <c r="A10" s="328" t="inlineStr">
        <is>
          <t>❌ تنقص عند الاستبدال</t>
        </is>
      </c>
      <c r="B10" s="293" t="n"/>
      <c r="C10" s="293" t="n"/>
      <c r="D10" s="287" t="n"/>
      <c r="E10" s="324" t="n"/>
      <c r="F10" s="328" t="inlineStr">
        <is>
          <t>✅ لا تتأثر باستبدال النقاط</t>
        </is>
      </c>
      <c r="G10" s="293" t="n"/>
      <c r="H10" s="293" t="n"/>
      <c r="I10" s="287" t="n"/>
    </row>
    <row r="11" ht="25.5" customHeight="1" s="260">
      <c r="A11" s="328" t="inlineStr">
        <is>
          <t>🎯 ربط مباشر بقيمة الإنفاق</t>
        </is>
      </c>
      <c r="B11" s="293" t="n"/>
      <c r="C11" s="293" t="n"/>
      <c r="D11" s="287" t="n"/>
      <c r="E11" s="324" t="n"/>
      <c r="F11" s="328" t="inlineStr">
        <is>
          <t>🎯 الإنفاق يحدد مستواك</t>
        </is>
      </c>
      <c r="G11" s="293" t="n"/>
      <c r="H11" s="293" t="n"/>
      <c r="I11" s="287" t="n"/>
    </row>
    <row r="12" ht="13.5" customHeight="1" s="260"/>
    <row r="13" ht="30" customHeight="1" s="260">
      <c r="A13" s="329" t="inlineStr">
        <is>
          <t>📊 الفرق بين العدّاديْن</t>
        </is>
      </c>
    </row>
    <row r="14" ht="36" customHeight="1" s="260">
      <c r="A14" s="330" t="inlineStr">
        <is>
          <t>المعيار</t>
        </is>
      </c>
      <c r="B14" s="293" t="n"/>
      <c r="C14" s="287" t="n"/>
      <c r="D14" s="331" t="inlineStr">
        <is>
          <t>💎 رصيد النقاط</t>
        </is>
      </c>
      <c r="E14" s="293" t="n"/>
      <c r="F14" s="287" t="n"/>
      <c r="G14" s="286" t="inlineStr">
        <is>
          <t>🎯 عدّاد التقدم</t>
        </is>
      </c>
      <c r="H14" s="293" t="n"/>
      <c r="I14" s="287" t="n"/>
    </row>
    <row r="15" ht="31.5" customHeight="1" s="260">
      <c r="A15" s="296" t="inlineStr">
        <is>
          <t>الغرض</t>
        </is>
      </c>
      <c r="B15" s="293" t="n"/>
      <c r="C15" s="287" t="n"/>
      <c r="D15" s="332" t="inlineStr">
        <is>
          <t>الاستبدال بمكافآت</t>
        </is>
      </c>
      <c r="E15" s="293" t="n"/>
      <c r="F15" s="287" t="n"/>
      <c r="G15" s="333" t="inlineStr">
        <is>
          <t>تحديد المستوى</t>
        </is>
      </c>
      <c r="H15" s="293" t="n"/>
      <c r="I15" s="287" t="n"/>
    </row>
    <row r="16" ht="31.5" customHeight="1" s="260">
      <c r="A16" s="296" t="inlineStr">
        <is>
          <t>متى يزيد؟</t>
        </is>
      </c>
      <c r="B16" s="293" t="n"/>
      <c r="C16" s="287" t="n"/>
      <c r="D16" s="332" t="inlineStr">
        <is>
          <t>مع كل تعبئة</t>
        </is>
      </c>
      <c r="E16" s="293" t="n"/>
      <c r="F16" s="287" t="n"/>
      <c r="G16" s="333" t="inlineStr">
        <is>
          <t>مع كل تعبئة (إنفاق)</t>
        </is>
      </c>
      <c r="H16" s="293" t="n"/>
      <c r="I16" s="287" t="n"/>
    </row>
    <row r="17" ht="31.5" customHeight="1" s="260">
      <c r="A17" s="296" t="inlineStr">
        <is>
          <t>متى ينقص؟</t>
        </is>
      </c>
      <c r="B17" s="293" t="n"/>
      <c r="C17" s="287" t="n"/>
      <c r="D17" s="332" t="inlineStr">
        <is>
          <t>عند استبدال نقاط</t>
        </is>
      </c>
      <c r="E17" s="293" t="n"/>
      <c r="F17" s="287" t="n"/>
      <c r="G17" s="333" t="inlineStr">
        <is>
          <t>لا ينقص داخل السنة</t>
        </is>
      </c>
      <c r="H17" s="293" t="n"/>
      <c r="I17" s="287" t="n"/>
    </row>
    <row r="18" ht="31.5" customHeight="1" s="260">
      <c r="A18" s="296" t="inlineStr">
        <is>
          <t>يتجدد؟</t>
        </is>
      </c>
      <c r="B18" s="293" t="n"/>
      <c r="C18" s="287" t="n"/>
      <c r="D18" s="332" t="inlineStr">
        <is>
          <t>لا · رصيد متراكم</t>
        </is>
      </c>
      <c r="E18" s="293" t="n"/>
      <c r="F18" s="287" t="n"/>
      <c r="G18" s="333" t="inlineStr">
        <is>
          <t>نعم · كل 12 شهر</t>
        </is>
      </c>
      <c r="H18" s="293" t="n"/>
      <c r="I18" s="287" t="n"/>
    </row>
    <row r="19" ht="31.5" customHeight="1" s="260">
      <c r="A19" s="296" t="inlineStr">
        <is>
          <t>يؤثر على المستوى؟</t>
        </is>
      </c>
      <c r="B19" s="293" t="n"/>
      <c r="C19" s="287" t="n"/>
      <c r="D19" s="332" t="inlineStr">
        <is>
          <t>❌ لا</t>
        </is>
      </c>
      <c r="E19" s="293" t="n"/>
      <c r="F19" s="287" t="n"/>
      <c r="G19" s="333" t="inlineStr">
        <is>
          <t>✅ نعم</t>
        </is>
      </c>
      <c r="H19" s="293" t="n"/>
      <c r="I19" s="287" t="n"/>
    </row>
    <row r="20" ht="31.5" customHeight="1" s="260">
      <c r="A20" s="296" t="inlineStr">
        <is>
          <t>مثال</t>
        </is>
      </c>
      <c r="B20" s="293" t="n"/>
      <c r="C20" s="287" t="n"/>
      <c r="D20" s="332" t="inlineStr">
        <is>
          <t>500K نقطة = 50 ريال</t>
        </is>
      </c>
      <c r="E20" s="293" t="n"/>
      <c r="F20" s="287" t="n"/>
      <c r="G20" s="333" t="inlineStr">
        <is>
          <t>7,200 ر = فضي</t>
        </is>
      </c>
      <c r="H20" s="293" t="n"/>
      <c r="I20" s="287" t="n"/>
    </row>
    <row r="21" ht="13.5" customHeight="1" s="260"/>
    <row r="22" ht="30" customHeight="1" s="260">
      <c r="A22" s="272" t="inlineStr">
        <is>
          <t>🎬 سيناريو حقيقي · سنة كاملة</t>
        </is>
      </c>
    </row>
    <row r="23" ht="37.5" customHeight="1" s="260">
      <c r="A23" s="330" t="inlineStr">
        <is>
          <t>الوقت</t>
        </is>
      </c>
      <c r="B23" s="287" t="n"/>
      <c r="C23" s="330" t="inlineStr">
        <is>
          <t>النشاط</t>
        </is>
      </c>
      <c r="D23" s="287" t="n"/>
      <c r="E23" s="331" t="inlineStr">
        <is>
          <t>💎 ما يحدث للنقاط</t>
        </is>
      </c>
      <c r="F23" s="293" t="n"/>
      <c r="G23" s="287" t="n"/>
      <c r="H23" s="286" t="inlineStr">
        <is>
          <t>🎯 ما يحدث للمستوى</t>
        </is>
      </c>
      <c r="I23" s="287" t="n"/>
    </row>
    <row r="24" ht="36" customHeight="1" s="260">
      <c r="A24" s="296" t="inlineStr">
        <is>
          <t>📅 يناير</t>
        </is>
      </c>
      <c r="B24" s="287" t="n"/>
      <c r="C24" s="328" t="inlineStr">
        <is>
          <t>تنفق 600 ر هذا الشهر</t>
        </is>
      </c>
      <c r="D24" s="287" t="n"/>
      <c r="E24" s="334" t="inlineStr">
        <is>
          <t>+60,000 نقطة → الرصيد 60K</t>
        </is>
      </c>
      <c r="F24" s="293" t="n"/>
      <c r="G24" s="287" t="n"/>
      <c r="H24" s="335" t="inlineStr">
        <is>
          <t>+600 ر تقدم → 600/14,400</t>
        </is>
      </c>
      <c r="I24" s="287" t="n"/>
    </row>
    <row r="25" ht="36" customHeight="1" s="260">
      <c r="A25" s="296" t="inlineStr">
        <is>
          <t>📅 فبراير-يونيو</t>
        </is>
      </c>
      <c r="B25" s="287" t="n"/>
      <c r="C25" s="328" t="inlineStr">
        <is>
          <t>تستمر بنفس المعدل</t>
        </is>
      </c>
      <c r="D25" s="287" t="n"/>
      <c r="E25" s="334" t="inlineStr">
        <is>
          <t>+360,000 نقطة (المجموع 420K)</t>
        </is>
      </c>
      <c r="F25" s="293" t="n"/>
      <c r="G25" s="287" t="n"/>
      <c r="H25" s="335" t="inlineStr">
        <is>
          <t>التقدم 4,200 ر → 🩶 فضي ✅</t>
        </is>
      </c>
      <c r="I25" s="287" t="n"/>
    </row>
    <row r="26" ht="36" customHeight="1" s="260">
      <c r="A26" s="296" t="inlineStr">
        <is>
          <t>📅 يوليو</t>
        </is>
      </c>
      <c r="B26" s="287" t="n"/>
      <c r="C26" s="328" t="inlineStr">
        <is>
          <t>تستبدل 400K نقطة بقهوة</t>
        </is>
      </c>
      <c r="D26" s="287" t="n"/>
      <c r="E26" s="334" t="inlineStr">
        <is>
          <t>⬇️ الرصيد ينزل إلى 20K</t>
        </is>
      </c>
      <c r="F26" s="293" t="n"/>
      <c r="G26" s="287" t="n"/>
      <c r="H26" s="335" t="inlineStr">
        <is>
          <t>التقدم 5,400 · لا يتأثر ✅</t>
        </is>
      </c>
      <c r="I26" s="287" t="n"/>
    </row>
    <row r="27" ht="36" customHeight="1" s="260">
      <c r="A27" s="296" t="inlineStr">
        <is>
          <t>📅 ديسمبر</t>
        </is>
      </c>
      <c r="B27" s="287" t="n"/>
      <c r="C27" s="328" t="inlineStr">
        <is>
          <t>الإنفاق السنوي 7,200 ر</t>
        </is>
      </c>
      <c r="D27" s="287" t="n"/>
      <c r="E27" s="334" t="inlineStr">
        <is>
          <t>كاش باك 1.5% (الفضي)</t>
        </is>
      </c>
      <c r="F27" s="293" t="n"/>
      <c r="G27" s="287" t="n"/>
      <c r="H27" s="335" t="inlineStr">
        <is>
          <t>التقدم 7,200 → 🩶 فضي مستمر</t>
        </is>
      </c>
      <c r="I27" s="287" t="n"/>
    </row>
    <row r="28" ht="36" customHeight="1" s="260">
      <c r="A28" s="296" t="inlineStr">
        <is>
          <t>📅 يناير القادم</t>
        </is>
      </c>
      <c r="B28" s="287" t="n"/>
      <c r="C28" s="328" t="inlineStr">
        <is>
          <t>بداية سنة جديدة</t>
        </is>
      </c>
      <c r="D28" s="287" t="n"/>
      <c r="E28" s="334" t="inlineStr">
        <is>
          <t>الرصيد محفوظ · لا ينقص</t>
        </is>
      </c>
      <c r="F28" s="293" t="n"/>
      <c r="G28" s="287" t="n"/>
      <c r="H28" s="335" t="inlineStr">
        <is>
          <t>العدّاد يبدأ من 0 · المستوى محفوظ</t>
        </is>
      </c>
      <c r="I28" s="287" t="n"/>
    </row>
    <row r="29" ht="13.5" customHeight="1" s="260"/>
    <row r="30" ht="30" customHeight="1" s="260">
      <c r="A30" s="336" t="inlineStr">
        <is>
          <t>🌟 الرسائل المفتاحية للعميل</t>
        </is>
      </c>
    </row>
    <row r="31" ht="31.5" customHeight="1" s="260">
      <c r="A31" s="337" t="inlineStr">
        <is>
          <t>💯 استبدل نقاطك متى تشاء · مستواك لن يتأثر أبداً</t>
        </is>
      </c>
      <c r="B31" s="293" t="n"/>
      <c r="C31" s="293" t="n"/>
      <c r="D31" s="293" t="n"/>
      <c r="E31" s="293" t="n"/>
      <c r="F31" s="293" t="n"/>
      <c r="G31" s="293" t="n"/>
      <c r="H31" s="293" t="n"/>
      <c r="I31" s="287" t="n"/>
    </row>
    <row r="32" ht="31.5" customHeight="1" s="260">
      <c r="A32" s="337" t="inlineStr">
        <is>
          <t>📈 كلما أنفقت أكثر · ارتقيت أعلى · لا علاقة لذلك بنقاطك</t>
        </is>
      </c>
      <c r="B32" s="293" t="n"/>
      <c r="C32" s="293" t="n"/>
      <c r="D32" s="293" t="n"/>
      <c r="E32" s="293" t="n"/>
      <c r="F32" s="293" t="n"/>
      <c r="G32" s="293" t="n"/>
      <c r="H32" s="293" t="n"/>
      <c r="I32" s="287" t="n"/>
    </row>
    <row r="33" ht="31.5" customHeight="1" s="260">
      <c r="A33" s="337" t="inlineStr">
        <is>
          <t>🎁 النقاط هي متعتك · المستوى هو إنجازك · شيئان منفصلان</t>
        </is>
      </c>
      <c r="B33" s="293" t="n"/>
      <c r="C33" s="293" t="n"/>
      <c r="D33" s="293" t="n"/>
      <c r="E33" s="293" t="n"/>
      <c r="F33" s="293" t="n"/>
      <c r="G33" s="293" t="n"/>
      <c r="H33" s="293" t="n"/>
      <c r="I33" s="287" t="n"/>
    </row>
    <row r="34" ht="31.5" customHeight="1" s="260">
      <c r="A34" s="337" t="inlineStr">
        <is>
          <t>🔒 مستواك محفوظ لمدة 12 شهر بعد الترقية · حتى لو قل إنفاقك</t>
        </is>
      </c>
      <c r="B34" s="293" t="n"/>
      <c r="C34" s="293" t="n"/>
      <c r="D34" s="293" t="n"/>
      <c r="E34" s="293" t="n"/>
      <c r="F34" s="293" t="n"/>
      <c r="G34" s="293" t="n"/>
      <c r="H34" s="293" t="n"/>
      <c r="I34" s="287" t="n"/>
    </row>
    <row r="36" ht="24" customHeight="1" s="260">
      <c r="A36" s="297" t="inlineStr">
        <is>
          <t xml:space="preserve">  درب · كيف يعمل تانكي · 2026  </t>
        </is>
      </c>
    </row>
  </sheetData>
  <mergeCells count="70">
    <mergeCell ref="A5:D5"/>
    <mergeCell ref="A24:B24"/>
    <mergeCell ref="E28:G28"/>
    <mergeCell ref="A8:D8"/>
    <mergeCell ref="C24:D24"/>
    <mergeCell ref="F9:I9"/>
    <mergeCell ref="G19:I19"/>
    <mergeCell ref="A18:C18"/>
    <mergeCell ref="G18:I18"/>
    <mergeCell ref="D17:F17"/>
    <mergeCell ref="A10:D10"/>
    <mergeCell ref="C26:D26"/>
    <mergeCell ref="D16:F16"/>
    <mergeCell ref="G15:I15"/>
    <mergeCell ref="H25:I25"/>
    <mergeCell ref="A9:D9"/>
    <mergeCell ref="A2:I2"/>
    <mergeCell ref="G14:I14"/>
    <mergeCell ref="A33:I33"/>
    <mergeCell ref="A25:B25"/>
    <mergeCell ref="E27:G27"/>
    <mergeCell ref="C25:D25"/>
    <mergeCell ref="A14:C14"/>
    <mergeCell ref="A32:I32"/>
    <mergeCell ref="F11:I11"/>
    <mergeCell ref="A17:C17"/>
    <mergeCell ref="D18:F18"/>
    <mergeCell ref="E26:G26"/>
    <mergeCell ref="G20:I20"/>
    <mergeCell ref="A11:D11"/>
    <mergeCell ref="A22:I22"/>
    <mergeCell ref="A27:B27"/>
    <mergeCell ref="A4:I4"/>
    <mergeCell ref="F10:I10"/>
    <mergeCell ref="D15:F15"/>
    <mergeCell ref="A20:C20"/>
    <mergeCell ref="F6:I6"/>
    <mergeCell ref="E25:G25"/>
    <mergeCell ref="G16:I16"/>
    <mergeCell ref="A26:B26"/>
    <mergeCell ref="D14:F14"/>
    <mergeCell ref="A19:C19"/>
    <mergeCell ref="A6:D6"/>
    <mergeCell ref="F7:I7"/>
    <mergeCell ref="A13:I13"/>
    <mergeCell ref="C27:D27"/>
    <mergeCell ref="A7:D7"/>
    <mergeCell ref="A31:I31"/>
    <mergeCell ref="A23:B23"/>
    <mergeCell ref="F5:I5"/>
    <mergeCell ref="A15:C15"/>
    <mergeCell ref="D20:F20"/>
    <mergeCell ref="C23:D23"/>
    <mergeCell ref="H28:I28"/>
    <mergeCell ref="H27:I27"/>
    <mergeCell ref="A30:I30"/>
    <mergeCell ref="A34:I34"/>
    <mergeCell ref="E24:G24"/>
    <mergeCell ref="D19:F19"/>
    <mergeCell ref="F8:I8"/>
    <mergeCell ref="E23:G23"/>
    <mergeCell ref="H24:I24"/>
    <mergeCell ref="A36:I36"/>
    <mergeCell ref="A28:B28"/>
    <mergeCell ref="A1:I1"/>
    <mergeCell ref="C28:D28"/>
    <mergeCell ref="H23:I23"/>
    <mergeCell ref="G17:I17"/>
    <mergeCell ref="A16:C16"/>
    <mergeCell ref="H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34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59" min="1" max="1"/>
    <col width="8" customWidth="1" style="259" min="2" max="2"/>
    <col width="11" customWidth="1" style="259" min="3" max="4"/>
    <col width="12" customWidth="1" style="259" min="5" max="5"/>
    <col width="13" customWidth="1" style="259" min="6" max="6"/>
    <col width="11" customWidth="1" style="259" min="7" max="8"/>
    <col width="14" customWidth="1" style="259" min="9" max="9"/>
    <col width="10" customWidth="1" style="259" min="10" max="10"/>
  </cols>
  <sheetData>
    <row r="1" ht="48" customHeight="1" s="260">
      <c r="A1" s="261" t="inlineStr">
        <is>
          <t xml:space="preserve">  درب · محاكي العميل التفاعلي 🎮</t>
        </is>
      </c>
    </row>
    <row r="2" ht="25.5" customHeight="1" s="260">
      <c r="A2" s="262" t="inlineStr">
        <is>
          <t xml:space="preserve">  أدخل الإنفاق الشهري في الخلية الصفراء · شوف النقاط (للاستبدال) منفصلة عن المستوى (للحالة)</t>
        </is>
      </c>
    </row>
    <row r="3" ht="12" customHeight="1" s="260"/>
    <row r="4" ht="30" customHeight="1" s="260">
      <c r="A4" s="272" t="inlineStr">
        <is>
          <t>📝 أدخل بيانات العميل</t>
        </is>
      </c>
    </row>
    <row r="5" ht="55.5" customHeight="1" s="260">
      <c r="A5" s="338" t="inlineStr">
        <is>
          <t>💰 الإنفاق الشهري على الوقود (ريال) →</t>
        </is>
      </c>
      <c r="B5" s="293" t="n"/>
      <c r="C5" s="293" t="n"/>
      <c r="D5" s="293" t="n"/>
      <c r="E5" s="287" t="n"/>
      <c r="F5" s="339" t="n">
        <v>600</v>
      </c>
      <c r="G5" s="287" t="n"/>
      <c r="H5" s="340" t="inlineStr">
        <is>
          <t>← غيّر القيمة هنا</t>
        </is>
      </c>
      <c r="I5" s="293" t="n"/>
      <c r="J5" s="287" t="n"/>
    </row>
    <row r="6" ht="13.5" customHeight="1" s="260"/>
    <row r="7" ht="30" customHeight="1" s="260">
      <c r="A7" s="329" t="inlineStr">
        <is>
          <t>🎯 الملخص الفوري</t>
        </is>
      </c>
    </row>
    <row r="8" ht="30" customHeight="1" s="260">
      <c r="A8" s="341" t="inlineStr">
        <is>
          <t>📅 الإنفاق السنوي</t>
        </is>
      </c>
      <c r="B8" s="287" t="n"/>
      <c r="C8" s="342" t="inlineStr">
        <is>
          <t>🎯 المستوى الحالي</t>
        </is>
      </c>
      <c r="D8" s="287" t="n"/>
      <c r="E8" s="343" t="inlineStr">
        <is>
          <t>💎 نقاط/سنة</t>
        </is>
      </c>
      <c r="F8" s="293" t="n"/>
      <c r="G8" s="287" t="n"/>
      <c r="H8" s="344" t="inlineStr">
        <is>
          <t>💰 القيمة المالية</t>
        </is>
      </c>
      <c r="I8" s="293" t="n"/>
      <c r="J8" s="287" t="n"/>
    </row>
    <row r="9" ht="55.5" customHeight="1" s="260">
      <c r="A9" s="345">
        <f>F5*12</f>
        <v/>
      </c>
      <c r="B9" s="287" t="n"/>
      <c r="C9" s="346">
        <f>IF(F5*12&lt;السيناريوهات!C16,"🤍 الأبيض",IF(F5*12&lt;السيناريوهات!C17,"🩶 الفضي","🟠 البرتقالي"))</f>
        <v/>
      </c>
      <c r="D9" s="287" t="n"/>
      <c r="E9" s="347">
        <f>F5*12*IF(C9="🤍 الأبيض",السيناريوهات!C7,IF(C9="🩶 الفضي",السيناريوهات!C8,السيناريوهات!C9))</f>
        <v/>
      </c>
      <c r="F9" s="293" t="n"/>
      <c r="G9" s="287" t="n"/>
      <c r="H9" s="348">
        <f>E9/السيناريوهات!C6</f>
        <v/>
      </c>
      <c r="I9" s="293" t="n"/>
      <c r="J9" s="287" t="n"/>
    </row>
    <row r="10" ht="21.75" customHeight="1" s="260">
      <c r="A10" s="349" t="inlineStr">
        <is>
          <t>إنفاق على الوقود</t>
        </is>
      </c>
      <c r="B10" s="287" t="n"/>
      <c r="C10" s="350" t="inlineStr">
        <is>
          <t>مستواك بناء على الإنفاق</t>
        </is>
      </c>
      <c r="D10" s="287" t="n"/>
      <c r="E10" s="351" t="inlineStr">
        <is>
          <t>للاستبدال بمكافآت</t>
        </is>
      </c>
      <c r="F10" s="293" t="n"/>
      <c r="G10" s="287" t="n"/>
      <c r="H10" s="352" t="inlineStr">
        <is>
          <t>قيمة الكاش باك السنوي</t>
        </is>
      </c>
      <c r="I10" s="293" t="n"/>
      <c r="J10" s="287" t="n"/>
    </row>
    <row r="11" ht="13.5" customHeight="1" s="260"/>
    <row r="12" ht="30" customHeight="1" s="260">
      <c r="A12" s="272" t="inlineStr">
        <is>
          <t>📊 تقدمك للمستوى التالي</t>
        </is>
      </c>
    </row>
    <row r="13" ht="39.75" customHeight="1" s="260">
      <c r="A13" s="353" t="inlineStr">
        <is>
          <t>🎯 المستوى التالي →</t>
        </is>
      </c>
      <c r="B13" s="293" t="n"/>
      <c r="C13" s="287" t="n"/>
      <c r="D13" s="354">
        <f>IF(C9="🤍 الأبيض","🩶 الفضي",IF(C9="🩶 الفضي","🟠 البرتقالي","✨ أعلى مستوى"))</f>
        <v/>
      </c>
      <c r="E13" s="287" t="n"/>
      <c r="F13" s="353" t="inlineStr">
        <is>
          <t>💪 الإنفاق المتبقي →</t>
        </is>
      </c>
      <c r="G13" s="287" t="n"/>
      <c r="H13" s="355">
        <f>IF(C9="🤍 الأبيض",MAX(0,السيناريوهات!C16-F5*12),IF(C9="🩶 الفضي",MAX(0,السيناريوهات!C17-F5*12),0))</f>
        <v/>
      </c>
      <c r="I13" s="293" t="n"/>
      <c r="J13" s="287" t="n"/>
    </row>
    <row r="14" ht="36" customHeight="1" s="260">
      <c r="A14" s="356" t="inlineStr">
        <is>
          <t>نسبة التقدم</t>
        </is>
      </c>
      <c r="B14" s="287" t="n"/>
      <c r="C14" s="357">
        <f>IF(C9="🤍 الأبيض",F5*12/السيناريوهات!C16,IF(C9="🩶 الفضي",(F5*12-السيناريوهات!C16)/(السيناريوهات!C17-السيناريوهات!C16),1))</f>
        <v/>
      </c>
      <c r="D14" s="293" t="n"/>
      <c r="E14" s="293" t="n"/>
      <c r="F14" s="293" t="n"/>
      <c r="G14" s="293" t="n"/>
      <c r="H14" s="293" t="n"/>
      <c r="I14" s="293" t="n"/>
      <c r="J14" s="287" t="n"/>
    </row>
    <row r="15" ht="13.5" customHeight="1" s="260"/>
    <row r="16" ht="30" customHeight="1" s="260">
      <c r="A16" s="285" t="inlineStr">
        <is>
          <t>🔍 الفصل بين النقاط والمستوى</t>
        </is>
      </c>
    </row>
    <row r="17" ht="31.5" customHeight="1" s="260">
      <c r="A17" s="330" t="inlineStr">
        <is>
          <t>البند</t>
        </is>
      </c>
      <c r="B17" s="287" t="n"/>
      <c r="C17" s="331" t="inlineStr">
        <is>
          <t>💎 النقاط (للاستبدال)</t>
        </is>
      </c>
      <c r="D17" s="293" t="n"/>
      <c r="E17" s="293" t="n"/>
      <c r="F17" s="287" t="n"/>
      <c r="G17" s="286" t="inlineStr">
        <is>
          <t>🎯 المستوى (للحالة)</t>
        </is>
      </c>
      <c r="H17" s="293" t="n"/>
      <c r="I17" s="293" t="n"/>
      <c r="J17" s="287" t="n"/>
    </row>
    <row r="18" ht="36" customHeight="1" s="260">
      <c r="A18" s="296" t="inlineStr">
        <is>
          <t>ما يحدث عند الإنفاق</t>
        </is>
      </c>
      <c r="B18" s="287" t="n"/>
      <c r="C18" s="332">
        <f>TEXT(F5*IF(C9="🤍 الأبيض",السيناريوهات!C7,IF(C9="🩶 الفضي",السيناريوهات!C8,السيناريوهات!C9)),"#,##0")&amp;" نقطة تُضاف"</f>
        <v/>
      </c>
      <c r="D18" s="293" t="n"/>
      <c r="E18" s="293" t="n"/>
      <c r="F18" s="287" t="n"/>
      <c r="G18" s="333">
        <f>TEXT(F5,"#,##0")&amp;" ر تضاف للعدّاد"</f>
        <v/>
      </c>
      <c r="H18" s="293" t="n"/>
      <c r="I18" s="293" t="n"/>
      <c r="J18" s="287" t="n"/>
    </row>
    <row r="19" ht="36" customHeight="1" s="260">
      <c r="A19" s="296" t="inlineStr">
        <is>
          <t>بعد سنة كاملة</t>
        </is>
      </c>
      <c r="B19" s="287" t="n"/>
      <c r="C19" s="332">
        <f>TEXT(E9,"#,##0")&amp;" نقطة (= "&amp;TEXT(H9,"#,##0")&amp;" ر)"</f>
        <v/>
      </c>
      <c r="D19" s="293" t="n"/>
      <c r="E19" s="293" t="n"/>
      <c r="F19" s="287" t="n"/>
      <c r="G19" s="333">
        <f>TEXT(F5*12,"#,##0")&amp;" ر إنفاق سنوي"</f>
        <v/>
      </c>
      <c r="H19" s="293" t="n"/>
      <c r="I19" s="293" t="n"/>
      <c r="J19" s="287" t="n"/>
    </row>
    <row r="20" ht="36" customHeight="1" s="260">
      <c r="A20" s="296" t="inlineStr">
        <is>
          <t>ماذا يحدث عند الاستبدال؟</t>
        </is>
      </c>
      <c r="B20" s="287" t="n"/>
      <c r="C20" s="332" t="inlineStr">
        <is>
          <t>تنقص بحسب قيمة المكافأة</t>
        </is>
      </c>
      <c r="D20" s="293" t="n"/>
      <c r="E20" s="293" t="n"/>
      <c r="F20" s="287" t="n"/>
      <c r="G20" s="333" t="inlineStr">
        <is>
          <t>لا تتأثر · المستوى محفوظ</t>
        </is>
      </c>
      <c r="H20" s="293" t="n"/>
      <c r="I20" s="293" t="n"/>
      <c r="J20" s="287" t="n"/>
    </row>
    <row r="21" ht="36" customHeight="1" s="260">
      <c r="A21" s="296" t="inlineStr">
        <is>
          <t>بعد سنة (تجديد)</t>
        </is>
      </c>
      <c r="B21" s="287" t="n"/>
      <c r="C21" s="332" t="inlineStr">
        <is>
          <t>الرصيد يبقى كما هو</t>
        </is>
      </c>
      <c r="D21" s="293" t="n"/>
      <c r="E21" s="293" t="n"/>
      <c r="F21" s="287" t="n"/>
      <c r="G21" s="333" t="inlineStr">
        <is>
          <t>العدّاد يبدأ من 0 · المستوى محفوظ 12 شهر</t>
        </is>
      </c>
      <c r="H21" s="293" t="n"/>
      <c r="I21" s="293" t="n"/>
      <c r="J21" s="287" t="n"/>
    </row>
    <row r="22" ht="13.5" customHeight="1" s="260"/>
    <row r="23" ht="31.5" customHeight="1" s="260">
      <c r="A23" s="358" t="inlineStr">
        <is>
          <t>💡 جرّب · غيّر الإنفاق في F5 وشوف كيف تتغير كل الأرقام · النقاط والمستوى منفصلان تماماً</t>
        </is>
      </c>
      <c r="B23" s="293" t="n"/>
      <c r="C23" s="293" t="n"/>
      <c r="D23" s="293" t="n"/>
      <c r="E23" s="293" t="n"/>
      <c r="F23" s="293" t="n"/>
      <c r="G23" s="293" t="n"/>
      <c r="H23" s="293" t="n"/>
      <c r="I23" s="293" t="n"/>
      <c r="J23" s="287" t="n"/>
    </row>
    <row r="24" ht="13.5" customHeight="1" s="260"/>
    <row r="25" ht="30" customHeight="1" s="260">
      <c r="A25" s="272" t="inlineStr">
        <is>
          <t>🎲 عينات نموذجية لتجريب أنواع العملاء</t>
        </is>
      </c>
    </row>
    <row r="26" ht="36" customHeight="1" s="260">
      <c r="A26" s="273" t="inlineStr">
        <is>
          <t>ملف العميل</t>
        </is>
      </c>
      <c r="B26" s="287" t="n"/>
      <c r="C26" s="273" t="inlineStr">
        <is>
          <t>إنفاق/شهر</t>
        </is>
      </c>
      <c r="D26" s="273" t="inlineStr">
        <is>
          <t>إنفاق/سنة</t>
        </is>
      </c>
      <c r="E26" s="273" t="inlineStr">
        <is>
          <t>المستوى</t>
        </is>
      </c>
      <c r="F26" s="273" t="inlineStr">
        <is>
          <t>النقاط/سنة</t>
        </is>
      </c>
      <c r="G26" s="273" t="inlineStr">
        <is>
          <t>قيمتها (ر)</t>
        </is>
      </c>
      <c r="H26" s="273" t="inlineStr">
        <is>
          <t>الكاش باك</t>
        </is>
      </c>
      <c r="I26" s="273" t="inlineStr">
        <is>
          <t>الملاحظة</t>
        </is>
      </c>
      <c r="J26" s="287" t="n"/>
    </row>
    <row r="27" ht="30" customHeight="1" s="260">
      <c r="A27" s="296" t="inlineStr">
        <is>
          <t>🚗 سيارة اقتصادية واحدة</t>
        </is>
      </c>
      <c r="B27" s="287" t="n"/>
      <c r="C27" s="359" t="n">
        <v>600</v>
      </c>
      <c r="D27" s="360">
        <f>C27*12</f>
        <v/>
      </c>
      <c r="E27" s="361">
        <f>IF(D27&lt;السيناريوهات!$C$16,"🤍 أبيض",IF(D27&lt;السيناريوهات!$C$17,"🩶 فضي","🟠 برتقالي"))</f>
        <v/>
      </c>
      <c r="F27" s="362">
        <f>D27*IF(E27="🤍 أبيض",السيناريوهات!$C$7,IF(E27="🩶 فضي",السيناريوهات!$C$8,السيناريوهات!$C$9))</f>
        <v/>
      </c>
      <c r="G27" s="363">
        <f>F27/السيناريوهات!$C$6</f>
        <v/>
      </c>
      <c r="H27" s="364">
        <f>G27/D27</f>
        <v/>
      </c>
      <c r="I27" s="365" t="inlineStr">
        <is>
          <t>حالتك! · سيارة كورولا أو سنتافي</t>
        </is>
      </c>
      <c r="J27" s="287" t="n"/>
    </row>
    <row r="28" ht="30" customHeight="1" s="260">
      <c r="A28" s="296" t="inlineStr">
        <is>
          <t>🚙 سيارة عادية واحدة</t>
        </is>
      </c>
      <c r="B28" s="287" t="n"/>
      <c r="C28" s="359" t="n">
        <v>1000</v>
      </c>
      <c r="D28" s="360">
        <f>C28*12</f>
        <v/>
      </c>
      <c r="E28" s="361">
        <f>IF(D28&lt;السيناريوهات!$C$16,"🤍 أبيض",IF(D28&lt;السيناريوهات!$C$17,"🩶 فضي","🟠 برتقالي"))</f>
        <v/>
      </c>
      <c r="F28" s="362">
        <f>D28*IF(E28="🤍 أبيض",السيناريوهات!$C$7,IF(E28="🩶 فضي",السيناريوهات!$C$8,السيناريوهات!$C$9))</f>
        <v/>
      </c>
      <c r="G28" s="363">
        <f>F28/السيناريوهات!$C$6</f>
        <v/>
      </c>
      <c r="H28" s="364">
        <f>G28/D28</f>
        <v/>
      </c>
      <c r="I28" s="365" t="inlineStr">
        <is>
          <t>سيارة متوسطة · استخدام يومي</t>
        </is>
      </c>
      <c r="J28" s="287" t="n"/>
    </row>
    <row r="29" ht="30" customHeight="1" s="260">
      <c r="A29" s="296" t="inlineStr">
        <is>
          <t>🚕 سيارة أكبر/SUV</t>
        </is>
      </c>
      <c r="B29" s="287" t="n"/>
      <c r="C29" s="359" t="n">
        <v>1500</v>
      </c>
      <c r="D29" s="360">
        <f>C29*12</f>
        <v/>
      </c>
      <c r="E29" s="361">
        <f>IF(D29&lt;السيناريوهات!$C$16,"🤍 أبيض",IF(D29&lt;السيناريوهات!$C$17,"🩶 فضي","🟠 برتقالي"))</f>
        <v/>
      </c>
      <c r="F29" s="362">
        <f>D29*IF(E29="🤍 أبيض",السيناريوهات!$C$7,IF(E29="🩶 فضي",السيناريوهات!$C$8,السيناريوهات!$C$9))</f>
        <v/>
      </c>
      <c r="G29" s="363">
        <f>F29/السيناريوهات!$C$6</f>
        <v/>
      </c>
      <c r="H29" s="364">
        <f>G29/D29</f>
        <v/>
      </c>
      <c r="I29" s="365" t="inlineStr">
        <is>
          <t>تاهو/باترول صغير</t>
        </is>
      </c>
      <c r="J29" s="287" t="n"/>
    </row>
    <row r="30" ht="30" customHeight="1" s="260">
      <c r="A30" s="296" t="inlineStr">
        <is>
          <t>🚐 عائلة بسيارتين</t>
        </is>
      </c>
      <c r="B30" s="287" t="n"/>
      <c r="C30" s="359" t="n">
        <v>2500</v>
      </c>
      <c r="D30" s="360">
        <f>C30*12</f>
        <v/>
      </c>
      <c r="E30" s="361">
        <f>IF(D30&lt;السيناريوهات!$C$16,"🤍 أبيض",IF(D30&lt;السيناريوهات!$C$17,"🩶 فضي","🟠 برتقالي"))</f>
        <v/>
      </c>
      <c r="F30" s="362">
        <f>D30*IF(E30="🤍 أبيض",السيناريوهات!$C$7,IF(E30="🩶 فضي",السيناريوهات!$C$8,السيناريوهات!$C$9))</f>
        <v/>
      </c>
      <c r="G30" s="363">
        <f>F30/السيناريوهات!$C$6</f>
        <v/>
      </c>
      <c r="H30" s="364">
        <f>G30/D30</f>
        <v/>
      </c>
      <c r="I30" s="365" t="inlineStr">
        <is>
          <t>عائلة نشطة · سيارتين</t>
        </is>
      </c>
      <c r="J30" s="287" t="n"/>
    </row>
    <row r="31" ht="30" customHeight="1" s="260">
      <c r="A31" s="296" t="inlineStr">
        <is>
          <t>🏢 عائلة كبيرة</t>
        </is>
      </c>
      <c r="B31" s="287" t="n"/>
      <c r="C31" s="359" t="n">
        <v>4000</v>
      </c>
      <c r="D31" s="360">
        <f>C31*12</f>
        <v/>
      </c>
      <c r="E31" s="361">
        <f>IF(D31&lt;السيناريوهات!$C$16,"🤍 أبيض",IF(D31&lt;السيناريوهات!$C$17,"🩶 فضي","🟠 برتقالي"))</f>
        <v/>
      </c>
      <c r="F31" s="362">
        <f>D31*IF(E31="🤍 أبيض",السيناريوهات!$C$7,IF(E31="🩶 فضي",السيناريوهات!$C$8,السيناريوهات!$C$9))</f>
        <v/>
      </c>
      <c r="G31" s="363">
        <f>F31/السيناريوهات!$C$6</f>
        <v/>
      </c>
      <c r="H31" s="364">
        <f>G31/D31</f>
        <v/>
      </c>
      <c r="I31" s="365" t="inlineStr">
        <is>
          <t>أبو خالد · 3-4 سيارات</t>
        </is>
      </c>
      <c r="J31" s="287" t="n"/>
    </row>
    <row r="32" ht="30" customHeight="1" s="260">
      <c r="A32" s="296" t="inlineStr">
        <is>
          <t>🚚 أسطول صغير</t>
        </is>
      </c>
      <c r="B32" s="287" t="n"/>
      <c r="C32" s="359" t="n">
        <v>8000</v>
      </c>
      <c r="D32" s="360">
        <f>C32*12</f>
        <v/>
      </c>
      <c r="E32" s="361">
        <f>IF(D32&lt;السيناريوهات!$C$16,"🤍 أبيض",IF(D32&lt;السيناريوهات!$C$17,"🩶 فضي","🟠 برتقالي"))</f>
        <v/>
      </c>
      <c r="F32" s="362">
        <f>D32*IF(E32="🤍 أبيض",السيناريوهات!$C$7,IF(E32="🩶 فضي",السيناريوهات!$C$8,السيناريوهات!$C$9))</f>
        <v/>
      </c>
      <c r="G32" s="363">
        <f>F32/السيناريوهات!$C$6</f>
        <v/>
      </c>
      <c r="H32" s="364">
        <f>G32/D32</f>
        <v/>
      </c>
      <c r="I32" s="365" t="inlineStr">
        <is>
          <t>شركة صغيرة · 4-5 سيارات</t>
        </is>
      </c>
      <c r="J32" s="287" t="n"/>
    </row>
    <row r="34" ht="24" customHeight="1" s="260">
      <c r="A34" s="297" t="inlineStr">
        <is>
          <t xml:space="preserve">  درب · محاكي العميل التفاعلي · النقاط منفصلة عن المستوى · 2026  </t>
        </is>
      </c>
    </row>
  </sheetData>
  <mergeCells count="59">
    <mergeCell ref="I30:J30"/>
    <mergeCell ref="E10:G10"/>
    <mergeCell ref="A23:J23"/>
    <mergeCell ref="A30:B30"/>
    <mergeCell ref="C17:F17"/>
    <mergeCell ref="G20:J20"/>
    <mergeCell ref="I27:J27"/>
    <mergeCell ref="A4:J4"/>
    <mergeCell ref="E9:G9"/>
    <mergeCell ref="C14:J14"/>
    <mergeCell ref="C19:F19"/>
    <mergeCell ref="I26:J26"/>
    <mergeCell ref="C18:F18"/>
    <mergeCell ref="C10:D10"/>
    <mergeCell ref="I32:J32"/>
    <mergeCell ref="D13:E13"/>
    <mergeCell ref="H13:J13"/>
    <mergeCell ref="F5:G5"/>
    <mergeCell ref="A34:J34"/>
    <mergeCell ref="G21:J21"/>
    <mergeCell ref="C9:D9"/>
    <mergeCell ref="A18:B18"/>
    <mergeCell ref="A27:B27"/>
    <mergeCell ref="I28:J28"/>
    <mergeCell ref="A1:J1"/>
    <mergeCell ref="A21:B21"/>
    <mergeCell ref="A13:C13"/>
    <mergeCell ref="A26:B26"/>
    <mergeCell ref="G17:J17"/>
    <mergeCell ref="H5:J5"/>
    <mergeCell ref="C20:F20"/>
    <mergeCell ref="H8:J8"/>
    <mergeCell ref="A32:B32"/>
    <mergeCell ref="A5:E5"/>
    <mergeCell ref="A7:J7"/>
    <mergeCell ref="A14:B14"/>
    <mergeCell ref="F13:G13"/>
    <mergeCell ref="A16:J16"/>
    <mergeCell ref="A17:B17"/>
    <mergeCell ref="A8:B8"/>
    <mergeCell ref="G19:J19"/>
    <mergeCell ref="A25:J25"/>
    <mergeCell ref="C8:D8"/>
    <mergeCell ref="A20:B20"/>
    <mergeCell ref="I29:J29"/>
    <mergeCell ref="H10:J10"/>
    <mergeCell ref="G18:J18"/>
    <mergeCell ref="A29:B29"/>
    <mergeCell ref="A19:B19"/>
    <mergeCell ref="A2:J2"/>
    <mergeCell ref="E8:G8"/>
    <mergeCell ref="A10:B10"/>
    <mergeCell ref="A28:B28"/>
    <mergeCell ref="C21:F21"/>
    <mergeCell ref="A12:J12"/>
    <mergeCell ref="H9:J9"/>
    <mergeCell ref="I31:J31"/>
    <mergeCell ref="A9:B9"/>
    <mergeCell ref="A31:B31"/>
  </mergeCells>
  <conditionalFormatting sqref="C14:J14">
    <cfRule type="dataBar" priority="2">
      <dataBar minLength="10" maxLength="90" showValue="1">
        <cfvo type="num" val="0"/>
        <cfvo type="num" val="1"/>
        <color rgb="FFF18321"/>
      </dataBar>
    </cfRule>
  </conditionalFormatting>
  <conditionalFormatting sqref="F27:F32">
    <cfRule type="dataBar" priority="3">
      <dataBar minLength="10" maxLength="90" showValue="1">
        <cfvo type="min" val="0"/>
        <cfvo type="max" val="0"/>
        <color rgb="FF0D47A1"/>
      </dataBar>
    </cfRule>
  </conditionalFormatting>
  <conditionalFormatting sqref="G27:G32">
    <cfRule type="dataBar" priority="4">
      <dataBar minLength="10" maxLength="90" showValue="1">
        <cfvo type="min" val="0"/>
        <cfvo type="max" val="0"/>
        <color rgb="FF006100"/>
      </dataBar>
    </cfRule>
  </conditionalFormatting>
  <dataValidations count="1">
    <dataValidation sqref="F5" showDropDown="0" showInputMessage="0" showErrorMessage="0" allowBlank="0" error="الإنفاق يجب أن يكون بين 100 و 50,000 ريال" prompt="أدخل الإنفاق الشهري بين 100 و 50,000 ريال" type="whole" errorStyle="stop" operator="between">
      <formula1>100</formula1>
      <formula2>50000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29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59" min="1" max="1"/>
    <col width="11" customWidth="1" style="259" min="2" max="7"/>
    <col width="13" customWidth="1" style="259" min="8" max="8"/>
    <col width="8" customWidth="1" style="259" min="9" max="10"/>
  </cols>
  <sheetData>
    <row r="1" ht="48" customHeight="1" s="260">
      <c r="A1" s="261" t="inlineStr">
        <is>
          <t xml:space="preserve">  درب · خطة التوسع التدريجي لتانكي 🚀</t>
        </is>
      </c>
    </row>
    <row r="2" ht="25.5" customHeight="1" s="260">
      <c r="A2" s="322" t="inlineStr">
        <is>
          <t xml:space="preserve">  من إطلاق الوقود فقط إلى منظومة مكافآت شاملة · 18 شهراً</t>
        </is>
      </c>
    </row>
    <row r="3" ht="12" customHeight="1" s="260"/>
    <row r="4" ht="30" customHeight="1" s="260">
      <c r="A4" s="272" t="inlineStr">
        <is>
          <t>📅 المراحل الأربع · تفاصيل كاملة</t>
        </is>
      </c>
    </row>
    <row r="5" ht="36" customHeight="1" s="260">
      <c r="A5" s="330" t="inlineStr">
        <is>
          <t>المرحلة</t>
        </is>
      </c>
      <c r="B5" s="330" t="inlineStr">
        <is>
          <t>الفترة</t>
        </is>
      </c>
      <c r="C5" s="330" t="inlineStr">
        <is>
          <t>العنوان</t>
        </is>
      </c>
      <c r="D5" s="330" t="inlineStr">
        <is>
          <t>الهدف الرئيسي</t>
        </is>
      </c>
      <c r="E5" s="293" t="n"/>
      <c r="F5" s="287" t="n"/>
      <c r="G5" s="330" t="inlineStr">
        <is>
          <t>الحالة</t>
        </is>
      </c>
      <c r="H5" s="287" t="n"/>
      <c r="I5" s="330" t="inlineStr">
        <is>
          <t>التكلفة المتوقعة</t>
        </is>
      </c>
      <c r="J5" s="287" t="n"/>
    </row>
    <row r="6" ht="42" customHeight="1" s="260">
      <c r="A6" s="366" t="inlineStr">
        <is>
          <t>🟢</t>
        </is>
      </c>
      <c r="B6" s="367" t="inlineStr">
        <is>
          <t>شهر 1-3</t>
        </is>
      </c>
      <c r="C6" s="368" t="inlineStr">
        <is>
          <t>إطلاق الوقود</t>
        </is>
      </c>
      <c r="D6" s="369" t="inlineStr">
        <is>
          <t>بناء قاعدة 50K مستخدم بالوقود فقط</t>
        </is>
      </c>
      <c r="E6" s="293" t="n"/>
      <c r="F6" s="287" t="n"/>
      <c r="G6" s="306" t="inlineStr">
        <is>
          <t>✅ جاهز للإطلاق</t>
        </is>
      </c>
      <c r="H6" s="287" t="n"/>
      <c r="I6" s="370" t="inlineStr">
        <is>
          <t>2.3 مليون ر/سنة</t>
        </is>
      </c>
      <c r="J6" s="287" t="n"/>
    </row>
    <row r="7" ht="42" customHeight="1" s="260">
      <c r="A7" s="371" t="inlineStr">
        <is>
          <t>🔵</t>
        </is>
      </c>
      <c r="B7" s="343" t="inlineStr">
        <is>
          <t>شهر 3-6</t>
        </is>
      </c>
      <c r="C7" s="372" t="inlineStr">
        <is>
          <t>تفاوض المستأجرين</t>
        </is>
      </c>
      <c r="D7" s="369" t="inlineStr">
        <is>
          <t>توقيع 3-5 عقود + Pilot كافيه واحد</t>
        </is>
      </c>
      <c r="E7" s="293" t="n"/>
      <c r="F7" s="287" t="n"/>
      <c r="G7" s="306" t="inlineStr">
        <is>
          <t>🟡 تحضير</t>
        </is>
      </c>
      <c r="H7" s="287" t="n"/>
      <c r="I7" s="370" t="inlineStr">
        <is>
          <t>+ تكاليف تكامل</t>
        </is>
      </c>
      <c r="J7" s="287" t="n"/>
    </row>
    <row r="8" ht="42" customHeight="1" s="260">
      <c r="A8" s="373" t="inlineStr">
        <is>
          <t>🟣</t>
        </is>
      </c>
      <c r="B8" s="342" t="inlineStr">
        <is>
          <t>شهر 6-12</t>
        </is>
      </c>
      <c r="C8" s="374" t="inlineStr">
        <is>
          <t>التوسع التدريجي</t>
        </is>
      </c>
      <c r="D8" s="369" t="inlineStr">
        <is>
          <t>5+ أقسام نشطة + 100K مستخدم</t>
        </is>
      </c>
      <c r="E8" s="293" t="n"/>
      <c r="F8" s="287" t="n"/>
      <c r="G8" s="306" t="inlineStr">
        <is>
          <t>🔵 تنفيذ تدريجي</t>
        </is>
      </c>
      <c r="H8" s="287" t="n"/>
      <c r="I8" s="370" t="inlineStr">
        <is>
          <t>3.5 مليون ر/سنة</t>
        </is>
      </c>
      <c r="J8" s="287" t="n"/>
    </row>
    <row r="9" ht="42" customHeight="1" s="260">
      <c r="A9" s="375" t="inlineStr">
        <is>
          <t>🟠</t>
        </is>
      </c>
      <c r="B9" s="376" t="inlineStr">
        <is>
          <t>شهر 12-18</t>
        </is>
      </c>
      <c r="C9" s="377" t="inlineStr">
        <is>
          <t>النضج الكامل</t>
        </is>
      </c>
      <c r="D9" s="369" t="inlineStr">
        <is>
          <t>200K مستخدم + 7+ أقسام + بطاقات مشتركة</t>
        </is>
      </c>
      <c r="E9" s="293" t="n"/>
      <c r="F9" s="287" t="n"/>
      <c r="G9" s="306" t="inlineStr">
        <is>
          <t>🟠 توسع</t>
        </is>
      </c>
      <c r="H9" s="287" t="n"/>
      <c r="I9" s="370" t="inlineStr">
        <is>
          <t>5+ مليون ر/سنة</t>
        </is>
      </c>
      <c r="J9" s="287" t="n"/>
    </row>
    <row r="10" ht="13.5" customHeight="1" s="260"/>
    <row r="11" ht="30" customHeight="1" s="260">
      <c r="A11" s="272" t="inlineStr">
        <is>
          <t>📋 الأنشطة التفصيلية لكل مرحلة</t>
        </is>
      </c>
    </row>
    <row r="12" ht="36" customHeight="1" s="260">
      <c r="A12" s="330" t="inlineStr">
        <is>
          <t>المرحلة</t>
        </is>
      </c>
      <c r="B12" s="330" t="inlineStr">
        <is>
          <t>الأنشطة الرئيسية</t>
        </is>
      </c>
      <c r="C12" s="293" t="n"/>
      <c r="D12" s="287" t="n"/>
      <c r="E12" s="330" t="inlineStr">
        <is>
          <t>المخرجات المتوقعة</t>
        </is>
      </c>
      <c r="F12" s="293" t="n"/>
      <c r="G12" s="287" t="n"/>
      <c r="H12" s="330" t="inlineStr">
        <is>
          <t>المخاطر والتحديات</t>
        </is>
      </c>
      <c r="I12" s="293" t="n"/>
      <c r="J12" s="287" t="n"/>
    </row>
    <row r="13" ht="109.5" customHeight="1" s="260">
      <c r="A13" s="378" t="inlineStr">
        <is>
          <t>🟢
المرحلة 1
شهر 1-3
إطلاق الوقود</t>
        </is>
      </c>
      <c r="B13" s="369" t="inlineStr">
        <is>
          <t>• إطلاق التطبيق رسمياً
• حملة تسويقية كبرى
• تدريب فريق المحطات
• مراقبة وتحسين</t>
        </is>
      </c>
      <c r="C13" s="293" t="n"/>
      <c r="D13" s="287" t="n"/>
      <c r="E13" s="379" t="inlineStr">
        <is>
          <t>• 50,000+ مستخدم
• 65% نسبة تنشيط
• معدلات 100/150/200
• قاعدة بيانات أولية</t>
        </is>
      </c>
      <c r="F13" s="293" t="n"/>
      <c r="G13" s="287" t="n"/>
      <c r="H13" s="380" t="inlineStr">
        <is>
          <t>• مشاكل تقنية
• ضعف التسويق
• عدم الاستخدام
• شكاوى المحطات</t>
        </is>
      </c>
      <c r="I13" s="293" t="n"/>
      <c r="J13" s="287" t="n"/>
    </row>
    <row r="14" ht="109.5" customHeight="1" s="260">
      <c r="A14" s="381" t="inlineStr">
        <is>
          <t>🔵
المرحلة 2
شهر 3-6
تفاوض المستأجرين</t>
        </is>
      </c>
      <c r="B14" s="369" t="inlineStr">
        <is>
          <t>• إعداد حقيبة عرض
• اجتماعات مستأجرين
• Pilot كافيهات
• تطوير التكامل</t>
        </is>
      </c>
      <c r="C14" s="293" t="n"/>
      <c r="D14" s="287" t="n"/>
      <c r="E14" s="379" t="inlineStr">
        <is>
          <t>• 3-5 عقود موقعة
• Pilot ناجح للكافيه
• APIs جاهزة
• نموذج مالي مختبر</t>
        </is>
      </c>
      <c r="F14" s="293" t="n"/>
      <c r="G14" s="287" t="n"/>
      <c r="H14" s="380" t="inlineStr">
        <is>
          <t>• رفض المستأجرين
• شروط مالية صعبة
• تعقيد تقني
• تأخر في التوقيع</t>
        </is>
      </c>
      <c r="I14" s="293" t="n"/>
      <c r="J14" s="287" t="n"/>
    </row>
    <row r="15" ht="109.5" customHeight="1" s="260">
      <c r="A15" s="382" t="inlineStr">
        <is>
          <t>🟣
المرحلة 3
شهر 6-12
التوسع التدريجي</t>
        </is>
      </c>
      <c r="B15" s="369" t="inlineStr">
        <is>
          <t>• إطلاق قسم شهرياً
• حملات حصرية
• لوحات تحكم
• توسيع الفريق</t>
        </is>
      </c>
      <c r="C15" s="293" t="n"/>
      <c r="D15" s="287" t="n"/>
      <c r="E15" s="379" t="inlineStr">
        <is>
          <t>• 5+ أقسام نشطة
• 100,000+ مستخدم
• +25% إنفاق
• 1.5M معاملة/شهر</t>
        </is>
      </c>
      <c r="F15" s="293" t="n"/>
      <c r="G15" s="287" t="n"/>
      <c r="H15" s="380" t="inlineStr">
        <is>
          <t>• فشل بعض الأقسام
• تعقيد المضاعفات
• ضغط على الدعم
• شكاوى مستخدمين</t>
        </is>
      </c>
      <c r="I15" s="293" t="n"/>
      <c r="J15" s="287" t="n"/>
    </row>
    <row r="16" ht="109.5" customHeight="1" s="260">
      <c r="A16" s="383" t="inlineStr">
        <is>
          <t>🟠
المرحلة 4
شهر 12-18
النضج الكامل</t>
        </is>
      </c>
      <c r="B16" s="369" t="inlineStr">
        <is>
          <t>• حملات موسمية
• بطاقات مشتركة
• شركاء خارجيون
• توسع لكل المحطات</t>
        </is>
      </c>
      <c r="C16" s="293" t="n"/>
      <c r="D16" s="287" t="n"/>
      <c r="E16" s="379" t="inlineStr">
        <is>
          <t>• 200,000+ مستخدم
• 7+ أقسام
• شركاء سفر/مطاعم
• ROI إيجابي مثبت</t>
        </is>
      </c>
      <c r="F16" s="293" t="n"/>
      <c r="G16" s="287" t="n"/>
      <c r="H16" s="380" t="inlineStr">
        <is>
          <t>• زيادة التكاليف
• منافسة ساسكو
• تشبع السوق
• الاحتفاظ بالعملاء</t>
        </is>
      </c>
      <c r="I16" s="293" t="n"/>
      <c r="J16" s="287" t="n"/>
    </row>
    <row r="17" ht="13.5" customHeight="1" s="260"/>
    <row r="18" ht="30" customHeight="1" s="260">
      <c r="A18" s="272" t="inlineStr">
        <is>
          <t>🗓️ الخط الزمني البصري (Roadmap)</t>
        </is>
      </c>
    </row>
    <row r="19" ht="39.75" customHeight="1" s="260">
      <c r="A19" s="330" t="inlineStr">
        <is>
          <t>النشاط</t>
        </is>
      </c>
      <c r="B19" s="378" t="inlineStr">
        <is>
          <t>Q1
شهر 1-3</t>
        </is>
      </c>
      <c r="C19" s="381" t="inlineStr">
        <is>
          <t>Q2
شهر 4-6</t>
        </is>
      </c>
      <c r="D19" s="382" t="inlineStr">
        <is>
          <t>Q3
شهر 7-9</t>
        </is>
      </c>
      <c r="E19" s="382" t="inlineStr">
        <is>
          <t>Q4
شهر 10-12</t>
        </is>
      </c>
      <c r="F19" s="383" t="inlineStr">
        <is>
          <t>Q5
شهر 13-15</t>
        </is>
      </c>
      <c r="G19" s="383" t="inlineStr">
        <is>
          <t>Q6
شهر 16-18</t>
        </is>
      </c>
      <c r="H19" s="273" t="inlineStr">
        <is>
          <t>الملاحظات الرئيسية</t>
        </is>
      </c>
      <c r="I19" s="293" t="n"/>
      <c r="J19" s="287" t="n"/>
    </row>
    <row r="20" ht="25.5" customHeight="1" s="260">
      <c r="A20" s="384" t="inlineStr">
        <is>
          <t>إطلاق الوقود</t>
        </is>
      </c>
      <c r="B20" s="284" t="inlineStr">
        <is>
          <t>🟢🟢🟢</t>
        </is>
      </c>
      <c r="C20" s="284" t="inlineStr">
        <is>
          <t>🟢🟢</t>
        </is>
      </c>
      <c r="D20" s="284" t="inlineStr">
        <is>
          <t>✅</t>
        </is>
      </c>
      <c r="E20" s="284" t="n"/>
      <c r="F20" s="284" t="n"/>
      <c r="G20" s="284" t="n"/>
      <c r="H20" s="385" t="inlineStr">
        <is>
          <t>50K مستخدم Q1 · المنتج الأساسي</t>
        </is>
      </c>
      <c r="I20" s="293" t="n"/>
      <c r="J20" s="287" t="n"/>
    </row>
    <row r="21" ht="25.5" customHeight="1" s="260">
      <c r="A21" s="384" t="inlineStr">
        <is>
          <t>التسويق الكبير</t>
        </is>
      </c>
      <c r="B21" s="284" t="inlineStr">
        <is>
          <t>🟢🟢🟢</t>
        </is>
      </c>
      <c r="C21" s="284" t="inlineStr">
        <is>
          <t>🟢🟢</t>
        </is>
      </c>
      <c r="D21" s="284" t="inlineStr">
        <is>
          <t>🟢</t>
        </is>
      </c>
      <c r="E21" s="284" t="inlineStr">
        <is>
          <t>🟢</t>
        </is>
      </c>
      <c r="F21" s="284" t="inlineStr">
        <is>
          <t>🟡</t>
        </is>
      </c>
      <c r="G21" s="284" t="inlineStr">
        <is>
          <t>🟡</t>
        </is>
      </c>
      <c r="H21" s="385" t="inlineStr">
        <is>
          <t>حملة إطلاق كبرى ثم متابعة</t>
        </is>
      </c>
      <c r="I21" s="293" t="n"/>
      <c r="J21" s="287" t="n"/>
    </row>
    <row r="22" ht="25.5" customHeight="1" s="260">
      <c r="A22" s="384" t="inlineStr">
        <is>
          <t>تفاوض المستأجرين</t>
        </is>
      </c>
      <c r="B22" s="284" t="n"/>
      <c r="C22" s="284" t="inlineStr">
        <is>
          <t>🟡🟡</t>
        </is>
      </c>
      <c r="D22" s="284" t="inlineStr">
        <is>
          <t>🟡🟡🟡</t>
        </is>
      </c>
      <c r="E22" s="284" t="inlineStr">
        <is>
          <t>🟡🟡</t>
        </is>
      </c>
      <c r="F22" s="284" t="n"/>
      <c r="G22" s="284" t="n"/>
      <c r="H22" s="385" t="inlineStr">
        <is>
          <t>5+ عقود بنهاية Q3</t>
        </is>
      </c>
      <c r="I22" s="293" t="n"/>
      <c r="J22" s="287" t="n"/>
    </row>
    <row r="23" ht="25.5" customHeight="1" s="260">
      <c r="A23" s="384" t="inlineStr">
        <is>
          <t>Pilot الكافيه</t>
        </is>
      </c>
      <c r="B23" s="284" t="n"/>
      <c r="C23" s="284" t="n"/>
      <c r="D23" s="284" t="inlineStr">
        <is>
          <t>🟣 Pilot</t>
        </is>
      </c>
      <c r="E23" s="284" t="inlineStr">
        <is>
          <t>🟣🟣 Launch</t>
        </is>
      </c>
      <c r="F23" s="284" t="n"/>
      <c r="G23" s="284" t="n"/>
      <c r="H23" s="385" t="inlineStr">
        <is>
          <t>محطة واحدة كتجربة</t>
        </is>
      </c>
      <c r="I23" s="293" t="n"/>
      <c r="J23" s="287" t="n"/>
    </row>
    <row r="24" ht="25.5" customHeight="1" s="260">
      <c r="A24" s="384" t="inlineStr">
        <is>
          <t>إضافة المغسلة</t>
        </is>
      </c>
      <c r="B24" s="284" t="n"/>
      <c r="C24" s="284" t="n"/>
      <c r="D24" s="284" t="n"/>
      <c r="E24" s="284" t="inlineStr">
        <is>
          <t>🟣 Pilot</t>
        </is>
      </c>
      <c r="F24" s="284" t="inlineStr">
        <is>
          <t>🟣🟣 Launch</t>
        </is>
      </c>
      <c r="G24" s="284" t="inlineStr">
        <is>
          <t>🟣</t>
        </is>
      </c>
      <c r="H24" s="385" t="inlineStr">
        <is>
          <t>بعد نجاح الكافيه</t>
        </is>
      </c>
      <c r="I24" s="293" t="n"/>
      <c r="J24" s="287" t="n"/>
    </row>
    <row r="25" ht="25.5" customHeight="1" s="260">
      <c r="A25" s="384" t="inlineStr">
        <is>
          <t>إضافة الزيوت/سوبرماركت</t>
        </is>
      </c>
      <c r="B25" s="284" t="n"/>
      <c r="C25" s="284" t="n"/>
      <c r="D25" s="284" t="n"/>
      <c r="E25" s="284" t="n"/>
      <c r="F25" s="284" t="inlineStr">
        <is>
          <t>🟣 Pilot</t>
        </is>
      </c>
      <c r="G25" s="284" t="inlineStr">
        <is>
          <t>🟣🟣 Launch</t>
        </is>
      </c>
      <c r="H25" s="385" t="inlineStr">
        <is>
          <t>أقسام سهلة الإضافة</t>
        </is>
      </c>
      <c r="I25" s="293" t="n"/>
      <c r="J25" s="287" t="n"/>
    </row>
    <row r="26" ht="25.5" customHeight="1" s="260">
      <c r="A26" s="384" t="inlineStr">
        <is>
          <t>حملات موسمية</t>
        </is>
      </c>
      <c r="B26" s="284" t="n"/>
      <c r="C26" s="284" t="inlineStr">
        <is>
          <t>🟢 رمضان</t>
        </is>
      </c>
      <c r="D26" s="284" t="inlineStr">
        <is>
          <t>🟢 صيف</t>
        </is>
      </c>
      <c r="E26" s="284" t="inlineStr">
        <is>
          <t>🟢 شتاء</t>
        </is>
      </c>
      <c r="F26" s="284" t="inlineStr">
        <is>
          <t>🟢 رمضان</t>
        </is>
      </c>
      <c r="G26" s="284" t="inlineStr">
        <is>
          <t>🟢 صيف</t>
        </is>
      </c>
      <c r="H26" s="385" t="inlineStr">
        <is>
          <t>حملات حصرية كل ربع</t>
        </is>
      </c>
      <c r="I26" s="293" t="n"/>
      <c r="J26" s="287" t="n"/>
    </row>
    <row r="27" ht="25.5" customHeight="1" s="260">
      <c r="A27" s="384" t="inlineStr">
        <is>
          <t>بطاقات مشتركة</t>
        </is>
      </c>
      <c r="B27" s="284" t="n"/>
      <c r="C27" s="284" t="n"/>
      <c r="D27" s="284" t="n"/>
      <c r="E27" s="284" t="n"/>
      <c r="F27" s="284" t="inlineStr">
        <is>
          <t>🟠 تحضير</t>
        </is>
      </c>
      <c r="G27" s="284" t="inlineStr">
        <is>
          <t>🟠🟠 إطلاق</t>
        </is>
      </c>
      <c r="H27" s="385" t="inlineStr">
        <is>
          <t>تعاون مع بنك سعودي</t>
        </is>
      </c>
      <c r="I27" s="293" t="n"/>
      <c r="J27" s="287" t="n"/>
    </row>
    <row r="28" ht="13.5" customHeight="1" s="260"/>
    <row r="29" ht="24" customHeight="1" s="260">
      <c r="A29" s="297" t="inlineStr">
        <is>
          <t xml:space="preserve">  درب · خطة التوسع · 2026  </t>
        </is>
      </c>
    </row>
  </sheetData>
  <mergeCells count="45">
    <mergeCell ref="B14:D14"/>
    <mergeCell ref="I6:J6"/>
    <mergeCell ref="E13:G13"/>
    <mergeCell ref="B13:D13"/>
    <mergeCell ref="A4:J4"/>
    <mergeCell ref="A29:J29"/>
    <mergeCell ref="D7:F7"/>
    <mergeCell ref="G8:H8"/>
    <mergeCell ref="E15:G15"/>
    <mergeCell ref="H16:J16"/>
    <mergeCell ref="G7:H7"/>
    <mergeCell ref="H22:J22"/>
    <mergeCell ref="I7:J7"/>
    <mergeCell ref="H13:J13"/>
    <mergeCell ref="H19:J19"/>
    <mergeCell ref="H27:J27"/>
    <mergeCell ref="D9:F9"/>
    <mergeCell ref="H12:J12"/>
    <mergeCell ref="G6:H6"/>
    <mergeCell ref="B15:D15"/>
    <mergeCell ref="D8:F8"/>
    <mergeCell ref="A11:J11"/>
    <mergeCell ref="H15:J15"/>
    <mergeCell ref="E16:G16"/>
    <mergeCell ref="A1:J1"/>
    <mergeCell ref="H24:J24"/>
    <mergeCell ref="D5:F5"/>
    <mergeCell ref="H14:J14"/>
    <mergeCell ref="H23:J23"/>
    <mergeCell ref="G5:H5"/>
    <mergeCell ref="I5:J5"/>
    <mergeCell ref="E12:G12"/>
    <mergeCell ref="I8:J8"/>
    <mergeCell ref="H26:J26"/>
    <mergeCell ref="B16:D16"/>
    <mergeCell ref="H20:J20"/>
    <mergeCell ref="E14:G14"/>
    <mergeCell ref="A18:J18"/>
    <mergeCell ref="A2:J2"/>
    <mergeCell ref="B12:D12"/>
    <mergeCell ref="G9:H9"/>
    <mergeCell ref="D6:F6"/>
    <mergeCell ref="H25:J25"/>
    <mergeCell ref="I9:J9"/>
    <mergeCell ref="H21:J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6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59" min="1" max="1"/>
    <col width="26" customWidth="1" style="259" min="2" max="2"/>
    <col width="12" customWidth="1" style="259" min="3" max="3"/>
    <col width="11" customWidth="1" style="259" min="4" max="4"/>
    <col width="16" customWidth="1" style="259" min="5" max="5"/>
    <col width="11" customWidth="1" style="259" min="6" max="6"/>
    <col width="22" customWidth="1" style="259" min="7" max="7"/>
    <col width="14" customWidth="1" style="259" min="8" max="9"/>
    <col width="13" customWidth="1" style="259" min="10" max="11"/>
    <col width="22" customWidth="1" style="259" min="12" max="12"/>
  </cols>
  <sheetData>
    <row r="1" ht="48" customHeight="1" s="260">
      <c r="A1" s="261" t="inlineStr">
        <is>
          <t xml:space="preserve">  درب · محرر المستأجرين · أداة التفاوض والمتابعة 🤝</t>
        </is>
      </c>
    </row>
    <row r="2" ht="25.5" customHeight="1" s="260">
      <c r="A2" s="322" t="inlineStr">
        <is>
          <t xml:space="preserve">  قاعدة بيانات المستأجرين · بنود التفاوض · النموذج المالي لكل سيناريو</t>
        </is>
      </c>
    </row>
    <row r="3" ht="12" customHeight="1" s="260"/>
    <row r="4" ht="30" customHeight="1" s="260">
      <c r="A4" s="272" t="inlineStr">
        <is>
          <t>📋 قاعدة بيانات المستأجرين المحتملين</t>
        </is>
      </c>
    </row>
    <row r="5" ht="42" customHeight="1" s="260">
      <c r="A5" s="273" t="inlineStr">
        <is>
          <t>#</t>
        </is>
      </c>
      <c r="B5" s="273" t="inlineStr">
        <is>
          <t>اسم المستأجر</t>
        </is>
      </c>
      <c r="C5" s="273" t="inlineStr">
        <is>
          <t>النوع</t>
        </is>
      </c>
      <c r="D5" s="273" t="inlineStr">
        <is>
          <t>عدد المحطات</t>
        </is>
      </c>
      <c r="E5" s="273" t="inlineStr">
        <is>
          <t>الإيرادات الشهرية المقدّرة (ر)</t>
        </is>
      </c>
      <c r="F5" s="273" t="inlineStr">
        <is>
          <t>هامش الربح المقدّر</t>
        </is>
      </c>
      <c r="G5" s="273" t="inlineStr">
        <is>
          <t>نموذج التفاوض</t>
        </is>
      </c>
      <c r="H5" s="273" t="inlineStr">
        <is>
          <t>مساهمة المستأجر/ريال</t>
        </is>
      </c>
      <c r="I5" s="273" t="inlineStr">
        <is>
          <t>حالة التفاوض</t>
        </is>
      </c>
      <c r="J5" s="273" t="inlineStr">
        <is>
          <t>تاريخ آخر اجتماع</t>
        </is>
      </c>
      <c r="K5" s="273" t="inlineStr">
        <is>
          <t>الموعد القادم</t>
        </is>
      </c>
      <c r="L5" s="273" t="inlineStr">
        <is>
          <t>ملاحظات</t>
        </is>
      </c>
    </row>
    <row r="6" ht="24" customHeight="1" s="260">
      <c r="A6" s="303" t="n">
        <v>1</v>
      </c>
      <c r="B6" s="386" t="inlineStr">
        <is>
          <t>سلسلة كافيه (مثال: ستاربكس)</t>
        </is>
      </c>
      <c r="C6" s="387" t="inlineStr">
        <is>
          <t>كافيه</t>
        </is>
      </c>
      <c r="D6" s="387" t="n">
        <v>30</v>
      </c>
      <c r="E6" s="388" t="n">
        <v>150000</v>
      </c>
      <c r="F6" s="389" t="n">
        <v>0.65</v>
      </c>
      <c r="G6" s="387" t="inlineStr">
        <is>
          <t>مشاركة 50/50</t>
        </is>
      </c>
      <c r="H6" s="390" t="n">
        <v>1</v>
      </c>
      <c r="I6" s="387" t="inlineStr">
        <is>
          <t>لم نتواصل</t>
        </is>
      </c>
      <c r="J6" s="391" t="n"/>
      <c r="K6" s="391" t="n"/>
      <c r="L6" s="392" t="inlineStr">
        <is>
          <t>هدف استراتيجي · حضور قوي</t>
        </is>
      </c>
    </row>
    <row r="7" ht="24" customHeight="1" s="260">
      <c r="A7" s="303" t="n">
        <v>2</v>
      </c>
      <c r="B7" s="386" t="inlineStr">
        <is>
          <t>كافيه محلي (دانكن/تيم هورتنز)</t>
        </is>
      </c>
      <c r="C7" s="387" t="inlineStr">
        <is>
          <t>كافيه</t>
        </is>
      </c>
      <c r="D7" s="387" t="n">
        <v>25</v>
      </c>
      <c r="E7" s="388" t="n">
        <v>100000</v>
      </c>
      <c r="F7" s="389" t="n">
        <v>0.55</v>
      </c>
      <c r="G7" s="387" t="inlineStr">
        <is>
          <t>مشاركة 70/30 (المستأجر)</t>
        </is>
      </c>
      <c r="H7" s="390" t="n">
        <v>1.5</v>
      </c>
      <c r="I7" s="387" t="inlineStr">
        <is>
          <t>لم نتواصل</t>
        </is>
      </c>
      <c r="J7" s="391" t="n"/>
      <c r="K7" s="391" t="n"/>
      <c r="L7" s="392" t="inlineStr">
        <is>
          <t>مرونة أعلى من العالمية</t>
        </is>
      </c>
    </row>
    <row r="8" ht="24" customHeight="1" s="260">
      <c r="A8" s="303" t="n">
        <v>3</v>
      </c>
      <c r="B8" s="386" t="inlineStr">
        <is>
          <t>سلسلة سوبرماركت (مثال: العثيم)</t>
        </is>
      </c>
      <c r="C8" s="387" t="inlineStr">
        <is>
          <t>سوبرماركت</t>
        </is>
      </c>
      <c r="D8" s="387" t="n">
        <v>40</v>
      </c>
      <c r="E8" s="388" t="n">
        <v>500000</v>
      </c>
      <c r="F8" s="389" t="n">
        <v>0.2</v>
      </c>
      <c r="G8" s="387" t="inlineStr">
        <is>
          <t>مشاركة 30/70 (درب)</t>
        </is>
      </c>
      <c r="H8" s="390" t="n">
        <v>0.5</v>
      </c>
      <c r="I8" s="387" t="inlineStr">
        <is>
          <t>لم نتواصل</t>
        </is>
      </c>
      <c r="J8" s="391" t="n"/>
      <c r="K8" s="391" t="n"/>
      <c r="L8" s="392" t="inlineStr">
        <is>
          <t>حجم كبير · هامش منخفض</t>
        </is>
      </c>
    </row>
    <row r="9" ht="24" customHeight="1" s="260">
      <c r="A9" s="303" t="n">
        <v>4</v>
      </c>
      <c r="B9" s="386" t="inlineStr">
        <is>
          <t>مغسلة (مثال: Magic Wash)</t>
        </is>
      </c>
      <c r="C9" s="387" t="inlineStr">
        <is>
          <t>مغسلة</t>
        </is>
      </c>
      <c r="D9" s="387" t="n">
        <v>50</v>
      </c>
      <c r="E9" s="388" t="n">
        <v>80000</v>
      </c>
      <c r="F9" s="389" t="n">
        <v>0.7</v>
      </c>
      <c r="G9" s="387" t="inlineStr">
        <is>
          <t>المستأجر يدفع 100%</t>
        </is>
      </c>
      <c r="H9" s="390" t="n">
        <v>2</v>
      </c>
      <c r="I9" s="387" t="inlineStr">
        <is>
          <t>لم نتواصل</t>
        </is>
      </c>
      <c r="J9" s="391" t="n"/>
      <c r="K9" s="391" t="n"/>
      <c r="L9" s="392" t="inlineStr">
        <is>
          <t>خدمة درب الخاصة</t>
        </is>
      </c>
    </row>
    <row r="10" ht="24" customHeight="1" s="260">
      <c r="A10" s="303" t="n">
        <v>5</v>
      </c>
      <c r="B10" s="386" t="inlineStr">
        <is>
          <t>مطعم سريع (مثال: البيك/كودو)</t>
        </is>
      </c>
      <c r="C10" s="387" t="inlineStr">
        <is>
          <t>مطعم</t>
        </is>
      </c>
      <c r="D10" s="387" t="n">
        <v>35</v>
      </c>
      <c r="E10" s="388" t="n">
        <v>200000</v>
      </c>
      <c r="F10" s="389" t="n">
        <v>0.45</v>
      </c>
      <c r="G10" s="387" t="inlineStr">
        <is>
          <t>مشاركة 50/50</t>
        </is>
      </c>
      <c r="H10" s="390" t="n">
        <v>1.5</v>
      </c>
      <c r="I10" s="387" t="inlineStr">
        <is>
          <t>لم نتواصل</t>
        </is>
      </c>
      <c r="J10" s="391" t="n"/>
      <c r="K10" s="391" t="n"/>
      <c r="L10" s="392" t="inlineStr">
        <is>
          <t>حركة عالية · فرص ممتازة</t>
        </is>
      </c>
    </row>
    <row r="11" ht="24" customHeight="1" s="260">
      <c r="A11" s="303" t="n">
        <v>6</v>
      </c>
      <c r="B11" s="393" t="n"/>
      <c r="C11" s="394" t="n"/>
      <c r="D11" s="394" t="n"/>
      <c r="E11" s="395" t="n"/>
      <c r="F11" s="396" t="n"/>
      <c r="G11" s="394" t="n"/>
      <c r="H11" s="397" t="n"/>
      <c r="I11" s="394" t="n"/>
      <c r="J11" s="398" t="n"/>
      <c r="K11" s="398" t="n"/>
      <c r="L11" s="393" t="n"/>
    </row>
    <row r="12" ht="24" customHeight="1" s="260">
      <c r="A12" s="303" t="n">
        <v>7</v>
      </c>
      <c r="B12" s="393" t="n"/>
      <c r="C12" s="394" t="n"/>
      <c r="D12" s="394" t="n"/>
      <c r="E12" s="395" t="n"/>
      <c r="F12" s="396" t="n"/>
      <c r="G12" s="394" t="n"/>
      <c r="H12" s="397" t="n"/>
      <c r="I12" s="394" t="n"/>
      <c r="J12" s="398" t="n"/>
      <c r="K12" s="398" t="n"/>
      <c r="L12" s="393" t="n"/>
    </row>
    <row r="13" ht="24" customHeight="1" s="260">
      <c r="A13" s="303" t="n">
        <v>8</v>
      </c>
      <c r="B13" s="393" t="n"/>
      <c r="C13" s="394" t="n"/>
      <c r="D13" s="394" t="n"/>
      <c r="E13" s="395" t="n"/>
      <c r="F13" s="396" t="n"/>
      <c r="G13" s="394" t="n"/>
      <c r="H13" s="397" t="n"/>
      <c r="I13" s="394" t="n"/>
      <c r="J13" s="398" t="n"/>
      <c r="K13" s="398" t="n"/>
      <c r="L13" s="393" t="n"/>
    </row>
    <row r="14" ht="24" customHeight="1" s="260">
      <c r="A14" s="303" t="n">
        <v>9</v>
      </c>
      <c r="B14" s="393" t="n"/>
      <c r="C14" s="394" t="n"/>
      <c r="D14" s="394" t="n"/>
      <c r="E14" s="395" t="n"/>
      <c r="F14" s="396" t="n"/>
      <c r="G14" s="394" t="n"/>
      <c r="H14" s="397" t="n"/>
      <c r="I14" s="394" t="n"/>
      <c r="J14" s="398" t="n"/>
      <c r="K14" s="398" t="n"/>
      <c r="L14" s="393" t="n"/>
    </row>
    <row r="15" ht="24" customHeight="1" s="260">
      <c r="A15" s="303" t="n">
        <v>10</v>
      </c>
      <c r="B15" s="393" t="n"/>
      <c r="C15" s="394" t="n"/>
      <c r="D15" s="394" t="n"/>
      <c r="E15" s="395" t="n"/>
      <c r="F15" s="396" t="n"/>
      <c r="G15" s="394" t="n"/>
      <c r="H15" s="397" t="n"/>
      <c r="I15" s="394" t="n"/>
      <c r="J15" s="398" t="n"/>
      <c r="K15" s="398" t="n"/>
      <c r="L15" s="393" t="n"/>
    </row>
    <row r="16" ht="24" customHeight="1" s="260">
      <c r="A16" s="303" t="n">
        <v>11</v>
      </c>
      <c r="B16" s="393" t="n"/>
      <c r="C16" s="394" t="n"/>
      <c r="D16" s="394" t="n"/>
      <c r="E16" s="395" t="n"/>
      <c r="F16" s="396" t="n"/>
      <c r="G16" s="394" t="n"/>
      <c r="H16" s="397" t="n"/>
      <c r="I16" s="394" t="n"/>
      <c r="J16" s="398" t="n"/>
      <c r="K16" s="398" t="n"/>
      <c r="L16" s="393" t="n"/>
    </row>
    <row r="17" ht="24" customHeight="1" s="260">
      <c r="A17" s="303" t="n">
        <v>12</v>
      </c>
      <c r="B17" s="393" t="n"/>
      <c r="C17" s="394" t="n"/>
      <c r="D17" s="394" t="n"/>
      <c r="E17" s="395" t="n"/>
      <c r="F17" s="396" t="n"/>
      <c r="G17" s="394" t="n"/>
      <c r="H17" s="397" t="n"/>
      <c r="I17" s="394" t="n"/>
      <c r="J17" s="398" t="n"/>
      <c r="K17" s="398" t="n"/>
      <c r="L17" s="393" t="n"/>
    </row>
    <row r="18" ht="24" customHeight="1" s="260">
      <c r="A18" s="303" t="n">
        <v>13</v>
      </c>
      <c r="B18" s="393" t="n"/>
      <c r="C18" s="394" t="n"/>
      <c r="D18" s="394" t="n"/>
      <c r="E18" s="395" t="n"/>
      <c r="F18" s="396" t="n"/>
      <c r="G18" s="394" t="n"/>
      <c r="H18" s="397" t="n"/>
      <c r="I18" s="394" t="n"/>
      <c r="J18" s="398" t="n"/>
      <c r="K18" s="398" t="n"/>
      <c r="L18" s="393" t="n"/>
    </row>
    <row r="19" ht="24" customHeight="1" s="260">
      <c r="A19" s="303" t="n">
        <v>14</v>
      </c>
      <c r="B19" s="393" t="n"/>
      <c r="C19" s="394" t="n"/>
      <c r="D19" s="394" t="n"/>
      <c r="E19" s="395" t="n"/>
      <c r="F19" s="396" t="n"/>
      <c r="G19" s="394" t="n"/>
      <c r="H19" s="397" t="n"/>
      <c r="I19" s="394" t="n"/>
      <c r="J19" s="398" t="n"/>
      <c r="K19" s="398" t="n"/>
      <c r="L19" s="393" t="n"/>
    </row>
    <row r="20" ht="24" customHeight="1" s="260">
      <c r="A20" s="303" t="n">
        <v>15</v>
      </c>
      <c r="B20" s="393" t="n"/>
      <c r="C20" s="394" t="n"/>
      <c r="D20" s="394" t="n"/>
      <c r="E20" s="395" t="n"/>
      <c r="F20" s="396" t="n"/>
      <c r="G20" s="394" t="n"/>
      <c r="H20" s="397" t="n"/>
      <c r="I20" s="394" t="n"/>
      <c r="J20" s="398" t="n"/>
      <c r="K20" s="398" t="n"/>
      <c r="L20" s="393" t="n"/>
    </row>
    <row r="21" ht="24" customHeight="1" s="260">
      <c r="A21" s="303" t="n">
        <v>16</v>
      </c>
      <c r="B21" s="393" t="n"/>
      <c r="C21" s="394" t="n"/>
      <c r="D21" s="394" t="n"/>
      <c r="E21" s="395" t="n"/>
      <c r="F21" s="396" t="n"/>
      <c r="G21" s="394" t="n"/>
      <c r="H21" s="397" t="n"/>
      <c r="I21" s="394" t="n"/>
      <c r="J21" s="398" t="n"/>
      <c r="K21" s="398" t="n"/>
      <c r="L21" s="393" t="n"/>
    </row>
    <row r="22" ht="24" customHeight="1" s="260">
      <c r="A22" s="303" t="n">
        <v>17</v>
      </c>
      <c r="B22" s="393" t="n"/>
      <c r="C22" s="394" t="n"/>
      <c r="D22" s="394" t="n"/>
      <c r="E22" s="395" t="n"/>
      <c r="F22" s="396" t="n"/>
      <c r="G22" s="394" t="n"/>
      <c r="H22" s="397" t="n"/>
      <c r="I22" s="394" t="n"/>
      <c r="J22" s="398" t="n"/>
      <c r="K22" s="398" t="n"/>
      <c r="L22" s="393" t="n"/>
    </row>
    <row r="23" ht="24" customHeight="1" s="260">
      <c r="A23" s="303" t="n">
        <v>18</v>
      </c>
      <c r="B23" s="393" t="n"/>
      <c r="C23" s="394" t="n"/>
      <c r="D23" s="394" t="n"/>
      <c r="E23" s="395" t="n"/>
      <c r="F23" s="396" t="n"/>
      <c r="G23" s="394" t="n"/>
      <c r="H23" s="397" t="n"/>
      <c r="I23" s="394" t="n"/>
      <c r="J23" s="398" t="n"/>
      <c r="K23" s="398" t="n"/>
      <c r="L23" s="393" t="n"/>
    </row>
    <row r="24" ht="24" customHeight="1" s="260">
      <c r="A24" s="303" t="n">
        <v>19</v>
      </c>
      <c r="B24" s="393" t="n"/>
      <c r="C24" s="394" t="n"/>
      <c r="D24" s="394" t="n"/>
      <c r="E24" s="395" t="n"/>
      <c r="F24" s="396" t="n"/>
      <c r="G24" s="394" t="n"/>
      <c r="H24" s="397" t="n"/>
      <c r="I24" s="394" t="n"/>
      <c r="J24" s="398" t="n"/>
      <c r="K24" s="398" t="n"/>
      <c r="L24" s="393" t="n"/>
    </row>
    <row r="25" ht="24" customHeight="1" s="260">
      <c r="A25" s="303" t="n">
        <v>20</v>
      </c>
      <c r="B25" s="393" t="n"/>
      <c r="C25" s="394" t="n"/>
      <c r="D25" s="394" t="n"/>
      <c r="E25" s="395" t="n"/>
      <c r="F25" s="396" t="n"/>
      <c r="G25" s="394" t="n"/>
      <c r="H25" s="397" t="n"/>
      <c r="I25" s="394" t="n"/>
      <c r="J25" s="398" t="n"/>
      <c r="K25" s="398" t="n"/>
      <c r="L25" s="393" t="n"/>
    </row>
    <row r="26" ht="13.5" customHeight="1" s="260"/>
    <row r="27" ht="30" customHeight="1" s="260">
      <c r="A27" s="329" t="inlineStr">
        <is>
          <t>🤝 نماذج التفاوض الأربعة · أيها يناسب كل مستأجر</t>
        </is>
      </c>
    </row>
    <row r="28" ht="36" customHeight="1" s="260">
      <c r="A28" s="330" t="inlineStr">
        <is>
          <t>النموذج</t>
        </is>
      </c>
      <c r="B28" s="330" t="inlineStr">
        <is>
          <t>مساهمة المستأجر</t>
        </is>
      </c>
      <c r="C28" s="330" t="inlineStr">
        <is>
          <t>مساهمة درب</t>
        </is>
      </c>
      <c r="D28" s="330" t="inlineStr">
        <is>
          <t>مناسب لمن؟</t>
        </is>
      </c>
      <c r="E28" s="293" t="n"/>
      <c r="F28" s="293" t="n"/>
      <c r="G28" s="287" t="n"/>
      <c r="H28" s="330" t="inlineStr">
        <is>
          <t>حجة التفاوض</t>
        </is>
      </c>
      <c r="I28" s="293" t="n"/>
      <c r="J28" s="293" t="n"/>
      <c r="K28" s="287" t="n"/>
      <c r="L28" s="330" t="inlineStr">
        <is>
          <t>التقييم</t>
        </is>
      </c>
    </row>
    <row r="29" ht="79.5" customHeight="1" s="260">
      <c r="A29" s="314" t="inlineStr">
        <is>
          <t>🟢 المستأجر 100%</t>
        </is>
      </c>
      <c r="B29" s="399" t="inlineStr">
        <is>
          <t>2 هللة/ريال</t>
        </is>
      </c>
      <c r="C29" s="370" t="inlineStr">
        <is>
          <t>0</t>
        </is>
      </c>
      <c r="D29" s="369" t="inlineStr">
        <is>
          <t>هامش عالي (&gt;60%) · المستأجر الذي يحتاج عملاء درب أكثر مما تحتاجه درب · مغاسل/كافيهات صغيرة محلية</t>
        </is>
      </c>
      <c r="E29" s="293" t="n"/>
      <c r="F29" s="293" t="n"/>
      <c r="G29" s="287" t="n"/>
      <c r="H29" s="400" t="inlineStr">
        <is>
          <t>العميل يأتيك من تطبيق درب مجاناً · أنت تربح من المبيعات الإضافية · المقابل بسيط: 2 هللة من كل ريال (أقل من 1% من إيرادك)</t>
        </is>
      </c>
      <c r="I29" s="293" t="n"/>
      <c r="J29" s="293" t="n"/>
      <c r="K29" s="287" t="n"/>
      <c r="L29" s="292" t="inlineStr">
        <is>
          <t>⭐⭐⭐⭐⭐ الأفضل لدرب</t>
        </is>
      </c>
    </row>
    <row r="30" ht="79.5" customHeight="1" s="260">
      <c r="A30" s="309" t="inlineStr">
        <is>
          <t>🔵 مشاركة 70/30 (المستأجر)</t>
        </is>
      </c>
      <c r="B30" s="399" t="inlineStr">
        <is>
          <t>1.5 هللة/ريال</t>
        </is>
      </c>
      <c r="C30" s="370" t="inlineStr">
        <is>
          <t>0.5 هللة/ريال</t>
        </is>
      </c>
      <c r="D30" s="369" t="inlineStr">
        <is>
          <t>هامش متوسط (40-60%) · مستأجر متوسط الحجم · مطاعم متوسطة · سلاسل صغيرة محلية</t>
        </is>
      </c>
      <c r="E30" s="293" t="n"/>
      <c r="F30" s="293" t="n"/>
      <c r="G30" s="287" t="n"/>
      <c r="H30" s="400" t="inlineStr">
        <is>
          <t>أنت تتحمل 70% فقط · درب تشارك معك 30% · في المقابل تحصل على بيانات العملاء + تسويق مجاني داخل التطبيق</t>
        </is>
      </c>
      <c r="I30" s="293" t="n"/>
      <c r="J30" s="293" t="n"/>
      <c r="K30" s="287" t="n"/>
      <c r="L30" s="292" t="inlineStr">
        <is>
          <t>⭐⭐⭐⭐ ممتاز</t>
        </is>
      </c>
    </row>
    <row r="31" ht="79.5" customHeight="1" s="260">
      <c r="A31" s="401" t="inlineStr">
        <is>
          <t>🟡 مشاركة 50/50</t>
        </is>
      </c>
      <c r="B31" s="399" t="inlineStr">
        <is>
          <t>1 هللة/ريال</t>
        </is>
      </c>
      <c r="C31" s="370" t="inlineStr">
        <is>
          <t>1 هللة/ريال</t>
        </is>
      </c>
      <c r="D31" s="369" t="inlineStr">
        <is>
          <t>هامش متوسط · مستأجر كبير له ثقل تفاوضي · سلاسل عالمية · شركاء استراتيجيون</t>
        </is>
      </c>
      <c r="E31" s="293" t="n"/>
      <c r="F31" s="293" t="n"/>
      <c r="G31" s="287" t="n"/>
      <c r="H31" s="400" t="inlineStr">
        <is>
          <t>شراكة عادلة 50/50 · كلانا يستفيد · درب توفر تسويق وقاعدة بيانات · أنت توفر الخدمة والخصومات</t>
        </is>
      </c>
      <c r="I31" s="293" t="n"/>
      <c r="J31" s="293" t="n"/>
      <c r="K31" s="287" t="n"/>
      <c r="L31" s="402" t="inlineStr">
        <is>
          <t>⭐⭐⭐ متوازن</t>
        </is>
      </c>
    </row>
    <row r="32" ht="79.5" customHeight="1" s="260">
      <c r="A32" s="403" t="inlineStr">
        <is>
          <t>🟠 مشاركة 30/70 (درب)</t>
        </is>
      </c>
      <c r="B32" s="399" t="inlineStr">
        <is>
          <t>0.5 هللة/ريال</t>
        </is>
      </c>
      <c r="C32" s="370" t="inlineStr">
        <is>
          <t>1.5 هللة/ريال</t>
        </is>
      </c>
      <c r="D32" s="369" t="inlineStr">
        <is>
          <t>هامش منخفض (&lt;25%) · سوبرماركت · مستأجر استراتيجي مهم لكن صعب الإقناع · حالات خاصة</t>
        </is>
      </c>
      <c r="E32" s="293" t="n"/>
      <c r="F32" s="293" t="n"/>
      <c r="G32" s="287" t="n"/>
      <c r="H32" s="400" t="inlineStr">
        <is>
          <t>درب تتحمل 70% · أنت 30% فقط · هذا لأننا نقدّر هامشك الضعيف · لكنك تساعدنا في تكامل المنظومة</t>
        </is>
      </c>
      <c r="I32" s="293" t="n"/>
      <c r="J32" s="293" t="n"/>
      <c r="K32" s="287" t="n"/>
      <c r="L32" s="402" t="inlineStr">
        <is>
          <t>⭐⭐ مكلف لدرب</t>
        </is>
      </c>
    </row>
    <row r="33" ht="13.5" customHeight="1" s="260"/>
    <row r="34" ht="30" customHeight="1" s="260">
      <c r="A34" s="336" t="inlineStr">
        <is>
          <t>💰 حاسبة الأثر المالي لكل مستأجر</t>
        </is>
      </c>
    </row>
    <row r="35" ht="27.75" customHeight="1" s="260">
      <c r="A35" s="404" t="inlineStr">
        <is>
          <t>📝 أدخل بيانات المستأجر</t>
        </is>
      </c>
      <c r="B35" s="293" t="n"/>
      <c r="C35" s="293" t="n"/>
      <c r="D35" s="293" t="n"/>
      <c r="E35" s="293" t="n"/>
      <c r="F35" s="293" t="n"/>
      <c r="G35" s="293" t="n"/>
      <c r="H35" s="293" t="n"/>
      <c r="I35" s="293" t="n"/>
      <c r="J35" s="293" t="n"/>
      <c r="K35" s="293" t="n"/>
      <c r="L35" s="287" t="n"/>
    </row>
    <row r="36" ht="31.5" customHeight="1" s="260">
      <c r="A36" s="296" t="inlineStr">
        <is>
          <t>اسم المستأجر</t>
        </is>
      </c>
      <c r="B36" s="287" t="n"/>
      <c r="C36" s="405" t="inlineStr">
        <is>
          <t>سلسلة كافيه افتراضية</t>
        </is>
      </c>
      <c r="D36" s="287" t="n"/>
      <c r="E36" s="365" t="inlineStr">
        <is>
          <t>← اسم الشركة المحتمل</t>
        </is>
      </c>
      <c r="F36" s="293" t="n"/>
      <c r="G36" s="293" t="n"/>
      <c r="H36" s="293" t="n"/>
      <c r="I36" s="293" t="n"/>
      <c r="J36" s="293" t="n"/>
      <c r="K36" s="293" t="n"/>
      <c r="L36" s="287" t="n"/>
    </row>
    <row r="37" ht="31.5" customHeight="1" s="260">
      <c r="A37" s="296" t="inlineStr">
        <is>
          <t>الإيرادات الشهرية المقدّرة (ريال)</t>
        </is>
      </c>
      <c r="B37" s="287" t="n"/>
      <c r="C37" s="406" t="n">
        <v>150000</v>
      </c>
      <c r="D37" s="287" t="n"/>
      <c r="E37" s="365" t="inlineStr">
        <is>
          <t>← متوسط مبيعاتها داخل محطات درب</t>
        </is>
      </c>
      <c r="F37" s="293" t="n"/>
      <c r="G37" s="293" t="n"/>
      <c r="H37" s="293" t="n"/>
      <c r="I37" s="293" t="n"/>
      <c r="J37" s="293" t="n"/>
      <c r="K37" s="293" t="n"/>
      <c r="L37" s="287" t="n"/>
    </row>
    <row r="38" ht="31.5" customHeight="1" s="260">
      <c r="A38" s="296" t="inlineStr">
        <is>
          <t>هامش الربح المقدّر (%)</t>
        </is>
      </c>
      <c r="B38" s="287" t="n"/>
      <c r="C38" s="407" t="n">
        <v>0.65</v>
      </c>
      <c r="D38" s="287" t="n"/>
      <c r="E38" s="365" t="inlineStr">
        <is>
          <t>← هامش الربح الإجمالي</t>
        </is>
      </c>
      <c r="F38" s="293" t="n"/>
      <c r="G38" s="293" t="n"/>
      <c r="H38" s="293" t="n"/>
      <c r="I38" s="293" t="n"/>
      <c r="J38" s="293" t="n"/>
      <c r="K38" s="293" t="n"/>
      <c r="L38" s="287" t="n"/>
    </row>
    <row r="39" ht="31.5" customHeight="1" s="260">
      <c r="A39" s="296" t="inlineStr">
        <is>
          <t>مساهمة المستأجر (هللة/ريال)</t>
        </is>
      </c>
      <c r="B39" s="287" t="n"/>
      <c r="C39" s="408" t="n">
        <v>1</v>
      </c>
      <c r="D39" s="287" t="n"/>
      <c r="E39" s="365" t="inlineStr">
        <is>
          <t>← كم تدفع لدرب من كل ريال</t>
        </is>
      </c>
      <c r="F39" s="293" t="n"/>
      <c r="G39" s="293" t="n"/>
      <c r="H39" s="293" t="n"/>
      <c r="I39" s="293" t="n"/>
      <c r="J39" s="293" t="n"/>
      <c r="K39" s="293" t="n"/>
      <c r="L39" s="287" t="n"/>
    </row>
    <row r="40" ht="13.5" customHeight="1" s="260"/>
    <row r="41" ht="30" customHeight="1" s="260">
      <c r="A41" s="409" t="inlineStr">
        <is>
          <t>📊 النتائج المحسوبة تلقائياً</t>
        </is>
      </c>
      <c r="B41" s="293" t="n"/>
      <c r="C41" s="293" t="n"/>
      <c r="D41" s="293" t="n"/>
      <c r="E41" s="293" t="n"/>
      <c r="F41" s="293" t="n"/>
      <c r="G41" s="293" t="n"/>
      <c r="H41" s="293" t="n"/>
      <c r="I41" s="293" t="n"/>
      <c r="J41" s="293" t="n"/>
      <c r="K41" s="293" t="n"/>
      <c r="L41" s="287" t="n"/>
    </row>
    <row r="42" ht="36" customHeight="1" s="260">
      <c r="A42" s="341" t="inlineStr">
        <is>
          <t>📅 الإيرادات السنوية</t>
        </is>
      </c>
      <c r="B42" s="293" t="n"/>
      <c r="C42" s="287" t="n"/>
      <c r="D42" s="410">
        <f>C37*12</f>
        <v/>
      </c>
      <c r="E42" s="293" t="n"/>
      <c r="F42" s="287" t="n"/>
      <c r="G42" s="341" t="inlineStr">
        <is>
          <t>💰 الربح السنوي للمستأجر</t>
        </is>
      </c>
      <c r="H42" s="293" t="n"/>
      <c r="I42" s="287" t="n"/>
      <c r="J42" s="411">
        <f>D42*C38</f>
        <v/>
      </c>
      <c r="K42" s="293" t="n"/>
      <c r="L42" s="287" t="n"/>
    </row>
    <row r="43" ht="36" customHeight="1" s="260">
      <c r="A43" s="341" t="inlineStr">
        <is>
          <t>💸 تكلفة النقاط على المستأجر/سنة</t>
        </is>
      </c>
      <c r="B43" s="293" t="n"/>
      <c r="C43" s="287" t="n"/>
      <c r="D43" s="412">
        <f>D42*C39/100</f>
        <v/>
      </c>
      <c r="E43" s="293" t="n"/>
      <c r="F43" s="287" t="n"/>
      <c r="G43" s="341" t="inlineStr">
        <is>
          <t>📊 % من ربح المستأجر</t>
        </is>
      </c>
      <c r="H43" s="293" t="n"/>
      <c r="I43" s="287" t="n"/>
      <c r="J43" s="413">
        <f>D43/J42</f>
        <v/>
      </c>
      <c r="K43" s="293" t="n"/>
      <c r="L43" s="287" t="n"/>
    </row>
    <row r="44" ht="36" customHeight="1" s="260">
      <c r="A44" s="341" t="inlineStr">
        <is>
          <t>📈 الزيادة المتوقعة (15%)</t>
        </is>
      </c>
      <c r="B44" s="293" t="n"/>
      <c r="C44" s="287" t="n"/>
      <c r="D44" s="414">
        <f>D42*0.15</f>
        <v/>
      </c>
      <c r="E44" s="293" t="n"/>
      <c r="F44" s="287" t="n"/>
      <c r="G44" s="341" t="inlineStr">
        <is>
          <t>💎 الربح الإضافي المتوقع</t>
        </is>
      </c>
      <c r="H44" s="293" t="n"/>
      <c r="I44" s="287" t="n"/>
      <c r="J44" s="414">
        <f>D44*C38</f>
        <v/>
      </c>
      <c r="K44" s="293" t="n"/>
      <c r="L44" s="287" t="n"/>
    </row>
    <row r="45" ht="43.5" customHeight="1" s="260">
      <c r="A45" s="415" t="inlineStr">
        <is>
          <t>✅ صافي العائد للمستأجر</t>
        </is>
      </c>
      <c r="B45" s="293" t="n"/>
      <c r="C45" s="287" t="n"/>
      <c r="D45" s="416">
        <f>J44-D43</f>
        <v/>
      </c>
      <c r="E45" s="293" t="n"/>
      <c r="F45" s="287" t="n"/>
      <c r="G45" s="415" t="inlineStr">
        <is>
          <t>🎯 ROI للمستأجر</t>
        </is>
      </c>
      <c r="H45" s="293" t="n"/>
      <c r="I45" s="287" t="n"/>
      <c r="J45" s="417">
        <f>D45/D43</f>
        <v/>
      </c>
      <c r="K45" s="293" t="n"/>
      <c r="L45" s="287" t="n"/>
    </row>
    <row r="46" ht="13.5" customHeight="1" s="260"/>
    <row r="47" ht="31.5" customHeight="1" s="260">
      <c r="A47" s="358" t="inlineStr">
        <is>
          <t>💡 جرّب · غيّر القيم في الخلايا الصفراء وشوف كيف تتغير النتائج لحظياً · ROI &gt; 100% يعني المستأجر سيوافق بالتأكيد</t>
        </is>
      </c>
      <c r="B47" s="293" t="n"/>
      <c r="C47" s="293" t="n"/>
      <c r="D47" s="293" t="n"/>
      <c r="E47" s="293" t="n"/>
      <c r="F47" s="293" t="n"/>
      <c r="G47" s="293" t="n"/>
      <c r="H47" s="293" t="n"/>
      <c r="I47" s="293" t="n"/>
      <c r="J47" s="293" t="n"/>
      <c r="K47" s="293" t="n"/>
      <c r="L47" s="287" t="n"/>
    </row>
    <row r="48" ht="13.5" customHeight="1" s="260"/>
    <row r="49" ht="30" customHeight="1" s="260">
      <c r="A49" s="285" t="inlineStr">
        <is>
          <t>🗣️ سكريبت محادثة التفاوض · جاهز للاستخدام</t>
        </is>
      </c>
    </row>
    <row r="50" ht="36" customHeight="1" s="260">
      <c r="A50" s="273" t="inlineStr">
        <is>
          <t>#</t>
        </is>
      </c>
      <c r="B50" s="273" t="inlineStr">
        <is>
          <t>المرحلة</t>
        </is>
      </c>
      <c r="C50" s="273" t="inlineStr">
        <is>
          <t>المدة</t>
        </is>
      </c>
      <c r="D50" s="273" t="inlineStr">
        <is>
          <t>الهدف</t>
        </is>
      </c>
      <c r="E50" s="273" t="inlineStr">
        <is>
          <t>السكريبت المقترح</t>
        </is>
      </c>
      <c r="F50" s="293" t="n"/>
      <c r="G50" s="293" t="n"/>
      <c r="H50" s="293" t="n"/>
      <c r="I50" s="287" t="n"/>
      <c r="J50" s="273" t="inlineStr">
        <is>
          <t>نصيحة احترافية</t>
        </is>
      </c>
      <c r="K50" s="293" t="n"/>
      <c r="L50" s="287" t="n"/>
    </row>
    <row r="51" ht="109.5" customHeight="1" s="260">
      <c r="A51" s="418" t="inlineStr">
        <is>
          <t>1</t>
        </is>
      </c>
      <c r="B51" s="404" t="inlineStr">
        <is>
          <t>الافتتاح</t>
        </is>
      </c>
      <c r="C51" s="356" t="inlineStr">
        <is>
          <t>5 دقائق</t>
        </is>
      </c>
      <c r="D51" s="419" t="inlineStr">
        <is>
          <t>بناء الثقة وتحديد السياق</t>
        </is>
      </c>
      <c r="E51" s="369" t="inlineStr">
        <is>
          <t>«شكراً لاستضافتنا. درب اليوم 173 محطة وننمو بسرعة. أطلقنا برنامج تانكي للمكافآت وفي يومه الأول وصلنا 50K مستخدم نشط. اليوم نريد نتحدث كيف نوسّع التجربة لتشمل [اسم المستأجر].»</t>
        </is>
      </c>
      <c r="F51" s="293" t="n"/>
      <c r="G51" s="293" t="n"/>
      <c r="H51" s="293" t="n"/>
      <c r="I51" s="287" t="n"/>
      <c r="J51" s="420" t="inlineStr">
        <is>
          <t>لا تتكلم عن المال في البداية · ابدأ بأرقام درب القوية</t>
        </is>
      </c>
      <c r="K51" s="293" t="n"/>
      <c r="L51" s="287" t="n"/>
    </row>
    <row r="52" ht="109.5" customHeight="1" s="260">
      <c r="A52" s="418" t="inlineStr">
        <is>
          <t>2</t>
        </is>
      </c>
      <c r="B52" s="404" t="inlineStr">
        <is>
          <t>عرض القيمة</t>
        </is>
      </c>
      <c r="C52" s="356" t="inlineStr">
        <is>
          <t>10 دقائق</t>
        </is>
      </c>
      <c r="D52" s="419" t="inlineStr">
        <is>
          <t>إظهار الفائدة قبل التكلفة</t>
        </is>
      </c>
      <c r="E52" s="369" t="inlineStr">
        <is>
          <t>«قاعدة عملاء درب الـ 50K هي عملاؤك المحتملون. عندنا بيانات تظهر أن العميل الذي يدخل المحطة للوقود يصرف +30% إذا وجد خدمات إضافية. لو دخل تطبيقنا ورأى عرضكم، سيدخل عندكم.»</t>
        </is>
      </c>
      <c r="F52" s="293" t="n"/>
      <c r="G52" s="293" t="n"/>
      <c r="H52" s="293" t="n"/>
      <c r="I52" s="287" t="n"/>
      <c r="J52" s="420" t="inlineStr">
        <is>
          <t>استخدم أرقاماً واقعية · اعرض شاشة التطبيق إن أمكن</t>
        </is>
      </c>
      <c r="K52" s="293" t="n"/>
      <c r="L52" s="287" t="n"/>
    </row>
    <row r="53" ht="109.5" customHeight="1" s="260">
      <c r="A53" s="418" t="inlineStr">
        <is>
          <t>3</t>
        </is>
      </c>
      <c r="B53" s="404" t="inlineStr">
        <is>
          <t>عرض النموذج</t>
        </is>
      </c>
      <c r="C53" s="356" t="inlineStr">
        <is>
          <t>10 دقائق</t>
        </is>
      </c>
      <c r="D53" s="419" t="inlineStr">
        <is>
          <t>تقديم الخيار الأنسب</t>
        </is>
      </c>
      <c r="E53" s="369" t="inlineStr">
        <is>
          <t>«اقتراحنا بسيط: عملاء درب يحصلون على نقاط عند الشراء منكم. مقابل ذلك، أنتم تساهمون بـ [حسب النموذج: 2 هللة / 1.5 / 1 / 0.5] من كل ريال مبيعات. هذا [أقل من 1% من إيراداتكم].»</t>
        </is>
      </c>
      <c r="F53" s="293" t="n"/>
      <c r="G53" s="293" t="n"/>
      <c r="H53" s="293" t="n"/>
      <c r="I53" s="287" t="n"/>
      <c r="J53" s="420" t="inlineStr">
        <is>
          <t>اختر النموذج حسب حجمهم وهامش ربحهم</t>
        </is>
      </c>
      <c r="K53" s="293" t="n"/>
      <c r="L53" s="287" t="n"/>
    </row>
    <row r="54" ht="109.5" customHeight="1" s="260">
      <c r="A54" s="418" t="inlineStr">
        <is>
          <t>4</t>
        </is>
      </c>
      <c r="B54" s="404" t="inlineStr">
        <is>
          <t>الرد على الاعتراضات</t>
        </is>
      </c>
      <c r="C54" s="356" t="inlineStr">
        <is>
          <t>15 دقيقة</t>
        </is>
      </c>
      <c r="D54" s="419" t="inlineStr">
        <is>
          <t>إزالة المخاوف</t>
        </is>
      </c>
      <c r="E54" s="369" t="inlineStr">
        <is>
          <t>⚠️ إعتراض شائع: «هذا ضغط على هامشي»
→ ردك: «لكنك تكسب +15% مبيعات على الأقل = +X ريال صافي بعد التكاليف»
⚠️ إعتراض شائع: «التكامل التقني صعب»
→ ردك: «نوفر API بسيط · فريقنا التقني يدعمك في الإعداد · أسبوع واحد فقط»</t>
        </is>
      </c>
      <c r="F54" s="293" t="n"/>
      <c r="G54" s="293" t="n"/>
      <c r="H54" s="293" t="n"/>
      <c r="I54" s="287" t="n"/>
      <c r="J54" s="420" t="inlineStr">
        <is>
          <t>تحضّر للاعتراضات مسبقاً · لا تتفاجأ</t>
        </is>
      </c>
      <c r="K54" s="293" t="n"/>
      <c r="L54" s="287" t="n"/>
    </row>
    <row r="55" ht="109.5" customHeight="1" s="260">
      <c r="A55" s="418" t="inlineStr">
        <is>
          <t>5</t>
        </is>
      </c>
      <c r="B55" s="404" t="inlineStr">
        <is>
          <t>التفاوض على التفاصيل</t>
        </is>
      </c>
      <c r="C55" s="356" t="inlineStr">
        <is>
          <t>15 دقيقة</t>
        </is>
      </c>
      <c r="D55" s="419" t="inlineStr">
        <is>
          <t>الوصول لاتفاق</t>
        </is>
      </c>
      <c r="E55" s="369" t="inlineStr">
        <is>
          <t>«لنبدأ بـ Pilot 3 شهور في محطة واحدة. لو حقق نتائج، نوسّع للجميع. خلال هذي الفترة، لا توجد التزامات طويلة المدى. ما رأيكم؟»</t>
        </is>
      </c>
      <c r="F55" s="293" t="n"/>
      <c r="G55" s="293" t="n"/>
      <c r="H55" s="293" t="n"/>
      <c r="I55" s="287" t="n"/>
      <c r="J55" s="420" t="inlineStr">
        <is>
          <t>Pilot يخفض المقاومة بنسبة 70% · ابدأ صغير</t>
        </is>
      </c>
      <c r="K55" s="293" t="n"/>
      <c r="L55" s="287" t="n"/>
    </row>
    <row r="56" ht="109.5" customHeight="1" s="260">
      <c r="A56" s="418" t="inlineStr">
        <is>
          <t>6</t>
        </is>
      </c>
      <c r="B56" s="404" t="inlineStr">
        <is>
          <t>الإغلاق</t>
        </is>
      </c>
      <c r="C56" s="356" t="inlineStr">
        <is>
          <t>5 دقائق</t>
        </is>
      </c>
      <c r="D56" s="419" t="inlineStr">
        <is>
          <t>تحديد الخطوة التالية</t>
        </is>
      </c>
      <c r="E56" s="369" t="inlineStr">
        <is>
          <t>«ممتاز. سأرسل لكم اتفاقية الـ Pilot خلال 3 أيام. أقترح اجتماع متابعة الأسبوع القادم لمراجعة الوثائق. هل يوم [التاريخ] مناسب؟»</t>
        </is>
      </c>
      <c r="F56" s="293" t="n"/>
      <c r="G56" s="293" t="n"/>
      <c r="H56" s="293" t="n"/>
      <c r="I56" s="287" t="n"/>
      <c r="J56" s="420" t="inlineStr">
        <is>
          <t>لا تخرج من الاجتماع بدون موعد محدد للخطوة التالية</t>
        </is>
      </c>
      <c r="K56" s="293" t="n"/>
      <c r="L56" s="287" t="n"/>
    </row>
    <row r="57" ht="13.5" customHeight="1" s="260"/>
    <row r="58" ht="30" customHeight="1" s="260">
      <c r="A58" s="421" t="inlineStr">
        <is>
          <t>⚠️ الاعتراضات الشائعة وكيف تردّ عليها</t>
        </is>
      </c>
    </row>
    <row r="59" ht="36" customHeight="1" s="260">
      <c r="A59" s="330" t="inlineStr">
        <is>
          <t>الاعتراض</t>
        </is>
      </c>
      <c r="B59" s="293" t="n"/>
      <c r="C59" s="293" t="n"/>
      <c r="D59" s="287" t="n"/>
      <c r="E59" s="330" t="inlineStr">
        <is>
          <t>ردك الذكي</t>
        </is>
      </c>
      <c r="F59" s="293" t="n"/>
      <c r="G59" s="293" t="n"/>
      <c r="H59" s="293" t="n"/>
      <c r="I59" s="287" t="n"/>
      <c r="J59" s="330" t="inlineStr">
        <is>
          <t>دعم بالأرقام</t>
        </is>
      </c>
      <c r="K59" s="293" t="n"/>
      <c r="L59" s="287" t="n"/>
    </row>
    <row r="60" ht="79.5" customHeight="1" s="260">
      <c r="A60" s="422" t="inlineStr">
        <is>
          <t>🔴 «التكلفة عالية ولا نقدر»</t>
        </is>
      </c>
      <c r="B60" s="293" t="n"/>
      <c r="C60" s="293" t="n"/>
      <c r="D60" s="287" t="n"/>
      <c r="E60" s="379" t="inlineStr">
        <is>
          <t>«التكلفة الفعلية أقل مما تتوقع. أنت تدفع فقط من المبيعات التي تأتيك من تطبيق درب. لو لم يأتك عميل، لا تدفع شيئاً.»</t>
        </is>
      </c>
      <c r="F60" s="293" t="n"/>
      <c r="G60" s="293" t="n"/>
      <c r="H60" s="293" t="n"/>
      <c r="I60" s="287" t="n"/>
      <c r="J60" s="423" t="inlineStr">
        <is>
          <t>تكلفة = 1% من المبيعات
العائد = +15% مبيعات
صافي = +14% ربح</t>
        </is>
      </c>
      <c r="K60" s="293" t="n"/>
      <c r="L60" s="287" t="n"/>
    </row>
    <row r="61" ht="79.5" customHeight="1" s="260">
      <c r="A61" s="422" t="inlineStr">
        <is>
          <t>🔴 «التكامل التقني معقد»</t>
        </is>
      </c>
      <c r="B61" s="293" t="n"/>
      <c r="C61" s="293" t="n"/>
      <c r="D61" s="287" t="n"/>
      <c r="E61" s="379" t="inlineStr">
        <is>
          <t>«نوفر API بسيط جداً. فريقنا التقني يدعمك في الإعداد مجاناً. التكامل يأخذ أسبوع واحد فقط. عندنا 15 شريك مدمج بنجاح.»</t>
        </is>
      </c>
      <c r="F61" s="293" t="n"/>
      <c r="G61" s="293" t="n"/>
      <c r="H61" s="293" t="n"/>
      <c r="I61" s="287" t="n"/>
      <c r="J61" s="423" t="inlineStr">
        <is>
          <t>مدة التكامل: 5-7 أيام
الدعم: مجاني
الصيانة: لمدة سنة</t>
        </is>
      </c>
      <c r="K61" s="293" t="n"/>
      <c r="L61" s="287" t="n"/>
    </row>
    <row r="62" ht="79.5" customHeight="1" s="260">
      <c r="A62" s="422" t="inlineStr">
        <is>
          <t>🔴 «عندنا برامج ولاء خاصة بنا»</t>
        </is>
      </c>
      <c r="B62" s="293" t="n"/>
      <c r="C62" s="293" t="n"/>
      <c r="D62" s="287" t="n"/>
      <c r="E62" s="379" t="inlineStr">
        <is>
          <t>«ممتاز! تانكي لا يحل محلها. هو يضيف طبقة إضافية. العميل يكسب نقاطك ونقاط تانكي معاً = ضعف الجاذبية.»</t>
        </is>
      </c>
      <c r="F62" s="293" t="n"/>
      <c r="G62" s="293" t="n"/>
      <c r="H62" s="293" t="n"/>
      <c r="I62" s="287" t="n"/>
      <c r="J62" s="423" t="inlineStr">
        <is>
          <t>برامج موازية = نمو 30%
بدلاً من 15% منفصلة</t>
        </is>
      </c>
      <c r="K62" s="293" t="n"/>
      <c r="L62" s="287" t="n"/>
    </row>
    <row r="63" ht="79.5" customHeight="1" s="260">
      <c r="A63" s="422" t="inlineStr">
        <is>
          <t>🔴 «نريد ضمانات على زيادة المبيعات»</t>
        </is>
      </c>
      <c r="B63" s="293" t="n"/>
      <c r="C63" s="293" t="n"/>
      <c r="D63" s="287" t="n"/>
      <c r="E63" s="379" t="inlineStr">
        <is>
          <t>«نقدّم لك Pilot لمدة 3 شهور بدون التزامات. لو لم تحقق زيادة 10% على الأقل، تنسحب بدون أي رسوم.»</t>
        </is>
      </c>
      <c r="F63" s="293" t="n"/>
      <c r="G63" s="293" t="n"/>
      <c r="H63" s="293" t="n"/>
      <c r="I63" s="287" t="n"/>
      <c r="J63" s="423" t="inlineStr">
        <is>
          <t>Pilot = 3 شهور
Low risk
Easy exit</t>
        </is>
      </c>
      <c r="K63" s="293" t="n"/>
      <c r="L63" s="287" t="n"/>
    </row>
    <row r="64" ht="79.5" customHeight="1" s="260">
      <c r="A64" s="422" t="inlineStr">
        <is>
          <t>🔴 «نريد نسبة أقل (نصف ما تطلبه)»</t>
        </is>
      </c>
      <c r="B64" s="293" t="n"/>
      <c r="C64" s="293" t="n"/>
      <c r="D64" s="287" t="n"/>
      <c r="E64" s="379" t="inlineStr">
        <is>
          <t>«النسبة الحالية مدروسة بناءً على هامش ربحك. لكن ما رأيك بهيكلة مختلفة: نسبة منخفضة + رسم اشتراك سنوي ثابت؟»</t>
        </is>
      </c>
      <c r="F64" s="293" t="n"/>
      <c r="G64" s="293" t="n"/>
      <c r="H64" s="293" t="n"/>
      <c r="I64" s="287" t="n"/>
      <c r="J64" s="423" t="inlineStr">
        <is>
          <t>مرونة في النموذج
بدائل متعددة
يعطي إحساس بالربح</t>
        </is>
      </c>
      <c r="K64" s="293" t="n"/>
      <c r="L64" s="287" t="n"/>
    </row>
    <row r="65" ht="79.5" customHeight="1" s="260">
      <c r="A65" s="422" t="inlineStr">
        <is>
          <t>🔴 «لا نثق في حماية بياناتنا»</t>
        </is>
      </c>
      <c r="B65" s="293" t="n"/>
      <c r="C65" s="293" t="n"/>
      <c r="D65" s="287" t="n"/>
      <c r="E65" s="379" t="inlineStr">
        <is>
          <t>«درب ملتزمة بنظام حماية البيانات السعودي (PDPL). لن نشارك أي بيانات حساسة لك مع أحد. تستطيع مراجعة العقد قبل التوقيع.»</t>
        </is>
      </c>
      <c r="F65" s="293" t="n"/>
      <c r="G65" s="293" t="n"/>
      <c r="H65" s="293" t="n"/>
      <c r="I65" s="287" t="n"/>
      <c r="J65" s="423" t="inlineStr">
        <is>
          <t>PDPL Compliant
عقد قانوني
مراجعة كاملة</t>
        </is>
      </c>
      <c r="K65" s="293" t="n"/>
      <c r="L65" s="287" t="n"/>
    </row>
    <row r="66" ht="13.5" customHeight="1" s="260"/>
    <row r="67" ht="24" customHeight="1" s="260">
      <c r="A67" s="297" t="inlineStr">
        <is>
          <t xml:space="preserve">  درب · محرر المستأجرين · أداة التفاوض الكاملة · 2026  </t>
        </is>
      </c>
    </row>
  </sheetData>
  <mergeCells count="84">
    <mergeCell ref="E55:I55"/>
    <mergeCell ref="E52:I52"/>
    <mergeCell ref="A64:D64"/>
    <mergeCell ref="J50:L50"/>
    <mergeCell ref="A60:D60"/>
    <mergeCell ref="A43:C43"/>
    <mergeCell ref="D31:G31"/>
    <mergeCell ref="J52:L52"/>
    <mergeCell ref="J61:L61"/>
    <mergeCell ref="C36:D36"/>
    <mergeCell ref="A34:L34"/>
    <mergeCell ref="G42:I42"/>
    <mergeCell ref="A49:L49"/>
    <mergeCell ref="A39:B39"/>
    <mergeCell ref="E50:I50"/>
    <mergeCell ref="A62:D62"/>
    <mergeCell ref="J65:L65"/>
    <mergeCell ref="D43:F43"/>
    <mergeCell ref="J63:L63"/>
    <mergeCell ref="A37:B37"/>
    <mergeCell ref="A59:D59"/>
    <mergeCell ref="J43:L43"/>
    <mergeCell ref="A4:L4"/>
    <mergeCell ref="A44:C44"/>
    <mergeCell ref="E59:I59"/>
    <mergeCell ref="J42:L42"/>
    <mergeCell ref="A61:D61"/>
    <mergeCell ref="A58:L58"/>
    <mergeCell ref="E36:L36"/>
    <mergeCell ref="A67:L67"/>
    <mergeCell ref="E61:I61"/>
    <mergeCell ref="G43:I43"/>
    <mergeCell ref="J44:L44"/>
    <mergeCell ref="E54:I54"/>
    <mergeCell ref="J60:L60"/>
    <mergeCell ref="E37:L37"/>
    <mergeCell ref="E56:I56"/>
    <mergeCell ref="J53:L53"/>
    <mergeCell ref="H28:K28"/>
    <mergeCell ref="A36:B36"/>
    <mergeCell ref="J55:L55"/>
    <mergeCell ref="D29:G29"/>
    <mergeCell ref="A63:D63"/>
    <mergeCell ref="A42:C42"/>
    <mergeCell ref="A2:L2"/>
    <mergeCell ref="J54:L54"/>
    <mergeCell ref="A47:L47"/>
    <mergeCell ref="G45:I45"/>
    <mergeCell ref="J56:L56"/>
    <mergeCell ref="E60:I60"/>
    <mergeCell ref="D42:F42"/>
    <mergeCell ref="G44:I44"/>
    <mergeCell ref="A65:D65"/>
    <mergeCell ref="D44:F44"/>
    <mergeCell ref="A38:B38"/>
    <mergeCell ref="C38:D38"/>
    <mergeCell ref="J59:L59"/>
    <mergeCell ref="D45:F45"/>
    <mergeCell ref="D28:G28"/>
    <mergeCell ref="A41:L41"/>
    <mergeCell ref="E62:I62"/>
    <mergeCell ref="J45:L45"/>
    <mergeCell ref="D30:G30"/>
    <mergeCell ref="A27:L27"/>
    <mergeCell ref="E39:L39"/>
    <mergeCell ref="E64:I64"/>
    <mergeCell ref="E51:I51"/>
    <mergeCell ref="H30:K30"/>
    <mergeCell ref="E38:L38"/>
    <mergeCell ref="E63:I63"/>
    <mergeCell ref="H29:K29"/>
    <mergeCell ref="A35:L35"/>
    <mergeCell ref="J51:L51"/>
    <mergeCell ref="E65:I65"/>
    <mergeCell ref="J62:L62"/>
    <mergeCell ref="H31:K31"/>
    <mergeCell ref="J64:L64"/>
    <mergeCell ref="C39:D39"/>
    <mergeCell ref="D32:G32"/>
    <mergeCell ref="A45:C45"/>
    <mergeCell ref="A1:L1"/>
    <mergeCell ref="C37:D37"/>
    <mergeCell ref="H32:K32"/>
    <mergeCell ref="E53:I53"/>
  </mergeCells>
  <conditionalFormatting sqref="I6:I25">
    <cfRule type="expression" rank="0" priority="2" equalAverage="0" aboveAverage="0" dxfId="3" text="" percent="0" bottom="0">
      <formula>$I6="لم نتواصل"</formula>
    </cfRule>
    <cfRule type="expression" rank="0" priority="3" equalAverage="0" aboveAverage="0" dxfId="4" text="" percent="0" bottom="0">
      <formula>$I6="اتصال أولي"</formula>
    </cfRule>
    <cfRule type="expression" rank="0" priority="4" equalAverage="0" aboveAverage="0" dxfId="5" text="" percent="0" bottom="0">
      <formula>$I6="اجتماع تمهيدي"</formula>
    </cfRule>
    <cfRule type="expression" rank="0" priority="5" equalAverage="0" aboveAverage="0" dxfId="1" text="" percent="0" bottom="0">
      <formula>$I6="تحت التفاوض"</formula>
    </cfRule>
    <cfRule type="expression" rank="0" priority="6" equalAverage="0" aboveAverage="0" dxfId="7" text="" percent="0" bottom="0">
      <formula>$I6="Pilot"</formula>
    </cfRule>
    <cfRule type="expression" rank="0" priority="7" equalAverage="0" aboveAverage="0" dxfId="0" text="" percent="0" bottom="0">
      <formula>$I6="موقّع"</formula>
    </cfRule>
    <cfRule type="expression" rank="0" priority="8" equalAverage="0" aboveAverage="0" dxfId="9" text="" percent="0" bottom="0">
      <formula>$I6="مُطلق"</formula>
    </cfRule>
    <cfRule type="expression" rank="0" priority="9" equalAverage="0" aboveAverage="0" dxfId="2" text="" percent="0" bottom="0">
      <formula>$I6="مرفوض"</formula>
    </cfRule>
    <cfRule type="expression" rank="0" priority="10" equalAverage="0" aboveAverage="0" dxfId="3" text="" percent="0" bottom="0">
      <formula>$I6="مؤجل"</formula>
    </cfRule>
  </conditionalFormatting>
  <dataValidations count="3">
    <dataValidation sqref="C6:C25" showDropDown="0" showInputMessage="0" showErrorMessage="0" allowBlank="1" type="list" errorStyle="stop" operator="between">
      <formula1>"كافيه,مطعم,سوبرماركت,مغسلة,زيوت,صيانة,صيدلية,أخرى"</formula1>
      <formula2>0</formula2>
    </dataValidation>
    <dataValidation sqref="G6:G25" showDropDown="0" showInputMessage="0" showErrorMessage="0" allowBlank="1" type="list" errorStyle="stop" operator="between">
      <formula1>"المستأجر يدفع 100%,مشاركة 50/50,مشاركة 70/30 (المستأجر),مشاركة 30/70 (درب),درب تتحمل 100%,لم يتفق بعد"</formula1>
      <formula2>0</formula2>
    </dataValidation>
    <dataValidation sqref="I6:I25" showDropDown="0" showInputMessage="0" showErrorMessage="0" allowBlank="1" type="list" errorStyle="stop" operator="between">
      <formula1>"لم نتواصل,اتصال أولي,اجتماع تمهيدي,تحت التفاوض,Pilot,موقّع,مُطلق,مرفوض,مؤجل"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44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59" min="1" max="1"/>
    <col width="12" customWidth="1" style="259" min="2" max="7"/>
    <col width="14" customWidth="1" style="259" min="8" max="8"/>
    <col width="12" customWidth="1" style="259" min="9" max="9"/>
  </cols>
  <sheetData>
    <row r="1" ht="48" customHeight="1" s="260">
      <c r="A1" s="261" t="inlineStr">
        <is>
          <t xml:space="preserve">  درب · حاسبة العائد على الاستثمار (ROI) لـ تانكي 💎</t>
        </is>
      </c>
    </row>
    <row r="2" ht="25.5" customHeight="1" s="260">
      <c r="A2" s="322" t="inlineStr">
        <is>
          <t xml:space="preserve">  هل يستحق برنامج تانكي الاستثمار؟ حساب شامل للعائد على درب</t>
        </is>
      </c>
    </row>
    <row r="3" ht="12" customHeight="1" s="260"/>
    <row r="4" ht="30" customHeight="1" s="260">
      <c r="A4" s="421" t="inlineStr">
        <is>
          <t>💸 الاستثمار · التكاليف السنوية على درب</t>
        </is>
      </c>
    </row>
    <row r="5" ht="36" customHeight="1" s="260">
      <c r="A5" s="273" t="inlineStr">
        <is>
          <t>البند</t>
        </is>
      </c>
      <c r="B5" s="273" t="inlineStr">
        <is>
          <t>الفئة</t>
        </is>
      </c>
      <c r="C5" s="273" t="inlineStr">
        <is>
          <t>السنة 1</t>
        </is>
      </c>
      <c r="D5" s="273" t="inlineStr">
        <is>
          <t>السنة 2</t>
        </is>
      </c>
      <c r="E5" s="273" t="inlineStr">
        <is>
          <t>السنة 3</t>
        </is>
      </c>
      <c r="F5" s="273" t="inlineStr">
        <is>
          <t>السنة 4</t>
        </is>
      </c>
      <c r="G5" s="273" t="inlineStr">
        <is>
          <t>السنة 5</t>
        </is>
      </c>
      <c r="H5" s="273" t="inlineStr">
        <is>
          <t>الإجمالي 5 سنوات</t>
        </is>
      </c>
      <c r="I5" s="273" t="inlineStr">
        <is>
          <t>% من الإجمالي</t>
        </is>
      </c>
    </row>
    <row r="6" ht="30" customHeight="1" s="260">
      <c r="A6" s="296" t="inlineStr">
        <is>
          <t>💻 تطوير التطبيق</t>
        </is>
      </c>
      <c r="B6" s="424" t="inlineStr">
        <is>
          <t>استثمار أولي</t>
        </is>
      </c>
      <c r="C6" s="425" t="n">
        <v>800000</v>
      </c>
      <c r="D6" s="425" t="n">
        <v>200000</v>
      </c>
      <c r="E6" s="425" t="n">
        <v>150000</v>
      </c>
      <c r="F6" s="425" t="n">
        <v>150000</v>
      </c>
      <c r="G6" s="425" t="n">
        <v>150000</v>
      </c>
      <c r="H6" s="426">
        <f>SUM(C6:G6)</f>
        <v/>
      </c>
      <c r="I6" s="427">
        <f>H6/H13</f>
        <v/>
      </c>
    </row>
    <row r="7" ht="30" customHeight="1" s="260">
      <c r="A7" s="296" t="inlineStr">
        <is>
          <t>🤝 شراكة Dsquares</t>
        </is>
      </c>
      <c r="B7" s="424" t="inlineStr">
        <is>
          <t>تشغيلي</t>
        </is>
      </c>
      <c r="C7" s="425" t="n">
        <v>1370000</v>
      </c>
      <c r="D7" s="425" t="n">
        <v>850000</v>
      </c>
      <c r="E7" s="425" t="n">
        <v>870000</v>
      </c>
      <c r="F7" s="425" t="n">
        <v>890000</v>
      </c>
      <c r="G7" s="425" t="n">
        <v>920000</v>
      </c>
      <c r="H7" s="426">
        <f>SUM(C7:G7)</f>
        <v/>
      </c>
      <c r="I7" s="427">
        <f>H7/H13</f>
        <v/>
      </c>
    </row>
    <row r="8" ht="30" customHeight="1" s="260">
      <c r="A8" s="296" t="inlineStr">
        <is>
          <t>📣 التسويق والإعلانات</t>
        </is>
      </c>
      <c r="B8" s="428" t="inlineStr">
        <is>
          <t>تشغيلي</t>
        </is>
      </c>
      <c r="C8" s="425" t="n">
        <v>1500000</v>
      </c>
      <c r="D8" s="425" t="n">
        <v>1200000</v>
      </c>
      <c r="E8" s="425" t="n">
        <v>1000000</v>
      </c>
      <c r="F8" s="425" t="n">
        <v>1000000</v>
      </c>
      <c r="G8" s="425" t="n">
        <v>1000000</v>
      </c>
      <c r="H8" s="426">
        <f>SUM(C8:G8)</f>
        <v/>
      </c>
      <c r="I8" s="427">
        <f>H8/H13</f>
        <v/>
      </c>
    </row>
    <row r="9" ht="30" customHeight="1" s="260">
      <c r="A9" s="296" t="inlineStr">
        <is>
          <t>👥 فريق الولاء</t>
        </is>
      </c>
      <c r="B9" s="428" t="inlineStr">
        <is>
          <t>تشغيلي</t>
        </is>
      </c>
      <c r="C9" s="425" t="n">
        <v>2780000</v>
      </c>
      <c r="D9" s="425" t="n">
        <v>3500000</v>
      </c>
      <c r="E9" s="425" t="n">
        <v>4000000</v>
      </c>
      <c r="F9" s="425" t="n">
        <v>4500000</v>
      </c>
      <c r="G9" s="425" t="n">
        <v>5000000</v>
      </c>
      <c r="H9" s="426">
        <f>SUM(C9:G9)</f>
        <v/>
      </c>
      <c r="I9" s="427">
        <f>H9/H13</f>
        <v/>
      </c>
    </row>
    <row r="10" ht="30" customHeight="1" s="260">
      <c r="A10" s="296" t="inlineStr">
        <is>
          <t>🎁 كلفة النقاط للعملاء</t>
        </is>
      </c>
      <c r="B10" s="428" t="inlineStr">
        <is>
          <t>تشغيلي</t>
        </is>
      </c>
      <c r="C10" s="425" t="n">
        <v>2270000</v>
      </c>
      <c r="D10" s="425" t="n">
        <v>2680000</v>
      </c>
      <c r="E10" s="425" t="n">
        <v>3100000</v>
      </c>
      <c r="F10" s="425" t="n">
        <v>3520000</v>
      </c>
      <c r="G10" s="425" t="n">
        <v>3930000</v>
      </c>
      <c r="H10" s="426">
        <f>SUM(C10:G10)</f>
        <v/>
      </c>
      <c r="I10" s="427">
        <f>H10/H13</f>
        <v/>
      </c>
    </row>
    <row r="11" ht="30" customHeight="1" s="260">
      <c r="A11" s="296" t="inlineStr">
        <is>
          <t>🛠️ التكامل مع المستأجرين</t>
        </is>
      </c>
      <c r="B11" s="428" t="inlineStr">
        <is>
          <t>تشغيلي</t>
        </is>
      </c>
      <c r="C11" s="425" t="n">
        <v>0</v>
      </c>
      <c r="D11" s="425" t="n">
        <v>500000</v>
      </c>
      <c r="E11" s="425" t="n">
        <v>750000</v>
      </c>
      <c r="F11" s="425" t="n">
        <v>1000000</v>
      </c>
      <c r="G11" s="425" t="n">
        <v>1200000</v>
      </c>
      <c r="H11" s="426">
        <f>SUM(C11:G11)</f>
        <v/>
      </c>
      <c r="I11" s="427">
        <f>H11/H13</f>
        <v/>
      </c>
    </row>
    <row r="12" ht="30" customHeight="1" s="260">
      <c r="A12" s="296" t="inlineStr">
        <is>
          <t>🔧 الصيانة والدعم</t>
        </is>
      </c>
      <c r="B12" s="428" t="inlineStr">
        <is>
          <t>تشغيلي</t>
        </is>
      </c>
      <c r="C12" s="425" t="n">
        <v>200000</v>
      </c>
      <c r="D12" s="425" t="n">
        <v>400000</v>
      </c>
      <c r="E12" s="425" t="n">
        <v>600000</v>
      </c>
      <c r="F12" s="425" t="n">
        <v>800000</v>
      </c>
      <c r="G12" s="425" t="n">
        <v>1000000</v>
      </c>
      <c r="H12" s="426">
        <f>SUM(C12:G12)</f>
        <v/>
      </c>
      <c r="I12" s="427">
        <f>H12/H13</f>
        <v/>
      </c>
    </row>
    <row r="13" ht="37.5" customHeight="1" s="260">
      <c r="A13" s="429" t="inlineStr">
        <is>
          <t>📊 إجمالي التكاليف</t>
        </is>
      </c>
      <c r="B13" s="430" t="n"/>
      <c r="C13" s="431">
        <f>SUM(C6:C12)</f>
        <v/>
      </c>
      <c r="D13" s="431">
        <f>SUM(D6:D12)</f>
        <v/>
      </c>
      <c r="E13" s="431">
        <f>SUM(E6:E12)</f>
        <v/>
      </c>
      <c r="F13" s="431">
        <f>SUM(F6:F12)</f>
        <v/>
      </c>
      <c r="G13" s="431">
        <f>SUM(G6:G12)</f>
        <v/>
      </c>
      <c r="H13" s="432">
        <f>SUM(C13:G13)</f>
        <v/>
      </c>
      <c r="I13" s="430" t="inlineStr">
        <is>
          <t>100%</t>
        </is>
      </c>
    </row>
    <row r="14" ht="13.5" customHeight="1" s="260"/>
    <row r="15" ht="30" customHeight="1" s="260">
      <c r="A15" s="433" t="inlineStr">
        <is>
          <t>💰 العائد · الإيرادات الإضافية المتوقعة</t>
        </is>
      </c>
    </row>
    <row r="16" ht="36" customHeight="1" s="260">
      <c r="A16" s="273" t="inlineStr">
        <is>
          <t>مصدر العائد</t>
        </is>
      </c>
      <c r="B16" s="273" t="inlineStr">
        <is>
          <t>الفئة</t>
        </is>
      </c>
      <c r="C16" s="273" t="inlineStr">
        <is>
          <t>السنة 1</t>
        </is>
      </c>
      <c r="D16" s="273" t="inlineStr">
        <is>
          <t>السنة 2</t>
        </is>
      </c>
      <c r="E16" s="273" t="inlineStr">
        <is>
          <t>السنة 3</t>
        </is>
      </c>
      <c r="F16" s="273" t="inlineStr">
        <is>
          <t>السنة 4</t>
        </is>
      </c>
      <c r="G16" s="273" t="inlineStr">
        <is>
          <t>السنة 5</t>
        </is>
      </c>
      <c r="H16" s="273" t="inlineStr">
        <is>
          <t>الإجمالي</t>
        </is>
      </c>
      <c r="I16" s="273" t="inlineStr">
        <is>
          <t>% من الإجمالي</t>
        </is>
      </c>
    </row>
    <row r="17" ht="30" customHeight="1" s="260">
      <c r="A17" s="314" t="inlineStr">
        <is>
          <t>⛽ زيادة مبيعات الوقود (+8%)</t>
        </is>
      </c>
      <c r="B17" s="434" t="inlineStr">
        <is>
          <t>تشغيلي</t>
        </is>
      </c>
      <c r="C17" s="425" t="n">
        <v>8000000</v>
      </c>
      <c r="D17" s="425" t="n">
        <v>12000000</v>
      </c>
      <c r="E17" s="425" t="n">
        <v>16000000</v>
      </c>
      <c r="F17" s="425" t="n">
        <v>20000000</v>
      </c>
      <c r="G17" s="425" t="n">
        <v>24000000</v>
      </c>
      <c r="H17" s="435">
        <f>SUM(C17:G17)</f>
        <v/>
      </c>
      <c r="I17" s="427">
        <f>H17/H23</f>
        <v/>
      </c>
    </row>
    <row r="18" ht="30" customHeight="1" s="260">
      <c r="A18" s="314" t="inlineStr">
        <is>
          <t>🤝 عمولة من المستأجرين</t>
        </is>
      </c>
      <c r="B18" s="434" t="inlineStr">
        <is>
          <t>تشغيلي</t>
        </is>
      </c>
      <c r="C18" s="425" t="n">
        <v>0</v>
      </c>
      <c r="D18" s="425" t="n">
        <v>1200000</v>
      </c>
      <c r="E18" s="425" t="n">
        <v>2500000</v>
      </c>
      <c r="F18" s="425" t="n">
        <v>4000000</v>
      </c>
      <c r="G18" s="425" t="n">
        <v>6000000</v>
      </c>
      <c r="H18" s="435">
        <f>SUM(C18:G18)</f>
        <v/>
      </c>
      <c r="I18" s="427">
        <f>H18/H23</f>
        <v/>
      </c>
    </row>
    <row r="19" ht="30" customHeight="1" s="260">
      <c r="A19" s="314" t="inlineStr">
        <is>
          <t>🎯 جذب عملاء جدد</t>
        </is>
      </c>
      <c r="B19" s="434" t="inlineStr">
        <is>
          <t>تشغيلي</t>
        </is>
      </c>
      <c r="C19" s="425" t="n">
        <v>1500000</v>
      </c>
      <c r="D19" s="425" t="n">
        <v>3000000</v>
      </c>
      <c r="E19" s="425" t="n">
        <v>4500000</v>
      </c>
      <c r="F19" s="425" t="n">
        <v>6000000</v>
      </c>
      <c r="G19" s="425" t="n">
        <v>7500000</v>
      </c>
      <c r="H19" s="435">
        <f>SUM(C19:G19)</f>
        <v/>
      </c>
      <c r="I19" s="427">
        <f>H19/H23</f>
        <v/>
      </c>
    </row>
    <row r="20" ht="30" customHeight="1" s="260">
      <c r="A20" s="314" t="inlineStr">
        <is>
          <t>📊 توفير في التسويق التقليدي</t>
        </is>
      </c>
      <c r="B20" s="434" t="inlineStr">
        <is>
          <t>توفير</t>
        </is>
      </c>
      <c r="C20" s="425" t="n">
        <v>800000</v>
      </c>
      <c r="D20" s="425" t="n">
        <v>1500000</v>
      </c>
      <c r="E20" s="425" t="n">
        <v>2000000</v>
      </c>
      <c r="F20" s="425" t="n">
        <v>2500000</v>
      </c>
      <c r="G20" s="425" t="n">
        <v>3000000</v>
      </c>
      <c r="H20" s="435">
        <f>SUM(C20:G20)</f>
        <v/>
      </c>
      <c r="I20" s="427">
        <f>H20/H23</f>
        <v/>
      </c>
    </row>
    <row r="21" ht="30" customHeight="1" s="260">
      <c r="A21" s="314" t="inlineStr">
        <is>
          <t>🚀 نمو المحطات (انتشار العلامة)</t>
        </is>
      </c>
      <c r="B21" s="434" t="inlineStr">
        <is>
          <t>استراتيجي</t>
        </is>
      </c>
      <c r="C21" s="425" t="n">
        <v>500000</v>
      </c>
      <c r="D21" s="425" t="n">
        <v>1500000</v>
      </c>
      <c r="E21" s="425" t="n">
        <v>3000000</v>
      </c>
      <c r="F21" s="425" t="n">
        <v>5000000</v>
      </c>
      <c r="G21" s="425" t="n">
        <v>8000000</v>
      </c>
      <c r="H21" s="435">
        <f>SUM(C21:G21)</f>
        <v/>
      </c>
      <c r="I21" s="427">
        <f>H21/H23</f>
        <v/>
      </c>
    </row>
    <row r="22" ht="30" customHeight="1" s="260">
      <c r="A22" s="314" t="inlineStr">
        <is>
          <t>💎 بيع البيانات والتحليلات</t>
        </is>
      </c>
      <c r="B22" s="434" t="inlineStr">
        <is>
          <t>إضافي</t>
        </is>
      </c>
      <c r="C22" s="425" t="n">
        <v>0</v>
      </c>
      <c r="D22" s="425" t="n">
        <v>200000</v>
      </c>
      <c r="E22" s="425" t="n">
        <v>500000</v>
      </c>
      <c r="F22" s="425" t="n">
        <v>1000000</v>
      </c>
      <c r="G22" s="425" t="n">
        <v>1500000</v>
      </c>
      <c r="H22" s="435">
        <f>SUM(C22:G22)</f>
        <v/>
      </c>
      <c r="I22" s="427">
        <f>H22/H23</f>
        <v/>
      </c>
    </row>
    <row r="23" ht="37.5" customHeight="1" s="260">
      <c r="A23" s="436" t="inlineStr">
        <is>
          <t>📊 إجمالي الإيرادات</t>
        </is>
      </c>
      <c r="B23" s="437" t="n"/>
      <c r="C23" s="438">
        <f>SUM(C17:C22)</f>
        <v/>
      </c>
      <c r="D23" s="438">
        <f>SUM(D17:D22)</f>
        <v/>
      </c>
      <c r="E23" s="438">
        <f>SUM(E17:E22)</f>
        <v/>
      </c>
      <c r="F23" s="438">
        <f>SUM(F17:F22)</f>
        <v/>
      </c>
      <c r="G23" s="438">
        <f>SUM(G17:G22)</f>
        <v/>
      </c>
      <c r="H23" s="439">
        <f>SUM(C23:G23)</f>
        <v/>
      </c>
      <c r="I23" s="437" t="inlineStr">
        <is>
          <t>100%</t>
        </is>
      </c>
    </row>
    <row r="24" ht="13.5" customHeight="1" s="260"/>
    <row r="25" ht="30" customHeight="1" s="260">
      <c r="A25" s="272" t="inlineStr">
        <is>
          <t>📈 تحليل ROI السنوي</t>
        </is>
      </c>
    </row>
    <row r="26" ht="36" customHeight="1" s="260">
      <c r="A26" s="273" t="inlineStr">
        <is>
          <t>البند</t>
        </is>
      </c>
      <c r="B26" s="273" t="inlineStr">
        <is>
          <t>الفئة</t>
        </is>
      </c>
      <c r="C26" s="273" t="inlineStr">
        <is>
          <t>السنة 1</t>
        </is>
      </c>
      <c r="D26" s="273" t="inlineStr">
        <is>
          <t>السنة 2</t>
        </is>
      </c>
      <c r="E26" s="273" t="inlineStr">
        <is>
          <t>السنة 3</t>
        </is>
      </c>
      <c r="F26" s="273" t="inlineStr">
        <is>
          <t>السنة 4</t>
        </is>
      </c>
      <c r="G26" s="273" t="inlineStr">
        <is>
          <t>السنة 5</t>
        </is>
      </c>
      <c r="H26" s="273" t="inlineStr">
        <is>
          <t>الإجمالي</t>
        </is>
      </c>
      <c r="I26" s="273" t="inlineStr">
        <is>
          <t>النسبة</t>
        </is>
      </c>
    </row>
    <row r="27" ht="31.5" customHeight="1" s="260">
      <c r="A27" s="440" t="inlineStr">
        <is>
          <t>💰 إجمالي الإيرادات</t>
        </is>
      </c>
      <c r="B27" s="441" t="n"/>
      <c r="C27" s="442">
        <f>C23</f>
        <v/>
      </c>
      <c r="D27" s="442">
        <f>D23</f>
        <v/>
      </c>
      <c r="E27" s="442">
        <f>E23</f>
        <v/>
      </c>
      <c r="F27" s="442">
        <f>F23</f>
        <v/>
      </c>
      <c r="G27" s="442">
        <f>G23</f>
        <v/>
      </c>
      <c r="H27" s="438">
        <f>SUM(C27:G27)</f>
        <v/>
      </c>
      <c r="I27" s="443" t="inlineStr">
        <is>
          <t>إيرادات</t>
        </is>
      </c>
    </row>
    <row r="28" ht="31.5" customHeight="1" s="260">
      <c r="A28" s="444" t="inlineStr">
        <is>
          <t>💸 إجمالي التكاليف</t>
        </is>
      </c>
      <c r="B28" s="445" t="n"/>
      <c r="C28" s="446">
        <f>C13</f>
        <v/>
      </c>
      <c r="D28" s="446">
        <f>D13</f>
        <v/>
      </c>
      <c r="E28" s="446">
        <f>E13</f>
        <v/>
      </c>
      <c r="F28" s="446">
        <f>F13</f>
        <v/>
      </c>
      <c r="G28" s="446">
        <f>G13</f>
        <v/>
      </c>
      <c r="H28" s="431">
        <f>SUM(C28:G28)</f>
        <v/>
      </c>
      <c r="I28" s="447" t="inlineStr">
        <is>
          <t>تكاليف</t>
        </is>
      </c>
    </row>
    <row r="29" ht="37.5" customHeight="1" s="260">
      <c r="A29" s="448" t="inlineStr">
        <is>
          <t>💎 صافي الربح</t>
        </is>
      </c>
      <c r="B29" s="449" t="n"/>
      <c r="C29" s="450">
        <f>C27-C28</f>
        <v/>
      </c>
      <c r="D29" s="450">
        <f>D27-D28</f>
        <v/>
      </c>
      <c r="E29" s="450">
        <f>E27-E28</f>
        <v/>
      </c>
      <c r="F29" s="450">
        <f>F27-F28</f>
        <v/>
      </c>
      <c r="G29" s="450">
        <f>G27-G28</f>
        <v/>
      </c>
      <c r="H29" s="451">
        <f>SUM(C29:G29)</f>
        <v/>
      </c>
      <c r="I29" s="452" t="inlineStr">
        <is>
          <t>ربح</t>
        </is>
      </c>
    </row>
    <row r="30" ht="43.5" customHeight="1" s="260">
      <c r="A30" s="453" t="inlineStr">
        <is>
          <t>🎯 ROI %</t>
        </is>
      </c>
      <c r="B30" s="454" t="n"/>
      <c r="C30" s="455">
        <f>IFERROR(C29/C28, 0)</f>
        <v/>
      </c>
      <c r="D30" s="455">
        <f>IFERROR(D29/D28, 0)</f>
        <v/>
      </c>
      <c r="E30" s="455">
        <f>IFERROR(E29/E28, 0)</f>
        <v/>
      </c>
      <c r="F30" s="455">
        <f>IFERROR(F29/F28, 0)</f>
        <v/>
      </c>
      <c r="G30" s="455">
        <f>IFERROR(G29/G28, 0)</f>
        <v/>
      </c>
      <c r="H30" s="456">
        <f>H29/H28</f>
        <v/>
      </c>
      <c r="I30" s="452" t="inlineStr">
        <is>
          <t>ROI</t>
        </is>
      </c>
    </row>
    <row r="31" ht="13.5" customHeight="1" s="260"/>
    <row r="32" ht="30" customHeight="1" s="260">
      <c r="A32" s="329" t="inlineStr">
        <is>
          <t>⚖️ نقطة التعادل والتقييم النهائي</t>
        </is>
      </c>
    </row>
    <row r="33" ht="30" customHeight="1" s="260">
      <c r="A33" s="457" t="inlineStr">
        <is>
          <t>🎯 ROI الإجمالي (5 سنوات)</t>
        </is>
      </c>
      <c r="B33" s="287" t="n"/>
      <c r="C33" s="367" t="inlineStr">
        <is>
          <t>💰 صافي الربح (5 سنوات)</t>
        </is>
      </c>
      <c r="D33" s="293" t="n"/>
      <c r="E33" s="287" t="n"/>
      <c r="F33" s="343" t="inlineStr">
        <is>
          <t>⚖️ نقطة التعادل</t>
        </is>
      </c>
      <c r="G33" s="293" t="n"/>
      <c r="H33" s="287" t="n"/>
      <c r="I33" s="342" t="inlineStr">
        <is>
          <t>✅ التوصية</t>
        </is>
      </c>
      <c r="J33" s="287" t="n"/>
    </row>
    <row r="34" ht="69.75" customHeight="1" s="260">
      <c r="A34" s="458">
        <f>H30</f>
        <v/>
      </c>
      <c r="B34" s="287" t="n"/>
      <c r="C34" s="459">
        <f>H29</f>
        <v/>
      </c>
      <c r="D34" s="293" t="n"/>
      <c r="E34" s="287" t="n"/>
      <c r="F34" s="460">
        <f>IF(C29&gt;=0,"السنة 1",IF(SUM(C29:D29)&gt;=0,"السنة 2",IF(SUM(C29:E29)&gt;=0,"السنة 3",IF(SUM(C29:F29)&gt;=0,"السنة 4",IF(SUM(C29:G29)&gt;=0,"السنة 5","بعد 5 سنوات")))))</f>
        <v/>
      </c>
      <c r="G34" s="293" t="n"/>
      <c r="H34" s="287" t="n"/>
      <c r="I34" s="461">
        <f>IF(H30&gt;1,"⭐ مشروع ممتاز",IF(H30&gt;0.5,"✅ مربح",IF(H30&gt;0,"🟡 مقبول","🔴 إعادة نظر")))</f>
        <v/>
      </c>
      <c r="J34" s="287" t="n"/>
    </row>
    <row r="35" ht="13.5" customHeight="1" s="260"/>
    <row r="36" ht="27.75" customHeight="1" s="260">
      <c r="A36" s="462" t="inlineStr">
        <is>
          <t>📝 ملاحظات وافتراضات</t>
        </is>
      </c>
    </row>
    <row r="37" ht="27.75" customHeight="1" s="260">
      <c r="A37" s="358" t="inlineStr">
        <is>
          <t>💡 زيادة مبيعات الوقود +8% بناءً على دراسات عالمية لبرامج الولاء (شل · BP · Caltex)</t>
        </is>
      </c>
      <c r="B37" s="293" t="n"/>
      <c r="C37" s="293" t="n"/>
      <c r="D37" s="293" t="n"/>
      <c r="E37" s="293" t="n"/>
      <c r="F37" s="293" t="n"/>
      <c r="G37" s="293" t="n"/>
      <c r="H37" s="293" t="n"/>
      <c r="I37" s="293" t="n"/>
      <c r="J37" s="287" t="n"/>
    </row>
    <row r="38" ht="27.75" customHeight="1" s="260">
      <c r="A38" s="358" t="inlineStr">
        <is>
          <t>💡 تكلفة فريق الولاء تشمل: لويالتي ليد + 3 مطورين + PM + 2 شراكات + محلل بيانات</t>
        </is>
      </c>
      <c r="B38" s="293" t="n"/>
      <c r="C38" s="293" t="n"/>
      <c r="D38" s="293" t="n"/>
      <c r="E38" s="293" t="n"/>
      <c r="F38" s="293" t="n"/>
      <c r="G38" s="293" t="n"/>
      <c r="H38" s="293" t="n"/>
      <c r="I38" s="293" t="n"/>
      <c r="J38" s="287" t="n"/>
    </row>
    <row r="39" ht="27.75" customHeight="1" s="260">
      <c r="A39" s="358" t="inlineStr">
        <is>
          <t>💡 عمولة المستأجرين تبدأ من السنة 2 (مع إطلاق المرحلة 2 من خطة التوسع)</t>
        </is>
      </c>
      <c r="B39" s="293" t="n"/>
      <c r="C39" s="293" t="n"/>
      <c r="D39" s="293" t="n"/>
      <c r="E39" s="293" t="n"/>
      <c r="F39" s="293" t="n"/>
      <c r="G39" s="293" t="n"/>
      <c r="H39" s="293" t="n"/>
      <c r="I39" s="293" t="n"/>
      <c r="J39" s="287" t="n"/>
    </row>
    <row r="40" ht="27.75" customHeight="1" s="260">
      <c r="A40" s="358" t="inlineStr">
        <is>
          <t>💡 توفير التسويق التقليدي: انتقال 30% من الميزانية للقنوات الرقمية بفعالية أعلى</t>
        </is>
      </c>
      <c r="B40" s="293" t="n"/>
      <c r="C40" s="293" t="n"/>
      <c r="D40" s="293" t="n"/>
      <c r="E40" s="293" t="n"/>
      <c r="F40" s="293" t="n"/>
      <c r="G40" s="293" t="n"/>
      <c r="H40" s="293" t="n"/>
      <c r="I40" s="293" t="n"/>
      <c r="J40" s="287" t="n"/>
    </row>
    <row r="41" ht="27.75" customHeight="1" s="260">
      <c r="A41" s="358" t="inlineStr">
        <is>
          <t>💡 جذب عملاء جدد: 5% من عملاء المنافسين خلال 5 سنوات (تحفظي)</t>
        </is>
      </c>
      <c r="B41" s="293" t="n"/>
      <c r="C41" s="293" t="n"/>
      <c r="D41" s="293" t="n"/>
      <c r="E41" s="293" t="n"/>
      <c r="F41" s="293" t="n"/>
      <c r="G41" s="293" t="n"/>
      <c r="H41" s="293" t="n"/>
      <c r="I41" s="293" t="n"/>
      <c r="J41" s="287" t="n"/>
    </row>
    <row r="42" ht="27.75" customHeight="1" s="260">
      <c r="A42" s="358" t="inlineStr">
        <is>
          <t>💡 الأرقام لا تشمل القيمة الاستراتيجية غير المباشرة (تحسين العلامة التجارية، البيانات الكبيرة، إلخ)</t>
        </is>
      </c>
      <c r="B42" s="293" t="n"/>
      <c r="C42" s="293" t="n"/>
      <c r="D42" s="293" t="n"/>
      <c r="E42" s="293" t="n"/>
      <c r="F42" s="293" t="n"/>
      <c r="G42" s="293" t="n"/>
      <c r="H42" s="293" t="n"/>
      <c r="I42" s="293" t="n"/>
      <c r="J42" s="287" t="n"/>
    </row>
    <row r="44" ht="24" customHeight="1" s="260">
      <c r="A44" s="297" t="inlineStr">
        <is>
          <t xml:space="preserve">  درب · حاسبة ROI · 2026  </t>
        </is>
      </c>
    </row>
  </sheetData>
  <mergeCells count="22">
    <mergeCell ref="I34:J34"/>
    <mergeCell ref="A32:J32"/>
    <mergeCell ref="F33:H33"/>
    <mergeCell ref="A4:J4"/>
    <mergeCell ref="A38:J38"/>
    <mergeCell ref="A44:J44"/>
    <mergeCell ref="A40:J40"/>
    <mergeCell ref="A39:J39"/>
    <mergeCell ref="A15:J15"/>
    <mergeCell ref="A1:J1"/>
    <mergeCell ref="A36:J36"/>
    <mergeCell ref="A33:B33"/>
    <mergeCell ref="I33:J33"/>
    <mergeCell ref="C34:E34"/>
    <mergeCell ref="A25:J25"/>
    <mergeCell ref="A41:J41"/>
    <mergeCell ref="F34:H34"/>
    <mergeCell ref="C33:E33"/>
    <mergeCell ref="A37:J37"/>
    <mergeCell ref="A2:J2"/>
    <mergeCell ref="A42:J42"/>
    <mergeCell ref="A34:B34"/>
  </mergeCells>
  <conditionalFormatting sqref="H6:H12">
    <cfRule type="dataBar" priority="2">
      <dataBar minLength="10" maxLength="90" showValue="1">
        <cfvo type="min" val="0"/>
        <cfvo type="max" val="0"/>
        <color rgb="FF9C0006"/>
      </dataBar>
    </cfRule>
  </conditionalFormatting>
  <conditionalFormatting sqref="H17:H22">
    <cfRule type="dataBar" priority="3">
      <dataBar minLength="10" maxLength="90" showValue="1">
        <cfvo type="min" val="0"/>
        <cfvo type="max" val="0"/>
        <color rgb="FF1B5E20"/>
      </dataBar>
    </cfRule>
  </conditionalFormatting>
  <conditionalFormatting sqref="C30:G30">
    <cfRule type="colorScale" priority="4">
      <colorScale>
        <cfvo type="num" val="-1"/>
        <cfvo type="num" val="0"/>
        <cfvo type="num" val="2"/>
        <color rgb="FFFFC7CE"/>
        <color rgb="FFFFEB9C"/>
        <color rgb="FFC6EFCE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2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59" min="1" max="1"/>
    <col width="12" customWidth="1" style="259" min="2" max="3"/>
    <col width="14" customWidth="1" style="259" min="4" max="4"/>
    <col width="12" customWidth="1" style="259" min="5" max="7"/>
    <col width="14" customWidth="1" style="259" min="8" max="8"/>
    <col width="6" customWidth="1" style="259" min="9" max="9"/>
  </cols>
  <sheetData>
    <row r="1" ht="48" customHeight="1" s="260">
      <c r="A1" s="261" t="inlineStr">
        <is>
          <t xml:space="preserve">  درب · مقارنة 6 سيناريوهات جنباً إلى جنب 📊</t>
        </is>
      </c>
    </row>
    <row r="2" ht="24" customHeight="1" s="260">
      <c r="A2" s="262" t="inlineStr">
        <is>
          <t xml:space="preserve">  السيناريو الحالي يعكس قيم شيت السيناريوهات · باقي السيناريوهات ثابتة للمقارنة</t>
        </is>
      </c>
    </row>
    <row r="3" ht="9.75" customHeight="1" s="260"/>
    <row r="4" ht="30" customHeight="1" s="260">
      <c r="A4" s="272" t="inlineStr">
        <is>
          <t>🆚 جدول المقارنة الشامل</t>
        </is>
      </c>
    </row>
    <row r="5" ht="39.75" customHeight="1" s="260">
      <c r="A5" s="273" t="inlineStr">
        <is>
          <t>المعيار</t>
        </is>
      </c>
      <c r="B5" s="273" t="inlineStr">
        <is>
          <t>🔴 ساسكو</t>
        </is>
      </c>
      <c r="C5" s="273" t="inlineStr">
        <is>
          <t>🟢 محافظ</t>
        </is>
      </c>
      <c r="D5" s="273" t="inlineStr">
        <is>
          <t>⭐ الحالي</t>
        </is>
      </c>
      <c r="E5" s="273" t="inlineStr">
        <is>
          <t>🟢 معتدل</t>
        </is>
      </c>
      <c r="F5" s="273" t="inlineStr">
        <is>
          <t>🟡 جذاب</t>
        </is>
      </c>
      <c r="G5" s="273" t="inlineStr">
        <is>
          <t>🔴 سخي</t>
        </is>
      </c>
      <c r="H5" s="273" t="inlineStr">
        <is>
          <t>💡 التوصية</t>
        </is>
      </c>
      <c r="I5" s="287" t="n"/>
    </row>
    <row r="6" ht="30" customHeight="1" s="260">
      <c r="A6" s="296" t="inlineStr">
        <is>
          <t>قيمة النقطة</t>
        </is>
      </c>
      <c r="B6" s="463" t="n">
        <v>100</v>
      </c>
      <c r="C6" s="464" t="n">
        <v>20000</v>
      </c>
      <c r="D6" s="465">
        <f>السيناريوهات!C6</f>
        <v/>
      </c>
      <c r="E6" s="464" t="n">
        <v>10000</v>
      </c>
      <c r="F6" s="464" t="n">
        <v>10000</v>
      </c>
      <c r="G6" s="464" t="n">
        <v>10000</v>
      </c>
      <c r="H6" s="306">
        <f>IF(D6=10000,"✅ موصى به",IF(D6&lt;10000,"🟡 سخي",IF(D6&lt;=20000,"⚠️ متحفظ","🔴 بخيل")))</f>
        <v/>
      </c>
      <c r="I6" s="287" t="n"/>
    </row>
    <row r="7" ht="30" customHeight="1" s="260">
      <c r="A7" s="296" t="inlineStr">
        <is>
          <t>معدل كسب الأبيض</t>
        </is>
      </c>
      <c r="B7" s="425" t="n">
        <v>0.43</v>
      </c>
      <c r="C7" s="425" t="n">
        <v>50</v>
      </c>
      <c r="D7" s="450">
        <f>السيناريوهات!C7</f>
        <v/>
      </c>
      <c r="E7" s="425" t="n">
        <v>100</v>
      </c>
      <c r="F7" s="425" t="n">
        <v>150</v>
      </c>
      <c r="G7" s="425" t="n">
        <v>200</v>
      </c>
      <c r="H7" s="306">
        <f>IF(D7&lt;75,"⚠️ منخفض",IF(D7&lt;=125,"✅ مثالي",IF(D7&lt;=175,"⚠️ مرتفع","🔴 جداً مرتفع")))</f>
        <v/>
      </c>
      <c r="I7" s="287" t="n"/>
    </row>
    <row r="8" ht="30" customHeight="1" s="260">
      <c r="A8" s="296" t="inlineStr">
        <is>
          <t>معدل كسب الفضي</t>
        </is>
      </c>
      <c r="B8" s="425" t="n">
        <v>0.43</v>
      </c>
      <c r="C8" s="425" t="n">
        <v>75</v>
      </c>
      <c r="D8" s="450">
        <f>السيناريوهات!C8</f>
        <v/>
      </c>
      <c r="E8" s="425" t="n">
        <v>150</v>
      </c>
      <c r="F8" s="425" t="n">
        <v>200</v>
      </c>
      <c r="G8" s="425" t="n">
        <v>250</v>
      </c>
      <c r="H8" s="306">
        <f>IF(D8&lt;125,"⚠️ منخفض",IF(D8&lt;=175,"✅ مثالي","⚠️ مرتفع"))</f>
        <v/>
      </c>
      <c r="I8" s="287" t="n"/>
    </row>
    <row r="9" ht="30" customHeight="1" s="260">
      <c r="A9" s="296" t="inlineStr">
        <is>
          <t>معدل كسب البرتقالي</t>
        </is>
      </c>
      <c r="B9" s="425" t="n">
        <v>0.43</v>
      </c>
      <c r="C9" s="425" t="n">
        <v>100</v>
      </c>
      <c r="D9" s="450">
        <f>السيناريوهات!C9</f>
        <v/>
      </c>
      <c r="E9" s="425" t="n">
        <v>200</v>
      </c>
      <c r="F9" s="425" t="n">
        <v>250</v>
      </c>
      <c r="G9" s="425" t="n">
        <v>300</v>
      </c>
      <c r="H9" s="306">
        <f>IF(D9&lt;175,"⚠️ منخفض",IF(D9&lt;=225,"✅ مثالي","⚠️ مرتفع"))</f>
        <v/>
      </c>
      <c r="I9" s="287" t="n"/>
    </row>
    <row r="10" ht="30" customHeight="1" s="260">
      <c r="A10" s="296" t="inlineStr">
        <is>
          <t>كاش باك الأبيض %</t>
        </is>
      </c>
      <c r="B10" s="466" t="n">
        <v>0.0043</v>
      </c>
      <c r="C10" s="466" t="n">
        <v>0.0025</v>
      </c>
      <c r="D10" s="467">
        <f>السيناريوهات!C7/السيناريوهات!C6</f>
        <v/>
      </c>
      <c r="E10" s="466" t="n">
        <v>0.01</v>
      </c>
      <c r="F10" s="466" t="n">
        <v>0.015</v>
      </c>
      <c r="G10" s="466" t="n">
        <v>0.02</v>
      </c>
      <c r="H10" s="306">
        <f>IF(D10&lt;0.005,"🔴 ضعيف",IF(D10&lt;=0.012,"✅ مثالي",IF(D10&lt;=0.018,"⚠️ سخي","🔴 مكلف")))</f>
        <v/>
      </c>
      <c r="I10" s="287" t="n"/>
    </row>
    <row r="11" ht="30" customHeight="1" s="260">
      <c r="A11" s="296" t="inlineStr">
        <is>
          <t>كاش باك الفضي %</t>
        </is>
      </c>
      <c r="B11" s="466" t="n">
        <v>0.0043</v>
      </c>
      <c r="C11" s="466" t="n">
        <v>0.00375</v>
      </c>
      <c r="D11" s="467">
        <f>السيناريوهات!C8/السيناريوهات!C6</f>
        <v/>
      </c>
      <c r="E11" s="466" t="n">
        <v>0.015</v>
      </c>
      <c r="F11" s="466" t="n">
        <v>0.02</v>
      </c>
      <c r="G11" s="466" t="n">
        <v>0.025</v>
      </c>
      <c r="H11" s="306">
        <f>IF(D11&lt;0.01,"⚠️ ضعيف",IF(D11&lt;=0.018,"✅ مثالي","⚠️ سخي"))</f>
        <v/>
      </c>
      <c r="I11" s="287" t="n"/>
    </row>
    <row r="12" ht="30" customHeight="1" s="260">
      <c r="A12" s="296" t="inlineStr">
        <is>
          <t>كاش باك البرتقالي %</t>
        </is>
      </c>
      <c r="B12" s="466" t="n">
        <v>0.0043</v>
      </c>
      <c r="C12" s="466" t="n">
        <v>0.005</v>
      </c>
      <c r="D12" s="467">
        <f>السيناريوهات!C9/السيناريوهات!C6</f>
        <v/>
      </c>
      <c r="E12" s="466" t="n">
        <v>0.02</v>
      </c>
      <c r="F12" s="466" t="n">
        <v>0.025</v>
      </c>
      <c r="G12" s="466" t="n">
        <v>0.03</v>
      </c>
      <c r="H12" s="306">
        <f>IF(D12&lt;0.015,"⚠️ ضعيف",IF(D12&lt;=0.025,"✅ مثالي","⚠️ سخي"))</f>
        <v/>
      </c>
      <c r="I12" s="287" t="n"/>
    </row>
    <row r="13" ht="30" customHeight="1" s="260">
      <c r="A13" s="296" t="inlineStr">
        <is>
          <t>تكلفة درب (هللة/ريال)</t>
        </is>
      </c>
      <c r="B13" s="468" t="n">
        <v>0.43</v>
      </c>
      <c r="C13" s="468" t="n">
        <v>0.5</v>
      </c>
      <c r="D13" s="469">
        <f>السيناريوهات!C10</f>
        <v/>
      </c>
      <c r="E13" s="468" t="n">
        <v>1</v>
      </c>
      <c r="F13" s="468" t="n">
        <v>1.5</v>
      </c>
      <c r="G13" s="468" t="n">
        <v>2</v>
      </c>
      <c r="H13" s="306">
        <f>IF(D13&lt;=1,"✅ مستدام",IF(D13&lt;=1.5,"⚠️ مقبول","🔴 مكلف"))</f>
        <v/>
      </c>
      <c r="I13" s="287" t="n"/>
    </row>
    <row r="14" ht="13.5" customHeight="1" s="260"/>
    <row r="15" ht="37.5" customHeight="1" s="260">
      <c r="A15" s="470" t="inlineStr">
        <is>
          <t>🎯 التقييم الإجمالي</t>
        </is>
      </c>
      <c r="B15" s="370" t="inlineStr">
        <is>
          <t>ضعيف</t>
        </is>
      </c>
      <c r="C15" s="370" t="inlineStr">
        <is>
          <t>آمن</t>
        </is>
      </c>
      <c r="D15" s="471">
        <f>IF(D10&gt;=0.008,IF(D10&lt;=0.012,"⭐ مثالي",IF(D10&lt;=0.018,"جيد","مكلف")),"ضعيف")</f>
        <v/>
      </c>
      <c r="E15" s="370" t="inlineStr">
        <is>
          <t>متوازن</t>
        </is>
      </c>
      <c r="F15" s="370" t="inlineStr">
        <is>
          <t>سخي</t>
        </is>
      </c>
      <c r="G15" s="370" t="inlineStr">
        <is>
          <t>مكلف جداً</t>
        </is>
      </c>
      <c r="H15" s="472" t="n"/>
      <c r="I15" s="287" t="n"/>
    </row>
    <row r="16" ht="13.5" customHeight="1" s="260"/>
    <row r="17" ht="30" customHeight="1" s="260">
      <c r="A17" s="329" t="inlineStr">
        <is>
          <t>💰 الأثر المالي السنوي على درب (مليون ريال) - افتراض 230 محطة × 80,000 لتر × 12</t>
        </is>
      </c>
    </row>
    <row r="18" ht="31.5" customHeight="1" s="260">
      <c r="A18" s="273" t="inlineStr">
        <is>
          <t>البند</t>
        </is>
      </c>
      <c r="B18" s="273" t="inlineStr">
        <is>
          <t>ساسكو</t>
        </is>
      </c>
      <c r="C18" s="273" t="inlineStr">
        <is>
          <t>محافظ</t>
        </is>
      </c>
      <c r="D18" s="273" t="inlineStr">
        <is>
          <t>⭐ الحالي</t>
        </is>
      </c>
      <c r="E18" s="273" t="inlineStr">
        <is>
          <t>معتدل</t>
        </is>
      </c>
      <c r="F18" s="273" t="inlineStr">
        <is>
          <t>جذاب</t>
        </is>
      </c>
      <c r="G18" s="273" t="inlineStr">
        <is>
          <t>سخي</t>
        </is>
      </c>
      <c r="H18" s="273" t="inlineStr">
        <is>
          <t>مقارنة</t>
        </is>
      </c>
      <c r="I18" s="287" t="n"/>
    </row>
    <row r="19" ht="31.5" customHeight="1" s="260">
      <c r="A19" s="296" t="inlineStr">
        <is>
          <t>تكلفة سنوية (الأبيض)</t>
        </is>
      </c>
      <c r="B19" s="473">
        <f>B10*514.5*0.7</f>
        <v/>
      </c>
      <c r="C19" s="473">
        <f>C10*514.5*0.7</f>
        <v/>
      </c>
      <c r="D19" s="474">
        <f>D10*514.5*0.7</f>
        <v/>
      </c>
      <c r="E19" s="473">
        <f>E10*514.5*0.7</f>
        <v/>
      </c>
      <c r="F19" s="473">
        <f>F10*514.5*0.7</f>
        <v/>
      </c>
      <c r="G19" s="473">
        <f>G10*514.5*0.7</f>
        <v/>
      </c>
      <c r="H19" s="475">
        <f>G19-D19</f>
        <v/>
      </c>
      <c r="I19" s="287" t="n"/>
    </row>
    <row r="20" ht="13.5" customHeight="1" s="260"/>
    <row r="21" ht="36" customHeight="1" s="260">
      <c r="A21" s="358" t="inlineStr">
        <is>
          <t>💡 العمود ⭐ الحالي يعكس قيم شيت السيناريوهات وقت فتح الملف · غيّر القيم في السيناريوهات وارجع هنا لتشوف الفرق</t>
        </is>
      </c>
      <c r="B21" s="293" t="n"/>
      <c r="C21" s="293" t="n"/>
      <c r="D21" s="293" t="n"/>
      <c r="E21" s="293" t="n"/>
      <c r="F21" s="293" t="n"/>
      <c r="G21" s="293" t="n"/>
      <c r="H21" s="293" t="n"/>
      <c r="I21" s="287" t="n"/>
    </row>
    <row r="23" ht="24" customHeight="1" s="260">
      <c r="A23" s="297" t="inlineStr">
        <is>
          <t xml:space="preserve">  درب · مقارنة السيناريوهات · 2026  </t>
        </is>
      </c>
    </row>
  </sheetData>
  <mergeCells count="18">
    <mergeCell ref="H11:I11"/>
    <mergeCell ref="H12:I12"/>
    <mergeCell ref="A2:I2"/>
    <mergeCell ref="H6:I6"/>
    <mergeCell ref="H7:I7"/>
    <mergeCell ref="H10:I10"/>
    <mergeCell ref="A4:I4"/>
    <mergeCell ref="H15:I15"/>
    <mergeCell ref="H18:I18"/>
    <mergeCell ref="A1:I1"/>
    <mergeCell ref="A17:I17"/>
    <mergeCell ref="A23:I23"/>
    <mergeCell ref="H5:I5"/>
    <mergeCell ref="H19:I19"/>
    <mergeCell ref="H8:I8"/>
    <mergeCell ref="H13:I13"/>
    <mergeCell ref="H9:I9"/>
    <mergeCell ref="A21:I21"/>
  </mergeCells>
  <conditionalFormatting sqref="H6:I6">
    <cfRule type="expression" rank="0" priority="2" equalAverage="0" aboveAverage="0" dxfId="0" text="" percent="0" bottom="0">
      <formula>ISNUMBER(SEARCH("✅",H6))</formula>
    </cfRule>
    <cfRule type="expression" rank="0" priority="3" equalAverage="0" aboveAverage="0" dxfId="1" text="" percent="0" bottom="0">
      <formula>ISNUMBER(SEARCH("⚠️",H6))</formula>
    </cfRule>
    <cfRule type="expression" rank="0" priority="4" equalAverage="0" aboveAverage="0" dxfId="2" text="" percent="0" bottom="0">
      <formula>ISNUMBER(SEARCH("🔴",H6))</formula>
    </cfRule>
    <cfRule type="expression" rank="0" priority="5" equalAverage="0" aboveAverage="0" dxfId="11" text="" percent="0" bottom="0">
      <formula>ISNUMBER(SEARCH("🟡",H6))</formula>
    </cfRule>
  </conditionalFormatting>
  <conditionalFormatting sqref="H7:I7">
    <cfRule type="expression" rank="0" priority="6" equalAverage="0" aboveAverage="0" dxfId="0" text="" percent="0" bottom="0">
      <formula>ISNUMBER(SEARCH("✅",H7))</formula>
    </cfRule>
    <cfRule type="expression" rank="0" priority="7" equalAverage="0" aboveAverage="0" dxfId="1" text="" percent="0" bottom="0">
      <formula>ISNUMBER(SEARCH("⚠️",H7))</formula>
    </cfRule>
    <cfRule type="expression" rank="0" priority="8" equalAverage="0" aboveAverage="0" dxfId="2" text="" percent="0" bottom="0">
      <formula>ISNUMBER(SEARCH("🔴",H7))</formula>
    </cfRule>
    <cfRule type="expression" rank="0" priority="9" equalAverage="0" aboveAverage="0" dxfId="11" text="" percent="0" bottom="0">
      <formula>ISNUMBER(SEARCH("🟡",H7))</formula>
    </cfRule>
  </conditionalFormatting>
  <conditionalFormatting sqref="H8:I8">
    <cfRule type="expression" rank="0" priority="10" equalAverage="0" aboveAverage="0" dxfId="0" text="" percent="0" bottom="0">
      <formula>ISNUMBER(SEARCH("✅",H8))</formula>
    </cfRule>
    <cfRule type="expression" rank="0" priority="11" equalAverage="0" aboveAverage="0" dxfId="1" text="" percent="0" bottom="0">
      <formula>ISNUMBER(SEARCH("⚠️",H8))</formula>
    </cfRule>
    <cfRule type="expression" rank="0" priority="12" equalAverage="0" aboveAverage="0" dxfId="2" text="" percent="0" bottom="0">
      <formula>ISNUMBER(SEARCH("🔴",H8))</formula>
    </cfRule>
    <cfRule type="expression" rank="0" priority="13" equalAverage="0" aboveAverage="0" dxfId="11" text="" percent="0" bottom="0">
      <formula>ISNUMBER(SEARCH("🟡",H8))</formula>
    </cfRule>
  </conditionalFormatting>
  <conditionalFormatting sqref="H9:I9">
    <cfRule type="expression" rank="0" priority="14" equalAverage="0" aboveAverage="0" dxfId="0" text="" percent="0" bottom="0">
      <formula>ISNUMBER(SEARCH("✅",H9))</formula>
    </cfRule>
    <cfRule type="expression" rank="0" priority="15" equalAverage="0" aboveAverage="0" dxfId="1" text="" percent="0" bottom="0">
      <formula>ISNUMBER(SEARCH("⚠️",H9))</formula>
    </cfRule>
    <cfRule type="expression" rank="0" priority="16" equalAverage="0" aboveAverage="0" dxfId="2" text="" percent="0" bottom="0">
      <formula>ISNUMBER(SEARCH("🔴",H9))</formula>
    </cfRule>
    <cfRule type="expression" rank="0" priority="17" equalAverage="0" aboveAverage="0" dxfId="11" text="" percent="0" bottom="0">
      <formula>ISNUMBER(SEARCH("🟡",H9))</formula>
    </cfRule>
  </conditionalFormatting>
  <conditionalFormatting sqref="H10:I10">
    <cfRule type="expression" rank="0" priority="18" equalAverage="0" aboveAverage="0" dxfId="0" text="" percent="0" bottom="0">
      <formula>ISNUMBER(SEARCH("✅",H10))</formula>
    </cfRule>
    <cfRule type="expression" rank="0" priority="19" equalAverage="0" aboveAverage="0" dxfId="1" text="" percent="0" bottom="0">
      <formula>ISNUMBER(SEARCH("⚠️",H10))</formula>
    </cfRule>
    <cfRule type="expression" rank="0" priority="20" equalAverage="0" aboveAverage="0" dxfId="2" text="" percent="0" bottom="0">
      <formula>ISNUMBER(SEARCH("🔴",H10))</formula>
    </cfRule>
    <cfRule type="expression" rank="0" priority="21" equalAverage="0" aboveAverage="0" dxfId="11" text="" percent="0" bottom="0">
      <formula>ISNUMBER(SEARCH("🟡",H10))</formula>
    </cfRule>
  </conditionalFormatting>
  <conditionalFormatting sqref="H11:I11">
    <cfRule type="expression" rank="0" priority="22" equalAverage="0" aboveAverage="0" dxfId="0" text="" percent="0" bottom="0">
      <formula>ISNUMBER(SEARCH("✅",H11))</formula>
    </cfRule>
    <cfRule type="expression" rank="0" priority="23" equalAverage="0" aboveAverage="0" dxfId="1" text="" percent="0" bottom="0">
      <formula>ISNUMBER(SEARCH("⚠️",H11))</formula>
    </cfRule>
    <cfRule type="expression" rank="0" priority="24" equalAverage="0" aboveAverage="0" dxfId="2" text="" percent="0" bottom="0">
      <formula>ISNUMBER(SEARCH("🔴",H11))</formula>
    </cfRule>
    <cfRule type="expression" rank="0" priority="25" equalAverage="0" aboveAverage="0" dxfId="11" text="" percent="0" bottom="0">
      <formula>ISNUMBER(SEARCH("🟡",H11))</formula>
    </cfRule>
  </conditionalFormatting>
  <conditionalFormatting sqref="H12:I12">
    <cfRule type="expression" rank="0" priority="26" equalAverage="0" aboveAverage="0" dxfId="0" text="" percent="0" bottom="0">
      <formula>ISNUMBER(SEARCH("✅",H12))</formula>
    </cfRule>
    <cfRule type="expression" rank="0" priority="27" equalAverage="0" aboveAverage="0" dxfId="1" text="" percent="0" bottom="0">
      <formula>ISNUMBER(SEARCH("⚠️",H12))</formula>
    </cfRule>
    <cfRule type="expression" rank="0" priority="28" equalAverage="0" aboveAverage="0" dxfId="2" text="" percent="0" bottom="0">
      <formula>ISNUMBER(SEARCH("🔴",H12))</formula>
    </cfRule>
    <cfRule type="expression" rank="0" priority="29" equalAverage="0" aboveAverage="0" dxfId="11" text="" percent="0" bottom="0">
      <formula>ISNUMBER(SEARCH("🟡",H12))</formula>
    </cfRule>
  </conditionalFormatting>
  <conditionalFormatting sqref="H13:I13">
    <cfRule type="expression" rank="0" priority="30" equalAverage="0" aboveAverage="0" dxfId="0" text="" percent="0" bottom="0">
      <formula>ISNUMBER(SEARCH("✅",H13))</formula>
    </cfRule>
    <cfRule type="expression" rank="0" priority="31" equalAverage="0" aboveAverage="0" dxfId="1" text="" percent="0" bottom="0">
      <formula>ISNUMBER(SEARCH("⚠️",H13))</formula>
    </cfRule>
    <cfRule type="expression" rank="0" priority="32" equalAverage="0" aboveAverage="0" dxfId="2" text="" percent="0" bottom="0">
      <formula>ISNUMBER(SEARCH("🔴",H13))</formula>
    </cfRule>
    <cfRule type="expression" rank="0" priority="33" equalAverage="0" aboveAverage="0" dxfId="11" text="" percent="0" bottom="0">
      <formula>ISNUMBER(SEARCH("🟡",H13))</formula>
    </cfRule>
  </conditionalFormatting>
  <conditionalFormatting sqref="B10:G10">
    <cfRule type="colorScale" priority="34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1:G11">
    <cfRule type="colorScale" priority="35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2:G12">
    <cfRule type="colorScale" priority="36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9:G19">
    <cfRule type="dataBar" priority="37">
      <dataBar minLength="10" maxLength="90" showValue="1">
        <cfvo type="min" val="0"/>
        <cfvo type="max" val="0"/>
        <color rgb="FFF18321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59" min="1" max="1"/>
    <col width="14" customWidth="1" style="259" min="2" max="3"/>
    <col width="16" customWidth="1" style="259" min="4" max="5"/>
    <col width="14" customWidth="1" style="259" min="6" max="7"/>
    <col width="12" customWidth="1" style="259" min="8" max="8"/>
  </cols>
  <sheetData>
    <row r="1" ht="37.5" customHeight="1" s="260">
      <c r="A1" s="476" t="inlineStr">
        <is>
          <t xml:space="preserve">  درب · حساب قيمة النقطة بالتفصيل</t>
        </is>
      </c>
    </row>
    <row r="2" ht="24" customHeight="1" s="260">
      <c r="A2" s="262" t="inlineStr">
        <is>
          <t xml:space="preserve">  أمثلة عملية لأنواع مختلفة من العملاء</t>
        </is>
      </c>
    </row>
    <row r="3" ht="9.75" customHeight="1" s="260"/>
    <row r="4" ht="30" customHeight="1" s="260">
      <c r="A4" s="272" t="inlineStr">
        <is>
          <t>🧮 المعادلات الأساسية</t>
        </is>
      </c>
    </row>
    <row r="5" ht="31.5" customHeight="1" s="260">
      <c r="A5" s="273" t="inlineStr">
        <is>
          <t>المعادلة</t>
        </is>
      </c>
      <c r="B5" s="273" t="inlineStr">
        <is>
          <t>الصيغة</t>
        </is>
      </c>
      <c r="C5" s="273" t="inlineStr">
        <is>
          <t>النتيجة</t>
        </is>
      </c>
      <c r="D5" s="273" t="inlineStr">
        <is>
          <t>الوحدة</t>
        </is>
      </c>
    </row>
    <row r="6" ht="27.75" customHeight="1" s="260">
      <c r="A6" s="296" t="inlineStr">
        <is>
          <t>قيمة 1 نقطة (ريال)</t>
        </is>
      </c>
      <c r="B6" s="477" t="inlineStr">
        <is>
          <t>1 / 10,000</t>
        </is>
      </c>
      <c r="C6" s="478">
        <f>1/السيناريوهات!C6</f>
        <v/>
      </c>
      <c r="D6" s="356" t="inlineStr">
        <is>
          <t>ريال</t>
        </is>
      </c>
    </row>
    <row r="7" ht="27.75" customHeight="1" s="260">
      <c r="A7" s="296" t="inlineStr">
        <is>
          <t>قيمة 1 نقطة (هللة)</t>
        </is>
      </c>
      <c r="B7" s="477" t="inlineStr">
        <is>
          <t>(1/10K)×100</t>
        </is>
      </c>
      <c r="C7" s="479">
        <f>(1/السيناريوهات!C6)*100</f>
        <v/>
      </c>
      <c r="D7" s="356" t="inlineStr">
        <is>
          <t>هللة</t>
        </is>
      </c>
    </row>
    <row r="8" ht="27.75" customHeight="1" s="260">
      <c r="A8" s="296" t="inlineStr">
        <is>
          <t>نقاط ساسكو لكل ريال</t>
        </is>
      </c>
      <c r="B8" s="477" t="inlineStr">
        <is>
          <t>لتر/ريال</t>
        </is>
      </c>
      <c r="C8" s="479">
        <f>1/السيناريوهات!C11</f>
        <v/>
      </c>
      <c r="D8" s="356" t="inlineStr">
        <is>
          <t>نقطة</t>
        </is>
      </c>
    </row>
    <row r="9" ht="27.75" customHeight="1" s="260">
      <c r="A9" s="296" t="inlineStr">
        <is>
          <t>نقاط درب الأبيض/ريال</t>
        </is>
      </c>
      <c r="B9" s="477" t="inlineStr">
        <is>
          <t>100</t>
        </is>
      </c>
      <c r="C9" s="275">
        <f>السيناريوهات!C7</f>
        <v/>
      </c>
      <c r="D9" s="356" t="inlineStr">
        <is>
          <t>نقطة</t>
        </is>
      </c>
    </row>
    <row r="10" ht="27.75" customHeight="1" s="260">
      <c r="A10" s="296" t="inlineStr">
        <is>
          <t>نقاط درب الفضي/ريال</t>
        </is>
      </c>
      <c r="B10" s="477" t="inlineStr">
        <is>
          <t>150</t>
        </is>
      </c>
      <c r="C10" s="275">
        <f>السيناريوهات!C8</f>
        <v/>
      </c>
      <c r="D10" s="356" t="inlineStr">
        <is>
          <t>نقطة</t>
        </is>
      </c>
    </row>
    <row r="11" ht="27.75" customHeight="1" s="260">
      <c r="A11" s="296" t="inlineStr">
        <is>
          <t>نقاط درب البرتقالي/ريال</t>
        </is>
      </c>
      <c r="B11" s="477" t="inlineStr">
        <is>
          <t>200</t>
        </is>
      </c>
      <c r="C11" s="275">
        <f>السيناريوهات!C9</f>
        <v/>
      </c>
      <c r="D11" s="356" t="inlineStr">
        <is>
          <t>نقطة</t>
        </is>
      </c>
    </row>
    <row r="12" ht="27.75" customHeight="1" s="260">
      <c r="A12" s="296" t="inlineStr">
        <is>
          <t>الكاش باك الأبيض</t>
        </is>
      </c>
      <c r="B12" s="477" t="inlineStr">
        <is>
          <t>100÷10K</t>
        </is>
      </c>
      <c r="C12" s="480">
        <f>السيناريوهات!C7/السيناريوهات!C6</f>
        <v/>
      </c>
      <c r="D12" s="356" t="inlineStr">
        <is>
          <t>%</t>
        </is>
      </c>
    </row>
    <row r="13" ht="27.75" customHeight="1" s="260">
      <c r="A13" s="296" t="inlineStr">
        <is>
          <t>الكاش باك الفضي</t>
        </is>
      </c>
      <c r="B13" s="477" t="inlineStr">
        <is>
          <t>150÷10K</t>
        </is>
      </c>
      <c r="C13" s="480">
        <f>السيناريوهات!C8/السيناريوهات!C6</f>
        <v/>
      </c>
      <c r="D13" s="356" t="inlineStr">
        <is>
          <t>%</t>
        </is>
      </c>
    </row>
    <row r="14" ht="27.75" customHeight="1" s="260">
      <c r="A14" s="296" t="inlineStr">
        <is>
          <t>الكاش باك البرتقالي</t>
        </is>
      </c>
      <c r="B14" s="477" t="inlineStr">
        <is>
          <t>200÷10K</t>
        </is>
      </c>
      <c r="C14" s="480">
        <f>السيناريوهات!C9/السيناريوهات!C6</f>
        <v/>
      </c>
      <c r="D14" s="356" t="inlineStr">
        <is>
          <t>%</t>
        </is>
      </c>
    </row>
    <row r="15" ht="9.75" customHeight="1" s="260"/>
    <row r="16" ht="30" customHeight="1" s="260">
      <c r="A16" s="329" t="inlineStr">
        <is>
          <t>📊 أمثلة عملية للعملاء</t>
        </is>
      </c>
    </row>
    <row r="17" ht="36" customHeight="1" s="260">
      <c r="A17" s="273" t="inlineStr">
        <is>
          <t>ملف العميل</t>
        </is>
      </c>
      <c r="B17" s="273" t="inlineStr">
        <is>
          <t>إنفاق/شهر</t>
        </is>
      </c>
      <c r="C17" s="273" t="inlineStr">
        <is>
          <t>إنفاق/سنة</t>
        </is>
      </c>
      <c r="D17" s="273" t="inlineStr">
        <is>
          <t>المستوى</t>
        </is>
      </c>
      <c r="E17" s="273" t="inlineStr">
        <is>
          <t>النقاط/سنة</t>
        </is>
      </c>
      <c r="F17" s="273" t="inlineStr">
        <is>
          <t>القيمة</t>
        </is>
      </c>
      <c r="G17" s="273" t="inlineStr">
        <is>
          <t>الكاش باك</t>
        </is>
      </c>
      <c r="H17" s="273" t="inlineStr">
        <is>
          <t>vs ساسكو</t>
        </is>
      </c>
    </row>
    <row r="18" ht="30" customHeight="1" s="260">
      <c r="A18" s="296" t="inlineStr">
        <is>
          <t>🏠 خفيف</t>
        </is>
      </c>
      <c r="B18" s="277" t="n">
        <v>500</v>
      </c>
      <c r="C18" s="360">
        <f>B18*12</f>
        <v/>
      </c>
      <c r="D18" s="306">
        <f>IF(C18&lt;السيناريوهات!$C$16,"🤍 أبيض",IF(C18&lt;السيناريوهات!$C$17,"🩶 فضي","🟠 برتقالي"))</f>
        <v/>
      </c>
      <c r="E18" s="481">
        <f>C18*IF(D18="🤍 أبيض",السيناريوهات!$C$7,IF(D18="🩶 فضي",السيناريوهات!$C$8,السيناريوهات!$C$9))</f>
        <v/>
      </c>
      <c r="F18" s="482">
        <f>E18/السيناريوهات!$C$6</f>
        <v/>
      </c>
      <c r="G18" s="364">
        <f>F18/C18</f>
        <v/>
      </c>
      <c r="H18" s="483">
        <f>G18/0.0043</f>
        <v/>
      </c>
    </row>
    <row r="19" ht="30" customHeight="1" s="260">
      <c r="A19" s="296" t="inlineStr">
        <is>
          <t>🚗 متوسط</t>
        </is>
      </c>
      <c r="B19" s="277" t="n">
        <v>1500</v>
      </c>
      <c r="C19" s="360">
        <f>B19*12</f>
        <v/>
      </c>
      <c r="D19" s="306">
        <f>IF(C19&lt;السيناريوهات!$C$16,"🤍 أبيض",IF(C19&lt;السيناريوهات!$C$17,"🩶 فضي","🟠 برتقالي"))</f>
        <v/>
      </c>
      <c r="E19" s="481">
        <f>C19*IF(D19="🤍 أبيض",السيناريوهات!$C$7,IF(D19="🩶 فضي",السيناريوهات!$C$8,السيناريوهات!$C$9))</f>
        <v/>
      </c>
      <c r="F19" s="482">
        <f>E19/السيناريوهات!$C$6</f>
        <v/>
      </c>
      <c r="G19" s="364">
        <f>F19/C19</f>
        <v/>
      </c>
      <c r="H19" s="483">
        <f>G19/0.0043</f>
        <v/>
      </c>
    </row>
    <row r="20" ht="30" customHeight="1" s="260">
      <c r="A20" s="296" t="inlineStr">
        <is>
          <t>🚙 نشط</t>
        </is>
      </c>
      <c r="B20" s="277" t="n">
        <v>2500</v>
      </c>
      <c r="C20" s="360">
        <f>B20*12</f>
        <v/>
      </c>
      <c r="D20" s="306">
        <f>IF(C20&lt;السيناريوهات!$C$16,"🤍 أبيض",IF(C20&lt;السيناريوهات!$C$17,"🩶 فضي","🟠 برتقالي"))</f>
        <v/>
      </c>
      <c r="E20" s="481">
        <f>C20*IF(D20="🤍 أبيض",السيناريوهات!$C$7,IF(D20="🩶 فضي",السيناريوهات!$C$8,السيناريوهات!$C$9))</f>
        <v/>
      </c>
      <c r="F20" s="482">
        <f>E20/السيناريوهات!$C$6</f>
        <v/>
      </c>
      <c r="G20" s="364">
        <f>F20/C20</f>
        <v/>
      </c>
      <c r="H20" s="483">
        <f>G20/0.0043</f>
        <v/>
      </c>
    </row>
    <row r="21" ht="30" customHeight="1" s="260">
      <c r="A21" s="296" t="inlineStr">
        <is>
          <t>🏢 أعمال</t>
        </is>
      </c>
      <c r="B21" s="277" t="n">
        <v>5000</v>
      </c>
      <c r="C21" s="360">
        <f>B21*12</f>
        <v/>
      </c>
      <c r="D21" s="306">
        <f>IF(C21&lt;السيناريوهات!$C$16,"🤍 أبيض",IF(C21&lt;السيناريوهات!$C$17,"🩶 فضي","🟠 برتقالي"))</f>
        <v/>
      </c>
      <c r="E21" s="481">
        <f>C21*IF(D21="🤍 أبيض",السيناريوهات!$C$7,IF(D21="🩶 فضي",السيناريوهات!$C$8,السيناريوهات!$C$9))</f>
        <v/>
      </c>
      <c r="F21" s="482">
        <f>E21/السيناريوهات!$C$6</f>
        <v/>
      </c>
      <c r="G21" s="364">
        <f>F21/C21</f>
        <v/>
      </c>
      <c r="H21" s="483">
        <f>G21/0.0043</f>
        <v/>
      </c>
    </row>
  </sheetData>
  <mergeCells count="4">
    <mergeCell ref="A4:H4"/>
    <mergeCell ref="A2:H2"/>
    <mergeCell ref="A16:H16"/>
    <mergeCell ref="A1:H1"/>
  </mergeCells>
  <conditionalFormatting sqref="G18:G21">
    <cfRule type="colorScale" priority="2">
      <colorScale>
        <cfvo type="num" val="0"/>
        <cfvo type="num" val="0.01"/>
        <cfvo type="num" val="0.025"/>
        <color rgb="FFFFC7CE"/>
        <color rgb="FFFFEB9C"/>
        <color rgb="FFC6EFCE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59" min="1" max="1"/>
    <col width="18" customWidth="1" style="259" min="2" max="3"/>
    <col width="14" customWidth="1" style="259" min="4" max="4"/>
    <col width="18" customWidth="1" style="259" min="5" max="5"/>
  </cols>
  <sheetData>
    <row r="1" ht="37.5" customHeight="1" s="260">
      <c r="A1" s="476" t="inlineStr">
        <is>
          <t xml:space="preserve">  درب · المستويات الثلاثة</t>
        </is>
      </c>
      <c r="F1" s="484" t="n"/>
      <c r="G1" s="484" t="n"/>
      <c r="H1" s="484" t="n"/>
      <c r="I1" s="484" t="n"/>
    </row>
    <row r="2" ht="24" customHeight="1" s="260">
      <c r="A2" s="262" t="inlineStr">
        <is>
          <t xml:space="preserve">  هيكل المستويات + الكسب + المنافع</t>
        </is>
      </c>
      <c r="F2" s="485" t="n"/>
      <c r="G2" s="485" t="n"/>
      <c r="H2" s="485" t="n"/>
      <c r="I2" s="485" t="n"/>
    </row>
    <row r="3" ht="9.75" customHeight="1" s="260"/>
    <row r="4" ht="30" customHeight="1" s="260">
      <c r="A4" s="272" t="inlineStr">
        <is>
          <t>🎯 هيكل المستويات</t>
        </is>
      </c>
      <c r="F4" s="484" t="n"/>
      <c r="G4" s="484" t="n"/>
      <c r="H4" s="484" t="n"/>
      <c r="I4" s="484" t="n"/>
    </row>
    <row r="5" ht="31.5" customHeight="1" s="260">
      <c r="A5" s="330" t="inlineStr">
        <is>
          <t>المستوى</t>
        </is>
      </c>
      <c r="B5" s="330" t="inlineStr">
        <is>
          <t>معدل الكسب</t>
        </is>
      </c>
      <c r="C5" s="330" t="inlineStr">
        <is>
          <t>الحد الأدنى</t>
        </is>
      </c>
      <c r="D5" s="330" t="inlineStr">
        <is>
          <t>الكاش باك</t>
        </is>
      </c>
      <c r="E5" s="330" t="inlineStr">
        <is>
          <t>هدية الترحيب</t>
        </is>
      </c>
    </row>
    <row r="6" ht="36" customHeight="1" s="260">
      <c r="A6" s="486" t="inlineStr">
        <is>
          <t>🤍 المستوى الأبيض</t>
        </is>
      </c>
      <c r="B6" s="487">
        <f>السيناريوهات!C7</f>
        <v/>
      </c>
      <c r="C6" s="488" t="n">
        <v>0</v>
      </c>
      <c r="D6" s="489">
        <f>السيناريوهات!C7/السيناريوهات!C6</f>
        <v/>
      </c>
      <c r="E6" s="490" t="n">
        <v>5000</v>
      </c>
    </row>
    <row r="7" ht="36" customHeight="1" s="260">
      <c r="A7" s="491" t="inlineStr">
        <is>
          <t>🩶 المستوى الفضي</t>
        </is>
      </c>
      <c r="B7" s="487">
        <f>السيناريوهات!C8</f>
        <v/>
      </c>
      <c r="C7" s="488">
        <f>السيناريوهات!C16</f>
        <v/>
      </c>
      <c r="D7" s="489">
        <f>السيناريوهات!C8/السيناريوهات!C6</f>
        <v/>
      </c>
      <c r="E7" s="490" t="n">
        <v>10000</v>
      </c>
    </row>
    <row r="8" ht="36" customHeight="1" s="260">
      <c r="A8" s="492" t="inlineStr">
        <is>
          <t>🟠 المستوى البرتقالي</t>
        </is>
      </c>
      <c r="B8" s="487">
        <f>السيناريوهات!C9</f>
        <v/>
      </c>
      <c r="C8" s="488">
        <f>السيناريوهات!C17+1</f>
        <v/>
      </c>
      <c r="D8" s="489">
        <f>السيناريوهات!C9/السيناريوهات!C6</f>
        <v/>
      </c>
      <c r="E8" s="490" t="n">
        <v>20000</v>
      </c>
    </row>
    <row r="9" ht="12" customHeight="1" s="260"/>
    <row r="10" ht="30" customHeight="1" s="260">
      <c r="A10" s="272" t="inlineStr">
        <is>
          <t>🎁 المنافع الإضافية</t>
        </is>
      </c>
      <c r="F10" s="484" t="n"/>
      <c r="G10" s="484" t="n"/>
      <c r="H10" s="484" t="n"/>
      <c r="I10" s="484" t="n"/>
    </row>
    <row r="11" ht="31.5" customHeight="1" s="260">
      <c r="A11" s="330" t="inlineStr">
        <is>
          <t>الميزة</t>
        </is>
      </c>
      <c r="B11" s="289" t="inlineStr">
        <is>
          <t>🤍 الأبيض</t>
        </is>
      </c>
      <c r="C11" s="290" t="inlineStr">
        <is>
          <t>🩶 الفضي</t>
        </is>
      </c>
      <c r="D11" s="291" t="inlineStr">
        <is>
          <t>🟠 البرتقالي</t>
        </is>
      </c>
      <c r="E11" s="330" t="inlineStr">
        <is>
          <t>ملاحظة</t>
        </is>
      </c>
    </row>
    <row r="12" ht="27.75" customHeight="1" s="260">
      <c r="A12" s="296" t="inlineStr">
        <is>
          <t>نقاط مضاعفة في الأعياد</t>
        </is>
      </c>
      <c r="B12" s="284" t="inlineStr">
        <is>
          <t>❌</t>
        </is>
      </c>
      <c r="C12" s="284" t="inlineStr">
        <is>
          <t>🎯 1.5×</t>
        </is>
      </c>
      <c r="D12" s="284" t="inlineStr">
        <is>
          <t>🎯 2×</t>
        </is>
      </c>
      <c r="E12" s="493" t="inlineStr">
        <is>
          <t>تحفيز للمناسبات</t>
        </is>
      </c>
    </row>
    <row r="13" ht="27.75" customHeight="1" s="260">
      <c r="A13" s="296" t="inlineStr">
        <is>
          <t>دعوة لفعاليات درب</t>
        </is>
      </c>
      <c r="B13" s="284" t="inlineStr">
        <is>
          <t>❌</t>
        </is>
      </c>
      <c r="C13" s="284" t="inlineStr">
        <is>
          <t>✅</t>
        </is>
      </c>
      <c r="D13" s="284" t="inlineStr">
        <is>
          <t>✅✅ VIP</t>
        </is>
      </c>
      <c r="E13" s="493" t="inlineStr">
        <is>
          <t>تجربة حصرية</t>
        </is>
      </c>
    </row>
    <row r="14" ht="27.75" customHeight="1" s="260">
      <c r="A14" s="296" t="inlineStr">
        <is>
          <t>خصومات الشركاء</t>
        </is>
      </c>
      <c r="B14" s="284" t="inlineStr">
        <is>
          <t>5%</t>
        </is>
      </c>
      <c r="C14" s="284" t="inlineStr">
        <is>
          <t>10%</t>
        </is>
      </c>
      <c r="D14" s="284" t="inlineStr">
        <is>
          <t>15%</t>
        </is>
      </c>
      <c r="E14" s="493" t="inlineStr">
        <is>
          <t>قيمة إضافية</t>
        </is>
      </c>
    </row>
    <row r="15" ht="27.75" customHeight="1" s="260">
      <c r="A15" s="296" t="inlineStr">
        <is>
          <t>أولوية الدعم الفني</t>
        </is>
      </c>
      <c r="B15" s="284" t="inlineStr">
        <is>
          <t>عادي</t>
        </is>
      </c>
      <c r="C15" s="284" t="inlineStr">
        <is>
          <t>سريع</t>
        </is>
      </c>
      <c r="D15" s="284" t="inlineStr">
        <is>
          <t>فوري</t>
        </is>
      </c>
      <c r="E15" s="493" t="inlineStr">
        <is>
          <t>خدمة العملاء</t>
        </is>
      </c>
    </row>
    <row r="16" ht="27.75" customHeight="1" s="260">
      <c r="A16" s="296" t="inlineStr">
        <is>
          <t>إهداء النقاط للعائلة</t>
        </is>
      </c>
      <c r="B16" s="284" t="inlineStr">
        <is>
          <t>❌</t>
        </is>
      </c>
      <c r="C16" s="284" t="inlineStr">
        <is>
          <t>✅ محدود</t>
        </is>
      </c>
      <c r="D16" s="284" t="inlineStr">
        <is>
          <t>✅ بلا حدود</t>
        </is>
      </c>
      <c r="E16" s="493" t="inlineStr">
        <is>
          <t>مشاركة المنفعة</t>
        </is>
      </c>
    </row>
    <row r="17" ht="27.75" customHeight="1" s="260">
      <c r="A17" s="296" t="inlineStr">
        <is>
          <t>تجميد الحساب</t>
        </is>
      </c>
      <c r="B17" s="284" t="inlineStr">
        <is>
          <t>❌</t>
        </is>
      </c>
      <c r="C17" s="284" t="inlineStr">
        <is>
          <t>❌</t>
        </is>
      </c>
      <c r="D17" s="284" t="inlineStr">
        <is>
          <t>✅ مرة/سنة</t>
        </is>
      </c>
      <c r="E17" s="493" t="inlineStr">
        <is>
          <t>مرونة في الإجازات</t>
        </is>
      </c>
    </row>
    <row r="18" ht="12" customHeight="1" s="260"/>
    <row r="19" ht="30" customHeight="1" s="260">
      <c r="A19" s="329" t="inlineStr">
        <is>
          <t>⚙️ قواعد الترقية والتنزيل</t>
        </is>
      </c>
      <c r="F19" s="494" t="n"/>
      <c r="G19" s="494" t="n"/>
      <c r="H19" s="494" t="n"/>
      <c r="I19" s="494" t="n"/>
    </row>
    <row r="20" ht="25.5" customHeight="1" s="260">
      <c r="A20" s="328" t="inlineStr">
        <is>
          <t>🔼 الترقية: تلقائية فور تجاوز الحد الأدنى للمستوى التالي</t>
        </is>
      </c>
      <c r="B20" s="293" t="n"/>
      <c r="C20" s="293" t="n"/>
      <c r="D20" s="293" t="n"/>
      <c r="E20" s="287" t="n"/>
    </row>
    <row r="21" ht="25.5" customHeight="1" s="260">
      <c r="A21" s="328" t="inlineStr">
        <is>
          <t>🔽 التنزيل: بعد 12 شهر من عدم الوصول للحد الأدنى</t>
        </is>
      </c>
      <c r="B21" s="293" t="n"/>
      <c r="C21" s="293" t="n"/>
      <c r="D21" s="293" t="n"/>
      <c r="E21" s="287" t="n"/>
    </row>
    <row r="22" ht="25.5" customHeight="1" s="260">
      <c r="A22" s="328" t="inlineStr">
        <is>
          <t>📅 المراجعة: 31 ديسمبر من كل سنة · يحتسب آخر 12 شهر</t>
        </is>
      </c>
      <c r="B22" s="293" t="n"/>
      <c r="C22" s="293" t="n"/>
      <c r="D22" s="293" t="n"/>
      <c r="E22" s="287" t="n"/>
    </row>
    <row r="23" ht="25.5" customHeight="1" s="260">
      <c r="A23" s="328" t="inlineStr">
        <is>
          <t>🎯 فترة سماح: 30 يوم بعد التنزيل لاستعادة المستوى</t>
        </is>
      </c>
      <c r="B23" s="293" t="n"/>
      <c r="C23" s="293" t="n"/>
      <c r="D23" s="293" t="n"/>
      <c r="E23" s="287" t="n"/>
    </row>
    <row r="24" ht="25.5" customHeight="1" s="260">
      <c r="A24" s="328" t="inlineStr">
        <is>
          <t>💯 النقاط لا تنتهي · باقية حتى لو تغيّر المستوى</t>
        </is>
      </c>
      <c r="B24" s="293" t="n"/>
      <c r="C24" s="293" t="n"/>
      <c r="D24" s="293" t="n"/>
      <c r="E24" s="287" t="n"/>
    </row>
  </sheetData>
  <mergeCells count="10">
    <mergeCell ref="A21:E21"/>
    <mergeCell ref="A4:E4"/>
    <mergeCell ref="A20:E20"/>
    <mergeCell ref="A24:E24"/>
    <mergeCell ref="A2:E2"/>
    <mergeCell ref="A10:E10"/>
    <mergeCell ref="A19:E19"/>
    <mergeCell ref="A1:E1"/>
    <mergeCell ref="A23:E23"/>
    <mergeCell ref="A22:E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59" min="1" max="1"/>
    <col width="16" customWidth="1" style="259" min="2" max="4"/>
    <col width="12" customWidth="1" style="259" min="5" max="5"/>
    <col width="14" customWidth="1" style="259" min="6" max="6"/>
    <col width="16" customWidth="1" style="259" min="7" max="7"/>
  </cols>
  <sheetData>
    <row r="1" ht="37.5" customHeight="1" s="260">
      <c r="A1" s="476" t="inlineStr">
        <is>
          <t xml:space="preserve">  درب · تكلفة الولاء على كل نوع محطة</t>
        </is>
      </c>
    </row>
    <row r="2" ht="24" customHeight="1" s="260">
      <c r="A2" s="262" t="inlineStr">
        <is>
          <t xml:space="preserve">  حساب الجدوى الاقتصادية لكل نموذج</t>
        </is>
      </c>
    </row>
    <row r="3" ht="9.75" customHeight="1" s="260"/>
    <row r="4" ht="30" customHeight="1" s="260">
      <c r="A4" s="272" t="inlineStr">
        <is>
          <t>📊 التفاصيل لكل نوع محطة</t>
        </is>
      </c>
    </row>
    <row r="5" ht="33.75" customHeight="1" s="260">
      <c r="A5" s="273" t="inlineStr">
        <is>
          <t>البند</t>
        </is>
      </c>
      <c r="B5" s="273" t="inlineStr">
        <is>
          <t>محطة تشغيل</t>
        </is>
      </c>
      <c r="C5" s="273" t="inlineStr">
        <is>
          <t>محطة استثمار</t>
        </is>
      </c>
      <c r="D5" s="273" t="inlineStr">
        <is>
          <t>محطة امتياز</t>
        </is>
      </c>
      <c r="E5" s="273" t="inlineStr">
        <is>
          <t>الفرق</t>
        </is>
      </c>
      <c r="F5" s="273" t="inlineStr">
        <is>
          <t>الجدوى</t>
        </is>
      </c>
      <c r="G5" s="273" t="inlineStr">
        <is>
          <t>الملاحظة</t>
        </is>
      </c>
    </row>
    <row r="6" ht="27.75" customHeight="1" s="260">
      <c r="A6" s="296" t="inlineStr">
        <is>
          <t>هامش/لتر (هللة)</t>
        </is>
      </c>
      <c r="B6" s="495">
        <f>السيناريوهات!C26</f>
        <v/>
      </c>
      <c r="C6" s="495">
        <f>السيناريوهات!C27</f>
        <v/>
      </c>
      <c r="D6" s="495">
        <f>السيناريوهات!C28</f>
        <v/>
      </c>
      <c r="E6" s="496" t="n"/>
      <c r="F6" s="496" t="n"/>
      <c r="G6" s="496" t="n"/>
    </row>
    <row r="7" ht="27.75" customHeight="1" s="260">
      <c r="A7" s="296" t="inlineStr">
        <is>
          <t>هامش/ريال (هللة)</t>
        </is>
      </c>
      <c r="B7" s="497">
        <f>B6/السيناريوهات!$C$11</f>
        <v/>
      </c>
      <c r="C7" s="497">
        <f>C6/السيناريوهات!$C$11</f>
        <v/>
      </c>
      <c r="D7" s="497">
        <f>D6/السيناريوهات!$C$11</f>
        <v/>
      </c>
      <c r="E7" s="496" t="n"/>
      <c r="F7" s="496" t="n"/>
      <c r="G7" s="496" t="n"/>
    </row>
    <row r="8" ht="27.75" customHeight="1" s="260">
      <c r="A8" s="498" t="inlineStr">
        <is>
          <t>تكلفة الولاء/ريال (هللة)</t>
        </is>
      </c>
      <c r="B8" s="499">
        <f>السيناريوهات!$C$10</f>
        <v/>
      </c>
      <c r="C8" s="499">
        <f>السيناريوهات!$C$10</f>
        <v/>
      </c>
      <c r="D8" s="499">
        <f>السيناريوهات!$C$10</f>
        <v/>
      </c>
      <c r="E8" s="496" t="n"/>
      <c r="F8" s="496" t="n"/>
      <c r="G8" s="496" t="n"/>
    </row>
    <row r="9" ht="27.75" customHeight="1" s="260">
      <c r="A9" s="500" t="inlineStr">
        <is>
          <t>مساهمة درب %</t>
        </is>
      </c>
      <c r="B9" s="501" t="n">
        <v>1</v>
      </c>
      <c r="C9" s="501" t="n">
        <v>0.5</v>
      </c>
      <c r="D9" s="501">
        <f>السيناريوهات!C29</f>
        <v/>
      </c>
      <c r="E9" s="496" t="n"/>
      <c r="F9" s="496" t="n"/>
      <c r="G9" s="496" t="n"/>
    </row>
    <row r="10" ht="27.75" customHeight="1" s="260">
      <c r="A10" s="502" t="inlineStr">
        <is>
          <t>تكلفة درب/ريال (هللة)</t>
        </is>
      </c>
      <c r="B10" s="503">
        <f>B8*B9</f>
        <v/>
      </c>
      <c r="C10" s="503">
        <f>C8*C9</f>
        <v/>
      </c>
      <c r="D10" s="503">
        <f>D8*D9</f>
        <v/>
      </c>
      <c r="E10" s="496" t="n"/>
      <c r="F10" s="496" t="n"/>
      <c r="G10" s="496" t="n"/>
    </row>
    <row r="11" ht="27.75" customHeight="1" s="260">
      <c r="A11" s="504" t="inlineStr">
        <is>
          <t>صافي هامش المالك/ريال</t>
        </is>
      </c>
      <c r="B11" s="505">
        <f>B7</f>
        <v/>
      </c>
      <c r="C11" s="505">
        <f>C7-(C8*(1-C9))</f>
        <v/>
      </c>
      <c r="D11" s="505">
        <f>D7-(D8*(1-D9))</f>
        <v/>
      </c>
      <c r="E11" s="496" t="n"/>
      <c r="F11" s="496" t="n"/>
      <c r="G11" s="496" t="n"/>
    </row>
    <row r="12" ht="27.75" customHeight="1" s="260">
      <c r="A12" s="294" t="inlineStr">
        <is>
          <t>الجدوى الاقتصادية</t>
        </is>
      </c>
      <c r="B12" s="306">
        <f>IF(B11&gt;0.5,"✅ مربح",IF(B11&gt;0,"⚠️ هامش ضيق","🔴 خسارة"))</f>
        <v/>
      </c>
      <c r="C12" s="306">
        <f>IF(C11&gt;0.5,"✅ مربح",IF(C11&gt;0,"⚠️ هامش ضيق","🔴 خسارة"))</f>
        <v/>
      </c>
      <c r="D12" s="306">
        <f>IF(D11&gt;0.5,"✅ مربح",IF(D11&gt;0,"⚠️ هامش ضيق","🔴 خسارة"))</f>
        <v/>
      </c>
      <c r="E12" s="496" t="n"/>
      <c r="F12" s="496" t="n"/>
      <c r="G12" s="496" t="n"/>
    </row>
  </sheetData>
  <mergeCells count="3">
    <mergeCell ref="A2:G2"/>
    <mergeCell ref="A1:G1"/>
    <mergeCell ref="A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59" min="1" max="1"/>
    <col width="12" customWidth="1" style="259" min="2" max="3"/>
    <col width="14" customWidth="1" style="259" min="4" max="4"/>
    <col width="16" customWidth="1" style="259" min="5" max="7"/>
  </cols>
  <sheetData>
    <row r="1" ht="37.5" customHeight="1" s="260">
      <c r="A1" s="476" t="inlineStr">
        <is>
          <t xml:space="preserve">  درب · آلية التحصيل من محطات الامتياز</t>
        </is>
      </c>
    </row>
    <row r="2" ht="24" customHeight="1" s="260">
      <c r="A2" s="262" t="inlineStr">
        <is>
          <t xml:space="preserve">  حساب الفاتورة الشهرية لكل محطة امتياز بناءً على المبيعات</t>
        </is>
      </c>
    </row>
    <row r="3" ht="9.75" customHeight="1" s="260"/>
    <row r="4" ht="30" customHeight="1" s="260">
      <c r="A4" s="272" t="inlineStr">
        <is>
          <t>⚙️ الآلية</t>
        </is>
      </c>
    </row>
    <row r="5" ht="30" customHeight="1" s="260">
      <c r="A5" s="471" t="inlineStr">
        <is>
          <t>1</t>
        </is>
      </c>
      <c r="B5" s="296" t="inlineStr">
        <is>
          <t>نهاية كل شهر</t>
        </is>
      </c>
      <c r="C5" s="328" t="inlineStr">
        <is>
          <t>النظام يحسب إجمالي اللترات لكل محطة</t>
        </is>
      </c>
      <c r="D5" s="496" t="n"/>
      <c r="E5" s="496" t="n"/>
      <c r="F5" s="496" t="n"/>
      <c r="G5" s="496" t="n"/>
    </row>
    <row r="6" ht="30" customHeight="1" s="260">
      <c r="A6" s="471" t="inlineStr">
        <is>
          <t>2</t>
        </is>
      </c>
      <c r="B6" s="296" t="inlineStr">
        <is>
          <t>حساب المساهمة</t>
        </is>
      </c>
      <c r="C6" s="328" t="inlineStr">
        <is>
          <t>اللترات × سعر اللتر × 0.5 هللة = المستحق</t>
        </is>
      </c>
      <c r="D6" s="496" t="n"/>
      <c r="E6" s="496" t="n"/>
      <c r="F6" s="496" t="n"/>
      <c r="G6" s="496" t="n"/>
    </row>
    <row r="7" ht="30" customHeight="1" s="260">
      <c r="A7" s="471" t="inlineStr">
        <is>
          <t>3</t>
        </is>
      </c>
      <c r="B7" s="296" t="inlineStr">
        <is>
          <t>إصدار الفاتورة</t>
        </is>
      </c>
      <c r="C7" s="328" t="inlineStr">
        <is>
          <t>فاتورة إلكترونية تلقائية في اليوم 1</t>
        </is>
      </c>
      <c r="D7" s="496" t="n"/>
      <c r="E7" s="496" t="n"/>
      <c r="F7" s="496" t="n"/>
      <c r="G7" s="496" t="n"/>
    </row>
    <row r="8" ht="30" customHeight="1" s="260">
      <c r="A8" s="471" t="inlineStr">
        <is>
          <t>4</t>
        </is>
      </c>
      <c r="B8" s="296" t="inlineStr">
        <is>
          <t>مهلة السداد</t>
        </is>
      </c>
      <c r="C8" s="328" t="inlineStr">
        <is>
          <t>15 يوم من تاريخ الفاتورة</t>
        </is>
      </c>
      <c r="D8" s="496" t="n"/>
      <c r="E8" s="496" t="n"/>
      <c r="F8" s="496" t="n"/>
      <c r="G8" s="496" t="n"/>
    </row>
    <row r="9" ht="30" customHeight="1" s="260">
      <c r="A9" s="471" t="inlineStr">
        <is>
          <t>5</t>
        </is>
      </c>
      <c r="B9" s="296" t="inlineStr">
        <is>
          <t>الغرامة</t>
        </is>
      </c>
      <c r="C9" s="328" t="inlineStr">
        <is>
          <t>1% أسبوعياً + إيقاف بعد 30 يوم</t>
        </is>
      </c>
      <c r="D9" s="496" t="n"/>
      <c r="E9" s="496" t="n"/>
      <c r="F9" s="496" t="n"/>
      <c r="G9" s="496" t="n"/>
    </row>
    <row r="10" ht="9.75" customHeight="1" s="260"/>
    <row r="11" ht="30" customHeight="1" s="260">
      <c r="A11" s="329" t="inlineStr">
        <is>
          <t>📋 محاكاة 10 محطات امتياز نموذجية</t>
        </is>
      </c>
    </row>
    <row r="12" ht="31.5" customHeight="1" s="260">
      <c r="A12" s="273" t="inlineStr">
        <is>
          <t>#</t>
        </is>
      </c>
      <c r="B12" s="273" t="inlineStr">
        <is>
          <t>الكود</t>
        </is>
      </c>
      <c r="C12" s="273" t="inlineStr">
        <is>
          <t>المدينة</t>
        </is>
      </c>
      <c r="D12" s="273" t="inlineStr">
        <is>
          <t>لتر/شهر</t>
        </is>
      </c>
      <c r="E12" s="273" t="inlineStr">
        <is>
          <t>الإنفاق (ريال)</t>
        </is>
      </c>
      <c r="F12" s="273" t="inlineStr">
        <is>
          <t>مساهمة المالك</t>
        </is>
      </c>
      <c r="G12" s="273" t="inlineStr">
        <is>
          <t>مساهمة درب</t>
        </is>
      </c>
    </row>
    <row r="13" ht="25.5" customHeight="1" s="260">
      <c r="A13" s="303" t="n">
        <v>1</v>
      </c>
      <c r="B13" s="506" t="inlineStr">
        <is>
          <t>AMT-001</t>
        </is>
      </c>
      <c r="C13" s="387" t="inlineStr">
        <is>
          <t>الرياض</t>
        </is>
      </c>
      <c r="D13" s="507" t="n">
        <v>95000</v>
      </c>
      <c r="E13" s="360">
        <f>D13*السيناريوهات!$C$11</f>
        <v/>
      </c>
      <c r="F13" s="281">
        <f>E13*السيناريوهات!$C$10*السيناريوهات!$C$30/100</f>
        <v/>
      </c>
      <c r="G13" s="508">
        <f>E13*السيناريوهات!$C$10*السيناريوهات!$C$29/100</f>
        <v/>
      </c>
    </row>
    <row r="14" ht="25.5" customHeight="1" s="260">
      <c r="A14" s="303" t="n">
        <v>2</v>
      </c>
      <c r="B14" s="506" t="inlineStr">
        <is>
          <t>AMT-002</t>
        </is>
      </c>
      <c r="C14" s="387" t="inlineStr">
        <is>
          <t>جدة</t>
        </is>
      </c>
      <c r="D14" s="507" t="n">
        <v>82000</v>
      </c>
      <c r="E14" s="360">
        <f>D14*السيناريوهات!$C$11</f>
        <v/>
      </c>
      <c r="F14" s="281">
        <f>E14*السيناريوهات!$C$10*السيناريوهات!$C$30/100</f>
        <v/>
      </c>
      <c r="G14" s="508">
        <f>E14*السيناريوهات!$C$10*السيناريوهات!$C$29/100</f>
        <v/>
      </c>
    </row>
    <row r="15" ht="25.5" customHeight="1" s="260">
      <c r="A15" s="303" t="n">
        <v>3</v>
      </c>
      <c r="B15" s="506" t="inlineStr">
        <is>
          <t>AMT-003</t>
        </is>
      </c>
      <c r="C15" s="387" t="inlineStr">
        <is>
          <t>مكة</t>
        </is>
      </c>
      <c r="D15" s="507" t="n">
        <v>78000</v>
      </c>
      <c r="E15" s="360">
        <f>D15*السيناريوهات!$C$11</f>
        <v/>
      </c>
      <c r="F15" s="281">
        <f>E15*السيناريوهات!$C$10*السيناريوهات!$C$30/100</f>
        <v/>
      </c>
      <c r="G15" s="508">
        <f>E15*السيناريوهات!$C$10*السيناريوهات!$C$29/100</f>
        <v/>
      </c>
    </row>
    <row r="16" ht="25.5" customHeight="1" s="260">
      <c r="A16" s="303" t="n">
        <v>4</v>
      </c>
      <c r="B16" s="506" t="inlineStr">
        <is>
          <t>AMT-004</t>
        </is>
      </c>
      <c r="C16" s="387" t="inlineStr">
        <is>
          <t>الدمام</t>
        </is>
      </c>
      <c r="D16" s="507" t="n">
        <v>88000</v>
      </c>
      <c r="E16" s="360">
        <f>D16*السيناريوهات!$C$11</f>
        <v/>
      </c>
      <c r="F16" s="281">
        <f>E16*السيناريوهات!$C$10*السيناريوهات!$C$30/100</f>
        <v/>
      </c>
      <c r="G16" s="508">
        <f>E16*السيناريوهات!$C$10*السيناريوهات!$C$29/100</f>
        <v/>
      </c>
    </row>
    <row r="17" ht="25.5" customHeight="1" s="260">
      <c r="A17" s="303" t="n">
        <v>5</v>
      </c>
      <c r="B17" s="506" t="inlineStr">
        <is>
          <t>AMT-005</t>
        </is>
      </c>
      <c r="C17" s="387" t="inlineStr">
        <is>
          <t>الطائف</t>
        </is>
      </c>
      <c r="D17" s="507" t="n">
        <v>65000</v>
      </c>
      <c r="E17" s="360">
        <f>D17*السيناريوهات!$C$11</f>
        <v/>
      </c>
      <c r="F17" s="281">
        <f>E17*السيناريوهات!$C$10*السيناريوهات!$C$30/100</f>
        <v/>
      </c>
      <c r="G17" s="508">
        <f>E17*السيناريوهات!$C$10*السيناريوهات!$C$29/100</f>
        <v/>
      </c>
    </row>
    <row r="18" ht="25.5" customHeight="1" s="260">
      <c r="A18" s="303" t="n">
        <v>6</v>
      </c>
      <c r="B18" s="506" t="inlineStr">
        <is>
          <t>AMT-006</t>
        </is>
      </c>
      <c r="C18" s="387" t="inlineStr">
        <is>
          <t>تبوك</t>
        </is>
      </c>
      <c r="D18" s="507" t="n">
        <v>58000</v>
      </c>
      <c r="E18" s="360">
        <f>D18*السيناريوهات!$C$11</f>
        <v/>
      </c>
      <c r="F18" s="281">
        <f>E18*السيناريوهات!$C$10*السيناريوهات!$C$30/100</f>
        <v/>
      </c>
      <c r="G18" s="508">
        <f>E18*السيناريوهات!$C$10*السيناريوهات!$C$29/100</f>
        <v/>
      </c>
    </row>
    <row r="19" ht="25.5" customHeight="1" s="260">
      <c r="A19" s="303" t="n">
        <v>7</v>
      </c>
      <c r="B19" s="506" t="inlineStr">
        <is>
          <t>AMT-007</t>
        </is>
      </c>
      <c r="C19" s="387" t="inlineStr">
        <is>
          <t>حائل</t>
        </is>
      </c>
      <c r="D19" s="507" t="n">
        <v>52000</v>
      </c>
      <c r="E19" s="360">
        <f>D19*السيناريوهات!$C$11</f>
        <v/>
      </c>
      <c r="F19" s="281">
        <f>E19*السيناريوهات!$C$10*السيناريوهات!$C$30/100</f>
        <v/>
      </c>
      <c r="G19" s="508">
        <f>E19*السيناريوهات!$C$10*السيناريوهات!$C$29/100</f>
        <v/>
      </c>
    </row>
    <row r="20" ht="25.5" customHeight="1" s="260">
      <c r="A20" s="303" t="n">
        <v>8</v>
      </c>
      <c r="B20" s="506" t="inlineStr">
        <is>
          <t>AMT-008</t>
        </is>
      </c>
      <c r="C20" s="387" t="inlineStr">
        <is>
          <t>بريدة</t>
        </is>
      </c>
      <c r="D20" s="507" t="n">
        <v>71000</v>
      </c>
      <c r="E20" s="360">
        <f>D20*السيناريوهات!$C$11</f>
        <v/>
      </c>
      <c r="F20" s="281">
        <f>E20*السيناريوهات!$C$10*السيناريوهات!$C$30/100</f>
        <v/>
      </c>
      <c r="G20" s="508">
        <f>E20*السيناريوهات!$C$10*السيناريوهات!$C$29/100</f>
        <v/>
      </c>
    </row>
    <row r="21" ht="25.5" customHeight="1" s="260">
      <c r="A21" s="303" t="n">
        <v>9</v>
      </c>
      <c r="B21" s="506" t="inlineStr">
        <is>
          <t>AMT-009</t>
        </is>
      </c>
      <c r="C21" s="387" t="inlineStr">
        <is>
          <t>أبها</t>
        </is>
      </c>
      <c r="D21" s="507" t="n">
        <v>68000</v>
      </c>
      <c r="E21" s="360">
        <f>D21*السيناريوهات!$C$11</f>
        <v/>
      </c>
      <c r="F21" s="281">
        <f>E21*السيناريوهات!$C$10*السيناريوهات!$C$30/100</f>
        <v/>
      </c>
      <c r="G21" s="508">
        <f>E21*السيناريوهات!$C$10*السيناريوهات!$C$29/100</f>
        <v/>
      </c>
    </row>
    <row r="22" ht="25.5" customHeight="1" s="260">
      <c r="A22" s="303" t="n">
        <v>10</v>
      </c>
      <c r="B22" s="506" t="inlineStr">
        <is>
          <t>AMT-010</t>
        </is>
      </c>
      <c r="C22" s="387" t="inlineStr">
        <is>
          <t>جازان</t>
        </is>
      </c>
      <c r="D22" s="507" t="n">
        <v>49000</v>
      </c>
      <c r="E22" s="360">
        <f>D22*السيناريوهات!$C$11</f>
        <v/>
      </c>
      <c r="F22" s="281">
        <f>E22*السيناريوهات!$C$10*السيناريوهات!$C$30/100</f>
        <v/>
      </c>
      <c r="G22" s="508">
        <f>E22*السيناريوهات!$C$10*السيناريوهات!$C$29/100</f>
        <v/>
      </c>
    </row>
    <row r="23" ht="33.75" customHeight="1" s="260">
      <c r="A23" s="448" t="inlineStr">
        <is>
          <t>📊 الإجمالي الشهري</t>
        </is>
      </c>
      <c r="B23" s="293" t="n"/>
      <c r="C23" s="287" t="n"/>
      <c r="D23" s="509">
        <f>SUM(D13:D22)</f>
        <v/>
      </c>
      <c r="E23" s="510">
        <f>SUM(E13:E22)</f>
        <v/>
      </c>
      <c r="F23" s="510">
        <f>SUM(F13:F22)</f>
        <v/>
      </c>
      <c r="G23" s="510">
        <f>SUM(G13:G22)</f>
        <v/>
      </c>
    </row>
    <row r="24" ht="33.75" customHeight="1" s="260">
      <c r="A24" s="453" t="inlineStr">
        <is>
          <t>📅 الإجمالي السنوي</t>
        </is>
      </c>
      <c r="B24" s="293" t="n"/>
      <c r="C24" s="287" t="n"/>
      <c r="D24" s="511">
        <f>D23*12</f>
        <v/>
      </c>
      <c r="E24" s="512">
        <f>E23*12</f>
        <v/>
      </c>
      <c r="F24" s="512">
        <f>F23*12</f>
        <v/>
      </c>
      <c r="G24" s="512">
        <f>G23*12</f>
        <v/>
      </c>
    </row>
  </sheetData>
  <mergeCells count="6">
    <mergeCell ref="A1:G1"/>
    <mergeCell ref="A23:C23"/>
    <mergeCell ref="A4:G4"/>
    <mergeCell ref="A2:G2"/>
    <mergeCell ref="A11:G11"/>
    <mergeCell ref="A24:C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59" min="1" max="1"/>
    <col width="14" customWidth="1" style="259" min="2" max="6"/>
    <col width="12" customWidth="1" style="259" min="7" max="7"/>
  </cols>
  <sheetData>
    <row r="1" ht="37.5" customHeight="1" s="260">
      <c r="A1" s="476" t="inlineStr">
        <is>
          <t xml:space="preserve">  درب · التوقعات المالية على 5 سنوات</t>
        </is>
      </c>
    </row>
    <row r="2" ht="24" customHeight="1" s="260">
      <c r="A2" s="262" t="inlineStr">
        <is>
          <t xml:space="preserve">  بناءً على نمو محطات درب من 173 إلى 250</t>
        </is>
      </c>
    </row>
    <row r="3" ht="9.75" customHeight="1" s="260"/>
    <row r="4" ht="30" customHeight="1" s="260">
      <c r="A4" s="272" t="inlineStr">
        <is>
          <t>🏗️ نمو المحطات السنوي</t>
        </is>
      </c>
    </row>
    <row r="5" ht="31.5" customHeight="1" s="260">
      <c r="A5" s="273" t="inlineStr">
        <is>
          <t>نوع المحطة</t>
        </is>
      </c>
      <c r="B5" s="273" t="inlineStr">
        <is>
          <t>2026</t>
        </is>
      </c>
      <c r="C5" s="273" t="inlineStr">
        <is>
          <t>2027</t>
        </is>
      </c>
      <c r="D5" s="273" t="inlineStr">
        <is>
          <t>2028</t>
        </is>
      </c>
      <c r="E5" s="273" t="inlineStr">
        <is>
          <t>2029</t>
        </is>
      </c>
      <c r="F5" s="273" t="inlineStr">
        <is>
          <t>2030</t>
        </is>
      </c>
      <c r="G5" s="273" t="inlineStr">
        <is>
          <t>النمو</t>
        </is>
      </c>
    </row>
    <row r="6" ht="27.75" customHeight="1" s="260">
      <c r="A6" s="296" t="inlineStr">
        <is>
          <t>🏢 تشغيل</t>
        </is>
      </c>
      <c r="B6" s="513" t="n">
        <v>30</v>
      </c>
      <c r="C6" s="513" t="n">
        <v>35</v>
      </c>
      <c r="D6" s="513" t="n">
        <v>42</v>
      </c>
      <c r="E6" s="513" t="n">
        <v>50</v>
      </c>
      <c r="F6" s="513" t="n">
        <v>58</v>
      </c>
      <c r="G6" s="514">
        <f>(F6-B6)/B6</f>
        <v/>
      </c>
    </row>
    <row r="7" ht="27.75" customHeight="1" s="260">
      <c r="A7" s="296" t="inlineStr">
        <is>
          <t>💼 استثمار</t>
        </is>
      </c>
      <c r="B7" s="513" t="n">
        <v>70</v>
      </c>
      <c r="C7" s="513" t="n">
        <v>80</v>
      </c>
      <c r="D7" s="513" t="n">
        <v>88</v>
      </c>
      <c r="E7" s="513" t="n">
        <v>95</v>
      </c>
      <c r="F7" s="513" t="n">
        <v>100</v>
      </c>
      <c r="G7" s="514">
        <f>(F7-B7)/B7</f>
        <v/>
      </c>
    </row>
    <row r="8" ht="27.75" customHeight="1" s="260">
      <c r="A8" s="296" t="inlineStr">
        <is>
          <t>🤝 امتياز</t>
        </is>
      </c>
      <c r="B8" s="513" t="n">
        <v>73</v>
      </c>
      <c r="C8" s="513" t="n">
        <v>90</v>
      </c>
      <c r="D8" s="513" t="n">
        <v>105</v>
      </c>
      <c r="E8" s="513" t="n">
        <v>120</v>
      </c>
      <c r="F8" s="513" t="n">
        <v>135</v>
      </c>
      <c r="G8" s="514">
        <f>(F8-B8)/B8</f>
        <v/>
      </c>
    </row>
    <row r="9" ht="31.5" customHeight="1" s="260">
      <c r="A9" s="515" t="inlineStr">
        <is>
          <t>📊 الإجمالي</t>
        </is>
      </c>
      <c r="B9" s="516">
        <f>SUM(B6:B8)</f>
        <v/>
      </c>
      <c r="C9" s="516">
        <f>SUM(C6:C8)</f>
        <v/>
      </c>
      <c r="D9" s="516">
        <f>SUM(D6:D8)</f>
        <v/>
      </c>
      <c r="E9" s="516">
        <f>SUM(E6:E8)</f>
        <v/>
      </c>
      <c r="F9" s="516">
        <f>SUM(F6:F8)</f>
        <v/>
      </c>
      <c r="G9" s="517">
        <f>(F9-B9)/B9</f>
        <v/>
      </c>
    </row>
    <row r="10" ht="9.75" customHeight="1" s="260"/>
    <row r="11" ht="30" customHeight="1" s="260">
      <c r="A11" s="329" t="inlineStr">
        <is>
          <t>💰 التكلفة السنوية على درب (مليون ريال)</t>
        </is>
      </c>
    </row>
    <row r="12" ht="31.5" customHeight="1" s="260">
      <c r="A12" s="273" t="inlineStr">
        <is>
          <t>نوع المحطة</t>
        </is>
      </c>
      <c r="B12" s="273" t="inlineStr">
        <is>
          <t>2026</t>
        </is>
      </c>
      <c r="C12" s="273" t="inlineStr">
        <is>
          <t>2027</t>
        </is>
      </c>
      <c r="D12" s="273" t="inlineStr">
        <is>
          <t>2028</t>
        </is>
      </c>
      <c r="E12" s="273" t="inlineStr">
        <is>
          <t>2029</t>
        </is>
      </c>
      <c r="F12" s="273" t="inlineStr">
        <is>
          <t>2030</t>
        </is>
      </c>
      <c r="G12" s="273" t="inlineStr">
        <is>
          <t>النمو</t>
        </is>
      </c>
    </row>
    <row r="13" ht="27.75" customHeight="1" s="260">
      <c r="A13" s="309" t="inlineStr">
        <is>
          <t>تشغيل (100%)</t>
        </is>
      </c>
      <c r="B13" s="518">
        <f>B6*السيناريوهات!$C$31*12*السيناريوهات!$C$11*السيناريوهات!$C$10/100/1000000</f>
        <v/>
      </c>
      <c r="C13" s="518">
        <f>C6*السيناريوهات!$C$31*12*السيناريوهات!$C$11*السيناريوهات!$C$10/100/1000000</f>
        <v/>
      </c>
      <c r="D13" s="518">
        <f>D6*السيناريوهات!$C$31*12*السيناريوهات!$C$11*السيناريوهات!$C$10/100/1000000</f>
        <v/>
      </c>
      <c r="E13" s="518">
        <f>E6*السيناريوهات!$C$31*12*السيناريوهات!$C$11*السيناريوهات!$C$10/100/1000000</f>
        <v/>
      </c>
      <c r="F13" s="518">
        <f>F6*السيناريوهات!$C$31*12*السيناريوهات!$C$11*السيناريوهات!$C$10/100/1000000</f>
        <v/>
      </c>
      <c r="G13" s="519">
        <f>(F13-B13)/B13</f>
        <v/>
      </c>
    </row>
    <row r="14" ht="27.75" customHeight="1" s="260">
      <c r="A14" s="309" t="inlineStr">
        <is>
          <t>استثمار (50%)</t>
        </is>
      </c>
      <c r="B14" s="518">
        <f>B7*السيناريوهات!$C$31*12*السيناريوهات!$C$11*السيناريوهات!$C$10*0.5/100/1000000</f>
        <v/>
      </c>
      <c r="C14" s="518">
        <f>C7*السيناريوهات!$C$31*12*السيناريوهات!$C$11*السيناريوهات!$C$10*0.5/100/1000000</f>
        <v/>
      </c>
      <c r="D14" s="518">
        <f>D7*السيناريوهات!$C$31*12*السيناريوهات!$C$11*السيناريوهات!$C$10*0.5/100/1000000</f>
        <v/>
      </c>
      <c r="E14" s="518">
        <f>E7*السيناريوهات!$C$31*12*السيناريوهات!$C$11*السيناريوهات!$C$10*0.5/100/1000000</f>
        <v/>
      </c>
      <c r="F14" s="518">
        <f>F7*السيناريوهات!$C$31*12*السيناريوهات!$C$11*السيناريوهات!$C$10*0.5/100/1000000</f>
        <v/>
      </c>
      <c r="G14" s="519">
        <f>(F14-B14)/B14</f>
        <v/>
      </c>
    </row>
    <row r="15" ht="27.75" customHeight="1" s="260">
      <c r="A15" s="309" t="inlineStr">
        <is>
          <t>امتياز (50%)</t>
        </is>
      </c>
      <c r="B15" s="518">
        <f>B8*السيناريوهات!$C$31*12*السيناريوهات!$C$11*السيناريوهات!$C$10*السيناريوهات!$C$29/100/1000000</f>
        <v/>
      </c>
      <c r="C15" s="518">
        <f>C8*السيناريوهات!$C$31*12*السيناريوهات!$C$11*السيناريوهات!$C$10*السيناريوهات!$C$29/100/1000000</f>
        <v/>
      </c>
      <c r="D15" s="518">
        <f>D8*السيناريوهات!$C$31*12*السيناريوهات!$C$11*السيناريوهات!$C$10*السيناريوهات!$C$29/100/1000000</f>
        <v/>
      </c>
      <c r="E15" s="518">
        <f>E8*السيناريوهات!$C$31*12*السيناريوهات!$C$11*السيناريوهات!$C$10*السيناريوهات!$C$29/100/1000000</f>
        <v/>
      </c>
      <c r="F15" s="518">
        <f>F8*السيناريوهات!$C$31*12*السيناريوهات!$C$11*السيناريوهات!$C$10*السيناريوهات!$C$29/100/1000000</f>
        <v/>
      </c>
      <c r="G15" s="519">
        <f>(F15-B15)/B15</f>
        <v/>
      </c>
    </row>
    <row r="16" ht="36" customHeight="1" s="260">
      <c r="A16" s="520" t="inlineStr">
        <is>
          <t>📊 الإجمالي</t>
        </is>
      </c>
      <c r="B16" s="521">
        <f>SUM(B13:B15)</f>
        <v/>
      </c>
      <c r="C16" s="521">
        <f>SUM(C13:C15)</f>
        <v/>
      </c>
      <c r="D16" s="521">
        <f>SUM(D13:D15)</f>
        <v/>
      </c>
      <c r="E16" s="521">
        <f>SUM(E13:E15)</f>
        <v/>
      </c>
      <c r="F16" s="521">
        <f>SUM(F13:F15)</f>
        <v/>
      </c>
      <c r="G16" s="522">
        <f>(F16-B16)/B16</f>
        <v/>
      </c>
    </row>
    <row r="17" ht="42" customHeight="1" s="260">
      <c r="A17" s="523">
        <f>" 💎 إجمالي 5 سنوات على درب: "&amp;TEXT(SUM(B16:F16),"0.00")&amp;" مليون ريال"</f>
        <v/>
      </c>
    </row>
  </sheetData>
  <mergeCells count="5">
    <mergeCell ref="A1:G1"/>
    <mergeCell ref="A17:G17"/>
    <mergeCell ref="A4:G4"/>
    <mergeCell ref="A2:G2"/>
    <mergeCell ref="A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rightToLeft="1" workbookViewId="0">
      <selection activeCell="A1" sqref="A1"/>
    </sheetView>
  </sheetViews>
  <sheetFormatPr baseColWidth="8" defaultRowHeight="15"/>
  <cols>
    <col width="34" customWidth="1" style="260" min="1" max="1"/>
    <col width="16" customWidth="1" style="260" min="2" max="2"/>
    <col width="16" customWidth="1" style="260" min="3" max="3"/>
  </cols>
  <sheetData>
    <row r="1">
      <c r="A1" s="524" t="inlineStr">
        <is>
          <t>درب · محرك الاقتصاد الموسّع — الديزل والشركاء (معادلات حيّة)</t>
        </is>
      </c>
    </row>
    <row r="2">
      <c r="A2" s="525" t="inlineStr">
        <is>
          <t>كل القيم أدناه معادلات تشير لخلايا ورقة السيناريوهات — غيّر هناك وتتحدث هنا</t>
        </is>
      </c>
    </row>
    <row r="4">
      <c r="A4" s="526" t="inlineStr">
        <is>
          <t>⛽ الديزل</t>
        </is>
      </c>
    </row>
    <row r="5">
      <c r="A5" s="524" t="inlineStr">
        <is>
          <t>البند</t>
        </is>
      </c>
      <c r="B5" s="524" t="inlineStr">
        <is>
          <t>القيمة</t>
        </is>
      </c>
      <c r="C5" s="524" t="inlineStr">
        <is>
          <t>الوحدة</t>
        </is>
      </c>
    </row>
    <row r="6">
      <c r="A6" s="525" t="inlineStr">
        <is>
          <t>هامش الديزل/لتر</t>
        </is>
      </c>
      <c r="B6" s="527">
        <f>السيناريوهات!C37</f>
        <v/>
      </c>
      <c r="C6" s="525" t="inlineStr">
        <is>
          <t>هللة/لتر</t>
        </is>
      </c>
    </row>
    <row r="7">
      <c r="A7" s="525" t="inlineStr">
        <is>
          <t>هامش الديزل %</t>
        </is>
      </c>
      <c r="B7" s="528">
        <f>السيناريوهات!C37/(السيناريوهات!C36*100)</f>
        <v/>
      </c>
      <c r="C7" s="525" t="inlineStr">
        <is>
          <t>%</t>
        </is>
      </c>
    </row>
    <row r="8">
      <c r="A8" s="525" t="inlineStr">
        <is>
          <t>كسب الديزل</t>
        </is>
      </c>
      <c r="B8" s="527">
        <f>السيناريوهات!C38</f>
        <v/>
      </c>
      <c r="C8" s="525" t="inlineStr">
        <is>
          <t>نقطة/ريال</t>
        </is>
      </c>
    </row>
    <row r="9">
      <c r="A9" s="525" t="inlineStr">
        <is>
          <t>كاش باك الديزل %</t>
        </is>
      </c>
      <c r="B9" s="528">
        <f>السيناريوهات!C38/السيناريوهات!C6</f>
        <v/>
      </c>
      <c r="C9" s="525" t="inlineStr">
        <is>
          <t>%</t>
        </is>
      </c>
    </row>
    <row r="10">
      <c r="A10" s="525" t="inlineStr">
        <is>
          <t>تكلفة درب على الديزل</t>
        </is>
      </c>
      <c r="B10" s="527">
        <f>السيناريوهات!C38/السيناريوهات!C6*100</f>
        <v/>
      </c>
      <c r="C10" s="525" t="inlineStr">
        <is>
          <t>هللة/ريال</t>
        </is>
      </c>
    </row>
    <row r="11">
      <c r="A11" s="525" t="inlineStr">
        <is>
          <t>صافي هامش درب على الديزل</t>
        </is>
      </c>
      <c r="B11" s="527">
        <f>السيناريوهات!C37/السيناريوهات!C36-(السيناريوهات!C38/السيناريوهات!C6*100)</f>
        <v/>
      </c>
      <c r="C11" s="525" t="inlineStr">
        <is>
          <t>هللة/ريال</t>
        </is>
      </c>
    </row>
    <row r="12">
      <c r="A12" s="524" t="inlineStr">
        <is>
          <t>الجدوى</t>
        </is>
      </c>
      <c r="B12" s="524">
        <f>IF(B11&gt;0.5,"✅ مربح",IF(B11&gt;0,"⚠️ هامش ضيق","🔴 خسارة"))</f>
        <v/>
      </c>
    </row>
    <row r="14">
      <c r="A14" s="526" t="inlineStr">
        <is>
          <t>☕ الشركاء (كافيه/مطعم)</t>
        </is>
      </c>
    </row>
    <row r="15">
      <c r="A15" s="524" t="inlineStr">
        <is>
          <t>البند</t>
        </is>
      </c>
      <c r="B15" s="524" t="inlineStr">
        <is>
          <t>القيمة</t>
        </is>
      </c>
      <c r="C15" s="524" t="inlineStr">
        <is>
          <t>الوحدة</t>
        </is>
      </c>
    </row>
    <row r="16">
      <c r="A16" s="525" t="inlineStr">
        <is>
          <t>كسب العميل عند الشريك</t>
        </is>
      </c>
      <c r="B16" s="527">
        <f>السيناريوهات!C39</f>
        <v/>
      </c>
      <c r="C16" s="525" t="inlineStr">
        <is>
          <t>نقطة/ريال</t>
        </is>
      </c>
    </row>
    <row r="17">
      <c r="A17" s="525" t="inlineStr">
        <is>
          <t>كاش باك العميل %</t>
        </is>
      </c>
      <c r="B17" s="528">
        <f>السيناريوهات!C39/السيناريوهات!C6</f>
        <v/>
      </c>
      <c r="C17" s="525" t="inlineStr">
        <is>
          <t>%</t>
        </is>
      </c>
    </row>
    <row r="18">
      <c r="A18" s="525" t="inlineStr">
        <is>
          <t>تكلفة درب (الشريك يموّل)</t>
        </is>
      </c>
      <c r="B18" s="527">
        <f>0</f>
        <v/>
      </c>
      <c r="C18" s="525" t="inlineStr">
        <is>
          <t>هللة/ريال</t>
        </is>
      </c>
    </row>
    <row r="19">
      <c r="A19" s="525" t="inlineStr">
        <is>
          <t>مساهمة الشريك لدرب</t>
        </is>
      </c>
      <c r="B19" s="527">
        <f>السيناريوهات!C40</f>
        <v/>
      </c>
      <c r="C19" s="525" t="inlineStr">
        <is>
          <t>هللة/ريال</t>
        </is>
      </c>
    </row>
    <row r="20">
      <c r="A20" s="525" t="inlineStr">
        <is>
          <t>صافي لدرب من الشريك</t>
        </is>
      </c>
      <c r="B20" s="527">
        <f>السيناريوهات!C40-B18</f>
        <v/>
      </c>
      <c r="C20" s="525" t="inlineStr">
        <is>
          <t>هللة/ريال</t>
        </is>
      </c>
    </row>
    <row r="22">
      <c r="A22" s="526" t="inlineStr">
        <is>
          <t>🔬 أثر الريال على درب: وقود مقابل شريك</t>
        </is>
      </c>
    </row>
    <row r="23">
      <c r="A23" s="524" t="inlineStr">
        <is>
          <t>البند</t>
        </is>
      </c>
      <c r="B23" s="524" t="inlineStr">
        <is>
          <t>ريال بنزين</t>
        </is>
      </c>
      <c r="C23" s="524" t="inlineStr">
        <is>
          <t>ريال شريك</t>
        </is>
      </c>
    </row>
    <row r="24">
      <c r="A24" s="525" t="inlineStr">
        <is>
          <t>دخل/ربح درب (هللة)</t>
        </is>
      </c>
      <c r="B24" s="527">
        <f>السيناريوهات!C26/السيناريوهات!C11</f>
        <v/>
      </c>
      <c r="C24" s="527">
        <f>السيناريوهات!C40</f>
        <v/>
      </c>
    </row>
    <row r="25">
      <c r="A25" s="525" t="inlineStr">
        <is>
          <t>تكلفة الولاء على درب (هللة)</t>
        </is>
      </c>
      <c r="B25" s="527">
        <f>السيناريوهات!C7/السيناريوهات!C6*100</f>
        <v/>
      </c>
      <c r="C25" s="527">
        <f>0</f>
        <v/>
      </c>
    </row>
    <row r="26">
      <c r="A26" s="525" t="inlineStr">
        <is>
          <t>الصافي على درب (هللة/ريال)</t>
        </is>
      </c>
      <c r="B26" s="527">
        <f>B24-B25</f>
        <v/>
      </c>
      <c r="C26" s="527">
        <f>C24-C25</f>
        <v/>
      </c>
    </row>
    <row r="27">
      <c r="A27" s="524" t="inlineStr">
        <is>
          <t>الخلاصة</t>
        </is>
      </c>
      <c r="B27" s="524">
        <f>IF(B26&gt;0,"✅ تكلفة احتفاظ","🔴 خسارة")</f>
        <v/>
      </c>
      <c r="C27" s="524">
        <f>IF(C26&gt;0,"✅ ربح صافٍ","—")</f>
        <v/>
      </c>
    </row>
    <row r="29">
      <c r="A29" s="525" t="inlineStr">
        <is>
          <t>💡 الوقود يجذب (هامش رفيع) والشركاء يموّلون ويربّحون — أولوية درب: توقيع الشركاء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selection activeCell="A1" sqref="A1"/>
    </sheetView>
  </sheetViews>
  <sheetFormatPr baseColWidth="8" defaultRowHeight="15"/>
  <cols>
    <col width="38" customWidth="1" style="260" min="1" max="1"/>
    <col width="22" customWidth="1" style="260" min="2" max="2"/>
    <col width="12" customWidth="1" style="260" min="3" max="3"/>
    <col width="16" customWidth="1" style="260" min="4" max="4"/>
    <col width="18" customWidth="1" style="260" min="5" max="5"/>
    <col width="16" customWidth="1" style="260" min="6" max="6"/>
  </cols>
  <sheetData>
    <row r="1">
      <c r="A1" s="524" t="inlineStr">
        <is>
          <t>درب · قنوات استبدال النقاط — التكلفة على درب لكل قناة (معادلات حيّة)</t>
        </is>
      </c>
    </row>
    <row r="3">
      <c r="A3" s="525" t="inlineStr">
        <is>
          <t>إجمالي القيمة المستبدلة سنوياً (ريال)</t>
        </is>
      </c>
      <c r="C3" s="529" t="n">
        <v>1000000</v>
      </c>
    </row>
    <row r="5">
      <c r="A5" s="526" t="inlineStr">
        <is>
          <t>القناة</t>
        </is>
      </c>
      <c r="B5" s="526" t="inlineStr">
        <is>
          <t>من يموّلها</t>
        </is>
      </c>
      <c r="C5" s="526" t="inlineStr">
        <is>
          <t>النسبة %</t>
        </is>
      </c>
      <c r="D5" s="526" t="inlineStr">
        <is>
          <t>تكلفة درب/ريال %</t>
        </is>
      </c>
      <c r="E5" s="526" t="inlineStr">
        <is>
          <t>القيمة المستبدلة</t>
        </is>
      </c>
      <c r="F5" s="526" t="inlineStr">
        <is>
          <t>تكلفة درب</t>
        </is>
      </c>
    </row>
    <row r="6">
      <c r="A6" s="525" t="inlineStr">
        <is>
          <t>⛽ خصم بنزين</t>
        </is>
      </c>
      <c r="B6" s="525" t="inlineStr">
        <is>
          <t>درب</t>
        </is>
      </c>
      <c r="C6" s="530" t="n">
        <v>0.3</v>
      </c>
      <c r="D6" s="530" t="n">
        <v>1</v>
      </c>
      <c r="E6" s="531">
        <f>$C$3*C6</f>
        <v/>
      </c>
      <c r="F6" s="527">
        <f>E6*D6</f>
        <v/>
      </c>
    </row>
    <row r="7">
      <c r="A7" s="525" t="inlineStr">
        <is>
          <t>🛍️ عروض المستأجرين</t>
        </is>
      </c>
      <c r="B7" s="525" t="inlineStr">
        <is>
          <t>المستأجر</t>
        </is>
      </c>
      <c r="C7" s="530" t="n">
        <v>0.35</v>
      </c>
      <c r="D7" s="530" t="n">
        <v>0</v>
      </c>
      <c r="E7" s="531">
        <f>$C$3*C7</f>
        <v/>
      </c>
      <c r="F7" s="527">
        <f>E7*D7</f>
        <v/>
      </c>
    </row>
    <row r="8">
      <c r="A8" s="525" t="inlineStr">
        <is>
          <t>🎁 شركات خارجية (جرير/أمازون/الفرسان)</t>
        </is>
      </c>
      <c r="B8" s="525" t="inlineStr">
        <is>
          <t>درب (خصم جملة)</t>
        </is>
      </c>
      <c r="C8" s="530" t="n">
        <v>0.2</v>
      </c>
      <c r="D8" s="530" t="n">
        <v>0.97</v>
      </c>
      <c r="E8" s="531">
        <f>$C$3*C8</f>
        <v/>
      </c>
      <c r="F8" s="527">
        <f>E8*D8</f>
        <v/>
      </c>
    </row>
    <row r="9">
      <c r="A9" s="525" t="inlineStr">
        <is>
          <t>📱 كرت شحن</t>
        </is>
      </c>
      <c r="B9" s="525" t="inlineStr">
        <is>
          <t>درب (عمولة المشغّل)</t>
        </is>
      </c>
      <c r="C9" s="530" t="n">
        <v>0.15</v>
      </c>
      <c r="D9" s="530" t="n">
        <v>0.95</v>
      </c>
      <c r="E9" s="531">
        <f>$C$3*C9</f>
        <v/>
      </c>
      <c r="F9" s="527">
        <f>E9*D9</f>
        <v/>
      </c>
    </row>
    <row r="10">
      <c r="A10" s="524" t="inlineStr">
        <is>
          <t>📊 الإجمالي</t>
        </is>
      </c>
      <c r="C10" s="532">
        <f>SUM(C6:C9)</f>
        <v/>
      </c>
      <c r="E10" s="527">
        <f>SUM(E6:E9)</f>
        <v/>
      </c>
      <c r="F10" s="527">
        <f>SUM(F6:F9)</f>
        <v/>
      </c>
    </row>
    <row r="12">
      <c r="A12" s="525" t="inlineStr">
        <is>
          <t>متوسط تكلفة الريال المستبدل</t>
        </is>
      </c>
      <c r="C12" s="533">
        <f>F10/E10</f>
        <v/>
      </c>
    </row>
    <row r="13">
      <c r="A13" s="525" t="inlineStr">
        <is>
          <t>التوفير مقابل الكل-بنزين</t>
        </is>
      </c>
      <c r="C13" s="527">
        <f>$C$3-F10</f>
        <v/>
      </c>
    </row>
    <row r="14">
      <c r="A14" s="525" t="inlineStr">
        <is>
          <t>تحقق مجموع النسب</t>
        </is>
      </c>
      <c r="C14" s="524">
        <f>IF(C10=1,"✅ 100%","⚠️ راجع النسب")</f>
        <v/>
      </c>
    </row>
    <row r="16">
      <c r="A16" s="525" t="inlineStr">
        <is>
          <t>💡 وجّه الاستبدال نحو عروض المستأجرين (تكلفتها صفر) بدل خصم البنزين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rightToLeft="1" workbookViewId="0">
      <selection activeCell="A1" sqref="A1"/>
    </sheetView>
  </sheetViews>
  <sheetFormatPr baseColWidth="8" defaultRowHeight="15"/>
  <cols>
    <col width="30" customWidth="1" style="260" min="1" max="1"/>
    <col width="16" customWidth="1" style="260" min="2" max="2"/>
    <col width="16" customWidth="1" style="260" min="3" max="3"/>
    <col width="14" customWidth="1" style="260" min="4" max="4"/>
  </cols>
  <sheetData>
    <row r="1">
      <c r="A1" s="524" t="inlineStr">
        <is>
          <t>درب · نموذج المحفظة المموّلة بالكامل (Escrow) — معادلات حيّة</t>
        </is>
      </c>
    </row>
    <row r="2">
      <c r="A2" s="525" t="inlineStr">
        <is>
          <t>كل مُصدِر يودع نسبته على مبيعاته هو · النقاط واجهة فوق محفظة بالريال</t>
        </is>
      </c>
    </row>
    <row r="4">
      <c r="A4" s="526" t="inlineStr">
        <is>
          <t>📥 تغذية المحفظة</t>
        </is>
      </c>
    </row>
    <row r="5">
      <c r="A5" s="526" t="inlineStr">
        <is>
          <t>المصدر</t>
        </is>
      </c>
      <c r="B5" s="526" t="inlineStr">
        <is>
          <t>قيمة الشراء (﷼)</t>
        </is>
      </c>
      <c r="C5" s="526" t="inlineStr">
        <is>
          <t>نسبة الإيداع %</t>
        </is>
      </c>
      <c r="D5" s="526" t="inlineStr">
        <is>
          <t>المودَع (﷼)</t>
        </is>
      </c>
    </row>
    <row r="6">
      <c r="A6" s="525" t="inlineStr">
        <is>
          <t>⛽ بنزين (درب)</t>
        </is>
      </c>
      <c r="B6" s="534" t="n">
        <v>600</v>
      </c>
      <c r="C6" s="535" t="n">
        <v>0.5</v>
      </c>
      <c r="D6" s="527">
        <f>B6*C6/100</f>
        <v/>
      </c>
    </row>
    <row r="7">
      <c r="A7" s="525" t="inlineStr">
        <is>
          <t>☕ كافيه</t>
        </is>
      </c>
      <c r="B7" s="534" t="n">
        <v>200</v>
      </c>
      <c r="C7" s="535" t="n">
        <v>4</v>
      </c>
      <c r="D7" s="527">
        <f>B7*C7/100</f>
        <v/>
      </c>
    </row>
    <row r="8">
      <c r="A8" s="525" t="inlineStr">
        <is>
          <t>🍔 مطعم</t>
        </is>
      </c>
      <c r="B8" s="534" t="n">
        <v>150</v>
      </c>
      <c r="C8" s="535" t="n">
        <v>3</v>
      </c>
      <c r="D8" s="527">
        <f>B8*C8/100</f>
        <v/>
      </c>
    </row>
    <row r="9">
      <c r="A9" s="525" t="inlineStr">
        <is>
          <t>🛒 سوبرماركت</t>
        </is>
      </c>
      <c r="B9" s="534" t="n">
        <v>400</v>
      </c>
      <c r="C9" s="535" t="n">
        <v>1</v>
      </c>
      <c r="D9" s="527">
        <f>B9*C9/100</f>
        <v/>
      </c>
    </row>
    <row r="10">
      <c r="A10" s="524" t="inlineStr">
        <is>
          <t>📊 إجمالي التغذية</t>
        </is>
      </c>
      <c r="D10" s="527">
        <f>SUM(D6:D9)</f>
        <v/>
      </c>
    </row>
    <row r="12">
      <c r="A12" s="524" t="inlineStr">
        <is>
          <t>رصيد المحفظة (﷼)</t>
        </is>
      </c>
      <c r="C12" s="527">
        <f>D10</f>
        <v/>
      </c>
    </row>
    <row r="13">
      <c r="A13" s="525" t="inlineStr">
        <is>
          <t>يُعرض للعميل كنقاط</t>
        </is>
      </c>
      <c r="C13" s="536">
        <f>C12*السيناريوهات!C6</f>
        <v/>
      </c>
    </row>
    <row r="15">
      <c r="A15" s="526" t="inlineStr">
        <is>
          <t>🔁 محاكاة استبدال</t>
        </is>
      </c>
    </row>
    <row r="16">
      <c r="A16" s="525" t="inlineStr">
        <is>
          <t>يُسحب من المحفظة (﷼)</t>
        </is>
      </c>
      <c r="C16" s="537" t="n">
        <v>10</v>
      </c>
    </row>
    <row r="17">
      <c r="A17" s="525" t="inlineStr">
        <is>
          <t>يضيف التاجر تنافساً (﷼)</t>
        </is>
      </c>
      <c r="C17" s="537" t="n">
        <v>3</v>
      </c>
    </row>
    <row r="18">
      <c r="A18" s="525" t="inlineStr">
        <is>
          <t>يحصل العميل (﷼)</t>
        </is>
      </c>
      <c r="C18" s="527">
        <f>C16+C17</f>
        <v/>
      </c>
    </row>
    <row r="19">
      <c r="A19" s="525" t="inlineStr">
        <is>
          <t>القيمة لكل ريال مسحوب</t>
        </is>
      </c>
      <c r="C19" s="538">
        <f>C18/C16</f>
        <v/>
      </c>
    </row>
    <row r="20">
      <c r="A20" s="525" t="inlineStr">
        <is>
          <t>الرصيد بعد الاستبدال (﷼)</t>
        </is>
      </c>
      <c r="C20" s="527">
        <f>C12-C16</f>
        <v/>
      </c>
    </row>
    <row r="22">
      <c r="A22" s="526" t="inlineStr">
        <is>
          <t>🕳️ الأموال الخاملة (Breakage)</t>
        </is>
      </c>
    </row>
    <row r="23">
      <c r="A23" s="525" t="inlineStr">
        <is>
          <t>نسبة الخمول %</t>
        </is>
      </c>
      <c r="C23" s="539" t="n">
        <v>12</v>
      </c>
    </row>
    <row r="24">
      <c r="A24" s="525" t="inlineStr">
        <is>
          <t>مدة الصلاحية (شهر)</t>
        </is>
      </c>
      <c r="C24" s="539" t="n">
        <v>24</v>
      </c>
    </row>
    <row r="25">
      <c r="A25" s="525" t="inlineStr">
        <is>
          <t>المتوقع خامل (﷼)</t>
        </is>
      </c>
      <c r="C25" s="527">
        <f>C12*C23/100</f>
        <v/>
      </c>
    </row>
    <row r="26">
      <c r="A26" s="525" t="inlineStr">
        <is>
          <t>المتوقع استبداله فعلاً (﷼)</t>
        </is>
      </c>
      <c r="C26" s="527">
        <f>C12-C25</f>
        <v/>
      </c>
    </row>
    <row r="28">
      <c r="A28" s="525" t="inlineStr">
        <is>
          <t>🔒 النظام لا يخسر: كل ريال يُستبدل كان مودَعاً مسبقاً · لا أحد يموّل وعود غيره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2026-06-07T11:56:19Z</dcterms:created>
  <dcterms:modified xsi:type="dcterms:W3CDTF">2026-06-14T10:35:15Z</dcterms:modified>
  <cp:revision>0</cp:revision>
</cp:coreProperties>
</file>