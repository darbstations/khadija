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الملخص التنفيذي" sheetId="1" state="visible" r:id="rId1"/>
    <sheet name="السيناريوهات" sheetId="2" state="visible" r:id="rId2"/>
    <sheet name="كيف يعمل النظام" sheetId="3" state="visible" r:id="rId3"/>
    <sheet name="محاكي العميل" sheetId="4" state="visible" r:id="rId4"/>
    <sheet name="خطة التوسع" sheetId="5" state="visible" r:id="rId5"/>
    <sheet name="محرر المستأجرين" sheetId="6" state="visible" r:id="rId6"/>
    <sheet name="حاسبة ROI" sheetId="7" state="visible" r:id="rId7"/>
    <sheet name="مقارنة السيناريوهات" sheetId="8" state="visible" r:id="rId8"/>
    <sheet name="قيمة النقطة" sheetId="9" state="visible" r:id="rId9"/>
    <sheet name="المستويات الثلاثة" sheetId="10" state="visible" r:id="rId10"/>
    <sheet name="تكلفة المحطات" sheetId="11" state="visible" r:id="rId11"/>
    <sheet name="التحصيل من الامتياز" sheetId="12" state="visible" r:id="rId12"/>
    <sheet name="التوقعات السنوية" sheetId="13" state="visible" r:id="rId13"/>
    <sheet name="الاقتصاد الموسّع" sheetId="14" state="visible" r:id="rId14"/>
    <sheet name="قنوات الاستبدال" sheetId="15" state="visible" r:id="rId15"/>
    <sheet name="نموذج المحفظة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  <font>
      <b val="1"/>
      <color rgb="FFFFD54A"/>
    </font>
    <font>
      <b val="1"/>
    </font>
    <font>
      <b val="1"/>
      <color rgb="FFE8EEFC"/>
    </font>
    <font>
      <color rgb="FFE8EEFC"/>
    </font>
  </fonts>
  <fills count="31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  <fill>
      <patternFill patternType="solid">
        <fgColor rgb="FFF6D26B"/>
      </patternFill>
    </fill>
    <fill>
      <patternFill patternType="solid">
        <fgColor rgb="FF16223C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99" fillId="0" borderId="0" pivotButton="0" quotePrefix="0" xfId="0"/>
    <xf numFmtId="0" fontId="0" fillId="0" borderId="0" applyAlignment="1" pivotButton="0" quotePrefix="0" xfId="0">
      <alignment horizontal="right" vertical="center" wrapText="1" readingOrder="2"/>
    </xf>
    <xf numFmtId="0" fontId="100" fillId="29" borderId="0" pivotButton="0" quotePrefix="0" xfId="0"/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101" fillId="0" borderId="0" applyAlignment="1" pivotButton="0" quotePrefix="0" xfId="0">
      <alignment horizontal="right" vertical="center" wrapText="1" readingOrder="2"/>
    </xf>
    <xf numFmtId="0" fontId="102" fillId="0" borderId="0" applyAlignment="1" pivotButton="0" quotePrefix="0" xfId="0">
      <alignment horizontal="right" vertical="center" wrapText="1" readingOrder="2"/>
    </xf>
    <xf numFmtId="0" fontId="101" fillId="30" borderId="0" applyAlignment="1" pivotButton="0" quotePrefix="0" xfId="0">
      <alignment horizontal="right" vertical="center" wrapText="1" readingOrder="2"/>
    </xf>
    <xf numFmtId="4" fontId="101" fillId="0" borderId="0" applyAlignment="1" pivotButton="0" quotePrefix="0" xfId="0">
      <alignment horizontal="right" vertical="center" wrapText="1" readingOrder="2"/>
    </xf>
    <xf numFmtId="10" fontId="101" fillId="0" borderId="0" applyAlignment="1" pivotButton="0" quotePrefix="0" xfId="0">
      <alignment horizontal="right" vertical="center" wrapText="1" readingOrder="2"/>
    </xf>
    <xf numFmtId="3" fontId="101" fillId="29" borderId="0" applyAlignment="1" pivotButton="0" quotePrefix="0" xfId="0">
      <alignment horizontal="right" vertical="center" wrapText="1" readingOrder="2"/>
    </xf>
    <xf numFmtId="9" fontId="102" fillId="29" borderId="0" applyAlignment="1" pivotButton="0" quotePrefix="0" xfId="0">
      <alignment horizontal="right" vertical="center" wrapText="1" readingOrder="2"/>
    </xf>
    <xf numFmtId="4" fontId="102" fillId="0" borderId="0" applyAlignment="1" pivotButton="0" quotePrefix="0" xfId="0">
      <alignment horizontal="right" vertical="center" wrapText="1" readingOrder="2"/>
    </xf>
    <xf numFmtId="9" fontId="101" fillId="0" borderId="0" applyAlignment="1" pivotButton="0" quotePrefix="0" xfId="0">
      <alignment horizontal="right" vertical="center" wrapText="1" readingOrder="2"/>
    </xf>
    <xf numFmtId="167" fontId="101" fillId="0" borderId="0" applyAlignment="1" pivotButton="0" quotePrefix="0" xfId="0">
      <alignment horizontal="right" vertical="center" wrapText="1" readingOrder="2"/>
    </xf>
    <xf numFmtId="3" fontId="102" fillId="29" borderId="0" applyAlignment="1" pivotButton="0" quotePrefix="0" xfId="0">
      <alignment horizontal="right" vertical="center" wrapText="1" readingOrder="2"/>
    </xf>
    <xf numFmtId="166" fontId="102" fillId="29" borderId="0" applyAlignment="1" pivotButton="0" quotePrefix="0" xfId="0">
      <alignment horizontal="right" vertical="center" wrapText="1" readingOrder="2"/>
    </xf>
    <xf numFmtId="3" fontId="101" fillId="0" borderId="0" applyAlignment="1" pivotButton="0" quotePrefix="0" xfId="0">
      <alignment horizontal="right" vertical="center" wrapText="1" readingOrder="2"/>
    </xf>
    <xf numFmtId="4" fontId="102" fillId="29" borderId="0" applyAlignment="1" pivotButton="0" quotePrefix="0" xfId="0">
      <alignment horizontal="right" vertical="center" wrapText="1" readingOrder="2"/>
    </xf>
    <xf numFmtId="2" fontId="101" fillId="0" borderId="0" applyAlignment="1" pivotButton="0" quotePrefix="0" xfId="0">
      <alignment horizontal="right" vertical="center" wrapText="1" readingOrder="2"/>
    </xf>
    <xf numFmtId="1" fontId="102" fillId="29" borderId="0" applyAlignment="1" pivotButton="0" quotePrefix="0" xfId="0">
      <alignment horizontal="right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1% من كل ريال إنفاق</t>
        </is>
      </c>
      <c r="D6" s="270" t="inlineStr">
        <is>
          <t>1% + منافع للأعضاء النشطين</t>
        </is>
      </c>
      <c r="G6" s="271" t="inlineStr">
        <is>
          <t>1% + منافع VIP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1 نقطة</t>
        </is>
      </c>
      <c r="E16" s="290" t="inlineStr">
        <is>
          <t>1 نقطة</t>
        </is>
      </c>
      <c r="F16" s="291" t="inlineStr">
        <is>
          <t>1 نقطة</t>
        </is>
      </c>
      <c r="G16" s="292" t="inlineStr">
        <is>
          <t>2.3x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10K = ريال</t>
        </is>
      </c>
      <c r="E17" s="290" t="inlineStr">
        <is>
          <t>10K = ريال</t>
        </is>
      </c>
      <c r="F17" s="291" t="inlineStr">
        <is>
          <t>10K = ريال</t>
        </is>
      </c>
      <c r="G17" s="292" t="inlineStr">
        <is>
          <t>مضخّمة 100x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1.00%</t>
        </is>
      </c>
      <c r="E18" s="290" t="inlineStr">
        <is>
          <t>1.00%</t>
        </is>
      </c>
      <c r="F18" s="291" t="inlineStr">
        <is>
          <t>1.00%</t>
        </is>
      </c>
      <c r="G18" s="292" t="inlineStr">
        <is>
          <t>2.3x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100 نقطة</t>
        </is>
      </c>
      <c r="E19" s="290" t="inlineStr">
        <is>
          <t>100 نقطة</t>
        </is>
      </c>
      <c r="F19" s="291" t="inlineStr">
        <is>
          <t>100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النموذج الشفّاف: كل ريال = نقطة · 100 نقطة = ريال (1%) — ثقة كاملة بلا تضخيم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500 نقطة = 5 ريال · ترحيب بسيط وواضح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'كل ريال نقطة · ضعف ساسكو كاش باك'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100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1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1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1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13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13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نموذج شفّاف: كل ريال = نقطة · 100 نقطة = ريال (1% كاش باك) بلا تضخيم · ثقة كاملة كمنهج TotalEnergies</t>
        </is>
      </c>
      <c r="B33" s="299" t="n"/>
      <c r="C33" s="299" t="n"/>
      <c r="D33" s="299" t="n"/>
      <c r="E33" s="299" t="n"/>
      <c r="F33" s="299" t="n"/>
      <c r="G33" s="300" t="n"/>
    </row>
    <row r="35">
      <c r="A35" s="319" t="inlineStr">
        <is>
          <t>🆕 الاقتصاد الموسّع — مدخلات</t>
        </is>
      </c>
    </row>
    <row r="36">
      <c r="A36" t="inlineStr">
        <is>
          <t>+</t>
        </is>
      </c>
      <c r="B36" s="320" t="inlineStr">
        <is>
          <t>سعر لتر الديزل (ريال)</t>
        </is>
      </c>
      <c r="C36" s="321" t="n">
        <v>1.79</v>
      </c>
      <c r="D36" s="320" t="inlineStr">
        <is>
          <t>يناير 2026</t>
        </is>
      </c>
    </row>
    <row r="37">
      <c r="A37" t="inlineStr">
        <is>
          <t>+</t>
        </is>
      </c>
      <c r="B37" s="320" t="inlineStr">
        <is>
          <t>هامش الديزل (هللة/لتر)</t>
        </is>
      </c>
      <c r="C37" s="321" t="n">
        <v>4</v>
      </c>
      <c r="D37" s="320" t="inlineStr">
        <is>
          <t>ضعيف جداً</t>
        </is>
      </c>
    </row>
    <row r="38">
      <c r="A38" t="inlineStr">
        <is>
          <t>+</t>
        </is>
      </c>
      <c r="B38" s="320" t="inlineStr">
        <is>
          <t>كسب الديزل (نقطة/ريال)</t>
        </is>
      </c>
      <c r="C38" s="321" t="n">
        <v>0.5</v>
      </c>
      <c r="D38" s="320" t="inlineStr">
        <is>
          <t>كاش باك 0.5% (هامش ضعيف)</t>
        </is>
      </c>
    </row>
    <row r="39">
      <c r="A39" t="inlineStr">
        <is>
          <t>+</t>
        </is>
      </c>
      <c r="B39" s="320" t="inlineStr">
        <is>
          <t>كسب الشركاء (نقطة/ريال)</t>
        </is>
      </c>
      <c r="C39" s="321" t="n">
        <v>4</v>
      </c>
      <c r="D39" s="320" t="inlineStr">
        <is>
          <t>~4% ممولة من الشريك</t>
        </is>
      </c>
    </row>
    <row r="40">
      <c r="A40" t="inlineStr">
        <is>
          <t>+</t>
        </is>
      </c>
      <c r="B40" s="320" t="inlineStr">
        <is>
          <t>مساهمة الشريك لدرب (هللة/ريال)</t>
        </is>
      </c>
      <c r="C40" s="321" t="n">
        <v>1</v>
      </c>
      <c r="D40" s="320" t="inlineStr">
        <is>
          <t>ما يدفعه الشريك مقابل عملاء درب</t>
        </is>
      </c>
    </row>
    <row r="41">
      <c r="A41" t="inlineStr">
        <is>
          <t>+</t>
        </is>
      </c>
      <c r="B41" s="320" t="inlineStr">
        <is>
          <t>هدية الترحيب الموصى بها (نقطة)</t>
        </is>
      </c>
      <c r="C41" s="321" t="n">
        <v>500</v>
      </c>
      <c r="D41" s="320">
        <f> 5 ريال تكلفة فعلية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22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3" t="inlineStr">
        <is>
          <t>💎 النقاط (Points)</t>
        </is>
      </c>
      <c r="E5" s="324" t="n"/>
      <c r="F5" s="325" t="inlineStr">
        <is>
          <t>🎯 المستويات (Tiers)</t>
        </is>
      </c>
    </row>
    <row r="6" ht="24" customHeight="1" s="260">
      <c r="A6" s="326" t="inlineStr">
        <is>
          <t>للاستبدال فقط</t>
        </is>
      </c>
      <c r="E6" s="324" t="n"/>
      <c r="F6" s="327" t="inlineStr">
        <is>
          <t>للحالة والمزايا</t>
        </is>
      </c>
    </row>
    <row r="7" ht="25.5" customHeight="1" s="260">
      <c r="A7" s="328" t="inlineStr">
        <is>
          <t>✅ تكتسبها مع كل عملية تعبئة</t>
        </is>
      </c>
      <c r="B7" s="293" t="n"/>
      <c r="C7" s="293" t="n"/>
      <c r="D7" s="287" t="n"/>
      <c r="E7" s="324" t="n"/>
      <c r="F7" s="328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8" t="inlineStr">
        <is>
          <t>✅ تستبدلها بمكافآت من الشركاء</t>
        </is>
      </c>
      <c r="B8" s="293" t="n"/>
      <c r="C8" s="293" t="n"/>
      <c r="D8" s="287" t="n"/>
      <c r="E8" s="324" t="n"/>
      <c r="F8" s="328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8" t="inlineStr">
        <is>
          <t>✅ يمكن إهداؤها للعائلة</t>
        </is>
      </c>
      <c r="B9" s="293" t="n"/>
      <c r="C9" s="293" t="n"/>
      <c r="D9" s="287" t="n"/>
      <c r="E9" s="324" t="n"/>
      <c r="F9" s="328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8" t="inlineStr">
        <is>
          <t>❌ تنقص عند الاستبدال</t>
        </is>
      </c>
      <c r="B10" s="293" t="n"/>
      <c r="C10" s="293" t="n"/>
      <c r="D10" s="287" t="n"/>
      <c r="E10" s="324" t="n"/>
      <c r="F10" s="328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8" t="inlineStr">
        <is>
          <t>🎯 ربط مباشر بقيمة الإنفاق</t>
        </is>
      </c>
      <c r="B11" s="293" t="n"/>
      <c r="C11" s="293" t="n"/>
      <c r="D11" s="287" t="n"/>
      <c r="E11" s="324" t="n"/>
      <c r="F11" s="328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9" t="inlineStr">
        <is>
          <t>📊 الفرق بين العدّاديْن</t>
        </is>
      </c>
    </row>
    <row r="14" ht="36" customHeight="1" s="260">
      <c r="A14" s="330" t="inlineStr">
        <is>
          <t>المعيار</t>
        </is>
      </c>
      <c r="B14" s="293" t="n"/>
      <c r="C14" s="287" t="n"/>
      <c r="D14" s="331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32" t="inlineStr">
        <is>
          <t>الاستبدال بمكافآت</t>
        </is>
      </c>
      <c r="E15" s="293" t="n"/>
      <c r="F15" s="287" t="n"/>
      <c r="G15" s="333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32" t="inlineStr">
        <is>
          <t>مع كل تعبئة</t>
        </is>
      </c>
      <c r="E16" s="293" t="n"/>
      <c r="F16" s="287" t="n"/>
      <c r="G16" s="333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32" t="inlineStr">
        <is>
          <t>عند استبدال نقاط</t>
        </is>
      </c>
      <c r="E17" s="293" t="n"/>
      <c r="F17" s="287" t="n"/>
      <c r="G17" s="333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32" t="inlineStr">
        <is>
          <t>لا · رصيد متراكم</t>
        </is>
      </c>
      <c r="E18" s="293" t="n"/>
      <c r="F18" s="287" t="n"/>
      <c r="G18" s="333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32" t="inlineStr">
        <is>
          <t>❌ لا</t>
        </is>
      </c>
      <c r="E19" s="293" t="n"/>
      <c r="F19" s="287" t="n"/>
      <c r="G19" s="333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32" t="inlineStr">
        <is>
          <t>500K نقطة = 50 ريال</t>
        </is>
      </c>
      <c r="E20" s="293" t="n"/>
      <c r="F20" s="287" t="n"/>
      <c r="G20" s="333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30" t="inlineStr">
        <is>
          <t>الوقت</t>
        </is>
      </c>
      <c r="B23" s="287" t="n"/>
      <c r="C23" s="330" t="inlineStr">
        <is>
          <t>النشاط</t>
        </is>
      </c>
      <c r="D23" s="287" t="n"/>
      <c r="E23" s="331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8" t="inlineStr">
        <is>
          <t>تنفق 600 ر هذا الشهر</t>
        </is>
      </c>
      <c r="D24" s="287" t="n"/>
      <c r="E24" s="334" t="inlineStr">
        <is>
          <t>+60,000 نقطة → الرصيد 60K</t>
        </is>
      </c>
      <c r="F24" s="293" t="n"/>
      <c r="G24" s="287" t="n"/>
      <c r="H24" s="335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8" t="inlineStr">
        <is>
          <t>تستمر بنفس المعدل</t>
        </is>
      </c>
      <c r="D25" s="287" t="n"/>
      <c r="E25" s="334" t="inlineStr">
        <is>
          <t>+360,000 نقطة (المجموع 420K)</t>
        </is>
      </c>
      <c r="F25" s="293" t="n"/>
      <c r="G25" s="287" t="n"/>
      <c r="H25" s="335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8" t="inlineStr">
        <is>
          <t>تستبدل 400K نقطة بقهوة</t>
        </is>
      </c>
      <c r="D26" s="287" t="n"/>
      <c r="E26" s="334" t="inlineStr">
        <is>
          <t>⬇️ الرصيد ينزل إلى 20K</t>
        </is>
      </c>
      <c r="F26" s="293" t="n"/>
      <c r="G26" s="287" t="n"/>
      <c r="H26" s="335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8" t="inlineStr">
        <is>
          <t>الإنفاق السنوي 7,200 ر</t>
        </is>
      </c>
      <c r="D27" s="287" t="n"/>
      <c r="E27" s="334" t="inlineStr">
        <is>
          <t>كاش باك 1.5% (الفضي)</t>
        </is>
      </c>
      <c r="F27" s="293" t="n"/>
      <c r="G27" s="287" t="n"/>
      <c r="H27" s="335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8" t="inlineStr">
        <is>
          <t>بداية سنة جديدة</t>
        </is>
      </c>
      <c r="D28" s="287" t="n"/>
      <c r="E28" s="334" t="inlineStr">
        <is>
          <t>الرصيد محفوظ · لا ينقص</t>
        </is>
      </c>
      <c r="F28" s="293" t="n"/>
      <c r="G28" s="287" t="n"/>
      <c r="H28" s="335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6" t="inlineStr">
        <is>
          <t>🌟 الرسائل المفتاحية للعميل</t>
        </is>
      </c>
    </row>
    <row r="31" ht="31.5" customHeight="1" s="260">
      <c r="A31" s="337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7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7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7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8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9" t="n">
        <v>600</v>
      </c>
      <c r="G5" s="287" t="n"/>
      <c r="H5" s="340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9" t="inlineStr">
        <is>
          <t>🎯 الملخص الفوري</t>
        </is>
      </c>
    </row>
    <row r="8" ht="30" customHeight="1" s="260">
      <c r="A8" s="341" t="inlineStr">
        <is>
          <t>📅 الإنفاق السنوي</t>
        </is>
      </c>
      <c r="B8" s="287" t="n"/>
      <c r="C8" s="342" t="inlineStr">
        <is>
          <t>🎯 المستوى الحالي</t>
        </is>
      </c>
      <c r="D8" s="287" t="n"/>
      <c r="E8" s="343" t="inlineStr">
        <is>
          <t>💎 نقاط/سنة</t>
        </is>
      </c>
      <c r="F8" s="293" t="n"/>
      <c r="G8" s="287" t="n"/>
      <c r="H8" s="344" t="inlineStr">
        <is>
          <t>💰 القيمة المالية</t>
        </is>
      </c>
      <c r="I8" s="293" t="n"/>
      <c r="J8" s="287" t="n"/>
    </row>
    <row r="9" ht="55.5" customHeight="1" s="260">
      <c r="A9" s="345">
        <f>F5*12</f>
        <v/>
      </c>
      <c r="B9" s="287" t="n"/>
      <c r="C9" s="346">
        <f>IF(F5*12&lt;السيناريوهات!C16,"🤍 الأبيض",IF(F5*12&lt;السيناريوهات!C17,"🩶 الفضي","🟠 البرتقالي"))</f>
        <v/>
      </c>
      <c r="D9" s="287" t="n"/>
      <c r="E9" s="347">
        <f>F5*12*IF(C9="🤍 الأبيض",السيناريوهات!C7,IF(C9="🩶 الفضي",السيناريوهات!C8,السيناريوهات!C9))</f>
        <v/>
      </c>
      <c r="F9" s="293" t="n"/>
      <c r="G9" s="287" t="n"/>
      <c r="H9" s="348">
        <f>E9/السيناريوهات!C6</f>
        <v/>
      </c>
      <c r="I9" s="293" t="n"/>
      <c r="J9" s="287" t="n"/>
    </row>
    <row r="10" ht="21.75" customHeight="1" s="260">
      <c r="A10" s="349" t="inlineStr">
        <is>
          <t>إنفاق على الوقود</t>
        </is>
      </c>
      <c r="B10" s="287" t="n"/>
      <c r="C10" s="350" t="inlineStr">
        <is>
          <t>مستواك بناء على الإنفاق</t>
        </is>
      </c>
      <c r="D10" s="287" t="n"/>
      <c r="E10" s="351" t="inlineStr">
        <is>
          <t>للاستبدال بمكافآت</t>
        </is>
      </c>
      <c r="F10" s="293" t="n"/>
      <c r="G10" s="287" t="n"/>
      <c r="H10" s="352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3" t="inlineStr">
        <is>
          <t>🎯 المستوى التالي →</t>
        </is>
      </c>
      <c r="B13" s="293" t="n"/>
      <c r="C13" s="287" t="n"/>
      <c r="D13" s="354">
        <f>IF(C9="🤍 الأبيض","🩶 الفضي",IF(C9="🩶 الفضي","🟠 البرتقالي","✨ أعلى مستوى"))</f>
        <v/>
      </c>
      <c r="E13" s="287" t="n"/>
      <c r="F13" s="353" t="inlineStr">
        <is>
          <t>💪 الإنفاق المتبقي →</t>
        </is>
      </c>
      <c r="G13" s="287" t="n"/>
      <c r="H13" s="355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6" t="inlineStr">
        <is>
          <t>نسبة التقدم</t>
        </is>
      </c>
      <c r="B14" s="287" t="n"/>
      <c r="C14" s="357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30" t="inlineStr">
        <is>
          <t>البند</t>
        </is>
      </c>
      <c r="B17" s="287" t="n"/>
      <c r="C17" s="331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32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3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32">
        <f>TEXT(E9,"#,##0")&amp;" نقطة (= "&amp;TEXT(H9,"#,##0")&amp;" ر)"</f>
        <v/>
      </c>
      <c r="D19" s="293" t="n"/>
      <c r="E19" s="293" t="n"/>
      <c r="F19" s="287" t="n"/>
      <c r="G19" s="333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32" t="inlineStr">
        <is>
          <t>تنقص بحسب قيمة المكافأة</t>
        </is>
      </c>
      <c r="D20" s="293" t="n"/>
      <c r="E20" s="293" t="n"/>
      <c r="F20" s="287" t="n"/>
      <c r="G20" s="333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32" t="inlineStr">
        <is>
          <t>الرصيد يبقى كما هو</t>
        </is>
      </c>
      <c r="D21" s="293" t="n"/>
      <c r="E21" s="293" t="n"/>
      <c r="F21" s="287" t="n"/>
      <c r="G21" s="333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8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9" t="n">
        <v>600</v>
      </c>
      <c r="D27" s="360">
        <f>C27*12</f>
        <v/>
      </c>
      <c r="E27" s="361">
        <f>IF(D27&lt;السيناريوهات!$C$16,"🤍 أبيض",IF(D27&lt;السيناريوهات!$C$17,"🩶 فضي","🟠 برتقالي"))</f>
        <v/>
      </c>
      <c r="F27" s="362">
        <f>D27*IF(E27="🤍 أبيض",السيناريوهات!$C$7,IF(E27="🩶 فضي",السيناريوهات!$C$8,السيناريوهات!$C$9))</f>
        <v/>
      </c>
      <c r="G27" s="363">
        <f>F27/السيناريوهات!$C$6</f>
        <v/>
      </c>
      <c r="H27" s="364">
        <f>G27/D27</f>
        <v/>
      </c>
      <c r="I27" s="365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9" t="n">
        <v>1000</v>
      </c>
      <c r="D28" s="360">
        <f>C28*12</f>
        <v/>
      </c>
      <c r="E28" s="361">
        <f>IF(D28&lt;السيناريوهات!$C$16,"🤍 أبيض",IF(D28&lt;السيناريوهات!$C$17,"🩶 فضي","🟠 برتقالي"))</f>
        <v/>
      </c>
      <c r="F28" s="362">
        <f>D28*IF(E28="🤍 أبيض",السيناريوهات!$C$7,IF(E28="🩶 فضي",السيناريوهات!$C$8,السيناريوهات!$C$9))</f>
        <v/>
      </c>
      <c r="G28" s="363">
        <f>F28/السيناريوهات!$C$6</f>
        <v/>
      </c>
      <c r="H28" s="364">
        <f>G28/D28</f>
        <v/>
      </c>
      <c r="I28" s="365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9" t="n">
        <v>1500</v>
      </c>
      <c r="D29" s="360">
        <f>C29*12</f>
        <v/>
      </c>
      <c r="E29" s="361">
        <f>IF(D29&lt;السيناريوهات!$C$16,"🤍 أبيض",IF(D29&lt;السيناريوهات!$C$17,"🩶 فضي","🟠 برتقالي"))</f>
        <v/>
      </c>
      <c r="F29" s="362">
        <f>D29*IF(E29="🤍 أبيض",السيناريوهات!$C$7,IF(E29="🩶 فضي",السيناريوهات!$C$8,السيناريوهات!$C$9))</f>
        <v/>
      </c>
      <c r="G29" s="363">
        <f>F29/السيناريوهات!$C$6</f>
        <v/>
      </c>
      <c r="H29" s="364">
        <f>G29/D29</f>
        <v/>
      </c>
      <c r="I29" s="365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9" t="n">
        <v>2500</v>
      </c>
      <c r="D30" s="360">
        <f>C30*12</f>
        <v/>
      </c>
      <c r="E30" s="361">
        <f>IF(D30&lt;السيناريوهات!$C$16,"🤍 أبيض",IF(D30&lt;السيناريوهات!$C$17,"🩶 فضي","🟠 برتقالي"))</f>
        <v/>
      </c>
      <c r="F30" s="362">
        <f>D30*IF(E30="🤍 أبيض",السيناريوهات!$C$7,IF(E30="🩶 فضي",السيناريوهات!$C$8,السيناريوهات!$C$9))</f>
        <v/>
      </c>
      <c r="G30" s="363">
        <f>F30/السيناريوهات!$C$6</f>
        <v/>
      </c>
      <c r="H30" s="364">
        <f>G30/D30</f>
        <v/>
      </c>
      <c r="I30" s="365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9" t="n">
        <v>4000</v>
      </c>
      <c r="D31" s="360">
        <f>C31*12</f>
        <v/>
      </c>
      <c r="E31" s="361">
        <f>IF(D31&lt;السيناريوهات!$C$16,"🤍 أبيض",IF(D31&lt;السيناريوهات!$C$17,"🩶 فضي","🟠 برتقالي"))</f>
        <v/>
      </c>
      <c r="F31" s="362">
        <f>D31*IF(E31="🤍 أبيض",السيناريوهات!$C$7,IF(E31="🩶 فضي",السيناريوهات!$C$8,السيناريوهات!$C$9))</f>
        <v/>
      </c>
      <c r="G31" s="363">
        <f>F31/السيناريوهات!$C$6</f>
        <v/>
      </c>
      <c r="H31" s="364">
        <f>G31/D31</f>
        <v/>
      </c>
      <c r="I31" s="365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9" t="n">
        <v>8000</v>
      </c>
      <c r="D32" s="360">
        <f>C32*12</f>
        <v/>
      </c>
      <c r="E32" s="361">
        <f>IF(D32&lt;السيناريوهات!$C$16,"🤍 أبيض",IF(D32&lt;السيناريوهات!$C$17,"🩶 فضي","🟠 برتقالي"))</f>
        <v/>
      </c>
      <c r="F32" s="362">
        <f>D32*IF(E32="🤍 أبيض",السيناريوهات!$C$7,IF(E32="🩶 فضي",السيناريوهات!$C$8,السيناريوهات!$C$9))</f>
        <v/>
      </c>
      <c r="G32" s="363">
        <f>F32/السيناريوهات!$C$6</f>
        <v/>
      </c>
      <c r="H32" s="364">
        <f>G32/D32</f>
        <v/>
      </c>
      <c r="I32" s="365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22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30" t="inlineStr">
        <is>
          <t>المرحلة</t>
        </is>
      </c>
      <c r="B5" s="330" t="inlineStr">
        <is>
          <t>الفترة</t>
        </is>
      </c>
      <c r="C5" s="330" t="inlineStr">
        <is>
          <t>العنوان</t>
        </is>
      </c>
      <c r="D5" s="330" t="inlineStr">
        <is>
          <t>الهدف الرئيسي</t>
        </is>
      </c>
      <c r="E5" s="293" t="n"/>
      <c r="F5" s="287" t="n"/>
      <c r="G5" s="330" t="inlineStr">
        <is>
          <t>الحالة</t>
        </is>
      </c>
      <c r="H5" s="287" t="n"/>
      <c r="I5" s="330" t="inlineStr">
        <is>
          <t>التكلفة المتوقعة</t>
        </is>
      </c>
      <c r="J5" s="287" t="n"/>
    </row>
    <row r="6" ht="42" customHeight="1" s="260">
      <c r="A6" s="366" t="inlineStr">
        <is>
          <t>🟢</t>
        </is>
      </c>
      <c r="B6" s="367" t="inlineStr">
        <is>
          <t>شهر 1-3</t>
        </is>
      </c>
      <c r="C6" s="368" t="inlineStr">
        <is>
          <t>إطلاق الوقود</t>
        </is>
      </c>
      <c r="D6" s="369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70" t="inlineStr">
        <is>
          <t>2.3 مليون ر/سنة</t>
        </is>
      </c>
      <c r="J6" s="287" t="n"/>
    </row>
    <row r="7" ht="42" customHeight="1" s="260">
      <c r="A7" s="371" t="inlineStr">
        <is>
          <t>🔵</t>
        </is>
      </c>
      <c r="B7" s="343" t="inlineStr">
        <is>
          <t>شهر 3-6</t>
        </is>
      </c>
      <c r="C7" s="372" t="inlineStr">
        <is>
          <t>تفاوض المستأجرين</t>
        </is>
      </c>
      <c r="D7" s="369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70" t="inlineStr">
        <is>
          <t>+ تكاليف تكامل</t>
        </is>
      </c>
      <c r="J7" s="287" t="n"/>
    </row>
    <row r="8" ht="42" customHeight="1" s="260">
      <c r="A8" s="373" t="inlineStr">
        <is>
          <t>🟣</t>
        </is>
      </c>
      <c r="B8" s="342" t="inlineStr">
        <is>
          <t>شهر 6-12</t>
        </is>
      </c>
      <c r="C8" s="374" t="inlineStr">
        <is>
          <t>التوسع التدريجي</t>
        </is>
      </c>
      <c r="D8" s="369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70" t="inlineStr">
        <is>
          <t>3.5 مليون ر/سنة</t>
        </is>
      </c>
      <c r="J8" s="287" t="n"/>
    </row>
    <row r="9" ht="42" customHeight="1" s="260">
      <c r="A9" s="375" t="inlineStr">
        <is>
          <t>🟠</t>
        </is>
      </c>
      <c r="B9" s="376" t="inlineStr">
        <is>
          <t>شهر 12-18</t>
        </is>
      </c>
      <c r="C9" s="377" t="inlineStr">
        <is>
          <t>النضج الكامل</t>
        </is>
      </c>
      <c r="D9" s="369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70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30" t="inlineStr">
        <is>
          <t>المرحلة</t>
        </is>
      </c>
      <c r="B12" s="330" t="inlineStr">
        <is>
          <t>الأنشطة الرئيسية</t>
        </is>
      </c>
      <c r="C12" s="293" t="n"/>
      <c r="D12" s="287" t="n"/>
      <c r="E12" s="330" t="inlineStr">
        <is>
          <t>المخرجات المتوقعة</t>
        </is>
      </c>
      <c r="F12" s="293" t="n"/>
      <c r="G12" s="287" t="n"/>
      <c r="H12" s="330" t="inlineStr">
        <is>
          <t>المخاطر والتحديات</t>
        </is>
      </c>
      <c r="I12" s="293" t="n"/>
      <c r="J12" s="287" t="n"/>
    </row>
    <row r="13" ht="109.5" customHeight="1" s="260">
      <c r="A13" s="378" t="inlineStr">
        <is>
          <t>🟢
المرحلة 1
شهر 1-3
إطلاق الوقود</t>
        </is>
      </c>
      <c r="B13" s="369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9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80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81" t="inlineStr">
        <is>
          <t>🔵
المرحلة 2
شهر 3-6
تفاوض المستأجرين</t>
        </is>
      </c>
      <c r="B14" s="369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9" t="inlineStr">
        <is>
          <t>• 3-5 عقود موقعة
• Pilot ناجح للكافيه
• APIs جاهزة
• نموذج مالي مختبر</t>
        </is>
      </c>
      <c r="F14" s="293" t="n"/>
      <c r="G14" s="287" t="n"/>
      <c r="H14" s="380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82" t="inlineStr">
        <is>
          <t>🟣
المرحلة 3
شهر 6-12
التوسع التدريجي</t>
        </is>
      </c>
      <c r="B15" s="369" t="inlineStr">
        <is>
          <t>• إطلاق قسم شهرياً
• حملات حصرية
• لوحات تحكم
• توسيع الفريق</t>
        </is>
      </c>
      <c r="C15" s="293" t="n"/>
      <c r="D15" s="287" t="n"/>
      <c r="E15" s="379" t="inlineStr">
        <is>
          <t>• 5+ أقسام نشطة
• 100,000+ مستخدم
• +25% إنفاق
• 1.5M معاملة/شهر</t>
        </is>
      </c>
      <c r="F15" s="293" t="n"/>
      <c r="G15" s="287" t="n"/>
      <c r="H15" s="380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3" t="inlineStr">
        <is>
          <t>🟠
المرحلة 4
شهر 12-18
النضج الكامل</t>
        </is>
      </c>
      <c r="B16" s="369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9" t="inlineStr">
        <is>
          <t>• 200,000+ مستخدم
• 7+ أقسام
• شركاء سفر/مطاعم
• ROI إيجابي مثبت</t>
        </is>
      </c>
      <c r="F16" s="293" t="n"/>
      <c r="G16" s="287" t="n"/>
      <c r="H16" s="380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30" t="inlineStr">
        <is>
          <t>النشاط</t>
        </is>
      </c>
      <c r="B19" s="378" t="inlineStr">
        <is>
          <t>Q1
شهر 1-3</t>
        </is>
      </c>
      <c r="C19" s="381" t="inlineStr">
        <is>
          <t>Q2
شهر 4-6</t>
        </is>
      </c>
      <c r="D19" s="382" t="inlineStr">
        <is>
          <t>Q3
شهر 7-9</t>
        </is>
      </c>
      <c r="E19" s="382" t="inlineStr">
        <is>
          <t>Q4
شهر 10-12</t>
        </is>
      </c>
      <c r="F19" s="383" t="inlineStr">
        <is>
          <t>Q5
شهر 13-15</t>
        </is>
      </c>
      <c r="G19" s="383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4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5" t="inlineStr">
        <is>
          <t>50K مستخدم Q1 · المنتج الأساسي</t>
        </is>
      </c>
      <c r="I20" s="293" t="n"/>
      <c r="J20" s="287" t="n"/>
    </row>
    <row r="21" ht="25.5" customHeight="1" s="260">
      <c r="A21" s="384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5" t="inlineStr">
        <is>
          <t>حملة إطلاق كبرى ثم متابعة</t>
        </is>
      </c>
      <c r="I21" s="293" t="n"/>
      <c r="J21" s="287" t="n"/>
    </row>
    <row r="22" ht="25.5" customHeight="1" s="260">
      <c r="A22" s="384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5" t="inlineStr">
        <is>
          <t>5+ عقود بنهاية Q3</t>
        </is>
      </c>
      <c r="I22" s="293" t="n"/>
      <c r="J22" s="287" t="n"/>
    </row>
    <row r="23" ht="25.5" customHeight="1" s="260">
      <c r="A23" s="384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5" t="inlineStr">
        <is>
          <t>محطة واحدة كتجربة</t>
        </is>
      </c>
      <c r="I23" s="293" t="n"/>
      <c r="J23" s="287" t="n"/>
    </row>
    <row r="24" ht="25.5" customHeight="1" s="260">
      <c r="A24" s="384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5" t="inlineStr">
        <is>
          <t>بعد نجاح الكافيه</t>
        </is>
      </c>
      <c r="I24" s="293" t="n"/>
      <c r="J24" s="287" t="n"/>
    </row>
    <row r="25" ht="25.5" customHeight="1" s="260">
      <c r="A25" s="384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5" t="inlineStr">
        <is>
          <t>أقسام سهلة الإضافة</t>
        </is>
      </c>
      <c r="I25" s="293" t="n"/>
      <c r="J25" s="287" t="n"/>
    </row>
    <row r="26" ht="25.5" customHeight="1" s="260">
      <c r="A26" s="384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5" t="inlineStr">
        <is>
          <t>حملات حصرية كل ربع</t>
        </is>
      </c>
      <c r="I26" s="293" t="n"/>
      <c r="J26" s="287" t="n"/>
    </row>
    <row r="27" ht="25.5" customHeight="1" s="260">
      <c r="A27" s="384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5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22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6" t="inlineStr">
        <is>
          <t>سلسلة كافيه (مثال: ستاربكس)</t>
        </is>
      </c>
      <c r="C6" s="387" t="inlineStr">
        <is>
          <t>كافيه</t>
        </is>
      </c>
      <c r="D6" s="387" t="n">
        <v>30</v>
      </c>
      <c r="E6" s="388" t="n">
        <v>150000</v>
      </c>
      <c r="F6" s="389" t="n">
        <v>0.65</v>
      </c>
      <c r="G6" s="387" t="inlineStr">
        <is>
          <t>مشاركة 50/50</t>
        </is>
      </c>
      <c r="H6" s="390" t="n">
        <v>1</v>
      </c>
      <c r="I6" s="387" t="inlineStr">
        <is>
          <t>لم نتواصل</t>
        </is>
      </c>
      <c r="J6" s="391" t="n"/>
      <c r="K6" s="391" t="n"/>
      <c r="L6" s="392" t="inlineStr">
        <is>
          <t>هدف استراتيجي · حضور قوي</t>
        </is>
      </c>
    </row>
    <row r="7" ht="24" customHeight="1" s="260">
      <c r="A7" s="303" t="n">
        <v>2</v>
      </c>
      <c r="B7" s="386" t="inlineStr">
        <is>
          <t>كافيه محلي (دانكن/تيم هورتنز)</t>
        </is>
      </c>
      <c r="C7" s="387" t="inlineStr">
        <is>
          <t>كافيه</t>
        </is>
      </c>
      <c r="D7" s="387" t="n">
        <v>25</v>
      </c>
      <c r="E7" s="388" t="n">
        <v>100000</v>
      </c>
      <c r="F7" s="389" t="n">
        <v>0.55</v>
      </c>
      <c r="G7" s="387" t="inlineStr">
        <is>
          <t>مشاركة 70/30 (المستأجر)</t>
        </is>
      </c>
      <c r="H7" s="390" t="n">
        <v>1.5</v>
      </c>
      <c r="I7" s="387" t="inlineStr">
        <is>
          <t>لم نتواصل</t>
        </is>
      </c>
      <c r="J7" s="391" t="n"/>
      <c r="K7" s="391" t="n"/>
      <c r="L7" s="392" t="inlineStr">
        <is>
          <t>مرونة أعلى من العالمية</t>
        </is>
      </c>
    </row>
    <row r="8" ht="24" customHeight="1" s="260">
      <c r="A8" s="303" t="n">
        <v>3</v>
      </c>
      <c r="B8" s="386" t="inlineStr">
        <is>
          <t>سلسلة سوبرماركت (مثال: العثيم)</t>
        </is>
      </c>
      <c r="C8" s="387" t="inlineStr">
        <is>
          <t>سوبرماركت</t>
        </is>
      </c>
      <c r="D8" s="387" t="n">
        <v>40</v>
      </c>
      <c r="E8" s="388" t="n">
        <v>500000</v>
      </c>
      <c r="F8" s="389" t="n">
        <v>0.2</v>
      </c>
      <c r="G8" s="387" t="inlineStr">
        <is>
          <t>مشاركة 30/70 (درب)</t>
        </is>
      </c>
      <c r="H8" s="390" t="n">
        <v>0.5</v>
      </c>
      <c r="I8" s="387" t="inlineStr">
        <is>
          <t>لم نتواصل</t>
        </is>
      </c>
      <c r="J8" s="391" t="n"/>
      <c r="K8" s="391" t="n"/>
      <c r="L8" s="392" t="inlineStr">
        <is>
          <t>حجم كبير · هامش منخفض</t>
        </is>
      </c>
    </row>
    <row r="9" ht="24" customHeight="1" s="260">
      <c r="A9" s="303" t="n">
        <v>4</v>
      </c>
      <c r="B9" s="386" t="inlineStr">
        <is>
          <t>مغسلة (مثال: Magic Wash)</t>
        </is>
      </c>
      <c r="C9" s="387" t="inlineStr">
        <is>
          <t>مغسلة</t>
        </is>
      </c>
      <c r="D9" s="387" t="n">
        <v>50</v>
      </c>
      <c r="E9" s="388" t="n">
        <v>80000</v>
      </c>
      <c r="F9" s="389" t="n">
        <v>0.7</v>
      </c>
      <c r="G9" s="387" t="inlineStr">
        <is>
          <t>المستأجر يدفع 100%</t>
        </is>
      </c>
      <c r="H9" s="390" t="n">
        <v>2</v>
      </c>
      <c r="I9" s="387" t="inlineStr">
        <is>
          <t>لم نتواصل</t>
        </is>
      </c>
      <c r="J9" s="391" t="n"/>
      <c r="K9" s="391" t="n"/>
      <c r="L9" s="392" t="inlineStr">
        <is>
          <t>خدمة درب الخاصة</t>
        </is>
      </c>
    </row>
    <row r="10" ht="24" customHeight="1" s="260">
      <c r="A10" s="303" t="n">
        <v>5</v>
      </c>
      <c r="B10" s="386" t="inlineStr">
        <is>
          <t>مطعم سريع (مثال: البيك/كودو)</t>
        </is>
      </c>
      <c r="C10" s="387" t="inlineStr">
        <is>
          <t>مطعم</t>
        </is>
      </c>
      <c r="D10" s="387" t="n">
        <v>35</v>
      </c>
      <c r="E10" s="388" t="n">
        <v>200000</v>
      </c>
      <c r="F10" s="389" t="n">
        <v>0.45</v>
      </c>
      <c r="G10" s="387" t="inlineStr">
        <is>
          <t>مشاركة 50/50</t>
        </is>
      </c>
      <c r="H10" s="390" t="n">
        <v>1.5</v>
      </c>
      <c r="I10" s="387" t="inlineStr">
        <is>
          <t>لم نتواصل</t>
        </is>
      </c>
      <c r="J10" s="391" t="n"/>
      <c r="K10" s="391" t="n"/>
      <c r="L10" s="392" t="inlineStr">
        <is>
          <t>حركة عالية · فرص ممتازة</t>
        </is>
      </c>
    </row>
    <row r="11" ht="24" customHeight="1" s="260">
      <c r="A11" s="303" t="n">
        <v>6</v>
      </c>
      <c r="B11" s="393" t="n"/>
      <c r="C11" s="394" t="n"/>
      <c r="D11" s="394" t="n"/>
      <c r="E11" s="395" t="n"/>
      <c r="F11" s="396" t="n"/>
      <c r="G11" s="394" t="n"/>
      <c r="H11" s="397" t="n"/>
      <c r="I11" s="394" t="n"/>
      <c r="J11" s="398" t="n"/>
      <c r="K11" s="398" t="n"/>
      <c r="L11" s="393" t="n"/>
    </row>
    <row r="12" ht="24" customHeight="1" s="260">
      <c r="A12" s="303" t="n">
        <v>7</v>
      </c>
      <c r="B12" s="393" t="n"/>
      <c r="C12" s="394" t="n"/>
      <c r="D12" s="394" t="n"/>
      <c r="E12" s="395" t="n"/>
      <c r="F12" s="396" t="n"/>
      <c r="G12" s="394" t="n"/>
      <c r="H12" s="397" t="n"/>
      <c r="I12" s="394" t="n"/>
      <c r="J12" s="398" t="n"/>
      <c r="K12" s="398" t="n"/>
      <c r="L12" s="393" t="n"/>
    </row>
    <row r="13" ht="24" customHeight="1" s="260">
      <c r="A13" s="303" t="n">
        <v>8</v>
      </c>
      <c r="B13" s="393" t="n"/>
      <c r="C13" s="394" t="n"/>
      <c r="D13" s="394" t="n"/>
      <c r="E13" s="395" t="n"/>
      <c r="F13" s="396" t="n"/>
      <c r="G13" s="394" t="n"/>
      <c r="H13" s="397" t="n"/>
      <c r="I13" s="394" t="n"/>
      <c r="J13" s="398" t="n"/>
      <c r="K13" s="398" t="n"/>
      <c r="L13" s="393" t="n"/>
    </row>
    <row r="14" ht="24" customHeight="1" s="260">
      <c r="A14" s="303" t="n">
        <v>9</v>
      </c>
      <c r="B14" s="393" t="n"/>
      <c r="C14" s="394" t="n"/>
      <c r="D14" s="394" t="n"/>
      <c r="E14" s="395" t="n"/>
      <c r="F14" s="396" t="n"/>
      <c r="G14" s="394" t="n"/>
      <c r="H14" s="397" t="n"/>
      <c r="I14" s="394" t="n"/>
      <c r="J14" s="398" t="n"/>
      <c r="K14" s="398" t="n"/>
      <c r="L14" s="393" t="n"/>
    </row>
    <row r="15" ht="24" customHeight="1" s="260">
      <c r="A15" s="303" t="n">
        <v>10</v>
      </c>
      <c r="B15" s="393" t="n"/>
      <c r="C15" s="394" t="n"/>
      <c r="D15" s="394" t="n"/>
      <c r="E15" s="395" t="n"/>
      <c r="F15" s="396" t="n"/>
      <c r="G15" s="394" t="n"/>
      <c r="H15" s="397" t="n"/>
      <c r="I15" s="394" t="n"/>
      <c r="J15" s="398" t="n"/>
      <c r="K15" s="398" t="n"/>
      <c r="L15" s="393" t="n"/>
    </row>
    <row r="16" ht="24" customHeight="1" s="260">
      <c r="A16" s="303" t="n">
        <v>11</v>
      </c>
      <c r="B16" s="393" t="n"/>
      <c r="C16" s="394" t="n"/>
      <c r="D16" s="394" t="n"/>
      <c r="E16" s="395" t="n"/>
      <c r="F16" s="396" t="n"/>
      <c r="G16" s="394" t="n"/>
      <c r="H16" s="397" t="n"/>
      <c r="I16" s="394" t="n"/>
      <c r="J16" s="398" t="n"/>
      <c r="K16" s="398" t="n"/>
      <c r="L16" s="393" t="n"/>
    </row>
    <row r="17" ht="24" customHeight="1" s="260">
      <c r="A17" s="303" t="n">
        <v>12</v>
      </c>
      <c r="B17" s="393" t="n"/>
      <c r="C17" s="394" t="n"/>
      <c r="D17" s="394" t="n"/>
      <c r="E17" s="395" t="n"/>
      <c r="F17" s="396" t="n"/>
      <c r="G17" s="394" t="n"/>
      <c r="H17" s="397" t="n"/>
      <c r="I17" s="394" t="n"/>
      <c r="J17" s="398" t="n"/>
      <c r="K17" s="398" t="n"/>
      <c r="L17" s="393" t="n"/>
    </row>
    <row r="18" ht="24" customHeight="1" s="260">
      <c r="A18" s="303" t="n">
        <v>13</v>
      </c>
      <c r="B18" s="393" t="n"/>
      <c r="C18" s="394" t="n"/>
      <c r="D18" s="394" t="n"/>
      <c r="E18" s="395" t="n"/>
      <c r="F18" s="396" t="n"/>
      <c r="G18" s="394" t="n"/>
      <c r="H18" s="397" t="n"/>
      <c r="I18" s="394" t="n"/>
      <c r="J18" s="398" t="n"/>
      <c r="K18" s="398" t="n"/>
      <c r="L18" s="393" t="n"/>
    </row>
    <row r="19" ht="24" customHeight="1" s="260">
      <c r="A19" s="303" t="n">
        <v>14</v>
      </c>
      <c r="B19" s="393" t="n"/>
      <c r="C19" s="394" t="n"/>
      <c r="D19" s="394" t="n"/>
      <c r="E19" s="395" t="n"/>
      <c r="F19" s="396" t="n"/>
      <c r="G19" s="394" t="n"/>
      <c r="H19" s="397" t="n"/>
      <c r="I19" s="394" t="n"/>
      <c r="J19" s="398" t="n"/>
      <c r="K19" s="398" t="n"/>
      <c r="L19" s="393" t="n"/>
    </row>
    <row r="20" ht="24" customHeight="1" s="260">
      <c r="A20" s="303" t="n">
        <v>15</v>
      </c>
      <c r="B20" s="393" t="n"/>
      <c r="C20" s="394" t="n"/>
      <c r="D20" s="394" t="n"/>
      <c r="E20" s="395" t="n"/>
      <c r="F20" s="396" t="n"/>
      <c r="G20" s="394" t="n"/>
      <c r="H20" s="397" t="n"/>
      <c r="I20" s="394" t="n"/>
      <c r="J20" s="398" t="n"/>
      <c r="K20" s="398" t="n"/>
      <c r="L20" s="393" t="n"/>
    </row>
    <row r="21" ht="24" customHeight="1" s="260">
      <c r="A21" s="303" t="n">
        <v>16</v>
      </c>
      <c r="B21" s="393" t="n"/>
      <c r="C21" s="394" t="n"/>
      <c r="D21" s="394" t="n"/>
      <c r="E21" s="395" t="n"/>
      <c r="F21" s="396" t="n"/>
      <c r="G21" s="394" t="n"/>
      <c r="H21" s="397" t="n"/>
      <c r="I21" s="394" t="n"/>
      <c r="J21" s="398" t="n"/>
      <c r="K21" s="398" t="n"/>
      <c r="L21" s="393" t="n"/>
    </row>
    <row r="22" ht="24" customHeight="1" s="260">
      <c r="A22" s="303" t="n">
        <v>17</v>
      </c>
      <c r="B22" s="393" t="n"/>
      <c r="C22" s="394" t="n"/>
      <c r="D22" s="394" t="n"/>
      <c r="E22" s="395" t="n"/>
      <c r="F22" s="396" t="n"/>
      <c r="G22" s="394" t="n"/>
      <c r="H22" s="397" t="n"/>
      <c r="I22" s="394" t="n"/>
      <c r="J22" s="398" t="n"/>
      <c r="K22" s="398" t="n"/>
      <c r="L22" s="393" t="n"/>
    </row>
    <row r="23" ht="24" customHeight="1" s="260">
      <c r="A23" s="303" t="n">
        <v>18</v>
      </c>
      <c r="B23" s="393" t="n"/>
      <c r="C23" s="394" t="n"/>
      <c r="D23" s="394" t="n"/>
      <c r="E23" s="395" t="n"/>
      <c r="F23" s="396" t="n"/>
      <c r="G23" s="394" t="n"/>
      <c r="H23" s="397" t="n"/>
      <c r="I23" s="394" t="n"/>
      <c r="J23" s="398" t="n"/>
      <c r="K23" s="398" t="n"/>
      <c r="L23" s="393" t="n"/>
    </row>
    <row r="24" ht="24" customHeight="1" s="260">
      <c r="A24" s="303" t="n">
        <v>19</v>
      </c>
      <c r="B24" s="393" t="n"/>
      <c r="C24" s="394" t="n"/>
      <c r="D24" s="394" t="n"/>
      <c r="E24" s="395" t="n"/>
      <c r="F24" s="396" t="n"/>
      <c r="G24" s="394" t="n"/>
      <c r="H24" s="397" t="n"/>
      <c r="I24" s="394" t="n"/>
      <c r="J24" s="398" t="n"/>
      <c r="K24" s="398" t="n"/>
      <c r="L24" s="393" t="n"/>
    </row>
    <row r="25" ht="24" customHeight="1" s="260">
      <c r="A25" s="303" t="n">
        <v>20</v>
      </c>
      <c r="B25" s="393" t="n"/>
      <c r="C25" s="394" t="n"/>
      <c r="D25" s="394" t="n"/>
      <c r="E25" s="395" t="n"/>
      <c r="F25" s="396" t="n"/>
      <c r="G25" s="394" t="n"/>
      <c r="H25" s="397" t="n"/>
      <c r="I25" s="394" t="n"/>
      <c r="J25" s="398" t="n"/>
      <c r="K25" s="398" t="n"/>
      <c r="L25" s="393" t="n"/>
    </row>
    <row r="26" ht="13.5" customHeight="1" s="260"/>
    <row r="27" ht="30" customHeight="1" s="260">
      <c r="A27" s="329" t="inlineStr">
        <is>
          <t>🤝 نماذج التفاوض الأربعة · أيها يناسب كل مستأجر</t>
        </is>
      </c>
    </row>
    <row r="28" ht="36" customHeight="1" s="260">
      <c r="A28" s="330" t="inlineStr">
        <is>
          <t>النموذج</t>
        </is>
      </c>
      <c r="B28" s="330" t="inlineStr">
        <is>
          <t>مساهمة المستأجر</t>
        </is>
      </c>
      <c r="C28" s="330" t="inlineStr">
        <is>
          <t>مساهمة درب</t>
        </is>
      </c>
      <c r="D28" s="330" t="inlineStr">
        <is>
          <t>مناسب لمن؟</t>
        </is>
      </c>
      <c r="E28" s="293" t="n"/>
      <c r="F28" s="293" t="n"/>
      <c r="G28" s="287" t="n"/>
      <c r="H28" s="330" t="inlineStr">
        <is>
          <t>حجة التفاوض</t>
        </is>
      </c>
      <c r="I28" s="293" t="n"/>
      <c r="J28" s="293" t="n"/>
      <c r="K28" s="287" t="n"/>
      <c r="L28" s="330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9" t="inlineStr">
        <is>
          <t>2 هللة/ريال</t>
        </is>
      </c>
      <c r="C29" s="370" t="inlineStr">
        <is>
          <t>0</t>
        </is>
      </c>
      <c r="D29" s="369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400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9" t="inlineStr">
        <is>
          <t>1.5 هللة/ريال</t>
        </is>
      </c>
      <c r="C30" s="370" t="inlineStr">
        <is>
          <t>0.5 هللة/ريال</t>
        </is>
      </c>
      <c r="D30" s="369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400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401" t="inlineStr">
        <is>
          <t>🟡 مشاركة 50/50</t>
        </is>
      </c>
      <c r="B31" s="399" t="inlineStr">
        <is>
          <t>1 هللة/ريال</t>
        </is>
      </c>
      <c r="C31" s="370" t="inlineStr">
        <is>
          <t>1 هللة/ريال</t>
        </is>
      </c>
      <c r="D31" s="369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400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402" t="inlineStr">
        <is>
          <t>⭐⭐⭐ متوازن</t>
        </is>
      </c>
    </row>
    <row r="32" ht="79.5" customHeight="1" s="260">
      <c r="A32" s="403" t="inlineStr">
        <is>
          <t>🟠 مشاركة 30/70 (درب)</t>
        </is>
      </c>
      <c r="B32" s="399" t="inlineStr">
        <is>
          <t>0.5 هللة/ريال</t>
        </is>
      </c>
      <c r="C32" s="370" t="inlineStr">
        <is>
          <t>1.5 هللة/ريال</t>
        </is>
      </c>
      <c r="D32" s="369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400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402" t="inlineStr">
        <is>
          <t>⭐⭐ مكلف لدرب</t>
        </is>
      </c>
    </row>
    <row r="33" ht="13.5" customHeight="1" s="260"/>
    <row r="34" ht="30" customHeight="1" s="260">
      <c r="A34" s="336" t="inlineStr">
        <is>
          <t>💰 حاسبة الأثر المالي لكل مستأجر</t>
        </is>
      </c>
    </row>
    <row r="35" ht="27.75" customHeight="1" s="260">
      <c r="A35" s="404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5" t="inlineStr">
        <is>
          <t>سلسلة كافيه افتراضية</t>
        </is>
      </c>
      <c r="D36" s="287" t="n"/>
      <c r="E36" s="365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6" t="n">
        <v>150000</v>
      </c>
      <c r="D37" s="287" t="n"/>
      <c r="E37" s="365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7" t="n">
        <v>0.65</v>
      </c>
      <c r="D38" s="287" t="n"/>
      <c r="E38" s="365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8" t="n">
        <v>1</v>
      </c>
      <c r="D39" s="287" t="n"/>
      <c r="E39" s="365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9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41" t="inlineStr">
        <is>
          <t>📅 الإيرادات السنوية</t>
        </is>
      </c>
      <c r="B42" s="293" t="n"/>
      <c r="C42" s="287" t="n"/>
      <c r="D42" s="410">
        <f>C37*12</f>
        <v/>
      </c>
      <c r="E42" s="293" t="n"/>
      <c r="F42" s="287" t="n"/>
      <c r="G42" s="341" t="inlineStr">
        <is>
          <t>💰 الربح السنوي للمستأجر</t>
        </is>
      </c>
      <c r="H42" s="293" t="n"/>
      <c r="I42" s="287" t="n"/>
      <c r="J42" s="411">
        <f>D42*C38</f>
        <v/>
      </c>
      <c r="K42" s="293" t="n"/>
      <c r="L42" s="287" t="n"/>
    </row>
    <row r="43" ht="36" customHeight="1" s="260">
      <c r="A43" s="341" t="inlineStr">
        <is>
          <t>💸 تكلفة النقاط على المستأجر/سنة</t>
        </is>
      </c>
      <c r="B43" s="293" t="n"/>
      <c r="C43" s="287" t="n"/>
      <c r="D43" s="412">
        <f>D42*C39/100</f>
        <v/>
      </c>
      <c r="E43" s="293" t="n"/>
      <c r="F43" s="287" t="n"/>
      <c r="G43" s="341" t="inlineStr">
        <is>
          <t>📊 % من ربح المستأجر</t>
        </is>
      </c>
      <c r="H43" s="293" t="n"/>
      <c r="I43" s="287" t="n"/>
      <c r="J43" s="413">
        <f>D43/J42</f>
        <v/>
      </c>
      <c r="K43" s="293" t="n"/>
      <c r="L43" s="287" t="n"/>
    </row>
    <row r="44" ht="36" customHeight="1" s="260">
      <c r="A44" s="341" t="inlineStr">
        <is>
          <t>📈 الزيادة المتوقعة (15%)</t>
        </is>
      </c>
      <c r="B44" s="293" t="n"/>
      <c r="C44" s="287" t="n"/>
      <c r="D44" s="414">
        <f>D42*0.15</f>
        <v/>
      </c>
      <c r="E44" s="293" t="n"/>
      <c r="F44" s="287" t="n"/>
      <c r="G44" s="341" t="inlineStr">
        <is>
          <t>💎 الربح الإضافي المتوقع</t>
        </is>
      </c>
      <c r="H44" s="293" t="n"/>
      <c r="I44" s="287" t="n"/>
      <c r="J44" s="414">
        <f>D44*C38</f>
        <v/>
      </c>
      <c r="K44" s="293" t="n"/>
      <c r="L44" s="287" t="n"/>
    </row>
    <row r="45" ht="43.5" customHeight="1" s="260">
      <c r="A45" s="415" t="inlineStr">
        <is>
          <t>✅ صافي العائد للمستأجر</t>
        </is>
      </c>
      <c r="B45" s="293" t="n"/>
      <c r="C45" s="287" t="n"/>
      <c r="D45" s="416">
        <f>J44-D43</f>
        <v/>
      </c>
      <c r="E45" s="293" t="n"/>
      <c r="F45" s="287" t="n"/>
      <c r="G45" s="415" t="inlineStr">
        <is>
          <t>🎯 ROI للمستأجر</t>
        </is>
      </c>
      <c r="H45" s="293" t="n"/>
      <c r="I45" s="287" t="n"/>
      <c r="J45" s="417">
        <f>D45/D43</f>
        <v/>
      </c>
      <c r="K45" s="293" t="n"/>
      <c r="L45" s="287" t="n"/>
    </row>
    <row r="46" ht="13.5" customHeight="1" s="260"/>
    <row r="47" ht="31.5" customHeight="1" s="260">
      <c r="A47" s="358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8" t="inlineStr">
        <is>
          <t>1</t>
        </is>
      </c>
      <c r="B51" s="404" t="inlineStr">
        <is>
          <t>الافتتاح</t>
        </is>
      </c>
      <c r="C51" s="356" t="inlineStr">
        <is>
          <t>5 دقائق</t>
        </is>
      </c>
      <c r="D51" s="419" t="inlineStr">
        <is>
          <t>بناء الثقة وتحديد السياق</t>
        </is>
      </c>
      <c r="E51" s="369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20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8" t="inlineStr">
        <is>
          <t>2</t>
        </is>
      </c>
      <c r="B52" s="404" t="inlineStr">
        <is>
          <t>عرض القيمة</t>
        </is>
      </c>
      <c r="C52" s="356" t="inlineStr">
        <is>
          <t>10 دقائق</t>
        </is>
      </c>
      <c r="D52" s="419" t="inlineStr">
        <is>
          <t>إظهار الفائدة قبل التكلفة</t>
        </is>
      </c>
      <c r="E52" s="369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20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8" t="inlineStr">
        <is>
          <t>3</t>
        </is>
      </c>
      <c r="B53" s="404" t="inlineStr">
        <is>
          <t>عرض النموذج</t>
        </is>
      </c>
      <c r="C53" s="356" t="inlineStr">
        <is>
          <t>10 دقائق</t>
        </is>
      </c>
      <c r="D53" s="419" t="inlineStr">
        <is>
          <t>تقديم الخيار الأنسب</t>
        </is>
      </c>
      <c r="E53" s="369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20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8" t="inlineStr">
        <is>
          <t>4</t>
        </is>
      </c>
      <c r="B54" s="404" t="inlineStr">
        <is>
          <t>الرد على الاعتراضات</t>
        </is>
      </c>
      <c r="C54" s="356" t="inlineStr">
        <is>
          <t>15 دقيقة</t>
        </is>
      </c>
      <c r="D54" s="419" t="inlineStr">
        <is>
          <t>إزالة المخاوف</t>
        </is>
      </c>
      <c r="E54" s="369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20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8" t="inlineStr">
        <is>
          <t>5</t>
        </is>
      </c>
      <c r="B55" s="404" t="inlineStr">
        <is>
          <t>التفاوض على التفاصيل</t>
        </is>
      </c>
      <c r="C55" s="356" t="inlineStr">
        <is>
          <t>15 دقيقة</t>
        </is>
      </c>
      <c r="D55" s="419" t="inlineStr">
        <is>
          <t>الوصول لاتفاق</t>
        </is>
      </c>
      <c r="E55" s="369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20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8" t="inlineStr">
        <is>
          <t>6</t>
        </is>
      </c>
      <c r="B56" s="404" t="inlineStr">
        <is>
          <t>الإغلاق</t>
        </is>
      </c>
      <c r="C56" s="356" t="inlineStr">
        <is>
          <t>5 دقائق</t>
        </is>
      </c>
      <c r="D56" s="419" t="inlineStr">
        <is>
          <t>تحديد الخطوة التالية</t>
        </is>
      </c>
      <c r="E56" s="369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20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21" t="inlineStr">
        <is>
          <t>⚠️ الاعتراضات الشائعة وكيف تردّ عليها</t>
        </is>
      </c>
    </row>
    <row r="59" ht="36" customHeight="1" s="260">
      <c r="A59" s="330" t="inlineStr">
        <is>
          <t>الاعتراض</t>
        </is>
      </c>
      <c r="B59" s="293" t="n"/>
      <c r="C59" s="293" t="n"/>
      <c r="D59" s="287" t="n"/>
      <c r="E59" s="330" t="inlineStr">
        <is>
          <t>ردك الذكي</t>
        </is>
      </c>
      <c r="F59" s="293" t="n"/>
      <c r="G59" s="293" t="n"/>
      <c r="H59" s="293" t="n"/>
      <c r="I59" s="287" t="n"/>
      <c r="J59" s="330" t="inlineStr">
        <is>
          <t>دعم بالأرقام</t>
        </is>
      </c>
      <c r="K59" s="293" t="n"/>
      <c r="L59" s="287" t="n"/>
    </row>
    <row r="60" ht="79.5" customHeight="1" s="260">
      <c r="A60" s="422" t="inlineStr">
        <is>
          <t>🔴 «التكلفة عالية ولا نقدر»</t>
        </is>
      </c>
      <c r="B60" s="293" t="n"/>
      <c r="C60" s="293" t="n"/>
      <c r="D60" s="287" t="n"/>
      <c r="E60" s="379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3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22" t="inlineStr">
        <is>
          <t>🔴 «التكامل التقني معقد»</t>
        </is>
      </c>
      <c r="B61" s="293" t="n"/>
      <c r="C61" s="293" t="n"/>
      <c r="D61" s="287" t="n"/>
      <c r="E61" s="379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3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22" t="inlineStr">
        <is>
          <t>🔴 «عندنا برامج ولاء خاصة بنا»</t>
        </is>
      </c>
      <c r="B62" s="293" t="n"/>
      <c r="C62" s="293" t="n"/>
      <c r="D62" s="287" t="n"/>
      <c r="E62" s="379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3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22" t="inlineStr">
        <is>
          <t>🔴 «نريد ضمانات على زيادة المبيعات»</t>
        </is>
      </c>
      <c r="B63" s="293" t="n"/>
      <c r="C63" s="293" t="n"/>
      <c r="D63" s="287" t="n"/>
      <c r="E63" s="379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3" t="inlineStr">
        <is>
          <t>Pilot = 3 شهور
Low risk
Easy exit</t>
        </is>
      </c>
      <c r="K63" s="293" t="n"/>
      <c r="L63" s="287" t="n"/>
    </row>
    <row r="64" ht="79.5" customHeight="1" s="260">
      <c r="A64" s="422" t="inlineStr">
        <is>
          <t>🔴 «نريد نسبة أقل (نصف ما تطلبه)»</t>
        </is>
      </c>
      <c r="B64" s="293" t="n"/>
      <c r="C64" s="293" t="n"/>
      <c r="D64" s="287" t="n"/>
      <c r="E64" s="379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3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22" t="inlineStr">
        <is>
          <t>🔴 «لا نثق في حماية بياناتنا»</t>
        </is>
      </c>
      <c r="B65" s="293" t="n"/>
      <c r="C65" s="293" t="n"/>
      <c r="D65" s="287" t="n"/>
      <c r="E65" s="379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3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22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21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4" t="inlineStr">
        <is>
          <t>استثمار أولي</t>
        </is>
      </c>
      <c r="C6" s="425" t="n">
        <v>800000</v>
      </c>
      <c r="D6" s="425" t="n">
        <v>200000</v>
      </c>
      <c r="E6" s="425" t="n">
        <v>150000</v>
      </c>
      <c r="F6" s="425" t="n">
        <v>150000</v>
      </c>
      <c r="G6" s="425" t="n">
        <v>150000</v>
      </c>
      <c r="H6" s="426">
        <f>SUM(C6:G6)</f>
        <v/>
      </c>
      <c r="I6" s="427">
        <f>H6/H13</f>
        <v/>
      </c>
    </row>
    <row r="7" ht="30" customHeight="1" s="260">
      <c r="A7" s="296" t="inlineStr">
        <is>
          <t>🤝 شراكة Dsquares</t>
        </is>
      </c>
      <c r="B7" s="424" t="inlineStr">
        <is>
          <t>تشغيلي</t>
        </is>
      </c>
      <c r="C7" s="425" t="n">
        <v>1370000</v>
      </c>
      <c r="D7" s="425" t="n">
        <v>850000</v>
      </c>
      <c r="E7" s="425" t="n">
        <v>870000</v>
      </c>
      <c r="F7" s="425" t="n">
        <v>890000</v>
      </c>
      <c r="G7" s="425" t="n">
        <v>920000</v>
      </c>
      <c r="H7" s="426">
        <f>SUM(C7:G7)</f>
        <v/>
      </c>
      <c r="I7" s="427">
        <f>H7/H13</f>
        <v/>
      </c>
    </row>
    <row r="8" ht="30" customHeight="1" s="260">
      <c r="A8" s="296" t="inlineStr">
        <is>
          <t>📣 التسويق والإعلانات</t>
        </is>
      </c>
      <c r="B8" s="428" t="inlineStr">
        <is>
          <t>تشغيلي</t>
        </is>
      </c>
      <c r="C8" s="425" t="n">
        <v>1500000</v>
      </c>
      <c r="D8" s="425" t="n">
        <v>1200000</v>
      </c>
      <c r="E8" s="425" t="n">
        <v>1000000</v>
      </c>
      <c r="F8" s="425" t="n">
        <v>1000000</v>
      </c>
      <c r="G8" s="425" t="n">
        <v>1000000</v>
      </c>
      <c r="H8" s="426">
        <f>SUM(C8:G8)</f>
        <v/>
      </c>
      <c r="I8" s="427">
        <f>H8/H13</f>
        <v/>
      </c>
    </row>
    <row r="9" ht="30" customHeight="1" s="260">
      <c r="A9" s="296" t="inlineStr">
        <is>
          <t>👥 فريق الولاء</t>
        </is>
      </c>
      <c r="B9" s="428" t="inlineStr">
        <is>
          <t>تشغيلي</t>
        </is>
      </c>
      <c r="C9" s="425" t="n">
        <v>2780000</v>
      </c>
      <c r="D9" s="425" t="n">
        <v>3500000</v>
      </c>
      <c r="E9" s="425" t="n">
        <v>4000000</v>
      </c>
      <c r="F9" s="425" t="n">
        <v>4500000</v>
      </c>
      <c r="G9" s="425" t="n">
        <v>5000000</v>
      </c>
      <c r="H9" s="426">
        <f>SUM(C9:G9)</f>
        <v/>
      </c>
      <c r="I9" s="427">
        <f>H9/H13</f>
        <v/>
      </c>
    </row>
    <row r="10" ht="30" customHeight="1" s="260">
      <c r="A10" s="296" t="inlineStr">
        <is>
          <t>🎁 كلفة النقاط للعملاء</t>
        </is>
      </c>
      <c r="B10" s="428" t="inlineStr">
        <is>
          <t>تشغيلي</t>
        </is>
      </c>
      <c r="C10" s="425" t="n">
        <v>2270000</v>
      </c>
      <c r="D10" s="425" t="n">
        <v>2680000</v>
      </c>
      <c r="E10" s="425" t="n">
        <v>3100000</v>
      </c>
      <c r="F10" s="425" t="n">
        <v>3520000</v>
      </c>
      <c r="G10" s="425" t="n">
        <v>3930000</v>
      </c>
      <c r="H10" s="426">
        <f>SUM(C10:G10)</f>
        <v/>
      </c>
      <c r="I10" s="427">
        <f>H10/H13</f>
        <v/>
      </c>
    </row>
    <row r="11" ht="30" customHeight="1" s="260">
      <c r="A11" s="296" t="inlineStr">
        <is>
          <t>🛠️ التكامل مع المستأجرين</t>
        </is>
      </c>
      <c r="B11" s="428" t="inlineStr">
        <is>
          <t>تشغيلي</t>
        </is>
      </c>
      <c r="C11" s="425" t="n">
        <v>0</v>
      </c>
      <c r="D11" s="425" t="n">
        <v>500000</v>
      </c>
      <c r="E11" s="425" t="n">
        <v>750000</v>
      </c>
      <c r="F11" s="425" t="n">
        <v>1000000</v>
      </c>
      <c r="G11" s="425" t="n">
        <v>1200000</v>
      </c>
      <c r="H11" s="426">
        <f>SUM(C11:G11)</f>
        <v/>
      </c>
      <c r="I11" s="427">
        <f>H11/H13</f>
        <v/>
      </c>
    </row>
    <row r="12" ht="30" customHeight="1" s="260">
      <c r="A12" s="296" t="inlineStr">
        <is>
          <t>🔧 الصيانة والدعم</t>
        </is>
      </c>
      <c r="B12" s="428" t="inlineStr">
        <is>
          <t>تشغيلي</t>
        </is>
      </c>
      <c r="C12" s="425" t="n">
        <v>200000</v>
      </c>
      <c r="D12" s="425" t="n">
        <v>400000</v>
      </c>
      <c r="E12" s="425" t="n">
        <v>600000</v>
      </c>
      <c r="F12" s="425" t="n">
        <v>800000</v>
      </c>
      <c r="G12" s="425" t="n">
        <v>1000000</v>
      </c>
      <c r="H12" s="426">
        <f>SUM(C12:G12)</f>
        <v/>
      </c>
      <c r="I12" s="427">
        <f>H12/H13</f>
        <v/>
      </c>
    </row>
    <row r="13" ht="37.5" customHeight="1" s="260">
      <c r="A13" s="429" t="inlineStr">
        <is>
          <t>📊 إجمالي التكاليف</t>
        </is>
      </c>
      <c r="B13" s="430" t="n"/>
      <c r="C13" s="431">
        <f>SUM(C6:C12)</f>
        <v/>
      </c>
      <c r="D13" s="431">
        <f>SUM(D6:D12)</f>
        <v/>
      </c>
      <c r="E13" s="431">
        <f>SUM(E6:E12)</f>
        <v/>
      </c>
      <c r="F13" s="431">
        <f>SUM(F6:F12)</f>
        <v/>
      </c>
      <c r="G13" s="431">
        <f>SUM(G6:G12)</f>
        <v/>
      </c>
      <c r="H13" s="432">
        <f>SUM(C13:G13)</f>
        <v/>
      </c>
      <c r="I13" s="430" t="inlineStr">
        <is>
          <t>100%</t>
        </is>
      </c>
    </row>
    <row r="14" ht="13.5" customHeight="1" s="260"/>
    <row r="15" ht="30" customHeight="1" s="260">
      <c r="A15" s="433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4" t="inlineStr">
        <is>
          <t>تشغيلي</t>
        </is>
      </c>
      <c r="C17" s="425" t="n">
        <v>8000000</v>
      </c>
      <c r="D17" s="425" t="n">
        <v>12000000</v>
      </c>
      <c r="E17" s="425" t="n">
        <v>16000000</v>
      </c>
      <c r="F17" s="425" t="n">
        <v>20000000</v>
      </c>
      <c r="G17" s="425" t="n">
        <v>24000000</v>
      </c>
      <c r="H17" s="435">
        <f>SUM(C17:G17)</f>
        <v/>
      </c>
      <c r="I17" s="427">
        <f>H17/H23</f>
        <v/>
      </c>
    </row>
    <row r="18" ht="30" customHeight="1" s="260">
      <c r="A18" s="314" t="inlineStr">
        <is>
          <t>🤝 عمولة من المستأجرين</t>
        </is>
      </c>
      <c r="B18" s="434" t="inlineStr">
        <is>
          <t>تشغيلي</t>
        </is>
      </c>
      <c r="C18" s="425" t="n">
        <v>0</v>
      </c>
      <c r="D18" s="425" t="n">
        <v>1200000</v>
      </c>
      <c r="E18" s="425" t="n">
        <v>2500000</v>
      </c>
      <c r="F18" s="425" t="n">
        <v>4000000</v>
      </c>
      <c r="G18" s="425" t="n">
        <v>6000000</v>
      </c>
      <c r="H18" s="435">
        <f>SUM(C18:G18)</f>
        <v/>
      </c>
      <c r="I18" s="427">
        <f>H18/H23</f>
        <v/>
      </c>
    </row>
    <row r="19" ht="30" customHeight="1" s="260">
      <c r="A19" s="314" t="inlineStr">
        <is>
          <t>🎯 جذب عملاء جدد</t>
        </is>
      </c>
      <c r="B19" s="434" t="inlineStr">
        <is>
          <t>تشغيلي</t>
        </is>
      </c>
      <c r="C19" s="425" t="n">
        <v>1500000</v>
      </c>
      <c r="D19" s="425" t="n">
        <v>3000000</v>
      </c>
      <c r="E19" s="425" t="n">
        <v>4500000</v>
      </c>
      <c r="F19" s="425" t="n">
        <v>6000000</v>
      </c>
      <c r="G19" s="425" t="n">
        <v>7500000</v>
      </c>
      <c r="H19" s="435">
        <f>SUM(C19:G19)</f>
        <v/>
      </c>
      <c r="I19" s="427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4" t="inlineStr">
        <is>
          <t>توفير</t>
        </is>
      </c>
      <c r="C20" s="425" t="n">
        <v>800000</v>
      </c>
      <c r="D20" s="425" t="n">
        <v>1500000</v>
      </c>
      <c r="E20" s="425" t="n">
        <v>2000000</v>
      </c>
      <c r="F20" s="425" t="n">
        <v>2500000</v>
      </c>
      <c r="G20" s="425" t="n">
        <v>3000000</v>
      </c>
      <c r="H20" s="435">
        <f>SUM(C20:G20)</f>
        <v/>
      </c>
      <c r="I20" s="427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4" t="inlineStr">
        <is>
          <t>استراتيجي</t>
        </is>
      </c>
      <c r="C21" s="425" t="n">
        <v>500000</v>
      </c>
      <c r="D21" s="425" t="n">
        <v>1500000</v>
      </c>
      <c r="E21" s="425" t="n">
        <v>3000000</v>
      </c>
      <c r="F21" s="425" t="n">
        <v>5000000</v>
      </c>
      <c r="G21" s="425" t="n">
        <v>8000000</v>
      </c>
      <c r="H21" s="435">
        <f>SUM(C21:G21)</f>
        <v/>
      </c>
      <c r="I21" s="427">
        <f>H21/H23</f>
        <v/>
      </c>
    </row>
    <row r="22" ht="30" customHeight="1" s="260">
      <c r="A22" s="314" t="inlineStr">
        <is>
          <t>💎 بيع البيانات والتحليلات</t>
        </is>
      </c>
      <c r="B22" s="434" t="inlineStr">
        <is>
          <t>إضافي</t>
        </is>
      </c>
      <c r="C22" s="425" t="n">
        <v>0</v>
      </c>
      <c r="D22" s="425" t="n">
        <v>200000</v>
      </c>
      <c r="E22" s="425" t="n">
        <v>500000</v>
      </c>
      <c r="F22" s="425" t="n">
        <v>1000000</v>
      </c>
      <c r="G22" s="425" t="n">
        <v>1500000</v>
      </c>
      <c r="H22" s="435">
        <f>SUM(C22:G22)</f>
        <v/>
      </c>
      <c r="I22" s="427">
        <f>H22/H23</f>
        <v/>
      </c>
    </row>
    <row r="23" ht="37.5" customHeight="1" s="260">
      <c r="A23" s="436" t="inlineStr">
        <is>
          <t>📊 إجمالي الإيرادات</t>
        </is>
      </c>
      <c r="B23" s="437" t="n"/>
      <c r="C23" s="438">
        <f>SUM(C17:C22)</f>
        <v/>
      </c>
      <c r="D23" s="438">
        <f>SUM(D17:D22)</f>
        <v/>
      </c>
      <c r="E23" s="438">
        <f>SUM(E17:E22)</f>
        <v/>
      </c>
      <c r="F23" s="438">
        <f>SUM(F17:F22)</f>
        <v/>
      </c>
      <c r="G23" s="438">
        <f>SUM(G17:G22)</f>
        <v/>
      </c>
      <c r="H23" s="439">
        <f>SUM(C23:G23)</f>
        <v/>
      </c>
      <c r="I23" s="437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40" t="inlineStr">
        <is>
          <t>💰 إجمالي الإيرادات</t>
        </is>
      </c>
      <c r="B27" s="441" t="n"/>
      <c r="C27" s="442">
        <f>C23</f>
        <v/>
      </c>
      <c r="D27" s="442">
        <f>D23</f>
        <v/>
      </c>
      <c r="E27" s="442">
        <f>E23</f>
        <v/>
      </c>
      <c r="F27" s="442">
        <f>F23</f>
        <v/>
      </c>
      <c r="G27" s="442">
        <f>G23</f>
        <v/>
      </c>
      <c r="H27" s="438">
        <f>SUM(C27:G27)</f>
        <v/>
      </c>
      <c r="I27" s="443" t="inlineStr">
        <is>
          <t>إيرادات</t>
        </is>
      </c>
    </row>
    <row r="28" ht="31.5" customHeight="1" s="260">
      <c r="A28" s="444" t="inlineStr">
        <is>
          <t>💸 إجمالي التكاليف</t>
        </is>
      </c>
      <c r="B28" s="445" t="n"/>
      <c r="C28" s="446">
        <f>C13</f>
        <v/>
      </c>
      <c r="D28" s="446">
        <f>D13</f>
        <v/>
      </c>
      <c r="E28" s="446">
        <f>E13</f>
        <v/>
      </c>
      <c r="F28" s="446">
        <f>F13</f>
        <v/>
      </c>
      <c r="G28" s="446">
        <f>G13</f>
        <v/>
      </c>
      <c r="H28" s="431">
        <f>SUM(C28:G28)</f>
        <v/>
      </c>
      <c r="I28" s="447" t="inlineStr">
        <is>
          <t>تكاليف</t>
        </is>
      </c>
    </row>
    <row r="29" ht="37.5" customHeight="1" s="260">
      <c r="A29" s="448" t="inlineStr">
        <is>
          <t>💎 صافي الربح</t>
        </is>
      </c>
      <c r="B29" s="449" t="n"/>
      <c r="C29" s="450">
        <f>C27-C28</f>
        <v/>
      </c>
      <c r="D29" s="450">
        <f>D27-D28</f>
        <v/>
      </c>
      <c r="E29" s="450">
        <f>E27-E28</f>
        <v/>
      </c>
      <c r="F29" s="450">
        <f>F27-F28</f>
        <v/>
      </c>
      <c r="G29" s="450">
        <f>G27-G28</f>
        <v/>
      </c>
      <c r="H29" s="451">
        <f>SUM(C29:G29)</f>
        <v/>
      </c>
      <c r="I29" s="452" t="inlineStr">
        <is>
          <t>ربح</t>
        </is>
      </c>
    </row>
    <row r="30" ht="43.5" customHeight="1" s="260">
      <c r="A30" s="453" t="inlineStr">
        <is>
          <t>🎯 ROI %</t>
        </is>
      </c>
      <c r="B30" s="454" t="n"/>
      <c r="C30" s="455">
        <f>IFERROR(C29/C28, 0)</f>
        <v/>
      </c>
      <c r="D30" s="455">
        <f>IFERROR(D29/D28, 0)</f>
        <v/>
      </c>
      <c r="E30" s="455">
        <f>IFERROR(E29/E28, 0)</f>
        <v/>
      </c>
      <c r="F30" s="455">
        <f>IFERROR(F29/F28, 0)</f>
        <v/>
      </c>
      <c r="G30" s="455">
        <f>IFERROR(G29/G28, 0)</f>
        <v/>
      </c>
      <c r="H30" s="456">
        <f>H29/H28</f>
        <v/>
      </c>
      <c r="I30" s="452" t="inlineStr">
        <is>
          <t>ROI</t>
        </is>
      </c>
    </row>
    <row r="31" ht="13.5" customHeight="1" s="260"/>
    <row r="32" ht="30" customHeight="1" s="260">
      <c r="A32" s="329" t="inlineStr">
        <is>
          <t>⚖️ نقطة التعادل والتقييم النهائي</t>
        </is>
      </c>
    </row>
    <row r="33" ht="30" customHeight="1" s="260">
      <c r="A33" s="457" t="inlineStr">
        <is>
          <t>🎯 ROI الإجمالي (5 سنوات)</t>
        </is>
      </c>
      <c r="B33" s="287" t="n"/>
      <c r="C33" s="367" t="inlineStr">
        <is>
          <t>💰 صافي الربح (5 سنوات)</t>
        </is>
      </c>
      <c r="D33" s="293" t="n"/>
      <c r="E33" s="287" t="n"/>
      <c r="F33" s="343" t="inlineStr">
        <is>
          <t>⚖️ نقطة التعادل</t>
        </is>
      </c>
      <c r="G33" s="293" t="n"/>
      <c r="H33" s="287" t="n"/>
      <c r="I33" s="342" t="inlineStr">
        <is>
          <t>✅ التوصية</t>
        </is>
      </c>
      <c r="J33" s="287" t="n"/>
    </row>
    <row r="34" ht="69.75" customHeight="1" s="260">
      <c r="A34" s="458">
        <f>H30</f>
        <v/>
      </c>
      <c r="B34" s="287" t="n"/>
      <c r="C34" s="459">
        <f>H29</f>
        <v/>
      </c>
      <c r="D34" s="293" t="n"/>
      <c r="E34" s="287" t="n"/>
      <c r="F34" s="460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61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62" t="inlineStr">
        <is>
          <t>📝 ملاحظات وافتراضات</t>
        </is>
      </c>
    </row>
    <row r="37" ht="27.75" customHeight="1" s="260">
      <c r="A37" s="358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8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8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8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8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8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3" t="n">
        <v>100</v>
      </c>
      <c r="C6" s="464" t="n">
        <v>20000</v>
      </c>
      <c r="D6" s="465">
        <f>السيناريوهات!C6</f>
        <v/>
      </c>
      <c r="E6" s="464" t="n">
        <v>10000</v>
      </c>
      <c r="F6" s="464" t="n">
        <v>10000</v>
      </c>
      <c r="G6" s="464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5" t="n">
        <v>0.43</v>
      </c>
      <c r="C7" s="425" t="n">
        <v>50</v>
      </c>
      <c r="D7" s="450">
        <f>السيناريوهات!C7</f>
        <v/>
      </c>
      <c r="E7" s="425" t="n">
        <v>100</v>
      </c>
      <c r="F7" s="425" t="n">
        <v>150</v>
      </c>
      <c r="G7" s="425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5" t="n">
        <v>0.43</v>
      </c>
      <c r="C8" s="425" t="n">
        <v>75</v>
      </c>
      <c r="D8" s="450">
        <f>السيناريوهات!C8</f>
        <v/>
      </c>
      <c r="E8" s="425" t="n">
        <v>150</v>
      </c>
      <c r="F8" s="425" t="n">
        <v>200</v>
      </c>
      <c r="G8" s="425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5" t="n">
        <v>0.43</v>
      </c>
      <c r="C9" s="425" t="n">
        <v>100</v>
      </c>
      <c r="D9" s="450">
        <f>السيناريوهات!C9</f>
        <v/>
      </c>
      <c r="E9" s="425" t="n">
        <v>200</v>
      </c>
      <c r="F9" s="425" t="n">
        <v>250</v>
      </c>
      <c r="G9" s="425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6" t="n">
        <v>0.0043</v>
      </c>
      <c r="C10" s="466" t="n">
        <v>0.0025</v>
      </c>
      <c r="D10" s="467">
        <f>السيناريوهات!C7/السيناريوهات!C6</f>
        <v/>
      </c>
      <c r="E10" s="466" t="n">
        <v>0.01</v>
      </c>
      <c r="F10" s="466" t="n">
        <v>0.015</v>
      </c>
      <c r="G10" s="466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6" t="n">
        <v>0.0043</v>
      </c>
      <c r="C11" s="466" t="n">
        <v>0.00375</v>
      </c>
      <c r="D11" s="467">
        <f>السيناريوهات!C8/السيناريوهات!C6</f>
        <v/>
      </c>
      <c r="E11" s="466" t="n">
        <v>0.015</v>
      </c>
      <c r="F11" s="466" t="n">
        <v>0.02</v>
      </c>
      <c r="G11" s="466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6" t="n">
        <v>0.0043</v>
      </c>
      <c r="C12" s="466" t="n">
        <v>0.005</v>
      </c>
      <c r="D12" s="467">
        <f>السيناريوهات!C9/السيناريوهات!C6</f>
        <v/>
      </c>
      <c r="E12" s="466" t="n">
        <v>0.02</v>
      </c>
      <c r="F12" s="466" t="n">
        <v>0.025</v>
      </c>
      <c r="G12" s="466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8" t="n">
        <v>0.43</v>
      </c>
      <c r="C13" s="468" t="n">
        <v>0.5</v>
      </c>
      <c r="D13" s="469">
        <f>السيناريوهات!C10</f>
        <v/>
      </c>
      <c r="E13" s="468" t="n">
        <v>1</v>
      </c>
      <c r="F13" s="468" t="n">
        <v>1.5</v>
      </c>
      <c r="G13" s="468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70" t="inlineStr">
        <is>
          <t>🎯 التقييم الإجمالي</t>
        </is>
      </c>
      <c r="B15" s="370" t="inlineStr">
        <is>
          <t>ضعيف</t>
        </is>
      </c>
      <c r="C15" s="370" t="inlineStr">
        <is>
          <t>آمن</t>
        </is>
      </c>
      <c r="D15" s="471">
        <f>IF(D10&gt;=0.008,IF(D10&lt;=0.012,"⭐ مثالي",IF(D10&lt;=0.018,"جيد","مكلف")),"ضعيف")</f>
        <v/>
      </c>
      <c r="E15" s="370" t="inlineStr">
        <is>
          <t>متوازن</t>
        </is>
      </c>
      <c r="F15" s="370" t="inlineStr">
        <is>
          <t>سخي</t>
        </is>
      </c>
      <c r="G15" s="370" t="inlineStr">
        <is>
          <t>مكلف جداً</t>
        </is>
      </c>
      <c r="H15" s="472" t="n"/>
      <c r="I15" s="287" t="n"/>
    </row>
    <row r="16" ht="13.5" customHeight="1" s="260"/>
    <row r="17" ht="30" customHeight="1" s="260">
      <c r="A17" s="329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3">
        <f>B10*514.5*0.7</f>
        <v/>
      </c>
      <c r="C19" s="473">
        <f>C10*514.5*0.7</f>
        <v/>
      </c>
      <c r="D19" s="474">
        <f>D10*514.5*0.7</f>
        <v/>
      </c>
      <c r="E19" s="473">
        <f>E10*514.5*0.7</f>
        <v/>
      </c>
      <c r="F19" s="473">
        <f>F10*514.5*0.7</f>
        <v/>
      </c>
      <c r="G19" s="473">
        <f>G10*514.5*0.7</f>
        <v/>
      </c>
      <c r="H19" s="475">
        <f>G19-D19</f>
        <v/>
      </c>
      <c r="I19" s="287" t="n"/>
    </row>
    <row r="20" ht="13.5" customHeight="1" s="260"/>
    <row r="21" ht="36" customHeight="1" s="260">
      <c r="A21" s="358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6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7" t="inlineStr">
        <is>
          <t>1 / 10,000</t>
        </is>
      </c>
      <c r="C6" s="478">
        <f>1/السيناريوهات!C6</f>
        <v/>
      </c>
      <c r="D6" s="356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7" t="inlineStr">
        <is>
          <t>(1/10K)×100</t>
        </is>
      </c>
      <c r="C7" s="479">
        <f>(1/السيناريوهات!C6)*100</f>
        <v/>
      </c>
      <c r="D7" s="356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7" t="inlineStr">
        <is>
          <t>لتر/ريال</t>
        </is>
      </c>
      <c r="C8" s="479">
        <f>1/السيناريوهات!C11</f>
        <v/>
      </c>
      <c r="D8" s="356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7" t="inlineStr">
        <is>
          <t>100</t>
        </is>
      </c>
      <c r="C9" s="275">
        <f>السيناريوهات!C7</f>
        <v/>
      </c>
      <c r="D9" s="356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7" t="inlineStr">
        <is>
          <t>150</t>
        </is>
      </c>
      <c r="C10" s="275">
        <f>السيناريوهات!C8</f>
        <v/>
      </c>
      <c r="D10" s="356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7" t="inlineStr">
        <is>
          <t>200</t>
        </is>
      </c>
      <c r="C11" s="275">
        <f>السيناريوهات!C9</f>
        <v/>
      </c>
      <c r="D11" s="356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7" t="inlineStr">
        <is>
          <t>100÷10K</t>
        </is>
      </c>
      <c r="C12" s="480">
        <f>السيناريوهات!C7/السيناريوهات!C6</f>
        <v/>
      </c>
      <c r="D12" s="356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7" t="inlineStr">
        <is>
          <t>150÷10K</t>
        </is>
      </c>
      <c r="C13" s="480">
        <f>السيناريوهات!C8/السيناريوهات!C6</f>
        <v/>
      </c>
      <c r="D13" s="356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7" t="inlineStr">
        <is>
          <t>200÷10K</t>
        </is>
      </c>
      <c r="C14" s="480">
        <f>السيناريوهات!C9/السيناريوهات!C6</f>
        <v/>
      </c>
      <c r="D14" s="356" t="inlineStr">
        <is>
          <t>%</t>
        </is>
      </c>
    </row>
    <row r="15" ht="9.75" customHeight="1" s="260"/>
    <row r="16" ht="30" customHeight="1" s="260">
      <c r="A16" s="329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60">
        <f>B18*12</f>
        <v/>
      </c>
      <c r="D18" s="306">
        <f>IF(C18&lt;السيناريوهات!$C$16,"🤍 أبيض",IF(C18&lt;السيناريوهات!$C$17,"🩶 فضي","🟠 برتقالي"))</f>
        <v/>
      </c>
      <c r="E18" s="481">
        <f>C18*IF(D18="🤍 أبيض",السيناريوهات!$C$7,IF(D18="🩶 فضي",السيناريوهات!$C$8,السيناريوهات!$C$9))</f>
        <v/>
      </c>
      <c r="F18" s="482">
        <f>E18/السيناريوهات!$C$6</f>
        <v/>
      </c>
      <c r="G18" s="364">
        <f>F18/C18</f>
        <v/>
      </c>
      <c r="H18" s="483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60">
        <f>B19*12</f>
        <v/>
      </c>
      <c r="D19" s="306">
        <f>IF(C19&lt;السيناريوهات!$C$16,"🤍 أبيض",IF(C19&lt;السيناريوهات!$C$17,"🩶 فضي","🟠 برتقالي"))</f>
        <v/>
      </c>
      <c r="E19" s="481">
        <f>C19*IF(D19="🤍 أبيض",السيناريوهات!$C$7,IF(D19="🩶 فضي",السيناريوهات!$C$8,السيناريوهات!$C$9))</f>
        <v/>
      </c>
      <c r="F19" s="482">
        <f>E19/السيناريوهات!$C$6</f>
        <v/>
      </c>
      <c r="G19" s="364">
        <f>F19/C19</f>
        <v/>
      </c>
      <c r="H19" s="483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60">
        <f>B20*12</f>
        <v/>
      </c>
      <c r="D20" s="306">
        <f>IF(C20&lt;السيناريوهات!$C$16,"🤍 أبيض",IF(C20&lt;السيناريوهات!$C$17,"🩶 فضي","🟠 برتقالي"))</f>
        <v/>
      </c>
      <c r="E20" s="481">
        <f>C20*IF(D20="🤍 أبيض",السيناريوهات!$C$7,IF(D20="🩶 فضي",السيناريوهات!$C$8,السيناريوهات!$C$9))</f>
        <v/>
      </c>
      <c r="F20" s="482">
        <f>E20/السيناريوهات!$C$6</f>
        <v/>
      </c>
      <c r="G20" s="364">
        <f>F20/C20</f>
        <v/>
      </c>
      <c r="H20" s="483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60">
        <f>B21*12</f>
        <v/>
      </c>
      <c r="D21" s="306">
        <f>IF(C21&lt;السيناريوهات!$C$16,"🤍 أبيض",IF(C21&lt;السيناريوهات!$C$17,"🩶 فضي","🟠 برتقالي"))</f>
        <v/>
      </c>
      <c r="E21" s="481">
        <f>C21*IF(D21="🤍 أبيض",السيناريوهات!$C$7,IF(D21="🩶 فضي",السيناريوهات!$C$8,السيناريوهات!$C$9))</f>
        <v/>
      </c>
      <c r="F21" s="482">
        <f>E21/السيناريوهات!$C$6</f>
        <v/>
      </c>
      <c r="G21" s="364">
        <f>F21/C21</f>
        <v/>
      </c>
      <c r="H21" s="483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6" t="inlineStr">
        <is>
          <t xml:space="preserve">  درب · المستويات الثلاثة</t>
        </is>
      </c>
      <c r="F1" s="484" t="n"/>
      <c r="G1" s="484" t="n"/>
      <c r="H1" s="484" t="n"/>
      <c r="I1" s="484" t="n"/>
    </row>
    <row r="2" ht="24" customHeight="1" s="260">
      <c r="A2" s="262" t="inlineStr">
        <is>
          <t xml:space="preserve">  هيكل المستويات + الكسب + المنافع</t>
        </is>
      </c>
      <c r="F2" s="485" t="n"/>
      <c r="G2" s="485" t="n"/>
      <c r="H2" s="485" t="n"/>
      <c r="I2" s="485" t="n"/>
    </row>
    <row r="3" ht="9.75" customHeight="1" s="260"/>
    <row r="4" ht="30" customHeight="1" s="260">
      <c r="A4" s="272" t="inlineStr">
        <is>
          <t>🎯 هيكل المستويات</t>
        </is>
      </c>
      <c r="F4" s="484" t="n"/>
      <c r="G4" s="484" t="n"/>
      <c r="H4" s="484" t="n"/>
      <c r="I4" s="484" t="n"/>
    </row>
    <row r="5" ht="31.5" customHeight="1" s="260">
      <c r="A5" s="330" t="inlineStr">
        <is>
          <t>المستوى</t>
        </is>
      </c>
      <c r="B5" s="330" t="inlineStr">
        <is>
          <t>معدل الكسب</t>
        </is>
      </c>
      <c r="C5" s="330" t="inlineStr">
        <is>
          <t>الحد الأدنى</t>
        </is>
      </c>
      <c r="D5" s="330" t="inlineStr">
        <is>
          <t>الكاش باك</t>
        </is>
      </c>
      <c r="E5" s="330" t="inlineStr">
        <is>
          <t>هدية الترحيب</t>
        </is>
      </c>
    </row>
    <row r="6" ht="36" customHeight="1" s="260">
      <c r="A6" s="486" t="inlineStr">
        <is>
          <t>🤍 المستوى الأبيض</t>
        </is>
      </c>
      <c r="B6" s="487">
        <f>السيناريوهات!C7</f>
        <v/>
      </c>
      <c r="C6" s="488" t="n">
        <v>0</v>
      </c>
      <c r="D6" s="489">
        <f>السيناريوهات!C7/السيناريوهات!C6</f>
        <v/>
      </c>
      <c r="E6" s="490" t="n">
        <v>5000</v>
      </c>
    </row>
    <row r="7" ht="36" customHeight="1" s="260">
      <c r="A7" s="491" t="inlineStr">
        <is>
          <t>🩶 المستوى الفضي</t>
        </is>
      </c>
      <c r="B7" s="487">
        <f>السيناريوهات!C8</f>
        <v/>
      </c>
      <c r="C7" s="488">
        <f>السيناريوهات!C16</f>
        <v/>
      </c>
      <c r="D7" s="489">
        <f>السيناريوهات!C8/السيناريوهات!C6</f>
        <v/>
      </c>
      <c r="E7" s="490" t="n">
        <v>10000</v>
      </c>
    </row>
    <row r="8" ht="36" customHeight="1" s="260">
      <c r="A8" s="492" t="inlineStr">
        <is>
          <t>🟠 المستوى البرتقالي</t>
        </is>
      </c>
      <c r="B8" s="487">
        <f>السيناريوهات!C9</f>
        <v/>
      </c>
      <c r="C8" s="488">
        <f>السيناريوهات!C17+1</f>
        <v/>
      </c>
      <c r="D8" s="489">
        <f>السيناريوهات!C9/السيناريوهات!C6</f>
        <v/>
      </c>
      <c r="E8" s="490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4" t="n"/>
      <c r="G10" s="484" t="n"/>
      <c r="H10" s="484" t="n"/>
      <c r="I10" s="484" t="n"/>
    </row>
    <row r="11" ht="31.5" customHeight="1" s="260">
      <c r="A11" s="330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30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3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3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3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3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3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3" t="inlineStr">
        <is>
          <t>مرونة في الإجازات</t>
        </is>
      </c>
    </row>
    <row r="18" ht="12" customHeight="1" s="260"/>
    <row r="19" ht="30" customHeight="1" s="260">
      <c r="A19" s="329" t="inlineStr">
        <is>
          <t>⚙️ قواعد الترقية والتنزيل</t>
        </is>
      </c>
      <c r="F19" s="494" t="n"/>
      <c r="G19" s="494" t="n"/>
      <c r="H19" s="494" t="n"/>
      <c r="I19" s="494" t="n"/>
    </row>
    <row r="20" ht="25.5" customHeight="1" s="260">
      <c r="A20" s="328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8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8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8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8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6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5">
        <f>السيناريوهات!C26</f>
        <v/>
      </c>
      <c r="C6" s="495">
        <f>السيناريوهات!C27</f>
        <v/>
      </c>
      <c r="D6" s="495">
        <f>السيناريوهات!C28</f>
        <v/>
      </c>
      <c r="E6" s="496" t="n"/>
      <c r="F6" s="496" t="n"/>
      <c r="G6" s="496" t="n"/>
    </row>
    <row r="7" ht="27.75" customHeight="1" s="260">
      <c r="A7" s="296" t="inlineStr">
        <is>
          <t>هامش/ريال (هللة)</t>
        </is>
      </c>
      <c r="B7" s="497">
        <f>B6/السيناريوهات!$C$11</f>
        <v/>
      </c>
      <c r="C7" s="497">
        <f>C6/السيناريوهات!$C$11</f>
        <v/>
      </c>
      <c r="D7" s="497">
        <f>D6/السيناريوهات!$C$11</f>
        <v/>
      </c>
      <c r="E7" s="496" t="n"/>
      <c r="F7" s="496" t="n"/>
      <c r="G7" s="496" t="n"/>
    </row>
    <row r="8" ht="27.75" customHeight="1" s="260">
      <c r="A8" s="498" t="inlineStr">
        <is>
          <t>تكلفة الولاء/ريال (هللة)</t>
        </is>
      </c>
      <c r="B8" s="499">
        <f>السيناريوهات!$C$10</f>
        <v/>
      </c>
      <c r="C8" s="499">
        <f>السيناريوهات!$C$10</f>
        <v/>
      </c>
      <c r="D8" s="499">
        <f>السيناريوهات!$C$10</f>
        <v/>
      </c>
      <c r="E8" s="496" t="n"/>
      <c r="F8" s="496" t="n"/>
      <c r="G8" s="496" t="n"/>
    </row>
    <row r="9" ht="27.75" customHeight="1" s="260">
      <c r="A9" s="500" t="inlineStr">
        <is>
          <t>مساهمة درب %</t>
        </is>
      </c>
      <c r="B9" s="501" t="n">
        <v>1</v>
      </c>
      <c r="C9" s="501" t="n">
        <v>0.5</v>
      </c>
      <c r="D9" s="501">
        <f>السيناريوهات!C29</f>
        <v/>
      </c>
      <c r="E9" s="496" t="n"/>
      <c r="F9" s="496" t="n"/>
      <c r="G9" s="496" t="n"/>
    </row>
    <row r="10" ht="27.75" customHeight="1" s="260">
      <c r="A10" s="502" t="inlineStr">
        <is>
          <t>تكلفة درب/ريال (هللة)</t>
        </is>
      </c>
      <c r="B10" s="503">
        <f>B8*B9</f>
        <v/>
      </c>
      <c r="C10" s="503">
        <f>C8*C9</f>
        <v/>
      </c>
      <c r="D10" s="503">
        <f>D8*D9</f>
        <v/>
      </c>
      <c r="E10" s="496" t="n"/>
      <c r="F10" s="496" t="n"/>
      <c r="G10" s="496" t="n"/>
    </row>
    <row r="11" ht="27.75" customHeight="1" s="260">
      <c r="A11" s="504" t="inlineStr">
        <is>
          <t>صافي هامش المالك/ريال</t>
        </is>
      </c>
      <c r="B11" s="505">
        <f>B7</f>
        <v/>
      </c>
      <c r="C11" s="505">
        <f>C7-(C8*(1-C9))</f>
        <v/>
      </c>
      <c r="D11" s="505">
        <f>D7-(D8*(1-D9))</f>
        <v/>
      </c>
      <c r="E11" s="496" t="n"/>
      <c r="F11" s="496" t="n"/>
      <c r="G11" s="496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6" t="n"/>
      <c r="F12" s="496" t="n"/>
      <c r="G12" s="496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6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71" t="inlineStr">
        <is>
          <t>1</t>
        </is>
      </c>
      <c r="B5" s="296" t="inlineStr">
        <is>
          <t>نهاية كل شهر</t>
        </is>
      </c>
      <c r="C5" s="328" t="inlineStr">
        <is>
          <t>النظام يحسب إجمالي اللترات لكل محطة</t>
        </is>
      </c>
      <c r="D5" s="496" t="n"/>
      <c r="E5" s="496" t="n"/>
      <c r="F5" s="496" t="n"/>
      <c r="G5" s="496" t="n"/>
    </row>
    <row r="6" ht="30" customHeight="1" s="260">
      <c r="A6" s="471" t="inlineStr">
        <is>
          <t>2</t>
        </is>
      </c>
      <c r="B6" s="296" t="inlineStr">
        <is>
          <t>حساب المساهمة</t>
        </is>
      </c>
      <c r="C6" s="328" t="inlineStr">
        <is>
          <t>اللترات × سعر اللتر × 0.5 هللة = المستحق</t>
        </is>
      </c>
      <c r="D6" s="496" t="n"/>
      <c r="E6" s="496" t="n"/>
      <c r="F6" s="496" t="n"/>
      <c r="G6" s="496" t="n"/>
    </row>
    <row r="7" ht="30" customHeight="1" s="260">
      <c r="A7" s="471" t="inlineStr">
        <is>
          <t>3</t>
        </is>
      </c>
      <c r="B7" s="296" t="inlineStr">
        <is>
          <t>إصدار الفاتورة</t>
        </is>
      </c>
      <c r="C7" s="328" t="inlineStr">
        <is>
          <t>فاتورة إلكترونية تلقائية في اليوم 1</t>
        </is>
      </c>
      <c r="D7" s="496" t="n"/>
      <c r="E7" s="496" t="n"/>
      <c r="F7" s="496" t="n"/>
      <c r="G7" s="496" t="n"/>
    </row>
    <row r="8" ht="30" customHeight="1" s="260">
      <c r="A8" s="471" t="inlineStr">
        <is>
          <t>4</t>
        </is>
      </c>
      <c r="B8" s="296" t="inlineStr">
        <is>
          <t>مهلة السداد</t>
        </is>
      </c>
      <c r="C8" s="328" t="inlineStr">
        <is>
          <t>15 يوم من تاريخ الفاتورة</t>
        </is>
      </c>
      <c r="D8" s="496" t="n"/>
      <c r="E8" s="496" t="n"/>
      <c r="F8" s="496" t="n"/>
      <c r="G8" s="496" t="n"/>
    </row>
    <row r="9" ht="30" customHeight="1" s="260">
      <c r="A9" s="471" t="inlineStr">
        <is>
          <t>5</t>
        </is>
      </c>
      <c r="B9" s="296" t="inlineStr">
        <is>
          <t>الغرامة</t>
        </is>
      </c>
      <c r="C9" s="328" t="inlineStr">
        <is>
          <t>1% أسبوعياً + إيقاف بعد 30 يوم</t>
        </is>
      </c>
      <c r="D9" s="496" t="n"/>
      <c r="E9" s="496" t="n"/>
      <c r="F9" s="496" t="n"/>
      <c r="G9" s="496" t="n"/>
    </row>
    <row r="10" ht="9.75" customHeight="1" s="260"/>
    <row r="11" ht="30" customHeight="1" s="260">
      <c r="A11" s="329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6" t="inlineStr">
        <is>
          <t>AMT-001</t>
        </is>
      </c>
      <c r="C13" s="387" t="inlineStr">
        <is>
          <t>الرياض</t>
        </is>
      </c>
      <c r="D13" s="507" t="n">
        <v>95000</v>
      </c>
      <c r="E13" s="360">
        <f>D13*السيناريوهات!$C$11</f>
        <v/>
      </c>
      <c r="F13" s="281">
        <f>E13*السيناريوهات!$C$10*السيناريوهات!$C$30/100</f>
        <v/>
      </c>
      <c r="G13" s="508">
        <f>E13*السيناريوهات!$C$10*السيناريوهات!$C$29/100</f>
        <v/>
      </c>
    </row>
    <row r="14" ht="25.5" customHeight="1" s="260">
      <c r="A14" s="303" t="n">
        <v>2</v>
      </c>
      <c r="B14" s="506" t="inlineStr">
        <is>
          <t>AMT-002</t>
        </is>
      </c>
      <c r="C14" s="387" t="inlineStr">
        <is>
          <t>جدة</t>
        </is>
      </c>
      <c r="D14" s="507" t="n">
        <v>82000</v>
      </c>
      <c r="E14" s="360">
        <f>D14*السيناريوهات!$C$11</f>
        <v/>
      </c>
      <c r="F14" s="281">
        <f>E14*السيناريوهات!$C$10*السيناريوهات!$C$30/100</f>
        <v/>
      </c>
      <c r="G14" s="508">
        <f>E14*السيناريوهات!$C$10*السيناريوهات!$C$29/100</f>
        <v/>
      </c>
    </row>
    <row r="15" ht="25.5" customHeight="1" s="260">
      <c r="A15" s="303" t="n">
        <v>3</v>
      </c>
      <c r="B15" s="506" t="inlineStr">
        <is>
          <t>AMT-003</t>
        </is>
      </c>
      <c r="C15" s="387" t="inlineStr">
        <is>
          <t>مكة</t>
        </is>
      </c>
      <c r="D15" s="507" t="n">
        <v>78000</v>
      </c>
      <c r="E15" s="360">
        <f>D15*السيناريوهات!$C$11</f>
        <v/>
      </c>
      <c r="F15" s="281">
        <f>E15*السيناريوهات!$C$10*السيناريوهات!$C$30/100</f>
        <v/>
      </c>
      <c r="G15" s="508">
        <f>E15*السيناريوهات!$C$10*السيناريوهات!$C$29/100</f>
        <v/>
      </c>
    </row>
    <row r="16" ht="25.5" customHeight="1" s="260">
      <c r="A16" s="303" t="n">
        <v>4</v>
      </c>
      <c r="B16" s="506" t="inlineStr">
        <is>
          <t>AMT-004</t>
        </is>
      </c>
      <c r="C16" s="387" t="inlineStr">
        <is>
          <t>الدمام</t>
        </is>
      </c>
      <c r="D16" s="507" t="n">
        <v>88000</v>
      </c>
      <c r="E16" s="360">
        <f>D16*السيناريوهات!$C$11</f>
        <v/>
      </c>
      <c r="F16" s="281">
        <f>E16*السيناريوهات!$C$10*السيناريوهات!$C$30/100</f>
        <v/>
      </c>
      <c r="G16" s="508">
        <f>E16*السيناريوهات!$C$10*السيناريوهات!$C$29/100</f>
        <v/>
      </c>
    </row>
    <row r="17" ht="25.5" customHeight="1" s="260">
      <c r="A17" s="303" t="n">
        <v>5</v>
      </c>
      <c r="B17" s="506" t="inlineStr">
        <is>
          <t>AMT-005</t>
        </is>
      </c>
      <c r="C17" s="387" t="inlineStr">
        <is>
          <t>الطائف</t>
        </is>
      </c>
      <c r="D17" s="507" t="n">
        <v>65000</v>
      </c>
      <c r="E17" s="360">
        <f>D17*السيناريوهات!$C$11</f>
        <v/>
      </c>
      <c r="F17" s="281">
        <f>E17*السيناريوهات!$C$10*السيناريوهات!$C$30/100</f>
        <v/>
      </c>
      <c r="G17" s="508">
        <f>E17*السيناريوهات!$C$10*السيناريوهات!$C$29/100</f>
        <v/>
      </c>
    </row>
    <row r="18" ht="25.5" customHeight="1" s="260">
      <c r="A18" s="303" t="n">
        <v>6</v>
      </c>
      <c r="B18" s="506" t="inlineStr">
        <is>
          <t>AMT-006</t>
        </is>
      </c>
      <c r="C18" s="387" t="inlineStr">
        <is>
          <t>تبوك</t>
        </is>
      </c>
      <c r="D18" s="507" t="n">
        <v>58000</v>
      </c>
      <c r="E18" s="360">
        <f>D18*السيناريوهات!$C$11</f>
        <v/>
      </c>
      <c r="F18" s="281">
        <f>E18*السيناريوهات!$C$10*السيناريوهات!$C$30/100</f>
        <v/>
      </c>
      <c r="G18" s="508">
        <f>E18*السيناريوهات!$C$10*السيناريوهات!$C$29/100</f>
        <v/>
      </c>
    </row>
    <row r="19" ht="25.5" customHeight="1" s="260">
      <c r="A19" s="303" t="n">
        <v>7</v>
      </c>
      <c r="B19" s="506" t="inlineStr">
        <is>
          <t>AMT-007</t>
        </is>
      </c>
      <c r="C19" s="387" t="inlineStr">
        <is>
          <t>حائل</t>
        </is>
      </c>
      <c r="D19" s="507" t="n">
        <v>52000</v>
      </c>
      <c r="E19" s="360">
        <f>D19*السيناريوهات!$C$11</f>
        <v/>
      </c>
      <c r="F19" s="281">
        <f>E19*السيناريوهات!$C$10*السيناريوهات!$C$30/100</f>
        <v/>
      </c>
      <c r="G19" s="508">
        <f>E19*السيناريوهات!$C$10*السيناريوهات!$C$29/100</f>
        <v/>
      </c>
    </row>
    <row r="20" ht="25.5" customHeight="1" s="260">
      <c r="A20" s="303" t="n">
        <v>8</v>
      </c>
      <c r="B20" s="506" t="inlineStr">
        <is>
          <t>AMT-008</t>
        </is>
      </c>
      <c r="C20" s="387" t="inlineStr">
        <is>
          <t>بريدة</t>
        </is>
      </c>
      <c r="D20" s="507" t="n">
        <v>71000</v>
      </c>
      <c r="E20" s="360">
        <f>D20*السيناريوهات!$C$11</f>
        <v/>
      </c>
      <c r="F20" s="281">
        <f>E20*السيناريوهات!$C$10*السيناريوهات!$C$30/100</f>
        <v/>
      </c>
      <c r="G20" s="508">
        <f>E20*السيناريوهات!$C$10*السيناريوهات!$C$29/100</f>
        <v/>
      </c>
    </row>
    <row r="21" ht="25.5" customHeight="1" s="260">
      <c r="A21" s="303" t="n">
        <v>9</v>
      </c>
      <c r="B21" s="506" t="inlineStr">
        <is>
          <t>AMT-009</t>
        </is>
      </c>
      <c r="C21" s="387" t="inlineStr">
        <is>
          <t>أبها</t>
        </is>
      </c>
      <c r="D21" s="507" t="n">
        <v>68000</v>
      </c>
      <c r="E21" s="360">
        <f>D21*السيناريوهات!$C$11</f>
        <v/>
      </c>
      <c r="F21" s="281">
        <f>E21*السيناريوهات!$C$10*السيناريوهات!$C$30/100</f>
        <v/>
      </c>
      <c r="G21" s="508">
        <f>E21*السيناريوهات!$C$10*السيناريوهات!$C$29/100</f>
        <v/>
      </c>
    </row>
    <row r="22" ht="25.5" customHeight="1" s="260">
      <c r="A22" s="303" t="n">
        <v>10</v>
      </c>
      <c r="B22" s="506" t="inlineStr">
        <is>
          <t>AMT-010</t>
        </is>
      </c>
      <c r="C22" s="387" t="inlineStr">
        <is>
          <t>جازان</t>
        </is>
      </c>
      <c r="D22" s="507" t="n">
        <v>49000</v>
      </c>
      <c r="E22" s="360">
        <f>D22*السيناريوهات!$C$11</f>
        <v/>
      </c>
      <c r="F22" s="281">
        <f>E22*السيناريوهات!$C$10*السيناريوهات!$C$30/100</f>
        <v/>
      </c>
      <c r="G22" s="508">
        <f>E22*السيناريوهات!$C$10*السيناريوهات!$C$29/100</f>
        <v/>
      </c>
    </row>
    <row r="23" ht="33.75" customHeight="1" s="260">
      <c r="A23" s="448" t="inlineStr">
        <is>
          <t>📊 الإجمالي الشهري</t>
        </is>
      </c>
      <c r="B23" s="293" t="n"/>
      <c r="C23" s="287" t="n"/>
      <c r="D23" s="509">
        <f>SUM(D13:D22)</f>
        <v/>
      </c>
      <c r="E23" s="510">
        <f>SUM(E13:E22)</f>
        <v/>
      </c>
      <c r="F23" s="510">
        <f>SUM(F13:F22)</f>
        <v/>
      </c>
      <c r="G23" s="510">
        <f>SUM(G13:G22)</f>
        <v/>
      </c>
    </row>
    <row r="24" ht="33.75" customHeight="1" s="260">
      <c r="A24" s="453" t="inlineStr">
        <is>
          <t>📅 الإجمالي السنوي</t>
        </is>
      </c>
      <c r="B24" s="293" t="n"/>
      <c r="C24" s="287" t="n"/>
      <c r="D24" s="511">
        <f>D23*12</f>
        <v/>
      </c>
      <c r="E24" s="512">
        <f>E23*12</f>
        <v/>
      </c>
      <c r="F24" s="512">
        <f>F23*12</f>
        <v/>
      </c>
      <c r="G24" s="512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6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3" t="n">
        <v>30</v>
      </c>
      <c r="C6" s="513" t="n">
        <v>35</v>
      </c>
      <c r="D6" s="513" t="n">
        <v>42</v>
      </c>
      <c r="E6" s="513" t="n">
        <v>50</v>
      </c>
      <c r="F6" s="513" t="n">
        <v>58</v>
      </c>
      <c r="G6" s="514">
        <f>(F6-B6)/B6</f>
        <v/>
      </c>
    </row>
    <row r="7" ht="27.75" customHeight="1" s="260">
      <c r="A7" s="296" t="inlineStr">
        <is>
          <t>💼 استثمار</t>
        </is>
      </c>
      <c r="B7" s="513" t="n">
        <v>70</v>
      </c>
      <c r="C7" s="513" t="n">
        <v>80</v>
      </c>
      <c r="D7" s="513" t="n">
        <v>88</v>
      </c>
      <c r="E7" s="513" t="n">
        <v>95</v>
      </c>
      <c r="F7" s="513" t="n">
        <v>100</v>
      </c>
      <c r="G7" s="514">
        <f>(F7-B7)/B7</f>
        <v/>
      </c>
    </row>
    <row r="8" ht="27.75" customHeight="1" s="260">
      <c r="A8" s="296" t="inlineStr">
        <is>
          <t>🤝 امتياز</t>
        </is>
      </c>
      <c r="B8" s="513" t="n">
        <v>73</v>
      </c>
      <c r="C8" s="513" t="n">
        <v>90</v>
      </c>
      <c r="D8" s="513" t="n">
        <v>105</v>
      </c>
      <c r="E8" s="513" t="n">
        <v>120</v>
      </c>
      <c r="F8" s="513" t="n">
        <v>135</v>
      </c>
      <c r="G8" s="514">
        <f>(F8-B8)/B8</f>
        <v/>
      </c>
    </row>
    <row r="9" ht="31.5" customHeight="1" s="260">
      <c r="A9" s="515" t="inlineStr">
        <is>
          <t>📊 الإجمالي</t>
        </is>
      </c>
      <c r="B9" s="516">
        <f>SUM(B6:B8)</f>
        <v/>
      </c>
      <c r="C9" s="516">
        <f>SUM(C6:C8)</f>
        <v/>
      </c>
      <c r="D9" s="516">
        <f>SUM(D6:D8)</f>
        <v/>
      </c>
      <c r="E9" s="516">
        <f>SUM(E6:E8)</f>
        <v/>
      </c>
      <c r="F9" s="516">
        <f>SUM(F6:F8)</f>
        <v/>
      </c>
      <c r="G9" s="517">
        <f>(F9-B9)/B9</f>
        <v/>
      </c>
    </row>
    <row r="10" ht="9.75" customHeight="1" s="260"/>
    <row r="11" ht="30" customHeight="1" s="260">
      <c r="A11" s="329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8">
        <f>B6*السيناريوهات!$C$31*12*السيناريوهات!$C$11*السيناريوهات!$C$10/100/1000000</f>
        <v/>
      </c>
      <c r="C13" s="518">
        <f>C6*السيناريوهات!$C$31*12*السيناريوهات!$C$11*السيناريوهات!$C$10/100/1000000</f>
        <v/>
      </c>
      <c r="D13" s="518">
        <f>D6*السيناريوهات!$C$31*12*السيناريوهات!$C$11*السيناريوهات!$C$10/100/1000000</f>
        <v/>
      </c>
      <c r="E13" s="518">
        <f>E6*السيناريوهات!$C$31*12*السيناريوهات!$C$11*السيناريوهات!$C$10/100/1000000</f>
        <v/>
      </c>
      <c r="F13" s="518">
        <f>F6*السيناريوهات!$C$31*12*السيناريوهات!$C$11*السيناريوهات!$C$10/100/1000000</f>
        <v/>
      </c>
      <c r="G13" s="519">
        <f>(F13-B13)/B13</f>
        <v/>
      </c>
    </row>
    <row r="14" ht="27.75" customHeight="1" s="260">
      <c r="A14" s="309" t="inlineStr">
        <is>
          <t>استثمار (50%)</t>
        </is>
      </c>
      <c r="B14" s="518">
        <f>B7*السيناريوهات!$C$31*12*السيناريوهات!$C$11*السيناريوهات!$C$10*0.5/100/1000000</f>
        <v/>
      </c>
      <c r="C14" s="518">
        <f>C7*السيناريوهات!$C$31*12*السيناريوهات!$C$11*السيناريوهات!$C$10*0.5/100/1000000</f>
        <v/>
      </c>
      <c r="D14" s="518">
        <f>D7*السيناريوهات!$C$31*12*السيناريوهات!$C$11*السيناريوهات!$C$10*0.5/100/1000000</f>
        <v/>
      </c>
      <c r="E14" s="518">
        <f>E7*السيناريوهات!$C$31*12*السيناريوهات!$C$11*السيناريوهات!$C$10*0.5/100/1000000</f>
        <v/>
      </c>
      <c r="F14" s="518">
        <f>F7*السيناريوهات!$C$31*12*السيناريوهات!$C$11*السيناريوهات!$C$10*0.5/100/1000000</f>
        <v/>
      </c>
      <c r="G14" s="519">
        <f>(F14-B14)/B14</f>
        <v/>
      </c>
    </row>
    <row r="15" ht="27.75" customHeight="1" s="260">
      <c r="A15" s="309" t="inlineStr">
        <is>
          <t>امتياز (50%)</t>
        </is>
      </c>
      <c r="B15" s="518">
        <f>B8*السيناريوهات!$C$31*12*السيناريوهات!$C$11*السيناريوهات!$C$10*السيناريوهات!$C$29/100/1000000</f>
        <v/>
      </c>
      <c r="C15" s="518">
        <f>C8*السيناريوهات!$C$31*12*السيناريوهات!$C$11*السيناريوهات!$C$10*السيناريوهات!$C$29/100/1000000</f>
        <v/>
      </c>
      <c r="D15" s="518">
        <f>D8*السيناريوهات!$C$31*12*السيناريوهات!$C$11*السيناريوهات!$C$10*السيناريوهات!$C$29/100/1000000</f>
        <v/>
      </c>
      <c r="E15" s="518">
        <f>E8*السيناريوهات!$C$31*12*السيناريوهات!$C$11*السيناريوهات!$C$10*السيناريوهات!$C$29/100/1000000</f>
        <v/>
      </c>
      <c r="F15" s="518">
        <f>F8*السيناريوهات!$C$31*12*السيناريوهات!$C$11*السيناريوهات!$C$10*السيناريوهات!$C$29/100/1000000</f>
        <v/>
      </c>
      <c r="G15" s="519">
        <f>(F15-B15)/B15</f>
        <v/>
      </c>
    </row>
    <row r="16" ht="36" customHeight="1" s="260">
      <c r="A16" s="520" t="inlineStr">
        <is>
          <t>📊 الإجمالي</t>
        </is>
      </c>
      <c r="B16" s="521">
        <f>SUM(B13:B15)</f>
        <v/>
      </c>
      <c r="C16" s="521">
        <f>SUM(C13:C15)</f>
        <v/>
      </c>
      <c r="D16" s="521">
        <f>SUM(D13:D15)</f>
        <v/>
      </c>
      <c r="E16" s="521">
        <f>SUM(E13:E15)</f>
        <v/>
      </c>
      <c r="F16" s="521">
        <f>SUM(F13:F15)</f>
        <v/>
      </c>
      <c r="G16" s="522">
        <f>(F16-B16)/B16</f>
        <v/>
      </c>
    </row>
    <row r="17" ht="42" customHeight="1" s="260">
      <c r="A17" s="523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34" customWidth="1" style="260" min="1" max="1"/>
    <col width="16" customWidth="1" style="260" min="2" max="2"/>
    <col width="16" customWidth="1" style="260" min="3" max="3"/>
  </cols>
  <sheetData>
    <row r="1">
      <c r="A1" s="524" t="inlineStr">
        <is>
          <t>درب · محرك الاقتصاد الموسّع — الديزل والشركاء (معادلات حيّة)</t>
        </is>
      </c>
    </row>
    <row r="2">
      <c r="A2" s="525" t="inlineStr">
        <is>
          <t>كل القيم أدناه معادلات تشير لخلايا ورقة السيناريوهات — غيّر هناك وتتحدث هنا</t>
        </is>
      </c>
    </row>
    <row r="4">
      <c r="A4" s="526" t="inlineStr">
        <is>
          <t>⛽ الديزل</t>
        </is>
      </c>
    </row>
    <row r="5">
      <c r="A5" s="524" t="inlineStr">
        <is>
          <t>البند</t>
        </is>
      </c>
      <c r="B5" s="524" t="inlineStr">
        <is>
          <t>القيمة</t>
        </is>
      </c>
      <c r="C5" s="524" t="inlineStr">
        <is>
          <t>الوحدة</t>
        </is>
      </c>
    </row>
    <row r="6">
      <c r="A6" s="525" t="inlineStr">
        <is>
          <t>هامش الديزل/لتر</t>
        </is>
      </c>
      <c r="B6" s="527">
        <f>السيناريوهات!C37</f>
        <v/>
      </c>
      <c r="C6" s="525" t="inlineStr">
        <is>
          <t>هللة/لتر</t>
        </is>
      </c>
    </row>
    <row r="7">
      <c r="A7" s="525" t="inlineStr">
        <is>
          <t>هامش الديزل %</t>
        </is>
      </c>
      <c r="B7" s="528">
        <f>السيناريوهات!C37/(السيناريوهات!C36*100)</f>
        <v/>
      </c>
      <c r="C7" s="525" t="inlineStr">
        <is>
          <t>%</t>
        </is>
      </c>
    </row>
    <row r="8">
      <c r="A8" s="525" t="inlineStr">
        <is>
          <t>كسب الديزل</t>
        </is>
      </c>
      <c r="B8" s="527">
        <f>السيناريوهات!C38</f>
        <v/>
      </c>
      <c r="C8" s="525" t="inlineStr">
        <is>
          <t>نقطة/ريال</t>
        </is>
      </c>
    </row>
    <row r="9">
      <c r="A9" s="525" t="inlineStr">
        <is>
          <t>كاش باك الديزل %</t>
        </is>
      </c>
      <c r="B9" s="528">
        <f>السيناريوهات!C38/السيناريوهات!C6</f>
        <v/>
      </c>
      <c r="C9" s="525" t="inlineStr">
        <is>
          <t>%</t>
        </is>
      </c>
    </row>
    <row r="10">
      <c r="A10" s="525" t="inlineStr">
        <is>
          <t>تكلفة درب على الديزل</t>
        </is>
      </c>
      <c r="B10" s="527">
        <f>السيناريوهات!C38/السيناريوهات!C6*100</f>
        <v/>
      </c>
      <c r="C10" s="525" t="inlineStr">
        <is>
          <t>هللة/ريال</t>
        </is>
      </c>
    </row>
    <row r="11">
      <c r="A11" s="525" t="inlineStr">
        <is>
          <t>صافي هامش درب على الديزل</t>
        </is>
      </c>
      <c r="B11" s="527">
        <f>السيناريوهات!C37/السيناريوهات!C36-(السيناريوهات!C38/السيناريوهات!C6*100)</f>
        <v/>
      </c>
      <c r="C11" s="525" t="inlineStr">
        <is>
          <t>هللة/ريال</t>
        </is>
      </c>
    </row>
    <row r="12">
      <c r="A12" s="524" t="inlineStr">
        <is>
          <t>الجدوى</t>
        </is>
      </c>
      <c r="B12" s="524">
        <f>IF(B11&gt;0.5,"✅ مربح",IF(B11&gt;0,"⚠️ هامش ضيق","🔴 خسارة"))</f>
        <v/>
      </c>
    </row>
    <row r="14">
      <c r="A14" s="526" t="inlineStr">
        <is>
          <t>☕ الشركاء (كافيه/مطعم)</t>
        </is>
      </c>
    </row>
    <row r="15">
      <c r="A15" s="524" t="inlineStr">
        <is>
          <t>البند</t>
        </is>
      </c>
      <c r="B15" s="524" t="inlineStr">
        <is>
          <t>القيمة</t>
        </is>
      </c>
      <c r="C15" s="524" t="inlineStr">
        <is>
          <t>الوحدة</t>
        </is>
      </c>
    </row>
    <row r="16">
      <c r="A16" s="525" t="inlineStr">
        <is>
          <t>كسب العميل عند الشريك</t>
        </is>
      </c>
      <c r="B16" s="527">
        <f>السيناريوهات!C39</f>
        <v/>
      </c>
      <c r="C16" s="525" t="inlineStr">
        <is>
          <t>نقطة/ريال</t>
        </is>
      </c>
    </row>
    <row r="17">
      <c r="A17" s="525" t="inlineStr">
        <is>
          <t>كاش باك العميل %</t>
        </is>
      </c>
      <c r="B17" s="528">
        <f>السيناريوهات!C39/السيناريوهات!C6</f>
        <v/>
      </c>
      <c r="C17" s="525" t="inlineStr">
        <is>
          <t>%</t>
        </is>
      </c>
    </row>
    <row r="18">
      <c r="A18" s="525" t="inlineStr">
        <is>
          <t>تكلفة درب (الشريك يموّل)</t>
        </is>
      </c>
      <c r="B18" s="527">
        <f>0</f>
        <v/>
      </c>
      <c r="C18" s="525" t="inlineStr">
        <is>
          <t>هللة/ريال</t>
        </is>
      </c>
    </row>
    <row r="19">
      <c r="A19" s="525" t="inlineStr">
        <is>
          <t>مساهمة الشريك لدرب</t>
        </is>
      </c>
      <c r="B19" s="527">
        <f>السيناريوهات!C40</f>
        <v/>
      </c>
      <c r="C19" s="525" t="inlineStr">
        <is>
          <t>هللة/ريال</t>
        </is>
      </c>
    </row>
    <row r="20">
      <c r="A20" s="525" t="inlineStr">
        <is>
          <t>صافي لدرب من الشريك</t>
        </is>
      </c>
      <c r="B20" s="527">
        <f>السيناريوهات!C40-B18</f>
        <v/>
      </c>
      <c r="C20" s="525" t="inlineStr">
        <is>
          <t>هللة/ريال</t>
        </is>
      </c>
    </row>
    <row r="22">
      <c r="A22" s="526" t="inlineStr">
        <is>
          <t>🔬 أثر الريال على درب: وقود مقابل شريك</t>
        </is>
      </c>
    </row>
    <row r="23">
      <c r="A23" s="524" t="inlineStr">
        <is>
          <t>البند</t>
        </is>
      </c>
      <c r="B23" s="524" t="inlineStr">
        <is>
          <t>ريال بنزين</t>
        </is>
      </c>
      <c r="C23" s="524" t="inlineStr">
        <is>
          <t>ريال شريك</t>
        </is>
      </c>
    </row>
    <row r="24">
      <c r="A24" s="525" t="inlineStr">
        <is>
          <t>دخل/ربح درب (هللة)</t>
        </is>
      </c>
      <c r="B24" s="527">
        <f>السيناريوهات!C26/السيناريوهات!C11</f>
        <v/>
      </c>
      <c r="C24" s="527">
        <f>السيناريوهات!C40</f>
        <v/>
      </c>
    </row>
    <row r="25">
      <c r="A25" s="525" t="inlineStr">
        <is>
          <t>تكلفة الولاء على درب (هللة)</t>
        </is>
      </c>
      <c r="B25" s="527">
        <f>السيناريوهات!C7/السيناريوهات!C6*100</f>
        <v/>
      </c>
      <c r="C25" s="527">
        <f>0</f>
        <v/>
      </c>
    </row>
    <row r="26">
      <c r="A26" s="525" t="inlineStr">
        <is>
          <t>الصافي على درب (هللة/ريال)</t>
        </is>
      </c>
      <c r="B26" s="527">
        <f>B24-B25</f>
        <v/>
      </c>
      <c r="C26" s="527">
        <f>C24-C25</f>
        <v/>
      </c>
    </row>
    <row r="27">
      <c r="A27" s="524" t="inlineStr">
        <is>
          <t>الخلاصة</t>
        </is>
      </c>
      <c r="B27" s="524">
        <f>IF(B26&gt;0,"✅ تكلفة احتفاظ","🔴 خسارة")</f>
        <v/>
      </c>
      <c r="C27" s="524">
        <f>IF(C26&gt;0,"✅ ربح صافٍ","—")</f>
        <v/>
      </c>
    </row>
    <row r="29">
      <c r="A29" s="525" t="inlineStr">
        <is>
          <t>💡 الوقود يجذب (هامش رفيع) والشركاء يموّلون ويربّحون — أولوية درب: توقيع الشركاء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38" customWidth="1" style="260" min="1" max="1"/>
    <col width="22" customWidth="1" style="260" min="2" max="2"/>
    <col width="12" customWidth="1" style="260" min="3" max="3"/>
    <col width="16" customWidth="1" style="260" min="4" max="4"/>
    <col width="18" customWidth="1" style="260" min="5" max="5"/>
    <col width="16" customWidth="1" style="260" min="6" max="6"/>
  </cols>
  <sheetData>
    <row r="1">
      <c r="A1" s="524" t="inlineStr">
        <is>
          <t>درب · قنوات استبدال النقاط — التكلفة على درب لكل قناة (معادلات حيّة)</t>
        </is>
      </c>
    </row>
    <row r="3">
      <c r="A3" s="525" t="inlineStr">
        <is>
          <t>إجمالي القيمة المستبدلة سنوياً (ريال)</t>
        </is>
      </c>
      <c r="C3" s="529" t="n">
        <v>1000000</v>
      </c>
    </row>
    <row r="5">
      <c r="A5" s="526" t="inlineStr">
        <is>
          <t>القناة</t>
        </is>
      </c>
      <c r="B5" s="526" t="inlineStr">
        <is>
          <t>من يموّلها</t>
        </is>
      </c>
      <c r="C5" s="526" t="inlineStr">
        <is>
          <t>النسبة %</t>
        </is>
      </c>
      <c r="D5" s="526" t="inlineStr">
        <is>
          <t>تكلفة درب/ريال %</t>
        </is>
      </c>
      <c r="E5" s="526" t="inlineStr">
        <is>
          <t>القيمة المستبدلة</t>
        </is>
      </c>
      <c r="F5" s="526" t="inlineStr">
        <is>
          <t>تكلفة درب</t>
        </is>
      </c>
    </row>
    <row r="6">
      <c r="A6" s="525" t="inlineStr">
        <is>
          <t>⛽ خصم بنزين</t>
        </is>
      </c>
      <c r="B6" s="525" t="inlineStr">
        <is>
          <t>درب</t>
        </is>
      </c>
      <c r="C6" s="530" t="n">
        <v>0.3</v>
      </c>
      <c r="D6" s="530" t="n">
        <v>1</v>
      </c>
      <c r="E6" s="531">
        <f>$C$3*C6</f>
        <v/>
      </c>
      <c r="F6" s="527">
        <f>E6*D6</f>
        <v/>
      </c>
    </row>
    <row r="7">
      <c r="A7" s="525" t="inlineStr">
        <is>
          <t>🛍️ عروض المستأجرين</t>
        </is>
      </c>
      <c r="B7" s="525" t="inlineStr">
        <is>
          <t>المستأجر</t>
        </is>
      </c>
      <c r="C7" s="530" t="n">
        <v>0.35</v>
      </c>
      <c r="D7" s="530" t="n">
        <v>0</v>
      </c>
      <c r="E7" s="531">
        <f>$C$3*C7</f>
        <v/>
      </c>
      <c r="F7" s="527">
        <f>E7*D7</f>
        <v/>
      </c>
    </row>
    <row r="8">
      <c r="A8" s="525" t="inlineStr">
        <is>
          <t>🎁 شركات خارجية (جرير/أمازون/الفرسان)</t>
        </is>
      </c>
      <c r="B8" s="525" t="inlineStr">
        <is>
          <t>درب (خصم جملة)</t>
        </is>
      </c>
      <c r="C8" s="530" t="n">
        <v>0.2</v>
      </c>
      <c r="D8" s="530" t="n">
        <v>0.97</v>
      </c>
      <c r="E8" s="531">
        <f>$C$3*C8</f>
        <v/>
      </c>
      <c r="F8" s="527">
        <f>E8*D8</f>
        <v/>
      </c>
    </row>
    <row r="9">
      <c r="A9" s="525" t="inlineStr">
        <is>
          <t>📱 كرت شحن</t>
        </is>
      </c>
      <c r="B9" s="525" t="inlineStr">
        <is>
          <t>درب (عمولة المشغّل)</t>
        </is>
      </c>
      <c r="C9" s="530" t="n">
        <v>0.15</v>
      </c>
      <c r="D9" s="530" t="n">
        <v>0.95</v>
      </c>
      <c r="E9" s="531">
        <f>$C$3*C9</f>
        <v/>
      </c>
      <c r="F9" s="527">
        <f>E9*D9</f>
        <v/>
      </c>
    </row>
    <row r="10">
      <c r="A10" s="524" t="inlineStr">
        <is>
          <t>📊 الإجمالي</t>
        </is>
      </c>
      <c r="C10" s="532">
        <f>SUM(C6:C9)</f>
        <v/>
      </c>
      <c r="E10" s="527">
        <f>SUM(E6:E9)</f>
        <v/>
      </c>
      <c r="F10" s="527">
        <f>SUM(F6:F9)</f>
        <v/>
      </c>
    </row>
    <row r="12">
      <c r="A12" s="525" t="inlineStr">
        <is>
          <t>متوسط تكلفة الريال المستبدل</t>
        </is>
      </c>
      <c r="C12" s="533">
        <f>F10/E10</f>
        <v/>
      </c>
    </row>
    <row r="13">
      <c r="A13" s="525" t="inlineStr">
        <is>
          <t>التوفير مقابل الكل-بنزين</t>
        </is>
      </c>
      <c r="C13" s="527">
        <f>$C$3-F10</f>
        <v/>
      </c>
    </row>
    <row r="14">
      <c r="A14" s="525" t="inlineStr">
        <is>
          <t>تحقق مجموع النسب</t>
        </is>
      </c>
      <c r="C14" s="524">
        <f>IF(C10=1,"✅ 100%","⚠️ راجع النسب")</f>
        <v/>
      </c>
    </row>
    <row r="16">
      <c r="A16" s="525" t="inlineStr">
        <is>
          <t>💡 وجّه الاستبدال نحو عروض المستأجرين (تكلفتها صفر) بدل خصم البنزين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8"/>
  <sheetViews>
    <sheetView rightToLeft="1" workbookViewId="0">
      <selection activeCell="A1" sqref="A1"/>
    </sheetView>
  </sheetViews>
  <sheetFormatPr baseColWidth="8" defaultRowHeight="15"/>
  <cols>
    <col width="30" customWidth="1" style="260" min="1" max="1"/>
    <col width="16" customWidth="1" style="260" min="2" max="2"/>
    <col width="16" customWidth="1" style="260" min="3" max="3"/>
    <col width="14" customWidth="1" style="260" min="4" max="4"/>
  </cols>
  <sheetData>
    <row r="1">
      <c r="A1" s="524" t="inlineStr">
        <is>
          <t>درب · نموذج المحفظة المموّلة بالكامل (Escrow) — معادلات حيّة</t>
        </is>
      </c>
    </row>
    <row r="2">
      <c r="A2" s="525" t="inlineStr">
        <is>
          <t>كل مُصدِر يودع نسبته على مبيعاته هو · النقاط واجهة فوق محفظة بالريال</t>
        </is>
      </c>
    </row>
    <row r="4">
      <c r="A4" s="526" t="inlineStr">
        <is>
          <t>📥 تغذية المحفظة</t>
        </is>
      </c>
    </row>
    <row r="5">
      <c r="A5" s="526" t="inlineStr">
        <is>
          <t>المصدر</t>
        </is>
      </c>
      <c r="B5" s="526" t="inlineStr">
        <is>
          <t>قيمة الشراء (﷼)</t>
        </is>
      </c>
      <c r="C5" s="526" t="inlineStr">
        <is>
          <t>نسبة الإيداع %</t>
        </is>
      </c>
      <c r="D5" s="526" t="inlineStr">
        <is>
          <t>المودَع (﷼)</t>
        </is>
      </c>
    </row>
    <row r="6">
      <c r="A6" s="525" t="inlineStr">
        <is>
          <t>⛽ بنزين (درب)</t>
        </is>
      </c>
      <c r="B6" s="534" t="n">
        <v>600</v>
      </c>
      <c r="C6" s="535" t="n">
        <v>0.5</v>
      </c>
      <c r="D6" s="527">
        <f>B6*C6/100</f>
        <v/>
      </c>
    </row>
    <row r="7">
      <c r="A7" s="525" t="inlineStr">
        <is>
          <t>☕ كافيه</t>
        </is>
      </c>
      <c r="B7" s="534" t="n">
        <v>200</v>
      </c>
      <c r="C7" s="535" t="n">
        <v>4</v>
      </c>
      <c r="D7" s="527">
        <f>B7*C7/100</f>
        <v/>
      </c>
    </row>
    <row r="8">
      <c r="A8" s="525" t="inlineStr">
        <is>
          <t>🍔 مطعم</t>
        </is>
      </c>
      <c r="B8" s="534" t="n">
        <v>150</v>
      </c>
      <c r="C8" s="535" t="n">
        <v>3</v>
      </c>
      <c r="D8" s="527">
        <f>B8*C8/100</f>
        <v/>
      </c>
    </row>
    <row r="9">
      <c r="A9" s="525" t="inlineStr">
        <is>
          <t>🛒 سوبرماركت</t>
        </is>
      </c>
      <c r="B9" s="534" t="n">
        <v>400</v>
      </c>
      <c r="C9" s="535" t="n">
        <v>1</v>
      </c>
      <c r="D9" s="527">
        <f>B9*C9/100</f>
        <v/>
      </c>
    </row>
    <row r="10">
      <c r="A10" s="524" t="inlineStr">
        <is>
          <t>📊 إجمالي التغذية</t>
        </is>
      </c>
      <c r="D10" s="527">
        <f>SUM(D6:D9)</f>
        <v/>
      </c>
    </row>
    <row r="12">
      <c r="A12" s="524" t="inlineStr">
        <is>
          <t>رصيد المحفظة (﷼)</t>
        </is>
      </c>
      <c r="C12" s="527">
        <f>D10</f>
        <v/>
      </c>
    </row>
    <row r="13">
      <c r="A13" s="525" t="inlineStr">
        <is>
          <t>يُعرض للعميل كنقاط</t>
        </is>
      </c>
      <c r="C13" s="536">
        <f>C12*السيناريوهات!C6</f>
        <v/>
      </c>
    </row>
    <row r="15">
      <c r="A15" s="526" t="inlineStr">
        <is>
          <t>🔁 محاكاة استبدال</t>
        </is>
      </c>
    </row>
    <row r="16">
      <c r="A16" s="525" t="inlineStr">
        <is>
          <t>يُسحب من المحفظة (﷼)</t>
        </is>
      </c>
      <c r="C16" s="537" t="n">
        <v>10</v>
      </c>
    </row>
    <row r="17">
      <c r="A17" s="525" t="inlineStr">
        <is>
          <t>يضيف التاجر تنافساً (﷼)</t>
        </is>
      </c>
      <c r="C17" s="537" t="n">
        <v>3</v>
      </c>
    </row>
    <row r="18">
      <c r="A18" s="525" t="inlineStr">
        <is>
          <t>يحصل العميل (﷼)</t>
        </is>
      </c>
      <c r="C18" s="527">
        <f>C16+C17</f>
        <v/>
      </c>
    </row>
    <row r="19">
      <c r="A19" s="525" t="inlineStr">
        <is>
          <t>القيمة لكل ريال مسحوب</t>
        </is>
      </c>
      <c r="C19" s="538">
        <f>C18/C16</f>
        <v/>
      </c>
    </row>
    <row r="20">
      <c r="A20" s="525" t="inlineStr">
        <is>
          <t>الرصيد بعد الاستبدال (﷼)</t>
        </is>
      </c>
      <c r="C20" s="527">
        <f>C12-C16</f>
        <v/>
      </c>
    </row>
    <row r="22">
      <c r="A22" s="526" t="inlineStr">
        <is>
          <t>🕳️ الأموال الخاملة (Breakage)</t>
        </is>
      </c>
    </row>
    <row r="23">
      <c r="A23" s="525" t="inlineStr">
        <is>
          <t>نسبة الخمول %</t>
        </is>
      </c>
      <c r="C23" s="539" t="n">
        <v>12</v>
      </c>
    </row>
    <row r="24">
      <c r="A24" s="525" t="inlineStr">
        <is>
          <t>مدة الصلاحية (شهر)</t>
        </is>
      </c>
      <c r="C24" s="539" t="n">
        <v>24</v>
      </c>
    </row>
    <row r="25">
      <c r="A25" s="525" t="inlineStr">
        <is>
          <t>المتوقع خامل (﷼)</t>
        </is>
      </c>
      <c r="C25" s="527">
        <f>C12*C23/100</f>
        <v/>
      </c>
    </row>
    <row r="26">
      <c r="A26" s="525" t="inlineStr">
        <is>
          <t>المتوقع استبداله فعلاً (﷼)</t>
        </is>
      </c>
      <c r="C26" s="527">
        <f>C12-C25</f>
        <v/>
      </c>
    </row>
    <row r="28">
      <c r="A28" s="525" t="inlineStr">
        <is>
          <t>🔒 النظام لا يخسر: كل ريال يُستبدل كان مودَعاً مسبقاً · لا أحد يموّل وعود غيره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2026-06-07T11:56:19Z</dcterms:created>
  <dcterms:modified xsi:type="dcterms:W3CDTF">2026-06-14T06:42:55Z</dcterms:modified>
  <cp:revision>0</cp:revision>
</cp:coreProperties>
</file>