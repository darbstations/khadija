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Z:\Downloads\"/>
    </mc:Choice>
  </mc:AlternateContent>
  <xr:revisionPtr revIDLastSave="0" documentId="8_{7D040333-E42C-43FC-84E6-3BF48DE8D72E}" xr6:coauthVersionLast="47" xr6:coauthVersionMax="47" xr10:uidLastSave="{00000000-0000-0000-0000-000000000000}"/>
  <bookViews>
    <workbookView xWindow="-110" yWindow="-110" windowWidth="19420" windowHeight="10300" tabRatio="500" firstSheet="10" activeTab="11" xr2:uid="{00000000-000D-0000-FFFF-FFFF00000000}"/>
  </bookViews>
  <sheets>
    <sheet name="📋 بيانات المحطات" sheetId="2" r:id="rId1"/>
    <sheet name="⛽ المبيعات الشهرية" sheetId="3" r:id="rId2"/>
    <sheet name="💰 الربحية — محسوبة" sheetId="4" r:id="rId3"/>
    <sheet name="📊 مؤشرات KPI" sheetId="5" r:id="rId4"/>
    <sheet name="أبريل 2026 — يومي" sheetId="6" r:id="rId5"/>
    <sheet name="مؤشرات الأداء KPI" sheetId="7" r:id="rId6"/>
    <sheet name="⛽ عامل تعبئة الوقود" sheetId="9" r:id="rId7"/>
    <sheet name="🏪 مدير المحطة" sheetId="10" r:id="rId8"/>
    <sheet name="🔍 مشرف ميداني" sheetId="11" r:id="rId9"/>
    <sheet name="🏗️ جاهزية المحطة — 7 بنود" sheetId="12" r:id="rId10"/>
    <sheet name="🔴 معايير السلامة — 7 بنود" sheetId="13" r:id="rId11"/>
    <sheet name="📈 تقدم تشغيل 85 محطة" sheetId="14" r:id="rId1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4" i="14" l="1"/>
  <c r="D92" i="14"/>
  <c r="D89" i="14"/>
  <c r="F89" i="14" s="1"/>
  <c r="D88" i="14"/>
  <c r="G85" i="14"/>
  <c r="E85" i="14"/>
  <c r="D84" i="14"/>
  <c r="F83" i="14"/>
  <c r="E79" i="14"/>
  <c r="G79" i="14" s="1"/>
  <c r="F76" i="14"/>
  <c r="E76" i="14"/>
  <c r="G76" i="14" s="1"/>
  <c r="D73" i="14"/>
  <c r="E69" i="14"/>
  <c r="G69" i="14" s="1"/>
  <c r="F64" i="14"/>
  <c r="E64" i="14"/>
  <c r="G64" i="14" s="1"/>
  <c r="D64" i="14"/>
  <c r="H64" i="14" s="1"/>
  <c r="F63" i="14"/>
  <c r="D63" i="14"/>
  <c r="H59" i="14"/>
  <c r="G59" i="14"/>
  <c r="F59" i="14"/>
  <c r="E59" i="14"/>
  <c r="D56" i="14"/>
  <c r="D53" i="14"/>
  <c r="F51" i="14"/>
  <c r="E51" i="14"/>
  <c r="G50" i="14"/>
  <c r="E50" i="14"/>
  <c r="D45" i="14"/>
  <c r="E44" i="14"/>
  <c r="G44" i="14" s="1"/>
  <c r="F42" i="14"/>
  <c r="E42" i="14"/>
  <c r="G42" i="14" s="1"/>
  <c r="D42" i="14"/>
  <c r="D40" i="14"/>
  <c r="D39" i="14"/>
  <c r="D38" i="14"/>
  <c r="F35" i="14"/>
  <c r="F31" i="14"/>
  <c r="F29" i="14"/>
  <c r="E29" i="14"/>
  <c r="G29" i="14" s="1"/>
  <c r="D29" i="14"/>
  <c r="E25" i="14"/>
  <c r="G25" i="14" s="1"/>
  <c r="D25" i="14"/>
  <c r="D24" i="14"/>
  <c r="D13" i="14"/>
  <c r="F12" i="14"/>
  <c r="E12" i="14"/>
  <c r="D12" i="14"/>
  <c r="G6" i="14"/>
  <c r="C6" i="14"/>
  <c r="L92" i="13"/>
  <c r="K92" i="13"/>
  <c r="J92" i="13"/>
  <c r="I92" i="13"/>
  <c r="H92" i="13"/>
  <c r="G92" i="13"/>
  <c r="F92" i="13"/>
  <c r="M91" i="13"/>
  <c r="N91" i="13" s="1"/>
  <c r="N90" i="13"/>
  <c r="M90" i="13"/>
  <c r="M89" i="13"/>
  <c r="N89" i="13" s="1"/>
  <c r="M88" i="13"/>
  <c r="N88" i="13" s="1"/>
  <c r="M87" i="13"/>
  <c r="N87" i="13" s="1"/>
  <c r="O86" i="13"/>
  <c r="N86" i="13"/>
  <c r="M86" i="13"/>
  <c r="M85" i="13"/>
  <c r="N85" i="13" s="1"/>
  <c r="N84" i="13"/>
  <c r="M84" i="13"/>
  <c r="N83" i="13"/>
  <c r="M83" i="13"/>
  <c r="N82" i="13"/>
  <c r="M82" i="13"/>
  <c r="N81" i="13"/>
  <c r="O81" i="13" s="1"/>
  <c r="M81" i="13"/>
  <c r="C81" i="13"/>
  <c r="N80" i="13"/>
  <c r="M80" i="13"/>
  <c r="N79" i="13"/>
  <c r="M79" i="13"/>
  <c r="N78" i="13"/>
  <c r="M78" i="13"/>
  <c r="N77" i="13"/>
  <c r="M77" i="13"/>
  <c r="N76" i="13"/>
  <c r="M76" i="13"/>
  <c r="N75" i="13"/>
  <c r="M75" i="13"/>
  <c r="O74" i="13"/>
  <c r="M74" i="13"/>
  <c r="N74" i="13" s="1"/>
  <c r="N73" i="13"/>
  <c r="M73" i="13"/>
  <c r="O72" i="13"/>
  <c r="M72" i="13"/>
  <c r="N72" i="13" s="1"/>
  <c r="C72" i="13" s="1"/>
  <c r="M71" i="13"/>
  <c r="N71" i="13" s="1"/>
  <c r="O70" i="13"/>
  <c r="N70" i="13"/>
  <c r="C70" i="13" s="1"/>
  <c r="M70" i="13"/>
  <c r="N69" i="13"/>
  <c r="M69" i="13"/>
  <c r="N68" i="13"/>
  <c r="E72" i="14" s="1"/>
  <c r="G72" i="14" s="1"/>
  <c r="M68" i="13"/>
  <c r="M67" i="13"/>
  <c r="N67" i="13" s="1"/>
  <c r="C67" i="13" s="1"/>
  <c r="N66" i="13"/>
  <c r="M66" i="13"/>
  <c r="N65" i="13"/>
  <c r="M65" i="13"/>
  <c r="M64" i="13"/>
  <c r="N64" i="13" s="1"/>
  <c r="N63" i="13"/>
  <c r="E67" i="14" s="1"/>
  <c r="G67" i="14" s="1"/>
  <c r="M63" i="13"/>
  <c r="C63" i="13"/>
  <c r="N62" i="13"/>
  <c r="M62" i="13"/>
  <c r="N61" i="13"/>
  <c r="M61" i="13"/>
  <c r="O60" i="13"/>
  <c r="N60" i="13"/>
  <c r="C60" i="13" s="1"/>
  <c r="M60" i="13"/>
  <c r="O59" i="13"/>
  <c r="M59" i="13"/>
  <c r="N59" i="13" s="1"/>
  <c r="M58" i="13"/>
  <c r="N58" i="13" s="1"/>
  <c r="M57" i="13"/>
  <c r="N57" i="13" s="1"/>
  <c r="O56" i="13"/>
  <c r="N56" i="13"/>
  <c r="M56" i="13"/>
  <c r="O55" i="13"/>
  <c r="N55" i="13"/>
  <c r="M55" i="13"/>
  <c r="C55" i="13"/>
  <c r="M54" i="13"/>
  <c r="N54" i="13" s="1"/>
  <c r="N53" i="13"/>
  <c r="M53" i="13"/>
  <c r="N52" i="13"/>
  <c r="M52" i="13"/>
  <c r="O51" i="13"/>
  <c r="N51" i="13"/>
  <c r="E55" i="14" s="1"/>
  <c r="G55" i="14" s="1"/>
  <c r="M51" i="13"/>
  <c r="C51" i="13"/>
  <c r="M50" i="13"/>
  <c r="N50" i="13" s="1"/>
  <c r="M49" i="13"/>
  <c r="N49" i="13" s="1"/>
  <c r="M48" i="13"/>
  <c r="N48" i="13" s="1"/>
  <c r="N47" i="13"/>
  <c r="M47" i="13"/>
  <c r="O46" i="13"/>
  <c r="M46" i="13"/>
  <c r="N46" i="13" s="1"/>
  <c r="C46" i="13" s="1"/>
  <c r="N45" i="13"/>
  <c r="M45" i="13"/>
  <c r="C45" i="13"/>
  <c r="M44" i="13"/>
  <c r="N44" i="13" s="1"/>
  <c r="M43" i="13"/>
  <c r="N43" i="13" s="1"/>
  <c r="C43" i="13"/>
  <c r="M42" i="13"/>
  <c r="N42" i="13" s="1"/>
  <c r="N41" i="13"/>
  <c r="M41" i="13"/>
  <c r="M40" i="13"/>
  <c r="N40" i="13" s="1"/>
  <c r="M39" i="13"/>
  <c r="N39" i="13" s="1"/>
  <c r="N38" i="13"/>
  <c r="M38" i="13"/>
  <c r="N37" i="13"/>
  <c r="M37" i="13"/>
  <c r="C37" i="13"/>
  <c r="O36" i="13"/>
  <c r="M36" i="13"/>
  <c r="N36" i="13" s="1"/>
  <c r="M35" i="13"/>
  <c r="N35" i="13" s="1"/>
  <c r="M34" i="13"/>
  <c r="N34" i="13" s="1"/>
  <c r="M33" i="13"/>
  <c r="N33" i="13" s="1"/>
  <c r="C33" i="13"/>
  <c r="O32" i="13"/>
  <c r="M32" i="13"/>
  <c r="N32" i="13" s="1"/>
  <c r="O31" i="13"/>
  <c r="M31" i="13"/>
  <c r="N31" i="13" s="1"/>
  <c r="N30" i="13"/>
  <c r="M30" i="13"/>
  <c r="M29" i="13"/>
  <c r="N29" i="13" s="1"/>
  <c r="C29" i="13"/>
  <c r="M28" i="13"/>
  <c r="N28" i="13" s="1"/>
  <c r="M27" i="13"/>
  <c r="N27" i="13" s="1"/>
  <c r="O27" i="13" s="1"/>
  <c r="C27" i="13"/>
  <c r="N26" i="13"/>
  <c r="M26" i="13"/>
  <c r="M25" i="13"/>
  <c r="N25" i="13" s="1"/>
  <c r="M24" i="13"/>
  <c r="N24" i="13" s="1"/>
  <c r="N23" i="13"/>
  <c r="M23" i="13"/>
  <c r="N22" i="13"/>
  <c r="M22" i="13"/>
  <c r="M21" i="13"/>
  <c r="N21" i="13" s="1"/>
  <c r="N20" i="13"/>
  <c r="M20" i="13"/>
  <c r="M19" i="13"/>
  <c r="N19" i="13" s="1"/>
  <c r="N18" i="13"/>
  <c r="M18" i="13"/>
  <c r="M17" i="13"/>
  <c r="N17" i="13" s="1"/>
  <c r="N16" i="13"/>
  <c r="M16" i="13"/>
  <c r="N15" i="13"/>
  <c r="M15" i="13"/>
  <c r="O14" i="13"/>
  <c r="N14" i="13"/>
  <c r="M14" i="13"/>
  <c r="M13" i="13"/>
  <c r="N13" i="13" s="1"/>
  <c r="C13" i="13"/>
  <c r="N12" i="13"/>
  <c r="M12" i="13"/>
  <c r="N11" i="13"/>
  <c r="M11" i="13"/>
  <c r="O10" i="13"/>
  <c r="M10" i="13"/>
  <c r="N10" i="13" s="1"/>
  <c r="N9" i="13"/>
  <c r="M9" i="13"/>
  <c r="M8" i="13"/>
  <c r="N8" i="13" s="1"/>
  <c r="C8" i="13" s="1"/>
  <c r="M7" i="13"/>
  <c r="L92" i="12"/>
  <c r="K92" i="12"/>
  <c r="J92" i="12"/>
  <c r="I92" i="12"/>
  <c r="H92" i="12"/>
  <c r="G92" i="12"/>
  <c r="F92" i="12"/>
  <c r="O91" i="12"/>
  <c r="N91" i="12"/>
  <c r="D95" i="14" s="1"/>
  <c r="M91" i="12"/>
  <c r="O90" i="12"/>
  <c r="N90" i="12"/>
  <c r="D94" i="14" s="1"/>
  <c r="M90" i="12"/>
  <c r="C90" i="12"/>
  <c r="O89" i="12"/>
  <c r="N89" i="12"/>
  <c r="C89" i="12" s="1"/>
  <c r="M89" i="12"/>
  <c r="M88" i="12"/>
  <c r="N88" i="12" s="1"/>
  <c r="O88" i="12" s="1"/>
  <c r="C88" i="12"/>
  <c r="N87" i="12"/>
  <c r="M87" i="12"/>
  <c r="C87" i="12"/>
  <c r="M86" i="12"/>
  <c r="N86" i="12" s="1"/>
  <c r="O85" i="12"/>
  <c r="N85" i="12"/>
  <c r="C85" i="12" s="1"/>
  <c r="M85" i="12"/>
  <c r="M84" i="12"/>
  <c r="N84" i="12" s="1"/>
  <c r="O84" i="12" s="1"/>
  <c r="C84" i="12"/>
  <c r="O83" i="12"/>
  <c r="N83" i="12"/>
  <c r="D87" i="14" s="1"/>
  <c r="M83" i="12"/>
  <c r="C83" i="12"/>
  <c r="M82" i="12"/>
  <c r="N82" i="12" s="1"/>
  <c r="N81" i="12"/>
  <c r="M81" i="12"/>
  <c r="N80" i="12"/>
  <c r="M80" i="12"/>
  <c r="N79" i="12"/>
  <c r="D83" i="14" s="1"/>
  <c r="M79" i="12"/>
  <c r="C79" i="12"/>
  <c r="N78" i="12"/>
  <c r="M78" i="12"/>
  <c r="C78" i="12"/>
  <c r="O77" i="12"/>
  <c r="N77" i="12"/>
  <c r="M77" i="12"/>
  <c r="M76" i="12"/>
  <c r="N76" i="12" s="1"/>
  <c r="N75" i="12"/>
  <c r="M75" i="12"/>
  <c r="O74" i="12"/>
  <c r="N74" i="12"/>
  <c r="M74" i="12"/>
  <c r="N73" i="12"/>
  <c r="M73" i="12"/>
  <c r="O72" i="12"/>
  <c r="N72" i="12"/>
  <c r="D76" i="14" s="1"/>
  <c r="M72" i="12"/>
  <c r="C72" i="12"/>
  <c r="N71" i="12"/>
  <c r="D75" i="14" s="1"/>
  <c r="F75" i="14" s="1"/>
  <c r="M71" i="12"/>
  <c r="C71" i="12"/>
  <c r="N70" i="12"/>
  <c r="M70" i="12"/>
  <c r="C70" i="12"/>
  <c r="O69" i="12"/>
  <c r="N69" i="12"/>
  <c r="C69" i="12" s="1"/>
  <c r="M69" i="12"/>
  <c r="N68" i="12"/>
  <c r="M68" i="12"/>
  <c r="O67" i="12"/>
  <c r="N67" i="12"/>
  <c r="D71" i="14" s="1"/>
  <c r="M67" i="12"/>
  <c r="C67" i="12"/>
  <c r="M66" i="12"/>
  <c r="N66" i="12" s="1"/>
  <c r="C66" i="12" s="1"/>
  <c r="N65" i="12"/>
  <c r="C65" i="12" s="1"/>
  <c r="M65" i="12"/>
  <c r="O64" i="12"/>
  <c r="M64" i="12"/>
  <c r="N64" i="12" s="1"/>
  <c r="N63" i="12"/>
  <c r="M63" i="12"/>
  <c r="N62" i="12"/>
  <c r="M62" i="12"/>
  <c r="N61" i="12"/>
  <c r="M61" i="12"/>
  <c r="O60" i="12"/>
  <c r="N60" i="12"/>
  <c r="M60" i="12"/>
  <c r="C60" i="12"/>
  <c r="O59" i="12"/>
  <c r="N59" i="12"/>
  <c r="C59" i="12" s="1"/>
  <c r="M59" i="12"/>
  <c r="M58" i="12"/>
  <c r="N58" i="12" s="1"/>
  <c r="N57" i="12"/>
  <c r="M57" i="12"/>
  <c r="M56" i="12"/>
  <c r="N56" i="12" s="1"/>
  <c r="C56" i="12" s="1"/>
  <c r="O55" i="12"/>
  <c r="N55" i="12"/>
  <c r="D59" i="14" s="1"/>
  <c r="M55" i="12"/>
  <c r="C55" i="12"/>
  <c r="M54" i="12"/>
  <c r="N54" i="12" s="1"/>
  <c r="N53" i="12"/>
  <c r="D57" i="14" s="1"/>
  <c r="M53" i="12"/>
  <c r="M52" i="12"/>
  <c r="N52" i="12" s="1"/>
  <c r="O52" i="12" s="1"/>
  <c r="C52" i="12"/>
  <c r="N51" i="12"/>
  <c r="M51" i="12"/>
  <c r="M50" i="12"/>
  <c r="N50" i="12" s="1"/>
  <c r="O49" i="12"/>
  <c r="N49" i="12"/>
  <c r="C49" i="12" s="1"/>
  <c r="M49" i="12"/>
  <c r="N48" i="12"/>
  <c r="M48" i="12"/>
  <c r="O47" i="12"/>
  <c r="N47" i="12"/>
  <c r="D51" i="14" s="1"/>
  <c r="M47" i="12"/>
  <c r="N46" i="12"/>
  <c r="M46" i="12"/>
  <c r="O45" i="12"/>
  <c r="N45" i="12"/>
  <c r="M45" i="12"/>
  <c r="O44" i="12"/>
  <c r="M44" i="12"/>
  <c r="N44" i="12" s="1"/>
  <c r="N43" i="12"/>
  <c r="M43" i="12"/>
  <c r="C43" i="12"/>
  <c r="M42" i="12"/>
  <c r="N42" i="12" s="1"/>
  <c r="N41" i="12"/>
  <c r="M41" i="12"/>
  <c r="N40" i="12"/>
  <c r="O40" i="12" s="1"/>
  <c r="M40" i="12"/>
  <c r="C40" i="12"/>
  <c r="N39" i="12"/>
  <c r="M39" i="12"/>
  <c r="O38" i="12"/>
  <c r="N38" i="12"/>
  <c r="M38" i="12"/>
  <c r="C38" i="12"/>
  <c r="N37" i="12"/>
  <c r="C37" i="12" s="1"/>
  <c r="M37" i="12"/>
  <c r="O36" i="12"/>
  <c r="M36" i="12"/>
  <c r="N36" i="12" s="1"/>
  <c r="C36" i="12"/>
  <c r="N35" i="12"/>
  <c r="M35" i="12"/>
  <c r="N34" i="12"/>
  <c r="M34" i="12"/>
  <c r="O33" i="12"/>
  <c r="N33" i="12"/>
  <c r="C33" i="12" s="1"/>
  <c r="M33" i="12"/>
  <c r="N32" i="12"/>
  <c r="M32" i="12"/>
  <c r="O31" i="12"/>
  <c r="N31" i="12"/>
  <c r="D35" i="14" s="1"/>
  <c r="M31" i="12"/>
  <c r="C31" i="12"/>
  <c r="M30" i="12"/>
  <c r="N30" i="12" s="1"/>
  <c r="N29" i="12"/>
  <c r="M29" i="12"/>
  <c r="M28" i="12"/>
  <c r="N28" i="12" s="1"/>
  <c r="O27" i="12"/>
  <c r="N27" i="12"/>
  <c r="D31" i="14" s="1"/>
  <c r="M27" i="12"/>
  <c r="C27" i="12"/>
  <c r="O26" i="12"/>
  <c r="N26" i="12"/>
  <c r="M26" i="12"/>
  <c r="O25" i="12"/>
  <c r="N25" i="12"/>
  <c r="C25" i="12" s="1"/>
  <c r="M25" i="12"/>
  <c r="M24" i="12"/>
  <c r="N24" i="12" s="1"/>
  <c r="N23" i="12"/>
  <c r="M23" i="12"/>
  <c r="C23" i="12"/>
  <c r="N22" i="12"/>
  <c r="M22" i="12"/>
  <c r="O21" i="12"/>
  <c r="N21" i="12"/>
  <c r="C21" i="12" s="1"/>
  <c r="M21" i="12"/>
  <c r="O20" i="12"/>
  <c r="M20" i="12"/>
  <c r="N20" i="12" s="1"/>
  <c r="C20" i="12"/>
  <c r="O19" i="12"/>
  <c r="N19" i="12"/>
  <c r="D23" i="14" s="1"/>
  <c r="M19" i="12"/>
  <c r="C19" i="12"/>
  <c r="M18" i="12"/>
  <c r="N18" i="12" s="1"/>
  <c r="N17" i="12"/>
  <c r="M17" i="12"/>
  <c r="N16" i="12"/>
  <c r="M16" i="12"/>
  <c r="N15" i="12"/>
  <c r="M15" i="12"/>
  <c r="N14" i="12"/>
  <c r="M14" i="12"/>
  <c r="O13" i="12"/>
  <c r="N13" i="12"/>
  <c r="M13" i="12"/>
  <c r="M12" i="12"/>
  <c r="N12" i="12" s="1"/>
  <c r="D16" i="14" s="1"/>
  <c r="N11" i="12"/>
  <c r="M11" i="12"/>
  <c r="N10" i="12"/>
  <c r="M10" i="12"/>
  <c r="N9" i="12"/>
  <c r="C9" i="12" s="1"/>
  <c r="M9" i="12"/>
  <c r="O8" i="12"/>
  <c r="N8" i="12"/>
  <c r="M8" i="12"/>
  <c r="C8" i="12"/>
  <c r="N7" i="12"/>
  <c r="O7" i="12" s="1"/>
  <c r="M7" i="12"/>
  <c r="C7" i="12"/>
  <c r="S21" i="11"/>
  <c r="T21" i="11" s="1"/>
  <c r="T20" i="11"/>
  <c r="S20" i="11"/>
  <c r="T18" i="11"/>
  <c r="S18" i="11"/>
  <c r="S17" i="11"/>
  <c r="T17" i="11" s="1"/>
  <c r="S16" i="11"/>
  <c r="T16" i="11" s="1"/>
  <c r="T14" i="11"/>
  <c r="S14" i="11"/>
  <c r="T13" i="11"/>
  <c r="S13" i="11"/>
  <c r="S12" i="11"/>
  <c r="T12" i="11" s="1"/>
  <c r="S10" i="11"/>
  <c r="T10" i="11" s="1"/>
  <c r="S9" i="11"/>
  <c r="T9" i="11" s="1"/>
  <c r="S8" i="11"/>
  <c r="T8" i="11" s="1"/>
  <c r="S7" i="11"/>
  <c r="T7" i="11" s="1"/>
  <c r="T23" i="10"/>
  <c r="S23" i="10"/>
  <c r="S22" i="10"/>
  <c r="T22" i="10" s="1"/>
  <c r="T20" i="10"/>
  <c r="S20" i="10"/>
  <c r="S19" i="10"/>
  <c r="T19" i="10" s="1"/>
  <c r="S18" i="10"/>
  <c r="T18" i="10" s="1"/>
  <c r="T17" i="10"/>
  <c r="S17" i="10"/>
  <c r="S15" i="10"/>
  <c r="T15" i="10" s="1"/>
  <c r="S14" i="10"/>
  <c r="T14" i="10" s="1"/>
  <c r="T13" i="10"/>
  <c r="S13" i="10"/>
  <c r="S12" i="10"/>
  <c r="T12" i="10" s="1"/>
  <c r="S10" i="10"/>
  <c r="T10" i="10" s="1"/>
  <c r="S9" i="10"/>
  <c r="T9" i="10" s="1"/>
  <c r="S8" i="10"/>
  <c r="T8" i="10" s="1"/>
  <c r="S7" i="10"/>
  <c r="T7" i="10" s="1"/>
  <c r="T18" i="9"/>
  <c r="S18" i="9"/>
  <c r="S17" i="9"/>
  <c r="T17" i="9" s="1"/>
  <c r="S16" i="9"/>
  <c r="T16" i="9" s="1"/>
  <c r="T14" i="9"/>
  <c r="S14" i="9"/>
  <c r="S13" i="9"/>
  <c r="T13" i="9" s="1"/>
  <c r="S12" i="9"/>
  <c r="T12" i="9" s="1"/>
  <c r="T10" i="9"/>
  <c r="S10" i="9"/>
  <c r="S9" i="9"/>
  <c r="T9" i="9" s="1"/>
  <c r="S8" i="9"/>
  <c r="T8" i="9" s="1"/>
  <c r="S7" i="9"/>
  <c r="T7" i="9" s="1"/>
  <c r="T29" i="7"/>
  <c r="S29" i="7"/>
  <c r="R29" i="7"/>
  <c r="Q29" i="7"/>
  <c r="T26" i="7"/>
  <c r="S26" i="7"/>
  <c r="Q26" i="7"/>
  <c r="T24" i="7"/>
  <c r="S24" i="7"/>
  <c r="R24" i="7"/>
  <c r="Q24" i="7"/>
  <c r="R26" i="7" s="1"/>
  <c r="T22" i="7"/>
  <c r="Q22" i="7"/>
  <c r="T21" i="7"/>
  <c r="Q21" i="7"/>
  <c r="T20" i="7"/>
  <c r="S20" i="7"/>
  <c r="R20" i="7"/>
  <c r="Q20" i="7"/>
  <c r="T19" i="7"/>
  <c r="S19" i="7"/>
  <c r="R19" i="7"/>
  <c r="Q19" i="7"/>
  <c r="T17" i="7"/>
  <c r="Q17" i="7"/>
  <c r="T15" i="7"/>
  <c r="S15" i="7"/>
  <c r="Q15" i="7"/>
  <c r="T13" i="7"/>
  <c r="S13" i="7"/>
  <c r="R13" i="7"/>
  <c r="Q13" i="7"/>
  <c r="T10" i="7"/>
  <c r="R10" i="7"/>
  <c r="Q10" i="7"/>
  <c r="S10" i="7" s="1"/>
  <c r="T9" i="7"/>
  <c r="S9" i="7"/>
  <c r="R9" i="7"/>
  <c r="Q9" i="7"/>
  <c r="T8" i="7"/>
  <c r="R8" i="7"/>
  <c r="Q8" i="7"/>
  <c r="S8" i="7" s="1"/>
  <c r="T7" i="7"/>
  <c r="S7" i="7"/>
  <c r="R7" i="7"/>
  <c r="Q7" i="7"/>
  <c r="AG61" i="6"/>
  <c r="AF61" i="6"/>
  <c r="AE61" i="6"/>
  <c r="AD61" i="6"/>
  <c r="AC61" i="6"/>
  <c r="AB61" i="6"/>
  <c r="AA61" i="6"/>
  <c r="Z61" i="6"/>
  <c r="Y61" i="6"/>
  <c r="X61" i="6"/>
  <c r="W61" i="6"/>
  <c r="V61" i="6"/>
  <c r="U61" i="6"/>
  <c r="T61" i="6"/>
  <c r="S61" i="6"/>
  <c r="R61" i="6"/>
  <c r="Q61" i="6"/>
  <c r="P61" i="6"/>
  <c r="O61" i="6"/>
  <c r="N61" i="6"/>
  <c r="M61" i="6"/>
  <c r="L61" i="6"/>
  <c r="K61" i="6"/>
  <c r="J61" i="6"/>
  <c r="I61" i="6"/>
  <c r="H61" i="6"/>
  <c r="G61" i="6"/>
  <c r="F61" i="6"/>
  <c r="E61" i="6"/>
  <c r="D61" i="6"/>
  <c r="G10" i="5"/>
  <c r="BD91" i="4"/>
  <c r="BC91" i="4"/>
  <c r="BA91" i="4"/>
  <c r="AY91" i="4"/>
  <c r="AX91" i="4"/>
  <c r="AW91" i="4"/>
  <c r="AV91" i="4"/>
  <c r="AU91" i="4"/>
  <c r="AS91" i="4"/>
  <c r="AQ91" i="4"/>
  <c r="AP91" i="4"/>
  <c r="AN91" i="4"/>
  <c r="AL91" i="4"/>
  <c r="AH91" i="4"/>
  <c r="AF91" i="4"/>
  <c r="AE91" i="4"/>
  <c r="X91" i="4"/>
  <c r="W91" i="4"/>
  <c r="U91" i="4"/>
  <c r="Q91" i="4"/>
  <c r="O91" i="4"/>
  <c r="N91" i="4"/>
  <c r="M91" i="4"/>
  <c r="L91" i="4"/>
  <c r="K91" i="4"/>
  <c r="J91" i="4"/>
  <c r="H91" i="4"/>
  <c r="G91" i="4"/>
  <c r="F91" i="4"/>
  <c r="E91" i="4"/>
  <c r="D91" i="4"/>
  <c r="C91" i="4"/>
  <c r="I91" i="4" s="1"/>
  <c r="B91" i="4"/>
  <c r="BE90" i="4"/>
  <c r="AW90" i="4"/>
  <c r="AS90" i="4"/>
  <c r="AG90" i="4"/>
  <c r="AE90" i="4"/>
  <c r="X90" i="4"/>
  <c r="V90" i="4"/>
  <c r="T90" i="4"/>
  <c r="R90" i="4"/>
  <c r="Q90" i="4"/>
  <c r="O90" i="4"/>
  <c r="N90" i="4"/>
  <c r="M90" i="4"/>
  <c r="L90" i="4"/>
  <c r="K90" i="4"/>
  <c r="J90" i="4"/>
  <c r="I90" i="4"/>
  <c r="H90" i="4"/>
  <c r="G90" i="4"/>
  <c r="F90" i="4"/>
  <c r="E90" i="4"/>
  <c r="D90" i="4"/>
  <c r="C90" i="4"/>
  <c r="B90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BF89" i="4" s="1"/>
  <c r="AS89" i="4"/>
  <c r="AL89" i="4"/>
  <c r="AE89" i="4"/>
  <c r="AB89" i="4"/>
  <c r="AA89" i="4"/>
  <c r="AD89" i="4" s="1"/>
  <c r="Z89" i="4"/>
  <c r="Y89" i="4"/>
  <c r="X89" i="4"/>
  <c r="W89" i="4"/>
  <c r="V89" i="4"/>
  <c r="U89" i="4"/>
  <c r="T89" i="4"/>
  <c r="S89" i="4"/>
  <c r="R89" i="4"/>
  <c r="Q89" i="4"/>
  <c r="AC89" i="4" s="1"/>
  <c r="D89" i="4"/>
  <c r="C89" i="4"/>
  <c r="B89" i="4"/>
  <c r="BA88" i="4"/>
  <c r="AY88" i="4"/>
  <c r="AW88" i="4"/>
  <c r="AS88" i="4"/>
  <c r="AL88" i="4"/>
  <c r="AF88" i="4"/>
  <c r="AE88" i="4"/>
  <c r="AC88" i="4"/>
  <c r="AB88" i="4"/>
  <c r="AA88" i="4"/>
  <c r="Y88" i="4"/>
  <c r="V88" i="4"/>
  <c r="U88" i="4"/>
  <c r="T88" i="4"/>
  <c r="S88" i="4"/>
  <c r="R88" i="4"/>
  <c r="Q88" i="4"/>
  <c r="O88" i="4"/>
  <c r="N88" i="4"/>
  <c r="M88" i="4"/>
  <c r="L88" i="4"/>
  <c r="K88" i="4"/>
  <c r="J88" i="4"/>
  <c r="H88" i="4"/>
  <c r="D88" i="4"/>
  <c r="C88" i="4"/>
  <c r="B88" i="4"/>
  <c r="AZ87" i="4"/>
  <c r="AV87" i="4"/>
  <c r="AT87" i="4"/>
  <c r="AS87" i="4"/>
  <c r="AQ87" i="4"/>
  <c r="AP87" i="4"/>
  <c r="AO87" i="4"/>
  <c r="AN87" i="4"/>
  <c r="AI87" i="4"/>
  <c r="AE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F87" i="4"/>
  <c r="D87" i="4"/>
  <c r="C87" i="4"/>
  <c r="B87" i="4"/>
  <c r="AV86" i="4"/>
  <c r="AS86" i="4"/>
  <c r="AF86" i="4"/>
  <c r="AE86" i="4"/>
  <c r="AC86" i="4"/>
  <c r="AB86" i="4"/>
  <c r="Z86" i="4"/>
  <c r="Y86" i="4"/>
  <c r="X86" i="4"/>
  <c r="V86" i="4"/>
  <c r="T86" i="4"/>
  <c r="S86" i="4"/>
  <c r="R86" i="4"/>
  <c r="Q86" i="4"/>
  <c r="C86" i="4"/>
  <c r="J86" i="4" s="1"/>
  <c r="B86" i="4"/>
  <c r="BE85" i="4"/>
  <c r="BD85" i="4"/>
  <c r="BC85" i="4"/>
  <c r="BB85" i="4"/>
  <c r="AZ85" i="4"/>
  <c r="AY85" i="4"/>
  <c r="AX85" i="4"/>
  <c r="AW85" i="4"/>
  <c r="AV85" i="4"/>
  <c r="AU85" i="4"/>
  <c r="AT85" i="4"/>
  <c r="BF85" i="4" s="1"/>
  <c r="AS85" i="4"/>
  <c r="BA85" i="4" s="1"/>
  <c r="AP85" i="4"/>
  <c r="AO85" i="4"/>
  <c r="AI85" i="4"/>
  <c r="AH85" i="4"/>
  <c r="AG85" i="4"/>
  <c r="AF85" i="4"/>
  <c r="AE85" i="4"/>
  <c r="AC85" i="4"/>
  <c r="AA85" i="4"/>
  <c r="Z85" i="4"/>
  <c r="Y85" i="4"/>
  <c r="X85" i="4"/>
  <c r="V85" i="4"/>
  <c r="Q85" i="4"/>
  <c r="O85" i="4"/>
  <c r="N85" i="4"/>
  <c r="J85" i="4"/>
  <c r="G85" i="4"/>
  <c r="D85" i="4"/>
  <c r="C85" i="4"/>
  <c r="B85" i="4"/>
  <c r="BA84" i="4"/>
  <c r="AX84" i="4"/>
  <c r="AW84" i="4"/>
  <c r="AV84" i="4"/>
  <c r="AT84" i="4"/>
  <c r="AS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U84" i="4"/>
  <c r="Q84" i="4"/>
  <c r="C84" i="4"/>
  <c r="B84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BE83" i="4" s="1"/>
  <c r="AI83" i="4"/>
  <c r="AF83" i="4"/>
  <c r="AE83" i="4"/>
  <c r="Z83" i="4"/>
  <c r="Y83" i="4"/>
  <c r="S83" i="4"/>
  <c r="Q83" i="4"/>
  <c r="C83" i="4"/>
  <c r="B83" i="4"/>
  <c r="BE82" i="4"/>
  <c r="BC82" i="4"/>
  <c r="AW82" i="4"/>
  <c r="AU82" i="4"/>
  <c r="AT82" i="4"/>
  <c r="AS82" i="4"/>
  <c r="AE82" i="4"/>
  <c r="AG82" i="4" s="1"/>
  <c r="AC82" i="4"/>
  <c r="AB82" i="4"/>
  <c r="AA82" i="4"/>
  <c r="Z82" i="4"/>
  <c r="Y82" i="4"/>
  <c r="X82" i="4"/>
  <c r="W82" i="4"/>
  <c r="V82" i="4"/>
  <c r="T82" i="4"/>
  <c r="S82" i="4"/>
  <c r="R82" i="4"/>
  <c r="Q82" i="4"/>
  <c r="U82" i="4" s="1"/>
  <c r="O82" i="4"/>
  <c r="N82" i="4"/>
  <c r="L82" i="4"/>
  <c r="G82" i="4"/>
  <c r="F82" i="4"/>
  <c r="C82" i="4"/>
  <c r="B82" i="4"/>
  <c r="BB81" i="4"/>
  <c r="AY81" i="4"/>
  <c r="AW81" i="4"/>
  <c r="AS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R81" i="4" s="1"/>
  <c r="AE81" i="4"/>
  <c r="AC81" i="4"/>
  <c r="X81" i="4"/>
  <c r="W81" i="4"/>
  <c r="U81" i="4"/>
  <c r="T81" i="4"/>
  <c r="R81" i="4"/>
  <c r="Q81" i="4"/>
  <c r="N81" i="4"/>
  <c r="L81" i="4"/>
  <c r="K81" i="4"/>
  <c r="G81" i="4"/>
  <c r="F81" i="4"/>
  <c r="D81" i="4"/>
  <c r="C81" i="4"/>
  <c r="B81" i="4"/>
  <c r="BD80" i="4"/>
  <c r="BC80" i="4"/>
  <c r="BB80" i="4"/>
  <c r="AZ80" i="4"/>
  <c r="AT80" i="4"/>
  <c r="AS80" i="4"/>
  <c r="AQ80" i="4"/>
  <c r="AP80" i="4"/>
  <c r="AO80" i="4"/>
  <c r="AN80" i="4"/>
  <c r="AM80" i="4"/>
  <c r="AL80" i="4"/>
  <c r="AK80" i="4"/>
  <c r="AJ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B80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P79" i="4"/>
  <c r="AO79" i="4"/>
  <c r="AM79" i="4"/>
  <c r="AK79" i="4"/>
  <c r="AI79" i="4"/>
  <c r="AH79" i="4"/>
  <c r="AG79" i="4"/>
  <c r="AF79" i="4"/>
  <c r="AE79" i="4"/>
  <c r="Z79" i="4"/>
  <c r="Y79" i="4"/>
  <c r="X79" i="4"/>
  <c r="W79" i="4"/>
  <c r="V79" i="4"/>
  <c r="U79" i="4"/>
  <c r="T79" i="4"/>
  <c r="R79" i="4"/>
  <c r="Q79" i="4"/>
  <c r="C79" i="4"/>
  <c r="B79" i="4"/>
  <c r="BE78" i="4"/>
  <c r="AY78" i="4"/>
  <c r="AX78" i="4"/>
  <c r="AW78" i="4"/>
  <c r="AV78" i="4"/>
  <c r="AU78" i="4"/>
  <c r="AT78" i="4"/>
  <c r="AS78" i="4"/>
  <c r="AQ78" i="4"/>
  <c r="AP78" i="4"/>
  <c r="AN78" i="4"/>
  <c r="AI78" i="4"/>
  <c r="AG78" i="4"/>
  <c r="AF78" i="4"/>
  <c r="AE78" i="4"/>
  <c r="AC78" i="4"/>
  <c r="AB78" i="4"/>
  <c r="AA78" i="4"/>
  <c r="Z78" i="4"/>
  <c r="Y78" i="4"/>
  <c r="X78" i="4"/>
  <c r="T78" i="4"/>
  <c r="S78" i="4"/>
  <c r="R78" i="4"/>
  <c r="Q78" i="4"/>
  <c r="I78" i="4"/>
  <c r="C78" i="4"/>
  <c r="B78" i="4"/>
  <c r="BE77" i="4"/>
  <c r="BC77" i="4"/>
  <c r="AZ77" i="4"/>
  <c r="AY77" i="4"/>
  <c r="AX77" i="4"/>
  <c r="AT77" i="4"/>
  <c r="AS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N77" i="4"/>
  <c r="M77" i="4"/>
  <c r="L77" i="4"/>
  <c r="K77" i="4"/>
  <c r="J77" i="4"/>
  <c r="I77" i="4"/>
  <c r="H77" i="4"/>
  <c r="G77" i="4"/>
  <c r="F77" i="4"/>
  <c r="E77" i="4"/>
  <c r="D77" i="4"/>
  <c r="P77" i="4" s="1"/>
  <c r="C77" i="4"/>
  <c r="O77" i="4" s="1"/>
  <c r="B77" i="4"/>
  <c r="BC76" i="4"/>
  <c r="BA76" i="4"/>
  <c r="AY76" i="4"/>
  <c r="AS76" i="4"/>
  <c r="AN76" i="4"/>
  <c r="AL76" i="4"/>
  <c r="AJ76" i="4"/>
  <c r="AI76" i="4"/>
  <c r="AH76" i="4"/>
  <c r="AF76" i="4"/>
  <c r="AE76" i="4"/>
  <c r="X76" i="4"/>
  <c r="Q76" i="4"/>
  <c r="O76" i="4"/>
  <c r="N76" i="4"/>
  <c r="M76" i="4"/>
  <c r="H76" i="4"/>
  <c r="F76" i="4"/>
  <c r="E76" i="4"/>
  <c r="C76" i="4"/>
  <c r="B76" i="4"/>
  <c r="AV75" i="4"/>
  <c r="AS75" i="4"/>
  <c r="AQ75" i="4"/>
  <c r="AP75" i="4"/>
  <c r="AM75" i="4"/>
  <c r="AH75" i="4"/>
  <c r="AG75" i="4"/>
  <c r="AF75" i="4"/>
  <c r="AE75" i="4"/>
  <c r="AC75" i="4"/>
  <c r="V75" i="4"/>
  <c r="Q75" i="4"/>
  <c r="O75" i="4"/>
  <c r="N75" i="4"/>
  <c r="M75" i="4"/>
  <c r="L75" i="4"/>
  <c r="K75" i="4"/>
  <c r="J75" i="4"/>
  <c r="I75" i="4"/>
  <c r="H75" i="4"/>
  <c r="G75" i="4"/>
  <c r="F75" i="4"/>
  <c r="P75" i="4" s="1"/>
  <c r="E75" i="4"/>
  <c r="D75" i="4"/>
  <c r="C75" i="4"/>
  <c r="B75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B74" i="4"/>
  <c r="R74" i="4"/>
  <c r="Q74" i="4"/>
  <c r="L74" i="4"/>
  <c r="K74" i="4"/>
  <c r="J74" i="4"/>
  <c r="I74" i="4"/>
  <c r="H74" i="4"/>
  <c r="F74" i="4"/>
  <c r="D74" i="4"/>
  <c r="C74" i="4"/>
  <c r="B74" i="4"/>
  <c r="AX73" i="4"/>
  <c r="AU73" i="4"/>
  <c r="AS73" i="4"/>
  <c r="AQ73" i="4"/>
  <c r="AP73" i="4"/>
  <c r="AL73" i="4"/>
  <c r="AE73" i="4"/>
  <c r="Q73" i="4"/>
  <c r="O73" i="4"/>
  <c r="N73" i="4"/>
  <c r="M73" i="4"/>
  <c r="L73" i="4"/>
  <c r="K73" i="4"/>
  <c r="J73" i="4"/>
  <c r="F73" i="4"/>
  <c r="D73" i="4"/>
  <c r="C73" i="4"/>
  <c r="B73" i="4"/>
  <c r="BC72" i="4"/>
  <c r="AS72" i="4"/>
  <c r="AO72" i="4"/>
  <c r="AM72" i="4"/>
  <c r="AE72" i="4"/>
  <c r="AC72" i="4"/>
  <c r="AB72" i="4"/>
  <c r="AA72" i="4"/>
  <c r="Z72" i="4"/>
  <c r="Y72" i="4"/>
  <c r="X72" i="4"/>
  <c r="W72" i="4"/>
  <c r="V72" i="4"/>
  <c r="U72" i="4"/>
  <c r="T72" i="4"/>
  <c r="AD72" i="4" s="1"/>
  <c r="S72" i="4"/>
  <c r="R72" i="4"/>
  <c r="Q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P71" i="4"/>
  <c r="AO71" i="4"/>
  <c r="AN71" i="4"/>
  <c r="AM71" i="4"/>
  <c r="AL71" i="4"/>
  <c r="AJ71" i="4"/>
  <c r="AI71" i="4"/>
  <c r="AH71" i="4"/>
  <c r="AG71" i="4"/>
  <c r="AE71" i="4"/>
  <c r="Z71" i="4"/>
  <c r="Y71" i="4"/>
  <c r="X71" i="4"/>
  <c r="W71" i="4"/>
  <c r="V71" i="4"/>
  <c r="U71" i="4"/>
  <c r="T71" i="4"/>
  <c r="R71" i="4"/>
  <c r="Q71" i="4"/>
  <c r="C71" i="4"/>
  <c r="E71" i="4" s="1"/>
  <c r="B71" i="4"/>
  <c r="BE70" i="4"/>
  <c r="BD70" i="4"/>
  <c r="BC70" i="4"/>
  <c r="BB70" i="4"/>
  <c r="AX70" i="4"/>
  <c r="AV70" i="4"/>
  <c r="AU70" i="4"/>
  <c r="AT70" i="4"/>
  <c r="AS70" i="4"/>
  <c r="AQ70" i="4"/>
  <c r="AP70" i="4"/>
  <c r="AO70" i="4"/>
  <c r="AN70" i="4"/>
  <c r="AM70" i="4"/>
  <c r="AL70" i="4"/>
  <c r="AJ70" i="4"/>
  <c r="AI70" i="4"/>
  <c r="AG70" i="4"/>
  <c r="AE70" i="4"/>
  <c r="AC70" i="4"/>
  <c r="AB70" i="4"/>
  <c r="AA70" i="4"/>
  <c r="Z70" i="4"/>
  <c r="Y70" i="4"/>
  <c r="X70" i="4"/>
  <c r="W70" i="4"/>
  <c r="V70" i="4"/>
  <c r="T70" i="4"/>
  <c r="S70" i="4"/>
  <c r="R70" i="4"/>
  <c r="Q70" i="4"/>
  <c r="U70" i="4" s="1"/>
  <c r="N70" i="4"/>
  <c r="L70" i="4"/>
  <c r="D70" i="4"/>
  <c r="C70" i="4"/>
  <c r="B70" i="4"/>
  <c r="AS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C69" i="4"/>
  <c r="AB69" i="4"/>
  <c r="AA69" i="4"/>
  <c r="Z69" i="4"/>
  <c r="X69" i="4"/>
  <c r="V69" i="4"/>
  <c r="U69" i="4"/>
  <c r="T69" i="4"/>
  <c r="S69" i="4"/>
  <c r="R69" i="4"/>
  <c r="Q69" i="4"/>
  <c r="M69" i="4"/>
  <c r="L69" i="4"/>
  <c r="J69" i="4"/>
  <c r="I69" i="4"/>
  <c r="G69" i="4"/>
  <c r="E69" i="4"/>
  <c r="C69" i="4"/>
  <c r="B69" i="4"/>
  <c r="AT68" i="4"/>
  <c r="AS68" i="4"/>
  <c r="AQ68" i="4"/>
  <c r="AP68" i="4"/>
  <c r="AN68" i="4"/>
  <c r="AG68" i="4"/>
  <c r="AE68" i="4"/>
  <c r="AC68" i="4"/>
  <c r="AB68" i="4"/>
  <c r="AA68" i="4"/>
  <c r="Z68" i="4"/>
  <c r="X68" i="4"/>
  <c r="W68" i="4"/>
  <c r="V68" i="4"/>
  <c r="U68" i="4"/>
  <c r="T68" i="4"/>
  <c r="S68" i="4"/>
  <c r="R68" i="4"/>
  <c r="Q68" i="4"/>
  <c r="Y68" i="4" s="1"/>
  <c r="K68" i="4"/>
  <c r="G68" i="4"/>
  <c r="F68" i="4"/>
  <c r="D68" i="4"/>
  <c r="C68" i="4"/>
  <c r="B68" i="4"/>
  <c r="AS67" i="4"/>
  <c r="AL67" i="4"/>
  <c r="AG67" i="4"/>
  <c r="AE67" i="4"/>
  <c r="AB67" i="4"/>
  <c r="W67" i="4"/>
  <c r="U67" i="4"/>
  <c r="Q67" i="4"/>
  <c r="O67" i="4"/>
  <c r="N67" i="4"/>
  <c r="M67" i="4"/>
  <c r="L67" i="4"/>
  <c r="K67" i="4"/>
  <c r="J67" i="4"/>
  <c r="I67" i="4"/>
  <c r="H67" i="4"/>
  <c r="G67" i="4"/>
  <c r="F67" i="4"/>
  <c r="E67" i="4"/>
  <c r="D67" i="4"/>
  <c r="P67" i="4" s="1"/>
  <c r="C67" i="4"/>
  <c r="B67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Q66" i="4"/>
  <c r="AP66" i="4"/>
  <c r="AO66" i="4"/>
  <c r="AN66" i="4"/>
  <c r="AM66" i="4"/>
  <c r="AL66" i="4"/>
  <c r="AK66" i="4"/>
  <c r="AJ66" i="4"/>
  <c r="AI66" i="4"/>
  <c r="AR66" i="4" s="1"/>
  <c r="AH66" i="4"/>
  <c r="AG66" i="4"/>
  <c r="AF66" i="4"/>
  <c r="AE66" i="4"/>
  <c r="Q66" i="4"/>
  <c r="AA66" i="4" s="1"/>
  <c r="O66" i="4"/>
  <c r="F66" i="4"/>
  <c r="E66" i="4"/>
  <c r="C66" i="4"/>
  <c r="B66" i="4"/>
  <c r="BD65" i="4"/>
  <c r="BA65" i="4"/>
  <c r="AY65" i="4"/>
  <c r="AX65" i="4"/>
  <c r="AW65" i="4"/>
  <c r="AV65" i="4"/>
  <c r="AT65" i="4"/>
  <c r="AS65" i="4"/>
  <c r="AP65" i="4"/>
  <c r="AF65" i="4"/>
  <c r="AE65" i="4"/>
  <c r="AC65" i="4"/>
  <c r="AB65" i="4"/>
  <c r="AA65" i="4"/>
  <c r="Z65" i="4"/>
  <c r="V65" i="4"/>
  <c r="S65" i="4"/>
  <c r="Q65" i="4"/>
  <c r="O65" i="4"/>
  <c r="N65" i="4"/>
  <c r="M65" i="4"/>
  <c r="L65" i="4"/>
  <c r="K65" i="4"/>
  <c r="J65" i="4"/>
  <c r="I65" i="4"/>
  <c r="H65" i="4"/>
  <c r="F65" i="4"/>
  <c r="E65" i="4"/>
  <c r="D65" i="4"/>
  <c r="C65" i="4"/>
  <c r="G65" i="4" s="1"/>
  <c r="B65" i="4"/>
  <c r="BB64" i="4"/>
  <c r="AZ64" i="4"/>
  <c r="AY64" i="4"/>
  <c r="AX64" i="4"/>
  <c r="AV64" i="4"/>
  <c r="AT64" i="4"/>
  <c r="AS64" i="4"/>
  <c r="AO64" i="4"/>
  <c r="AM64" i="4"/>
  <c r="AL64" i="4"/>
  <c r="AE64" i="4"/>
  <c r="AC64" i="4"/>
  <c r="AB64" i="4"/>
  <c r="AA64" i="4"/>
  <c r="Z64" i="4"/>
  <c r="Y64" i="4"/>
  <c r="X64" i="4"/>
  <c r="W64" i="4"/>
  <c r="V64" i="4"/>
  <c r="U64" i="4"/>
  <c r="AD64" i="4" s="1"/>
  <c r="T64" i="4"/>
  <c r="S64" i="4"/>
  <c r="R64" i="4"/>
  <c r="Q64" i="4"/>
  <c r="O64" i="4"/>
  <c r="D64" i="4"/>
  <c r="C64" i="4"/>
  <c r="B64" i="4"/>
  <c r="BE63" i="4"/>
  <c r="AY63" i="4"/>
  <c r="AW63" i="4"/>
  <c r="AS63" i="4"/>
  <c r="AP63" i="4"/>
  <c r="AO63" i="4"/>
  <c r="AM63" i="4"/>
  <c r="AL63" i="4"/>
  <c r="AK63" i="4"/>
  <c r="AJ63" i="4"/>
  <c r="AH63" i="4"/>
  <c r="AE63" i="4"/>
  <c r="AB63" i="4"/>
  <c r="Y63" i="4"/>
  <c r="W63" i="4"/>
  <c r="V63" i="4"/>
  <c r="T63" i="4"/>
  <c r="Q63" i="4"/>
  <c r="E63" i="4"/>
  <c r="C63" i="4"/>
  <c r="B63" i="4"/>
  <c r="BA62" i="4"/>
  <c r="AZ62" i="4"/>
  <c r="AY62" i="4"/>
  <c r="AW62" i="4"/>
  <c r="AS62" i="4"/>
  <c r="AK62" i="4"/>
  <c r="AJ62" i="4"/>
  <c r="AE62" i="4"/>
  <c r="Q62" i="4"/>
  <c r="C62" i="4"/>
  <c r="I62" i="4" s="1"/>
  <c r="B62" i="4"/>
  <c r="BD61" i="4"/>
  <c r="BC61" i="4"/>
  <c r="BB61" i="4"/>
  <c r="BA61" i="4"/>
  <c r="AX61" i="4"/>
  <c r="AW61" i="4"/>
  <c r="AV61" i="4"/>
  <c r="AT61" i="4"/>
  <c r="AS61" i="4"/>
  <c r="AQ61" i="4"/>
  <c r="AP61" i="4"/>
  <c r="AO61" i="4"/>
  <c r="AM61" i="4"/>
  <c r="AL61" i="4"/>
  <c r="AK61" i="4"/>
  <c r="AI61" i="4"/>
  <c r="AG61" i="4"/>
  <c r="AF61" i="4"/>
  <c r="AE61" i="4"/>
  <c r="Q61" i="4"/>
  <c r="O61" i="4"/>
  <c r="N61" i="4"/>
  <c r="M61" i="4"/>
  <c r="L61" i="4"/>
  <c r="K61" i="4"/>
  <c r="E61" i="4"/>
  <c r="C61" i="4"/>
  <c r="B61" i="4"/>
  <c r="BA60" i="4"/>
  <c r="AT60" i="4"/>
  <c r="AS60" i="4"/>
  <c r="AQ60" i="4"/>
  <c r="AP60" i="4"/>
  <c r="AO60" i="4"/>
  <c r="AN60" i="4"/>
  <c r="AM60" i="4"/>
  <c r="AL60" i="4"/>
  <c r="AK60" i="4"/>
  <c r="AJ60" i="4"/>
  <c r="AI60" i="4"/>
  <c r="AF60" i="4"/>
  <c r="AE60" i="4"/>
  <c r="AG60" i="4" s="1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M60" i="4"/>
  <c r="L60" i="4"/>
  <c r="K60" i="4"/>
  <c r="J60" i="4"/>
  <c r="I60" i="4"/>
  <c r="H60" i="4"/>
  <c r="G60" i="4"/>
  <c r="F60" i="4"/>
  <c r="E60" i="4"/>
  <c r="D60" i="4"/>
  <c r="C60" i="4"/>
  <c r="B60" i="4"/>
  <c r="AZ59" i="4"/>
  <c r="AT59" i="4"/>
  <c r="AS59" i="4"/>
  <c r="AE59" i="4"/>
  <c r="AK59" i="4" s="1"/>
  <c r="AC59" i="4"/>
  <c r="AB59" i="4"/>
  <c r="Z59" i="4"/>
  <c r="Y59" i="4"/>
  <c r="T59" i="4"/>
  <c r="R59" i="4"/>
  <c r="Q59" i="4"/>
  <c r="C59" i="4"/>
  <c r="B59" i="4"/>
  <c r="BE58" i="4"/>
  <c r="BD58" i="4"/>
  <c r="BC58" i="4"/>
  <c r="BB58" i="4"/>
  <c r="AZ58" i="4"/>
  <c r="AY58" i="4"/>
  <c r="AX58" i="4"/>
  <c r="AW58" i="4"/>
  <c r="AU58" i="4"/>
  <c r="AS58" i="4"/>
  <c r="BA58" i="4" s="1"/>
  <c r="AQ58" i="4"/>
  <c r="AP58" i="4"/>
  <c r="AO58" i="4"/>
  <c r="AN58" i="4"/>
  <c r="AM58" i="4"/>
  <c r="AL58" i="4"/>
  <c r="AJ58" i="4"/>
  <c r="AI58" i="4"/>
  <c r="AH58" i="4"/>
  <c r="AG58" i="4"/>
  <c r="AF58" i="4"/>
  <c r="AR58" i="4" s="1"/>
  <c r="AE58" i="4"/>
  <c r="AK58" i="4" s="1"/>
  <c r="Q58" i="4"/>
  <c r="O58" i="4"/>
  <c r="J58" i="4"/>
  <c r="C58" i="4"/>
  <c r="B58" i="4"/>
  <c r="BE57" i="4"/>
  <c r="AZ57" i="4"/>
  <c r="AY57" i="4"/>
  <c r="AX57" i="4"/>
  <c r="AW57" i="4"/>
  <c r="AV57" i="4"/>
  <c r="AU57" i="4"/>
  <c r="AT57" i="4"/>
  <c r="AS57" i="4"/>
  <c r="AO57" i="4"/>
  <c r="AE57" i="4"/>
  <c r="AH57" i="4" s="1"/>
  <c r="Q57" i="4"/>
  <c r="J57" i="4"/>
  <c r="D57" i="4"/>
  <c r="C57" i="4"/>
  <c r="B57" i="4"/>
  <c r="BC56" i="4"/>
  <c r="AS56" i="4"/>
  <c r="AQ56" i="4"/>
  <c r="AP56" i="4"/>
  <c r="AO56" i="4"/>
  <c r="AN56" i="4"/>
  <c r="AM56" i="4"/>
  <c r="AL56" i="4"/>
  <c r="AK56" i="4"/>
  <c r="AJ56" i="4"/>
  <c r="AI56" i="4"/>
  <c r="AG56" i="4"/>
  <c r="AE56" i="4"/>
  <c r="AH56" i="4" s="1"/>
  <c r="AC56" i="4"/>
  <c r="AB56" i="4"/>
  <c r="AA56" i="4"/>
  <c r="Z56" i="4"/>
  <c r="Y56" i="4"/>
  <c r="X56" i="4"/>
  <c r="W56" i="4"/>
  <c r="V56" i="4"/>
  <c r="U56" i="4"/>
  <c r="T56" i="4"/>
  <c r="S56" i="4"/>
  <c r="Q56" i="4"/>
  <c r="R56" i="4" s="1"/>
  <c r="C56" i="4"/>
  <c r="E56" i="4" s="1"/>
  <c r="B56" i="4"/>
  <c r="BA55" i="4"/>
  <c r="AY55" i="4"/>
  <c r="AX55" i="4"/>
  <c r="AW55" i="4"/>
  <c r="AV55" i="4"/>
  <c r="AU55" i="4"/>
  <c r="AS55" i="4"/>
  <c r="AE55" i="4"/>
  <c r="AC55" i="4"/>
  <c r="X55" i="4"/>
  <c r="W55" i="4"/>
  <c r="V55" i="4"/>
  <c r="U55" i="4"/>
  <c r="T55" i="4"/>
  <c r="S55" i="4"/>
  <c r="R55" i="4"/>
  <c r="Q55" i="4"/>
  <c r="C55" i="4"/>
  <c r="B55" i="4"/>
  <c r="AS54" i="4"/>
  <c r="AU54" i="4" s="1"/>
  <c r="AQ54" i="4"/>
  <c r="AP54" i="4"/>
  <c r="AO54" i="4"/>
  <c r="AN54" i="4"/>
  <c r="AM54" i="4"/>
  <c r="AH54" i="4"/>
  <c r="AG54" i="4"/>
  <c r="AF54" i="4"/>
  <c r="AE54" i="4"/>
  <c r="Q54" i="4"/>
  <c r="AA54" i="4" s="1"/>
  <c r="O54" i="4"/>
  <c r="N54" i="4"/>
  <c r="M54" i="4"/>
  <c r="L54" i="4"/>
  <c r="K54" i="4"/>
  <c r="J54" i="4"/>
  <c r="I54" i="4"/>
  <c r="H54" i="4"/>
  <c r="G54" i="4"/>
  <c r="E54" i="4"/>
  <c r="C54" i="4"/>
  <c r="F54" i="4" s="1"/>
  <c r="B54" i="4"/>
  <c r="BE53" i="4"/>
  <c r="BD53" i="4"/>
  <c r="BC53" i="4"/>
  <c r="BB53" i="4"/>
  <c r="BA53" i="4"/>
  <c r="AZ53" i="4"/>
  <c r="AY53" i="4"/>
  <c r="AX53" i="4"/>
  <c r="AW53" i="4"/>
  <c r="AU53" i="4"/>
  <c r="AS53" i="4"/>
  <c r="AV53" i="4" s="1"/>
  <c r="AQ53" i="4"/>
  <c r="AP53" i="4"/>
  <c r="AO53" i="4"/>
  <c r="AN53" i="4"/>
  <c r="AM53" i="4"/>
  <c r="AL53" i="4"/>
  <c r="AK53" i="4"/>
  <c r="AJ53" i="4"/>
  <c r="AI53" i="4"/>
  <c r="AH53" i="4"/>
  <c r="AG53" i="4"/>
  <c r="AE53" i="4"/>
  <c r="AF53" i="4" s="1"/>
  <c r="Z53" i="4"/>
  <c r="S53" i="4"/>
  <c r="R53" i="4"/>
  <c r="Q53" i="4"/>
  <c r="L53" i="4"/>
  <c r="K53" i="4"/>
  <c r="F53" i="4"/>
  <c r="C53" i="4"/>
  <c r="B53" i="4"/>
  <c r="BB52" i="4"/>
  <c r="BA52" i="4"/>
  <c r="AZ52" i="4"/>
  <c r="AY52" i="4"/>
  <c r="AX52" i="4"/>
  <c r="AW52" i="4"/>
  <c r="AU52" i="4"/>
  <c r="AS52" i="4"/>
  <c r="AL52" i="4"/>
  <c r="AJ52" i="4"/>
  <c r="AE52" i="4"/>
  <c r="Q52" i="4"/>
  <c r="O52" i="4"/>
  <c r="N52" i="4"/>
  <c r="M52" i="4"/>
  <c r="L52" i="4"/>
  <c r="K52" i="4"/>
  <c r="F52" i="4"/>
  <c r="E52" i="4"/>
  <c r="C52" i="4"/>
  <c r="B52" i="4"/>
  <c r="AT51" i="4"/>
  <c r="AS51" i="4"/>
  <c r="AQ51" i="4"/>
  <c r="AL51" i="4"/>
  <c r="AE51" i="4"/>
  <c r="AC51" i="4"/>
  <c r="AB51" i="4"/>
  <c r="AA51" i="4"/>
  <c r="Z51" i="4"/>
  <c r="Y51" i="4"/>
  <c r="X51" i="4"/>
  <c r="W51" i="4"/>
  <c r="V51" i="4"/>
  <c r="U51" i="4"/>
  <c r="S51" i="4"/>
  <c r="Q51" i="4"/>
  <c r="T51" i="4" s="1"/>
  <c r="P51" i="4"/>
  <c r="O51" i="4"/>
  <c r="N51" i="4"/>
  <c r="M51" i="4"/>
  <c r="L51" i="4"/>
  <c r="K51" i="4"/>
  <c r="J51" i="4"/>
  <c r="I51" i="4"/>
  <c r="H51" i="4"/>
  <c r="G51" i="4"/>
  <c r="F51" i="4"/>
  <c r="E51" i="4"/>
  <c r="C51" i="4"/>
  <c r="D51" i="4" s="1"/>
  <c r="B51" i="4"/>
  <c r="BE50" i="4"/>
  <c r="BD50" i="4"/>
  <c r="BC50" i="4"/>
  <c r="BB50" i="4"/>
  <c r="BA50" i="4"/>
  <c r="AZ50" i="4"/>
  <c r="AY50" i="4"/>
  <c r="AX50" i="4"/>
  <c r="AW50" i="4"/>
  <c r="AV50" i="4"/>
  <c r="AU50" i="4"/>
  <c r="AS50" i="4"/>
  <c r="AT50" i="4" s="1"/>
  <c r="AE50" i="4"/>
  <c r="Q50" i="4"/>
  <c r="Z50" i="4" s="1"/>
  <c r="J50" i="4"/>
  <c r="H50" i="4"/>
  <c r="C50" i="4"/>
  <c r="F50" i="4" s="1"/>
  <c r="B50" i="4"/>
  <c r="AY49" i="4"/>
  <c r="AS49" i="4"/>
  <c r="AE49" i="4"/>
  <c r="AC49" i="4"/>
  <c r="AB49" i="4"/>
  <c r="AA49" i="4"/>
  <c r="Z49" i="4"/>
  <c r="Y49" i="4"/>
  <c r="S49" i="4"/>
  <c r="R49" i="4"/>
  <c r="Q49" i="4"/>
  <c r="C49" i="4"/>
  <c r="B49" i="4"/>
  <c r="BE48" i="4"/>
  <c r="BD48" i="4"/>
  <c r="BC48" i="4"/>
  <c r="BB48" i="4"/>
  <c r="AS48" i="4"/>
  <c r="AQ48" i="4"/>
  <c r="AP48" i="4"/>
  <c r="AO48" i="4"/>
  <c r="AN48" i="4"/>
  <c r="AM48" i="4"/>
  <c r="AL48" i="4"/>
  <c r="AK48" i="4"/>
  <c r="AJ48" i="4"/>
  <c r="AI48" i="4"/>
  <c r="AG48" i="4"/>
  <c r="AE48" i="4"/>
  <c r="AH48" i="4" s="1"/>
  <c r="AC48" i="4"/>
  <c r="AB48" i="4"/>
  <c r="AA48" i="4"/>
  <c r="Z48" i="4"/>
  <c r="Y48" i="4"/>
  <c r="X48" i="4"/>
  <c r="W48" i="4"/>
  <c r="V48" i="4"/>
  <c r="U48" i="4"/>
  <c r="T48" i="4"/>
  <c r="S48" i="4"/>
  <c r="Q48" i="4"/>
  <c r="R48" i="4" s="1"/>
  <c r="E48" i="4"/>
  <c r="D48" i="4"/>
  <c r="C48" i="4"/>
  <c r="B48" i="4"/>
  <c r="AZ47" i="4"/>
  <c r="AS47" i="4"/>
  <c r="AN47" i="4"/>
  <c r="AM47" i="4"/>
  <c r="AL47" i="4"/>
  <c r="AK47" i="4"/>
  <c r="AJ47" i="4"/>
  <c r="AI47" i="4"/>
  <c r="AH47" i="4"/>
  <c r="AG47" i="4"/>
  <c r="AF47" i="4"/>
  <c r="AE47" i="4"/>
  <c r="Q47" i="4"/>
  <c r="S47" i="4" s="1"/>
  <c r="O47" i="4"/>
  <c r="N47" i="4"/>
  <c r="M47" i="4"/>
  <c r="H47" i="4"/>
  <c r="C47" i="4"/>
  <c r="B47" i="4"/>
  <c r="BE46" i="4"/>
  <c r="BD46" i="4"/>
  <c r="BC46" i="4"/>
  <c r="AX46" i="4"/>
  <c r="AW46" i="4"/>
  <c r="AV46" i="4"/>
  <c r="AU46" i="4"/>
  <c r="AT46" i="4"/>
  <c r="AS46" i="4"/>
  <c r="AO46" i="4"/>
  <c r="AM46" i="4"/>
  <c r="AH46" i="4"/>
  <c r="AE46" i="4"/>
  <c r="AC46" i="4"/>
  <c r="AB46" i="4"/>
  <c r="AA46" i="4"/>
  <c r="Z46" i="4"/>
  <c r="X46" i="4"/>
  <c r="U46" i="4"/>
  <c r="R46" i="4"/>
  <c r="Q46" i="4"/>
  <c r="O46" i="4"/>
  <c r="N46" i="4"/>
  <c r="M46" i="4"/>
  <c r="L46" i="4"/>
  <c r="K46" i="4"/>
  <c r="J46" i="4"/>
  <c r="I46" i="4"/>
  <c r="H46" i="4"/>
  <c r="G46" i="4"/>
  <c r="E46" i="4"/>
  <c r="C46" i="4"/>
  <c r="F46" i="4" s="1"/>
  <c r="B46" i="4"/>
  <c r="BE45" i="4"/>
  <c r="BD45" i="4"/>
  <c r="BC45" i="4"/>
  <c r="BB45" i="4"/>
  <c r="BA45" i="4"/>
  <c r="AZ45" i="4"/>
  <c r="AY45" i="4"/>
  <c r="AX45" i="4"/>
  <c r="AW45" i="4"/>
  <c r="AU45" i="4"/>
  <c r="AS45" i="4"/>
  <c r="AV45" i="4" s="1"/>
  <c r="AJ45" i="4"/>
  <c r="AE45" i="4"/>
  <c r="AC45" i="4"/>
  <c r="AB45" i="4"/>
  <c r="AA45" i="4"/>
  <c r="V45" i="4"/>
  <c r="T45" i="4"/>
  <c r="S45" i="4"/>
  <c r="R45" i="4"/>
  <c r="Q45" i="4"/>
  <c r="L45" i="4"/>
  <c r="C45" i="4"/>
  <c r="B45" i="4"/>
  <c r="BE44" i="4"/>
  <c r="BD44" i="4"/>
  <c r="BC44" i="4"/>
  <c r="BB44" i="4"/>
  <c r="BA44" i="4"/>
  <c r="AZ44" i="4"/>
  <c r="AY44" i="4"/>
  <c r="AW44" i="4"/>
  <c r="AU44" i="4"/>
  <c r="AT44" i="4"/>
  <c r="AS44" i="4"/>
  <c r="AX44" i="4" s="1"/>
  <c r="AR44" i="4"/>
  <c r="AQ44" i="4"/>
  <c r="AO44" i="4"/>
  <c r="AN44" i="4"/>
  <c r="AM44" i="4"/>
  <c r="AL44" i="4"/>
  <c r="AK44" i="4"/>
  <c r="AJ44" i="4"/>
  <c r="AI44" i="4"/>
  <c r="AH44" i="4"/>
  <c r="AG44" i="4"/>
  <c r="AF44" i="4"/>
  <c r="AE44" i="4"/>
  <c r="AP44" i="4" s="1"/>
  <c r="AA44" i="4"/>
  <c r="X44" i="4"/>
  <c r="V44" i="4"/>
  <c r="U44" i="4"/>
  <c r="Q44" i="4"/>
  <c r="L44" i="4"/>
  <c r="I44" i="4"/>
  <c r="D44" i="4"/>
  <c r="C44" i="4"/>
  <c r="B44" i="4"/>
  <c r="BA43" i="4"/>
  <c r="AX43" i="4"/>
  <c r="AW43" i="4"/>
  <c r="AV43" i="4"/>
  <c r="AU43" i="4"/>
  <c r="AT43" i="4"/>
  <c r="AS43" i="4"/>
  <c r="AI43" i="4"/>
  <c r="AF43" i="4"/>
  <c r="AE43" i="4"/>
  <c r="AC43" i="4"/>
  <c r="AB43" i="4"/>
  <c r="AA43" i="4"/>
  <c r="Z43" i="4"/>
  <c r="Y43" i="4"/>
  <c r="X43" i="4"/>
  <c r="V43" i="4"/>
  <c r="S43" i="4"/>
  <c r="R43" i="4"/>
  <c r="Q43" i="4"/>
  <c r="T43" i="4" s="1"/>
  <c r="O43" i="4"/>
  <c r="N43" i="4"/>
  <c r="M43" i="4"/>
  <c r="L43" i="4"/>
  <c r="K43" i="4"/>
  <c r="J43" i="4"/>
  <c r="I43" i="4"/>
  <c r="H43" i="4"/>
  <c r="G43" i="4"/>
  <c r="F43" i="4"/>
  <c r="E43" i="4"/>
  <c r="C43" i="4"/>
  <c r="D43" i="4" s="1"/>
  <c r="B43" i="4"/>
  <c r="BE42" i="4"/>
  <c r="BD42" i="4"/>
  <c r="BC42" i="4"/>
  <c r="BB42" i="4"/>
  <c r="BA42" i="4"/>
  <c r="AZ42" i="4"/>
  <c r="AY42" i="4"/>
  <c r="AX42" i="4"/>
  <c r="AW42" i="4"/>
  <c r="AV42" i="4"/>
  <c r="AS42" i="4"/>
  <c r="AT42" i="4" s="1"/>
  <c r="AI42" i="4"/>
  <c r="AG42" i="4"/>
  <c r="AE42" i="4"/>
  <c r="AB42" i="4"/>
  <c r="Z42" i="4"/>
  <c r="Y42" i="4"/>
  <c r="W42" i="4"/>
  <c r="V42" i="4"/>
  <c r="U42" i="4"/>
  <c r="T42" i="4"/>
  <c r="S42" i="4"/>
  <c r="R42" i="4"/>
  <c r="Q42" i="4"/>
  <c r="C42" i="4"/>
  <c r="B42" i="4"/>
  <c r="AS41" i="4"/>
  <c r="AQ41" i="4"/>
  <c r="AP41" i="4"/>
  <c r="AO41" i="4"/>
  <c r="AM41" i="4"/>
  <c r="AL41" i="4"/>
  <c r="AK41" i="4"/>
  <c r="AI41" i="4"/>
  <c r="AG41" i="4"/>
  <c r="AF41" i="4"/>
  <c r="AE41" i="4"/>
  <c r="AN41" i="4" s="1"/>
  <c r="AD41" i="4"/>
  <c r="AC41" i="4"/>
  <c r="AB41" i="4"/>
  <c r="AA41" i="4"/>
  <c r="Z41" i="4"/>
  <c r="Y41" i="4"/>
  <c r="W41" i="4"/>
  <c r="V41" i="4"/>
  <c r="U41" i="4"/>
  <c r="T41" i="4"/>
  <c r="S41" i="4"/>
  <c r="R41" i="4"/>
  <c r="Q41" i="4"/>
  <c r="X41" i="4" s="1"/>
  <c r="L41" i="4"/>
  <c r="J41" i="4"/>
  <c r="G41" i="4"/>
  <c r="F41" i="4"/>
  <c r="D41" i="4"/>
  <c r="C41" i="4"/>
  <c r="B41" i="4"/>
  <c r="AS40" i="4"/>
  <c r="BE40" i="4" s="1"/>
  <c r="AP40" i="4"/>
  <c r="AN40" i="4"/>
  <c r="AM40" i="4"/>
  <c r="AK40" i="4"/>
  <c r="AJ40" i="4"/>
  <c r="AI40" i="4"/>
  <c r="AG40" i="4"/>
  <c r="AE40" i="4"/>
  <c r="Q40" i="4"/>
  <c r="O40" i="4"/>
  <c r="J40" i="4"/>
  <c r="F40" i="4"/>
  <c r="C40" i="4"/>
  <c r="B40" i="4"/>
  <c r="BE39" i="4"/>
  <c r="BD39" i="4"/>
  <c r="BC39" i="4"/>
  <c r="BB39" i="4"/>
  <c r="AU39" i="4"/>
  <c r="AS39" i="4"/>
  <c r="AQ39" i="4"/>
  <c r="AP39" i="4"/>
  <c r="AO39" i="4"/>
  <c r="AN39" i="4"/>
  <c r="AM39" i="4"/>
  <c r="AL39" i="4"/>
  <c r="AK39" i="4"/>
  <c r="AJ39" i="4"/>
  <c r="AI39" i="4"/>
  <c r="AG39" i="4"/>
  <c r="AE39" i="4"/>
  <c r="AC39" i="4"/>
  <c r="AA39" i="4"/>
  <c r="Z39" i="4"/>
  <c r="Y39" i="4"/>
  <c r="X39" i="4"/>
  <c r="W39" i="4"/>
  <c r="V39" i="4"/>
  <c r="U39" i="4"/>
  <c r="T39" i="4"/>
  <c r="S39" i="4"/>
  <c r="R39" i="4"/>
  <c r="AD39" i="4" s="1"/>
  <c r="Q39" i="4"/>
  <c r="AB39" i="4" s="1"/>
  <c r="C39" i="4"/>
  <c r="N39" i="4" s="1"/>
  <c r="B39" i="4"/>
  <c r="AY38" i="4"/>
  <c r="AX38" i="4"/>
  <c r="AS38" i="4"/>
  <c r="AQ38" i="4"/>
  <c r="AN38" i="4"/>
  <c r="AK38" i="4"/>
  <c r="AE38" i="4"/>
  <c r="AF38" i="4" s="1"/>
  <c r="Q38" i="4"/>
  <c r="Y38" i="4" s="1"/>
  <c r="O38" i="4"/>
  <c r="N38" i="4"/>
  <c r="M38" i="4"/>
  <c r="L38" i="4"/>
  <c r="K38" i="4"/>
  <c r="J38" i="4"/>
  <c r="I38" i="4"/>
  <c r="H38" i="4"/>
  <c r="C38" i="4"/>
  <c r="B38" i="4"/>
  <c r="BE37" i="4"/>
  <c r="BD37" i="4"/>
  <c r="BC37" i="4"/>
  <c r="BB37" i="4"/>
  <c r="BA37" i="4"/>
  <c r="AZ37" i="4"/>
  <c r="AY37" i="4"/>
  <c r="AX37" i="4"/>
  <c r="AW37" i="4"/>
  <c r="BF37" i="4" s="1"/>
  <c r="AU37" i="4"/>
  <c r="AT37" i="4"/>
  <c r="AS37" i="4"/>
  <c r="AV37" i="4" s="1"/>
  <c r="AE37" i="4"/>
  <c r="X37" i="4"/>
  <c r="V37" i="4"/>
  <c r="T37" i="4"/>
  <c r="S37" i="4"/>
  <c r="R37" i="4"/>
  <c r="Q37" i="4"/>
  <c r="J37" i="4"/>
  <c r="C37" i="4"/>
  <c r="B37" i="4"/>
  <c r="BE36" i="4"/>
  <c r="BD36" i="4"/>
  <c r="BC36" i="4"/>
  <c r="BA36" i="4"/>
  <c r="AY36" i="4"/>
  <c r="AX36" i="4"/>
  <c r="AW36" i="4"/>
  <c r="AV36" i="4"/>
  <c r="AU36" i="4"/>
  <c r="AS36" i="4"/>
  <c r="AE36" i="4"/>
  <c r="X36" i="4"/>
  <c r="V36" i="4"/>
  <c r="S36" i="4"/>
  <c r="Q36" i="4"/>
  <c r="O36" i="4"/>
  <c r="N36" i="4"/>
  <c r="M36" i="4"/>
  <c r="L36" i="4"/>
  <c r="K36" i="4"/>
  <c r="I36" i="4"/>
  <c r="H36" i="4"/>
  <c r="G36" i="4"/>
  <c r="F36" i="4"/>
  <c r="E36" i="4"/>
  <c r="P36" i="4" s="1"/>
  <c r="D36" i="4"/>
  <c r="C36" i="4"/>
  <c r="J36" i="4" s="1"/>
  <c r="B36" i="4"/>
  <c r="BA35" i="4"/>
  <c r="AX35" i="4"/>
  <c r="AS35" i="4"/>
  <c r="AO35" i="4"/>
  <c r="AM35" i="4"/>
  <c r="AL35" i="4"/>
  <c r="AK35" i="4"/>
  <c r="AI35" i="4"/>
  <c r="AH35" i="4"/>
  <c r="AG35" i="4"/>
  <c r="AF35" i="4"/>
  <c r="AE35" i="4"/>
  <c r="S35" i="4"/>
  <c r="R35" i="4"/>
  <c r="Q35" i="4"/>
  <c r="O35" i="4"/>
  <c r="N35" i="4"/>
  <c r="M35" i="4"/>
  <c r="L35" i="4"/>
  <c r="E35" i="4"/>
  <c r="C35" i="4"/>
  <c r="B35" i="4"/>
  <c r="BE34" i="4"/>
  <c r="BD34" i="4"/>
  <c r="BC34" i="4"/>
  <c r="BB34" i="4"/>
  <c r="BA34" i="4"/>
  <c r="AZ34" i="4"/>
  <c r="AX34" i="4"/>
  <c r="AV34" i="4"/>
  <c r="AU34" i="4"/>
  <c r="AS34" i="4"/>
  <c r="AQ34" i="4"/>
  <c r="AO34" i="4"/>
  <c r="AM34" i="4"/>
  <c r="AL34" i="4"/>
  <c r="AK34" i="4"/>
  <c r="AJ34" i="4"/>
  <c r="AI34" i="4"/>
  <c r="AE34" i="4"/>
  <c r="AC34" i="4"/>
  <c r="AB34" i="4"/>
  <c r="AA34" i="4"/>
  <c r="Z34" i="4"/>
  <c r="Y34" i="4"/>
  <c r="X34" i="4"/>
  <c r="W34" i="4"/>
  <c r="V34" i="4"/>
  <c r="U34" i="4"/>
  <c r="T34" i="4"/>
  <c r="S34" i="4"/>
  <c r="R34" i="4"/>
  <c r="AD34" i="4" s="1"/>
  <c r="Q34" i="4"/>
  <c r="M34" i="4"/>
  <c r="L34" i="4"/>
  <c r="K34" i="4"/>
  <c r="F34" i="4"/>
  <c r="D34" i="4"/>
  <c r="C34" i="4"/>
  <c r="B34" i="4"/>
  <c r="AS33" i="4"/>
  <c r="AQ33" i="4"/>
  <c r="AH33" i="4"/>
  <c r="AF33" i="4"/>
  <c r="AE33" i="4"/>
  <c r="S33" i="4"/>
  <c r="Q33" i="4"/>
  <c r="O33" i="4"/>
  <c r="N33" i="4"/>
  <c r="M33" i="4"/>
  <c r="L33" i="4"/>
  <c r="E33" i="4"/>
  <c r="C33" i="4"/>
  <c r="B33" i="4"/>
  <c r="BE32" i="4"/>
  <c r="BD32" i="4"/>
  <c r="BC32" i="4"/>
  <c r="BB32" i="4"/>
  <c r="BA32" i="4"/>
  <c r="AZ32" i="4"/>
  <c r="AY32" i="4"/>
  <c r="AW32" i="4"/>
  <c r="AV32" i="4"/>
  <c r="AU32" i="4"/>
  <c r="AT32" i="4"/>
  <c r="AS32" i="4"/>
  <c r="AX32" i="4" s="1"/>
  <c r="AQ32" i="4"/>
  <c r="AP32" i="4"/>
  <c r="AO32" i="4"/>
  <c r="AN32" i="4"/>
  <c r="AM32" i="4"/>
  <c r="AL32" i="4"/>
  <c r="AK32" i="4"/>
  <c r="AJ32" i="4"/>
  <c r="AI32" i="4"/>
  <c r="AG32" i="4"/>
  <c r="AE32" i="4"/>
  <c r="AH32" i="4" s="1"/>
  <c r="Z32" i="4"/>
  <c r="X32" i="4"/>
  <c r="V32" i="4"/>
  <c r="Q32" i="4"/>
  <c r="C32" i="4"/>
  <c r="O32" i="4" s="1"/>
  <c r="B32" i="4"/>
  <c r="BE31" i="4"/>
  <c r="BD31" i="4"/>
  <c r="BB31" i="4"/>
  <c r="AU31" i="4"/>
  <c r="AS31" i="4"/>
  <c r="AQ31" i="4"/>
  <c r="AP31" i="4"/>
  <c r="AO31" i="4"/>
  <c r="AN31" i="4"/>
  <c r="AM31" i="4"/>
  <c r="AK31" i="4"/>
  <c r="AI31" i="4"/>
  <c r="AH31" i="4"/>
  <c r="AG31" i="4"/>
  <c r="AE31" i="4"/>
  <c r="AA31" i="4"/>
  <c r="Y31" i="4"/>
  <c r="W31" i="4"/>
  <c r="Q31" i="4"/>
  <c r="C31" i="4"/>
  <c r="O31" i="4" s="1"/>
  <c r="B31" i="4"/>
  <c r="BF30" i="4"/>
  <c r="BE30" i="4"/>
  <c r="BD30" i="4"/>
  <c r="BC30" i="4"/>
  <c r="BA30" i="4"/>
  <c r="AZ30" i="4"/>
  <c r="AY30" i="4"/>
  <c r="AX30" i="4"/>
  <c r="AW30" i="4"/>
  <c r="AV30" i="4"/>
  <c r="AU30" i="4"/>
  <c r="AT30" i="4"/>
  <c r="AS30" i="4"/>
  <c r="BB30" i="4" s="1"/>
  <c r="AP30" i="4"/>
  <c r="AO30" i="4"/>
  <c r="AN30" i="4"/>
  <c r="AM30" i="4"/>
  <c r="AK30" i="4"/>
  <c r="AJ30" i="4"/>
  <c r="AI30" i="4"/>
  <c r="AH30" i="4"/>
  <c r="AG30" i="4"/>
  <c r="AE30" i="4"/>
  <c r="Q30" i="4"/>
  <c r="J30" i="4"/>
  <c r="G30" i="4"/>
  <c r="C30" i="4"/>
  <c r="B30" i="4"/>
  <c r="BE29" i="4"/>
  <c r="BD29" i="4"/>
  <c r="BC29" i="4"/>
  <c r="AV29" i="4"/>
  <c r="AT29" i="4"/>
  <c r="AS29" i="4"/>
  <c r="AQ29" i="4"/>
  <c r="AP29" i="4"/>
  <c r="AO29" i="4"/>
  <c r="AN29" i="4"/>
  <c r="AM29" i="4"/>
  <c r="AL29" i="4"/>
  <c r="AK29" i="4"/>
  <c r="AI29" i="4"/>
  <c r="AG29" i="4"/>
  <c r="AE29" i="4"/>
  <c r="X29" i="4"/>
  <c r="V29" i="4"/>
  <c r="Q29" i="4"/>
  <c r="F29" i="4"/>
  <c r="C29" i="4"/>
  <c r="B29" i="4"/>
  <c r="AS28" i="4"/>
  <c r="AW28" i="4" s="1"/>
  <c r="AI28" i="4"/>
  <c r="AE28" i="4"/>
  <c r="X28" i="4"/>
  <c r="Q28" i="4"/>
  <c r="O28" i="4"/>
  <c r="M28" i="4"/>
  <c r="K28" i="4"/>
  <c r="J28" i="4"/>
  <c r="I28" i="4"/>
  <c r="H28" i="4"/>
  <c r="G28" i="4"/>
  <c r="F28" i="4"/>
  <c r="E28" i="4"/>
  <c r="D28" i="4"/>
  <c r="C28" i="4"/>
  <c r="B28" i="4"/>
  <c r="BE27" i="4"/>
  <c r="BA27" i="4"/>
  <c r="AY27" i="4"/>
  <c r="AX27" i="4"/>
  <c r="AW27" i="4"/>
  <c r="AS27" i="4"/>
  <c r="AE27" i="4"/>
  <c r="AK27" i="4" s="1"/>
  <c r="AC27" i="4"/>
  <c r="AB27" i="4"/>
  <c r="AA27" i="4"/>
  <c r="Z27" i="4"/>
  <c r="S27" i="4"/>
  <c r="Q27" i="4"/>
  <c r="O27" i="4"/>
  <c r="N27" i="4"/>
  <c r="M27" i="4"/>
  <c r="L27" i="4"/>
  <c r="K27" i="4"/>
  <c r="J27" i="4"/>
  <c r="I27" i="4"/>
  <c r="G27" i="4"/>
  <c r="E27" i="4"/>
  <c r="D27" i="4"/>
  <c r="C27" i="4"/>
  <c r="B27" i="4"/>
  <c r="BE26" i="4"/>
  <c r="BD26" i="4"/>
  <c r="BC26" i="4"/>
  <c r="BB26" i="4"/>
  <c r="BA26" i="4"/>
  <c r="AZ26" i="4"/>
  <c r="AY26" i="4"/>
  <c r="AW26" i="4"/>
  <c r="AU26" i="4"/>
  <c r="AT26" i="4"/>
  <c r="AS26" i="4"/>
  <c r="AE26" i="4"/>
  <c r="U26" i="4"/>
  <c r="Q26" i="4"/>
  <c r="M26" i="4"/>
  <c r="K26" i="4"/>
  <c r="C26" i="4"/>
  <c r="B26" i="4"/>
  <c r="BE25" i="4"/>
  <c r="BD25" i="4"/>
  <c r="BC25" i="4"/>
  <c r="BB25" i="4"/>
  <c r="BA25" i="4"/>
  <c r="AZ25" i="4"/>
  <c r="AY25" i="4"/>
  <c r="AT25" i="4"/>
  <c r="AS25" i="4"/>
  <c r="AX25" i="4" s="1"/>
  <c r="AQ25" i="4"/>
  <c r="AO25" i="4"/>
  <c r="AN25" i="4"/>
  <c r="AM25" i="4"/>
  <c r="AL25" i="4"/>
  <c r="AK25" i="4"/>
  <c r="AJ25" i="4"/>
  <c r="AI25" i="4"/>
  <c r="AH25" i="4"/>
  <c r="AG25" i="4"/>
  <c r="AE25" i="4"/>
  <c r="AP25" i="4" s="1"/>
  <c r="Q25" i="4"/>
  <c r="S25" i="4" s="1"/>
  <c r="O25" i="4"/>
  <c r="H25" i="4"/>
  <c r="D25" i="4"/>
  <c r="C25" i="4"/>
  <c r="B25" i="4"/>
  <c r="BE24" i="4"/>
  <c r="BD24" i="4"/>
  <c r="BC24" i="4"/>
  <c r="AV24" i="4"/>
  <c r="AT24" i="4"/>
  <c r="AS24" i="4"/>
  <c r="AQ24" i="4"/>
  <c r="AP24" i="4"/>
  <c r="AO24" i="4"/>
  <c r="AE24" i="4"/>
  <c r="AK24" i="4" s="1"/>
  <c r="AC24" i="4"/>
  <c r="AB24" i="4"/>
  <c r="AA24" i="4"/>
  <c r="Z24" i="4"/>
  <c r="Y24" i="4"/>
  <c r="X24" i="4"/>
  <c r="W24" i="4"/>
  <c r="V24" i="4"/>
  <c r="U24" i="4"/>
  <c r="S24" i="4"/>
  <c r="Q24" i="4"/>
  <c r="T24" i="4" s="1"/>
  <c r="C24" i="4"/>
  <c r="L24" i="4" s="1"/>
  <c r="B24" i="4"/>
  <c r="BC23" i="4"/>
  <c r="BA23" i="4"/>
  <c r="AY23" i="4"/>
  <c r="AX23" i="4"/>
  <c r="AW23" i="4"/>
  <c r="AV23" i="4"/>
  <c r="AS23" i="4"/>
  <c r="AE23" i="4"/>
  <c r="AC23" i="4"/>
  <c r="AB23" i="4"/>
  <c r="AA23" i="4"/>
  <c r="Z23" i="4"/>
  <c r="U23" i="4"/>
  <c r="S23" i="4"/>
  <c r="Q23" i="4"/>
  <c r="O23" i="4"/>
  <c r="M23" i="4"/>
  <c r="L23" i="4"/>
  <c r="K23" i="4"/>
  <c r="J23" i="4"/>
  <c r="I23" i="4"/>
  <c r="D23" i="4"/>
  <c r="C23" i="4"/>
  <c r="N23" i="4" s="1"/>
  <c r="B23" i="4"/>
  <c r="BE22" i="4"/>
  <c r="BC22" i="4"/>
  <c r="BB22" i="4"/>
  <c r="BA22" i="4"/>
  <c r="AS22" i="4"/>
  <c r="AQ22" i="4"/>
  <c r="AP22" i="4"/>
  <c r="AO22" i="4"/>
  <c r="AM22" i="4"/>
  <c r="AL22" i="4"/>
  <c r="AK22" i="4"/>
  <c r="AJ22" i="4"/>
  <c r="AI22" i="4"/>
  <c r="AH22" i="4"/>
  <c r="AG22" i="4"/>
  <c r="AE22" i="4"/>
  <c r="AN22" i="4" s="1"/>
  <c r="AB22" i="4"/>
  <c r="T22" i="4"/>
  <c r="R22" i="4"/>
  <c r="Q22" i="4"/>
  <c r="C22" i="4"/>
  <c r="D22" i="4" s="1"/>
  <c r="B22" i="4"/>
  <c r="AW21" i="4"/>
  <c r="AT21" i="4"/>
  <c r="AS21" i="4"/>
  <c r="AQ21" i="4"/>
  <c r="AP21" i="4"/>
  <c r="AO21" i="4"/>
  <c r="AN21" i="4"/>
  <c r="AI21" i="4"/>
  <c r="AF21" i="4"/>
  <c r="AE21" i="4"/>
  <c r="AH21" i="4" s="1"/>
  <c r="Q21" i="4"/>
  <c r="AC21" i="4" s="1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E20" i="4"/>
  <c r="AJ20" i="4" s="1"/>
  <c r="Y20" i="4"/>
  <c r="S20" i="4"/>
  <c r="R20" i="4"/>
  <c r="Q20" i="4"/>
  <c r="H20" i="4"/>
  <c r="F20" i="4"/>
  <c r="D20" i="4"/>
  <c r="C20" i="4"/>
  <c r="B20" i="4"/>
  <c r="AW19" i="4"/>
  <c r="AU19" i="4"/>
  <c r="AS19" i="4"/>
  <c r="AQ19" i="4"/>
  <c r="AP19" i="4"/>
  <c r="AO19" i="4"/>
  <c r="AN19" i="4"/>
  <c r="AM19" i="4"/>
  <c r="AK19" i="4"/>
  <c r="AF19" i="4"/>
  <c r="AE19" i="4"/>
  <c r="AL19" i="4" s="1"/>
  <c r="AD19" i="4"/>
  <c r="AC19" i="4"/>
  <c r="AB19" i="4"/>
  <c r="AA19" i="4"/>
  <c r="Z19" i="4"/>
  <c r="Y19" i="4"/>
  <c r="X19" i="4"/>
  <c r="W19" i="4"/>
  <c r="U19" i="4"/>
  <c r="T19" i="4"/>
  <c r="S19" i="4"/>
  <c r="R19" i="4"/>
  <c r="Q19" i="4"/>
  <c r="V19" i="4" s="1"/>
  <c r="O19" i="4"/>
  <c r="M19" i="4"/>
  <c r="K19" i="4"/>
  <c r="J19" i="4"/>
  <c r="E19" i="4"/>
  <c r="D19" i="4"/>
  <c r="C19" i="4"/>
  <c r="B19" i="4"/>
  <c r="AS18" i="4"/>
  <c r="AZ18" i="4" s="1"/>
  <c r="AH18" i="4"/>
  <c r="AE18" i="4"/>
  <c r="Q18" i="4"/>
  <c r="S18" i="4" s="1"/>
  <c r="K18" i="4"/>
  <c r="E18" i="4"/>
  <c r="C18" i="4"/>
  <c r="B18" i="4"/>
  <c r="BE17" i="4"/>
  <c r="BD17" i="4"/>
  <c r="BC17" i="4"/>
  <c r="BB17" i="4"/>
  <c r="BA17" i="4"/>
  <c r="AZ17" i="4"/>
  <c r="AY17" i="4"/>
  <c r="AT17" i="4"/>
  <c r="AS17" i="4"/>
  <c r="AX17" i="4" s="1"/>
  <c r="AQ17" i="4"/>
  <c r="AO17" i="4"/>
  <c r="AN17" i="4"/>
  <c r="AM17" i="4"/>
  <c r="AL17" i="4"/>
  <c r="AK17" i="4"/>
  <c r="AJ17" i="4"/>
  <c r="AI17" i="4"/>
  <c r="AH17" i="4"/>
  <c r="AR17" i="4" s="1"/>
  <c r="AG17" i="4"/>
  <c r="AF17" i="4"/>
  <c r="AE17" i="4"/>
  <c r="AP17" i="4" s="1"/>
  <c r="R17" i="4"/>
  <c r="Q17" i="4"/>
  <c r="L17" i="4"/>
  <c r="I17" i="4"/>
  <c r="H17" i="4"/>
  <c r="G17" i="4"/>
  <c r="F17" i="4"/>
  <c r="D17" i="4"/>
  <c r="C17" i="4"/>
  <c r="B17" i="4"/>
  <c r="AS16" i="4"/>
  <c r="AV16" i="4" s="1"/>
  <c r="AQ16" i="4"/>
  <c r="AP16" i="4"/>
  <c r="AE16" i="4"/>
  <c r="AI16" i="4" s="1"/>
  <c r="AC16" i="4"/>
  <c r="AB16" i="4"/>
  <c r="AA16" i="4"/>
  <c r="Z16" i="4"/>
  <c r="Y16" i="4"/>
  <c r="X16" i="4"/>
  <c r="R16" i="4"/>
  <c r="Q16" i="4"/>
  <c r="T16" i="4" s="1"/>
  <c r="O16" i="4"/>
  <c r="P16" i="4" s="1"/>
  <c r="N16" i="4"/>
  <c r="M16" i="4"/>
  <c r="L16" i="4"/>
  <c r="K16" i="4"/>
  <c r="J16" i="4"/>
  <c r="I16" i="4"/>
  <c r="H16" i="4"/>
  <c r="G16" i="4"/>
  <c r="F16" i="4"/>
  <c r="E16" i="4"/>
  <c r="C16" i="4"/>
  <c r="D16" i="4" s="1"/>
  <c r="B16" i="4"/>
  <c r="BE15" i="4"/>
  <c r="BD15" i="4"/>
  <c r="BC15" i="4"/>
  <c r="BB15" i="4"/>
  <c r="BA15" i="4"/>
  <c r="AZ15" i="4"/>
  <c r="AY15" i="4"/>
  <c r="AX15" i="4"/>
  <c r="AW15" i="4"/>
  <c r="AV15" i="4"/>
  <c r="AS15" i="4"/>
  <c r="AT15" i="4" s="1"/>
  <c r="AP15" i="4"/>
  <c r="AN15" i="4"/>
  <c r="AM15" i="4"/>
  <c r="AL15" i="4"/>
  <c r="AK15" i="4"/>
  <c r="AJ15" i="4"/>
  <c r="AI15" i="4"/>
  <c r="AH15" i="4"/>
  <c r="AF15" i="4"/>
  <c r="AE15" i="4"/>
  <c r="R15" i="4"/>
  <c r="Q15" i="4"/>
  <c r="O15" i="4"/>
  <c r="M15" i="4"/>
  <c r="H15" i="4"/>
  <c r="F15" i="4"/>
  <c r="D15" i="4"/>
  <c r="C15" i="4"/>
  <c r="B15" i="4"/>
  <c r="AS14" i="4"/>
  <c r="AU14" i="4" s="1"/>
  <c r="AQ14" i="4"/>
  <c r="AP14" i="4"/>
  <c r="AO14" i="4"/>
  <c r="AM14" i="4"/>
  <c r="AL14" i="4"/>
  <c r="AK14" i="4"/>
  <c r="AF14" i="4"/>
  <c r="AE14" i="4"/>
  <c r="AN14" i="4" s="1"/>
  <c r="AC14" i="4"/>
  <c r="AB14" i="4"/>
  <c r="AA14" i="4"/>
  <c r="Z14" i="4"/>
  <c r="Y14" i="4"/>
  <c r="X14" i="4"/>
  <c r="W14" i="4"/>
  <c r="V14" i="4"/>
  <c r="U14" i="4"/>
  <c r="AD14" i="4" s="1"/>
  <c r="T14" i="4"/>
  <c r="S14" i="4"/>
  <c r="Q14" i="4"/>
  <c r="R14" i="4" s="1"/>
  <c r="O14" i="4"/>
  <c r="N14" i="4"/>
  <c r="M14" i="4"/>
  <c r="L14" i="4"/>
  <c r="K14" i="4"/>
  <c r="J14" i="4"/>
  <c r="I14" i="4"/>
  <c r="H14" i="4"/>
  <c r="G14" i="4"/>
  <c r="F14" i="4"/>
  <c r="E14" i="4"/>
  <c r="C14" i="4"/>
  <c r="D14" i="4" s="1"/>
  <c r="P14" i="4" s="1"/>
  <c r="B14" i="4"/>
  <c r="BE13" i="4"/>
  <c r="BD13" i="4"/>
  <c r="BC13" i="4"/>
  <c r="BB13" i="4"/>
  <c r="BA13" i="4"/>
  <c r="AZ13" i="4"/>
  <c r="AY13" i="4"/>
  <c r="AX13" i="4"/>
  <c r="AW13" i="4"/>
  <c r="AV13" i="4"/>
  <c r="AU13" i="4"/>
  <c r="AS13" i="4"/>
  <c r="AT13" i="4" s="1"/>
  <c r="BF13" i="4" s="1"/>
  <c r="AP13" i="4"/>
  <c r="AN13" i="4"/>
  <c r="AE13" i="4"/>
  <c r="AF13" i="4" s="1"/>
  <c r="Z13" i="4"/>
  <c r="X13" i="4"/>
  <c r="W13" i="4"/>
  <c r="V13" i="4"/>
  <c r="U13" i="4"/>
  <c r="T13" i="4"/>
  <c r="S13" i="4"/>
  <c r="Q13" i="4"/>
  <c r="C13" i="4"/>
  <c r="D13" i="4" s="1"/>
  <c r="B13" i="4"/>
  <c r="BE12" i="4"/>
  <c r="AZ12" i="4"/>
  <c r="AU12" i="4"/>
  <c r="AT12" i="4"/>
  <c r="AS12" i="4"/>
  <c r="AO12" i="4"/>
  <c r="AJ12" i="4"/>
  <c r="AH12" i="4"/>
  <c r="AF12" i="4"/>
  <c r="AE12" i="4"/>
  <c r="Y12" i="4"/>
  <c r="R12" i="4"/>
  <c r="Q12" i="4"/>
  <c r="O12" i="4"/>
  <c r="N12" i="4"/>
  <c r="M12" i="4"/>
  <c r="L12" i="4"/>
  <c r="K12" i="4"/>
  <c r="J12" i="4"/>
  <c r="I12" i="4"/>
  <c r="D12" i="4"/>
  <c r="C12" i="4"/>
  <c r="H12" i="4" s="1"/>
  <c r="B12" i="4"/>
  <c r="BE11" i="4"/>
  <c r="BD11" i="4"/>
  <c r="BC11" i="4"/>
  <c r="BB11" i="4"/>
  <c r="BA11" i="4"/>
  <c r="AZ11" i="4"/>
  <c r="AY11" i="4"/>
  <c r="AT11" i="4"/>
  <c r="AS11" i="4"/>
  <c r="AX11" i="4" s="1"/>
  <c r="AQ11" i="4"/>
  <c r="AR11" i="4" s="1"/>
  <c r="AP11" i="4"/>
  <c r="AO11" i="4"/>
  <c r="AN11" i="4"/>
  <c r="AM11" i="4"/>
  <c r="AL11" i="4"/>
  <c r="AK11" i="4"/>
  <c r="AJ11" i="4"/>
  <c r="AI11" i="4"/>
  <c r="AH11" i="4"/>
  <c r="AG11" i="4"/>
  <c r="AE11" i="4"/>
  <c r="AF11" i="4" s="1"/>
  <c r="AC11" i="4"/>
  <c r="AB11" i="4"/>
  <c r="AA11" i="4"/>
  <c r="Z11" i="4"/>
  <c r="AD11" i="4" s="1"/>
  <c r="Y11" i="4"/>
  <c r="X11" i="4"/>
  <c r="W11" i="4"/>
  <c r="V11" i="4"/>
  <c r="U11" i="4"/>
  <c r="T11" i="4"/>
  <c r="S11" i="4"/>
  <c r="Q11" i="4"/>
  <c r="R11" i="4" s="1"/>
  <c r="N11" i="4"/>
  <c r="L11" i="4"/>
  <c r="K11" i="4"/>
  <c r="J11" i="4"/>
  <c r="I11" i="4"/>
  <c r="H11" i="4"/>
  <c r="G11" i="4"/>
  <c r="F11" i="4"/>
  <c r="D11" i="4"/>
  <c r="C11" i="4"/>
  <c r="B11" i="4"/>
  <c r="AS10" i="4"/>
  <c r="AN10" i="4"/>
  <c r="AH10" i="4"/>
  <c r="AF10" i="4"/>
  <c r="AE10" i="4"/>
  <c r="AC10" i="4"/>
  <c r="X10" i="4"/>
  <c r="V10" i="4"/>
  <c r="U10" i="4"/>
  <c r="T10" i="4"/>
  <c r="S10" i="4"/>
  <c r="R10" i="4"/>
  <c r="Q10" i="4"/>
  <c r="C10" i="4"/>
  <c r="B10" i="4"/>
  <c r="BE9" i="4"/>
  <c r="BD9" i="4"/>
  <c r="BC9" i="4"/>
  <c r="AS9" i="4"/>
  <c r="AT9" i="4" s="1"/>
  <c r="AN9" i="4"/>
  <c r="AM9" i="4"/>
  <c r="AH9" i="4"/>
  <c r="AF9" i="4"/>
  <c r="AE9" i="4"/>
  <c r="AC9" i="4"/>
  <c r="AB9" i="4"/>
  <c r="AA9" i="4"/>
  <c r="Z9" i="4"/>
  <c r="Y9" i="4"/>
  <c r="X9" i="4"/>
  <c r="W9" i="4"/>
  <c r="R9" i="4"/>
  <c r="Q9" i="4"/>
  <c r="V9" i="4" s="1"/>
  <c r="O9" i="4"/>
  <c r="N9" i="4"/>
  <c r="M9" i="4"/>
  <c r="L9" i="4"/>
  <c r="K9" i="4"/>
  <c r="J9" i="4"/>
  <c r="I9" i="4"/>
  <c r="H9" i="4"/>
  <c r="G9" i="4"/>
  <c r="F9" i="4"/>
  <c r="E9" i="4"/>
  <c r="C9" i="4"/>
  <c r="D9" i="4" s="1"/>
  <c r="B9" i="4"/>
  <c r="BE8" i="4"/>
  <c r="BD8" i="4"/>
  <c r="BC8" i="4"/>
  <c r="BB8" i="4"/>
  <c r="BA8" i="4"/>
  <c r="AZ8" i="4"/>
  <c r="AY8" i="4"/>
  <c r="AX8" i="4"/>
  <c r="AW8" i="4"/>
  <c r="AV8" i="4"/>
  <c r="AU8" i="4"/>
  <c r="AS8" i="4"/>
  <c r="AT8" i="4" s="1"/>
  <c r="AQ8" i="4"/>
  <c r="AP8" i="4"/>
  <c r="AO8" i="4"/>
  <c r="AN8" i="4"/>
  <c r="AM8" i="4"/>
  <c r="AL8" i="4"/>
  <c r="AK8" i="4"/>
  <c r="AJ8" i="4"/>
  <c r="AI8" i="4"/>
  <c r="AH8" i="4"/>
  <c r="AG8" i="4"/>
  <c r="AE8" i="4"/>
  <c r="AF8" i="4" s="1"/>
  <c r="AR8" i="4" s="1"/>
  <c r="Q8" i="4"/>
  <c r="L8" i="4"/>
  <c r="J8" i="4"/>
  <c r="I8" i="4"/>
  <c r="H8" i="4"/>
  <c r="G8" i="4"/>
  <c r="C8" i="4"/>
  <c r="B8" i="4"/>
  <c r="AS7" i="4"/>
  <c r="AX7" i="4" s="1"/>
  <c r="AH7" i="4"/>
  <c r="AF7" i="4"/>
  <c r="AE7" i="4"/>
  <c r="AC7" i="4"/>
  <c r="AB7" i="4"/>
  <c r="AA7" i="4"/>
  <c r="V7" i="4"/>
  <c r="T7" i="4"/>
  <c r="S7" i="4"/>
  <c r="R7" i="4"/>
  <c r="Q7" i="4"/>
  <c r="C7" i="4"/>
  <c r="B7" i="4"/>
  <c r="AX61" i="3"/>
  <c r="BE62" i="4" s="1"/>
  <c r="AW61" i="3"/>
  <c r="BD62" i="4" s="1"/>
  <c r="AV61" i="3"/>
  <c r="BC62" i="4" s="1"/>
  <c r="AU61" i="3"/>
  <c r="BB62" i="4" s="1"/>
  <c r="AT61" i="3"/>
  <c r="AS61" i="3"/>
  <c r="AR61" i="3"/>
  <c r="AQ61" i="3"/>
  <c r="AP61" i="3"/>
  <c r="AO61" i="3"/>
  <c r="AN61" i="3"/>
  <c r="AM61" i="3"/>
  <c r="AL61" i="3"/>
  <c r="AQ62" i="4" s="1"/>
  <c r="AK61" i="3"/>
  <c r="AJ61" i="3"/>
  <c r="AO62" i="4" s="1"/>
  <c r="AI61" i="3"/>
  <c r="AN62" i="4" s="1"/>
  <c r="AH61" i="3"/>
  <c r="AM62" i="4" s="1"/>
  <c r="AG61" i="3"/>
  <c r="AL62" i="4" s="1"/>
  <c r="AF61" i="3"/>
  <c r="AE61" i="3"/>
  <c r="AD61" i="3"/>
  <c r="AI62" i="4" s="1"/>
  <c r="AC61" i="3"/>
  <c r="AB61" i="3"/>
  <c r="AA61" i="3"/>
  <c r="AF62" i="4" s="1"/>
  <c r="Z61" i="3"/>
  <c r="Y61" i="3"/>
  <c r="X61" i="3"/>
  <c r="W61" i="3"/>
  <c r="V61" i="3"/>
  <c r="U61" i="3"/>
  <c r="T61" i="3"/>
  <c r="W62" i="4" s="1"/>
  <c r="S61" i="3"/>
  <c r="V62" i="4" s="1"/>
  <c r="R61" i="3"/>
  <c r="U62" i="4" s="1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G14" i="5" s="1"/>
  <c r="D61" i="3"/>
  <c r="F7" i="5" s="1"/>
  <c r="C61" i="3"/>
  <c r="AY60" i="3"/>
  <c r="AZ60" i="3" s="1"/>
  <c r="B60" i="3"/>
  <c r="AZ59" i="3"/>
  <c r="AY59" i="3"/>
  <c r="B59" i="3"/>
  <c r="AY58" i="3"/>
  <c r="AZ58" i="3" s="1"/>
  <c r="B58" i="3"/>
  <c r="AY57" i="3"/>
  <c r="AZ57" i="3" s="1"/>
  <c r="B57" i="3"/>
  <c r="AZ56" i="3"/>
  <c r="AY56" i="3"/>
  <c r="B56" i="3"/>
  <c r="AY55" i="3"/>
  <c r="AZ55" i="3" s="1"/>
  <c r="B55" i="3"/>
  <c r="AY54" i="3"/>
  <c r="AZ54" i="3" s="1"/>
  <c r="B54" i="3"/>
  <c r="AZ53" i="3"/>
  <c r="AY53" i="3"/>
  <c r="B53" i="3"/>
  <c r="AY52" i="3"/>
  <c r="AZ52" i="3" s="1"/>
  <c r="B52" i="3"/>
  <c r="AY51" i="3"/>
  <c r="AZ51" i="3" s="1"/>
  <c r="B51" i="3"/>
  <c r="AZ50" i="3"/>
  <c r="AY50" i="3"/>
  <c r="B50" i="3"/>
  <c r="AY49" i="3"/>
  <c r="AZ49" i="3" s="1"/>
  <c r="B49" i="3"/>
  <c r="AY48" i="3"/>
  <c r="AZ48" i="3" s="1"/>
  <c r="B48" i="3"/>
  <c r="AZ47" i="3"/>
  <c r="AY47" i="3"/>
  <c r="B47" i="3"/>
  <c r="AZ46" i="3"/>
  <c r="AY46" i="3"/>
  <c r="B46" i="3"/>
  <c r="AY45" i="3"/>
  <c r="AZ45" i="3" s="1"/>
  <c r="B45" i="3"/>
  <c r="AY44" i="3"/>
  <c r="AZ44" i="3" s="1"/>
  <c r="B44" i="3"/>
  <c r="AY43" i="3"/>
  <c r="AZ43" i="3" s="1"/>
  <c r="B43" i="3"/>
  <c r="AY42" i="3"/>
  <c r="AZ42" i="3" s="1"/>
  <c r="B42" i="3"/>
  <c r="AY41" i="3"/>
  <c r="AZ41" i="3" s="1"/>
  <c r="B41" i="3"/>
  <c r="AY40" i="3"/>
  <c r="AZ40" i="3" s="1"/>
  <c r="B40" i="3"/>
  <c r="AY39" i="3"/>
  <c r="AZ39" i="3" s="1"/>
  <c r="B39" i="3"/>
  <c r="AY38" i="3"/>
  <c r="AZ38" i="3" s="1"/>
  <c r="B38" i="3"/>
  <c r="AZ37" i="3"/>
  <c r="AY37" i="3"/>
  <c r="B37" i="3"/>
  <c r="AY36" i="3"/>
  <c r="AZ36" i="3" s="1"/>
  <c r="B36" i="3"/>
  <c r="AY35" i="3"/>
  <c r="AZ35" i="3" s="1"/>
  <c r="B35" i="3"/>
  <c r="AY34" i="3"/>
  <c r="AZ34" i="3" s="1"/>
  <c r="B34" i="3"/>
  <c r="AY33" i="3"/>
  <c r="AZ33" i="3" s="1"/>
  <c r="B33" i="3"/>
  <c r="AY32" i="3"/>
  <c r="AZ32" i="3" s="1"/>
  <c r="B32" i="3"/>
  <c r="AZ31" i="3"/>
  <c r="AY31" i="3"/>
  <c r="B31" i="3"/>
  <c r="AZ30" i="3"/>
  <c r="AY30" i="3"/>
  <c r="B30" i="3"/>
  <c r="AY29" i="3"/>
  <c r="AZ29" i="3" s="1"/>
  <c r="B29" i="3"/>
  <c r="AZ28" i="3"/>
  <c r="AY28" i="3"/>
  <c r="B28" i="3"/>
  <c r="AY27" i="3"/>
  <c r="AZ27" i="3" s="1"/>
  <c r="B27" i="3"/>
  <c r="AY26" i="3"/>
  <c r="AZ26" i="3" s="1"/>
  <c r="B26" i="3"/>
  <c r="AY25" i="3"/>
  <c r="AZ25" i="3" s="1"/>
  <c r="B25" i="3"/>
  <c r="AY24" i="3"/>
  <c r="AZ24" i="3" s="1"/>
  <c r="B24" i="3"/>
  <c r="AY23" i="3"/>
  <c r="AZ23" i="3" s="1"/>
  <c r="B23" i="3"/>
  <c r="AZ22" i="3"/>
  <c r="AY22" i="3"/>
  <c r="B22" i="3"/>
  <c r="AZ21" i="3"/>
  <c r="AY21" i="3"/>
  <c r="B21" i="3"/>
  <c r="AY20" i="3"/>
  <c r="AZ20" i="3" s="1"/>
  <c r="B20" i="3"/>
  <c r="AY19" i="3"/>
  <c r="AZ19" i="3" s="1"/>
  <c r="B19" i="3"/>
  <c r="AY18" i="3"/>
  <c r="AZ18" i="3" s="1"/>
  <c r="B18" i="3"/>
  <c r="AY17" i="3"/>
  <c r="AZ17" i="3" s="1"/>
  <c r="B17" i="3"/>
  <c r="AZ16" i="3"/>
  <c r="AY16" i="3"/>
  <c r="B16" i="3"/>
  <c r="AZ15" i="3"/>
  <c r="AY15" i="3"/>
  <c r="B15" i="3"/>
  <c r="AZ14" i="3"/>
  <c r="AY14" i="3"/>
  <c r="B14" i="3"/>
  <c r="AY13" i="3"/>
  <c r="AZ13" i="3" s="1"/>
  <c r="B13" i="3"/>
  <c r="AY12" i="3"/>
  <c r="AZ12" i="3" s="1"/>
  <c r="B12" i="3"/>
  <c r="AY11" i="3"/>
  <c r="AZ11" i="3" s="1"/>
  <c r="B11" i="3"/>
  <c r="AY10" i="3"/>
  <c r="AZ10" i="3" s="1"/>
  <c r="B10" i="3"/>
  <c r="AY9" i="3"/>
  <c r="AZ9" i="3" s="1"/>
  <c r="B9" i="3"/>
  <c r="AY8" i="3"/>
  <c r="AY61" i="3" s="1"/>
  <c r="B8" i="3"/>
  <c r="AZ7" i="3"/>
  <c r="AY7" i="3"/>
  <c r="B7" i="3"/>
  <c r="C24" i="13" l="1"/>
  <c r="E28" i="14"/>
  <c r="G28" i="14" s="1"/>
  <c r="O24" i="13"/>
  <c r="AF37" i="4"/>
  <c r="AP37" i="4"/>
  <c r="AN37" i="4"/>
  <c r="AQ37" i="4"/>
  <c r="AO37" i="4"/>
  <c r="AL37" i="4"/>
  <c r="AH37" i="4"/>
  <c r="AM37" i="4"/>
  <c r="AK37" i="4"/>
  <c r="AJ37" i="4"/>
  <c r="AG37" i="4"/>
  <c r="AI37" i="4"/>
  <c r="N42" i="4"/>
  <c r="L42" i="4"/>
  <c r="J42" i="4"/>
  <c r="G42" i="4"/>
  <c r="M42" i="4"/>
  <c r="I42" i="4"/>
  <c r="K42" i="4"/>
  <c r="H42" i="4"/>
  <c r="O42" i="4"/>
  <c r="E22" i="4"/>
  <c r="AH26" i="4"/>
  <c r="AF26" i="4"/>
  <c r="AQ26" i="4"/>
  <c r="AP26" i="4"/>
  <c r="AN26" i="4"/>
  <c r="AL26" i="4"/>
  <c r="AO26" i="4"/>
  <c r="AU28" i="4"/>
  <c r="E42" i="4"/>
  <c r="F73" i="14"/>
  <c r="H73" i="14"/>
  <c r="AU18" i="4"/>
  <c r="F22" i="4"/>
  <c r="P22" i="4" s="1"/>
  <c r="AW18" i="4"/>
  <c r="AF20" i="4"/>
  <c r="I22" i="4"/>
  <c r="BD33" i="4"/>
  <c r="BC33" i="4"/>
  <c r="AW33" i="4"/>
  <c r="AV33" i="4"/>
  <c r="AU33" i="4"/>
  <c r="AT33" i="4"/>
  <c r="BE33" i="4"/>
  <c r="BB33" i="4"/>
  <c r="R92" i="4"/>
  <c r="AG20" i="4"/>
  <c r="AX33" i="4"/>
  <c r="AY18" i="4"/>
  <c r="AH20" i="4"/>
  <c r="AK26" i="4"/>
  <c r="V30" i="4"/>
  <c r="AB30" i="4"/>
  <c r="Z30" i="4"/>
  <c r="AC30" i="4"/>
  <c r="Y30" i="4"/>
  <c r="U30" i="4"/>
  <c r="AA30" i="4"/>
  <c r="X30" i="4"/>
  <c r="T30" i="4"/>
  <c r="W30" i="4"/>
  <c r="AY33" i="4"/>
  <c r="W61" i="4"/>
  <c r="R61" i="4"/>
  <c r="AB61" i="4"/>
  <c r="AA61" i="4"/>
  <c r="Z61" i="4"/>
  <c r="Y61" i="4"/>
  <c r="AC61" i="4"/>
  <c r="X61" i="4"/>
  <c r="U61" i="4"/>
  <c r="V61" i="4"/>
  <c r="S61" i="4"/>
  <c r="BE10" i="4"/>
  <c r="BC10" i="4"/>
  <c r="BD10" i="4"/>
  <c r="BB10" i="4"/>
  <c r="BA10" i="4"/>
  <c r="AY10" i="4"/>
  <c r="AZ10" i="4"/>
  <c r="AI20" i="4"/>
  <c r="AM26" i="4"/>
  <c r="R30" i="4"/>
  <c r="AZ33" i="4"/>
  <c r="AN49" i="4"/>
  <c r="AM49" i="4"/>
  <c r="AL49" i="4"/>
  <c r="AK49" i="4"/>
  <c r="AI49" i="4"/>
  <c r="AH49" i="4"/>
  <c r="AG49" i="4"/>
  <c r="AF49" i="4"/>
  <c r="AP49" i="4"/>
  <c r="AO49" i="4"/>
  <c r="AQ49" i="4"/>
  <c r="T61" i="4"/>
  <c r="S30" i="4"/>
  <c r="O33" i="13"/>
  <c r="E37" i="14"/>
  <c r="G37" i="14" s="1"/>
  <c r="E47" i="14"/>
  <c r="G47" i="14" s="1"/>
  <c r="O43" i="13"/>
  <c r="AU10" i="4"/>
  <c r="AN12" i="4"/>
  <c r="AM12" i="4"/>
  <c r="AR12" i="4" s="1"/>
  <c r="AL12" i="4"/>
  <c r="AK12" i="4"/>
  <c r="AI12" i="4"/>
  <c r="AP12" i="4"/>
  <c r="AQ12" i="4"/>
  <c r="R18" i="4"/>
  <c r="F14" i="5"/>
  <c r="D52" i="14"/>
  <c r="O48" i="12"/>
  <c r="C48" i="12"/>
  <c r="AZ8" i="3"/>
  <c r="BE7" i="4"/>
  <c r="BD7" i="4"/>
  <c r="BC7" i="4"/>
  <c r="BA7" i="4"/>
  <c r="AY7" i="4"/>
  <c r="BB7" i="4"/>
  <c r="AZ7" i="4"/>
  <c r="AT16" i="4"/>
  <c r="AV18" i="4"/>
  <c r="BE18" i="4"/>
  <c r="BC18" i="4"/>
  <c r="BA18" i="4"/>
  <c r="BB18" i="4"/>
  <c r="BD18" i="4"/>
  <c r="AB25" i="4"/>
  <c r="Z25" i="4"/>
  <c r="AC25" i="4"/>
  <c r="Y25" i="4"/>
  <c r="W25" i="4"/>
  <c r="AA25" i="4"/>
  <c r="X25" i="4"/>
  <c r="U25" i="4"/>
  <c r="V25" i="4"/>
  <c r="AT28" i="4"/>
  <c r="BE28" i="4"/>
  <c r="BD28" i="4"/>
  <c r="BC28" i="4"/>
  <c r="BB28" i="4"/>
  <c r="AZ28" i="4"/>
  <c r="AX28" i="4"/>
  <c r="AV28" i="4"/>
  <c r="F25" i="14"/>
  <c r="H25" i="14"/>
  <c r="AJ26" i="4"/>
  <c r="Z52" i="4"/>
  <c r="Y52" i="4"/>
  <c r="X52" i="4"/>
  <c r="W52" i="4"/>
  <c r="AB52" i="4"/>
  <c r="AA52" i="4"/>
  <c r="V52" i="4"/>
  <c r="U52" i="4"/>
  <c r="S52" i="4"/>
  <c r="T52" i="4"/>
  <c r="AC52" i="4"/>
  <c r="R52" i="4"/>
  <c r="AD52" i="4" s="1"/>
  <c r="L10" i="4"/>
  <c r="K10" i="4"/>
  <c r="J10" i="4"/>
  <c r="I10" i="4"/>
  <c r="G10" i="4"/>
  <c r="M10" i="4"/>
  <c r="O10" i="4"/>
  <c r="D10" i="4"/>
  <c r="N10" i="4"/>
  <c r="H10" i="4"/>
  <c r="F10" i="4"/>
  <c r="E10" i="4"/>
  <c r="AV10" i="4"/>
  <c r="I26" i="4"/>
  <c r="H26" i="4"/>
  <c r="G26" i="4"/>
  <c r="F26" i="4"/>
  <c r="D26" i="4"/>
  <c r="N26" i="4"/>
  <c r="O26" i="4"/>
  <c r="AB28" i="4"/>
  <c r="U28" i="4"/>
  <c r="T28" i="4"/>
  <c r="S28" i="4"/>
  <c r="R28" i="4"/>
  <c r="Z28" i="4"/>
  <c r="AA28" i="4"/>
  <c r="AC28" i="4"/>
  <c r="T29" i="4"/>
  <c r="R29" i="4"/>
  <c r="AC29" i="4"/>
  <c r="AA29" i="4"/>
  <c r="Z29" i="4"/>
  <c r="Y29" i="4"/>
  <c r="AB29" i="4"/>
  <c r="AP36" i="4"/>
  <c r="AK36" i="4"/>
  <c r="AI36" i="4"/>
  <c r="AQ36" i="4"/>
  <c r="AN36" i="4"/>
  <c r="AO36" i="4"/>
  <c r="AH36" i="4"/>
  <c r="AG36" i="4"/>
  <c r="AM36" i="4"/>
  <c r="AL36" i="4"/>
  <c r="AJ36" i="4"/>
  <c r="AD37" i="4"/>
  <c r="G78" i="4"/>
  <c r="F78" i="4"/>
  <c r="E78" i="4"/>
  <c r="O78" i="4"/>
  <c r="N78" i="4"/>
  <c r="K78" i="4"/>
  <c r="M78" i="4"/>
  <c r="J78" i="4"/>
  <c r="L78" i="4"/>
  <c r="M79" i="4"/>
  <c r="L79" i="4"/>
  <c r="K79" i="4"/>
  <c r="D79" i="4"/>
  <c r="H79" i="4"/>
  <c r="G79" i="4"/>
  <c r="F79" i="4"/>
  <c r="E79" i="4"/>
  <c r="N79" i="4"/>
  <c r="O79" i="4"/>
  <c r="G15" i="5"/>
  <c r="G8" i="5"/>
  <c r="AB47" i="4"/>
  <c r="AA47" i="4"/>
  <c r="Z47" i="4"/>
  <c r="Y47" i="4"/>
  <c r="AC47" i="4"/>
  <c r="X47" i="4"/>
  <c r="V47" i="4"/>
  <c r="W47" i="4"/>
  <c r="U47" i="4"/>
  <c r="T47" i="4"/>
  <c r="R47" i="4"/>
  <c r="AD47" i="4" s="1"/>
  <c r="AC50" i="4"/>
  <c r="AB50" i="4"/>
  <c r="AA50" i="4"/>
  <c r="U50" i="4"/>
  <c r="T50" i="4"/>
  <c r="S50" i="4"/>
  <c r="R50" i="4"/>
  <c r="Y50" i="4"/>
  <c r="X50" i="4"/>
  <c r="W50" i="4"/>
  <c r="V50" i="4"/>
  <c r="O56" i="4"/>
  <c r="M56" i="4"/>
  <c r="K56" i="4"/>
  <c r="J56" i="4"/>
  <c r="I56" i="4"/>
  <c r="H56" i="4"/>
  <c r="F56" i="4"/>
  <c r="D56" i="4"/>
  <c r="N56" i="4"/>
  <c r="L56" i="4"/>
  <c r="AZ16" i="4"/>
  <c r="BE16" i="4"/>
  <c r="BD16" i="4"/>
  <c r="BC16" i="4"/>
  <c r="BB16" i="4"/>
  <c r="AY16" i="4"/>
  <c r="AW16" i="4"/>
  <c r="BA16" i="4"/>
  <c r="AX16" i="4"/>
  <c r="H22" i="4"/>
  <c r="O22" i="4"/>
  <c r="N22" i="4"/>
  <c r="M22" i="4"/>
  <c r="L22" i="4"/>
  <c r="J22" i="4"/>
  <c r="G22" i="4"/>
  <c r="U58" i="4"/>
  <c r="AC58" i="4"/>
  <c r="AB58" i="4"/>
  <c r="AA58" i="4"/>
  <c r="Z58" i="4"/>
  <c r="Y58" i="4"/>
  <c r="W58" i="4"/>
  <c r="X58" i="4"/>
  <c r="V58" i="4"/>
  <c r="T58" i="4"/>
  <c r="R58" i="4"/>
  <c r="AD58" i="4" s="1"/>
  <c r="E7" i="5"/>
  <c r="H7" i="5" s="1"/>
  <c r="E14" i="5"/>
  <c r="H14" i="5" s="1"/>
  <c r="K14" i="5"/>
  <c r="AT7" i="4"/>
  <c r="D42" i="4"/>
  <c r="AQ50" i="4"/>
  <c r="AO50" i="4"/>
  <c r="AN50" i="4"/>
  <c r="AM50" i="4"/>
  <c r="AL50" i="4"/>
  <c r="AJ50" i="4"/>
  <c r="AG50" i="4"/>
  <c r="AP50" i="4"/>
  <c r="AK50" i="4"/>
  <c r="AH50" i="4"/>
  <c r="AI50" i="4"/>
  <c r="G56" i="4"/>
  <c r="S58" i="4"/>
  <c r="AU7" i="4"/>
  <c r="BD14" i="4"/>
  <c r="BA14" i="4"/>
  <c r="AZ14" i="4"/>
  <c r="AY14" i="4"/>
  <c r="AX14" i="4"/>
  <c r="AV14" i="4"/>
  <c r="BB14" i="4"/>
  <c r="BE14" i="4"/>
  <c r="BC14" i="4"/>
  <c r="AU16" i="4"/>
  <c r="AT18" i="4"/>
  <c r="BF18" i="4" s="1"/>
  <c r="R25" i="4"/>
  <c r="AF50" i="4"/>
  <c r="J7" i="4"/>
  <c r="I7" i="4"/>
  <c r="H7" i="4"/>
  <c r="G7" i="4"/>
  <c r="E7" i="4"/>
  <c r="M7" i="4"/>
  <c r="D7" i="4"/>
  <c r="O7" i="4"/>
  <c r="N7" i="4"/>
  <c r="L7" i="4"/>
  <c r="K7" i="4"/>
  <c r="F7" i="4"/>
  <c r="AV7" i="4"/>
  <c r="AT14" i="4"/>
  <c r="BF14" i="4" s="1"/>
  <c r="AQ20" i="4"/>
  <c r="AO20" i="4"/>
  <c r="AM20" i="4"/>
  <c r="AP20" i="4"/>
  <c r="AN20" i="4"/>
  <c r="AK20" i="4"/>
  <c r="AL20" i="4"/>
  <c r="AG26" i="4"/>
  <c r="R40" i="4"/>
  <c r="Z40" i="4"/>
  <c r="X40" i="4"/>
  <c r="U40" i="4"/>
  <c r="AC40" i="4"/>
  <c r="AA40" i="4"/>
  <c r="AB40" i="4"/>
  <c r="T40" i="4"/>
  <c r="Y40" i="4"/>
  <c r="W40" i="4"/>
  <c r="V40" i="4"/>
  <c r="F42" i="4"/>
  <c r="AW7" i="4"/>
  <c r="T25" i="4"/>
  <c r="AI26" i="4"/>
  <c r="S40" i="4"/>
  <c r="H51" i="14"/>
  <c r="G51" i="14"/>
  <c r="AW14" i="4"/>
  <c r="AX18" i="4"/>
  <c r="K22" i="4"/>
  <c r="AY28" i="4"/>
  <c r="AD46" i="4"/>
  <c r="K83" i="4"/>
  <c r="M83" i="4"/>
  <c r="L83" i="4"/>
  <c r="J83" i="4"/>
  <c r="N83" i="4"/>
  <c r="I83" i="4"/>
  <c r="H83" i="4"/>
  <c r="O83" i="4"/>
  <c r="G83" i="4"/>
  <c r="F83" i="4"/>
  <c r="D83" i="4"/>
  <c r="BA28" i="4"/>
  <c r="E83" i="4"/>
  <c r="N13" i="4"/>
  <c r="M13" i="4"/>
  <c r="L13" i="4"/>
  <c r="P13" i="4" s="1"/>
  <c r="K13" i="4"/>
  <c r="I13" i="4"/>
  <c r="E13" i="4"/>
  <c r="J13" i="4"/>
  <c r="O13" i="4"/>
  <c r="H13" i="4"/>
  <c r="G13" i="4"/>
  <c r="F13" i="4"/>
  <c r="G7" i="5"/>
  <c r="AT10" i="4"/>
  <c r="Z18" i="4"/>
  <c r="Y18" i="4"/>
  <c r="X18" i="4"/>
  <c r="W18" i="4"/>
  <c r="U18" i="4"/>
  <c r="AC18" i="4"/>
  <c r="BA33" i="4"/>
  <c r="AJ49" i="4"/>
  <c r="AW10" i="4"/>
  <c r="AG12" i="4"/>
  <c r="T18" i="4"/>
  <c r="L20" i="4"/>
  <c r="M20" i="4"/>
  <c r="K20" i="4"/>
  <c r="J20" i="4"/>
  <c r="I20" i="4"/>
  <c r="G20" i="4"/>
  <c r="E20" i="4"/>
  <c r="P20" i="4" s="1"/>
  <c r="N20" i="4"/>
  <c r="O20" i="4"/>
  <c r="AP23" i="4"/>
  <c r="AO23" i="4"/>
  <c r="AN23" i="4"/>
  <c r="AM23" i="4"/>
  <c r="AK23" i="4"/>
  <c r="AI23" i="4"/>
  <c r="AL23" i="4"/>
  <c r="AF23" i="4"/>
  <c r="AQ23" i="4"/>
  <c r="AJ23" i="4"/>
  <c r="AH23" i="4"/>
  <c r="AG23" i="4"/>
  <c r="E26" i="4"/>
  <c r="V28" i="4"/>
  <c r="S29" i="4"/>
  <c r="AF36" i="4"/>
  <c r="BB38" i="4"/>
  <c r="BD38" i="4"/>
  <c r="AZ38" i="4"/>
  <c r="AW38" i="4"/>
  <c r="AV38" i="4"/>
  <c r="AU38" i="4"/>
  <c r="AT38" i="4"/>
  <c r="BC38" i="4"/>
  <c r="BA38" i="4"/>
  <c r="BE38" i="4"/>
  <c r="BE47" i="4"/>
  <c r="AY47" i="4"/>
  <c r="AX47" i="4"/>
  <c r="AW47" i="4"/>
  <c r="AV47" i="4"/>
  <c r="AT47" i="4"/>
  <c r="BD47" i="4"/>
  <c r="BC47" i="4"/>
  <c r="BB47" i="4"/>
  <c r="BA47" i="4"/>
  <c r="AU47" i="4"/>
  <c r="AW60" i="4"/>
  <c r="AY60" i="4"/>
  <c r="AX60" i="4"/>
  <c r="AV60" i="4"/>
  <c r="AU60" i="4"/>
  <c r="BE60" i="4"/>
  <c r="BF60" i="4" s="1"/>
  <c r="BD60" i="4"/>
  <c r="BB60" i="4"/>
  <c r="AZ60" i="4"/>
  <c r="BC60" i="4"/>
  <c r="AD77" i="4"/>
  <c r="D78" i="4"/>
  <c r="I79" i="4"/>
  <c r="AX10" i="4"/>
  <c r="Z17" i="4"/>
  <c r="AB17" i="4"/>
  <c r="AC17" i="4"/>
  <c r="W17" i="4"/>
  <c r="AA17" i="4"/>
  <c r="Y17" i="4"/>
  <c r="X17" i="4"/>
  <c r="V17" i="4"/>
  <c r="U17" i="4"/>
  <c r="S17" i="4"/>
  <c r="T17" i="4"/>
  <c r="V18" i="4"/>
  <c r="J26" i="4"/>
  <c r="W28" i="4"/>
  <c r="U29" i="4"/>
  <c r="AZ51" i="4"/>
  <c r="AY51" i="4"/>
  <c r="AX51" i="4"/>
  <c r="AW51" i="4"/>
  <c r="BF51" i="4" s="1"/>
  <c r="BE51" i="4"/>
  <c r="BD51" i="4"/>
  <c r="BB51" i="4"/>
  <c r="AU51" i="4"/>
  <c r="BC51" i="4"/>
  <c r="AV51" i="4"/>
  <c r="BA51" i="4"/>
  <c r="H57" i="4"/>
  <c r="G57" i="4"/>
  <c r="F57" i="4"/>
  <c r="E57" i="4"/>
  <c r="O57" i="4"/>
  <c r="M57" i="4"/>
  <c r="L57" i="4"/>
  <c r="K57" i="4"/>
  <c r="N57" i="4"/>
  <c r="H78" i="4"/>
  <c r="J79" i="4"/>
  <c r="M89" i="4"/>
  <c r="O89" i="4"/>
  <c r="I89" i="4"/>
  <c r="G89" i="4"/>
  <c r="L89" i="4"/>
  <c r="N89" i="4"/>
  <c r="J89" i="4"/>
  <c r="K89" i="4"/>
  <c r="F89" i="4"/>
  <c r="H89" i="4"/>
  <c r="P89" i="4" s="1"/>
  <c r="K15" i="5"/>
  <c r="E15" i="5"/>
  <c r="E8" i="5"/>
  <c r="H8" i="5" s="1"/>
  <c r="AC8" i="4"/>
  <c r="AC92" i="4" s="1"/>
  <c r="AA8" i="4"/>
  <c r="AB8" i="4"/>
  <c r="W8" i="4"/>
  <c r="Z8" i="4"/>
  <c r="Y8" i="4"/>
  <c r="X8" i="4"/>
  <c r="V8" i="4"/>
  <c r="U8" i="4"/>
  <c r="T8" i="4"/>
  <c r="S8" i="4"/>
  <c r="S92" i="4" s="1"/>
  <c r="P9" i="4"/>
  <c r="AD17" i="4"/>
  <c r="AA18" i="4"/>
  <c r="P23" i="4"/>
  <c r="X33" i="4"/>
  <c r="W33" i="4"/>
  <c r="U33" i="4"/>
  <c r="AC33" i="4"/>
  <c r="AB33" i="4"/>
  <c r="AA33" i="4"/>
  <c r="Y33" i="4"/>
  <c r="T33" i="4"/>
  <c r="Z33" i="4"/>
  <c r="V33" i="4"/>
  <c r="P90" i="4"/>
  <c r="F15" i="5"/>
  <c r="F8" i="5"/>
  <c r="R8" i="4"/>
  <c r="BF8" i="4"/>
  <c r="AL9" i="4"/>
  <c r="AK9" i="4"/>
  <c r="AJ9" i="4"/>
  <c r="AI9" i="4"/>
  <c r="AG9" i="4"/>
  <c r="AQ9" i="4"/>
  <c r="AO9" i="4"/>
  <c r="AP9" i="4"/>
  <c r="AR9" i="4" s="1"/>
  <c r="AC15" i="4"/>
  <c r="AB15" i="4"/>
  <c r="AA15" i="4"/>
  <c r="Z15" i="4"/>
  <c r="X15" i="4"/>
  <c r="AD15" i="4" s="1"/>
  <c r="S15" i="4"/>
  <c r="W15" i="4"/>
  <c r="Y15" i="4"/>
  <c r="V15" i="4"/>
  <c r="U15" i="4"/>
  <c r="T15" i="4"/>
  <c r="AB18" i="4"/>
  <c r="L26" i="4"/>
  <c r="Y28" i="4"/>
  <c r="W29" i="4"/>
  <c r="BF32" i="4"/>
  <c r="R33" i="4"/>
  <c r="AD33" i="4" s="1"/>
  <c r="I40" i="4"/>
  <c r="G40" i="4"/>
  <c r="D40" i="4"/>
  <c r="P40" i="4" s="1"/>
  <c r="N40" i="4"/>
  <c r="M40" i="4"/>
  <c r="L40" i="4"/>
  <c r="K40" i="4"/>
  <c r="H40" i="4"/>
  <c r="E40" i="4"/>
  <c r="AO42" i="4"/>
  <c r="AM42" i="4"/>
  <c r="AL42" i="4"/>
  <c r="AK42" i="4"/>
  <c r="AJ42" i="4"/>
  <c r="AH42" i="4"/>
  <c r="AF42" i="4"/>
  <c r="AR42" i="4" s="1"/>
  <c r="AN42" i="4"/>
  <c r="AP42" i="4"/>
  <c r="AQ42" i="4"/>
  <c r="O48" i="4"/>
  <c r="L48" i="4"/>
  <c r="K48" i="4"/>
  <c r="J48" i="4"/>
  <c r="I48" i="4"/>
  <c r="G48" i="4"/>
  <c r="F48" i="4"/>
  <c r="P48" i="4" s="1"/>
  <c r="BG48" i="4" s="1"/>
  <c r="N48" i="4"/>
  <c r="H48" i="4"/>
  <c r="M48" i="4"/>
  <c r="I57" i="4"/>
  <c r="P57" i="4" s="1"/>
  <c r="Y73" i="4"/>
  <c r="X73" i="4"/>
  <c r="W73" i="4"/>
  <c r="AA73" i="4"/>
  <c r="V73" i="4"/>
  <c r="AC73" i="4"/>
  <c r="AB73" i="4"/>
  <c r="Z73" i="4"/>
  <c r="T73" i="4"/>
  <c r="S73" i="4"/>
  <c r="U73" i="4"/>
  <c r="R73" i="4"/>
  <c r="AA76" i="4"/>
  <c r="Z76" i="4"/>
  <c r="Y76" i="4"/>
  <c r="T76" i="4"/>
  <c r="R76" i="4"/>
  <c r="AB76" i="4"/>
  <c r="W76" i="4"/>
  <c r="V76" i="4"/>
  <c r="U76" i="4"/>
  <c r="S76" i="4"/>
  <c r="AC76" i="4"/>
  <c r="E89" i="4"/>
  <c r="AP7" i="4"/>
  <c r="AO7" i="4"/>
  <c r="AN7" i="4"/>
  <c r="AM7" i="4"/>
  <c r="AK7" i="4"/>
  <c r="AQ10" i="4"/>
  <c r="AP10" i="4"/>
  <c r="AO10" i="4"/>
  <c r="AM10" i="4"/>
  <c r="X12" i="4"/>
  <c r="W12" i="4"/>
  <c r="V12" i="4"/>
  <c r="V92" i="4" s="1"/>
  <c r="U12" i="4"/>
  <c r="S12" i="4"/>
  <c r="I18" i="4"/>
  <c r="H18" i="4"/>
  <c r="G18" i="4"/>
  <c r="F18" i="4"/>
  <c r="D18" i="4"/>
  <c r="W21" i="4"/>
  <c r="AX21" i="4"/>
  <c r="BD21" i="4"/>
  <c r="BC21" i="4"/>
  <c r="BB21" i="4"/>
  <c r="BA21" i="4"/>
  <c r="AY21" i="4"/>
  <c r="BF21" i="4" s="1"/>
  <c r="AV21" i="4"/>
  <c r="X22" i="4"/>
  <c r="AC22" i="4"/>
  <c r="AA22" i="4"/>
  <c r="Y22" i="4"/>
  <c r="E24" i="4"/>
  <c r="AG27" i="4"/>
  <c r="H31" i="4"/>
  <c r="G32" i="4"/>
  <c r="AN33" i="4"/>
  <c r="AO33" i="4"/>
  <c r="AL33" i="4"/>
  <c r="AR33" i="4" s="1"/>
  <c r="AP33" i="4"/>
  <c r="AZ35" i="4"/>
  <c r="AW35" i="4"/>
  <c r="AV35" i="4"/>
  <c r="AU35" i="4"/>
  <c r="AT35" i="4"/>
  <c r="T38" i="4"/>
  <c r="AV40" i="4"/>
  <c r="P43" i="4"/>
  <c r="BD49" i="4"/>
  <c r="BC49" i="4"/>
  <c r="BB49" i="4"/>
  <c r="BA49" i="4"/>
  <c r="BE49" i="4"/>
  <c r="AZ49" i="4"/>
  <c r="AX49" i="4"/>
  <c r="AW49" i="4"/>
  <c r="AV49" i="4"/>
  <c r="AU49" i="4"/>
  <c r="AT49" i="4"/>
  <c r="AP52" i="4"/>
  <c r="AO52" i="4"/>
  <c r="AN52" i="4"/>
  <c r="AM52" i="4"/>
  <c r="AQ52" i="4"/>
  <c r="AI52" i="4"/>
  <c r="AH52" i="4"/>
  <c r="AG52" i="4"/>
  <c r="AF52" i="4"/>
  <c r="R54" i="4"/>
  <c r="AJ59" i="4"/>
  <c r="T66" i="4"/>
  <c r="AI67" i="4"/>
  <c r="AM67" i="4"/>
  <c r="AK67" i="4"/>
  <c r="AH67" i="4"/>
  <c r="AF67" i="4"/>
  <c r="AP67" i="4"/>
  <c r="AO67" i="4"/>
  <c r="BE73" i="4"/>
  <c r="BD73" i="4"/>
  <c r="BC73" i="4"/>
  <c r="AT73" i="4"/>
  <c r="BA73" i="4"/>
  <c r="BB73" i="4"/>
  <c r="AZ73" i="4"/>
  <c r="AY73" i="4"/>
  <c r="AW73" i="4"/>
  <c r="BF74" i="4"/>
  <c r="AM82" i="4"/>
  <c r="AQ83" i="4"/>
  <c r="AJ83" i="4"/>
  <c r="AH83" i="4"/>
  <c r="AP83" i="4"/>
  <c r="AN83" i="4"/>
  <c r="AK83" i="4"/>
  <c r="AM83" i="4"/>
  <c r="H86" i="4"/>
  <c r="C30" i="12"/>
  <c r="D34" i="14"/>
  <c r="O30" i="12"/>
  <c r="D62" i="14"/>
  <c r="O58" i="12"/>
  <c r="C58" i="12"/>
  <c r="E20" i="14"/>
  <c r="G20" i="14" s="1"/>
  <c r="C16" i="13"/>
  <c r="O16" i="13"/>
  <c r="J62" i="4"/>
  <c r="K62" i="4"/>
  <c r="H62" i="4"/>
  <c r="G62" i="4"/>
  <c r="F62" i="4"/>
  <c r="E62" i="4"/>
  <c r="N62" i="4"/>
  <c r="C52" i="13"/>
  <c r="E56" i="14"/>
  <c r="G56" i="14" s="1"/>
  <c r="O52" i="13"/>
  <c r="AQ13" i="4"/>
  <c r="AO13" i="4"/>
  <c r="AF27" i="4"/>
  <c r="F31" i="4"/>
  <c r="E32" i="4"/>
  <c r="BB54" i="4"/>
  <c r="BA54" i="4"/>
  <c r="AZ54" i="4"/>
  <c r="AY54" i="4"/>
  <c r="BC54" i="4"/>
  <c r="AX54" i="4"/>
  <c r="AW54" i="4"/>
  <c r="AV54" i="4"/>
  <c r="AT54" i="4"/>
  <c r="D62" i="4"/>
  <c r="M71" i="4"/>
  <c r="L71" i="4"/>
  <c r="K71" i="4"/>
  <c r="J71" i="4"/>
  <c r="H71" i="4"/>
  <c r="N71" i="4"/>
  <c r="F71" i="4"/>
  <c r="O71" i="4"/>
  <c r="G71" i="4"/>
  <c r="I71" i="4"/>
  <c r="D71" i="4"/>
  <c r="G86" i="4"/>
  <c r="F10" i="5"/>
  <c r="F17" i="5"/>
  <c r="AU62" i="4"/>
  <c r="AR10" i="4"/>
  <c r="AG13" i="4"/>
  <c r="AR13" i="4" s="1"/>
  <c r="AF18" i="4"/>
  <c r="AQ18" i="4"/>
  <c r="AP18" i="4"/>
  <c r="AO18" i="4"/>
  <c r="AN18" i="4"/>
  <c r="AL18" i="4"/>
  <c r="AJ18" i="4"/>
  <c r="X21" i="4"/>
  <c r="F24" i="4"/>
  <c r="R26" i="4"/>
  <c r="AA26" i="4"/>
  <c r="Z26" i="4"/>
  <c r="Y26" i="4"/>
  <c r="X26" i="4"/>
  <c r="V26" i="4"/>
  <c r="T26" i="4"/>
  <c r="AI27" i="4"/>
  <c r="AM28" i="4"/>
  <c r="AL28" i="4"/>
  <c r="AK28" i="4"/>
  <c r="AJ28" i="4"/>
  <c r="AH28" i="4"/>
  <c r="AF28" i="4"/>
  <c r="D29" i="4"/>
  <c r="O29" i="4"/>
  <c r="N29" i="4"/>
  <c r="M29" i="4"/>
  <c r="K29" i="4"/>
  <c r="I29" i="4"/>
  <c r="N31" i="4"/>
  <c r="N32" i="4"/>
  <c r="M37" i="4"/>
  <c r="K37" i="4"/>
  <c r="I37" i="4"/>
  <c r="H37" i="4"/>
  <c r="G37" i="4"/>
  <c r="F37" i="4"/>
  <c r="D37" i="4"/>
  <c r="AY40" i="4"/>
  <c r="AF45" i="4"/>
  <c r="AQ45" i="4"/>
  <c r="AP45" i="4"/>
  <c r="AO45" i="4"/>
  <c r="AM45" i="4"/>
  <c r="AN45" i="4"/>
  <c r="AL45" i="4"/>
  <c r="AK45" i="4"/>
  <c r="AI45" i="4"/>
  <c r="AG45" i="4"/>
  <c r="H49" i="4"/>
  <c r="G49" i="4"/>
  <c r="F49" i="4"/>
  <c r="E49" i="4"/>
  <c r="O49" i="4"/>
  <c r="N49" i="4"/>
  <c r="M49" i="4"/>
  <c r="L49" i="4"/>
  <c r="J49" i="4"/>
  <c r="K49" i="4"/>
  <c r="D49" i="4"/>
  <c r="W54" i="4"/>
  <c r="BD54" i="4"/>
  <c r="AQ55" i="4"/>
  <c r="AP55" i="4"/>
  <c r="AO55" i="4"/>
  <c r="AK55" i="4"/>
  <c r="AJ55" i="4"/>
  <c r="AI55" i="4"/>
  <c r="AH55" i="4"/>
  <c r="AF55" i="4"/>
  <c r="AN55" i="4"/>
  <c r="AM55" i="4"/>
  <c r="AG55" i="4"/>
  <c r="X57" i="4"/>
  <c r="W57" i="4"/>
  <c r="V57" i="4"/>
  <c r="U57" i="4"/>
  <c r="Y57" i="4"/>
  <c r="T57" i="4"/>
  <c r="S57" i="4"/>
  <c r="R57" i="4"/>
  <c r="AC57" i="4"/>
  <c r="AB57" i="4"/>
  <c r="AA57" i="4"/>
  <c r="Z57" i="4"/>
  <c r="L62" i="4"/>
  <c r="BF66" i="4"/>
  <c r="AR74" i="4"/>
  <c r="D54" i="14"/>
  <c r="O50" i="12"/>
  <c r="C50" i="12"/>
  <c r="O9" i="13"/>
  <c r="C9" i="13"/>
  <c r="E13" i="14"/>
  <c r="G13" i="14" s="1"/>
  <c r="O17" i="13"/>
  <c r="E21" i="14"/>
  <c r="G21" i="14" s="1"/>
  <c r="C17" i="13"/>
  <c r="F84" i="14"/>
  <c r="AG7" i="4"/>
  <c r="AG10" i="4"/>
  <c r="T12" i="4"/>
  <c r="BD12" i="4"/>
  <c r="BC12" i="4"/>
  <c r="BB12" i="4"/>
  <c r="BA12" i="4"/>
  <c r="AY12" i="4"/>
  <c r="AH13" i="4"/>
  <c r="AH92" i="4" s="1"/>
  <c r="J18" i="4"/>
  <c r="AG18" i="4"/>
  <c r="F19" i="4"/>
  <c r="N19" i="4"/>
  <c r="L19" i="4"/>
  <c r="BB19" i="4"/>
  <c r="BA19" i="4"/>
  <c r="AZ19" i="4"/>
  <c r="AY19" i="4"/>
  <c r="AX19" i="4"/>
  <c r="AV19" i="4"/>
  <c r="AT19" i="4"/>
  <c r="BF19" i="4" s="1"/>
  <c r="AB20" i="4"/>
  <c r="AC20" i="4"/>
  <c r="AA20" i="4"/>
  <c r="Z20" i="4"/>
  <c r="X20" i="4"/>
  <c r="V20" i="4"/>
  <c r="Y21" i="4"/>
  <c r="AU21" i="4"/>
  <c r="S22" i="4"/>
  <c r="G24" i="4"/>
  <c r="S26" i="4"/>
  <c r="AG28" i="4"/>
  <c r="E29" i="4"/>
  <c r="AG33" i="4"/>
  <c r="T35" i="4"/>
  <c r="AD35" i="4" s="1"/>
  <c r="AA35" i="4"/>
  <c r="Y35" i="4"/>
  <c r="AC35" i="4"/>
  <c r="AB35" i="4"/>
  <c r="Z35" i="4"/>
  <c r="W35" i="4"/>
  <c r="U35" i="4"/>
  <c r="AY35" i="4"/>
  <c r="E37" i="4"/>
  <c r="AH45" i="4"/>
  <c r="I49" i="4"/>
  <c r="AK52" i="4"/>
  <c r="AC53" i="4"/>
  <c r="AB53" i="4"/>
  <c r="AA53" i="4"/>
  <c r="Y53" i="4"/>
  <c r="X53" i="4"/>
  <c r="V53" i="4"/>
  <c r="X54" i="4"/>
  <c r="BE54" i="4"/>
  <c r="AL55" i="4"/>
  <c r="M62" i="4"/>
  <c r="AJ67" i="4"/>
  <c r="AV73" i="4"/>
  <c r="BA75" i="4"/>
  <c r="AZ75" i="4"/>
  <c r="AY75" i="4"/>
  <c r="BE75" i="4"/>
  <c r="AT75" i="4"/>
  <c r="BC75" i="4"/>
  <c r="BB75" i="4"/>
  <c r="AX75" i="4"/>
  <c r="AW75" i="4"/>
  <c r="AU75" i="4"/>
  <c r="BD75" i="4"/>
  <c r="BF79" i="4"/>
  <c r="AG83" i="4"/>
  <c r="AR83" i="4" s="1"/>
  <c r="O18" i="12"/>
  <c r="C18" i="12"/>
  <c r="D22" i="14"/>
  <c r="O24" i="12"/>
  <c r="D28" i="14"/>
  <c r="C24" i="12"/>
  <c r="D48" i="14"/>
  <c r="C44" i="12"/>
  <c r="F39" i="14"/>
  <c r="AI7" i="4"/>
  <c r="O8" i="4"/>
  <c r="N8" i="4"/>
  <c r="M8" i="4"/>
  <c r="K8" i="4"/>
  <c r="AI10" i="4"/>
  <c r="Z12" i="4"/>
  <c r="AJ13" i="4"/>
  <c r="AF16" i="4"/>
  <c r="L18" i="4"/>
  <c r="AI18" i="4"/>
  <c r="AA21" i="4"/>
  <c r="AZ21" i="4"/>
  <c r="U22" i="4"/>
  <c r="AD22" i="4" s="1"/>
  <c r="BD22" i="4"/>
  <c r="AW22" i="4"/>
  <c r="AV22" i="4"/>
  <c r="AU22" i="4"/>
  <c r="AT22" i="4"/>
  <c r="I24" i="4"/>
  <c r="W26" i="4"/>
  <c r="BD27" i="4"/>
  <c r="BB27" i="4"/>
  <c r="BC27" i="4"/>
  <c r="AZ27" i="4"/>
  <c r="AN28" i="4"/>
  <c r="G29" i="4"/>
  <c r="AB31" i="4"/>
  <c r="U31" i="4"/>
  <c r="S31" i="4"/>
  <c r="AC31" i="4"/>
  <c r="Z31" i="4"/>
  <c r="X31" i="4"/>
  <c r="R32" i="4"/>
  <c r="AD32" i="4" s="1"/>
  <c r="AB32" i="4"/>
  <c r="AC32" i="4"/>
  <c r="AA32" i="4"/>
  <c r="Y32" i="4"/>
  <c r="W32" i="4"/>
  <c r="AI33" i="4"/>
  <c r="BB35" i="4"/>
  <c r="L37" i="4"/>
  <c r="E39" i="4"/>
  <c r="BD41" i="4"/>
  <c r="BA41" i="4"/>
  <c r="AY41" i="4"/>
  <c r="AV41" i="4"/>
  <c r="BE41" i="4"/>
  <c r="BC41" i="4"/>
  <c r="BB41" i="4"/>
  <c r="AZ41" i="4"/>
  <c r="AW41" i="4"/>
  <c r="AT41" i="4"/>
  <c r="Z44" i="4"/>
  <c r="AB44" i="4"/>
  <c r="AC44" i="4"/>
  <c r="Y44" i="4"/>
  <c r="W44" i="4"/>
  <c r="D50" i="4"/>
  <c r="AD56" i="4"/>
  <c r="AF57" i="4"/>
  <c r="AN67" i="4"/>
  <c r="AU69" i="4"/>
  <c r="BD69" i="4"/>
  <c r="AZ69" i="4"/>
  <c r="AX69" i="4"/>
  <c r="AT69" i="4"/>
  <c r="BC69" i="4"/>
  <c r="BB69" i="4"/>
  <c r="BA69" i="4"/>
  <c r="AY69" i="4"/>
  <c r="AV69" i="4"/>
  <c r="P80" i="4"/>
  <c r="AL83" i="4"/>
  <c r="O84" i="4"/>
  <c r="F84" i="4"/>
  <c r="E84" i="4"/>
  <c r="D84" i="4"/>
  <c r="M84" i="4"/>
  <c r="N84" i="4"/>
  <c r="L84" i="4"/>
  <c r="K84" i="4"/>
  <c r="J84" i="4"/>
  <c r="H84" i="4"/>
  <c r="G84" i="4"/>
  <c r="M32" i="4"/>
  <c r="K32" i="4"/>
  <c r="L32" i="4"/>
  <c r="J32" i="4"/>
  <c r="I32" i="4"/>
  <c r="H32" i="4"/>
  <c r="F32" i="4"/>
  <c r="D32" i="4"/>
  <c r="V54" i="4"/>
  <c r="U54" i="4"/>
  <c r="T54" i="4"/>
  <c r="S54" i="4"/>
  <c r="AC54" i="4"/>
  <c r="AB54" i="4"/>
  <c r="Z54" i="4"/>
  <c r="F56" i="14"/>
  <c r="BB9" i="4"/>
  <c r="BA9" i="4"/>
  <c r="AZ9" i="4"/>
  <c r="AY9" i="4"/>
  <c r="AW9" i="4"/>
  <c r="AI13" i="4"/>
  <c r="P19" i="4"/>
  <c r="Z21" i="4"/>
  <c r="AJ24" i="4"/>
  <c r="AI24" i="4"/>
  <c r="AH24" i="4"/>
  <c r="AG24" i="4"/>
  <c r="AF24" i="4"/>
  <c r="AL38" i="4"/>
  <c r="AO38" i="4"/>
  <c r="AM38" i="4"/>
  <c r="AI38" i="4"/>
  <c r="AP38" i="4"/>
  <c r="Y54" i="4"/>
  <c r="O62" i="4"/>
  <c r="P87" i="4"/>
  <c r="AJ7" i="4"/>
  <c r="D8" i="4"/>
  <c r="AU9" i="4"/>
  <c r="BF9" i="4" s="1"/>
  <c r="AJ10" i="4"/>
  <c r="O11" i="4"/>
  <c r="M11" i="4"/>
  <c r="AA12" i="4"/>
  <c r="AV12" i="4"/>
  <c r="AK13" i="4"/>
  <c r="N15" i="4"/>
  <c r="L15" i="4"/>
  <c r="K15" i="4"/>
  <c r="J15" i="4"/>
  <c r="I15" i="4"/>
  <c r="G15" i="4"/>
  <c r="AQ15" i="4"/>
  <c r="AO15" i="4"/>
  <c r="AR15" i="4" s="1"/>
  <c r="AG16" i="4"/>
  <c r="J17" i="4"/>
  <c r="O17" i="4"/>
  <c r="N17" i="4"/>
  <c r="M17" i="4"/>
  <c r="K17" i="4"/>
  <c r="M18" i="4"/>
  <c r="AK18" i="4"/>
  <c r="G19" i="4"/>
  <c r="BC19" i="4"/>
  <c r="T20" i="4"/>
  <c r="P21" i="4"/>
  <c r="AB21" i="4"/>
  <c r="BE21" i="4"/>
  <c r="V22" i="4"/>
  <c r="AX22" i="4"/>
  <c r="J24" i="4"/>
  <c r="AL24" i="4"/>
  <c r="L25" i="4"/>
  <c r="J25" i="4"/>
  <c r="N25" i="4"/>
  <c r="M25" i="4"/>
  <c r="K25" i="4"/>
  <c r="I25" i="4"/>
  <c r="G25" i="4"/>
  <c r="E25" i="4"/>
  <c r="AB26" i="4"/>
  <c r="AT27" i="4"/>
  <c r="AO28" i="4"/>
  <c r="H29" i="4"/>
  <c r="R31" i="4"/>
  <c r="AD31" i="4" s="1"/>
  <c r="BC31" i="4"/>
  <c r="BA31" i="4"/>
  <c r="AY31" i="4"/>
  <c r="AX31" i="4"/>
  <c r="AW31" i="4"/>
  <c r="AV31" i="4"/>
  <c r="AT31" i="4"/>
  <c r="S32" i="4"/>
  <c r="AJ33" i="4"/>
  <c r="V35" i="4"/>
  <c r="BC35" i="4"/>
  <c r="N37" i="4"/>
  <c r="AG38" i="4"/>
  <c r="AR38" i="4" s="1"/>
  <c r="G39" i="4"/>
  <c r="H41" i="4"/>
  <c r="N41" i="4"/>
  <c r="O41" i="4"/>
  <c r="M41" i="4"/>
  <c r="K41" i="4"/>
  <c r="I41" i="4"/>
  <c r="AU41" i="4"/>
  <c r="R44" i="4"/>
  <c r="AL46" i="4"/>
  <c r="AK46" i="4"/>
  <c r="AJ46" i="4"/>
  <c r="AI46" i="4"/>
  <c r="AQ46" i="4"/>
  <c r="AP46" i="4"/>
  <c r="AN46" i="4"/>
  <c r="E50" i="4"/>
  <c r="T53" i="4"/>
  <c r="AD53" i="4" s="1"/>
  <c r="AG57" i="4"/>
  <c r="N58" i="4"/>
  <c r="M58" i="4"/>
  <c r="L58" i="4"/>
  <c r="K58" i="4"/>
  <c r="G58" i="4"/>
  <c r="F58" i="4"/>
  <c r="E58" i="4"/>
  <c r="D58" i="4"/>
  <c r="AA63" i="4"/>
  <c r="Z63" i="4"/>
  <c r="X63" i="4"/>
  <c r="U63" i="4"/>
  <c r="AC63" i="4"/>
  <c r="AZ63" i="4"/>
  <c r="AX63" i="4"/>
  <c r="AT63" i="4"/>
  <c r="BD63" i="4"/>
  <c r="BC63" i="4"/>
  <c r="BB63" i="4"/>
  <c r="BA63" i="4"/>
  <c r="AQ67" i="4"/>
  <c r="AW69" i="4"/>
  <c r="BF71" i="4"/>
  <c r="AO83" i="4"/>
  <c r="I84" i="4"/>
  <c r="C11" i="13"/>
  <c r="O11" i="13"/>
  <c r="E15" i="14"/>
  <c r="G15" i="14" s="1"/>
  <c r="C47" i="13"/>
  <c r="O47" i="13"/>
  <c r="G9" i="5"/>
  <c r="G16" i="5"/>
  <c r="AH62" i="4"/>
  <c r="AL7" i="4"/>
  <c r="E8" i="4"/>
  <c r="AV9" i="4"/>
  <c r="AK10" i="4"/>
  <c r="AB12" i="4"/>
  <c r="AW12" i="4"/>
  <c r="AC13" i="4"/>
  <c r="AB13" i="4"/>
  <c r="AB92" i="4" s="1"/>
  <c r="AA13" i="4"/>
  <c r="Y13" i="4"/>
  <c r="AL13" i="4"/>
  <c r="P17" i="4"/>
  <c r="N18" i="4"/>
  <c r="AM18" i="4"/>
  <c r="H19" i="4"/>
  <c r="BD19" i="4"/>
  <c r="U20" i="4"/>
  <c r="BF20" i="4"/>
  <c r="W22" i="4"/>
  <c r="AY22" i="4"/>
  <c r="AT23" i="4"/>
  <c r="BE23" i="4"/>
  <c r="BD23" i="4"/>
  <c r="BB23" i="4"/>
  <c r="AZ23" i="4"/>
  <c r="AM24" i="4"/>
  <c r="AC26" i="4"/>
  <c r="AU27" i="4"/>
  <c r="AP28" i="4"/>
  <c r="J29" i="4"/>
  <c r="F30" i="4"/>
  <c r="K30" i="4"/>
  <c r="I30" i="4"/>
  <c r="O30" i="4"/>
  <c r="N30" i="4"/>
  <c r="M30" i="4"/>
  <c r="L30" i="4"/>
  <c r="H30" i="4"/>
  <c r="E30" i="4"/>
  <c r="T31" i="4"/>
  <c r="T32" i="4"/>
  <c r="AK33" i="4"/>
  <c r="AH34" i="4"/>
  <c r="AF34" i="4"/>
  <c r="AP34" i="4"/>
  <c r="AN34" i="4"/>
  <c r="X35" i="4"/>
  <c r="BD35" i="4"/>
  <c r="O37" i="4"/>
  <c r="AH38" i="4"/>
  <c r="AX41" i="4"/>
  <c r="S44" i="4"/>
  <c r="I45" i="4"/>
  <c r="H45" i="4"/>
  <c r="G45" i="4"/>
  <c r="F45" i="4"/>
  <c r="D45" i="4"/>
  <c r="O45" i="4"/>
  <c r="N45" i="4"/>
  <c r="M45" i="4"/>
  <c r="K45" i="4"/>
  <c r="E45" i="4"/>
  <c r="AF46" i="4"/>
  <c r="U53" i="4"/>
  <c r="L55" i="4"/>
  <c r="K55" i="4"/>
  <c r="J55" i="4"/>
  <c r="I55" i="4"/>
  <c r="O55" i="4"/>
  <c r="N55" i="4"/>
  <c r="H55" i="4"/>
  <c r="M55" i="4"/>
  <c r="G55" i="4"/>
  <c r="F55" i="4"/>
  <c r="D55" i="4"/>
  <c r="H58" i="4"/>
  <c r="K59" i="4"/>
  <c r="G59" i="4"/>
  <c r="F59" i="4"/>
  <c r="E59" i="4"/>
  <c r="D59" i="4"/>
  <c r="N59" i="4"/>
  <c r="M59" i="4"/>
  <c r="L59" i="4"/>
  <c r="J59" i="4"/>
  <c r="H59" i="4"/>
  <c r="I59" i="4"/>
  <c r="R63" i="4"/>
  <c r="AU63" i="4"/>
  <c r="BE69" i="4"/>
  <c r="P91" i="4"/>
  <c r="AN27" i="4"/>
  <c r="AL27" i="4"/>
  <c r="AQ27" i="4"/>
  <c r="AP27" i="4"/>
  <c r="AO27" i="4"/>
  <c r="AM27" i="4"/>
  <c r="AJ27" i="4"/>
  <c r="AH27" i="4"/>
  <c r="L31" i="4"/>
  <c r="D31" i="4"/>
  <c r="M31" i="4"/>
  <c r="K31" i="4"/>
  <c r="J31" i="4"/>
  <c r="I31" i="4"/>
  <c r="G31" i="4"/>
  <c r="E31" i="4"/>
  <c r="AX40" i="4"/>
  <c r="BC40" i="4"/>
  <c r="BD40" i="4"/>
  <c r="BB40" i="4"/>
  <c r="BA40" i="4"/>
  <c r="AZ40" i="4"/>
  <c r="AW40" i="4"/>
  <c r="AU40" i="4"/>
  <c r="AK82" i="4"/>
  <c r="AJ82" i="4"/>
  <c r="AI82" i="4"/>
  <c r="AH82" i="4"/>
  <c r="AQ82" i="4"/>
  <c r="AP82" i="4"/>
  <c r="AO82" i="4"/>
  <c r="AN82" i="4"/>
  <c r="AL82" i="4"/>
  <c r="AF82" i="4"/>
  <c r="K86" i="4"/>
  <c r="F86" i="4"/>
  <c r="D86" i="4"/>
  <c r="E86" i="4"/>
  <c r="O86" i="4"/>
  <c r="N86" i="4"/>
  <c r="M86" i="4"/>
  <c r="L86" i="4"/>
  <c r="I86" i="4"/>
  <c r="C44" i="13"/>
  <c r="O44" i="13"/>
  <c r="E48" i="14"/>
  <c r="G48" i="14" s="1"/>
  <c r="R21" i="4"/>
  <c r="V21" i="4"/>
  <c r="U21" i="4"/>
  <c r="T21" i="4"/>
  <c r="S21" i="4"/>
  <c r="D24" i="4"/>
  <c r="O24" i="4"/>
  <c r="M24" i="4"/>
  <c r="K24" i="4"/>
  <c r="V38" i="4"/>
  <c r="X38" i="4"/>
  <c r="U38" i="4"/>
  <c r="R38" i="4"/>
  <c r="AC38" i="4"/>
  <c r="AB38" i="4"/>
  <c r="AA38" i="4"/>
  <c r="Z38" i="4"/>
  <c r="W38" i="4"/>
  <c r="S38" i="4"/>
  <c r="AT40" i="4"/>
  <c r="AQ59" i="4"/>
  <c r="AO59" i="4"/>
  <c r="AN59" i="4"/>
  <c r="AM59" i="4"/>
  <c r="AL59" i="4"/>
  <c r="AI59" i="4"/>
  <c r="AH59" i="4"/>
  <c r="AG59" i="4"/>
  <c r="AF59" i="4"/>
  <c r="AR59" i="4" s="1"/>
  <c r="AP59" i="4"/>
  <c r="AC66" i="4"/>
  <c r="AB66" i="4"/>
  <c r="W66" i="4"/>
  <c r="U66" i="4"/>
  <c r="R66" i="4"/>
  <c r="Z66" i="4"/>
  <c r="Y66" i="4"/>
  <c r="X66" i="4"/>
  <c r="V66" i="4"/>
  <c r="S66" i="4"/>
  <c r="AJ16" i="4"/>
  <c r="AN16" i="4"/>
  <c r="AM16" i="4"/>
  <c r="AL16" i="4"/>
  <c r="AK16" i="4"/>
  <c r="AH16" i="4"/>
  <c r="H24" i="4"/>
  <c r="L39" i="4"/>
  <c r="O39" i="4"/>
  <c r="K39" i="4"/>
  <c r="M39" i="4"/>
  <c r="J39" i="4"/>
  <c r="I39" i="4"/>
  <c r="H39" i="4"/>
  <c r="F39" i="4"/>
  <c r="D39" i="4"/>
  <c r="N50" i="4"/>
  <c r="M50" i="4"/>
  <c r="L50" i="4"/>
  <c r="K50" i="4"/>
  <c r="O50" i="4"/>
  <c r="I50" i="4"/>
  <c r="AN57" i="4"/>
  <c r="AM57" i="4"/>
  <c r="AL57" i="4"/>
  <c r="AK57" i="4"/>
  <c r="AQ57" i="4"/>
  <c r="AP57" i="4"/>
  <c r="AJ57" i="4"/>
  <c r="R21" i="7"/>
  <c r="S21" i="7"/>
  <c r="D14" i="14"/>
  <c r="C10" i="12"/>
  <c r="O10" i="12"/>
  <c r="D70" i="14"/>
  <c r="O66" i="12"/>
  <c r="Z7" i="4"/>
  <c r="Y7" i="4"/>
  <c r="X7" i="4"/>
  <c r="W7" i="4"/>
  <c r="U7" i="4"/>
  <c r="AQ7" i="4"/>
  <c r="F8" i="4"/>
  <c r="AX9" i="4"/>
  <c r="AX92" i="4" s="1"/>
  <c r="AB10" i="4"/>
  <c r="AA10" i="4"/>
  <c r="Z10" i="4"/>
  <c r="Y10" i="4"/>
  <c r="W10" i="4"/>
  <c r="AD10" i="4" s="1"/>
  <c r="AL10" i="4"/>
  <c r="E11" i="4"/>
  <c r="P11" i="4" s="1"/>
  <c r="AC12" i="4"/>
  <c r="AX12" i="4"/>
  <c r="R13" i="4"/>
  <c r="AM13" i="4"/>
  <c r="E15" i="4"/>
  <c r="AG15" i="4"/>
  <c r="AO16" i="4"/>
  <c r="E17" i="4"/>
  <c r="O18" i="4"/>
  <c r="I19" i="4"/>
  <c r="BE19" i="4"/>
  <c r="W20" i="4"/>
  <c r="AD20" i="4" s="1"/>
  <c r="Z22" i="4"/>
  <c r="AZ22" i="4"/>
  <c r="Y23" i="4"/>
  <c r="X23" i="4"/>
  <c r="W23" i="4"/>
  <c r="V23" i="4"/>
  <c r="T23" i="4"/>
  <c r="R23" i="4"/>
  <c r="AU23" i="4"/>
  <c r="N24" i="4"/>
  <c r="AN24" i="4"/>
  <c r="F25" i="4"/>
  <c r="X27" i="4"/>
  <c r="V27" i="4"/>
  <c r="Y27" i="4"/>
  <c r="W27" i="4"/>
  <c r="U27" i="4"/>
  <c r="T27" i="4"/>
  <c r="R27" i="4"/>
  <c r="AV27" i="4"/>
  <c r="AQ28" i="4"/>
  <c r="L29" i="4"/>
  <c r="D30" i="4"/>
  <c r="V31" i="4"/>
  <c r="AZ31" i="4"/>
  <c r="U32" i="4"/>
  <c r="AM33" i="4"/>
  <c r="AG34" i="4"/>
  <c r="AJ35" i="4"/>
  <c r="AP35" i="4"/>
  <c r="AQ35" i="4"/>
  <c r="AN35" i="4"/>
  <c r="AR35" i="4" s="1"/>
  <c r="BE35" i="4"/>
  <c r="Z36" i="4"/>
  <c r="T36" i="4"/>
  <c r="R36" i="4"/>
  <c r="AC36" i="4"/>
  <c r="AB36" i="4"/>
  <c r="AA36" i="4"/>
  <c r="Y36" i="4"/>
  <c r="W36" i="4"/>
  <c r="U36" i="4"/>
  <c r="AB37" i="4"/>
  <c r="AC37" i="4"/>
  <c r="AA37" i="4"/>
  <c r="Z37" i="4"/>
  <c r="Y37" i="4"/>
  <c r="W37" i="4"/>
  <c r="U37" i="4"/>
  <c r="AJ38" i="4"/>
  <c r="E41" i="4"/>
  <c r="P41" i="4" s="1"/>
  <c r="AZ43" i="4"/>
  <c r="BE43" i="4"/>
  <c r="BD43" i="4"/>
  <c r="BC43" i="4"/>
  <c r="BB43" i="4"/>
  <c r="AY43" i="4"/>
  <c r="BF43" i="4" s="1"/>
  <c r="T44" i="4"/>
  <c r="J45" i="4"/>
  <c r="AG46" i="4"/>
  <c r="L47" i="4"/>
  <c r="K47" i="4"/>
  <c r="J47" i="4"/>
  <c r="I47" i="4"/>
  <c r="G47" i="4"/>
  <c r="F47" i="4"/>
  <c r="E47" i="4"/>
  <c r="D47" i="4"/>
  <c r="G50" i="4"/>
  <c r="W53" i="4"/>
  <c r="E55" i="4"/>
  <c r="AX56" i="4"/>
  <c r="AW56" i="4"/>
  <c r="AV56" i="4"/>
  <c r="AU56" i="4"/>
  <c r="BE56" i="4"/>
  <c r="BD56" i="4"/>
  <c r="BB56" i="4"/>
  <c r="BA56" i="4"/>
  <c r="AZ56" i="4"/>
  <c r="AY56" i="4"/>
  <c r="AT56" i="4"/>
  <c r="AI57" i="4"/>
  <c r="I58" i="4"/>
  <c r="O59" i="4"/>
  <c r="S63" i="4"/>
  <c r="AV63" i="4"/>
  <c r="O21" i="13"/>
  <c r="C21" i="13"/>
  <c r="O39" i="13"/>
  <c r="C39" i="13"/>
  <c r="E43" i="14"/>
  <c r="G43" i="14" s="1"/>
  <c r="BB24" i="4"/>
  <c r="AZ24" i="4"/>
  <c r="AZ29" i="4"/>
  <c r="AX29" i="4"/>
  <c r="N34" i="4"/>
  <c r="O34" i="4"/>
  <c r="AJ43" i="4"/>
  <c r="AN43" i="4"/>
  <c r="AM43" i="4"/>
  <c r="AL43" i="4"/>
  <c r="AK43" i="4"/>
  <c r="AH43" i="4"/>
  <c r="AD48" i="4"/>
  <c r="BF50" i="4"/>
  <c r="K64" i="4"/>
  <c r="I64" i="4"/>
  <c r="G64" i="4"/>
  <c r="E64" i="4"/>
  <c r="P64" i="4" s="1"/>
  <c r="N64" i="4"/>
  <c r="M64" i="4"/>
  <c r="L64" i="4"/>
  <c r="J64" i="4"/>
  <c r="F64" i="4"/>
  <c r="AD70" i="4"/>
  <c r="AI72" i="4"/>
  <c r="AH72" i="4"/>
  <c r="AG72" i="4"/>
  <c r="AP72" i="4"/>
  <c r="AL72" i="4"/>
  <c r="AK72" i="4"/>
  <c r="AJ72" i="4"/>
  <c r="AF72" i="4"/>
  <c r="N87" i="4"/>
  <c r="M87" i="4"/>
  <c r="K87" i="4"/>
  <c r="O87" i="4"/>
  <c r="J87" i="4"/>
  <c r="G87" i="4"/>
  <c r="C71" i="13"/>
  <c r="E75" i="14"/>
  <c r="O71" i="13"/>
  <c r="E10" i="5"/>
  <c r="H10" i="5" s="1"/>
  <c r="E17" i="5"/>
  <c r="H17" i="5" s="1"/>
  <c r="K17" i="5"/>
  <c r="AT62" i="4"/>
  <c r="AG21" i="4"/>
  <c r="AR21" i="4" s="1"/>
  <c r="AU24" i="4"/>
  <c r="AU29" i="4"/>
  <c r="H33" i="4"/>
  <c r="F33" i="4"/>
  <c r="D33" i="4"/>
  <c r="P33" i="4" s="1"/>
  <c r="E34" i="4"/>
  <c r="D35" i="4"/>
  <c r="J35" i="4"/>
  <c r="H35" i="4"/>
  <c r="AY39" i="4"/>
  <c r="AW39" i="4"/>
  <c r="AT39" i="4"/>
  <c r="AG43" i="4"/>
  <c r="AR43" i="4" s="1"/>
  <c r="J44" i="4"/>
  <c r="O44" i="4"/>
  <c r="N44" i="4"/>
  <c r="M44" i="4"/>
  <c r="K44" i="4"/>
  <c r="BE59" i="4"/>
  <c r="BD59" i="4"/>
  <c r="BC59" i="4"/>
  <c r="BB59" i="4"/>
  <c r="BA59" i="4"/>
  <c r="AY59" i="4"/>
  <c r="H64" i="4"/>
  <c r="AM65" i="4"/>
  <c r="AK65" i="4"/>
  <c r="AI65" i="4"/>
  <c r="AQ65" i="4"/>
  <c r="AO65" i="4"/>
  <c r="AJ65" i="4"/>
  <c r="AN72" i="4"/>
  <c r="E87" i="4"/>
  <c r="AI90" i="4"/>
  <c r="AP90" i="4"/>
  <c r="AO90" i="4"/>
  <c r="AM90" i="4"/>
  <c r="AJ90" i="4"/>
  <c r="AQ90" i="4"/>
  <c r="AN90" i="4"/>
  <c r="AL90" i="4"/>
  <c r="AH90" i="4"/>
  <c r="AF90" i="4"/>
  <c r="F16" i="14"/>
  <c r="H16" i="14"/>
  <c r="D36" i="14"/>
  <c r="C32" i="12"/>
  <c r="O32" i="12"/>
  <c r="C86" i="12"/>
  <c r="D90" i="14"/>
  <c r="O86" i="12"/>
  <c r="F40" i="14"/>
  <c r="H40" i="14"/>
  <c r="G17" i="5"/>
  <c r="AV62" i="4"/>
  <c r="S9" i="4"/>
  <c r="AU11" i="4"/>
  <c r="BF11" i="4" s="1"/>
  <c r="E12" i="4"/>
  <c r="AG14" i="4"/>
  <c r="S16" i="4"/>
  <c r="AD16" i="4" s="1"/>
  <c r="AU17" i="4"/>
  <c r="BF17" i="4" s="1"/>
  <c r="AG19" i="4"/>
  <c r="AR19" i="4" s="1"/>
  <c r="AJ21" i="4"/>
  <c r="E23" i="4"/>
  <c r="AW24" i="4"/>
  <c r="AU25" i="4"/>
  <c r="AJ29" i="4"/>
  <c r="AH29" i="4"/>
  <c r="AW29" i="4"/>
  <c r="BF29" i="4" s="1"/>
  <c r="AL30" i="4"/>
  <c r="AQ30" i="4"/>
  <c r="G33" i="4"/>
  <c r="G34" i="4"/>
  <c r="F35" i="4"/>
  <c r="BB36" i="4"/>
  <c r="AZ36" i="4"/>
  <c r="F38" i="4"/>
  <c r="G38" i="4"/>
  <c r="D38" i="4"/>
  <c r="AV39" i="4"/>
  <c r="AH40" i="4"/>
  <c r="AQ40" i="4"/>
  <c r="AO40" i="4"/>
  <c r="AL40" i="4"/>
  <c r="AO43" i="4"/>
  <c r="E44" i="4"/>
  <c r="P44" i="4" s="1"/>
  <c r="X49" i="4"/>
  <c r="W49" i="4"/>
  <c r="V49" i="4"/>
  <c r="U49" i="4"/>
  <c r="AR53" i="4"/>
  <c r="AU59" i="4"/>
  <c r="BF59" i="4" s="1"/>
  <c r="AR61" i="4"/>
  <c r="AP62" i="4"/>
  <c r="AG65" i="4"/>
  <c r="AR65" i="4" s="1"/>
  <c r="M66" i="4"/>
  <c r="N66" i="4"/>
  <c r="K66" i="4"/>
  <c r="D66" i="4"/>
  <c r="J66" i="4"/>
  <c r="I66" i="4"/>
  <c r="H66" i="4"/>
  <c r="G66" i="4"/>
  <c r="AQ72" i="4"/>
  <c r="S84" i="4"/>
  <c r="X84" i="4"/>
  <c r="W84" i="4"/>
  <c r="V84" i="4"/>
  <c r="AB84" i="4"/>
  <c r="Z84" i="4"/>
  <c r="T84" i="4"/>
  <c r="AC84" i="4"/>
  <c r="AA84" i="4"/>
  <c r="Y84" i="4"/>
  <c r="R84" i="4"/>
  <c r="H87" i="4"/>
  <c r="AM88" i="4"/>
  <c r="AQ88" i="4"/>
  <c r="AO88" i="4"/>
  <c r="AK88" i="4"/>
  <c r="AJ88" i="4"/>
  <c r="AI88" i="4"/>
  <c r="AP88" i="4"/>
  <c r="AN88" i="4"/>
  <c r="AH88" i="4"/>
  <c r="AR88" i="4" s="1"/>
  <c r="AG88" i="4"/>
  <c r="AK90" i="4"/>
  <c r="T9" i="4"/>
  <c r="AV11" i="4"/>
  <c r="F12" i="4"/>
  <c r="AH14" i="4"/>
  <c r="U16" i="4"/>
  <c r="AV17" i="4"/>
  <c r="AH19" i="4"/>
  <c r="AK21" i="4"/>
  <c r="F23" i="4"/>
  <c r="AX24" i="4"/>
  <c r="BF24" i="4" s="1"/>
  <c r="AV25" i="4"/>
  <c r="BF25" i="4" s="1"/>
  <c r="H27" i="4"/>
  <c r="F27" i="4"/>
  <c r="AF29" i="4"/>
  <c r="AR29" i="4" s="1"/>
  <c r="AY29" i="4"/>
  <c r="AF30" i="4"/>
  <c r="I33" i="4"/>
  <c r="H34" i="4"/>
  <c r="AT34" i="4"/>
  <c r="AY34" i="4"/>
  <c r="AW34" i="4"/>
  <c r="G35" i="4"/>
  <c r="AT36" i="4"/>
  <c r="E38" i="4"/>
  <c r="AX39" i="4"/>
  <c r="AF40" i="4"/>
  <c r="AR40" i="4" s="1"/>
  <c r="AC42" i="4"/>
  <c r="AD42" i="4" s="1"/>
  <c r="AA42" i="4"/>
  <c r="X42" i="4"/>
  <c r="AP43" i="4"/>
  <c r="F44" i="4"/>
  <c r="AA59" i="4"/>
  <c r="X59" i="4"/>
  <c r="W59" i="4"/>
  <c r="V59" i="4"/>
  <c r="U59" i="4"/>
  <c r="AV59" i="4"/>
  <c r="AW64" i="4"/>
  <c r="BD64" i="4"/>
  <c r="BE64" i="4"/>
  <c r="BC64" i="4"/>
  <c r="BA64" i="4"/>
  <c r="AH65" i="4"/>
  <c r="I68" i="4"/>
  <c r="P68" i="4" s="1"/>
  <c r="O68" i="4"/>
  <c r="M68" i="4"/>
  <c r="N68" i="4"/>
  <c r="J68" i="4"/>
  <c r="L68" i="4"/>
  <c r="H68" i="4"/>
  <c r="AR69" i="4"/>
  <c r="AY72" i="4"/>
  <c r="AX72" i="4"/>
  <c r="AW72" i="4"/>
  <c r="BB72" i="4"/>
  <c r="AZ72" i="4"/>
  <c r="AT72" i="4"/>
  <c r="BE72" i="4"/>
  <c r="BD72" i="4"/>
  <c r="BA72" i="4"/>
  <c r="I87" i="4"/>
  <c r="O57" i="13"/>
  <c r="E61" i="14"/>
  <c r="G61" i="14" s="1"/>
  <c r="C57" i="13"/>
  <c r="E95" i="14"/>
  <c r="G95" i="14" s="1"/>
  <c r="O91" i="13"/>
  <c r="C91" i="13"/>
  <c r="E16" i="5"/>
  <c r="H16" i="5" s="1"/>
  <c r="K16" i="5"/>
  <c r="E9" i="5"/>
  <c r="U9" i="4"/>
  <c r="AW11" i="4"/>
  <c r="G12" i="4"/>
  <c r="AI14" i="4"/>
  <c r="V16" i="4"/>
  <c r="AW17" i="4"/>
  <c r="AI19" i="4"/>
  <c r="AL21" i="4"/>
  <c r="G23" i="4"/>
  <c r="AY24" i="4"/>
  <c r="AW25" i="4"/>
  <c r="BA29" i="4"/>
  <c r="AL31" i="4"/>
  <c r="AJ31" i="4"/>
  <c r="J33" i="4"/>
  <c r="I34" i="4"/>
  <c r="I35" i="4"/>
  <c r="AZ39" i="4"/>
  <c r="AQ43" i="4"/>
  <c r="G44" i="4"/>
  <c r="AJ51" i="4"/>
  <c r="AI51" i="4"/>
  <c r="AH51" i="4"/>
  <c r="AG51" i="4"/>
  <c r="AP51" i="4"/>
  <c r="AO51" i="4"/>
  <c r="AN51" i="4"/>
  <c r="AM51" i="4"/>
  <c r="AK51" i="4"/>
  <c r="O53" i="4"/>
  <c r="N53" i="4"/>
  <c r="M53" i="4"/>
  <c r="J53" i="4"/>
  <c r="I53" i="4"/>
  <c r="H53" i="4"/>
  <c r="G53" i="4"/>
  <c r="E53" i="4"/>
  <c r="BE55" i="4"/>
  <c r="BD55" i="4"/>
  <c r="BC55" i="4"/>
  <c r="BB55" i="4"/>
  <c r="AZ55" i="4"/>
  <c r="AW59" i="4"/>
  <c r="AD60" i="4"/>
  <c r="AL65" i="4"/>
  <c r="AU72" i="4"/>
  <c r="AU81" i="4"/>
  <c r="AZ81" i="4"/>
  <c r="AX81" i="4"/>
  <c r="AT81" i="4"/>
  <c r="BE81" i="4"/>
  <c r="BD81" i="4"/>
  <c r="BC81" i="4"/>
  <c r="BA81" i="4"/>
  <c r="AD82" i="4"/>
  <c r="L87" i="4"/>
  <c r="Y91" i="4"/>
  <c r="T91" i="4"/>
  <c r="R91" i="4"/>
  <c r="AB91" i="4"/>
  <c r="AA91" i="4"/>
  <c r="Z91" i="4"/>
  <c r="AC91" i="4"/>
  <c r="V91" i="4"/>
  <c r="E62" i="14"/>
  <c r="G62" i="14" s="1"/>
  <c r="C58" i="13"/>
  <c r="O58" i="13"/>
  <c r="F9" i="5"/>
  <c r="F16" i="5"/>
  <c r="AJ14" i="4"/>
  <c r="AU15" i="4"/>
  <c r="BF15" i="4" s="1"/>
  <c r="W16" i="4"/>
  <c r="AJ19" i="4"/>
  <c r="AM21" i="4"/>
  <c r="AF22" i="4"/>
  <c r="AR22" i="4" s="1"/>
  <c r="H23" i="4"/>
  <c r="R24" i="4"/>
  <c r="AD24" i="4" s="1"/>
  <c r="BA24" i="4"/>
  <c r="AF25" i="4"/>
  <c r="AR25" i="4" s="1"/>
  <c r="AX26" i="4"/>
  <c r="AV26" i="4"/>
  <c r="BF26" i="4" s="1"/>
  <c r="N28" i="4"/>
  <c r="P28" i="4" s="1"/>
  <c r="L28" i="4"/>
  <c r="BB29" i="4"/>
  <c r="AF31" i="4"/>
  <c r="AF32" i="4"/>
  <c r="AR32" i="4" s="1"/>
  <c r="K33" i="4"/>
  <c r="J34" i="4"/>
  <c r="K35" i="4"/>
  <c r="AH39" i="4"/>
  <c r="AF39" i="4"/>
  <c r="BA39" i="4"/>
  <c r="H44" i="4"/>
  <c r="Z45" i="4"/>
  <c r="Y45" i="4"/>
  <c r="X45" i="4"/>
  <c r="W45" i="4"/>
  <c r="U45" i="4"/>
  <c r="AD45" i="4" s="1"/>
  <c r="AX48" i="4"/>
  <c r="AW48" i="4"/>
  <c r="AV48" i="4"/>
  <c r="AU48" i="4"/>
  <c r="BA48" i="4"/>
  <c r="AZ48" i="4"/>
  <c r="AY48" i="4"/>
  <c r="AT48" i="4"/>
  <c r="BF48" i="4" s="1"/>
  <c r="T49" i="4"/>
  <c r="AD49" i="4" s="1"/>
  <c r="AF51" i="4"/>
  <c r="D53" i="4"/>
  <c r="AT55" i="4"/>
  <c r="BF55" i="4" s="1"/>
  <c r="S59" i="4"/>
  <c r="AD59" i="4" s="1"/>
  <c r="AX59" i="4"/>
  <c r="AU64" i="4"/>
  <c r="BF64" i="4" s="1"/>
  <c r="AN65" i="4"/>
  <c r="L66" i="4"/>
  <c r="E68" i="4"/>
  <c r="P72" i="4"/>
  <c r="AV72" i="4"/>
  <c r="AK75" i="4"/>
  <c r="AJ75" i="4"/>
  <c r="AI75" i="4"/>
  <c r="AN75" i="4"/>
  <c r="AL75" i="4"/>
  <c r="AR75" i="4" s="1"/>
  <c r="AO75" i="4"/>
  <c r="AR77" i="4"/>
  <c r="AV81" i="4"/>
  <c r="AR84" i="4"/>
  <c r="S91" i="4"/>
  <c r="C82" i="13"/>
  <c r="E86" i="14"/>
  <c r="G86" i="14" s="1"/>
  <c r="O82" i="13"/>
  <c r="E81" i="14"/>
  <c r="G81" i="14" s="1"/>
  <c r="O77" i="13"/>
  <c r="C77" i="13"/>
  <c r="V46" i="4"/>
  <c r="T46" i="4"/>
  <c r="S46" i="4"/>
  <c r="I63" i="4"/>
  <c r="G63" i="4"/>
  <c r="D63" i="4"/>
  <c r="K63" i="4"/>
  <c r="J63" i="4"/>
  <c r="H63" i="4"/>
  <c r="F63" i="4"/>
  <c r="BE68" i="4"/>
  <c r="AW68" i="4"/>
  <c r="AU68" i="4"/>
  <c r="BF68" i="4" s="1"/>
  <c r="BC68" i="4"/>
  <c r="BA68" i="4"/>
  <c r="AX68" i="4"/>
  <c r="BD68" i="4"/>
  <c r="AQ86" i="4"/>
  <c r="AN86" i="4"/>
  <c r="AL86" i="4"/>
  <c r="AK86" i="4"/>
  <c r="AJ86" i="4"/>
  <c r="AI86" i="4"/>
  <c r="AR86" i="4" s="1"/>
  <c r="AM86" i="4"/>
  <c r="O14" i="12"/>
  <c r="C14" i="12"/>
  <c r="D18" i="14"/>
  <c r="D43" i="14"/>
  <c r="C39" i="12"/>
  <c r="O39" i="12"/>
  <c r="F57" i="14"/>
  <c r="C38" i="13"/>
  <c r="O38" i="13"/>
  <c r="C86" i="13"/>
  <c r="E90" i="14"/>
  <c r="G90" i="14" s="1"/>
  <c r="BE52" i="4"/>
  <c r="BD52" i="4"/>
  <c r="BC52" i="4"/>
  <c r="Z62" i="4"/>
  <c r="AB62" i="4"/>
  <c r="AC62" i="4"/>
  <c r="AA62" i="4"/>
  <c r="Y62" i="4"/>
  <c r="X62" i="4"/>
  <c r="L63" i="4"/>
  <c r="AY67" i="4"/>
  <c r="BD67" i="4"/>
  <c r="BB67" i="4"/>
  <c r="BC67" i="4"/>
  <c r="AZ67" i="4"/>
  <c r="AV67" i="4"/>
  <c r="AX67" i="4"/>
  <c r="AW67" i="4"/>
  <c r="AU67" i="4"/>
  <c r="AT67" i="4"/>
  <c r="BF67" i="4" s="1"/>
  <c r="AV68" i="4"/>
  <c r="AO73" i="4"/>
  <c r="AN73" i="4"/>
  <c r="AM73" i="4"/>
  <c r="AK73" i="4"/>
  <c r="AI73" i="4"/>
  <c r="AF73" i="4"/>
  <c r="AG86" i="4"/>
  <c r="D19" i="14"/>
  <c r="C15" i="12"/>
  <c r="C61" i="12"/>
  <c r="D65" i="14"/>
  <c r="O61" i="12"/>
  <c r="O80" i="12"/>
  <c r="C80" i="12"/>
  <c r="C50" i="13"/>
  <c r="E54" i="14"/>
  <c r="G54" i="14" s="1"/>
  <c r="O50" i="13"/>
  <c r="O87" i="13"/>
  <c r="C87" i="13"/>
  <c r="E91" i="14"/>
  <c r="G91" i="14" s="1"/>
  <c r="G12" i="14"/>
  <c r="H12" i="14"/>
  <c r="AH41" i="4"/>
  <c r="AR41" i="4" s="1"/>
  <c r="U43" i="4"/>
  <c r="AV44" i="4"/>
  <c r="BF44" i="4" s="1"/>
  <c r="W46" i="4"/>
  <c r="AT52" i="4"/>
  <c r="R62" i="4"/>
  <c r="M63" i="4"/>
  <c r="BA67" i="4"/>
  <c r="AY68" i="4"/>
  <c r="AG73" i="4"/>
  <c r="K76" i="4"/>
  <c r="J76" i="4"/>
  <c r="I76" i="4"/>
  <c r="L76" i="4"/>
  <c r="G76" i="4"/>
  <c r="D76" i="4"/>
  <c r="BC78" i="4"/>
  <c r="BB78" i="4"/>
  <c r="BF78" i="4" s="1"/>
  <c r="BA78" i="4"/>
  <c r="BD78" i="4"/>
  <c r="AZ78" i="4"/>
  <c r="AU84" i="4"/>
  <c r="BB84" i="4"/>
  <c r="BF84" i="4" s="1"/>
  <c r="AZ84" i="4"/>
  <c r="BE84" i="4"/>
  <c r="BC84" i="4"/>
  <c r="AY84" i="4"/>
  <c r="BD84" i="4"/>
  <c r="AH86" i="4"/>
  <c r="O15" i="12"/>
  <c r="O63" i="13"/>
  <c r="C88" i="13"/>
  <c r="E92" i="14"/>
  <c r="G92" i="14" s="1"/>
  <c r="O88" i="13"/>
  <c r="J52" i="4"/>
  <c r="I52" i="4"/>
  <c r="H52" i="4"/>
  <c r="G52" i="4"/>
  <c r="G61" i="4"/>
  <c r="J61" i="4"/>
  <c r="I61" i="4"/>
  <c r="H61" i="4"/>
  <c r="F61" i="4"/>
  <c r="S62" i="4"/>
  <c r="N63" i="4"/>
  <c r="S67" i="4"/>
  <c r="V67" i="4"/>
  <c r="T67" i="4"/>
  <c r="AC67" i="4"/>
  <c r="AA67" i="4"/>
  <c r="Z67" i="4"/>
  <c r="Y67" i="4"/>
  <c r="X67" i="4"/>
  <c r="BE67" i="4"/>
  <c r="AZ68" i="4"/>
  <c r="AH73" i="4"/>
  <c r="AO86" i="4"/>
  <c r="C22" i="12"/>
  <c r="D26" i="14"/>
  <c r="D32" i="14"/>
  <c r="O28" i="12"/>
  <c r="C28" i="12"/>
  <c r="D66" i="14"/>
  <c r="O62" i="12"/>
  <c r="C62" i="12"/>
  <c r="C81" i="12"/>
  <c r="O81" i="12"/>
  <c r="D85" i="14"/>
  <c r="O41" i="13"/>
  <c r="E45" i="14"/>
  <c r="G45" i="14" s="1"/>
  <c r="C41" i="13"/>
  <c r="E68" i="14"/>
  <c r="G68" i="14" s="1"/>
  <c r="C64" i="13"/>
  <c r="O64" i="13"/>
  <c r="O89" i="13"/>
  <c r="C89" i="13"/>
  <c r="E93" i="14"/>
  <c r="G93" i="14" s="1"/>
  <c r="AJ41" i="4"/>
  <c r="AU42" i="4"/>
  <c r="BF42" i="4" s="1"/>
  <c r="W43" i="4"/>
  <c r="Y46" i="4"/>
  <c r="BB46" i="4"/>
  <c r="BA46" i="4"/>
  <c r="AZ46" i="4"/>
  <c r="AY46" i="4"/>
  <c r="BF46" i="4" s="1"/>
  <c r="AQ47" i="4"/>
  <c r="AP47" i="4"/>
  <c r="AO47" i="4"/>
  <c r="AR47" i="4" s="1"/>
  <c r="D52" i="4"/>
  <c r="AV52" i="4"/>
  <c r="AL54" i="4"/>
  <c r="AK54" i="4"/>
  <c r="AJ54" i="4"/>
  <c r="AI54" i="4"/>
  <c r="AR54" i="4" s="1"/>
  <c r="AB55" i="4"/>
  <c r="AA55" i="4"/>
  <c r="Z55" i="4"/>
  <c r="Y55" i="4"/>
  <c r="AD55" i="4" s="1"/>
  <c r="BD57" i="4"/>
  <c r="BC57" i="4"/>
  <c r="BB57" i="4"/>
  <c r="BA57" i="4"/>
  <c r="BF57" i="4" s="1"/>
  <c r="O60" i="4"/>
  <c r="N60" i="4"/>
  <c r="P60" i="4" s="1"/>
  <c r="D61" i="4"/>
  <c r="AJ61" i="4"/>
  <c r="AN61" i="4"/>
  <c r="AH61" i="4"/>
  <c r="T62" i="4"/>
  <c r="O63" i="4"/>
  <c r="AG64" i="4"/>
  <c r="AP64" i="4"/>
  <c r="AQ64" i="4"/>
  <c r="AN64" i="4"/>
  <c r="AK64" i="4"/>
  <c r="AJ64" i="4"/>
  <c r="AI64" i="4"/>
  <c r="AH64" i="4"/>
  <c r="AF64" i="4"/>
  <c r="P65" i="4"/>
  <c r="R67" i="4"/>
  <c r="BB68" i="4"/>
  <c r="AJ73" i="4"/>
  <c r="BE76" i="4"/>
  <c r="BD76" i="4"/>
  <c r="BB76" i="4"/>
  <c r="AZ76" i="4"/>
  <c r="AW76" i="4"/>
  <c r="AX76" i="4"/>
  <c r="AV76" i="4"/>
  <c r="AU76" i="4"/>
  <c r="AT76" i="4"/>
  <c r="AP86" i="4"/>
  <c r="O22" i="12"/>
  <c r="D86" i="14"/>
  <c r="O82" i="12"/>
  <c r="C82" i="12"/>
  <c r="O23" i="13"/>
  <c r="E27" i="14"/>
  <c r="G27" i="14" s="1"/>
  <c r="C23" i="13"/>
  <c r="E46" i="14"/>
  <c r="G46" i="14" s="1"/>
  <c r="C42" i="13"/>
  <c r="O42" i="13"/>
  <c r="H53" i="14"/>
  <c r="F53" i="14"/>
  <c r="C17" i="12"/>
  <c r="O17" i="12"/>
  <c r="O35" i="12"/>
  <c r="C35" i="12"/>
  <c r="C73" i="12"/>
  <c r="O73" i="12"/>
  <c r="D77" i="14"/>
  <c r="C91" i="12"/>
  <c r="E14" i="14"/>
  <c r="G14" i="14" s="1"/>
  <c r="C10" i="13"/>
  <c r="C34" i="13"/>
  <c r="E38" i="14"/>
  <c r="G38" i="14" s="1"/>
  <c r="O34" i="13"/>
  <c r="O73" i="13"/>
  <c r="C73" i="13"/>
  <c r="AO68" i="4"/>
  <c r="AF68" i="4"/>
  <c r="AJ68" i="4"/>
  <c r="AH68" i="4"/>
  <c r="E70" i="4"/>
  <c r="P70" i="4" s="1"/>
  <c r="O70" i="4"/>
  <c r="M70" i="4"/>
  <c r="K70" i="4"/>
  <c r="H70" i="4"/>
  <c r="AC74" i="4"/>
  <c r="Z74" i="4"/>
  <c r="X74" i="4"/>
  <c r="Y74" i="4"/>
  <c r="V74" i="4"/>
  <c r="S74" i="4"/>
  <c r="U75" i="4"/>
  <c r="T75" i="4"/>
  <c r="S75" i="4"/>
  <c r="R75" i="4"/>
  <c r="Y75" i="4"/>
  <c r="W75" i="4"/>
  <c r="AA83" i="4"/>
  <c r="AC83" i="4"/>
  <c r="AB83" i="4"/>
  <c r="T83" i="4"/>
  <c r="R83" i="4"/>
  <c r="BE86" i="4"/>
  <c r="BC86" i="4"/>
  <c r="BD86" i="4"/>
  <c r="BB86" i="4"/>
  <c r="AW86" i="4"/>
  <c r="AU86" i="4"/>
  <c r="AT86" i="4"/>
  <c r="AJ89" i="4"/>
  <c r="AH89" i="4"/>
  <c r="AI89" i="4"/>
  <c r="AG89" i="4"/>
  <c r="AF89" i="4"/>
  <c r="AP89" i="4"/>
  <c r="AN89" i="4"/>
  <c r="AK89" i="4"/>
  <c r="AY90" i="4"/>
  <c r="AV90" i="4"/>
  <c r="AU90" i="4"/>
  <c r="AT90" i="4"/>
  <c r="BA90" i="4"/>
  <c r="AX90" i="4"/>
  <c r="D78" i="14"/>
  <c r="C74" i="12"/>
  <c r="H95" i="14"/>
  <c r="F95" i="14"/>
  <c r="E30" i="14"/>
  <c r="G30" i="14" s="1"/>
  <c r="C26" i="13"/>
  <c r="O26" i="13"/>
  <c r="C36" i="13"/>
  <c r="E40" i="14"/>
  <c r="G40" i="14" s="1"/>
  <c r="W65" i="4"/>
  <c r="T65" i="4"/>
  <c r="R65" i="4"/>
  <c r="X65" i="4"/>
  <c r="U65" i="4"/>
  <c r="AI68" i="4"/>
  <c r="F70" i="4"/>
  <c r="T74" i="4"/>
  <c r="AD74" i="4" s="1"/>
  <c r="X75" i="4"/>
  <c r="E82" i="4"/>
  <c r="M82" i="4"/>
  <c r="K82" i="4"/>
  <c r="J82" i="4"/>
  <c r="H82" i="4"/>
  <c r="D82" i="4"/>
  <c r="U83" i="4"/>
  <c r="E85" i="4"/>
  <c r="P85" i="4" s="1"/>
  <c r="M85" i="4"/>
  <c r="K85" i="4"/>
  <c r="L85" i="4"/>
  <c r="I85" i="4"/>
  <c r="F85" i="4"/>
  <c r="AX86" i="4"/>
  <c r="AW87" i="4"/>
  <c r="AX87" i="4"/>
  <c r="AU87" i="4"/>
  <c r="BE87" i="4"/>
  <c r="BD87" i="4"/>
  <c r="BC87" i="4"/>
  <c r="BB87" i="4"/>
  <c r="BA87" i="4"/>
  <c r="AM89" i="4"/>
  <c r="S90" i="4"/>
  <c r="AD90" i="4" s="1"/>
  <c r="AA90" i="4"/>
  <c r="Y90" i="4"/>
  <c r="AC90" i="4"/>
  <c r="AB90" i="4"/>
  <c r="Z90" i="4"/>
  <c r="W90" i="4"/>
  <c r="AZ90" i="4"/>
  <c r="O43" i="12"/>
  <c r="D47" i="14"/>
  <c r="C18" i="13"/>
  <c r="E22" i="14"/>
  <c r="G22" i="14" s="1"/>
  <c r="C75" i="13"/>
  <c r="O75" i="13"/>
  <c r="AT45" i="4"/>
  <c r="BF45" i="4" s="1"/>
  <c r="D46" i="4"/>
  <c r="P46" i="4" s="1"/>
  <c r="AF48" i="4"/>
  <c r="AR48" i="4" s="1"/>
  <c r="R51" i="4"/>
  <c r="AD51" i="4" s="1"/>
  <c r="AT53" i="4"/>
  <c r="BF53" i="4" s="1"/>
  <c r="D54" i="4"/>
  <c r="P54" i="4" s="1"/>
  <c r="AF56" i="4"/>
  <c r="AR56" i="4" s="1"/>
  <c r="AT58" i="4"/>
  <c r="AZ61" i="4"/>
  <c r="BE61" i="4"/>
  <c r="AY61" i="4"/>
  <c r="AX62" i="4"/>
  <c r="BC65" i="4"/>
  <c r="BB65" i="4"/>
  <c r="AZ65" i="4"/>
  <c r="BE65" i="4"/>
  <c r="AK68" i="4"/>
  <c r="G70" i="4"/>
  <c r="AC71" i="4"/>
  <c r="AB71" i="4"/>
  <c r="AA71" i="4"/>
  <c r="U74" i="4"/>
  <c r="Z75" i="4"/>
  <c r="BE80" i="4"/>
  <c r="AY80" i="4"/>
  <c r="AX80" i="4"/>
  <c r="AW80" i="4"/>
  <c r="BA80" i="4"/>
  <c r="AV80" i="4"/>
  <c r="AA81" i="4"/>
  <c r="Z81" i="4"/>
  <c r="Y81" i="4"/>
  <c r="AB81" i="4"/>
  <c r="V81" i="4"/>
  <c r="V83" i="4"/>
  <c r="BF83" i="4"/>
  <c r="AY86" i="4"/>
  <c r="AO89" i="4"/>
  <c r="BB90" i="4"/>
  <c r="O56" i="12"/>
  <c r="D79" i="14"/>
  <c r="O75" i="12"/>
  <c r="C75" i="12"/>
  <c r="C12" i="13"/>
  <c r="E16" i="14"/>
  <c r="G16" i="14" s="1"/>
  <c r="O18" i="13"/>
  <c r="C28" i="13"/>
  <c r="O28" i="13"/>
  <c r="E32" i="14"/>
  <c r="G32" i="14" s="1"/>
  <c r="C68" i="13"/>
  <c r="O68" i="13"/>
  <c r="E31" i="14"/>
  <c r="G31" i="14" s="1"/>
  <c r="D60" i="14"/>
  <c r="AQ63" i="4"/>
  <c r="AI63" i="4"/>
  <c r="AG63" i="4"/>
  <c r="AN63" i="4"/>
  <c r="AL68" i="4"/>
  <c r="O69" i="4"/>
  <c r="H69" i="4"/>
  <c r="F69" i="4"/>
  <c r="N69" i="4"/>
  <c r="K69" i="4"/>
  <c r="I70" i="4"/>
  <c r="W74" i="4"/>
  <c r="AA75" i="4"/>
  <c r="W83" i="4"/>
  <c r="AZ86" i="4"/>
  <c r="BC88" i="4"/>
  <c r="BE88" i="4"/>
  <c r="BD88" i="4"/>
  <c r="BB88" i="4"/>
  <c r="AT88" i="4"/>
  <c r="AZ88" i="4"/>
  <c r="AX88" i="4"/>
  <c r="AU88" i="4"/>
  <c r="AQ89" i="4"/>
  <c r="BC90" i="4"/>
  <c r="C64" i="12"/>
  <c r="D68" i="14"/>
  <c r="O76" i="12"/>
  <c r="C76" i="12"/>
  <c r="D80" i="14"/>
  <c r="D91" i="14"/>
  <c r="O87" i="12"/>
  <c r="O12" i="13"/>
  <c r="E23" i="14"/>
  <c r="G23" i="14" s="1"/>
  <c r="O19" i="13"/>
  <c r="C19" i="13"/>
  <c r="D21" i="14"/>
  <c r="H76" i="14"/>
  <c r="AV58" i="4"/>
  <c r="AH60" i="4"/>
  <c r="AR60" i="4" s="1"/>
  <c r="AU61" i="4"/>
  <c r="AF63" i="4"/>
  <c r="Y65" i="4"/>
  <c r="AU65" i="4"/>
  <c r="AD68" i="4"/>
  <c r="AM68" i="4"/>
  <c r="D69" i="4"/>
  <c r="J70" i="4"/>
  <c r="S71" i="4"/>
  <c r="AD71" i="4" s="1"/>
  <c r="AA74" i="4"/>
  <c r="AB75" i="4"/>
  <c r="AQ79" i="4"/>
  <c r="AL79" i="4"/>
  <c r="AJ79" i="4"/>
  <c r="AR79" i="4" s="1"/>
  <c r="AN79" i="4"/>
  <c r="AU80" i="4"/>
  <c r="BF80" i="4" s="1"/>
  <c r="S81" i="4"/>
  <c r="AD81" i="4" s="1"/>
  <c r="I82" i="4"/>
  <c r="X83" i="4"/>
  <c r="H85" i="4"/>
  <c r="BA86" i="4"/>
  <c r="AY87" i="4"/>
  <c r="AV88" i="4"/>
  <c r="U90" i="4"/>
  <c r="BD90" i="4"/>
  <c r="R17" i="7"/>
  <c r="S17" i="7"/>
  <c r="C57" i="12"/>
  <c r="D61" i="14"/>
  <c r="O57" i="12"/>
  <c r="O70" i="12"/>
  <c r="D74" i="14"/>
  <c r="E65" i="14"/>
  <c r="G65" i="14" s="1"/>
  <c r="O61" i="13"/>
  <c r="C61" i="13"/>
  <c r="E77" i="14"/>
  <c r="G77" i="14" s="1"/>
  <c r="O37" i="13"/>
  <c r="E41" i="14"/>
  <c r="G41" i="14" s="1"/>
  <c r="C54" i="13"/>
  <c r="E58" i="14"/>
  <c r="G58" i="14" s="1"/>
  <c r="O54" i="13"/>
  <c r="F24" i="14"/>
  <c r="D44" i="14"/>
  <c r="BA70" i="4"/>
  <c r="AY70" i="4"/>
  <c r="AW70" i="4"/>
  <c r="AQ71" i="4"/>
  <c r="AF71" i="4"/>
  <c r="AW77" i="4"/>
  <c r="AV77" i="4"/>
  <c r="AU77" i="4"/>
  <c r="BD77" i="4"/>
  <c r="BB77" i="4"/>
  <c r="AM78" i="4"/>
  <c r="AL78" i="4"/>
  <c r="AK78" i="4"/>
  <c r="AJ78" i="4"/>
  <c r="AH78" i="4"/>
  <c r="AR78" i="4" s="1"/>
  <c r="BA82" i="4"/>
  <c r="BB82" i="4"/>
  <c r="AZ82" i="4"/>
  <c r="AY82" i="4"/>
  <c r="AX82" i="4"/>
  <c r="AV82" i="4"/>
  <c r="AK85" i="4"/>
  <c r="AN85" i="4"/>
  <c r="AM85" i="4"/>
  <c r="AL85" i="4"/>
  <c r="AQ85" i="4"/>
  <c r="R22" i="7"/>
  <c r="S22" i="7"/>
  <c r="O16" i="12"/>
  <c r="C16" i="12"/>
  <c r="D20" i="14"/>
  <c r="H31" i="14"/>
  <c r="C51" i="12"/>
  <c r="O51" i="12"/>
  <c r="D55" i="14"/>
  <c r="O65" i="12"/>
  <c r="O67" i="13"/>
  <c r="H13" i="14"/>
  <c r="F13" i="14"/>
  <c r="D69" i="14"/>
  <c r="AQ76" i="4"/>
  <c r="AP76" i="4"/>
  <c r="AO76" i="4"/>
  <c r="AM76" i="4"/>
  <c r="AK76" i="4"/>
  <c r="O81" i="4"/>
  <c r="J81" i="4"/>
  <c r="I81" i="4"/>
  <c r="H81" i="4"/>
  <c r="M81" i="4"/>
  <c r="AG87" i="4"/>
  <c r="AF87" i="4"/>
  <c r="AL87" i="4"/>
  <c r="AK87" i="4"/>
  <c r="AJ87" i="4"/>
  <c r="AH87" i="4"/>
  <c r="G88" i="4"/>
  <c r="I88" i="4"/>
  <c r="F88" i="4"/>
  <c r="D50" i="14"/>
  <c r="O46" i="12"/>
  <c r="C46" i="12"/>
  <c r="D82" i="14"/>
  <c r="O78" i="12"/>
  <c r="C22" i="13"/>
  <c r="O22" i="13"/>
  <c r="E26" i="14"/>
  <c r="G26" i="14" s="1"/>
  <c r="C31" i="13"/>
  <c r="E35" i="14"/>
  <c r="G35" i="14" s="1"/>
  <c r="D15" i="14"/>
  <c r="O11" i="12"/>
  <c r="C11" i="12"/>
  <c r="C53" i="12"/>
  <c r="O53" i="12"/>
  <c r="C62" i="13"/>
  <c r="E66" i="14"/>
  <c r="G66" i="14" s="1"/>
  <c r="C76" i="13"/>
  <c r="E80" i="14"/>
  <c r="G80" i="14" s="1"/>
  <c r="O76" i="13"/>
  <c r="E87" i="14"/>
  <c r="G87" i="14" s="1"/>
  <c r="O83" i="13"/>
  <c r="C83" i="13"/>
  <c r="F92" i="14"/>
  <c r="H92" i="14"/>
  <c r="AG62" i="4"/>
  <c r="AR62" i="4" s="1"/>
  <c r="Y69" i="4"/>
  <c r="W69" i="4"/>
  <c r="AD69" i="4" s="1"/>
  <c r="AK70" i="4"/>
  <c r="AH70" i="4"/>
  <c r="AF70" i="4"/>
  <c r="AR70" i="4" s="1"/>
  <c r="AZ70" i="4"/>
  <c r="AK71" i="4"/>
  <c r="O74" i="4"/>
  <c r="N74" i="4"/>
  <c r="M74" i="4"/>
  <c r="G74" i="4"/>
  <c r="E74" i="4"/>
  <c r="P74" i="4" s="1"/>
  <c r="AG76" i="4"/>
  <c r="AR76" i="4" s="1"/>
  <c r="BA77" i="4"/>
  <c r="AO78" i="4"/>
  <c r="E81" i="4"/>
  <c r="P81" i="4" s="1"/>
  <c r="BD82" i="4"/>
  <c r="AJ85" i="4"/>
  <c r="AM87" i="4"/>
  <c r="E88" i="4"/>
  <c r="P88" i="4" s="1"/>
  <c r="AO91" i="4"/>
  <c r="AK91" i="4"/>
  <c r="AI91" i="4"/>
  <c r="AM91" i="4"/>
  <c r="AJ91" i="4"/>
  <c r="AG91" i="4"/>
  <c r="AR91" i="4" s="1"/>
  <c r="O12" i="12"/>
  <c r="C12" i="12"/>
  <c r="C29" i="12"/>
  <c r="D33" i="14"/>
  <c r="O29" i="12"/>
  <c r="D58" i="14"/>
  <c r="O54" i="12"/>
  <c r="C54" i="12"/>
  <c r="F71" i="14"/>
  <c r="O8" i="13"/>
  <c r="O15" i="13"/>
  <c r="E19" i="14"/>
  <c r="G19" i="14" s="1"/>
  <c r="C15" i="13"/>
  <c r="E36" i="14"/>
  <c r="G36" i="14" s="1"/>
  <c r="C32" i="13"/>
  <c r="O49" i="13"/>
  <c r="E53" i="14"/>
  <c r="G53" i="14" s="1"/>
  <c r="C49" i="13"/>
  <c r="C56" i="13"/>
  <c r="E60" i="14"/>
  <c r="G60" i="14" s="1"/>
  <c r="O62" i="13"/>
  <c r="O69" i="13"/>
  <c r="C69" i="13"/>
  <c r="E73" i="14"/>
  <c r="G73" i="14" s="1"/>
  <c r="H38" i="14"/>
  <c r="F38" i="14"/>
  <c r="E71" i="14"/>
  <c r="G71" i="14" s="1"/>
  <c r="I73" i="4"/>
  <c r="H73" i="4"/>
  <c r="G73" i="4"/>
  <c r="P73" i="4" s="1"/>
  <c r="AC79" i="4"/>
  <c r="AB79" i="4"/>
  <c r="AA79" i="4"/>
  <c r="U85" i="4"/>
  <c r="AB85" i="4"/>
  <c r="T85" i="4"/>
  <c r="S85" i="4"/>
  <c r="R85" i="4"/>
  <c r="F23" i="14"/>
  <c r="F87" i="14"/>
  <c r="E17" i="14"/>
  <c r="G17" i="14" s="1"/>
  <c r="O13" i="13"/>
  <c r="E63" i="14"/>
  <c r="G63" i="14" s="1"/>
  <c r="C59" i="13"/>
  <c r="O65" i="13"/>
  <c r="C65" i="13"/>
  <c r="O79" i="13"/>
  <c r="E83" i="14"/>
  <c r="G83" i="14" s="1"/>
  <c r="C79" i="13"/>
  <c r="F45" i="14"/>
  <c r="E73" i="4"/>
  <c r="W78" i="4"/>
  <c r="V78" i="4"/>
  <c r="U78" i="4"/>
  <c r="S79" i="4"/>
  <c r="AI80" i="4"/>
  <c r="AH80" i="4"/>
  <c r="AG80" i="4"/>
  <c r="AR80" i="4" s="1"/>
  <c r="W85" i="4"/>
  <c r="M92" i="12"/>
  <c r="C14" i="13"/>
  <c r="E18" i="14"/>
  <c r="G18" i="14" s="1"/>
  <c r="E33" i="14"/>
  <c r="G33" i="14" s="1"/>
  <c r="O29" i="13"/>
  <c r="O53" i="13"/>
  <c r="E57" i="14"/>
  <c r="G57" i="14" s="1"/>
  <c r="C53" i="13"/>
  <c r="E84" i="14"/>
  <c r="G84" i="14" s="1"/>
  <c r="C80" i="13"/>
  <c r="O80" i="13"/>
  <c r="D30" i="14"/>
  <c r="C26" i="12"/>
  <c r="C30" i="13"/>
  <c r="O30" i="13"/>
  <c r="E34" i="14"/>
  <c r="G34" i="14" s="1"/>
  <c r="E78" i="14"/>
  <c r="G78" i="14" s="1"/>
  <c r="C74" i="13"/>
  <c r="D27" i="14"/>
  <c r="O23" i="12"/>
  <c r="C34" i="12"/>
  <c r="O34" i="12"/>
  <c r="C45" i="12"/>
  <c r="D49" i="14"/>
  <c r="O25" i="13"/>
  <c r="C25" i="13"/>
  <c r="C40" i="13"/>
  <c r="O40" i="13"/>
  <c r="E94" i="14"/>
  <c r="G94" i="14" s="1"/>
  <c r="C90" i="13"/>
  <c r="O90" i="13"/>
  <c r="F88" i="14"/>
  <c r="H88" i="14"/>
  <c r="BE91" i="4"/>
  <c r="BB91" i="4"/>
  <c r="AZ91" i="4"/>
  <c r="C68" i="12"/>
  <c r="D72" i="14"/>
  <c r="O68" i="12"/>
  <c r="M92" i="13"/>
  <c r="E52" i="14"/>
  <c r="G52" i="14" s="1"/>
  <c r="C48" i="13"/>
  <c r="C66" i="13"/>
  <c r="E70" i="14"/>
  <c r="G70" i="14" s="1"/>
  <c r="C84" i="13"/>
  <c r="E88" i="14"/>
  <c r="G88" i="14" s="1"/>
  <c r="O84" i="13"/>
  <c r="AA86" i="4"/>
  <c r="AA92" i="4" s="1"/>
  <c r="W86" i="4"/>
  <c r="U86" i="4"/>
  <c r="AD87" i="4"/>
  <c r="W88" i="4"/>
  <c r="AD88" i="4" s="1"/>
  <c r="Z88" i="4"/>
  <c r="X88" i="4"/>
  <c r="AT91" i="4"/>
  <c r="C41" i="12"/>
  <c r="O41" i="12"/>
  <c r="N7" i="13"/>
  <c r="O48" i="13"/>
  <c r="O66" i="13"/>
  <c r="C78" i="13"/>
  <c r="E82" i="14"/>
  <c r="G82" i="14" s="1"/>
  <c r="O85" i="13"/>
  <c r="C85" i="13"/>
  <c r="O9" i="12"/>
  <c r="H35" i="14"/>
  <c r="D46" i="14"/>
  <c r="O42" i="12"/>
  <c r="C42" i="12"/>
  <c r="D67" i="14"/>
  <c r="O63" i="12"/>
  <c r="C63" i="12"/>
  <c r="O79" i="12"/>
  <c r="C20" i="13"/>
  <c r="E24" i="14"/>
  <c r="G24" i="14" s="1"/>
  <c r="O20" i="13"/>
  <c r="O35" i="13"/>
  <c r="C35" i="13"/>
  <c r="E39" i="14"/>
  <c r="G39" i="14" s="1"/>
  <c r="O78" i="13"/>
  <c r="H42" i="14"/>
  <c r="E89" i="14"/>
  <c r="C13" i="12"/>
  <c r="D17" i="14"/>
  <c r="C77" i="12"/>
  <c r="D81" i="14"/>
  <c r="H29" i="14"/>
  <c r="D93" i="14"/>
  <c r="E74" i="14"/>
  <c r="G74" i="14" s="1"/>
  <c r="O37" i="12"/>
  <c r="O71" i="12"/>
  <c r="D37" i="14"/>
  <c r="D41" i="14"/>
  <c r="C47" i="12"/>
  <c r="E49" i="14"/>
  <c r="G49" i="14" s="1"/>
  <c r="O45" i="13"/>
  <c r="BG60" i="4" l="1"/>
  <c r="BG88" i="4"/>
  <c r="BG11" i="4"/>
  <c r="BG74" i="4"/>
  <c r="BG81" i="4"/>
  <c r="BG57" i="4"/>
  <c r="BG68" i="4"/>
  <c r="BG73" i="4"/>
  <c r="BG64" i="4"/>
  <c r="BG89" i="4"/>
  <c r="BG13" i="4"/>
  <c r="F17" i="14"/>
  <c r="H17" i="14"/>
  <c r="H58" i="14"/>
  <c r="F58" i="14"/>
  <c r="BF82" i="4"/>
  <c r="AR71" i="4"/>
  <c r="F68" i="14"/>
  <c r="H68" i="14"/>
  <c r="AD83" i="4"/>
  <c r="AR30" i="4"/>
  <c r="P38" i="4"/>
  <c r="BF62" i="4"/>
  <c r="U92" i="4"/>
  <c r="AR82" i="4"/>
  <c r="AR46" i="4"/>
  <c r="AR67" i="4"/>
  <c r="AD8" i="4"/>
  <c r="BF47" i="4"/>
  <c r="AR36" i="4"/>
  <c r="AW92" i="4"/>
  <c r="G92" i="4"/>
  <c r="AY92" i="4"/>
  <c r="F46" i="14"/>
  <c r="H46" i="14"/>
  <c r="H45" i="14"/>
  <c r="AR87" i="4"/>
  <c r="BG87" i="4" s="1"/>
  <c r="AR63" i="4"/>
  <c r="BG85" i="4"/>
  <c r="AD67" i="4"/>
  <c r="P61" i="4"/>
  <c r="P52" i="4"/>
  <c r="H43" i="14"/>
  <c r="F43" i="14"/>
  <c r="F36" i="14"/>
  <c r="H36" i="14"/>
  <c r="P15" i="4"/>
  <c r="BG15" i="4" s="1"/>
  <c r="W92" i="4"/>
  <c r="BF49" i="4"/>
  <c r="H92" i="4"/>
  <c r="AU92" i="4"/>
  <c r="AT92" i="4"/>
  <c r="BF7" i="4"/>
  <c r="BA92" i="4"/>
  <c r="AR49" i="4"/>
  <c r="H89" i="14"/>
  <c r="G89" i="14"/>
  <c r="H27" i="14"/>
  <c r="F27" i="14"/>
  <c r="F33" i="14"/>
  <c r="H33" i="14"/>
  <c r="H55" i="14"/>
  <c r="F55" i="14"/>
  <c r="BF70" i="4"/>
  <c r="H74" i="14"/>
  <c r="F74" i="14"/>
  <c r="BF61" i="4"/>
  <c r="BG46" i="4"/>
  <c r="H77" i="14"/>
  <c r="F77" i="14"/>
  <c r="BG65" i="4"/>
  <c r="H18" i="14"/>
  <c r="F18" i="14"/>
  <c r="BF81" i="4"/>
  <c r="AD23" i="4"/>
  <c r="BG23" i="4" s="1"/>
  <c r="X92" i="4"/>
  <c r="AL92" i="4"/>
  <c r="BF41" i="4"/>
  <c r="BG41" i="4" s="1"/>
  <c r="I92" i="4"/>
  <c r="P56" i="4"/>
  <c r="P26" i="4"/>
  <c r="BC92" i="4"/>
  <c r="N92" i="12"/>
  <c r="D96" i="14" s="1"/>
  <c r="AD86" i="4"/>
  <c r="P82" i="4"/>
  <c r="BG82" i="4" s="1"/>
  <c r="F86" i="14"/>
  <c r="H86" i="14"/>
  <c r="AR64" i="4"/>
  <c r="P27" i="4"/>
  <c r="BF39" i="4"/>
  <c r="P30" i="4"/>
  <c r="AD13" i="4"/>
  <c r="Y92" i="4"/>
  <c r="AD21" i="4"/>
  <c r="P8" i="4"/>
  <c r="BG8" i="4" s="1"/>
  <c r="BF69" i="4"/>
  <c r="AR18" i="4"/>
  <c r="AR27" i="4"/>
  <c r="BG90" i="4"/>
  <c r="H15" i="5"/>
  <c r="J92" i="4"/>
  <c r="BD92" i="4"/>
  <c r="AR89" i="4"/>
  <c r="AR14" i="4"/>
  <c r="BG14" i="4" s="1"/>
  <c r="AR90" i="4"/>
  <c r="Z92" i="4"/>
  <c r="P55" i="4"/>
  <c r="BG55" i="4" s="1"/>
  <c r="AR34" i="4"/>
  <c r="BF63" i="4"/>
  <c r="AJ92" i="4"/>
  <c r="BF22" i="4"/>
  <c r="BG22" i="4" s="1"/>
  <c r="P49" i="4"/>
  <c r="AD76" i="4"/>
  <c r="AR50" i="4"/>
  <c r="H11" i="5"/>
  <c r="BE92" i="4"/>
  <c r="AD7" i="4"/>
  <c r="H44" i="14"/>
  <c r="F44" i="14"/>
  <c r="G75" i="14"/>
  <c r="H75" i="14"/>
  <c r="AD25" i="4"/>
  <c r="F41" i="14"/>
  <c r="H41" i="14"/>
  <c r="H82" i="14"/>
  <c r="F82" i="14"/>
  <c r="F20" i="14"/>
  <c r="H20" i="14"/>
  <c r="H24" i="14"/>
  <c r="F21" i="14"/>
  <c r="H21" i="14"/>
  <c r="BF76" i="4"/>
  <c r="H85" i="14"/>
  <c r="F85" i="14"/>
  <c r="AD62" i="4"/>
  <c r="BF72" i="4"/>
  <c r="P47" i="4"/>
  <c r="AD36" i="4"/>
  <c r="BG36" i="4" s="1"/>
  <c r="H70" i="14"/>
  <c r="F70" i="14"/>
  <c r="AD38" i="4"/>
  <c r="P45" i="4"/>
  <c r="AI92" i="4"/>
  <c r="AF92" i="4"/>
  <c r="BG9" i="4"/>
  <c r="AD29" i="4"/>
  <c r="BG70" i="4"/>
  <c r="BG17" i="4"/>
  <c r="H37" i="14"/>
  <c r="F37" i="14"/>
  <c r="BF88" i="4"/>
  <c r="AD75" i="4"/>
  <c r="BG75" i="4" s="1"/>
  <c r="BF52" i="4"/>
  <c r="P53" i="4"/>
  <c r="BG53" i="4" s="1"/>
  <c r="AD9" i="4"/>
  <c r="AD27" i="4"/>
  <c r="AD63" i="4"/>
  <c r="P62" i="4"/>
  <c r="H62" i="14"/>
  <c r="F62" i="14"/>
  <c r="AD54" i="4"/>
  <c r="BG54" i="4" s="1"/>
  <c r="AK92" i="4"/>
  <c r="BF10" i="4"/>
  <c r="AV92" i="4"/>
  <c r="AR37" i="4"/>
  <c r="H94" i="14"/>
  <c r="H47" i="14"/>
  <c r="F47" i="14"/>
  <c r="BF87" i="4"/>
  <c r="AR68" i="4"/>
  <c r="F65" i="14"/>
  <c r="H65" i="14"/>
  <c r="P63" i="4"/>
  <c r="AR51" i="4"/>
  <c r="BG51" i="4" s="1"/>
  <c r="H9" i="5"/>
  <c r="P35" i="4"/>
  <c r="BF56" i="4"/>
  <c r="BF27" i="4"/>
  <c r="BG21" i="4"/>
  <c r="P84" i="4"/>
  <c r="BG84" i="4" s="1"/>
  <c r="AR45" i="4"/>
  <c r="BF54" i="4"/>
  <c r="AR52" i="4"/>
  <c r="AM92" i="4"/>
  <c r="T92" i="4"/>
  <c r="F92" i="4"/>
  <c r="P79" i="4"/>
  <c r="BG79" i="4" s="1"/>
  <c r="BF33" i="4"/>
  <c r="BG33" i="4" s="1"/>
  <c r="BG19" i="4"/>
  <c r="H54" i="14"/>
  <c r="F54" i="14"/>
  <c r="F50" i="14"/>
  <c r="H50" i="14"/>
  <c r="BF86" i="4"/>
  <c r="AR39" i="4"/>
  <c r="AD91" i="4"/>
  <c r="BG91" i="4" s="1"/>
  <c r="BF36" i="4"/>
  <c r="P34" i="4"/>
  <c r="H14" i="14"/>
  <c r="F14" i="14"/>
  <c r="P39" i="4"/>
  <c r="P31" i="4"/>
  <c r="P32" i="4"/>
  <c r="BG32" i="4" s="1"/>
  <c r="H39" i="14"/>
  <c r="AD26" i="4"/>
  <c r="F34" i="14"/>
  <c r="H34" i="14"/>
  <c r="P18" i="4"/>
  <c r="AN92" i="4"/>
  <c r="BF38" i="4"/>
  <c r="AR23" i="4"/>
  <c r="P83" i="4"/>
  <c r="K92" i="4"/>
  <c r="P25" i="4"/>
  <c r="AR57" i="4"/>
  <c r="BF75" i="4"/>
  <c r="AG92" i="4"/>
  <c r="AR7" i="4"/>
  <c r="AR55" i="4"/>
  <c r="BF73" i="4"/>
  <c r="AO92" i="4"/>
  <c r="AD73" i="4"/>
  <c r="L92" i="4"/>
  <c r="F52" i="14"/>
  <c r="H52" i="14"/>
  <c r="C7" i="13"/>
  <c r="O7" i="13"/>
  <c r="N92" i="13" s="1"/>
  <c r="E96" i="14" s="1"/>
  <c r="G96" i="14" s="1"/>
  <c r="H78" i="14"/>
  <c r="F78" i="14"/>
  <c r="H93" i="14"/>
  <c r="F93" i="14"/>
  <c r="H83" i="14"/>
  <c r="E6" i="14"/>
  <c r="AD79" i="4"/>
  <c r="F6" i="14"/>
  <c r="H66" i="14"/>
  <c r="F66" i="14"/>
  <c r="H19" i="14"/>
  <c r="F19" i="14"/>
  <c r="BF23" i="4"/>
  <c r="H48" i="14"/>
  <c r="F48" i="14"/>
  <c r="H84" i="14"/>
  <c r="P29" i="4"/>
  <c r="AP92" i="4"/>
  <c r="N92" i="4"/>
  <c r="AD28" i="4"/>
  <c r="BG28" i="4" s="1"/>
  <c r="H61" i="14"/>
  <c r="F61" i="14"/>
  <c r="P12" i="4"/>
  <c r="H79" i="14"/>
  <c r="F79" i="14"/>
  <c r="AD78" i="4"/>
  <c r="H87" i="14"/>
  <c r="P69" i="4"/>
  <c r="BG69" i="4" s="1"/>
  <c r="H91" i="14"/>
  <c r="F91" i="14"/>
  <c r="BF58" i="4"/>
  <c r="P76" i="4"/>
  <c r="AD84" i="4"/>
  <c r="P66" i="4"/>
  <c r="P58" i="4"/>
  <c r="P50" i="4"/>
  <c r="P37" i="4"/>
  <c r="BG37" i="4" s="1"/>
  <c r="AR28" i="4"/>
  <c r="P71" i="4"/>
  <c r="BG71" i="4" s="1"/>
  <c r="BG43" i="4"/>
  <c r="AD40" i="4"/>
  <c r="BG40" i="4" s="1"/>
  <c r="O92" i="4"/>
  <c r="BF28" i="4"/>
  <c r="BF16" i="4"/>
  <c r="AD18" i="4"/>
  <c r="AD30" i="4"/>
  <c r="H30" i="14"/>
  <c r="F30" i="14"/>
  <c r="AD43" i="4"/>
  <c r="F49" i="14"/>
  <c r="H49" i="14"/>
  <c r="H71" i="14"/>
  <c r="F69" i="14"/>
  <c r="H69" i="14"/>
  <c r="BF77" i="4"/>
  <c r="BG77" i="4" s="1"/>
  <c r="H80" i="14"/>
  <c r="F80" i="14"/>
  <c r="BF90" i="4"/>
  <c r="H57" i="14"/>
  <c r="BF34" i="4"/>
  <c r="H90" i="14"/>
  <c r="F90" i="14"/>
  <c r="AR72" i="4"/>
  <c r="P86" i="4"/>
  <c r="BF12" i="4"/>
  <c r="BG80" i="4"/>
  <c r="F28" i="14"/>
  <c r="H28" i="14"/>
  <c r="D92" i="4"/>
  <c r="P7" i="4"/>
  <c r="P10" i="4"/>
  <c r="F81" i="14"/>
  <c r="H81" i="14"/>
  <c r="F67" i="14"/>
  <c r="H67" i="14"/>
  <c r="BF91" i="4"/>
  <c r="H23" i="14"/>
  <c r="AR85" i="4"/>
  <c r="H63" i="14"/>
  <c r="H60" i="14"/>
  <c r="F60" i="14"/>
  <c r="F32" i="14"/>
  <c r="H32" i="14"/>
  <c r="AR73" i="4"/>
  <c r="P24" i="4"/>
  <c r="P59" i="4"/>
  <c r="BG59" i="4" s="1"/>
  <c r="AD44" i="4"/>
  <c r="BG44" i="4" s="1"/>
  <c r="BF31" i="4"/>
  <c r="H56" i="14"/>
  <c r="AR16" i="4"/>
  <c r="BG16" i="4" s="1"/>
  <c r="AD12" i="4"/>
  <c r="M92" i="4"/>
  <c r="AD50" i="4"/>
  <c r="AZ92" i="4"/>
  <c r="H72" i="14"/>
  <c r="F72" i="14"/>
  <c r="AD85" i="4"/>
  <c r="H15" i="14"/>
  <c r="F15" i="14"/>
  <c r="BF65" i="4"/>
  <c r="AD65" i="4"/>
  <c r="H26" i="14"/>
  <c r="F26" i="14"/>
  <c r="BG72" i="4"/>
  <c r="AR31" i="4"/>
  <c r="AQ92" i="4"/>
  <c r="AD66" i="4"/>
  <c r="BF40" i="4"/>
  <c r="AR24" i="4"/>
  <c r="F22" i="14"/>
  <c r="H22" i="14"/>
  <c r="AD57" i="4"/>
  <c r="BF35" i="4"/>
  <c r="P78" i="4"/>
  <c r="E92" i="4"/>
  <c r="P42" i="4"/>
  <c r="BG42" i="4" s="1"/>
  <c r="BB92" i="4"/>
  <c r="AD61" i="4"/>
  <c r="AR20" i="4"/>
  <c r="BG20" i="4" s="1"/>
  <c r="AR26" i="4"/>
  <c r="BG29" i="4" l="1"/>
  <c r="BG61" i="4"/>
  <c r="BG76" i="4"/>
  <c r="BG83" i="4"/>
  <c r="K8" i="5"/>
  <c r="AD92" i="4"/>
  <c r="BG67" i="4"/>
  <c r="F96" i="14"/>
  <c r="H96" i="14"/>
  <c r="H97" i="14" s="1"/>
  <c r="BF92" i="4"/>
  <c r="K10" i="5"/>
  <c r="BG18" i="4"/>
  <c r="BG35" i="4"/>
  <c r="BG49" i="4"/>
  <c r="BG26" i="4"/>
  <c r="BG56" i="4"/>
  <c r="BG24" i="4"/>
  <c r="BG10" i="4"/>
  <c r="BG62" i="4"/>
  <c r="BG45" i="4"/>
  <c r="P92" i="4"/>
  <c r="K7" i="5"/>
  <c r="BG7" i="4"/>
  <c r="BG63" i="4"/>
  <c r="E97" i="14"/>
  <c r="BG12" i="4"/>
  <c r="BG78" i="4"/>
  <c r="K9" i="5"/>
  <c r="AR92" i="4"/>
  <c r="BG31" i="4"/>
  <c r="BG39" i="4"/>
  <c r="BG30" i="4"/>
  <c r="BG38" i="4"/>
  <c r="BG50" i="4"/>
  <c r="BG58" i="4"/>
  <c r="BG47" i="4"/>
  <c r="D97" i="14"/>
  <c r="BG66" i="4"/>
  <c r="BG27" i="4"/>
  <c r="BG86" i="4"/>
  <c r="BG25" i="4"/>
  <c r="BG34" i="4"/>
  <c r="BG52" i="4"/>
  <c r="BG92" i="4" l="1"/>
  <c r="K11" i="5"/>
</calcChain>
</file>

<file path=xl/sharedStrings.xml><?xml version="1.0" encoding="utf-8"?>
<sst xmlns="http://schemas.openxmlformats.org/spreadsheetml/2006/main" count="2444" uniqueCount="699">
  <si>
    <t>بنزين 91</t>
  </si>
  <si>
    <t>بنزين 95</t>
  </si>
  <si>
    <t>بنزين 98</t>
  </si>
  <si>
    <t>ديزل</t>
  </si>
  <si>
    <t>📋 بيانات المحطات وهوامش العقود — المدخلات الرئيسية</t>
  </si>
  <si>
    <t xml:space="preserve">  ① عبِّئ هذا الشيت أولاً — كل الشيتات الأخرى تحسب نفسها  |  الخلايا الزرقاء = مدخلات يدوية</t>
  </si>
  <si>
    <t>معلومات المحطة الأساسية</t>
  </si>
  <si>
    <t>هوامش العقد (هللة/لتر) — من عقد كل محطة</t>
  </si>
  <si>
    <t>#</t>
  </si>
  <si>
    <t>اسم المحطة</t>
  </si>
  <si>
    <t>الكود</t>
  </si>
  <si>
    <t>الفئة</t>
  </si>
  <si>
    <t>الحالة</t>
  </si>
  <si>
    <t>المشرف الميداني</t>
  </si>
  <si>
    <t>عدد المضخات</t>
  </si>
  <si>
    <t>هامش 91
هل/ل</t>
  </si>
  <si>
    <t>هامش 95
هل/ل</t>
  </si>
  <si>
    <t>هامش 98
هل/ل</t>
  </si>
  <si>
    <t>هامش ديزل
هل/ل</t>
  </si>
  <si>
    <t>1</t>
  </si>
  <si>
    <t>جبل النور</t>
  </si>
  <si>
    <t>MK 001</t>
  </si>
  <si>
    <t>المشرف</t>
  </si>
  <si>
    <t>هامش 91
(هللة/لتر)</t>
  </si>
  <si>
    <t>هامش 95
(هللة/لتر)</t>
  </si>
  <si>
    <t>هامش 98
(هللة/لتر)</t>
  </si>
  <si>
    <t>هامش ديزل
(هللة/لتر)</t>
  </si>
  <si>
    <t>المعيصم</t>
  </si>
  <si>
    <t>MK002</t>
  </si>
  <si>
    <t>تشغيل مباشر</t>
  </si>
  <si>
    <t>نشطة</t>
  </si>
  <si>
    <t>المشرف الأول</t>
  </si>
  <si>
    <t>2</t>
  </si>
  <si>
    <t>العوالي</t>
  </si>
  <si>
    <t>MK003</t>
  </si>
  <si>
    <t>3</t>
  </si>
  <si>
    <t>عاصفة الصحراء</t>
  </si>
  <si>
    <t>MK004</t>
  </si>
  <si>
    <t>4</t>
  </si>
  <si>
    <t>الشيباني</t>
  </si>
  <si>
    <t>MK005</t>
  </si>
  <si>
    <t>5</t>
  </si>
  <si>
    <t>جنوب الطائف</t>
  </si>
  <si>
    <t>MK006</t>
  </si>
  <si>
    <t>6</t>
  </si>
  <si>
    <t>جنوب الحسينية</t>
  </si>
  <si>
    <t>MK008</t>
  </si>
  <si>
    <t>7</t>
  </si>
  <si>
    <t>جدة النسيم</t>
  </si>
  <si>
    <t>MK015</t>
  </si>
  <si>
    <t>8</t>
  </si>
  <si>
    <t>الرصيفة</t>
  </si>
  <si>
    <t>MK016</t>
  </si>
  <si>
    <t>9</t>
  </si>
  <si>
    <t>عرفات الشوقية</t>
  </si>
  <si>
    <t>MK017</t>
  </si>
  <si>
    <t>10</t>
  </si>
  <si>
    <t>الرصيفة مسار</t>
  </si>
  <si>
    <t>MK018</t>
  </si>
  <si>
    <t>11</t>
  </si>
  <si>
    <t>عرفات الشرائع</t>
  </si>
  <si>
    <t>MK019</t>
  </si>
  <si>
    <t>12</t>
  </si>
  <si>
    <t>ممشى الشوقية</t>
  </si>
  <si>
    <t>MK020</t>
  </si>
  <si>
    <t>13</t>
  </si>
  <si>
    <t>بطحاء قريش</t>
  </si>
  <si>
    <t>MK022</t>
  </si>
  <si>
    <t>14</t>
  </si>
  <si>
    <t>بن درويش</t>
  </si>
  <si>
    <t>MK023</t>
  </si>
  <si>
    <t>15</t>
  </si>
  <si>
    <t>الخرج غرناطة</t>
  </si>
  <si>
    <t>RY024</t>
  </si>
  <si>
    <t>16</t>
  </si>
  <si>
    <t>الخرج الحمراء</t>
  </si>
  <si>
    <t>RY025</t>
  </si>
  <si>
    <t>17</t>
  </si>
  <si>
    <t>احلى مساء</t>
  </si>
  <si>
    <t>MK028</t>
  </si>
  <si>
    <t>18</t>
  </si>
  <si>
    <t>الذكرى الخالدة</t>
  </si>
  <si>
    <t>MK029</t>
  </si>
  <si>
    <t>المشرف الثاني</t>
  </si>
  <si>
    <t>19</t>
  </si>
  <si>
    <t>بطحاء قريش 2</t>
  </si>
  <si>
    <t>MK031</t>
  </si>
  <si>
    <t>20</t>
  </si>
  <si>
    <t>أبو وافي</t>
  </si>
  <si>
    <t>MK033</t>
  </si>
  <si>
    <t>21</t>
  </si>
  <si>
    <t>الجمعية</t>
  </si>
  <si>
    <t>MK035</t>
  </si>
  <si>
    <t>22</t>
  </si>
  <si>
    <t>العريفي</t>
  </si>
  <si>
    <t>HA043</t>
  </si>
  <si>
    <t>23</t>
  </si>
  <si>
    <t>الحليس</t>
  </si>
  <si>
    <t>MK046</t>
  </si>
  <si>
    <t>24</t>
  </si>
  <si>
    <t>القادسية</t>
  </si>
  <si>
    <t>MK047</t>
  </si>
  <si>
    <t>25</t>
  </si>
  <si>
    <t>صامطة</t>
  </si>
  <si>
    <t>MK060</t>
  </si>
  <si>
    <t>26</t>
  </si>
  <si>
    <t>صبيا</t>
  </si>
  <si>
    <t>JA061</t>
  </si>
  <si>
    <t>27</t>
  </si>
  <si>
    <t>السواط</t>
  </si>
  <si>
    <t>MK063</t>
  </si>
  <si>
    <t>28</t>
  </si>
  <si>
    <t>جعرانة</t>
  </si>
  <si>
    <t>MK064</t>
  </si>
  <si>
    <t>29</t>
  </si>
  <si>
    <t>العزيزية بن دهيش</t>
  </si>
  <si>
    <t>MK072</t>
  </si>
  <si>
    <t>30</t>
  </si>
  <si>
    <t>الرياض الدائري الشمالي</t>
  </si>
  <si>
    <t>RY075</t>
  </si>
  <si>
    <t>31</t>
  </si>
  <si>
    <t>الكر النازل</t>
  </si>
  <si>
    <t>MK084</t>
  </si>
  <si>
    <t>32</t>
  </si>
  <si>
    <t>كرنيش جيزان</t>
  </si>
  <si>
    <t>JA069</t>
  </si>
  <si>
    <t>33</t>
  </si>
  <si>
    <t>الخليص</t>
  </si>
  <si>
    <t>MK014</t>
  </si>
  <si>
    <t>34</t>
  </si>
  <si>
    <t>صبيا نخلان</t>
  </si>
  <si>
    <t>JA053</t>
  </si>
  <si>
    <t>35</t>
  </si>
  <si>
    <t>العرجاني الخرج</t>
  </si>
  <si>
    <t>RY042</t>
  </si>
  <si>
    <t>المشرف الثالث</t>
  </si>
  <si>
    <t>36</t>
  </si>
  <si>
    <t>الملك خالد طائف</t>
  </si>
  <si>
    <t>MK093</t>
  </si>
  <si>
    <t>37</t>
  </si>
  <si>
    <t>الاجاويد-جدة</t>
  </si>
  <si>
    <t>MK071</t>
  </si>
  <si>
    <t>38</t>
  </si>
  <si>
    <t>البيعة</t>
  </si>
  <si>
    <t>MK099</t>
  </si>
  <si>
    <t>39</t>
  </si>
  <si>
    <t>العمرة</t>
  </si>
  <si>
    <t>MK007</t>
  </si>
  <si>
    <t>40</t>
  </si>
  <si>
    <t>الجموم</t>
  </si>
  <si>
    <t>MK068</t>
  </si>
  <si>
    <t>41</t>
  </si>
  <si>
    <t>الخبر</t>
  </si>
  <si>
    <t>EP051</t>
  </si>
  <si>
    <t>42</t>
  </si>
  <si>
    <t>الكوثر</t>
  </si>
  <si>
    <t>MK 100</t>
  </si>
  <si>
    <t>43</t>
  </si>
  <si>
    <t>روابي جيزان</t>
  </si>
  <si>
    <t>JA056</t>
  </si>
  <si>
    <t>44</t>
  </si>
  <si>
    <t>الدائري الشرقي</t>
  </si>
  <si>
    <t>QS055</t>
  </si>
  <si>
    <t>45</t>
  </si>
  <si>
    <t>الاطاوله الباحة</t>
  </si>
  <si>
    <t>BH50</t>
  </si>
  <si>
    <t>46</t>
  </si>
  <si>
    <t>محايل عسير</t>
  </si>
  <si>
    <t>AS153</t>
  </si>
  <si>
    <t>48</t>
  </si>
  <si>
    <t>سلطان المطرفي</t>
  </si>
  <si>
    <t>MK54</t>
  </si>
  <si>
    <t>49</t>
  </si>
  <si>
    <t>محطه بن قباس</t>
  </si>
  <si>
    <t>50</t>
  </si>
  <si>
    <t>محطة مدخل محايل</t>
  </si>
  <si>
    <t>51</t>
  </si>
  <si>
    <t>الشوقية - سندي</t>
  </si>
  <si>
    <t>52</t>
  </si>
  <si>
    <t>دوار البلديه احد المسارحه</t>
  </si>
  <si>
    <t>المشرف الرابع</t>
  </si>
  <si>
    <t>53</t>
  </si>
  <si>
    <t>الازوري (طريق المطار)</t>
  </si>
  <si>
    <t>54</t>
  </si>
  <si>
    <t>عبد الله الخريجي</t>
  </si>
  <si>
    <t>⛽ المبيعات الشهرية — مفصّلة حسب المنتج (لتر)</t>
  </si>
  <si>
    <t xml:space="preserve">  ② عبِّئ كميات المبيعات بالليتر — الإجماليات تحسب تلقائياً | الخلايا الزرقاء = مدخلات يدوية</t>
  </si>
  <si>
    <t>الإجمالي الكلي</t>
  </si>
  <si>
    <t>ينا</t>
  </si>
  <si>
    <t>فبر</t>
  </si>
  <si>
    <t>مار</t>
  </si>
  <si>
    <t>أبر</t>
  </si>
  <si>
    <t>ماي</t>
  </si>
  <si>
    <t>يون</t>
  </si>
  <si>
    <t>يول</t>
  </si>
  <si>
    <t>أغس</t>
  </si>
  <si>
    <t>سبت</t>
  </si>
  <si>
    <t>أكت</t>
  </si>
  <si>
    <t>نوف</t>
  </si>
  <si>
    <t>ديس</t>
  </si>
  <si>
    <t>إجمالي سنوي</t>
  </si>
  <si>
    <t>متوسط شهري</t>
  </si>
  <si>
    <t>47</t>
  </si>
  <si>
    <t>إجمالي جميع المحطات</t>
  </si>
  <si>
    <t>💰 ربحية المنتجات — محسوبة تلقائياً (هامش العقد × المبيعات)</t>
  </si>
  <si>
    <t xml:space="preserve">  ✅ هذا الشيت يحسب نفسه — لا تعديل مطلوب | الربحية = هامش العقد × المبيعات ÷ 100</t>
  </si>
  <si>
    <t>بنزين 91 — الربحية (ريال)</t>
  </si>
  <si>
    <t>بنزين 95 — الربحية (ريال)</t>
  </si>
  <si>
    <t>بنزين 98 — الربحية (ريال)</t>
  </si>
  <si>
    <t>ديزل — الربحية (ريال)</t>
  </si>
  <si>
    <t>إجمالي ربحية المحطة</t>
  </si>
  <si>
    <t>الهامش
هل/ل</t>
  </si>
  <si>
    <t>إجمالي
سنوي</t>
  </si>
  <si>
    <t>إجمالي كل
المنتجات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</si>
  <si>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</si>
  <si>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</si>
  <si>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</si>
  <si>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</si>
  <si>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</si>
  <si>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</si>
  <si>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</si>
  <si>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</si>
  <si>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</si>
  <si>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</si>
  <si>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</si>
  <si>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</si>
  <si>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</si>
  <si>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</si>
  <si>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</si>
  <si>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</si>
  <si>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</si>
  <si>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</si>
  <si>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</si>
  <si>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</si>
  <si>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</si>
  <si>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</si>
  <si>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</si>
  <si>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</si>
  <si>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</si>
  <si>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</si>
  <si>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</si>
  <si>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</si>
  <si>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</si>
  <si>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</si>
  <si>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</si>
  <si>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متوسط</t>
  </si>
  <si>
    <t>📊 مؤشرات KPI — محسوبة تلقائياً من البيانات</t>
  </si>
  <si>
    <t xml:space="preserve">  ✅ هذا الشيت يتحدث تلقائياً عند أي تغيير في البيانات أو المبيعات أو الهوامش</t>
  </si>
  <si>
    <t>المؤشر</t>
  </si>
  <si>
    <t>الوحدة</t>
  </si>
  <si>
    <t>الهدف</t>
  </si>
  <si>
    <t>يناير</t>
  </si>
  <si>
    <t>فبراير</t>
  </si>
  <si>
    <t>مارس</t>
  </si>
  <si>
    <t>Q1 مجموع</t>
  </si>
  <si>
    <t>Q2 مجموع</t>
  </si>
  <si>
    <t>Q3 مجموع</t>
  </si>
  <si>
    <t>YTD</t>
  </si>
  <si>
    <t xml:space="preserve">  ◀  🛢️ ربحية المنتجات (هامش العقد × المبيعات)</t>
  </si>
  <si>
    <t>ربحية بنزين 91 — إجمالي جميع المحطات</t>
  </si>
  <si>
    <t>ريال</t>
  </si>
  <si>
    <t>تصاعدي</t>
  </si>
  <si>
    <t>ربحية بنزين 95 — إجمالي جميع المحطات</t>
  </si>
  <si>
    <t>ربحية بنزين 98 — إجمالي جميع المحطات</t>
  </si>
  <si>
    <t>ربحية الديزل — إجمالي جميع المحطات</t>
  </si>
  <si>
    <t>إجمالي ربحية جميع المنتجات — جميع المحطات</t>
  </si>
  <si>
    <t xml:space="preserve">  ◀  📦 مؤشرات المبيعات الحجمية (لتر)</t>
  </si>
  <si>
    <t>إجمالي مبيعات بنزين 91 (لتر)</t>
  </si>
  <si>
    <t>لتر</t>
  </si>
  <si>
    <t>إجمالي مبيعات بنزين 95 (لتر)</t>
  </si>
  <si>
    <t>إجمالي مبيعات بنزين 98 (لتر)</t>
  </si>
  <si>
    <t>إجمالي مبيعات الديزل (لتر)</t>
  </si>
  <si>
    <t>تقرير المبيعات اليومي — أبريل 2026 | إجمالي الوقود (لتر)</t>
  </si>
  <si>
    <t xml:space="preserve">  55 محطة  |  30 يوم  |  البيانات من: Daily Sales Report April 2026</t>
  </si>
  <si>
    <t>01/4</t>
  </si>
  <si>
    <t>02/4</t>
  </si>
  <si>
    <t>03/4</t>
  </si>
  <si>
    <t>04/4</t>
  </si>
  <si>
    <t>05/4</t>
  </si>
  <si>
    <t>06/4</t>
  </si>
  <si>
    <t>07/4</t>
  </si>
  <si>
    <t>08/4</t>
  </si>
  <si>
    <t>09/4</t>
  </si>
  <si>
    <t>10/4</t>
  </si>
  <si>
    <t>11/4</t>
  </si>
  <si>
    <t>12/4</t>
  </si>
  <si>
    <t>13/4</t>
  </si>
  <si>
    <t>14/4</t>
  </si>
  <si>
    <t>15/4</t>
  </si>
  <si>
    <t>16/4</t>
  </si>
  <si>
    <t>17/4</t>
  </si>
  <si>
    <t>18/4</t>
  </si>
  <si>
    <t>19/4</t>
  </si>
  <si>
    <t>20/4</t>
  </si>
  <si>
    <t>21/4</t>
  </si>
  <si>
    <t>22/4</t>
  </si>
  <si>
    <t>23/4</t>
  </si>
  <si>
    <t>24/4</t>
  </si>
  <si>
    <t>25/4</t>
  </si>
  <si>
    <t>26/4</t>
  </si>
  <si>
    <t>27/4</t>
  </si>
  <si>
    <t>28/4</t>
  </si>
  <si>
    <t>29/4</t>
  </si>
  <si>
    <t>30/4</t>
  </si>
  <si>
    <t>إجمالي أبريل</t>
  </si>
  <si>
    <t>متوسط/يوم</t>
  </si>
  <si>
    <t>نسبة 91%</t>
  </si>
  <si>
    <t>نسبة 95%</t>
  </si>
  <si>
    <t>مؤشرات الأداء التشغيلية 2026  |  أدخل الأرقام الشهرية — الإجمالي والحالة تحسب نفسها</t>
  </si>
  <si>
    <t xml:space="preserve">  📝 الخلايا الزرقاء = مدخل يدوي  |  YTD يحسب نفسه  |  الحالة: ✅ محقق | 🟡 قريب | 🔴 تحت الهدف  |  الاتجاه: ↑↓ تلقائي</t>
  </si>
  <si>
    <t>المصدر</t>
  </si>
  <si>
    <t>أبريل</t>
  </si>
  <si>
    <t>مايو</t>
  </si>
  <si>
    <t>يونيو</t>
  </si>
  <si>
    <t>يوليو</t>
  </si>
  <si>
    <t>أغسطس</t>
  </si>
  <si>
    <t>سبتمبر</t>
  </si>
  <si>
    <t>أكتوبر</t>
  </si>
  <si>
    <t>نوفمبر</t>
  </si>
  <si>
    <t>ديسمبر</t>
  </si>
  <si>
    <t>YTD (متوسط)</t>
  </si>
  <si>
    <t>vs الهدف</t>
  </si>
  <si>
    <t>الاتجاه</t>
  </si>
  <si>
    <t>ملاحظات</t>
  </si>
  <si>
    <t xml:space="preserve">  ◀  الربحية المباشرة (PRO)</t>
  </si>
  <si>
    <t xml:space="preserve">  1. نمو مبيعات بنزين 91 (لتر) — مقارنة بالعام السابق</t>
  </si>
  <si>
    <t>يُحدد لاحقاً</t>
  </si>
  <si>
    <t>نسبة %</t>
  </si>
  <si>
    <t>⛽ المبيعات الشهرية</t>
  </si>
  <si>
    <t>أدخل نسبة النمو لكل شهر مقارنة بنفس الشهر من 2025 (مثال: 12.5 = نمو 12.5%)</t>
  </si>
  <si>
    <t xml:space="preserve">  2. نمو مبيعات بنزين 95 (لتر) — مقارنة بالعام السابق</t>
  </si>
  <si>
    <t xml:space="preserve">  3. نمو مبيعات بنزين 98 (لتر) — مقارنة بالعام السابق</t>
  </si>
  <si>
    <t xml:space="preserve">  4. نمو مبيعات الديزل (لتر) — مقارنة بالعام السابق</t>
  </si>
  <si>
    <t xml:space="preserve">  ◀  حماية الإيراد (REV)</t>
  </si>
  <si>
    <t xml:space="preserve">  3. نسبة جاهزية المحطة الشاملة (Uptime)</t>
  </si>
  <si>
    <t xml:space="preserve">  4. نسبة المضخات العاملة</t>
  </si>
  <si>
    <t>≥ 97%</t>
  </si>
  <si>
    <t>%</t>
  </si>
  <si>
    <t>نظام الصيانة</t>
  </si>
  <si>
    <t>أدخل متوسط نسبة المضخات العاملة (%)</t>
  </si>
  <si>
    <t xml:space="preserve">  ◀  ضغط التكلفة الداخلية (CST)</t>
  </si>
  <si>
    <t xml:space="preserve">  5. تكلفة التشغيل لكل لتر مباع</t>
  </si>
  <si>
    <t>خفض ≥ 5% سنوياً</t>
  </si>
  <si>
    <t>هللة/لتر</t>
  </si>
  <si>
    <t>المالية + التشغيل</t>
  </si>
  <si>
    <t>—</t>
  </si>
  <si>
    <t>أدخل تكلفة التشغيل لكل لتر شهرياً</t>
  </si>
  <si>
    <t xml:space="preserve">  ◀  حماية الأصول (AST)</t>
  </si>
  <si>
    <t xml:space="preserve">  6. نسبة الصيانة الوقائية المنفذة في موعدها</t>
  </si>
  <si>
    <t>≥ 95%</t>
  </si>
  <si>
    <t>أدخل نسبة الصيانة المنفذة في موعدها (%)</t>
  </si>
  <si>
    <t xml:space="preserve">  ◀  تجربة العميل (CX)</t>
  </si>
  <si>
    <t xml:space="preserve">  7. انخفاض الشكاوى (مقارنة بالشهر السابق)</t>
  </si>
  <si>
    <t>−30%</t>
  </si>
  <si>
    <t>منصة الشكاوى</t>
  </si>
  <si>
    <t>أدخل نسبة التغيير (سالب = انخفاض)</t>
  </si>
  <si>
    <t xml:space="preserve">  8. تقييم Google Maps للمحطات</t>
  </si>
  <si>
    <t>≥ 4.5 نجوم</t>
  </si>
  <si>
    <t>نجوم/5</t>
  </si>
  <si>
    <t>Google Maps</t>
  </si>
  <si>
    <t>أدخل متوسط التقييم على قوقل شهرياً</t>
  </si>
  <si>
    <t xml:space="preserve">  9. سرعة تعبئة الوقود</t>
  </si>
  <si>
    <t>≤ 3 دقائق</t>
  </si>
  <si>
    <t>دقيقة</t>
  </si>
  <si>
    <t>زيارات سرية</t>
  </si>
  <si>
    <t>أدخل متوسط وقت التعبئة بالدقائق</t>
  </si>
  <si>
    <t xml:space="preserve">  10. دقة التعبئة بدون أخطاء</t>
  </si>
  <si>
    <t>≥ 99%</t>
  </si>
  <si>
    <t>زيارات سرية + شكاوى</t>
  </si>
  <si>
    <t>أدخل نسبة عمليات التعبئة الصحيحة (%)</t>
  </si>
  <si>
    <t xml:space="preserve">  11. الالتزام بالزي الرسمي والمظهر</t>
  </si>
  <si>
    <t xml:space="preserve">  12. تطبيق المعيار الشامل في المحطات</t>
  </si>
  <si>
    <t>≥ 80%</t>
  </si>
  <si>
    <t>حصر العمليات</t>
  </si>
  <si>
    <t>أدخل نسبة تطبيق المعيار الشامل (%)</t>
  </si>
  <si>
    <t xml:space="preserve">  ◀  السلامة الوقائية (SAF)</t>
  </si>
  <si>
    <t xml:space="preserve">  13. الالتزام بمعايير السلامة داخل المحطة</t>
  </si>
  <si>
    <t>100%</t>
  </si>
  <si>
    <t>تفتيش HSE</t>
  </si>
  <si>
    <t>أدخل نسبة الالتزام بمعايير السلامة (%)</t>
  </si>
  <si>
    <t xml:space="preserve">  ◀  البيئة والمظهر العام (ENV)</t>
  </si>
  <si>
    <t xml:space="preserve">  14. تقارير نظافة مرافق المحطة</t>
  </si>
  <si>
    <t xml:space="preserve">  15. التشجير داخل المحطة (معيار الوزارة)</t>
  </si>
  <si>
    <t>إدارة المرافق</t>
  </si>
  <si>
    <t>أدخل نسبة المحطات الملتزمة بالتشجير (%)</t>
  </si>
  <si>
    <t xml:space="preserve">  📌  مؤشر LTI (السلامة) من اختصاص HSE — يُرفع تقريره شهرياً لإدارة التشغيل مشتركاً</t>
  </si>
  <si>
    <t>مدير المحطة</t>
  </si>
  <si>
    <t>مشرف ميداني</t>
  </si>
  <si>
    <t>المرجع</t>
  </si>
  <si>
    <t>≤ 5 دقائق</t>
  </si>
  <si>
    <t>SOP-OM-08</t>
  </si>
  <si>
    <t>SM-F-01</t>
  </si>
  <si>
    <t>0 حالات</t>
  </si>
  <si>
    <t>سياسة داخلية</t>
  </si>
  <si>
    <t>HSE</t>
  </si>
  <si>
    <t>SOP-OM-02</t>
  </si>
  <si>
    <t>SOP-OM-13</t>
  </si>
  <si>
    <t>قياس الخزان</t>
  </si>
  <si>
    <t>OP-F-21</t>
  </si>
  <si>
    <t>0</t>
  </si>
  <si>
    <t>OP-F-36</t>
  </si>
  <si>
    <t>وثائق حكومية</t>
  </si>
  <si>
    <t>≤ 15 د</t>
  </si>
  <si>
    <t>SOP-OM</t>
  </si>
  <si>
    <t>قائمة التحقق</t>
  </si>
  <si>
    <t>90%+</t>
  </si>
  <si>
    <t>SOP-OM-09</t>
  </si>
  <si>
    <t>دليل التشغيل</t>
  </si>
  <si>
    <t>OP-F-51</t>
  </si>
  <si>
    <t>مؤشرات الأداء — عامل تعبئة الوقود  |  10 مؤشر</t>
  </si>
  <si>
    <t xml:space="preserve">  المرجع: SOP-OM-08 — الدليل المتكامل للتشغيل (TQM-M-02)  |  🔵 خلايا الأشهر = مدخل يدوي  |  الحالة تحسب تلقائياً</t>
  </si>
  <si>
    <t>ماذا يقيس؟</t>
  </si>
  <si>
    <t>↑↓</t>
  </si>
  <si>
    <t>YTD
(متوسط)</t>
  </si>
  <si>
    <t xml:space="preserve">  ◀  خدمة العميل والسرعة</t>
  </si>
  <si>
    <t xml:space="preserve">  1. وقت تعبئة الوقود للعميل</t>
  </si>
  <si>
    <t>متوسط الوقت من وقوف المركبة للمضخة حتى مغادرتها بعد السداد</t>
  </si>
  <si>
    <t>↓</t>
  </si>
  <si>
    <t xml:space="preserve">  2. الترحيب بالعميل عند الوصول</t>
  </si>
  <si>
    <t>التحقق من ترحيب عامل التعبئة بالعميل فور وصول المركبة</t>
  </si>
  <si>
    <t>نعم/لا</t>
  </si>
  <si>
    <t>↑</t>
  </si>
  <si>
    <t xml:space="preserve">  3. إعادة تركيب غطاء الخزان</t>
  </si>
  <si>
    <t>التأكد من إعادة غطاء خزان سيارة العميل قبل المغادرة</t>
  </si>
  <si>
    <t xml:space="preserve">  4. عرض إيصال الدفع على العميل</t>
  </si>
  <si>
    <t>تقديم الإيصال للعميل بعد اكتمال عملية الدفع</t>
  </si>
  <si>
    <t xml:space="preserve">  ◀  المظهر والالتزام</t>
  </si>
  <si>
    <t xml:space="preserve">  5. الالتزام بالزي الرسمي كاملاً</t>
  </si>
  <si>
    <t>ارتداء الزي الرسمي المعتمد (قميص + بنطال + حذاء + بطاقة) يومياً</t>
  </si>
  <si>
    <t xml:space="preserve">  6. النظافة الشخصية والمظهر العام</t>
  </si>
  <si>
    <t>الالتزام بمعايير النظافة الشخصية والهيئة المقبولة</t>
  </si>
  <si>
    <t xml:space="preserve">  7. عدم استخدام الجوال أثناء العمل</t>
  </si>
  <si>
    <t>عدد حالات استخدام الجوال الشخصي خلال ساعات العمل</t>
  </si>
  <si>
    <t>حالة</t>
  </si>
  <si>
    <t xml:space="preserve">  ◀  الدقة والسلامة</t>
  </si>
  <si>
    <t xml:space="preserve">  8. دقة نوع الوقود المُضخ (91/95/98/ديزل)</t>
  </si>
  <si>
    <t>التحقق من نوع الوقود الصحيح قبل بدء الضخ</t>
  </si>
  <si>
    <t xml:space="preserve">  9. إغلاق المضخة عند اكتمال الكمية</t>
  </si>
  <si>
    <t>إيقاف المضخة تلقائياً أو يدوياً عند اكتمال الكمية المطلوبة</t>
  </si>
  <si>
    <t xml:space="preserve">  10. الالتزام بإجراءات السلامة عند الضخ</t>
  </si>
  <si>
    <t>وضع مانع الحريق وعدم استخدام النار أو الجوال أثناء الضخ</t>
  </si>
  <si>
    <t xml:space="preserve">  📌  جميع المؤشرات مستخرجة من الدليل المتكامل للتشغيل SOP-OM-08 — تُعبَّأ شهرياً من تقارير الزيارات الميدانية وسجلات النظام</t>
  </si>
  <si>
    <t>مؤشرات الأداء — مدير المحطة  |  14 مؤشر</t>
  </si>
  <si>
    <t xml:space="preserve">  المرجع: SOP-OM-02 / SOP-OM-13 — الدليل المتكامل للتشغيل (TQM-M-02)  |  🔵 خلايا الأشهر = مدخل يدوي  |  الحالة تحسب تلقائياً</t>
  </si>
  <si>
    <t xml:space="preserve">  ◀  الإقفالات والرقابة المالية</t>
  </si>
  <si>
    <t xml:space="preserve">  1. تنفيذ جرد الوردية مرتين يومياً</t>
  </si>
  <si>
    <t>أخذ قراءات العدادات السرية بداية ونهاية كل وردية مع المشرف</t>
  </si>
  <si>
    <t xml:space="preserve">  2. تسليم حصيلة المبيعات في الموعد</t>
  </si>
  <si>
    <t>تسليم المبلغ النقدي لمدير المنطقة يومياً في الوقت المحدد</t>
  </si>
  <si>
    <t xml:space="preserve">  3. التطابق بين POS والنقدية اليومي</t>
  </si>
  <si>
    <t>نسبة الأيام التي تطابقت فيها مبيعات POS مع النقدية المُسلَّمة</t>
  </si>
  <si>
    <t xml:space="preserve">  4. صفر حالات عدم تطابق غير مبررة</t>
  </si>
  <si>
    <t>عدد الحالات التي سُجِّل فيها فارق بين POS والنقدية بلا تبرير</t>
  </si>
  <si>
    <t xml:space="preserve">  ◀  توريد الوقود وقياس الخزان</t>
  </si>
  <si>
    <t xml:space="preserve">  5. دقة قياس مستوى الخزان يومياً</t>
  </si>
  <si>
    <t>نسبة الأيام التي طابقت فيها القراءة اليدوية للخزان السجلات</t>
  </si>
  <si>
    <t xml:space="preserve">  6. طلب توريد الوقود قبل نفاده</t>
  </si>
  <si>
    <t>طلب الوقود استناداً لنموذج التوقعات قبل وصول المخزون للحد الأدنى</t>
  </si>
  <si>
    <t xml:space="preserve">  7. صفر حالات انقطاع الوقود</t>
  </si>
  <si>
    <t>عدد المرات التي نفد فيها الوقود وأدى لتوقف الخدمة</t>
  </si>
  <si>
    <t xml:space="preserve">  8. توثيق تفريغ الوقود بنموذج OP-F-36</t>
  </si>
  <si>
    <t>ملء نموذج OP-F-36 عند كل عملية تفريغ وقود من الشاحنة</t>
  </si>
  <si>
    <t xml:space="preserve">  ◀  إدارة الفريق والمحطة</t>
  </si>
  <si>
    <t xml:space="preserve">  9. الالتزام بزي الفريق ومظهره</t>
  </si>
  <si>
    <t>نسبة موظفي المحطة الملتزمين بالزي الرسمي يومياً</t>
  </si>
  <si>
    <t xml:space="preserve">  10. توزيع الزي بعهدة موقّعة</t>
  </si>
  <si>
    <t>توثيق استلام كل موظف لزيه الرسمي بنموذج موقّع</t>
  </si>
  <si>
    <t xml:space="preserve">  11. تجديد الوثائق والتراخيص مبكراً</t>
  </si>
  <si>
    <t>تجديد جميع التراخيص قبل انتهائها بـ30 يوم على الأقل</t>
  </si>
  <si>
    <t xml:space="preserve">  12. الاستجابة لبلاغات الطوارئ والأعطال</t>
  </si>
  <si>
    <t>الوقت من تسجيل البلاغ حتى اتخاذ الإجراء أو رفعه للمشرف</t>
  </si>
  <si>
    <t xml:space="preserve">  ◀  جودة الخدمة والنظافة</t>
  </si>
  <si>
    <t xml:space="preserve">  13. نظافة دورات المياه والمرافق يومياً</t>
  </si>
  <si>
    <t>اجتياز قائمة تحقق النظافة اليومية للمرافق والساحة والمضخات</t>
  </si>
  <si>
    <t xml:space="preserve">  14. معالجة شكاوى العملاء خلال 24 ساعة</t>
  </si>
  <si>
    <t>نسبة الشكاوى التي أُغلقت وبُلِّغ عنها خلال 24 ساعة من استلامها</t>
  </si>
  <si>
    <t xml:space="preserve">  📌  جميع المؤشرات مستخرجة من الدليل المتكامل للتشغيل SOP-OM-02 / SOP-OM-13 — تُعبَّأ شهرياً من تقارير الزيارات الميدانية وسجلات النظام</t>
  </si>
  <si>
    <t>مؤشرات الأداء — مشرف ميداني  |  12 مؤشر</t>
  </si>
  <si>
    <t xml:space="preserve">  المرجع: دليل TQM-M-02 — الدليل المتكامل للتشغيل (TQM-M-02)  |  🔵 خلايا الأشهر = مدخل يدوي  |  الحالة تحسب تلقائياً</t>
  </si>
  <si>
    <t xml:space="preserve">  ◀  الزيارات الميدانية</t>
  </si>
  <si>
    <t xml:space="preserve">  1. تنفيذ الزيارات المجدولة كاملاً</t>
  </si>
  <si>
    <t>نسبة زيارات المحطات المجدولة التي نُفِّذت فعلاً خلال الشهر</t>
  </si>
  <si>
    <t xml:space="preserve">  2. رفع تقرير الزيارة خلال 24 ساعة</t>
  </si>
  <si>
    <t>رفع نموذج تقرير الزيارة للإدارة خلال 24 ساعة من تنفيذها</t>
  </si>
  <si>
    <t xml:space="preserve">  3. التحقق من جرد الوردية أثناء الزيارة</t>
  </si>
  <si>
    <t>المشاركة مع مدير المحطة في أخذ قراءات العدادات السرية</t>
  </si>
  <si>
    <t xml:space="preserve">  4. إغلاق ملاحظات الزيارة خلال أسبوع</t>
  </si>
  <si>
    <t>نسبة الملاحظات الميدانية التي صُحِّحت وأُغلقت خلال 7 أيام</t>
  </si>
  <si>
    <t xml:space="preserve">  ◀  الرقابة المالية والتوريد</t>
  </si>
  <si>
    <t xml:space="preserve">  5. التحقق من تطابق POS والنقدية</t>
  </si>
  <si>
    <t>مراجعة سجلات POS والنقدية في كل زيارة ميدانية</t>
  </si>
  <si>
    <t xml:space="preserve">  6. متابعة طلبات التوريد وتسليم الوقود</t>
  </si>
  <si>
    <t>الإشراف على عمليات تفريغ الوقود والتحقق من صحة النماذج</t>
  </si>
  <si>
    <t xml:space="preserve">  7. مراجعة نسبة الجاهزية للمضخات</t>
  </si>
  <si>
    <t>التحقق من نسبة المضخات العاملة في كل محطة أثناء الزيارة</t>
  </si>
  <si>
    <t xml:space="preserve">  ◀  متابعة الموظفين وتطوير الأداء</t>
  </si>
  <si>
    <t xml:space="preserve">  8. تقييم أداء الموظفين بنموذج OP-F-51</t>
  </si>
  <si>
    <t>تطبيق نموذج OP-F-51 على جميع موظفي المحطات ربع سنوياً</t>
  </si>
  <si>
    <t xml:space="preserve">  9. متابعة الالتزام بالزي والمظهر</t>
  </si>
  <si>
    <t>رصد وتوثيق نسبة الموظفين الملتزمين بالزي خلال كل زيارة</t>
  </si>
  <si>
    <t xml:space="preserve">  10. تسجيل مخالفات السلامة ومعالجتها</t>
  </si>
  <si>
    <t>عدد حالات مخالفة السلامة التي رُصدت دون اتخاذ إجراء فوري</t>
  </si>
  <si>
    <t xml:space="preserve">  ◀  التقارير والوثائق</t>
  </si>
  <si>
    <t xml:space="preserve">  11. رفع التقارير الشهرية في موعدها</t>
  </si>
  <si>
    <t>تسليم التقرير الشهري الشامل للإدارة في الموعد المحدد</t>
  </si>
  <si>
    <t xml:space="preserve">  12. متابعة تجديد تراخيص المحطات</t>
  </si>
  <si>
    <t>مراجعة صلاحية تراخيص المحطات ومتابعة تجديدها مبكراً</t>
  </si>
  <si>
    <t xml:space="preserve">  📌  جميع المؤشرات مستخرجة من الدليل المتكامل للتشغيل دليل TQM-M-02 — تُعبَّأ شهرياً من تقارير الزيارات الميدانية وسجلات النظام</t>
  </si>
  <si>
    <t>🏗️ مؤشر جاهزية المحطة للافتتاح — 7 بنود متكاملة</t>
  </si>
  <si>
    <t xml:space="preserve">  ✅=1 ملتزم  |  ❌=0 غير ملتزم  |  الجاهزية الكاملة = 100% في جميع البنود  |  85 محطة مستهدفة (55 قائمة + 30 جديدة)</t>
  </si>
  <si>
    <t>البنود — ✅ ملتزم | ❌ غير ملتزم | أدخل 1=ملتزم، 0=غير ملتزم</t>
  </si>
  <si>
    <t>المنطقة</t>
  </si>
  <si>
    <t>R1
التشغيل — العمالة وا</t>
  </si>
  <si>
    <t xml:space="preserve">R2
العلاقات الحكومية — </t>
  </si>
  <si>
    <t>R3
البيئة — التشجير وال</t>
  </si>
  <si>
    <t>R4
الهوية — الهوية البص</t>
  </si>
  <si>
    <t>R5
المشاريع — التمديدات</t>
  </si>
  <si>
    <t>R6
السلامة — كافة معدات</t>
  </si>
  <si>
    <t>R7
التقنية — الأتمتة وA</t>
  </si>
  <si>
    <t>المجموع</t>
  </si>
  <si>
    <t>نسبة
الجاهزية</t>
  </si>
  <si>
    <t>الحالة
الكلية</t>
  </si>
  <si>
    <t>المسؤول التنفيذي</t>
  </si>
  <si>
    <t>محطة 1</t>
  </si>
  <si>
    <t>المنطقة الغربية</t>
  </si>
  <si>
    <t>مشرف ميداني + مدير المحطة</t>
  </si>
  <si>
    <t>محطة 2</t>
  </si>
  <si>
    <t>محطة 3</t>
  </si>
  <si>
    <t>محطة 4</t>
  </si>
  <si>
    <t>محطة 5</t>
  </si>
  <si>
    <t>محطة 6</t>
  </si>
  <si>
    <t>محطة 7</t>
  </si>
  <si>
    <t>محطة 8</t>
  </si>
  <si>
    <t>محطة 9</t>
  </si>
  <si>
    <t>محطة 10</t>
  </si>
  <si>
    <t>محطة 11</t>
  </si>
  <si>
    <t>محطة 12</t>
  </si>
  <si>
    <t>محطة 13</t>
  </si>
  <si>
    <t>محطة 14</t>
  </si>
  <si>
    <t>محطة 15</t>
  </si>
  <si>
    <t>محطة 16</t>
  </si>
  <si>
    <t>محطة 17</t>
  </si>
  <si>
    <t>محطة 18</t>
  </si>
  <si>
    <t>المنطقة الجنوبية</t>
  </si>
  <si>
    <t>محطة 19</t>
  </si>
  <si>
    <t>محطة 20</t>
  </si>
  <si>
    <t>محطة 21</t>
  </si>
  <si>
    <t>محطة 22</t>
  </si>
  <si>
    <t>محطة 23</t>
  </si>
  <si>
    <t>محطة 24</t>
  </si>
  <si>
    <t>محطة 25</t>
  </si>
  <si>
    <t>محطة 26</t>
  </si>
  <si>
    <t>محطة 27</t>
  </si>
  <si>
    <t>محطة 28</t>
  </si>
  <si>
    <t>محطة 29</t>
  </si>
  <si>
    <t>محطة 30</t>
  </si>
  <si>
    <t>محطة 31</t>
  </si>
  <si>
    <t>محطة 32</t>
  </si>
  <si>
    <t>محطة 33</t>
  </si>
  <si>
    <t>محطة 34</t>
  </si>
  <si>
    <t>محطة 35</t>
  </si>
  <si>
    <t>المنطقة الوسطى</t>
  </si>
  <si>
    <t>محطة 36</t>
  </si>
  <si>
    <t>محطة 37</t>
  </si>
  <si>
    <t>محطة 38</t>
  </si>
  <si>
    <t>محطة 39</t>
  </si>
  <si>
    <t>محطة 40</t>
  </si>
  <si>
    <t>محطة 41</t>
  </si>
  <si>
    <t>محطة 42</t>
  </si>
  <si>
    <t>محطة 43</t>
  </si>
  <si>
    <t>محطة 44</t>
  </si>
  <si>
    <t>محطة 45</t>
  </si>
  <si>
    <t>محطة 46</t>
  </si>
  <si>
    <t>محطة 47</t>
  </si>
  <si>
    <t>محطة 48</t>
  </si>
  <si>
    <t>محطة 49</t>
  </si>
  <si>
    <t>محطة 50</t>
  </si>
  <si>
    <t>محطة 51</t>
  </si>
  <si>
    <t>محطة 52</t>
  </si>
  <si>
    <t>المنطقة الشمالية</t>
  </si>
  <si>
    <t>محطة 53</t>
  </si>
  <si>
    <t>محطة 54</t>
  </si>
  <si>
    <t>محطة 55</t>
  </si>
  <si>
    <t>محطة جديدة 1</t>
  </si>
  <si>
    <t>محطة جديدة 2</t>
  </si>
  <si>
    <t>محطة جديدة 3</t>
  </si>
  <si>
    <t>محطة جديدة 4</t>
  </si>
  <si>
    <t>محطة جديدة 5</t>
  </si>
  <si>
    <t>محطة جديدة 6</t>
  </si>
  <si>
    <t>محطة جديدة 7</t>
  </si>
  <si>
    <t>محطة جديدة 8</t>
  </si>
  <si>
    <t>محطة جديدة 9</t>
  </si>
  <si>
    <t>محطة جديدة 10</t>
  </si>
  <si>
    <t>محطة جديدة 11</t>
  </si>
  <si>
    <t>محطة جديدة 12</t>
  </si>
  <si>
    <t>محطة جديدة 13</t>
  </si>
  <si>
    <t>محطة جديدة 14</t>
  </si>
  <si>
    <t>المنطقة الشرقية</t>
  </si>
  <si>
    <t>المشرف الخامس</t>
  </si>
  <si>
    <t>محطة جديدة 15</t>
  </si>
  <si>
    <t>محطة جديدة 16</t>
  </si>
  <si>
    <t>محطة جديدة 17</t>
  </si>
  <si>
    <t>محطة جديدة 18</t>
  </si>
  <si>
    <t>محطة جديدة 19</t>
  </si>
  <si>
    <t>محطة جديدة 20</t>
  </si>
  <si>
    <t>محطة جديدة 21</t>
  </si>
  <si>
    <t>محطة جديدة 22</t>
  </si>
  <si>
    <t>محطة جديدة 23</t>
  </si>
  <si>
    <t>محطة جديدة 24</t>
  </si>
  <si>
    <t>محطة جديدة 25</t>
  </si>
  <si>
    <t>محطة جديدة 26</t>
  </si>
  <si>
    <t>محطة جديدة 27</t>
  </si>
  <si>
    <t>محطة جديدة 28</t>
  </si>
  <si>
    <t>محطة جديدة 29</t>
  </si>
  <si>
    <t>محطة جديدة 30</t>
  </si>
  <si>
    <t xml:space="preserve">  ◀  مصفوفة المسؤوليات RACI — من ينفذ (R)، من يراجع (A)، من يُبلَّغ (I)</t>
  </si>
  <si>
    <t>البند</t>
  </si>
  <si>
    <t>الوصف</t>
  </si>
  <si>
    <t>المنفِّذ (R)</t>
  </si>
  <si>
    <t>المراجِع (A)</t>
  </si>
  <si>
    <t>المُبلَّغ (I)</t>
  </si>
  <si>
    <t>R1</t>
  </si>
  <si>
    <t>التشغيل — العمالة والتدريب</t>
  </si>
  <si>
    <t>توافر الكوادر المطلوبة وحصولهم على التدريب المعتمد قبل الافتتاح</t>
  </si>
  <si>
    <t>مدير التشغيل</t>
  </si>
  <si>
    <t>R2</t>
  </si>
  <si>
    <t>العلاقات الحكومية — الرخص وإصدارها وسريانها</t>
  </si>
  <si>
    <t>استكمال جميع التراخيص الحكومية (بلدية، دفاع مدني، طاقة) وسريانها</t>
  </si>
  <si>
    <t>R3</t>
  </si>
  <si>
    <t>البيئة — التشجير والنظافة</t>
  </si>
  <si>
    <t>تطبيق معيار التشجير الوزاري واكتمال أعمال النظافة والتشطيب</t>
  </si>
  <si>
    <t>R4</t>
  </si>
  <si>
    <t>الهوية — الهوية البصرية واللوحات والاستيكرات</t>
  </si>
  <si>
    <t>تركيب جميع عناصر الهوية البصرية (لوحات، استيكرات، ألوان) وفق الدليل</t>
  </si>
  <si>
    <t>R5</t>
  </si>
  <si>
    <t>المشاريع — التمديدات والتجهيزات</t>
  </si>
  <si>
    <t>اكتمال جميع أعمال التمديدات الكهربائية والميكانيكية وتجهيزات المحطة</t>
  </si>
  <si>
    <t>مشرف مشاريع</t>
  </si>
  <si>
    <t>R6</t>
  </si>
  <si>
    <t>السلامة — كافة معدات وإجراءات السلامة</t>
  </si>
  <si>
    <t>استكمال متطلبات السلامة كاملةً (طفايات، خطة إخلاء، ATG، زر طارئ)</t>
  </si>
  <si>
    <t>HSE + مشرف ميداني</t>
  </si>
  <si>
    <t>R7</t>
  </si>
  <si>
    <t>التقنية — الأتمتة وATG والكاميرات</t>
  </si>
  <si>
    <t>تشغيل وربط أنظمة ATG، كاميرات المراقبة، POS، وشبكة البيانات</t>
  </si>
  <si>
    <t>فريق IT</t>
  </si>
  <si>
    <t>🔴 مؤشر الالتزام بمعايير السلامة — 7 بنود جوهرية</t>
  </si>
  <si>
    <t xml:space="preserve">  ✅=1 ملتزم  |  ❌=0 غير ملتزم  |  الالتزام الكامل إلزامي قبل الافتتاح  |  85 محطة مستهدفة</t>
  </si>
  <si>
    <t xml:space="preserve">S1
تحويط خزانات الوقود </t>
  </si>
  <si>
    <t xml:space="preserve">S2
طفايات الحريق سارية </t>
  </si>
  <si>
    <t>S3
خطة الإخلاء وتدريب ج</t>
  </si>
  <si>
    <t>S4
لوحة الاستجابة (أرقا</t>
  </si>
  <si>
    <t>S5
نقطة التجمع محددة وو</t>
  </si>
  <si>
    <t>S6
زر الإغلاق الطارئ سل</t>
  </si>
  <si>
    <t>S7
لوحة مخارج الطوارئ (</t>
  </si>
  <si>
    <t>S1</t>
  </si>
  <si>
    <t>تحويط خزانات الوقود ووضع لوحة عدم الاقتراب</t>
  </si>
  <si>
    <t>وجود تحويط مادي واضح حول خزانات الوقود ولوحة تحذيرية واضحة</t>
  </si>
  <si>
    <t>S2</t>
  </si>
  <si>
    <t>طفايات الحريق سارية الصلاحية</t>
  </si>
  <si>
    <t>توافر العدد الكافي من طفايات الحريق وصلاحيتها وموقعها الصحيح</t>
  </si>
  <si>
    <t>S3</t>
  </si>
  <si>
    <t>خطة الإخلاء وتدريب جميع المتواجدين بمن فيهم الشركاء</t>
  </si>
  <si>
    <t>وجود خطة إخلاء موثقة وتدريب جميع العاملين والشركاء عليها</t>
  </si>
  <si>
    <t>S4</t>
  </si>
  <si>
    <t>لوحة الاستجابة (أرقام الدفاع المدني والمسؤول المباشر)</t>
  </si>
  <si>
    <t>تركيب لوحة الاستجابة في مكان بارز تتضمن أرقام الدفاع المدني والمسؤول</t>
  </si>
  <si>
    <t>S5</t>
  </si>
  <si>
    <t>نقطة التجمع محددة وواضحة</t>
  </si>
  <si>
    <t>تحديد نقطة تجمع رسمية وتمييزها بلوحة واضحة يراها الجميع</t>
  </si>
  <si>
    <t>S6</t>
  </si>
  <si>
    <t>زر الإغلاق الطارئ سليم وفي مكانه</t>
  </si>
  <si>
    <t>فحص وتأكيد سلامة زر الإغلاق الطارئ وسهولة الوصول إليه</t>
  </si>
  <si>
    <t>S7</t>
  </si>
  <si>
    <t>لوحة مخارج الطوارئ (المخارج وجرس الإنذار)</t>
  </si>
  <si>
    <t>تركيب لوحات مخارج الطوارئ في جميع المواقع وفحص جرس الإنذار</t>
  </si>
  <si>
    <t>📈 مؤشر تشغيل 85 محطة — التقدم نحو الهدف السنوي</t>
  </si>
  <si>
    <t xml:space="preserve">  الهدف: 85 محطة | الحالي: 55 محطة تشغيل | المتبقي: 30 محطة | مرتبط بقوائم الجاهزية والسلامة تلقائياً</t>
  </si>
  <si>
    <t>الهدف السنوي</t>
  </si>
  <si>
    <t>المحطات القائمة</t>
  </si>
  <si>
    <t>المحطات الجديدة</t>
  </si>
  <si>
    <t>جاهزة للافتتاح</t>
  </si>
  <si>
    <t>سلامة كاملة</t>
  </si>
  <si>
    <t>نسبة الإنجاز</t>
  </si>
  <si>
    <t>85 محطة</t>
  </si>
  <si>
    <t>30 محطة</t>
  </si>
  <si>
    <t>المستهدف النهائي</t>
  </si>
  <si>
    <t>تشغيل فعلي حالي</t>
  </si>
  <si>
    <t>مؤقتة — تُحدَّث</t>
  </si>
  <si>
    <t>100% في البنود السبعة</t>
  </si>
  <si>
    <t>7 بنود سلامة كاملة</t>
  </si>
  <si>
    <t>من الهدف 85</t>
  </si>
  <si>
    <t>حالة كل محطة — مرتبطة بقائمتي الجاهزية والسلامة</t>
  </si>
  <si>
    <t>جاهزية المحطة %</t>
  </si>
  <si>
    <t>سلامة %</t>
  </si>
  <si>
    <t>حالة الجاهزية</t>
  </si>
  <si>
    <t>حالة السلامة</t>
  </si>
  <si>
    <t>قرار الافتتاح</t>
  </si>
  <si>
    <t>إجمالي / المتوسط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</si>
</sst>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0.0%"/>
    <numFmt numFmtId="168" formatCode="\+0.0%;\-0.0%;\-"/>
    <numFmt numFmtId="169" formatCode="\+0.00;\-0.00;\-"/>
  </numFmts>
  <fonts count="57" x14ac:knownFonts="1">
    <font>
      <sz val="11"/>
      <color theme="1"/>
      <name val="Calibri"/>
      <family val="2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F57F17"/>
      <name val="Arial"/>
      <charset val="1"/>
    </font>
    <font>
      <b/>
      <sz val="15"/>
      <color rgb="FFFFFFFF"/>
      <name val="Arial"/>
      <charset val="1"/>
    </font>
    <font>
      <sz val="9"/>
      <color rgb="FFFFFFFF"/>
      <name val="Arial"/>
      <charset val="1"/>
    </font>
    <font>
      <b/>
      <sz val="8"/>
      <color rgb="FFFFFFFF"/>
      <name val="Arial"/>
      <charset val="1"/>
    </font>
    <font>
      <sz val="8"/>
      <color rgb="FF66686A"/>
      <name val="Arial"/>
      <charset val="1"/>
    </font>
    <font>
      <b/>
      <sz val="9"/>
      <color rgb="FF1565C0"/>
      <name val="Arial"/>
      <charset val="1"/>
    </font>
    <font>
      <sz val="8"/>
      <color rgb="FF2E7D32"/>
      <name val="Arial"/>
      <charset val="1"/>
    </font>
    <font>
      <b/>
      <sz val="11"/>
      <color rgb="FFF3741F"/>
      <name val="Arial"/>
      <charset val="1"/>
    </font>
    <font>
      <b/>
      <sz val="11"/>
      <color rgb="FF1565C0"/>
      <name val="Arial"/>
      <charset val="1"/>
    </font>
    <font>
      <b/>
      <sz val="11"/>
      <color rgb="FF00695C"/>
      <name val="Arial"/>
      <charset val="1"/>
    </font>
    <font>
      <b/>
      <sz val="11"/>
      <color rgb="FF3D3D3D"/>
      <name val="Arial"/>
      <charset val="1"/>
    </font>
    <font>
      <sz val="8"/>
      <color rgb="FFFFFFFF"/>
      <name val="Arial"/>
      <charset val="1"/>
    </font>
    <font>
      <b/>
      <sz val="7"/>
      <color rgb="FFFFFFFF"/>
      <name val="Arial"/>
      <charset val="1"/>
    </font>
    <font>
      <sz val="9"/>
      <color rgb="FFC04E0E"/>
      <name val="Arial"/>
      <charset val="1"/>
    </font>
    <font>
      <b/>
      <sz val="10"/>
      <color rgb="FF1565C0"/>
      <name val="Arial"/>
      <charset val="1"/>
    </font>
    <font>
      <b/>
      <sz val="10"/>
      <color rgb="FFC04E0E"/>
      <name val="Arial"/>
      <charset val="1"/>
    </font>
    <font>
      <b/>
      <sz val="11"/>
      <color rgb="FFFFFFFF"/>
      <name val="Arial"/>
      <charset val="1"/>
    </font>
    <font>
      <b/>
      <sz val="10"/>
      <color rgb="FFF3741F"/>
      <name val="Arial"/>
      <charset val="1"/>
    </font>
    <font>
      <sz val="9"/>
      <color rgb="FF3D3D3D"/>
      <name val="Arial"/>
      <charset val="1"/>
    </font>
    <font>
      <b/>
      <sz val="10"/>
      <color rgb="FF00695C"/>
      <name val="Arial"/>
      <charset val="1"/>
    </font>
    <font>
      <b/>
      <sz val="10"/>
      <color rgb="FF3D3D3D"/>
      <name val="Arial"/>
      <charset val="1"/>
    </font>
    <font>
      <b/>
      <sz val="12"/>
      <color rgb="FFC04E0E"/>
      <name val="Arial"/>
      <charset val="1"/>
    </font>
    <font>
      <sz val="7"/>
      <color rgb="FFFFFFFF"/>
      <name val="Arial"/>
      <charset val="1"/>
    </font>
    <font>
      <b/>
      <sz val="13"/>
      <color rgb="FFFFFFFF"/>
      <name val="Arial"/>
      <charset val="1"/>
    </font>
    <font>
      <b/>
      <sz val="16"/>
      <color rgb="FFFFFFFF"/>
      <name val="Arial"/>
      <charset val="1"/>
    </font>
    <font>
      <b/>
      <sz val="9"/>
      <color rgb="FFF3741F"/>
      <name val="Arial"/>
      <charset val="1"/>
    </font>
    <font>
      <b/>
      <sz val="8"/>
      <color rgb="FF2E7D32"/>
      <name val="Arial"/>
      <charset val="1"/>
    </font>
    <font>
      <b/>
      <sz val="9"/>
      <color rgb="FF00695C"/>
      <name val="Arial"/>
      <charset val="1"/>
    </font>
    <font>
      <b/>
      <sz val="9"/>
      <color rgb="FF3D3D3D"/>
      <name val="Arial"/>
      <charset val="1"/>
    </font>
    <font>
      <sz val="7"/>
      <color rgb="FF66686A"/>
      <name val="Arial"/>
      <charset val="1"/>
    </font>
    <font>
      <sz val="8"/>
      <color rgb="FF1565C0"/>
      <name val="Arial"/>
      <charset val="1"/>
    </font>
    <font>
      <b/>
      <sz val="9"/>
      <color rgb="FFF57F17"/>
      <name val="Arial"/>
      <charset val="1"/>
    </font>
    <font>
      <sz val="7"/>
      <color rgb="FF1565C0"/>
      <name val="Arial"/>
      <charset val="1"/>
    </font>
    <font>
      <sz val="8"/>
      <color rgb="FFF57F17"/>
      <name val="Arial"/>
      <charset val="1"/>
    </font>
    <font>
      <b/>
      <sz val="9"/>
      <color rgb="FF2E7D32"/>
      <name val="Arial"/>
      <charset val="1"/>
    </font>
    <font>
      <b/>
      <sz val="9"/>
      <color rgb="FFE65100"/>
      <name val="Arial"/>
      <charset val="1"/>
    </font>
    <font>
      <b/>
      <sz val="9"/>
      <color rgb="FFC62828"/>
      <name val="Arial"/>
      <charset val="1"/>
    </font>
    <font>
      <b/>
      <sz val="16"/>
      <color rgb="FFF3741F"/>
      <name val="Arial"/>
      <charset val="1"/>
    </font>
    <font>
      <b/>
      <sz val="16"/>
      <color rgb="FF1565C0"/>
      <name val="Arial"/>
      <charset val="1"/>
    </font>
    <font>
      <sz val="7"/>
      <color rgb="FF3D3D3D"/>
      <name val="Arial"/>
      <charset val="1"/>
    </font>
    <font>
      <b/>
      <sz val="11"/>
      <color rgb="FFC62828"/>
      <name val="Arial"/>
      <charset val="1"/>
    </font>
    <font>
      <b/>
      <sz val="11"/>
      <color rgb="FFC04E0E"/>
      <name val="Arial"/>
      <charset val="1"/>
    </font>
    <font>
      <b/>
      <sz val="11"/>
      <color rgb="FF2E7D32"/>
      <name val="Arial"/>
      <charset val="1"/>
    </font>
    <font>
      <b/>
      <sz val="11"/>
      <color rgb="FF6A1B9A"/>
      <name val="Arial"/>
      <charset val="1"/>
    </font>
    <font>
      <b/>
      <sz val="11"/>
      <color rgb="FF0277BD"/>
      <name val="Arial"/>
      <charset val="1"/>
    </font>
    <font>
      <b/>
      <sz val="8"/>
      <color rgb="FF3D3D3D"/>
      <name val="Arial"/>
      <charset val="1"/>
    </font>
    <font>
      <b/>
      <sz val="9"/>
      <color rgb="FFC04E0E"/>
      <name val="Arial"/>
      <charset val="1"/>
    </font>
    <font>
      <b/>
      <sz val="8"/>
      <color rgb="FFF57F17"/>
      <name val="Arial"/>
      <charset val="1"/>
    </font>
    <font>
      <b/>
      <sz val="17"/>
      <color rgb="FFFFFFFF"/>
      <name val="Arial"/>
      <charset val="1"/>
    </font>
    <font>
      <b/>
      <sz val="16"/>
      <color rgb="FF1B2631"/>
      <name val="Arial"/>
      <charset val="1"/>
    </font>
    <font>
      <b/>
      <sz val="16"/>
      <color rgb="FF2E7D32"/>
      <name val="Arial"/>
      <charset val="1"/>
    </font>
    <font>
      <b/>
      <sz val="16"/>
      <color rgb="FFC62828"/>
      <name val="Arial"/>
      <charset val="1"/>
    </font>
    <font>
      <b/>
      <sz val="16"/>
      <color rgb="FFC04E0E"/>
      <name val="Arial"/>
      <charset val="1"/>
    </font>
    <font>
      <b/>
      <sz val="10"/>
      <color rgb="FFC62828"/>
      <name val="Arial"/>
      <charset val="1"/>
    </font>
  </fonts>
  <fills count="33">
    <fill>
      <patternFill patternType="none"/>
    </fill>
    <fill>
      <patternFill patternType="gray125"/>
    </fill>
    <fill>
      <patternFill patternType="solid">
        <fgColor rgb="FFC04E0E"/>
        <bgColor rgb="FFBF360C"/>
      </patternFill>
    </fill>
    <fill>
      <patternFill patternType="solid">
        <fgColor rgb="FFF3741F"/>
        <bgColor rgb="FFF57F17"/>
      </patternFill>
    </fill>
    <fill>
      <patternFill patternType="solid">
        <fgColor rgb="FF3D3D3D"/>
        <bgColor rgb="FF1B2631"/>
      </patternFill>
    </fill>
    <fill>
      <patternFill patternType="solid">
        <fgColor rgb="FF1565C0"/>
        <bgColor rgb="FF0277BD"/>
      </patternFill>
    </fill>
    <fill>
      <patternFill patternType="solid">
        <fgColor rgb="FF00695C"/>
        <bgColor rgb="FF004D40"/>
      </patternFill>
    </fill>
    <fill>
      <patternFill patternType="solid">
        <fgColor rgb="FFFFFFFF"/>
        <bgColor rgb="FFFFF8F0"/>
      </patternFill>
    </fill>
    <fill>
      <patternFill patternType="solid">
        <fgColor rgb="FFFFF3E0"/>
        <bgColor rgb="FFFEF0E6"/>
      </patternFill>
    </fill>
    <fill>
      <patternFill patternType="solid">
        <fgColor rgb="FFE3F2FD"/>
        <bgColor rgb="FFE8F4FD"/>
      </patternFill>
    </fill>
    <fill>
      <patternFill patternType="solid">
        <fgColor rgb="FFE0F2F1"/>
        <bgColor rgb="FFE3F2FD"/>
      </patternFill>
    </fill>
    <fill>
      <patternFill patternType="solid">
        <fgColor rgb="FFF5F5F5"/>
        <bgColor rgb="FFFFF8F0"/>
      </patternFill>
    </fill>
    <fill>
      <patternFill patternType="solid">
        <fgColor rgb="FFFFF9C4"/>
        <bgColor rgb="FFFFF3E0"/>
      </patternFill>
    </fill>
    <fill>
      <patternFill patternType="solid">
        <fgColor rgb="FFE8F4FD"/>
        <bgColor rgb="FFE3F2FD"/>
      </patternFill>
    </fill>
    <fill>
      <patternFill patternType="solid">
        <fgColor rgb="FFE8F5E9"/>
        <bgColor rgb="FFE0F2F1"/>
      </patternFill>
    </fill>
    <fill>
      <patternFill patternType="solid">
        <fgColor rgb="FFBF360C"/>
        <bgColor rgb="FFC62828"/>
      </patternFill>
    </fill>
    <fill>
      <patternFill patternType="solid">
        <fgColor rgb="FF0D47A1"/>
        <bgColor rgb="FF1565C0"/>
      </patternFill>
    </fill>
    <fill>
      <patternFill patternType="solid">
        <fgColor rgb="FF004D40"/>
        <bgColor rgb="FF1B5E20"/>
      </patternFill>
    </fill>
    <fill>
      <patternFill patternType="solid">
        <fgColor rgb="FF212121"/>
        <bgColor rgb="FF1B2631"/>
      </patternFill>
    </fill>
    <fill>
      <patternFill patternType="solid">
        <fgColor rgb="FFFEF0E6"/>
        <bgColor rgb="FFFFF3E0"/>
      </patternFill>
    </fill>
    <fill>
      <patternFill patternType="solid">
        <fgColor rgb="FF1B5E20"/>
        <bgColor rgb="FF004D40"/>
      </patternFill>
    </fill>
    <fill>
      <patternFill patternType="solid">
        <fgColor rgb="FFE2E3E3"/>
        <bgColor rgb="FFF3E5F5"/>
      </patternFill>
    </fill>
    <fill>
      <patternFill patternType="solid">
        <fgColor rgb="FFDDEEFF"/>
        <bgColor rgb="FFE3F2FD"/>
      </patternFill>
    </fill>
    <fill>
      <patternFill patternType="solid">
        <fgColor rgb="FFFFFDE7"/>
        <bgColor rgb="FFFFF8F0"/>
      </patternFill>
    </fill>
    <fill>
      <patternFill patternType="solid">
        <fgColor rgb="FFE65100"/>
        <bgColor rgb="FFC04E0E"/>
      </patternFill>
    </fill>
    <fill>
      <patternFill patternType="solid">
        <fgColor rgb="FF2E7D32"/>
        <bgColor rgb="FF1B5E20"/>
      </patternFill>
    </fill>
    <fill>
      <patternFill patternType="solid">
        <fgColor rgb="FFC62828"/>
        <bgColor rgb="FFBF360C"/>
      </patternFill>
    </fill>
    <fill>
      <patternFill patternType="solid">
        <fgColor rgb="FFFFEBEE"/>
        <bgColor rgb="FFFEF0E6"/>
      </patternFill>
    </fill>
    <fill>
      <patternFill patternType="solid">
        <fgColor rgb="FF6A1B9A"/>
        <bgColor rgb="FF800080"/>
      </patternFill>
    </fill>
    <fill>
      <patternFill patternType="solid">
        <fgColor rgb="FFF3E5F5"/>
        <bgColor rgb="FFFFEBEE"/>
      </patternFill>
    </fill>
    <fill>
      <patternFill patternType="solid">
        <fgColor rgb="FF1B2631"/>
        <bgColor rgb="FF212121"/>
      </patternFill>
    </fill>
    <fill>
      <patternFill patternType="solid">
        <fgColor rgb="FF0277BD"/>
        <bgColor rgb="FF1565C0"/>
      </patternFill>
    </fill>
    <fill>
      <patternFill patternType="solid">
        <fgColor rgb="FFFFF8F0"/>
        <bgColor rgb="FFFFFDE7"/>
      </patternFill>
    </fill>
  </fills>
  <borders count="38">
    <border>
      <left/>
      <right/>
      <top/>
      <bottom/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1565C0"/>
      </left>
      <right style="thin">
        <color rgb="FF1565C0"/>
      </right>
      <top style="thin">
        <color rgb="FF1565C0"/>
      </top>
      <bottom style="thin">
        <color rgb="FF1565C0"/>
      </bottom>
      <diagonal/>
    </border>
    <border>
      <left style="thin">
        <color rgb="FFC04E0E"/>
      </left>
      <right style="thin">
        <color rgb="FFC04E0E"/>
      </right>
      <top style="thin">
        <color rgb="FFC04E0E"/>
      </top>
      <bottom style="thin">
        <color rgb="FFC04E0E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rgb="FFF3741F"/>
      </left>
      <right style="thin">
        <color rgb="FFF3741F"/>
      </right>
      <top style="thin">
        <color rgb="FFF3741F"/>
      </top>
      <bottom style="thin">
        <color rgb="FFF3741F"/>
      </bottom>
      <diagonal/>
    </border>
    <border>
      <left style="medium">
        <color rgb="FFF3741F"/>
      </left>
      <right style="medium">
        <color rgb="FFF3741F"/>
      </right>
      <top style="medium">
        <color rgb="FFF3741F"/>
      </top>
      <bottom style="medium">
        <color rgb="FFF3741F"/>
      </bottom>
      <diagonal/>
    </border>
    <border>
      <left style="medium">
        <color rgb="FF1565C0"/>
      </left>
      <right style="medium">
        <color rgb="FF1565C0"/>
      </right>
      <top style="medium">
        <color rgb="FF1565C0"/>
      </top>
      <bottom style="medium">
        <color rgb="FF1565C0"/>
      </bottom>
      <diagonal/>
    </border>
    <border>
      <left style="medium">
        <color rgb="FF00695C"/>
      </left>
      <right style="medium">
        <color rgb="FF00695C"/>
      </right>
      <top style="medium">
        <color rgb="FF00695C"/>
      </top>
      <bottom style="medium">
        <color rgb="FF00695C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F3741F"/>
      </left>
      <right/>
      <top style="medium">
        <color rgb="FFF3741F"/>
      </top>
      <bottom style="medium">
        <color rgb="FFF3741F"/>
      </bottom>
      <diagonal/>
    </border>
    <border>
      <left style="medium">
        <color rgb="FF1565C0"/>
      </left>
      <right/>
      <top style="medium">
        <color rgb="FF1565C0"/>
      </top>
      <bottom style="medium">
        <color rgb="FF1565C0"/>
      </bottom>
      <diagonal/>
    </border>
    <border>
      <left style="medium">
        <color rgb="FF00695C"/>
      </left>
      <right/>
      <top style="medium">
        <color rgb="FF00695C"/>
      </top>
      <bottom style="medium">
        <color rgb="FF00695C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AC9AD"/>
      </left>
      <right style="thin">
        <color rgb="FFEAC9AD"/>
      </right>
      <top style="thin">
        <color rgb="FFEAC9AD"/>
      </top>
      <bottom style="thin">
        <color rgb="FFEAC9AD"/>
      </bottom>
      <diagonal/>
    </border>
    <border>
      <left style="medium">
        <color rgb="FFC04E0E"/>
      </left>
      <right style="medium">
        <color rgb="FFC04E0E"/>
      </right>
      <top style="medium">
        <color rgb="FFC04E0E"/>
      </top>
      <bottom style="medium">
        <color rgb="FFC04E0E"/>
      </bottom>
      <diagonal/>
    </border>
    <border>
      <left/>
      <right/>
      <top/>
      <bottom style="medium">
        <color rgb="FFF3741F"/>
      </bottom>
      <diagonal/>
    </border>
    <border>
      <left style="medium">
        <color rgb="FF2E7D32"/>
      </left>
      <right style="medium">
        <color rgb="FF2E7D32"/>
      </right>
      <top style="medium">
        <color rgb="FF2E7D32"/>
      </top>
      <bottom style="medium">
        <color rgb="FF2E7D32"/>
      </bottom>
      <diagonal/>
    </border>
    <border>
      <left/>
      <right/>
      <top/>
      <bottom style="medium">
        <color rgb="FFC04E0E"/>
      </bottom>
      <diagonal/>
    </border>
    <border>
      <left style="medium">
        <color rgb="FFF57F17"/>
      </left>
      <right style="medium">
        <color rgb="FFF57F17"/>
      </right>
      <top style="medium">
        <color rgb="FFF57F17"/>
      </top>
      <bottom style="medium">
        <color rgb="FFF57F17"/>
      </bottom>
      <diagonal/>
    </border>
    <border>
      <left style="thin">
        <color rgb="FF90CAF9"/>
      </left>
      <right style="thin">
        <color rgb="FF90CAF9"/>
      </right>
      <top style="thin">
        <color rgb="FF90CAF9"/>
      </top>
      <bottom style="thin">
        <color rgb="FF90CAF9"/>
      </bottom>
      <diagonal/>
    </border>
    <border>
      <left style="thin">
        <color rgb="FFF9A825"/>
      </left>
      <right style="thin">
        <color rgb="FFF9A825"/>
      </right>
      <top style="thin">
        <color rgb="FFF9A825"/>
      </top>
      <bottom style="thin">
        <color rgb="FFF9A825"/>
      </bottom>
      <diagonal/>
    </border>
    <border>
      <left/>
      <right/>
      <top/>
      <bottom style="medium">
        <color rgb="FF1565C0"/>
      </bottom>
      <diagonal/>
    </border>
    <border>
      <left style="thin">
        <color rgb="FFEAC9AD"/>
      </left>
      <right style="thin">
        <color rgb="FFF9A825"/>
      </right>
      <top style="thin">
        <color rgb="FFEAC9AD"/>
      </top>
      <bottom style="thin">
        <color rgb="FFEAC9AD"/>
      </bottom>
      <diagonal/>
    </border>
    <border>
      <left/>
      <right/>
      <top/>
      <bottom style="medium">
        <color rgb="FFE65100"/>
      </bottom>
      <diagonal/>
    </border>
    <border>
      <left/>
      <right/>
      <top/>
      <bottom style="medium">
        <color rgb="FF2E7D32"/>
      </bottom>
      <diagonal/>
    </border>
    <border>
      <left/>
      <right/>
      <top/>
      <bottom style="medium">
        <color rgb="FFC62828"/>
      </bottom>
      <diagonal/>
    </border>
    <border>
      <left/>
      <right/>
      <top/>
      <bottom style="medium">
        <color rgb="FF00695C"/>
      </bottom>
      <diagonal/>
    </border>
    <border>
      <left/>
      <right/>
      <top/>
      <bottom style="medium">
        <color rgb="FF6A1B9A"/>
      </bottom>
      <diagonal/>
    </border>
    <border>
      <left style="medium">
        <color rgb="FF6A1B9A"/>
      </left>
      <right style="medium">
        <color rgb="FF6A1B9A"/>
      </right>
      <top style="medium">
        <color rgb="FF6A1B9A"/>
      </top>
      <bottom style="medium">
        <color rgb="FF6A1B9A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C62828"/>
      </left>
      <right style="medium">
        <color rgb="FFC62828"/>
      </right>
      <top style="medium">
        <color rgb="FFC62828"/>
      </top>
      <bottom style="medium">
        <color rgb="FFC62828"/>
      </bottom>
      <diagonal/>
    </border>
    <border>
      <left style="medium">
        <color rgb="FF0277BD"/>
      </left>
      <right style="medium">
        <color rgb="FF0277BD"/>
      </right>
      <top style="medium">
        <color rgb="FF0277BD"/>
      </top>
      <bottom style="medium">
        <color rgb="FF0277BD"/>
      </bottom>
      <diagonal/>
    </border>
    <border>
      <left style="medium">
        <color rgb="FF1B2631"/>
      </left>
      <right style="medium">
        <color rgb="FF1B2631"/>
      </right>
      <top style="medium">
        <color rgb="FF1B2631"/>
      </top>
      <bottom style="medium">
        <color rgb="FF1B2631"/>
      </bottom>
      <diagonal/>
    </border>
    <border>
      <left style="thin">
        <color rgb="FF1B2631"/>
      </left>
      <right style="thin">
        <color rgb="FF1B2631"/>
      </right>
      <top style="thin">
        <color rgb="FF1B2631"/>
      </top>
      <bottom style="thin">
        <color rgb="FF1B2631"/>
      </bottom>
      <diagonal/>
    </border>
    <border>
      <left style="thin">
        <color rgb="FF2E7D32"/>
      </left>
      <right style="thin">
        <color rgb="FF2E7D32"/>
      </right>
      <top style="thin">
        <color rgb="FF2E7D32"/>
      </top>
      <bottom style="thin">
        <color rgb="FF2E7D32"/>
      </bottom>
      <diagonal/>
    </border>
    <border>
      <left style="thin">
        <color rgb="FFC62828"/>
      </left>
      <right style="thin">
        <color rgb="FFC62828"/>
      </right>
      <top style="thin">
        <color rgb="FFC62828"/>
      </top>
      <bottom style="thin">
        <color rgb="FFC62828"/>
      </bottom>
      <diagonal/>
    </border>
  </borders>
  <cellStyleXfs count="1">
    <xf numFmtId="0" fontId="0" fillId="0" borderId="0"/>
  </cellStyleXfs>
  <cellXfs count="257">
    <xf numFmtId="0" fontId="0" fillId="0" borderId="0" xfId="0"/>
    <xf numFmtId="0" fontId="5" fillId="20" borderId="0" xfId="0" applyFont="1" applyFill="1" applyAlignment="1">
      <alignment horizontal="right" vertical="center" readingOrder="2"/>
    </xf>
    <xf numFmtId="0" fontId="6" fillId="2" borderId="0" xfId="0" applyFont="1" applyFill="1" applyAlignment="1">
      <alignment horizontal="center" vertical="center" readingOrder="2"/>
    </xf>
    <xf numFmtId="0" fontId="2" fillId="4" borderId="13" xfId="0" applyFont="1" applyFill="1" applyBorder="1" applyAlignment="1">
      <alignment horizontal="center" vertical="center" readingOrder="2"/>
    </xf>
    <xf numFmtId="0" fontId="2" fillId="6" borderId="12" xfId="0" applyFont="1" applyFill="1" applyBorder="1" applyAlignment="1">
      <alignment horizontal="center" vertical="center" readingOrder="2"/>
    </xf>
    <xf numFmtId="0" fontId="2" fillId="5" borderId="11" xfId="0" applyFont="1" applyFill="1" applyBorder="1" applyAlignment="1">
      <alignment horizontal="center" vertical="center" readingOrder="2"/>
    </xf>
    <xf numFmtId="0" fontId="2" fillId="3" borderId="10" xfId="0" applyFont="1" applyFill="1" applyBorder="1" applyAlignment="1">
      <alignment horizontal="center" vertical="center" readingOrder="2"/>
    </xf>
    <xf numFmtId="0" fontId="14" fillId="3" borderId="0" xfId="0" applyFont="1" applyFill="1" applyAlignment="1">
      <alignment horizontal="right" vertical="center" readingOrder="2"/>
    </xf>
    <xf numFmtId="0" fontId="1" fillId="2" borderId="0" xfId="0" applyFont="1" applyFill="1" applyAlignment="1">
      <alignment horizontal="center" vertical="center" readingOrder="2"/>
    </xf>
    <xf numFmtId="0" fontId="1" fillId="4" borderId="0" xfId="0" applyFont="1" applyFill="1" applyAlignment="1">
      <alignment horizontal="center" vertical="center" readingOrder="2"/>
    </xf>
    <xf numFmtId="0" fontId="5" fillId="3" borderId="0" xfId="0" applyFont="1" applyFill="1" applyAlignment="1">
      <alignment horizontal="right" vertical="center" readingOrder="2"/>
    </xf>
    <xf numFmtId="0" fontId="4" fillId="2" borderId="0" xfId="0" applyFont="1" applyFill="1" applyAlignment="1">
      <alignment horizontal="center" vertical="center" readingOrder="2"/>
    </xf>
    <xf numFmtId="0" fontId="6" fillId="4" borderId="1" xfId="0" applyFont="1" applyFill="1" applyBorder="1" applyAlignment="1">
      <alignment horizontal="center" vertical="center" wrapText="1" readingOrder="2"/>
    </xf>
    <xf numFmtId="0" fontId="6" fillId="3" borderId="6" xfId="0" applyFont="1" applyFill="1" applyBorder="1" applyAlignment="1">
      <alignment horizontal="center" vertical="center" wrapText="1" readingOrder="2"/>
    </xf>
    <xf numFmtId="0" fontId="6" fillId="5" borderId="7" xfId="0" applyFont="1" applyFill="1" applyBorder="1" applyAlignment="1">
      <alignment horizontal="center" vertical="center" wrapText="1" readingOrder="2"/>
    </xf>
    <xf numFmtId="0" fontId="6" fillId="6" borderId="8" xfId="0" applyFont="1" applyFill="1" applyBorder="1" applyAlignment="1">
      <alignment horizontal="center" vertical="center" wrapText="1" readingOrder="2"/>
    </xf>
    <xf numFmtId="0" fontId="6" fillId="4" borderId="4" xfId="0" applyFont="1" applyFill="1" applyBorder="1" applyAlignment="1">
      <alignment horizontal="center" vertical="center" wrapText="1" readingOrder="2"/>
    </xf>
    <xf numFmtId="0" fontId="7" fillId="7" borderId="9" xfId="0" applyFont="1" applyFill="1" applyBorder="1" applyAlignment="1">
      <alignment horizontal="center" vertical="center" readingOrder="2"/>
    </xf>
    <xf numFmtId="0" fontId="8" fillId="13" borderId="7" xfId="0" applyFont="1" applyFill="1" applyBorder="1" applyAlignment="1">
      <alignment horizontal="right" vertical="center" readingOrder="2"/>
    </xf>
    <xf numFmtId="0" fontId="9" fillId="14" borderId="9" xfId="0" applyFont="1" applyFill="1" applyBorder="1" applyAlignment="1">
      <alignment horizontal="center" vertical="center" readingOrder="2"/>
    </xf>
    <xf numFmtId="2" fontId="10" fillId="8" borderId="6" xfId="0" applyNumberFormat="1" applyFont="1" applyFill="1" applyBorder="1" applyAlignment="1">
      <alignment horizontal="center" vertical="center" wrapText="1" readingOrder="2"/>
    </xf>
    <xf numFmtId="2" fontId="11" fillId="9" borderId="7" xfId="0" applyNumberFormat="1" applyFont="1" applyFill="1" applyBorder="1" applyAlignment="1">
      <alignment horizontal="center" vertical="center" wrapText="1" readingOrder="2"/>
    </xf>
    <xf numFmtId="2" fontId="12" fillId="10" borderId="8" xfId="0" applyNumberFormat="1" applyFont="1" applyFill="1" applyBorder="1" applyAlignment="1">
      <alignment horizontal="center" vertical="center" wrapText="1" readingOrder="2"/>
    </xf>
    <xf numFmtId="2" fontId="13" fillId="11" borderId="4" xfId="0" applyNumberFormat="1" applyFont="1" applyFill="1" applyBorder="1" applyAlignment="1">
      <alignment horizontal="center" vertical="center" wrapText="1" readingOrder="2"/>
    </xf>
    <xf numFmtId="0" fontId="7" fillId="11" borderId="9" xfId="0" applyFont="1" applyFill="1" applyBorder="1" applyAlignment="1">
      <alignment horizontal="center" vertical="center" readingOrder="2"/>
    </xf>
    <xf numFmtId="0" fontId="6" fillId="4" borderId="1" xfId="0" applyFont="1" applyFill="1" applyBorder="1" applyAlignment="1">
      <alignment horizontal="center" vertical="center" readingOrder="2"/>
    </xf>
    <xf numFmtId="0" fontId="15" fillId="4" borderId="1" xfId="0" applyFont="1" applyFill="1" applyBorder="1" applyAlignment="1">
      <alignment horizontal="center" vertical="center" readingOrder="2"/>
    </xf>
    <xf numFmtId="0" fontId="15" fillId="3" borderId="14" xfId="0" applyFont="1" applyFill="1" applyBorder="1" applyAlignment="1">
      <alignment horizontal="center" vertical="center" readingOrder="2"/>
    </xf>
    <xf numFmtId="0" fontId="15" fillId="15" borderId="14" xfId="0" applyFont="1" applyFill="1" applyBorder="1" applyAlignment="1">
      <alignment horizontal="center" vertical="center" readingOrder="2"/>
    </xf>
    <xf numFmtId="0" fontId="15" fillId="5" borderId="14" xfId="0" applyFont="1" applyFill="1" applyBorder="1" applyAlignment="1">
      <alignment horizontal="center" vertical="center" readingOrder="2"/>
    </xf>
    <xf numFmtId="0" fontId="15" fillId="16" borderId="14" xfId="0" applyFont="1" applyFill="1" applyBorder="1" applyAlignment="1">
      <alignment horizontal="center" vertical="center" readingOrder="2"/>
    </xf>
    <xf numFmtId="0" fontId="15" fillId="6" borderId="14" xfId="0" applyFont="1" applyFill="1" applyBorder="1" applyAlignment="1">
      <alignment horizontal="center" vertical="center" readingOrder="2"/>
    </xf>
    <xf numFmtId="0" fontId="15" fillId="17" borderId="14" xfId="0" applyFont="1" applyFill="1" applyBorder="1" applyAlignment="1">
      <alignment horizontal="center" vertical="center" readingOrder="2"/>
    </xf>
    <xf numFmtId="0" fontId="15" fillId="4" borderId="14" xfId="0" applyFont="1" applyFill="1" applyBorder="1" applyAlignment="1">
      <alignment horizontal="center" vertical="center" readingOrder="2"/>
    </xf>
    <xf numFmtId="0" fontId="15" fillId="18" borderId="14" xfId="0" applyFont="1" applyFill="1" applyBorder="1" applyAlignment="1">
      <alignment horizontal="center" vertical="center" readingOrder="2"/>
    </xf>
    <xf numFmtId="0" fontId="15" fillId="2" borderId="3" xfId="0" applyFont="1" applyFill="1" applyBorder="1" applyAlignment="1">
      <alignment horizontal="center" vertical="center" readingOrder="2"/>
    </xf>
    <xf numFmtId="0" fontId="16" fillId="19" borderId="15" xfId="0" applyFont="1" applyFill="1" applyBorder="1" applyAlignment="1">
      <alignment horizontal="right" vertical="center" readingOrder="2"/>
    </xf>
    <xf numFmtId="3" fontId="17" fillId="8" borderId="9" xfId="0" applyNumberFormat="1" applyFont="1" applyFill="1" applyBorder="1" applyAlignment="1">
      <alignment horizontal="center" vertical="center" readingOrder="2"/>
    </xf>
    <xf numFmtId="3" fontId="17" fillId="7" borderId="9" xfId="0" applyNumberFormat="1" applyFont="1" applyFill="1" applyBorder="1" applyAlignment="1">
      <alignment horizontal="center" vertical="center" readingOrder="2"/>
    </xf>
    <xf numFmtId="3" fontId="17" fillId="9" borderId="9" xfId="0" applyNumberFormat="1" applyFont="1" applyFill="1" applyBorder="1" applyAlignment="1">
      <alignment horizontal="center" vertical="center" readingOrder="2"/>
    </xf>
    <xf numFmtId="3" fontId="17" fillId="10" borderId="9" xfId="0" applyNumberFormat="1" applyFont="1" applyFill="1" applyBorder="1" applyAlignment="1">
      <alignment horizontal="center" vertical="center" readingOrder="2"/>
    </xf>
    <xf numFmtId="3" fontId="17" fillId="11" borderId="9" xfId="0" applyNumberFormat="1" applyFont="1" applyFill="1" applyBorder="1" applyAlignment="1">
      <alignment horizontal="center" vertical="center" readingOrder="2"/>
    </xf>
    <xf numFmtId="3" fontId="18" fillId="19" borderId="16" xfId="0" applyNumberFormat="1" applyFont="1" applyFill="1" applyBorder="1" applyAlignment="1">
      <alignment horizontal="center" vertical="center" readingOrder="2"/>
    </xf>
    <xf numFmtId="3" fontId="16" fillId="19" borderId="9" xfId="0" applyNumberFormat="1" applyFont="1" applyFill="1" applyBorder="1" applyAlignment="1">
      <alignment horizontal="center" vertical="center" readingOrder="2"/>
    </xf>
    <xf numFmtId="0" fontId="0" fillId="4" borderId="4" xfId="0" applyFill="1" applyBorder="1"/>
    <xf numFmtId="0" fontId="2" fillId="4" borderId="4" xfId="0" applyFont="1" applyFill="1" applyBorder="1" applyAlignment="1">
      <alignment horizontal="right" vertical="center" readingOrder="2"/>
    </xf>
    <xf numFmtId="3" fontId="1" fillId="3" borderId="6" xfId="0" applyNumberFormat="1" applyFont="1" applyFill="1" applyBorder="1" applyAlignment="1">
      <alignment horizontal="center" vertical="center" readingOrder="2"/>
    </xf>
    <xf numFmtId="3" fontId="1" fillId="5" borderId="7" xfId="0" applyNumberFormat="1" applyFont="1" applyFill="1" applyBorder="1" applyAlignment="1">
      <alignment horizontal="center" vertical="center" readingOrder="2"/>
    </xf>
    <xf numFmtId="3" fontId="1" fillId="6" borderId="8" xfId="0" applyNumberFormat="1" applyFont="1" applyFill="1" applyBorder="1" applyAlignment="1">
      <alignment horizontal="center" vertical="center" readingOrder="2"/>
    </xf>
    <xf numFmtId="3" fontId="1" fillId="4" borderId="4" xfId="0" applyNumberFormat="1" applyFont="1" applyFill="1" applyBorder="1" applyAlignment="1">
      <alignment horizontal="center" vertical="center" readingOrder="2"/>
    </xf>
    <xf numFmtId="3" fontId="19" fillId="2" borderId="16" xfId="0" applyNumberFormat="1" applyFont="1" applyFill="1" applyBorder="1" applyAlignment="1">
      <alignment horizontal="center" vertical="center" readingOrder="2"/>
    </xf>
    <xf numFmtId="0" fontId="6" fillId="2" borderId="0" xfId="0" applyFont="1" applyFill="1" applyAlignment="1">
      <alignment horizontal="center" vertical="center" wrapText="1" readingOrder="2"/>
    </xf>
    <xf numFmtId="0" fontId="15" fillId="4" borderId="1" xfId="0" applyFont="1" applyFill="1" applyBorder="1" applyAlignment="1">
      <alignment horizontal="center" vertical="center" wrapText="1" readingOrder="2"/>
    </xf>
    <xf numFmtId="0" fontId="15" fillId="3" borderId="6" xfId="0" applyFont="1" applyFill="1" applyBorder="1" applyAlignment="1">
      <alignment horizontal="center" vertical="center" wrapText="1" readingOrder="2"/>
    </xf>
    <xf numFmtId="0" fontId="15" fillId="2" borderId="16" xfId="0" applyFont="1" applyFill="1" applyBorder="1" applyAlignment="1">
      <alignment horizontal="center" vertical="center" wrapText="1" readingOrder="2"/>
    </xf>
    <xf numFmtId="0" fontId="15" fillId="5" borderId="7" xfId="0" applyFont="1" applyFill="1" applyBorder="1" applyAlignment="1">
      <alignment horizontal="center" vertical="center" wrapText="1" readingOrder="2"/>
    </xf>
    <xf numFmtId="0" fontId="15" fillId="6" borderId="8" xfId="0" applyFont="1" applyFill="1" applyBorder="1" applyAlignment="1">
      <alignment horizontal="center" vertical="center" wrapText="1" readingOrder="2"/>
    </xf>
    <xf numFmtId="0" fontId="15" fillId="4" borderId="4" xfId="0" applyFont="1" applyFill="1" applyBorder="1" applyAlignment="1">
      <alignment horizontal="center" vertical="center" wrapText="1" readingOrder="2"/>
    </xf>
    <xf numFmtId="0" fontId="7" fillId="7" borderId="9" xfId="0" applyFont="1" applyFill="1" applyBorder="1" applyAlignment="1">
      <alignment horizontal="center" vertical="center" wrapText="1" readingOrder="2"/>
    </xf>
    <xf numFmtId="2" fontId="20" fillId="8" borderId="6" xfId="0" applyNumberFormat="1" applyFont="1" applyFill="1" applyBorder="1" applyAlignment="1">
      <alignment horizontal="center" vertical="center" readingOrder="2"/>
    </xf>
    <xf numFmtId="3" fontId="21" fillId="8" borderId="9" xfId="0" applyNumberFormat="1" applyFont="1" applyFill="1" applyBorder="1" applyAlignment="1">
      <alignment horizontal="center" vertical="center" readingOrder="2"/>
    </xf>
    <xf numFmtId="3" fontId="21" fillId="7" borderId="9" xfId="0" applyNumberFormat="1" applyFont="1" applyFill="1" applyBorder="1" applyAlignment="1">
      <alignment horizontal="center" vertical="center" readingOrder="2"/>
    </xf>
    <xf numFmtId="2" fontId="17" fillId="9" borderId="7" xfId="0" applyNumberFormat="1" applyFont="1" applyFill="1" applyBorder="1" applyAlignment="1">
      <alignment horizontal="center" vertical="center" readingOrder="2"/>
    </xf>
    <xf numFmtId="3" fontId="21" fillId="9" borderId="9" xfId="0" applyNumberFormat="1" applyFont="1" applyFill="1" applyBorder="1" applyAlignment="1">
      <alignment horizontal="center" vertical="center" readingOrder="2"/>
    </xf>
    <xf numFmtId="2" fontId="22" fillId="10" borderId="8" xfId="0" applyNumberFormat="1" applyFont="1" applyFill="1" applyBorder="1" applyAlignment="1">
      <alignment horizontal="center" vertical="center" readingOrder="2"/>
    </xf>
    <xf numFmtId="3" fontId="21" fillId="10" borderId="9" xfId="0" applyNumberFormat="1" applyFont="1" applyFill="1" applyBorder="1" applyAlignment="1">
      <alignment horizontal="center" vertical="center" readingOrder="2"/>
    </xf>
    <xf numFmtId="2" fontId="23" fillId="11" borderId="4" xfId="0" applyNumberFormat="1" applyFont="1" applyFill="1" applyBorder="1" applyAlignment="1">
      <alignment horizontal="center" vertical="center" readingOrder="2"/>
    </xf>
    <xf numFmtId="3" fontId="21" fillId="11" borderId="9" xfId="0" applyNumberFormat="1" applyFont="1" applyFill="1" applyBorder="1" applyAlignment="1">
      <alignment horizontal="center" vertical="center" readingOrder="2"/>
    </xf>
    <xf numFmtId="3" fontId="24" fillId="19" borderId="16" xfId="0" applyNumberFormat="1" applyFont="1" applyFill="1" applyBorder="1" applyAlignment="1">
      <alignment horizontal="center" vertical="center" readingOrder="2"/>
    </xf>
    <xf numFmtId="0" fontId="7" fillId="11" borderId="9" xfId="0" applyFont="1" applyFill="1" applyBorder="1" applyAlignment="1">
      <alignment horizontal="center" vertical="center" wrapText="1" readingOrder="2"/>
    </xf>
    <xf numFmtId="0" fontId="21" fillId="4" borderId="4" xfId="0" applyFont="1" applyFill="1" applyBorder="1" applyAlignment="1">
      <alignment horizontal="center" vertical="center" wrapText="1" readingOrder="2"/>
    </xf>
    <xf numFmtId="0" fontId="2" fillId="4" borderId="4" xfId="0" applyFont="1" applyFill="1" applyBorder="1" applyAlignment="1">
      <alignment horizontal="right" vertical="center" wrapText="1" readingOrder="2"/>
    </xf>
    <xf numFmtId="0" fontId="25" fillId="3" borderId="6" xfId="0" applyFont="1" applyFill="1" applyBorder="1" applyAlignment="1">
      <alignment horizontal="center" vertical="center" wrapText="1" readingOrder="2"/>
    </xf>
    <xf numFmtId="0" fontId="25" fillId="5" borderId="7" xfId="0" applyFont="1" applyFill="1" applyBorder="1" applyAlignment="1">
      <alignment horizontal="center" vertical="center" wrapText="1" readingOrder="2"/>
    </xf>
    <xf numFmtId="0" fontId="25" fillId="6" borderId="8" xfId="0" applyFont="1" applyFill="1" applyBorder="1" applyAlignment="1">
      <alignment horizontal="center" vertical="center" wrapText="1" readingOrder="2"/>
    </xf>
    <xf numFmtId="0" fontId="25" fillId="4" borderId="4" xfId="0" applyFont="1" applyFill="1" applyBorder="1" applyAlignment="1">
      <alignment horizontal="center" vertical="center" wrapText="1" readingOrder="2"/>
    </xf>
    <xf numFmtId="3" fontId="26" fillId="2" borderId="16" xfId="0" applyNumberFormat="1" applyFont="1" applyFill="1" applyBorder="1" applyAlignment="1">
      <alignment horizontal="center" vertical="center" readingOrder="2"/>
    </xf>
    <xf numFmtId="0" fontId="20" fillId="8" borderId="9" xfId="0" applyFont="1" applyFill="1" applyBorder="1" applyAlignment="1">
      <alignment horizontal="center" vertical="center" wrapText="1" readingOrder="2"/>
    </xf>
    <xf numFmtId="0" fontId="28" fillId="8" borderId="6" xfId="0" applyFont="1" applyFill="1" applyBorder="1" applyAlignment="1">
      <alignment horizontal="right" vertical="center" wrapText="1" readingOrder="2"/>
    </xf>
    <xf numFmtId="0" fontId="29" fillId="14" borderId="18" xfId="0" applyFont="1" applyFill="1" applyBorder="1" applyAlignment="1">
      <alignment horizontal="center" vertical="center" wrapText="1" readingOrder="2"/>
    </xf>
    <xf numFmtId="3" fontId="20" fillId="8" borderId="9" xfId="0" applyNumberFormat="1" applyFont="1" applyFill="1" applyBorder="1" applyAlignment="1">
      <alignment horizontal="center" vertical="center" readingOrder="2"/>
    </xf>
    <xf numFmtId="3" fontId="20" fillId="7" borderId="9" xfId="0" applyNumberFormat="1" applyFont="1" applyFill="1" applyBorder="1" applyAlignment="1">
      <alignment horizontal="center" vertical="center" readingOrder="2"/>
    </xf>
    <xf numFmtId="3" fontId="20" fillId="8" borderId="6" xfId="0" applyNumberFormat="1" applyFont="1" applyFill="1" applyBorder="1" applyAlignment="1">
      <alignment horizontal="center" vertical="center" wrapText="1" readingOrder="2"/>
    </xf>
    <xf numFmtId="0" fontId="21" fillId="8" borderId="9" xfId="0" applyFont="1" applyFill="1" applyBorder="1" applyAlignment="1">
      <alignment horizontal="center" vertical="center" wrapText="1" readingOrder="2"/>
    </xf>
    <xf numFmtId="3" fontId="19" fillId="3" borderId="6" xfId="0" applyNumberFormat="1" applyFont="1" applyFill="1" applyBorder="1" applyAlignment="1">
      <alignment horizontal="center" vertical="center" readingOrder="2"/>
    </xf>
    <xf numFmtId="0" fontId="17" fillId="9" borderId="9" xfId="0" applyFont="1" applyFill="1" applyBorder="1" applyAlignment="1">
      <alignment horizontal="center" vertical="center" wrapText="1" readingOrder="2"/>
    </xf>
    <xf numFmtId="0" fontId="8" fillId="9" borderId="7" xfId="0" applyFont="1" applyFill="1" applyBorder="1" applyAlignment="1">
      <alignment horizontal="right" vertical="center" wrapText="1" readingOrder="2"/>
    </xf>
    <xf numFmtId="3" fontId="17" fillId="9" borderId="7" xfId="0" applyNumberFormat="1" applyFont="1" applyFill="1" applyBorder="1" applyAlignment="1">
      <alignment horizontal="center" vertical="center" wrapText="1" readingOrder="2"/>
    </xf>
    <xf numFmtId="0" fontId="21" fillId="9" borderId="9" xfId="0" applyFont="1" applyFill="1" applyBorder="1" applyAlignment="1">
      <alignment horizontal="center" vertical="center" wrapText="1" readingOrder="2"/>
    </xf>
    <xf numFmtId="3" fontId="19" fillId="5" borderId="7" xfId="0" applyNumberFormat="1" applyFont="1" applyFill="1" applyBorder="1" applyAlignment="1">
      <alignment horizontal="center" vertical="center" readingOrder="2"/>
    </xf>
    <xf numFmtId="0" fontId="22" fillId="10" borderId="9" xfId="0" applyFont="1" applyFill="1" applyBorder="1" applyAlignment="1">
      <alignment horizontal="center" vertical="center" wrapText="1" readingOrder="2"/>
    </xf>
    <xf numFmtId="0" fontId="30" fillId="10" borderId="8" xfId="0" applyFont="1" applyFill="1" applyBorder="1" applyAlignment="1">
      <alignment horizontal="right" vertical="center" wrapText="1" readingOrder="2"/>
    </xf>
    <xf numFmtId="3" fontId="22" fillId="10" borderId="9" xfId="0" applyNumberFormat="1" applyFont="1" applyFill="1" applyBorder="1" applyAlignment="1">
      <alignment horizontal="center" vertical="center" readingOrder="2"/>
    </xf>
    <xf numFmtId="3" fontId="22" fillId="7" borderId="9" xfId="0" applyNumberFormat="1" applyFont="1" applyFill="1" applyBorder="1" applyAlignment="1">
      <alignment horizontal="center" vertical="center" readingOrder="2"/>
    </xf>
    <xf numFmtId="3" fontId="22" fillId="10" borderId="8" xfId="0" applyNumberFormat="1" applyFont="1" applyFill="1" applyBorder="1" applyAlignment="1">
      <alignment horizontal="center" vertical="center" wrapText="1" readingOrder="2"/>
    </xf>
    <xf numFmtId="0" fontId="21" fillId="10" borderId="9" xfId="0" applyFont="1" applyFill="1" applyBorder="1" applyAlignment="1">
      <alignment horizontal="center" vertical="center" wrapText="1" readingOrder="2"/>
    </xf>
    <xf numFmtId="3" fontId="19" fillId="6" borderId="8" xfId="0" applyNumberFormat="1" applyFont="1" applyFill="1" applyBorder="1" applyAlignment="1">
      <alignment horizontal="center" vertical="center" readingOrder="2"/>
    </xf>
    <xf numFmtId="0" fontId="23" fillId="11" borderId="9" xfId="0" applyFont="1" applyFill="1" applyBorder="1" applyAlignment="1">
      <alignment horizontal="center" vertical="center" wrapText="1" readingOrder="2"/>
    </xf>
    <xf numFmtId="0" fontId="31" fillId="11" borderId="4" xfId="0" applyFont="1" applyFill="1" applyBorder="1" applyAlignment="1">
      <alignment horizontal="right" vertical="center" wrapText="1" readingOrder="2"/>
    </xf>
    <xf numFmtId="3" fontId="23" fillId="11" borderId="9" xfId="0" applyNumberFormat="1" applyFont="1" applyFill="1" applyBorder="1" applyAlignment="1">
      <alignment horizontal="center" vertical="center" readingOrder="2"/>
    </xf>
    <xf numFmtId="3" fontId="23" fillId="7" borderId="9" xfId="0" applyNumberFormat="1" applyFont="1" applyFill="1" applyBorder="1" applyAlignment="1">
      <alignment horizontal="center" vertical="center" readingOrder="2"/>
    </xf>
    <xf numFmtId="3" fontId="23" fillId="11" borderId="4" xfId="0" applyNumberFormat="1" applyFont="1" applyFill="1" applyBorder="1" applyAlignment="1">
      <alignment horizontal="center" vertical="center" wrapText="1" readingOrder="2"/>
    </xf>
    <xf numFmtId="0" fontId="21" fillId="11" borderId="9" xfId="0" applyFont="1" applyFill="1" applyBorder="1" applyAlignment="1">
      <alignment horizontal="center" vertical="center" wrapText="1" readingOrder="2"/>
    </xf>
    <xf numFmtId="3" fontId="19" fillId="4" borderId="4" xfId="0" applyNumberFormat="1" applyFont="1" applyFill="1" applyBorder="1" applyAlignment="1">
      <alignment horizontal="center" vertical="center" readingOrder="2"/>
    </xf>
    <xf numFmtId="0" fontId="18" fillId="19" borderId="9" xfId="0" applyFont="1" applyFill="1" applyBorder="1" applyAlignment="1">
      <alignment horizontal="center" vertical="center" wrapText="1" readingOrder="2"/>
    </xf>
    <xf numFmtId="0" fontId="18" fillId="19" borderId="16" xfId="0" applyFont="1" applyFill="1" applyBorder="1" applyAlignment="1">
      <alignment horizontal="right" vertical="center" wrapText="1" readingOrder="2"/>
    </xf>
    <xf numFmtId="3" fontId="18" fillId="19" borderId="16" xfId="0" applyNumberFormat="1" applyFont="1" applyFill="1" applyBorder="1" applyAlignment="1">
      <alignment horizontal="center" vertical="center" wrapText="1" readingOrder="2"/>
    </xf>
    <xf numFmtId="0" fontId="6" fillId="4" borderId="1" xfId="0" applyFont="1" applyFill="1" applyBorder="1" applyAlignment="1">
      <alignment horizontal="right" vertical="center" readingOrder="2"/>
    </xf>
    <xf numFmtId="0" fontId="15" fillId="2" borderId="14" xfId="0" applyFont="1" applyFill="1" applyBorder="1" applyAlignment="1">
      <alignment horizontal="center" vertical="center" readingOrder="2"/>
    </xf>
    <xf numFmtId="0" fontId="31" fillId="19" borderId="15" xfId="0" applyFont="1" applyFill="1" applyBorder="1" applyAlignment="1">
      <alignment horizontal="right" vertical="center" readingOrder="2"/>
    </xf>
    <xf numFmtId="0" fontId="32" fillId="7" borderId="9" xfId="0" applyFont="1" applyFill="1" applyBorder="1" applyAlignment="1">
      <alignment horizontal="center" vertical="center" readingOrder="2"/>
    </xf>
    <xf numFmtId="3" fontId="33" fillId="9" borderId="9" xfId="0" applyNumberFormat="1" applyFont="1" applyFill="1" applyBorder="1" applyAlignment="1">
      <alignment horizontal="center" vertical="center" readingOrder="2"/>
    </xf>
    <xf numFmtId="3" fontId="33" fillId="7" borderId="9" xfId="0" applyNumberFormat="1" applyFont="1" applyFill="1" applyBorder="1" applyAlignment="1">
      <alignment horizontal="center" vertical="center" readingOrder="2"/>
    </xf>
    <xf numFmtId="167" fontId="28" fillId="8" borderId="9" xfId="0" applyNumberFormat="1" applyFont="1" applyFill="1" applyBorder="1" applyAlignment="1">
      <alignment horizontal="center" vertical="center" readingOrder="2"/>
    </xf>
    <xf numFmtId="167" fontId="8" fillId="9" borderId="9" xfId="0" applyNumberFormat="1" applyFont="1" applyFill="1" applyBorder="1" applyAlignment="1">
      <alignment horizontal="center" vertical="center" readingOrder="2"/>
    </xf>
    <xf numFmtId="0" fontId="32" fillId="11" borderId="9" xfId="0" applyFont="1" applyFill="1" applyBorder="1" applyAlignment="1">
      <alignment horizontal="center" vertical="center" readingOrder="2"/>
    </xf>
    <xf numFmtId="0" fontId="19" fillId="4" borderId="4" xfId="0" applyFont="1" applyFill="1" applyBorder="1" applyAlignment="1">
      <alignment horizontal="right" vertical="center" readingOrder="2"/>
    </xf>
    <xf numFmtId="3" fontId="6" fillId="3" borderId="6" xfId="0" applyNumberFormat="1" applyFont="1" applyFill="1" applyBorder="1" applyAlignment="1">
      <alignment horizontal="center" vertical="center" readingOrder="2"/>
    </xf>
    <xf numFmtId="0" fontId="28" fillId="19" borderId="15" xfId="0" applyFont="1" applyFill="1" applyBorder="1" applyAlignment="1">
      <alignment horizontal="right" vertical="center" wrapText="1" readingOrder="2"/>
    </xf>
    <xf numFmtId="0" fontId="34" fillId="12" borderId="20" xfId="0" applyFont="1" applyFill="1" applyBorder="1" applyAlignment="1">
      <alignment horizontal="center" vertical="center" readingOrder="2"/>
    </xf>
    <xf numFmtId="0" fontId="35" fillId="9" borderId="9" xfId="0" applyFont="1" applyFill="1" applyBorder="1" applyAlignment="1">
      <alignment horizontal="center" vertical="center" wrapText="1" readingOrder="2"/>
    </xf>
    <xf numFmtId="168" fontId="10" fillId="9" borderId="21" xfId="0" applyNumberFormat="1" applyFont="1" applyFill="1" applyBorder="1" applyAlignment="1">
      <alignment horizontal="center" vertical="center" readingOrder="2"/>
    </xf>
    <xf numFmtId="168" fontId="10" fillId="22" borderId="21" xfId="0" applyNumberFormat="1" applyFont="1" applyFill="1" applyBorder="1" applyAlignment="1">
      <alignment horizontal="center" vertical="center" readingOrder="2"/>
    </xf>
    <xf numFmtId="168" fontId="24" fillId="19" borderId="16" xfId="0" applyNumberFormat="1" applyFont="1" applyFill="1" applyBorder="1" applyAlignment="1">
      <alignment horizontal="center" vertical="center" readingOrder="2"/>
    </xf>
    <xf numFmtId="0" fontId="3" fillId="12" borderId="9" xfId="0" applyFont="1" applyFill="1" applyBorder="1" applyAlignment="1">
      <alignment horizontal="center" vertical="center" readingOrder="2"/>
    </xf>
    <xf numFmtId="0" fontId="31" fillId="7" borderId="6" xfId="0" applyFont="1" applyFill="1" applyBorder="1" applyAlignment="1">
      <alignment horizontal="center" vertical="center" readingOrder="2"/>
    </xf>
    <xf numFmtId="0" fontId="31" fillId="7" borderId="9" xfId="0" applyFont="1" applyFill="1" applyBorder="1" applyAlignment="1">
      <alignment horizontal="center" vertical="center" readingOrder="2"/>
    </xf>
    <xf numFmtId="0" fontId="36" fillId="23" borderId="22" xfId="0" applyFont="1" applyFill="1" applyBorder="1" applyAlignment="1">
      <alignment horizontal="right" vertical="center" wrapText="1" readingOrder="2"/>
    </xf>
    <xf numFmtId="0" fontId="8" fillId="9" borderId="15" xfId="0" applyFont="1" applyFill="1" applyBorder="1" applyAlignment="1">
      <alignment horizontal="right" vertical="center" wrapText="1" readingOrder="2"/>
    </xf>
    <xf numFmtId="168" fontId="11" fillId="9" borderId="21" xfId="0" applyNumberFormat="1" applyFont="1" applyFill="1" applyBorder="1" applyAlignment="1">
      <alignment horizontal="center" vertical="center" readingOrder="2"/>
    </xf>
    <xf numFmtId="168" fontId="11" fillId="22" borderId="21" xfId="0" applyNumberFormat="1" applyFont="1" applyFill="1" applyBorder="1" applyAlignment="1">
      <alignment horizontal="center" vertical="center" readingOrder="2"/>
    </xf>
    <xf numFmtId="0" fontId="31" fillId="7" borderId="7" xfId="0" applyFont="1" applyFill="1" applyBorder="1" applyAlignment="1">
      <alignment horizontal="center" vertical="center" readingOrder="2"/>
    </xf>
    <xf numFmtId="0" fontId="30" fillId="10" borderId="15" xfId="0" applyFont="1" applyFill="1" applyBorder="1" applyAlignment="1">
      <alignment horizontal="right" vertical="center" wrapText="1" readingOrder="2"/>
    </xf>
    <xf numFmtId="168" fontId="12" fillId="9" borderId="21" xfId="0" applyNumberFormat="1" applyFont="1" applyFill="1" applyBorder="1" applyAlignment="1">
      <alignment horizontal="center" vertical="center" readingOrder="2"/>
    </xf>
    <xf numFmtId="168" fontId="12" fillId="22" borderId="21" xfId="0" applyNumberFormat="1" applyFont="1" applyFill="1" applyBorder="1" applyAlignment="1">
      <alignment horizontal="center" vertical="center" readingOrder="2"/>
    </xf>
    <xf numFmtId="0" fontId="31" fillId="7" borderId="8" xfId="0" applyFont="1" applyFill="1" applyBorder="1" applyAlignment="1">
      <alignment horizontal="center" vertical="center" readingOrder="2"/>
    </xf>
    <xf numFmtId="0" fontId="31" fillId="11" borderId="15" xfId="0" applyFont="1" applyFill="1" applyBorder="1" applyAlignment="1">
      <alignment horizontal="right" vertical="center" wrapText="1" readingOrder="2"/>
    </xf>
    <xf numFmtId="168" fontId="13" fillId="9" borderId="21" xfId="0" applyNumberFormat="1" applyFont="1" applyFill="1" applyBorder="1" applyAlignment="1">
      <alignment horizontal="center" vertical="center" readingOrder="2"/>
    </xf>
    <xf numFmtId="168" fontId="13" fillId="22" borderId="21" xfId="0" applyNumberFormat="1" applyFont="1" applyFill="1" applyBorder="1" applyAlignment="1">
      <alignment horizontal="center" vertical="center" readingOrder="2"/>
    </xf>
    <xf numFmtId="169" fontId="3" fillId="12" borderId="9" xfId="0" applyNumberFormat="1" applyFont="1" applyFill="1" applyBorder="1" applyAlignment="1">
      <alignment horizontal="center" vertical="center" readingOrder="2"/>
    </xf>
    <xf numFmtId="0" fontId="31" fillId="7" borderId="4" xfId="0" applyFont="1" applyFill="1" applyBorder="1" applyAlignment="1">
      <alignment horizontal="center" vertical="center" readingOrder="2"/>
    </xf>
    <xf numFmtId="0" fontId="2" fillId="5" borderId="23" xfId="0" applyFont="1" applyFill="1" applyBorder="1" applyAlignment="1">
      <alignment horizontal="right" vertical="center" readingOrder="2"/>
    </xf>
    <xf numFmtId="0" fontId="0" fillId="0" borderId="23" xfId="0" applyBorder="1"/>
    <xf numFmtId="0" fontId="37" fillId="14" borderId="18" xfId="0" applyFont="1" applyFill="1" applyBorder="1" applyAlignment="1">
      <alignment horizontal="center" vertical="center" readingOrder="2"/>
    </xf>
    <xf numFmtId="2" fontId="11" fillId="9" borderId="21" xfId="0" applyNumberFormat="1" applyFont="1" applyFill="1" applyBorder="1" applyAlignment="1">
      <alignment horizontal="center" vertical="center" readingOrder="2"/>
    </xf>
    <xf numFmtId="2" fontId="11" fillId="22" borderId="21" xfId="0" applyNumberFormat="1" applyFont="1" applyFill="1" applyBorder="1" applyAlignment="1">
      <alignment horizontal="center" vertical="center" readingOrder="2"/>
    </xf>
    <xf numFmtId="2" fontId="24" fillId="19" borderId="16" xfId="0" applyNumberFormat="1" applyFont="1" applyFill="1" applyBorder="1" applyAlignment="1">
      <alignment horizontal="center" vertical="center" readingOrder="2"/>
    </xf>
    <xf numFmtId="169" fontId="23" fillId="7" borderId="9" xfId="0" applyNumberFormat="1" applyFont="1" applyFill="1" applyBorder="1" applyAlignment="1">
      <alignment horizontal="center" vertical="center" readingOrder="2"/>
    </xf>
    <xf numFmtId="0" fontId="31" fillId="0" borderId="16" xfId="0" applyFont="1" applyBorder="1" applyAlignment="1">
      <alignment horizontal="center" vertical="center" readingOrder="2"/>
    </xf>
    <xf numFmtId="0" fontId="31" fillId="0" borderId="9" xfId="0" applyFont="1" applyBorder="1" applyAlignment="1">
      <alignment horizontal="center" vertical="center" readingOrder="2"/>
    </xf>
    <xf numFmtId="0" fontId="38" fillId="12" borderId="15" xfId="0" applyFont="1" applyFill="1" applyBorder="1" applyAlignment="1">
      <alignment horizontal="right" vertical="center" wrapText="1" readingOrder="2"/>
    </xf>
    <xf numFmtId="0" fontId="23" fillId="7" borderId="9" xfId="0" applyFont="1" applyFill="1" applyBorder="1" applyAlignment="1">
      <alignment horizontal="center" vertical="center" readingOrder="2"/>
    </xf>
    <xf numFmtId="0" fontId="37" fillId="14" borderId="15" xfId="0" applyFont="1" applyFill="1" applyBorder="1" applyAlignment="1">
      <alignment horizontal="right" vertical="center" wrapText="1" readingOrder="2"/>
    </xf>
    <xf numFmtId="0" fontId="2" fillId="3" borderId="17" xfId="0" applyFont="1" applyFill="1" applyBorder="1" applyAlignment="1">
      <alignment horizontal="right" vertical="center" readingOrder="2"/>
    </xf>
    <xf numFmtId="0" fontId="0" fillId="0" borderId="17" xfId="0" applyBorder="1"/>
    <xf numFmtId="0" fontId="39" fillId="27" borderId="15" xfId="0" applyFont="1" applyFill="1" applyBorder="1" applyAlignment="1">
      <alignment horizontal="right" vertical="center" wrapText="1" readingOrder="2"/>
    </xf>
    <xf numFmtId="0" fontId="2" fillId="6" borderId="28" xfId="0" applyFont="1" applyFill="1" applyBorder="1" applyAlignment="1">
      <alignment horizontal="right" vertical="center" readingOrder="2"/>
    </xf>
    <xf numFmtId="0" fontId="0" fillId="0" borderId="28" xfId="0" applyBorder="1"/>
    <xf numFmtId="0" fontId="36" fillId="12" borderId="0" xfId="0" applyFont="1" applyFill="1" applyAlignment="1">
      <alignment horizontal="right" vertical="center" readingOrder="2"/>
    </xf>
    <xf numFmtId="0" fontId="40" fillId="7" borderId="5" xfId="0" applyFont="1" applyFill="1" applyBorder="1" applyAlignment="1">
      <alignment horizontal="center" vertical="center" readingOrder="2"/>
    </xf>
    <xf numFmtId="0" fontId="32" fillId="11" borderId="9" xfId="0" applyFont="1" applyFill="1" applyBorder="1" applyAlignment="1">
      <alignment horizontal="center" vertical="center" wrapText="1" readingOrder="2"/>
    </xf>
    <xf numFmtId="0" fontId="6" fillId="3" borderId="5" xfId="0" applyFont="1" applyFill="1" applyBorder="1" applyAlignment="1">
      <alignment horizontal="center" vertical="center" readingOrder="2"/>
    </xf>
    <xf numFmtId="0" fontId="29" fillId="14" borderId="9" xfId="0" applyFont="1" applyFill="1" applyBorder="1" applyAlignment="1">
      <alignment horizontal="center" vertical="center" readingOrder="2"/>
    </xf>
    <xf numFmtId="0" fontId="31" fillId="8" borderId="15" xfId="0" applyFont="1" applyFill="1" applyBorder="1" applyAlignment="1">
      <alignment horizontal="right" vertical="center" wrapText="1" readingOrder="2"/>
    </xf>
    <xf numFmtId="0" fontId="42" fillId="7" borderId="9" xfId="0" applyFont="1" applyFill="1" applyBorder="1" applyAlignment="1">
      <alignment horizontal="right" vertical="center" wrapText="1" readingOrder="2"/>
    </xf>
    <xf numFmtId="0" fontId="43" fillId="27" borderId="9" xfId="0" applyFont="1" applyFill="1" applyBorder="1" applyAlignment="1">
      <alignment horizontal="center" vertical="center" readingOrder="2"/>
    </xf>
    <xf numFmtId="2" fontId="44" fillId="19" borderId="16" xfId="0" applyNumberFormat="1" applyFont="1" applyFill="1" applyBorder="1" applyAlignment="1">
      <alignment horizontal="center" vertical="center" readingOrder="2"/>
    </xf>
    <xf numFmtId="0" fontId="31" fillId="0" borderId="6" xfId="0" applyFont="1" applyBorder="1" applyAlignment="1">
      <alignment horizontal="center" vertical="center" readingOrder="2"/>
    </xf>
    <xf numFmtId="0" fontId="45" fillId="14" borderId="9" xfId="0" applyFont="1" applyFill="1" applyBorder="1" applyAlignment="1">
      <alignment horizontal="center" vertical="center" readingOrder="2"/>
    </xf>
    <xf numFmtId="167" fontId="44" fillId="19" borderId="16" xfId="0" applyNumberFormat="1" applyFont="1" applyFill="1" applyBorder="1" applyAlignment="1">
      <alignment horizontal="center" vertical="center" readingOrder="2"/>
    </xf>
    <xf numFmtId="0" fontId="31" fillId="9" borderId="15" xfId="0" applyFont="1" applyFill="1" applyBorder="1" applyAlignment="1">
      <alignment horizontal="right" vertical="center" wrapText="1" readingOrder="2"/>
    </xf>
    <xf numFmtId="0" fontId="31" fillId="0" borderId="7" xfId="0" applyFont="1" applyBorder="1" applyAlignment="1">
      <alignment horizontal="center" vertical="center" readingOrder="2"/>
    </xf>
    <xf numFmtId="0" fontId="31" fillId="10" borderId="15" xfId="0" applyFont="1" applyFill="1" applyBorder="1" applyAlignment="1">
      <alignment horizontal="right" vertical="center" wrapText="1" readingOrder="2"/>
    </xf>
    <xf numFmtId="0" fontId="31" fillId="0" borderId="8" xfId="0" applyFont="1" applyBorder="1" applyAlignment="1">
      <alignment horizontal="center" vertical="center" readingOrder="2"/>
    </xf>
    <xf numFmtId="0" fontId="31" fillId="29" borderId="15" xfId="0" applyFont="1" applyFill="1" applyBorder="1" applyAlignment="1">
      <alignment horizontal="right" vertical="center" wrapText="1" readingOrder="2"/>
    </xf>
    <xf numFmtId="0" fontId="31" fillId="0" borderId="30" xfId="0" applyFont="1" applyBorder="1" applyAlignment="1">
      <alignment horizontal="center" vertical="center" readingOrder="2"/>
    </xf>
    <xf numFmtId="0" fontId="31" fillId="0" borderId="4" xfId="0" applyFont="1" applyBorder="1" applyAlignment="1">
      <alignment horizontal="center" vertical="center" readingOrder="2"/>
    </xf>
    <xf numFmtId="0" fontId="0" fillId="30" borderId="0" xfId="0" applyFill="1"/>
    <xf numFmtId="0" fontId="15" fillId="28" borderId="30" xfId="0" applyFont="1" applyFill="1" applyBorder="1" applyAlignment="1">
      <alignment horizontal="center" vertical="center" wrapText="1" readingOrder="2"/>
    </xf>
    <xf numFmtId="0" fontId="15" fillId="26" borderId="32" xfId="0" applyFont="1" applyFill="1" applyBorder="1" applyAlignment="1">
      <alignment horizontal="center" vertical="center" wrapText="1" readingOrder="2"/>
    </xf>
    <xf numFmtId="0" fontId="15" fillId="31" borderId="33" xfId="0" applyFont="1" applyFill="1" applyBorder="1" applyAlignment="1">
      <alignment horizontal="center" vertical="center" wrapText="1" readingOrder="2"/>
    </xf>
    <xf numFmtId="0" fontId="21" fillId="19" borderId="15" xfId="0" applyFont="1" applyFill="1" applyBorder="1" applyAlignment="1">
      <alignment horizontal="right" vertical="center" readingOrder="2"/>
    </xf>
    <xf numFmtId="1" fontId="10" fillId="8" borderId="6" xfId="0" applyNumberFormat="1" applyFont="1" applyFill="1" applyBorder="1" applyAlignment="1">
      <alignment horizontal="center" vertical="center" readingOrder="2"/>
    </xf>
    <xf numFmtId="1" fontId="11" fillId="9" borderId="7" xfId="0" applyNumberFormat="1" applyFont="1" applyFill="1" applyBorder="1" applyAlignment="1">
      <alignment horizontal="center" vertical="center" readingOrder="2"/>
    </xf>
    <xf numFmtId="1" fontId="12" fillId="10" borderId="8" xfId="0" applyNumberFormat="1" applyFont="1" applyFill="1" applyBorder="1" applyAlignment="1">
      <alignment horizontal="center" vertical="center" readingOrder="2"/>
    </xf>
    <xf numFmtId="1" fontId="46" fillId="29" borderId="30" xfId="0" applyNumberFormat="1" applyFont="1" applyFill="1" applyBorder="1" applyAlignment="1">
      <alignment horizontal="center" vertical="center" readingOrder="2"/>
    </xf>
    <xf numFmtId="1" fontId="13" fillId="11" borderId="4" xfId="0" applyNumberFormat="1" applyFont="1" applyFill="1" applyBorder="1" applyAlignment="1">
      <alignment horizontal="center" vertical="center" readingOrder="2"/>
    </xf>
    <xf numFmtId="1" fontId="43" fillId="27" borderId="32" xfId="0" applyNumberFormat="1" applyFont="1" applyFill="1" applyBorder="1" applyAlignment="1">
      <alignment horizontal="center" vertical="center" readingOrder="2"/>
    </xf>
    <xf numFmtId="1" fontId="47" fillId="11" borderId="33" xfId="0" applyNumberFormat="1" applyFont="1" applyFill="1" applyBorder="1" applyAlignment="1">
      <alignment horizontal="center" vertical="center" readingOrder="2"/>
    </xf>
    <xf numFmtId="0" fontId="44" fillId="19" borderId="16" xfId="0" applyFont="1" applyFill="1" applyBorder="1" applyAlignment="1">
      <alignment horizontal="center" vertical="center" readingOrder="2"/>
    </xf>
    <xf numFmtId="9" fontId="44" fillId="19" borderId="16" xfId="0" applyNumberFormat="1" applyFont="1" applyFill="1" applyBorder="1" applyAlignment="1">
      <alignment horizontal="center" vertical="center" readingOrder="2"/>
    </xf>
    <xf numFmtId="0" fontId="48" fillId="0" borderId="9" xfId="0" applyFont="1" applyBorder="1" applyAlignment="1">
      <alignment horizontal="center" vertical="center" readingOrder="2"/>
    </xf>
    <xf numFmtId="0" fontId="7" fillId="32" borderId="9" xfId="0" applyFont="1" applyFill="1" applyBorder="1" applyAlignment="1">
      <alignment horizontal="center" vertical="center" readingOrder="2"/>
    </xf>
    <xf numFmtId="0" fontId="49" fillId="8" borderId="15" xfId="0" applyFont="1" applyFill="1" applyBorder="1" applyAlignment="1">
      <alignment horizontal="right" vertical="center" readingOrder="2"/>
    </xf>
    <xf numFmtId="0" fontId="32" fillId="32" borderId="9" xfId="0" applyFont="1" applyFill="1" applyBorder="1" applyAlignment="1">
      <alignment horizontal="center" vertical="center" readingOrder="2"/>
    </xf>
    <xf numFmtId="0" fontId="0" fillId="4" borderId="0" xfId="0" applyFill="1"/>
    <xf numFmtId="0" fontId="2" fillId="3" borderId="6" xfId="0" applyFont="1" applyFill="1" applyBorder="1" applyAlignment="1">
      <alignment horizontal="center" vertical="center" readingOrder="2"/>
    </xf>
    <xf numFmtId="0" fontId="2" fillId="5" borderId="7" xfId="0" applyFont="1" applyFill="1" applyBorder="1" applyAlignment="1">
      <alignment horizontal="center" vertical="center" readingOrder="2"/>
    </xf>
    <xf numFmtId="0" fontId="2" fillId="6" borderId="8" xfId="0" applyFont="1" applyFill="1" applyBorder="1" applyAlignment="1">
      <alignment horizontal="center" vertical="center" readingOrder="2"/>
    </xf>
    <xf numFmtId="0" fontId="2" fillId="28" borderId="30" xfId="0" applyFont="1" applyFill="1" applyBorder="1" applyAlignment="1">
      <alignment horizontal="center" vertical="center" readingOrder="2"/>
    </xf>
    <xf numFmtId="0" fontId="2" fillId="4" borderId="4" xfId="0" applyFont="1" applyFill="1" applyBorder="1" applyAlignment="1">
      <alignment horizontal="center" vertical="center" readingOrder="2"/>
    </xf>
    <xf numFmtId="0" fontId="2" fillId="26" borderId="32" xfId="0" applyFont="1" applyFill="1" applyBorder="1" applyAlignment="1">
      <alignment horizontal="center" vertical="center" readingOrder="2"/>
    </xf>
    <xf numFmtId="0" fontId="2" fillId="31" borderId="33" xfId="0" applyFont="1" applyFill="1" applyBorder="1" applyAlignment="1">
      <alignment horizontal="center" vertical="center" readingOrder="2"/>
    </xf>
    <xf numFmtId="0" fontId="19" fillId="2" borderId="16" xfId="0" applyFont="1" applyFill="1" applyBorder="1" applyAlignment="1">
      <alignment horizontal="center" vertical="center" readingOrder="2"/>
    </xf>
    <xf numFmtId="167" fontId="19" fillId="2" borderId="16" xfId="0" applyNumberFormat="1" applyFont="1" applyFill="1" applyBorder="1" applyAlignment="1">
      <alignment horizontal="center" vertical="center" readingOrder="2"/>
    </xf>
    <xf numFmtId="0" fontId="6" fillId="3" borderId="6" xfId="0" applyFont="1" applyFill="1" applyBorder="1" applyAlignment="1">
      <alignment horizontal="center" vertical="center" readingOrder="2"/>
    </xf>
    <xf numFmtId="0" fontId="48" fillId="8" borderId="9" xfId="0" applyFont="1" applyFill="1" applyBorder="1" applyAlignment="1">
      <alignment horizontal="right" vertical="center" wrapText="1" readingOrder="2"/>
    </xf>
    <xf numFmtId="0" fontId="50" fillId="12" borderId="9" xfId="0" applyFont="1" applyFill="1" applyBorder="1" applyAlignment="1">
      <alignment horizontal="center" vertical="center" readingOrder="2"/>
    </xf>
    <xf numFmtId="0" fontId="33" fillId="9" borderId="9" xfId="0" applyFont="1" applyFill="1" applyBorder="1" applyAlignment="1">
      <alignment horizontal="center" vertical="center" readingOrder="2"/>
    </xf>
    <xf numFmtId="0" fontId="6" fillId="5" borderId="7" xfId="0" applyFont="1" applyFill="1" applyBorder="1" applyAlignment="1">
      <alignment horizontal="center" vertical="center" readingOrder="2"/>
    </xf>
    <xf numFmtId="0" fontId="48" fillId="9" borderId="9" xfId="0" applyFont="1" applyFill="1" applyBorder="1" applyAlignment="1">
      <alignment horizontal="right" vertical="center" wrapText="1" readingOrder="2"/>
    </xf>
    <xf numFmtId="0" fontId="6" fillId="6" borderId="8" xfId="0" applyFont="1" applyFill="1" applyBorder="1" applyAlignment="1">
      <alignment horizontal="center" vertical="center" readingOrder="2"/>
    </xf>
    <xf numFmtId="0" fontId="48" fillId="10" borderId="9" xfId="0" applyFont="1" applyFill="1" applyBorder="1" applyAlignment="1">
      <alignment horizontal="right" vertical="center" wrapText="1" readingOrder="2"/>
    </xf>
    <xf numFmtId="0" fontId="6" fillId="28" borderId="30" xfId="0" applyFont="1" applyFill="1" applyBorder="1" applyAlignment="1">
      <alignment horizontal="center" vertical="center" readingOrder="2"/>
    </xf>
    <xf numFmtId="0" fontId="48" fillId="29" borderId="9" xfId="0" applyFont="1" applyFill="1" applyBorder="1" applyAlignment="1">
      <alignment horizontal="right" vertical="center" wrapText="1" readingOrder="2"/>
    </xf>
    <xf numFmtId="0" fontId="6" fillId="4" borderId="4" xfId="0" applyFont="1" applyFill="1" applyBorder="1" applyAlignment="1">
      <alignment horizontal="center" vertical="center" readingOrder="2"/>
    </xf>
    <xf numFmtId="0" fontId="48" fillId="11" borderId="9" xfId="0" applyFont="1" applyFill="1" applyBorder="1" applyAlignment="1">
      <alignment horizontal="right" vertical="center" wrapText="1" readingOrder="2"/>
    </xf>
    <xf numFmtId="0" fontId="6" fillId="26" borderId="32" xfId="0" applyFont="1" applyFill="1" applyBorder="1" applyAlignment="1">
      <alignment horizontal="center" vertical="center" readingOrder="2"/>
    </xf>
    <xf numFmtId="0" fontId="48" fillId="27" borderId="9" xfId="0" applyFont="1" applyFill="1" applyBorder="1" applyAlignment="1">
      <alignment horizontal="right" vertical="center" wrapText="1" readingOrder="2"/>
    </xf>
    <xf numFmtId="0" fontId="6" fillId="31" borderId="33" xfId="0" applyFont="1" applyFill="1" applyBorder="1" applyAlignment="1">
      <alignment horizontal="center" vertical="center" readingOrder="2"/>
    </xf>
    <xf numFmtId="0" fontId="1" fillId="30" borderId="34" xfId="0" applyFont="1" applyFill="1" applyBorder="1" applyAlignment="1">
      <alignment horizontal="center" vertical="center" readingOrder="2"/>
    </xf>
    <xf numFmtId="0" fontId="1" fillId="5" borderId="7" xfId="0" applyFont="1" applyFill="1" applyBorder="1" applyAlignment="1">
      <alignment horizontal="center" vertical="center" readingOrder="2"/>
    </xf>
    <xf numFmtId="0" fontId="1" fillId="3" borderId="6" xfId="0" applyFont="1" applyFill="1" applyBorder="1" applyAlignment="1">
      <alignment horizontal="center" vertical="center" readingOrder="2"/>
    </xf>
    <xf numFmtId="0" fontId="1" fillId="25" borderId="18" xfId="0" applyFont="1" applyFill="1" applyBorder="1" applyAlignment="1">
      <alignment horizontal="center" vertical="center" readingOrder="2"/>
    </xf>
    <xf numFmtId="0" fontId="1" fillId="26" borderId="32" xfId="0" applyFont="1" applyFill="1" applyBorder="1" applyAlignment="1">
      <alignment horizontal="center" vertical="center" readingOrder="2"/>
    </xf>
    <xf numFmtId="0" fontId="1" fillId="2" borderId="16" xfId="0" applyFont="1" applyFill="1" applyBorder="1" applyAlignment="1">
      <alignment horizontal="center" vertical="center" readingOrder="2"/>
    </xf>
    <xf numFmtId="0" fontId="52" fillId="7" borderId="35" xfId="0" applyFont="1" applyFill="1" applyBorder="1" applyAlignment="1">
      <alignment horizontal="center" vertical="center" readingOrder="2"/>
    </xf>
    <xf numFmtId="1" fontId="41" fillId="7" borderId="2" xfId="0" applyNumberFormat="1" applyFont="1" applyFill="1" applyBorder="1" applyAlignment="1">
      <alignment horizontal="center" vertical="center" readingOrder="2"/>
    </xf>
    <xf numFmtId="1" fontId="53" fillId="7" borderId="36" xfId="0" applyNumberFormat="1" applyFont="1" applyFill="1" applyBorder="1" applyAlignment="1">
      <alignment horizontal="center" vertical="center" readingOrder="2"/>
    </xf>
    <xf numFmtId="1" fontId="54" fillId="7" borderId="37" xfId="0" applyNumberFormat="1" applyFont="1" applyFill="1" applyBorder="1" applyAlignment="1">
      <alignment horizontal="center" vertical="center" readingOrder="2"/>
    </xf>
    <xf numFmtId="9" fontId="55" fillId="7" borderId="3" xfId="0" applyNumberFormat="1" applyFont="1" applyFill="1" applyBorder="1" applyAlignment="1">
      <alignment horizontal="center" vertical="center" readingOrder="2"/>
    </xf>
    <xf numFmtId="9" fontId="18" fillId="19" borderId="9" xfId="0" applyNumberFormat="1" applyFont="1" applyFill="1" applyBorder="1" applyAlignment="1">
      <alignment horizontal="center" vertical="center" readingOrder="2"/>
    </xf>
    <xf numFmtId="9" fontId="56" fillId="27" borderId="9" xfId="0" applyNumberFormat="1" applyFont="1" applyFill="1" applyBorder="1" applyAlignment="1">
      <alignment horizontal="center" vertical="center" readingOrder="2"/>
    </xf>
    <xf numFmtId="9" fontId="19" fillId="2" borderId="16" xfId="0" applyNumberFormat="1" applyFont="1" applyFill="1" applyBorder="1" applyAlignment="1">
      <alignment horizontal="center" vertical="center" readingOrder="2"/>
    </xf>
    <xf numFmtId="9" fontId="19" fillId="26" borderId="32" xfId="0" applyNumberFormat="1" applyFont="1" applyFill="1" applyBorder="1" applyAlignment="1">
      <alignment horizontal="center" vertical="center" readingOrder="2"/>
    </xf>
    <xf numFmtId="0" fontId="2" fillId="25" borderId="18" xfId="0" applyFont="1" applyFill="1" applyBorder="1" applyAlignment="1">
      <alignment horizontal="center" vertical="center" readingOrder="2"/>
    </xf>
    <xf numFmtId="0" fontId="27" fillId="2" borderId="0" xfId="0" applyFont="1" applyFill="1" applyAlignment="1">
      <alignment horizontal="center" vertical="center" readingOrder="2"/>
    </xf>
    <xf numFmtId="0" fontId="28" fillId="21" borderId="17" xfId="0" applyFont="1" applyFill="1" applyBorder="1" applyAlignment="1">
      <alignment horizontal="right" vertical="center" readingOrder="2"/>
    </xf>
    <xf numFmtId="0" fontId="2" fillId="2" borderId="19" xfId="0" applyFont="1" applyFill="1" applyBorder="1" applyAlignment="1">
      <alignment horizontal="right" vertical="center" readingOrder="2"/>
    </xf>
    <xf numFmtId="0" fontId="8" fillId="9" borderId="24" xfId="0" applyFont="1" applyFill="1" applyBorder="1" applyAlignment="1">
      <alignment horizontal="right" vertical="center" wrapText="1" readingOrder="2"/>
    </xf>
    <xf numFmtId="0" fontId="2" fillId="24" borderId="25" xfId="0" applyFont="1" applyFill="1" applyBorder="1" applyAlignment="1">
      <alignment horizontal="right" vertical="center" readingOrder="2"/>
    </xf>
    <xf numFmtId="0" fontId="2" fillId="25" borderId="26" xfId="0" applyFont="1" applyFill="1" applyBorder="1" applyAlignment="1">
      <alignment horizontal="right" vertical="center" readingOrder="2"/>
    </xf>
    <xf numFmtId="0" fontId="28" fillId="19" borderId="24" xfId="0" applyFont="1" applyFill="1" applyBorder="1" applyAlignment="1">
      <alignment horizontal="right" vertical="center" wrapText="1" readingOrder="2"/>
    </xf>
    <xf numFmtId="0" fontId="2" fillId="26" borderId="27" xfId="0" applyFont="1" applyFill="1" applyBorder="1" applyAlignment="1">
      <alignment horizontal="right" vertical="center" readingOrder="2"/>
    </xf>
    <xf numFmtId="0" fontId="30" fillId="10" borderId="24" xfId="0" applyFont="1" applyFill="1" applyBorder="1" applyAlignment="1">
      <alignment horizontal="right" vertical="center" wrapText="1" readingOrder="2"/>
    </xf>
    <xf numFmtId="0" fontId="2" fillId="3" borderId="17" xfId="0" applyFont="1" applyFill="1" applyBorder="1" applyAlignment="1">
      <alignment horizontal="right" vertical="center" readingOrder="2"/>
    </xf>
    <xf numFmtId="0" fontId="2" fillId="5" borderId="23" xfId="0" applyFont="1" applyFill="1" applyBorder="1" applyAlignment="1">
      <alignment horizontal="right" vertical="center" readingOrder="2"/>
    </xf>
    <xf numFmtId="0" fontId="2" fillId="6" borderId="28" xfId="0" applyFont="1" applyFill="1" applyBorder="1" applyAlignment="1">
      <alignment horizontal="right" vertical="center" readingOrder="2"/>
    </xf>
    <xf numFmtId="0" fontId="36" fillId="12" borderId="0" xfId="0" applyFont="1" applyFill="1" applyAlignment="1">
      <alignment horizontal="right" vertical="center" readingOrder="2"/>
    </xf>
    <xf numFmtId="0" fontId="5" fillId="5" borderId="0" xfId="0" applyFont="1" applyFill="1" applyAlignment="1">
      <alignment horizontal="right" vertical="center" readingOrder="2"/>
    </xf>
    <xf numFmtId="0" fontId="2" fillId="28" borderId="29" xfId="0" applyFont="1" applyFill="1" applyBorder="1" applyAlignment="1">
      <alignment horizontal="right" vertical="center" readingOrder="2"/>
    </xf>
    <xf numFmtId="0" fontId="5" fillId="6" borderId="0" xfId="0" applyFont="1" applyFill="1" applyAlignment="1">
      <alignment horizontal="right" vertical="center" readingOrder="2"/>
    </xf>
    <xf numFmtId="0" fontId="2" fillId="4" borderId="31" xfId="0" applyFont="1" applyFill="1" applyBorder="1" applyAlignment="1">
      <alignment horizontal="right" vertical="center" readingOrder="2"/>
    </xf>
    <xf numFmtId="0" fontId="6" fillId="30" borderId="0" xfId="0" applyFont="1" applyFill="1" applyAlignment="1">
      <alignment horizontal="center" vertical="center" readingOrder="2"/>
    </xf>
    <xf numFmtId="0" fontId="2" fillId="30" borderId="0" xfId="0" applyFont="1" applyFill="1" applyAlignment="1">
      <alignment horizontal="right" vertical="center" readingOrder="2"/>
    </xf>
    <xf numFmtId="0" fontId="51" fillId="2" borderId="0" xfId="0" applyFont="1" applyFill="1" applyAlignment="1">
      <alignment horizontal="center" vertical="center" readingOrder="2"/>
    </xf>
    <xf numFmtId="0" fontId="2" fillId="4" borderId="0" xfId="0" applyFont="1" applyFill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65100"/>
      <rgbColor rgb="FF00FF00"/>
      <rgbColor rgb="FF0000FF"/>
      <rgbColor rgb="FFFFFDE7"/>
      <rgbColor rgb="FFFF00FF"/>
      <rgbColor rgb="FF00FFFF"/>
      <rgbColor rgb="FF800000"/>
      <rgbColor rgb="FF1B5E20"/>
      <rgbColor rgb="FF000080"/>
      <rgbColor rgb="FF808000"/>
      <rgbColor rgb="FF6A1B9A"/>
      <rgbColor rgb="FF00695C"/>
      <rgbColor rgb="FFE2E3E3"/>
      <rgbColor rgb="FF808080"/>
      <rgbColor rgb="FFE3F2FD"/>
      <rgbColor rgb="FFC62828"/>
      <rgbColor rgb="FFFFF9C4"/>
      <rgbColor rgb="FFE0F2F1"/>
      <rgbColor rgb="FF660066"/>
      <rgbColor rgb="FFF57F17"/>
      <rgbColor rgb="FF1565C0"/>
      <rgbColor rgb="FFD0D0D0"/>
      <rgbColor rgb="FF000080"/>
      <rgbColor rgb="FFFF00FF"/>
      <rgbColor rgb="FFFEF0E6"/>
      <rgbColor rgb="FF00FFFF"/>
      <rgbColor rgb="FF800080"/>
      <rgbColor rgb="FF800000"/>
      <rgbColor rgb="FF0277BD"/>
      <rgbColor rgb="FF0000FF"/>
      <rgbColor rgb="FF00CCFF"/>
      <rgbColor rgb="FFDDEEFF"/>
      <rgbColor rgb="FFE8F5E9"/>
      <rgbColor rgb="FFFFF3E0"/>
      <rgbColor rgb="FF90CAF9"/>
      <rgbColor rgb="FFF3E5F5"/>
      <rgbColor rgb="FFFFEBEE"/>
      <rgbColor rgb="FFEAC9AD"/>
      <rgbColor rgb="FF3366FF"/>
      <rgbColor rgb="FF33CCCC"/>
      <rgbColor rgb="FFF5F5F5"/>
      <rgbColor rgb="FFFFF8F0"/>
      <rgbColor rgb="FFF9A825"/>
      <rgbColor rgb="FFF3741F"/>
      <rgbColor rgb="FF66686A"/>
      <rgbColor rgb="FFE8F4FD"/>
      <rgbColor rgb="FF004D40"/>
      <rgbColor rgb="FF2E7D32"/>
      <rgbColor rgb="FF1B2631"/>
      <rgbColor rgb="FF212121"/>
      <rgbColor rgb="FFBF360C"/>
      <rgbColor rgb="FFC04E0E"/>
      <rgbColor rgb="FF0D47A1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0"/>
  <sheetViews>
    <sheetView rightToLeft="1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ColWidth="8.6328125" defaultRowHeight="14.5" x14ac:dyDescent="0.35"/>
  <cols>
    <col min="1" max="1" width="4" customWidth="1"/>
    <col min="2" max="2" width="22" customWidth="1"/>
    <col min="3" max="3" width="14" customWidth="1"/>
    <col min="4" max="5" width="10" customWidth="1"/>
    <col min="6" max="6" width="14" customWidth="1"/>
    <col min="7" max="7" width="8" customWidth="1"/>
    <col min="8" max="11" width="13" customWidth="1"/>
  </cols>
  <sheetData>
    <row r="1" spans="1:11" ht="4.5" customHeight="1" x14ac:dyDescent="0.35"/>
    <row r="2" spans="1:11" ht="51.75" customHeight="1" x14ac:dyDescent="0.35">
      <c r="A2" s="11" t="s">
        <v>4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9.5" customHeight="1" x14ac:dyDescent="0.35">
      <c r="A3" s="10" t="s">
        <v>5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ht="4.5" customHeight="1" x14ac:dyDescent="0.35"/>
    <row r="5" spans="1:11" ht="19.5" customHeight="1" x14ac:dyDescent="0.35">
      <c r="A5" s="9" t="s">
        <v>6</v>
      </c>
      <c r="B5" s="9"/>
      <c r="C5" s="9"/>
      <c r="D5" s="9"/>
      <c r="E5" s="9"/>
      <c r="F5" s="9"/>
      <c r="G5" s="9"/>
      <c r="H5" s="8" t="s">
        <v>7</v>
      </c>
      <c r="I5" s="8"/>
      <c r="J5" s="8"/>
      <c r="K5" s="8"/>
    </row>
    <row r="6" spans="1:11" ht="30" customHeight="1" x14ac:dyDescent="0.35">
      <c r="A6" s="12" t="s">
        <v>8</v>
      </c>
      <c r="B6" s="12" t="s">
        <v>9</v>
      </c>
      <c r="C6" s="12" t="s">
        <v>10</v>
      </c>
      <c r="D6" s="12" t="s">
        <v>11</v>
      </c>
      <c r="E6" s="12" t="s">
        <v>12</v>
      </c>
      <c r="F6" s="12" t="s">
        <v>13</v>
      </c>
      <c r="G6" s="12" t="s">
        <v>14</v>
      </c>
      <c r="H6" s="13" t="s">
        <v>15</v>
      </c>
      <c r="I6" s="14" t="s">
        <v>16</v>
      </c>
      <c r="J6" s="15" t="s">
        <v>17</v>
      </c>
      <c r="K6" s="16" t="s">
        <v>18</v>
      </c>
    </row>
    <row r="7" spans="1:11" ht="21.75" customHeight="1" x14ac:dyDescent="0.35">
      <c r="A7" s="17" t="s">
        <v>19</v>
      </c>
      <c r="B7" s="18" t="s">
        <v>20</v>
      </c>
      <c r="C7" s="17" t="s">
        <v>21</v>
      </c>
      <c r="D7" s="17" t="s">
        <v>11</v>
      </c>
      <c r="E7" s="19" t="s">
        <v>12</v>
      </c>
      <c r="F7" s="17" t="s">
        <v>22</v>
      </c>
      <c r="G7" s="17" t="s">
        <v>14</v>
      </c>
      <c r="H7" s="20" t="s">
        <v>23</v>
      </c>
      <c r="I7" s="21" t="s">
        <v>24</v>
      </c>
      <c r="J7" s="22" t="s">
        <v>25</v>
      </c>
      <c r="K7" s="23" t="s">
        <v>26</v>
      </c>
    </row>
    <row r="8" spans="1:11" ht="21.75" customHeight="1" x14ac:dyDescent="0.35">
      <c r="A8" s="24" t="s">
        <v>19</v>
      </c>
      <c r="B8" s="18" t="s">
        <v>27</v>
      </c>
      <c r="C8" s="24" t="s">
        <v>28</v>
      </c>
      <c r="D8" s="24" t="s">
        <v>29</v>
      </c>
      <c r="E8" s="19" t="s">
        <v>30</v>
      </c>
      <c r="F8" s="24" t="s">
        <v>31</v>
      </c>
      <c r="G8" s="24"/>
      <c r="H8" s="20"/>
      <c r="I8" s="21"/>
      <c r="J8" s="22"/>
      <c r="K8" s="23"/>
    </row>
    <row r="9" spans="1:11" ht="21.75" customHeight="1" x14ac:dyDescent="0.35">
      <c r="A9" s="17" t="s">
        <v>32</v>
      </c>
      <c r="B9" s="18" t="s">
        <v>33</v>
      </c>
      <c r="C9" s="17" t="s">
        <v>34</v>
      </c>
      <c r="D9" s="17" t="s">
        <v>29</v>
      </c>
      <c r="E9" s="19" t="s">
        <v>30</v>
      </c>
      <c r="F9" s="17" t="s">
        <v>31</v>
      </c>
      <c r="G9" s="17"/>
      <c r="H9" s="20"/>
      <c r="I9" s="21"/>
      <c r="J9" s="22"/>
      <c r="K9" s="23"/>
    </row>
    <row r="10" spans="1:11" ht="21.75" customHeight="1" x14ac:dyDescent="0.35">
      <c r="A10" s="24" t="s">
        <v>35</v>
      </c>
      <c r="B10" s="18" t="s">
        <v>36</v>
      </c>
      <c r="C10" s="24" t="s">
        <v>37</v>
      </c>
      <c r="D10" s="24" t="s">
        <v>29</v>
      </c>
      <c r="E10" s="19" t="s">
        <v>30</v>
      </c>
      <c r="F10" s="24" t="s">
        <v>31</v>
      </c>
      <c r="G10" s="24"/>
      <c r="H10" s="20"/>
      <c r="I10" s="21"/>
      <c r="J10" s="22"/>
      <c r="K10" s="23"/>
    </row>
    <row r="11" spans="1:11" ht="21.75" customHeight="1" x14ac:dyDescent="0.35">
      <c r="A11" s="17" t="s">
        <v>38</v>
      </c>
      <c r="B11" s="18" t="s">
        <v>39</v>
      </c>
      <c r="C11" s="17" t="s">
        <v>40</v>
      </c>
      <c r="D11" s="17" t="s">
        <v>29</v>
      </c>
      <c r="E11" s="19" t="s">
        <v>30</v>
      </c>
      <c r="F11" s="17" t="s">
        <v>31</v>
      </c>
      <c r="G11" s="17"/>
      <c r="H11" s="20"/>
      <c r="I11" s="21"/>
      <c r="J11" s="22"/>
      <c r="K11" s="23"/>
    </row>
    <row r="12" spans="1:11" ht="21.75" customHeight="1" x14ac:dyDescent="0.35">
      <c r="A12" s="24" t="s">
        <v>41</v>
      </c>
      <c r="B12" s="18" t="s">
        <v>42</v>
      </c>
      <c r="C12" s="24" t="s">
        <v>43</v>
      </c>
      <c r="D12" s="24" t="s">
        <v>29</v>
      </c>
      <c r="E12" s="19" t="s">
        <v>30</v>
      </c>
      <c r="F12" s="24" t="s">
        <v>31</v>
      </c>
      <c r="G12" s="24"/>
      <c r="H12" s="20"/>
      <c r="I12" s="21"/>
      <c r="J12" s="22"/>
      <c r="K12" s="23"/>
    </row>
    <row r="13" spans="1:11" ht="21.75" customHeight="1" x14ac:dyDescent="0.35">
      <c r="A13" s="17" t="s">
        <v>44</v>
      </c>
      <c r="B13" s="18" t="s">
        <v>45</v>
      </c>
      <c r="C13" s="17" t="s">
        <v>46</v>
      </c>
      <c r="D13" s="17" t="s">
        <v>29</v>
      </c>
      <c r="E13" s="19" t="s">
        <v>30</v>
      </c>
      <c r="F13" s="17" t="s">
        <v>31</v>
      </c>
      <c r="G13" s="17"/>
      <c r="H13" s="20"/>
      <c r="I13" s="21"/>
      <c r="J13" s="22"/>
      <c r="K13" s="23"/>
    </row>
    <row r="14" spans="1:11" ht="21.75" customHeight="1" x14ac:dyDescent="0.35">
      <c r="A14" s="24" t="s">
        <v>47</v>
      </c>
      <c r="B14" s="18" t="s">
        <v>48</v>
      </c>
      <c r="C14" s="24" t="s">
        <v>49</v>
      </c>
      <c r="D14" s="24" t="s">
        <v>29</v>
      </c>
      <c r="E14" s="19" t="s">
        <v>30</v>
      </c>
      <c r="F14" s="24" t="s">
        <v>31</v>
      </c>
      <c r="G14" s="24"/>
      <c r="H14" s="20"/>
      <c r="I14" s="21"/>
      <c r="J14" s="22"/>
      <c r="K14" s="23"/>
    </row>
    <row r="15" spans="1:11" ht="21.75" customHeight="1" x14ac:dyDescent="0.35">
      <c r="A15" s="17" t="s">
        <v>50</v>
      </c>
      <c r="B15" s="18" t="s">
        <v>51</v>
      </c>
      <c r="C15" s="17" t="s">
        <v>52</v>
      </c>
      <c r="D15" s="17" t="s">
        <v>29</v>
      </c>
      <c r="E15" s="19" t="s">
        <v>30</v>
      </c>
      <c r="F15" s="17" t="s">
        <v>31</v>
      </c>
      <c r="G15" s="17"/>
      <c r="H15" s="20"/>
      <c r="I15" s="21"/>
      <c r="J15" s="22"/>
      <c r="K15" s="23"/>
    </row>
    <row r="16" spans="1:11" ht="21.75" customHeight="1" x14ac:dyDescent="0.35">
      <c r="A16" s="24" t="s">
        <v>53</v>
      </c>
      <c r="B16" s="18" t="s">
        <v>54</v>
      </c>
      <c r="C16" s="24" t="s">
        <v>55</v>
      </c>
      <c r="D16" s="24" t="s">
        <v>29</v>
      </c>
      <c r="E16" s="19" t="s">
        <v>30</v>
      </c>
      <c r="F16" s="24" t="s">
        <v>31</v>
      </c>
      <c r="G16" s="24"/>
      <c r="H16" s="20"/>
      <c r="I16" s="21"/>
      <c r="J16" s="22"/>
      <c r="K16" s="23"/>
    </row>
    <row r="17" spans="1:11" ht="21.75" customHeight="1" x14ac:dyDescent="0.35">
      <c r="A17" s="17" t="s">
        <v>56</v>
      </c>
      <c r="B17" s="18" t="s">
        <v>57</v>
      </c>
      <c r="C17" s="17" t="s">
        <v>58</v>
      </c>
      <c r="D17" s="17" t="s">
        <v>29</v>
      </c>
      <c r="E17" s="19" t="s">
        <v>30</v>
      </c>
      <c r="F17" s="17" t="s">
        <v>31</v>
      </c>
      <c r="G17" s="17"/>
      <c r="H17" s="20"/>
      <c r="I17" s="21"/>
      <c r="J17" s="22"/>
      <c r="K17" s="23"/>
    </row>
    <row r="18" spans="1:11" ht="21.75" customHeight="1" x14ac:dyDescent="0.35">
      <c r="A18" s="24" t="s">
        <v>59</v>
      </c>
      <c r="B18" s="18" t="s">
        <v>60</v>
      </c>
      <c r="C18" s="24" t="s">
        <v>61</v>
      </c>
      <c r="D18" s="24" t="s">
        <v>29</v>
      </c>
      <c r="E18" s="19" t="s">
        <v>30</v>
      </c>
      <c r="F18" s="24" t="s">
        <v>31</v>
      </c>
      <c r="G18" s="24"/>
      <c r="H18" s="20"/>
      <c r="I18" s="21"/>
      <c r="J18" s="22"/>
      <c r="K18" s="23"/>
    </row>
    <row r="19" spans="1:11" ht="21.75" customHeight="1" x14ac:dyDescent="0.35">
      <c r="A19" s="17" t="s">
        <v>62</v>
      </c>
      <c r="B19" s="18" t="s">
        <v>63</v>
      </c>
      <c r="C19" s="17" t="s">
        <v>64</v>
      </c>
      <c r="D19" s="17" t="s">
        <v>29</v>
      </c>
      <c r="E19" s="19" t="s">
        <v>30</v>
      </c>
      <c r="F19" s="17" t="s">
        <v>31</v>
      </c>
      <c r="G19" s="17"/>
      <c r="H19" s="20"/>
      <c r="I19" s="21"/>
      <c r="J19" s="22"/>
      <c r="K19" s="23"/>
    </row>
    <row r="20" spans="1:11" ht="21.75" customHeight="1" x14ac:dyDescent="0.35">
      <c r="A20" s="24" t="s">
        <v>65</v>
      </c>
      <c r="B20" s="18" t="s">
        <v>66</v>
      </c>
      <c r="C20" s="24" t="s">
        <v>67</v>
      </c>
      <c r="D20" s="24" t="s">
        <v>29</v>
      </c>
      <c r="E20" s="19" t="s">
        <v>30</v>
      </c>
      <c r="F20" s="24" t="s">
        <v>31</v>
      </c>
      <c r="G20" s="24"/>
      <c r="H20" s="20"/>
      <c r="I20" s="21"/>
      <c r="J20" s="22"/>
      <c r="K20" s="23"/>
    </row>
    <row r="21" spans="1:11" ht="21.75" customHeight="1" x14ac:dyDescent="0.35">
      <c r="A21" s="17" t="s">
        <v>68</v>
      </c>
      <c r="B21" s="18" t="s">
        <v>69</v>
      </c>
      <c r="C21" s="17" t="s">
        <v>70</v>
      </c>
      <c r="D21" s="17" t="s">
        <v>29</v>
      </c>
      <c r="E21" s="19" t="s">
        <v>30</v>
      </c>
      <c r="F21" s="17" t="s">
        <v>31</v>
      </c>
      <c r="G21" s="17"/>
      <c r="H21" s="20"/>
      <c r="I21" s="21"/>
      <c r="J21" s="22"/>
      <c r="K21" s="23"/>
    </row>
    <row r="22" spans="1:11" ht="21.75" customHeight="1" x14ac:dyDescent="0.35">
      <c r="A22" s="24" t="s">
        <v>71</v>
      </c>
      <c r="B22" s="18" t="s">
        <v>72</v>
      </c>
      <c r="C22" s="24" t="s">
        <v>73</v>
      </c>
      <c r="D22" s="24" t="s">
        <v>29</v>
      </c>
      <c r="E22" s="19" t="s">
        <v>30</v>
      </c>
      <c r="F22" s="24" t="s">
        <v>31</v>
      </c>
      <c r="G22" s="24"/>
      <c r="H22" s="20"/>
      <c r="I22" s="21"/>
      <c r="J22" s="22"/>
      <c r="K22" s="23"/>
    </row>
    <row r="23" spans="1:11" ht="21.75" customHeight="1" x14ac:dyDescent="0.35">
      <c r="A23" s="17" t="s">
        <v>74</v>
      </c>
      <c r="B23" s="18" t="s">
        <v>75</v>
      </c>
      <c r="C23" s="17" t="s">
        <v>76</v>
      </c>
      <c r="D23" s="17" t="s">
        <v>29</v>
      </c>
      <c r="E23" s="19" t="s">
        <v>30</v>
      </c>
      <c r="F23" s="17" t="s">
        <v>31</v>
      </c>
      <c r="G23" s="17"/>
      <c r="H23" s="20"/>
      <c r="I23" s="21"/>
      <c r="J23" s="22"/>
      <c r="K23" s="23"/>
    </row>
    <row r="24" spans="1:11" ht="21.75" customHeight="1" x14ac:dyDescent="0.35">
      <c r="A24" s="24" t="s">
        <v>77</v>
      </c>
      <c r="B24" s="18" t="s">
        <v>78</v>
      </c>
      <c r="C24" s="24" t="s">
        <v>79</v>
      </c>
      <c r="D24" s="24" t="s">
        <v>29</v>
      </c>
      <c r="E24" s="19" t="s">
        <v>30</v>
      </c>
      <c r="F24" s="24" t="s">
        <v>31</v>
      </c>
      <c r="G24" s="24"/>
      <c r="H24" s="20"/>
      <c r="I24" s="21"/>
      <c r="J24" s="22"/>
      <c r="K24" s="23"/>
    </row>
    <row r="25" spans="1:11" ht="21.75" customHeight="1" x14ac:dyDescent="0.35">
      <c r="A25" s="17" t="s">
        <v>80</v>
      </c>
      <c r="B25" s="18" t="s">
        <v>81</v>
      </c>
      <c r="C25" s="17" t="s">
        <v>82</v>
      </c>
      <c r="D25" s="17" t="s">
        <v>29</v>
      </c>
      <c r="E25" s="19" t="s">
        <v>30</v>
      </c>
      <c r="F25" s="17" t="s">
        <v>83</v>
      </c>
      <c r="G25" s="17"/>
      <c r="H25" s="20"/>
      <c r="I25" s="21"/>
      <c r="J25" s="22"/>
      <c r="K25" s="23"/>
    </row>
    <row r="26" spans="1:11" ht="21.75" customHeight="1" x14ac:dyDescent="0.35">
      <c r="A26" s="24" t="s">
        <v>84</v>
      </c>
      <c r="B26" s="18" t="s">
        <v>85</v>
      </c>
      <c r="C26" s="24" t="s">
        <v>86</v>
      </c>
      <c r="D26" s="24" t="s">
        <v>29</v>
      </c>
      <c r="E26" s="19" t="s">
        <v>30</v>
      </c>
      <c r="F26" s="24" t="s">
        <v>83</v>
      </c>
      <c r="G26" s="24"/>
      <c r="H26" s="20"/>
      <c r="I26" s="21"/>
      <c r="J26" s="22"/>
      <c r="K26" s="23"/>
    </row>
    <row r="27" spans="1:11" ht="21.75" customHeight="1" x14ac:dyDescent="0.35">
      <c r="A27" s="17" t="s">
        <v>87</v>
      </c>
      <c r="B27" s="18" t="s">
        <v>88</v>
      </c>
      <c r="C27" s="17" t="s">
        <v>89</v>
      </c>
      <c r="D27" s="17" t="s">
        <v>29</v>
      </c>
      <c r="E27" s="19" t="s">
        <v>30</v>
      </c>
      <c r="F27" s="17" t="s">
        <v>83</v>
      </c>
      <c r="G27" s="17"/>
      <c r="H27" s="20"/>
      <c r="I27" s="21"/>
      <c r="J27" s="22"/>
      <c r="K27" s="23"/>
    </row>
    <row r="28" spans="1:11" ht="21.75" customHeight="1" x14ac:dyDescent="0.35">
      <c r="A28" s="24" t="s">
        <v>90</v>
      </c>
      <c r="B28" s="18" t="s">
        <v>91</v>
      </c>
      <c r="C28" s="24" t="s">
        <v>92</v>
      </c>
      <c r="D28" s="24" t="s">
        <v>29</v>
      </c>
      <c r="E28" s="19" t="s">
        <v>30</v>
      </c>
      <c r="F28" s="24" t="s">
        <v>83</v>
      </c>
      <c r="G28" s="24"/>
      <c r="H28" s="20"/>
      <c r="I28" s="21"/>
      <c r="J28" s="22"/>
      <c r="K28" s="23"/>
    </row>
    <row r="29" spans="1:11" ht="21.75" customHeight="1" x14ac:dyDescent="0.35">
      <c r="A29" s="17" t="s">
        <v>93</v>
      </c>
      <c r="B29" s="18" t="s">
        <v>94</v>
      </c>
      <c r="C29" s="17" t="s">
        <v>95</v>
      </c>
      <c r="D29" s="17" t="s">
        <v>29</v>
      </c>
      <c r="E29" s="19" t="s">
        <v>30</v>
      </c>
      <c r="F29" s="17" t="s">
        <v>83</v>
      </c>
      <c r="G29" s="17"/>
      <c r="H29" s="20"/>
      <c r="I29" s="21"/>
      <c r="J29" s="22"/>
      <c r="K29" s="23"/>
    </row>
    <row r="30" spans="1:11" ht="21.75" customHeight="1" x14ac:dyDescent="0.35">
      <c r="A30" s="24" t="s">
        <v>96</v>
      </c>
      <c r="B30" s="18" t="s">
        <v>97</v>
      </c>
      <c r="C30" s="24" t="s">
        <v>98</v>
      </c>
      <c r="D30" s="24" t="s">
        <v>29</v>
      </c>
      <c r="E30" s="19" t="s">
        <v>30</v>
      </c>
      <c r="F30" s="24" t="s">
        <v>83</v>
      </c>
      <c r="G30" s="24"/>
      <c r="H30" s="20"/>
      <c r="I30" s="21"/>
      <c r="J30" s="22"/>
      <c r="K30" s="23"/>
    </row>
    <row r="31" spans="1:11" ht="21.75" customHeight="1" x14ac:dyDescent="0.35">
      <c r="A31" s="17" t="s">
        <v>99</v>
      </c>
      <c r="B31" s="18" t="s">
        <v>100</v>
      </c>
      <c r="C31" s="17" t="s">
        <v>101</v>
      </c>
      <c r="D31" s="17" t="s">
        <v>29</v>
      </c>
      <c r="E31" s="19" t="s">
        <v>30</v>
      </c>
      <c r="F31" s="17" t="s">
        <v>83</v>
      </c>
      <c r="G31" s="17"/>
      <c r="H31" s="20"/>
      <c r="I31" s="21"/>
      <c r="J31" s="22"/>
      <c r="K31" s="23"/>
    </row>
    <row r="32" spans="1:11" ht="21.75" customHeight="1" x14ac:dyDescent="0.35">
      <c r="A32" s="24" t="s">
        <v>102</v>
      </c>
      <c r="B32" s="18" t="s">
        <v>103</v>
      </c>
      <c r="C32" s="24" t="s">
        <v>104</v>
      </c>
      <c r="D32" s="24" t="s">
        <v>29</v>
      </c>
      <c r="E32" s="19" t="s">
        <v>30</v>
      </c>
      <c r="F32" s="24" t="s">
        <v>83</v>
      </c>
      <c r="G32" s="24"/>
      <c r="H32" s="20"/>
      <c r="I32" s="21"/>
      <c r="J32" s="22"/>
      <c r="K32" s="23"/>
    </row>
    <row r="33" spans="1:11" ht="21.75" customHeight="1" x14ac:dyDescent="0.35">
      <c r="A33" s="17" t="s">
        <v>105</v>
      </c>
      <c r="B33" s="18" t="s">
        <v>106</v>
      </c>
      <c r="C33" s="17" t="s">
        <v>107</v>
      </c>
      <c r="D33" s="17" t="s">
        <v>29</v>
      </c>
      <c r="E33" s="19" t="s">
        <v>30</v>
      </c>
      <c r="F33" s="17" t="s">
        <v>83</v>
      </c>
      <c r="G33" s="17"/>
      <c r="H33" s="20"/>
      <c r="I33" s="21"/>
      <c r="J33" s="22"/>
      <c r="K33" s="23"/>
    </row>
    <row r="34" spans="1:11" ht="21.75" customHeight="1" x14ac:dyDescent="0.35">
      <c r="A34" s="24" t="s">
        <v>108</v>
      </c>
      <c r="B34" s="18" t="s">
        <v>109</v>
      </c>
      <c r="C34" s="24" t="s">
        <v>110</v>
      </c>
      <c r="D34" s="24" t="s">
        <v>29</v>
      </c>
      <c r="E34" s="19" t="s">
        <v>30</v>
      </c>
      <c r="F34" s="24" t="s">
        <v>83</v>
      </c>
      <c r="G34" s="24"/>
      <c r="H34" s="20"/>
      <c r="I34" s="21"/>
      <c r="J34" s="22"/>
      <c r="K34" s="23"/>
    </row>
    <row r="35" spans="1:11" ht="21.75" customHeight="1" x14ac:dyDescent="0.35">
      <c r="A35" s="17" t="s">
        <v>111</v>
      </c>
      <c r="B35" s="18" t="s">
        <v>112</v>
      </c>
      <c r="C35" s="17" t="s">
        <v>113</v>
      </c>
      <c r="D35" s="17" t="s">
        <v>29</v>
      </c>
      <c r="E35" s="19" t="s">
        <v>30</v>
      </c>
      <c r="F35" s="17" t="s">
        <v>83</v>
      </c>
      <c r="G35" s="17"/>
      <c r="H35" s="20"/>
      <c r="I35" s="21"/>
      <c r="J35" s="22"/>
      <c r="K35" s="23"/>
    </row>
    <row r="36" spans="1:11" ht="21.75" customHeight="1" x14ac:dyDescent="0.35">
      <c r="A36" s="24" t="s">
        <v>114</v>
      </c>
      <c r="B36" s="18" t="s">
        <v>115</v>
      </c>
      <c r="C36" s="24" t="s">
        <v>116</v>
      </c>
      <c r="D36" s="24" t="s">
        <v>29</v>
      </c>
      <c r="E36" s="19" t="s">
        <v>30</v>
      </c>
      <c r="F36" s="24" t="s">
        <v>83</v>
      </c>
      <c r="G36" s="24"/>
      <c r="H36" s="20"/>
      <c r="I36" s="21"/>
      <c r="J36" s="22"/>
      <c r="K36" s="23"/>
    </row>
    <row r="37" spans="1:11" ht="21.75" customHeight="1" x14ac:dyDescent="0.35">
      <c r="A37" s="17" t="s">
        <v>117</v>
      </c>
      <c r="B37" s="18" t="s">
        <v>118</v>
      </c>
      <c r="C37" s="17" t="s">
        <v>119</v>
      </c>
      <c r="D37" s="17" t="s">
        <v>29</v>
      </c>
      <c r="E37" s="19" t="s">
        <v>30</v>
      </c>
      <c r="F37" s="17" t="s">
        <v>83</v>
      </c>
      <c r="G37" s="17"/>
      <c r="H37" s="20"/>
      <c r="I37" s="21"/>
      <c r="J37" s="22"/>
      <c r="K37" s="23"/>
    </row>
    <row r="38" spans="1:11" ht="21.75" customHeight="1" x14ac:dyDescent="0.35">
      <c r="A38" s="24" t="s">
        <v>120</v>
      </c>
      <c r="B38" s="18" t="s">
        <v>121</v>
      </c>
      <c r="C38" s="24" t="s">
        <v>122</v>
      </c>
      <c r="D38" s="24" t="s">
        <v>29</v>
      </c>
      <c r="E38" s="19" t="s">
        <v>30</v>
      </c>
      <c r="F38" s="24" t="s">
        <v>83</v>
      </c>
      <c r="G38" s="24"/>
      <c r="H38" s="20"/>
      <c r="I38" s="21"/>
      <c r="J38" s="22"/>
      <c r="K38" s="23"/>
    </row>
    <row r="39" spans="1:11" ht="21.75" customHeight="1" x14ac:dyDescent="0.35">
      <c r="A39" s="17" t="s">
        <v>123</v>
      </c>
      <c r="B39" s="18" t="s">
        <v>124</v>
      </c>
      <c r="C39" s="17" t="s">
        <v>125</v>
      </c>
      <c r="D39" s="17" t="s">
        <v>29</v>
      </c>
      <c r="E39" s="19" t="s">
        <v>30</v>
      </c>
      <c r="F39" s="17" t="s">
        <v>83</v>
      </c>
      <c r="G39" s="17"/>
      <c r="H39" s="20"/>
      <c r="I39" s="21"/>
      <c r="J39" s="22"/>
      <c r="K39" s="23"/>
    </row>
    <row r="40" spans="1:11" ht="21.75" customHeight="1" x14ac:dyDescent="0.35">
      <c r="A40" s="24" t="s">
        <v>126</v>
      </c>
      <c r="B40" s="18" t="s">
        <v>127</v>
      </c>
      <c r="C40" s="24" t="s">
        <v>128</v>
      </c>
      <c r="D40" s="24" t="s">
        <v>29</v>
      </c>
      <c r="E40" s="19" t="s">
        <v>30</v>
      </c>
      <c r="F40" s="24" t="s">
        <v>83</v>
      </c>
      <c r="G40" s="24"/>
      <c r="H40" s="20"/>
      <c r="I40" s="21"/>
      <c r="J40" s="22"/>
      <c r="K40" s="23"/>
    </row>
    <row r="41" spans="1:11" ht="21.75" customHeight="1" x14ac:dyDescent="0.35">
      <c r="A41" s="17" t="s">
        <v>129</v>
      </c>
      <c r="B41" s="18" t="s">
        <v>130</v>
      </c>
      <c r="C41" s="17" t="s">
        <v>131</v>
      </c>
      <c r="D41" s="17" t="s">
        <v>29</v>
      </c>
      <c r="E41" s="19" t="s">
        <v>30</v>
      </c>
      <c r="F41" s="17" t="s">
        <v>83</v>
      </c>
      <c r="G41" s="17"/>
      <c r="H41" s="20"/>
      <c r="I41" s="21"/>
      <c r="J41" s="22"/>
      <c r="K41" s="23"/>
    </row>
    <row r="42" spans="1:11" ht="21.75" customHeight="1" x14ac:dyDescent="0.35">
      <c r="A42" s="24" t="s">
        <v>132</v>
      </c>
      <c r="B42" s="18" t="s">
        <v>133</v>
      </c>
      <c r="C42" s="24" t="s">
        <v>134</v>
      </c>
      <c r="D42" s="24" t="s">
        <v>29</v>
      </c>
      <c r="E42" s="19" t="s">
        <v>30</v>
      </c>
      <c r="F42" s="24" t="s">
        <v>135</v>
      </c>
      <c r="G42" s="24"/>
      <c r="H42" s="20"/>
      <c r="I42" s="21"/>
      <c r="J42" s="22"/>
      <c r="K42" s="23"/>
    </row>
    <row r="43" spans="1:11" ht="21.75" customHeight="1" x14ac:dyDescent="0.35">
      <c r="A43" s="17" t="s">
        <v>136</v>
      </c>
      <c r="B43" s="18" t="s">
        <v>137</v>
      </c>
      <c r="C43" s="17" t="s">
        <v>138</v>
      </c>
      <c r="D43" s="17" t="s">
        <v>29</v>
      </c>
      <c r="E43" s="19" t="s">
        <v>30</v>
      </c>
      <c r="F43" s="17" t="s">
        <v>135</v>
      </c>
      <c r="G43" s="17"/>
      <c r="H43" s="20"/>
      <c r="I43" s="21"/>
      <c r="J43" s="22"/>
      <c r="K43" s="23"/>
    </row>
    <row r="44" spans="1:11" ht="21.75" customHeight="1" x14ac:dyDescent="0.35">
      <c r="A44" s="24" t="s">
        <v>139</v>
      </c>
      <c r="B44" s="18" t="s">
        <v>140</v>
      </c>
      <c r="C44" s="24" t="s">
        <v>141</v>
      </c>
      <c r="D44" s="24" t="s">
        <v>29</v>
      </c>
      <c r="E44" s="19" t="s">
        <v>30</v>
      </c>
      <c r="F44" s="24" t="s">
        <v>135</v>
      </c>
      <c r="G44" s="24"/>
      <c r="H44" s="20"/>
      <c r="I44" s="21"/>
      <c r="J44" s="22"/>
      <c r="K44" s="23"/>
    </row>
    <row r="45" spans="1:11" ht="21.75" customHeight="1" x14ac:dyDescent="0.35">
      <c r="A45" s="17" t="s">
        <v>142</v>
      </c>
      <c r="B45" s="18" t="s">
        <v>143</v>
      </c>
      <c r="C45" s="17" t="s">
        <v>144</v>
      </c>
      <c r="D45" s="17" t="s">
        <v>29</v>
      </c>
      <c r="E45" s="19" t="s">
        <v>30</v>
      </c>
      <c r="F45" s="17" t="s">
        <v>135</v>
      </c>
      <c r="G45" s="17"/>
      <c r="H45" s="20"/>
      <c r="I45" s="21"/>
      <c r="J45" s="22"/>
      <c r="K45" s="23"/>
    </row>
    <row r="46" spans="1:11" ht="21.75" customHeight="1" x14ac:dyDescent="0.35">
      <c r="A46" s="24" t="s">
        <v>145</v>
      </c>
      <c r="B46" s="18" t="s">
        <v>146</v>
      </c>
      <c r="C46" s="24" t="s">
        <v>147</v>
      </c>
      <c r="D46" s="24" t="s">
        <v>29</v>
      </c>
      <c r="E46" s="19" t="s">
        <v>30</v>
      </c>
      <c r="F46" s="24" t="s">
        <v>135</v>
      </c>
      <c r="G46" s="24"/>
      <c r="H46" s="20"/>
      <c r="I46" s="21"/>
      <c r="J46" s="22"/>
      <c r="K46" s="23"/>
    </row>
    <row r="47" spans="1:11" ht="21.75" customHeight="1" x14ac:dyDescent="0.35">
      <c r="A47" s="17" t="s">
        <v>148</v>
      </c>
      <c r="B47" s="18" t="s">
        <v>149</v>
      </c>
      <c r="C47" s="17" t="s">
        <v>150</v>
      </c>
      <c r="D47" s="17" t="s">
        <v>29</v>
      </c>
      <c r="E47" s="19" t="s">
        <v>30</v>
      </c>
      <c r="F47" s="17" t="s">
        <v>135</v>
      </c>
      <c r="G47" s="17"/>
      <c r="H47" s="20"/>
      <c r="I47" s="21"/>
      <c r="J47" s="22"/>
      <c r="K47" s="23"/>
    </row>
    <row r="48" spans="1:11" ht="21.75" customHeight="1" x14ac:dyDescent="0.35">
      <c r="A48" s="24" t="s">
        <v>151</v>
      </c>
      <c r="B48" s="18" t="s">
        <v>152</v>
      </c>
      <c r="C48" s="24" t="s">
        <v>153</v>
      </c>
      <c r="D48" s="24" t="s">
        <v>29</v>
      </c>
      <c r="E48" s="19" t="s">
        <v>30</v>
      </c>
      <c r="F48" s="24" t="s">
        <v>135</v>
      </c>
      <c r="G48" s="24"/>
      <c r="H48" s="20"/>
      <c r="I48" s="21"/>
      <c r="J48" s="22"/>
      <c r="K48" s="23"/>
    </row>
    <row r="49" spans="1:11" ht="21.75" customHeight="1" x14ac:dyDescent="0.35">
      <c r="A49" s="17" t="s">
        <v>154</v>
      </c>
      <c r="B49" s="18" t="s">
        <v>155</v>
      </c>
      <c r="C49" s="17" t="s">
        <v>156</v>
      </c>
      <c r="D49" s="17" t="s">
        <v>29</v>
      </c>
      <c r="E49" s="19" t="s">
        <v>30</v>
      </c>
      <c r="F49" s="17" t="s">
        <v>135</v>
      </c>
      <c r="G49" s="17"/>
      <c r="H49" s="20"/>
      <c r="I49" s="21"/>
      <c r="J49" s="22"/>
      <c r="K49" s="23"/>
    </row>
    <row r="50" spans="1:11" ht="21.75" customHeight="1" x14ac:dyDescent="0.35">
      <c r="A50" s="24" t="s">
        <v>157</v>
      </c>
      <c r="B50" s="18" t="s">
        <v>158</v>
      </c>
      <c r="C50" s="24" t="s">
        <v>159</v>
      </c>
      <c r="D50" s="24" t="s">
        <v>29</v>
      </c>
      <c r="E50" s="19" t="s">
        <v>30</v>
      </c>
      <c r="F50" s="24" t="s">
        <v>135</v>
      </c>
      <c r="G50" s="24"/>
      <c r="H50" s="20"/>
      <c r="I50" s="21"/>
      <c r="J50" s="22"/>
      <c r="K50" s="23"/>
    </row>
    <row r="51" spans="1:11" ht="21.75" customHeight="1" x14ac:dyDescent="0.35">
      <c r="A51" s="17" t="s">
        <v>160</v>
      </c>
      <c r="B51" s="18" t="s">
        <v>161</v>
      </c>
      <c r="C51" s="17" t="s">
        <v>162</v>
      </c>
      <c r="D51" s="17" t="s">
        <v>29</v>
      </c>
      <c r="E51" s="19" t="s">
        <v>30</v>
      </c>
      <c r="F51" s="17" t="s">
        <v>135</v>
      </c>
      <c r="G51" s="17"/>
      <c r="H51" s="20"/>
      <c r="I51" s="21"/>
      <c r="J51" s="22"/>
      <c r="K51" s="23"/>
    </row>
    <row r="52" spans="1:11" ht="21.75" customHeight="1" x14ac:dyDescent="0.35">
      <c r="A52" s="24" t="s">
        <v>163</v>
      </c>
      <c r="B52" s="18" t="s">
        <v>164</v>
      </c>
      <c r="C52" s="24" t="s">
        <v>165</v>
      </c>
      <c r="D52" s="24" t="s">
        <v>29</v>
      </c>
      <c r="E52" s="19" t="s">
        <v>30</v>
      </c>
      <c r="F52" s="24" t="s">
        <v>135</v>
      </c>
      <c r="G52" s="24"/>
      <c r="H52" s="20"/>
      <c r="I52" s="21"/>
      <c r="J52" s="22"/>
      <c r="K52" s="23"/>
    </row>
    <row r="53" spans="1:11" ht="21.75" customHeight="1" x14ac:dyDescent="0.35">
      <c r="A53" s="17" t="s">
        <v>166</v>
      </c>
      <c r="B53" s="18" t="s">
        <v>167</v>
      </c>
      <c r="C53" s="17" t="s">
        <v>168</v>
      </c>
      <c r="D53" s="17" t="s">
        <v>29</v>
      </c>
      <c r="E53" s="19" t="s">
        <v>30</v>
      </c>
      <c r="F53" s="17" t="s">
        <v>135</v>
      </c>
      <c r="G53" s="17"/>
      <c r="H53" s="20"/>
      <c r="I53" s="21"/>
      <c r="J53" s="22"/>
      <c r="K53" s="23"/>
    </row>
    <row r="54" spans="1:11" ht="21.75" customHeight="1" x14ac:dyDescent="0.35">
      <c r="A54" s="24" t="s">
        <v>169</v>
      </c>
      <c r="B54" s="18" t="s">
        <v>170</v>
      </c>
      <c r="C54" s="24" t="s">
        <v>171</v>
      </c>
      <c r="D54" s="24" t="s">
        <v>29</v>
      </c>
      <c r="E54" s="19" t="s">
        <v>30</v>
      </c>
      <c r="F54" s="24" t="s">
        <v>135</v>
      </c>
      <c r="G54" s="24"/>
      <c r="H54" s="20"/>
      <c r="I54" s="21"/>
      <c r="J54" s="22"/>
      <c r="K54" s="23"/>
    </row>
    <row r="55" spans="1:11" ht="21.75" customHeight="1" x14ac:dyDescent="0.35">
      <c r="A55" s="17" t="s">
        <v>172</v>
      </c>
      <c r="B55" s="18" t="s">
        <v>173</v>
      </c>
      <c r="C55" s="17"/>
      <c r="D55" s="17" t="s">
        <v>29</v>
      </c>
      <c r="E55" s="19" t="s">
        <v>30</v>
      </c>
      <c r="F55" s="17" t="s">
        <v>135</v>
      </c>
      <c r="G55" s="17"/>
      <c r="H55" s="20"/>
      <c r="I55" s="21"/>
      <c r="J55" s="22"/>
      <c r="K55" s="23"/>
    </row>
    <row r="56" spans="1:11" ht="21.75" customHeight="1" x14ac:dyDescent="0.35">
      <c r="A56" s="24" t="s">
        <v>174</v>
      </c>
      <c r="B56" s="18" t="s">
        <v>175</v>
      </c>
      <c r="C56" s="24"/>
      <c r="D56" s="24" t="s">
        <v>29</v>
      </c>
      <c r="E56" s="19" t="s">
        <v>30</v>
      </c>
      <c r="F56" s="24" t="s">
        <v>135</v>
      </c>
      <c r="G56" s="24"/>
      <c r="H56" s="20"/>
      <c r="I56" s="21"/>
      <c r="J56" s="22"/>
      <c r="K56" s="23"/>
    </row>
    <row r="57" spans="1:11" ht="21.75" customHeight="1" x14ac:dyDescent="0.35">
      <c r="A57" s="17" t="s">
        <v>176</v>
      </c>
      <c r="B57" s="18" t="s">
        <v>177</v>
      </c>
      <c r="C57" s="17"/>
      <c r="D57" s="17" t="s">
        <v>29</v>
      </c>
      <c r="E57" s="19" t="s">
        <v>30</v>
      </c>
      <c r="F57" s="17" t="s">
        <v>135</v>
      </c>
      <c r="G57" s="17"/>
      <c r="H57" s="20"/>
      <c r="I57" s="21"/>
      <c r="J57" s="22"/>
      <c r="K57" s="23"/>
    </row>
    <row r="58" spans="1:11" ht="21.75" customHeight="1" x14ac:dyDescent="0.35">
      <c r="A58" s="24" t="s">
        <v>178</v>
      </c>
      <c r="B58" s="18" t="s">
        <v>179</v>
      </c>
      <c r="C58" s="24"/>
      <c r="D58" s="24" t="s">
        <v>29</v>
      </c>
      <c r="E58" s="19" t="s">
        <v>30</v>
      </c>
      <c r="F58" s="24" t="s">
        <v>180</v>
      </c>
      <c r="G58" s="24"/>
      <c r="H58" s="20"/>
      <c r="I58" s="21"/>
      <c r="J58" s="22"/>
      <c r="K58" s="23"/>
    </row>
    <row r="59" spans="1:11" ht="21.75" customHeight="1" x14ac:dyDescent="0.35">
      <c r="A59" s="17" t="s">
        <v>181</v>
      </c>
      <c r="B59" s="18" t="s">
        <v>182</v>
      </c>
      <c r="C59" s="17"/>
      <c r="D59" s="17" t="s">
        <v>29</v>
      </c>
      <c r="E59" s="19" t="s">
        <v>30</v>
      </c>
      <c r="F59" s="17" t="s">
        <v>180</v>
      </c>
      <c r="G59" s="17"/>
      <c r="H59" s="20"/>
      <c r="I59" s="21"/>
      <c r="J59" s="22"/>
      <c r="K59" s="23"/>
    </row>
    <row r="60" spans="1:11" ht="21.75" customHeight="1" x14ac:dyDescent="0.35">
      <c r="A60" s="24" t="s">
        <v>183</v>
      </c>
      <c r="B60" s="18" t="s">
        <v>184</v>
      </c>
      <c r="C60" s="24"/>
      <c r="D60" s="24" t="s">
        <v>29</v>
      </c>
      <c r="E60" s="19" t="s">
        <v>30</v>
      </c>
      <c r="F60" s="24" t="s">
        <v>180</v>
      </c>
      <c r="G60" s="24"/>
      <c r="H60" s="20"/>
      <c r="I60" s="21"/>
      <c r="J60" s="22"/>
      <c r="K60" s="23"/>
    </row>
  </sheetData>
  <mergeCells count="4">
    <mergeCell ref="A2:K2"/>
    <mergeCell ref="A3:K3"/>
    <mergeCell ref="A5:G5"/>
    <mergeCell ref="H5:K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61"/>
  <sheetViews>
    <sheetView rightToLeft="1" zoomScale="80" zoomScaleNormal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6" sqref="F6"/>
    </sheetView>
  </sheetViews>
  <sheetFormatPr defaultColWidth="8.6328125" defaultRowHeight="14.5" x14ac:dyDescent="0.35"/>
  <cols>
    <col min="1" max="1" width="4" customWidth="1"/>
    <col min="2" max="2" width="20" customWidth="1"/>
    <col min="3" max="54" width="8" customWidth="1"/>
  </cols>
  <sheetData>
    <row r="1" spans="1:53" ht="4.5" customHeight="1" x14ac:dyDescent="0.35"/>
    <row r="2" spans="1:53" ht="49.5" customHeight="1" x14ac:dyDescent="0.35">
      <c r="A2" s="11" t="s">
        <v>185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</row>
    <row r="3" spans="1:53" ht="19.5" customHeight="1" x14ac:dyDescent="0.35">
      <c r="A3" s="7" t="s">
        <v>186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</row>
    <row r="4" spans="1:53" ht="4.5" customHeight="1" x14ac:dyDescent="0.35"/>
    <row r="5" spans="1:53" ht="24" customHeight="1" x14ac:dyDescent="0.35">
      <c r="A5" s="25" t="s">
        <v>8</v>
      </c>
      <c r="B5" s="25" t="s">
        <v>9</v>
      </c>
      <c r="C5" s="6" t="s">
        <v>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5" t="s">
        <v>1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4" t="s">
        <v>2</v>
      </c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3" t="s">
        <v>3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2" t="s">
        <v>187</v>
      </c>
      <c r="AZ5" s="2"/>
    </row>
    <row r="6" spans="1:53" ht="25.5" customHeight="1" x14ac:dyDescent="0.35">
      <c r="A6" s="26" t="s">
        <v>8</v>
      </c>
      <c r="B6" s="26" t="s">
        <v>9</v>
      </c>
      <c r="C6" s="27" t="s">
        <v>188</v>
      </c>
      <c r="D6" s="28" t="s">
        <v>189</v>
      </c>
      <c r="E6" s="27" t="s">
        <v>190</v>
      </c>
      <c r="F6" s="28" t="s">
        <v>191</v>
      </c>
      <c r="G6" s="27" t="s">
        <v>192</v>
      </c>
      <c r="H6" s="28" t="s">
        <v>193</v>
      </c>
      <c r="I6" s="27" t="s">
        <v>194</v>
      </c>
      <c r="J6" s="28" t="s">
        <v>195</v>
      </c>
      <c r="K6" s="27" t="s">
        <v>196</v>
      </c>
      <c r="L6" s="28" t="s">
        <v>197</v>
      </c>
      <c r="M6" s="27" t="s">
        <v>198</v>
      </c>
      <c r="N6" s="28" t="s">
        <v>199</v>
      </c>
      <c r="O6" s="29" t="s">
        <v>188</v>
      </c>
      <c r="P6" s="30" t="s">
        <v>189</v>
      </c>
      <c r="Q6" s="29" t="s">
        <v>190</v>
      </c>
      <c r="R6" s="30" t="s">
        <v>191</v>
      </c>
      <c r="S6" s="29" t="s">
        <v>192</v>
      </c>
      <c r="T6" s="30" t="s">
        <v>193</v>
      </c>
      <c r="U6" s="29" t="s">
        <v>194</v>
      </c>
      <c r="V6" s="30" t="s">
        <v>195</v>
      </c>
      <c r="W6" s="29" t="s">
        <v>196</v>
      </c>
      <c r="X6" s="30" t="s">
        <v>197</v>
      </c>
      <c r="Y6" s="29" t="s">
        <v>198</v>
      </c>
      <c r="Z6" s="30" t="s">
        <v>199</v>
      </c>
      <c r="AA6" s="31" t="s">
        <v>188</v>
      </c>
      <c r="AB6" s="32" t="s">
        <v>189</v>
      </c>
      <c r="AC6" s="31" t="s">
        <v>190</v>
      </c>
      <c r="AD6" s="32" t="s">
        <v>191</v>
      </c>
      <c r="AE6" s="31" t="s">
        <v>192</v>
      </c>
      <c r="AF6" s="32" t="s">
        <v>193</v>
      </c>
      <c r="AG6" s="31" t="s">
        <v>194</v>
      </c>
      <c r="AH6" s="32" t="s">
        <v>195</v>
      </c>
      <c r="AI6" s="31" t="s">
        <v>196</v>
      </c>
      <c r="AJ6" s="32" t="s">
        <v>197</v>
      </c>
      <c r="AK6" s="31" t="s">
        <v>198</v>
      </c>
      <c r="AL6" s="32" t="s">
        <v>199</v>
      </c>
      <c r="AM6" s="33" t="s">
        <v>188</v>
      </c>
      <c r="AN6" s="34" t="s">
        <v>189</v>
      </c>
      <c r="AO6" s="33" t="s">
        <v>190</v>
      </c>
      <c r="AP6" s="34" t="s">
        <v>191</v>
      </c>
      <c r="AQ6" s="33" t="s">
        <v>192</v>
      </c>
      <c r="AR6" s="34" t="s">
        <v>193</v>
      </c>
      <c r="AS6" s="33" t="s">
        <v>194</v>
      </c>
      <c r="AT6" s="34" t="s">
        <v>195</v>
      </c>
      <c r="AU6" s="33" t="s">
        <v>196</v>
      </c>
      <c r="AV6" s="34" t="s">
        <v>197</v>
      </c>
      <c r="AW6" s="33" t="s">
        <v>198</v>
      </c>
      <c r="AX6" s="34" t="s">
        <v>199</v>
      </c>
      <c r="AY6" s="35" t="s">
        <v>200</v>
      </c>
      <c r="AZ6" s="35" t="s">
        <v>201</v>
      </c>
    </row>
    <row r="7" spans="1:53" ht="21.75" customHeight="1" x14ac:dyDescent="0.35">
      <c r="A7" s="17" t="s">
        <v>19</v>
      </c>
      <c r="B7" s="36" t="str">
        <f>'📋 بيانات المحطات'!B7</f>
        <v>جبل النور</v>
      </c>
      <c r="C7" s="37"/>
      <c r="D7" s="38"/>
      <c r="E7" s="37"/>
      <c r="F7" s="38">
        <v>244228.38</v>
      </c>
      <c r="G7" s="37"/>
      <c r="H7" s="38"/>
      <c r="I7" s="37"/>
      <c r="J7" s="38"/>
      <c r="K7" s="37"/>
      <c r="L7" s="38"/>
      <c r="M7" s="37"/>
      <c r="N7" s="38"/>
      <c r="O7" s="39"/>
      <c r="P7" s="38"/>
      <c r="Q7" s="39"/>
      <c r="R7" s="38">
        <v>189303.54</v>
      </c>
      <c r="S7" s="39"/>
      <c r="T7" s="38"/>
      <c r="U7" s="39"/>
      <c r="V7" s="38"/>
      <c r="W7" s="39"/>
      <c r="X7" s="38"/>
      <c r="Y7" s="39"/>
      <c r="Z7" s="38"/>
      <c r="AA7" s="40"/>
      <c r="AB7" s="38"/>
      <c r="AC7" s="40"/>
      <c r="AD7" s="38"/>
      <c r="AE7" s="40"/>
      <c r="AF7" s="38"/>
      <c r="AG7" s="40"/>
      <c r="AH7" s="38"/>
      <c r="AI7" s="40"/>
      <c r="AJ7" s="38"/>
      <c r="AK7" s="40"/>
      <c r="AL7" s="38"/>
      <c r="AM7" s="41"/>
      <c r="AN7" s="38"/>
      <c r="AO7" s="41"/>
      <c r="AP7" s="38"/>
      <c r="AQ7" s="41"/>
      <c r="AR7" s="38"/>
      <c r="AS7" s="41"/>
      <c r="AT7" s="38"/>
      <c r="AU7" s="41"/>
      <c r="AV7" s="38"/>
      <c r="AW7" s="41"/>
      <c r="AX7" s="38"/>
      <c r="AY7" s="42">
        <f t="shared" ref="AY7:AY38" si="0">SUM(C7:N7)+SUM(O7:Z7)+SUM(AA7:AL7)+SUM(AM7:AX7)</f>
        <v>433531.92000000004</v>
      </c>
      <c r="AZ7" s="43">
        <f t="shared" ref="AZ7:AZ38" si="1">IFERROR(AY7/COUNTIF(C7:AN7,"&gt;0"),"")</f>
        <v>216765.96000000002</v>
      </c>
    </row>
    <row r="8" spans="1:53" ht="21.75" customHeight="1" x14ac:dyDescent="0.35">
      <c r="A8" s="24" t="s">
        <v>32</v>
      </c>
      <c r="B8" s="36" t="str">
        <f>'📋 بيانات المحطات'!B8</f>
        <v>المعيصم</v>
      </c>
      <c r="C8" s="37"/>
      <c r="D8" s="38"/>
      <c r="E8" s="37"/>
      <c r="F8" s="38">
        <v>1627699.19</v>
      </c>
      <c r="G8" s="37"/>
      <c r="H8" s="38"/>
      <c r="I8" s="37"/>
      <c r="J8" s="38"/>
      <c r="K8" s="37"/>
      <c r="L8" s="38"/>
      <c r="M8" s="37"/>
      <c r="N8" s="38"/>
      <c r="O8" s="39"/>
      <c r="P8" s="38"/>
      <c r="Q8" s="39"/>
      <c r="R8" s="38">
        <v>1524173.82</v>
      </c>
      <c r="S8" s="39"/>
      <c r="T8" s="38"/>
      <c r="U8" s="39"/>
      <c r="V8" s="38"/>
      <c r="W8" s="39"/>
      <c r="X8" s="38"/>
      <c r="Y8" s="39"/>
      <c r="Z8" s="38"/>
      <c r="AA8" s="40"/>
      <c r="AB8" s="38"/>
      <c r="AC8" s="40"/>
      <c r="AD8" s="38"/>
      <c r="AE8" s="40"/>
      <c r="AF8" s="38"/>
      <c r="AG8" s="40"/>
      <c r="AH8" s="38"/>
      <c r="AI8" s="40"/>
      <c r="AJ8" s="38"/>
      <c r="AK8" s="40"/>
      <c r="AL8" s="38"/>
      <c r="AM8" s="41"/>
      <c r="AN8" s="38"/>
      <c r="AO8" s="41"/>
      <c r="AP8" s="38"/>
      <c r="AQ8" s="41"/>
      <c r="AR8" s="38"/>
      <c r="AS8" s="41"/>
      <c r="AT8" s="38"/>
      <c r="AU8" s="41"/>
      <c r="AV8" s="38"/>
      <c r="AW8" s="41"/>
      <c r="AX8" s="38"/>
      <c r="AY8" s="42">
        <f t="shared" si="0"/>
        <v>3151873.01</v>
      </c>
      <c r="AZ8" s="43">
        <f t="shared" si="1"/>
        <v>1575936.5049999999</v>
      </c>
    </row>
    <row r="9" spans="1:53" ht="21.75" customHeight="1" x14ac:dyDescent="0.35">
      <c r="A9" s="17" t="s">
        <v>35</v>
      </c>
      <c r="B9" s="36" t="str">
        <f>'📋 بيانات المحطات'!B9</f>
        <v>العوالي</v>
      </c>
      <c r="C9" s="37"/>
      <c r="D9" s="38"/>
      <c r="E9" s="37"/>
      <c r="F9" s="38">
        <v>877778.12</v>
      </c>
      <c r="G9" s="37"/>
      <c r="H9" s="38"/>
      <c r="I9" s="37"/>
      <c r="J9" s="38"/>
      <c r="K9" s="37"/>
      <c r="L9" s="38"/>
      <c r="M9" s="37"/>
      <c r="N9" s="38"/>
      <c r="O9" s="39"/>
      <c r="P9" s="38"/>
      <c r="Q9" s="39"/>
      <c r="R9" s="38">
        <v>753002.13</v>
      </c>
      <c r="S9" s="39"/>
      <c r="T9" s="38"/>
      <c r="U9" s="39"/>
      <c r="V9" s="38"/>
      <c r="W9" s="39"/>
      <c r="X9" s="38"/>
      <c r="Y9" s="39"/>
      <c r="Z9" s="38"/>
      <c r="AA9" s="40"/>
      <c r="AB9" s="38"/>
      <c r="AC9" s="40"/>
      <c r="AD9" s="38"/>
      <c r="AE9" s="40"/>
      <c r="AF9" s="38"/>
      <c r="AG9" s="40"/>
      <c r="AH9" s="38"/>
      <c r="AI9" s="40"/>
      <c r="AJ9" s="38"/>
      <c r="AK9" s="40"/>
      <c r="AL9" s="38"/>
      <c r="AM9" s="41"/>
      <c r="AN9" s="38"/>
      <c r="AO9" s="41"/>
      <c r="AP9" s="38">
        <v>1046930.24</v>
      </c>
      <c r="AQ9" s="41"/>
      <c r="AR9" s="38"/>
      <c r="AS9" s="41"/>
      <c r="AT9" s="38"/>
      <c r="AU9" s="41"/>
      <c r="AV9" s="38"/>
      <c r="AW9" s="41"/>
      <c r="AX9" s="38"/>
      <c r="AY9" s="42">
        <f t="shared" si="0"/>
        <v>2677710.4900000002</v>
      </c>
      <c r="AZ9" s="43">
        <f t="shared" si="1"/>
        <v>1338855.2450000001</v>
      </c>
    </row>
    <row r="10" spans="1:53" ht="21.75" customHeight="1" x14ac:dyDescent="0.35">
      <c r="A10" s="24" t="s">
        <v>38</v>
      </c>
      <c r="B10" s="36" t="str">
        <f>'📋 بيانات المحطات'!B10</f>
        <v>عاصفة الصحراء</v>
      </c>
      <c r="C10" s="37"/>
      <c r="D10" s="38"/>
      <c r="E10" s="37"/>
      <c r="F10" s="38">
        <v>779495.71</v>
      </c>
      <c r="G10" s="37"/>
      <c r="H10" s="38"/>
      <c r="I10" s="37"/>
      <c r="J10" s="38"/>
      <c r="K10" s="37"/>
      <c r="L10" s="38"/>
      <c r="M10" s="37"/>
      <c r="N10" s="38"/>
      <c r="O10" s="39"/>
      <c r="P10" s="38"/>
      <c r="Q10" s="39"/>
      <c r="R10" s="38">
        <v>633569.37</v>
      </c>
      <c r="S10" s="39"/>
      <c r="T10" s="38"/>
      <c r="U10" s="39"/>
      <c r="V10" s="38"/>
      <c r="W10" s="39"/>
      <c r="X10" s="38"/>
      <c r="Y10" s="39"/>
      <c r="Z10" s="38"/>
      <c r="AA10" s="40"/>
      <c r="AB10" s="38"/>
      <c r="AC10" s="40"/>
      <c r="AD10" s="38"/>
      <c r="AE10" s="40"/>
      <c r="AF10" s="38"/>
      <c r="AG10" s="40"/>
      <c r="AH10" s="38"/>
      <c r="AI10" s="40"/>
      <c r="AJ10" s="38"/>
      <c r="AK10" s="40"/>
      <c r="AL10" s="38"/>
      <c r="AM10" s="41"/>
      <c r="AN10" s="38"/>
      <c r="AO10" s="41"/>
      <c r="AP10" s="38"/>
      <c r="AQ10" s="41"/>
      <c r="AR10" s="38"/>
      <c r="AS10" s="41"/>
      <c r="AT10" s="38"/>
      <c r="AU10" s="41"/>
      <c r="AV10" s="38"/>
      <c r="AW10" s="41"/>
      <c r="AX10" s="38"/>
      <c r="AY10" s="42">
        <f t="shared" si="0"/>
        <v>1413065.08</v>
      </c>
      <c r="AZ10" s="43">
        <f t="shared" si="1"/>
        <v>706532.54</v>
      </c>
    </row>
    <row r="11" spans="1:53" ht="21.75" customHeight="1" x14ac:dyDescent="0.35">
      <c r="A11" s="17" t="s">
        <v>41</v>
      </c>
      <c r="B11" s="36" t="str">
        <f>'📋 بيانات المحطات'!B11</f>
        <v>الشيباني</v>
      </c>
      <c r="C11" s="37"/>
      <c r="D11" s="38"/>
      <c r="E11" s="37"/>
      <c r="F11" s="38">
        <v>593868.81000000006</v>
      </c>
      <c r="G11" s="37"/>
      <c r="H11" s="38"/>
      <c r="I11" s="37"/>
      <c r="J11" s="38"/>
      <c r="K11" s="37"/>
      <c r="L11" s="38"/>
      <c r="M11" s="37"/>
      <c r="N11" s="38"/>
      <c r="O11" s="39"/>
      <c r="P11" s="38"/>
      <c r="Q11" s="39"/>
      <c r="R11" s="38">
        <v>456844.18</v>
      </c>
      <c r="S11" s="39"/>
      <c r="T11" s="38"/>
      <c r="U11" s="39"/>
      <c r="V11" s="38"/>
      <c r="W11" s="39"/>
      <c r="X11" s="38"/>
      <c r="Y11" s="39"/>
      <c r="Z11" s="38"/>
      <c r="AA11" s="40"/>
      <c r="AB11" s="38"/>
      <c r="AC11" s="40"/>
      <c r="AD11" s="38"/>
      <c r="AE11" s="40"/>
      <c r="AF11" s="38"/>
      <c r="AG11" s="40"/>
      <c r="AH11" s="38"/>
      <c r="AI11" s="40"/>
      <c r="AJ11" s="38"/>
      <c r="AK11" s="40"/>
      <c r="AL11" s="38"/>
      <c r="AM11" s="41"/>
      <c r="AN11" s="38"/>
      <c r="AO11" s="41"/>
      <c r="AP11" s="38"/>
      <c r="AQ11" s="41"/>
      <c r="AR11" s="38"/>
      <c r="AS11" s="41"/>
      <c r="AT11" s="38"/>
      <c r="AU11" s="41"/>
      <c r="AV11" s="38"/>
      <c r="AW11" s="41"/>
      <c r="AX11" s="38"/>
      <c r="AY11" s="42">
        <f t="shared" si="0"/>
        <v>1050712.99</v>
      </c>
      <c r="AZ11" s="43">
        <f t="shared" si="1"/>
        <v>525356.495</v>
      </c>
    </row>
    <row r="12" spans="1:53" ht="21.75" customHeight="1" x14ac:dyDescent="0.35">
      <c r="A12" s="24" t="s">
        <v>44</v>
      </c>
      <c r="B12" s="36" t="str">
        <f>'📋 بيانات المحطات'!B12</f>
        <v>جنوب الطائف</v>
      </c>
      <c r="C12" s="37"/>
      <c r="D12" s="38"/>
      <c r="E12" s="37"/>
      <c r="F12" s="38">
        <v>638840.81000000006</v>
      </c>
      <c r="G12" s="37"/>
      <c r="H12" s="38"/>
      <c r="I12" s="37"/>
      <c r="J12" s="38"/>
      <c r="K12" s="37"/>
      <c r="L12" s="38"/>
      <c r="M12" s="37"/>
      <c r="N12" s="38"/>
      <c r="O12" s="39"/>
      <c r="P12" s="38"/>
      <c r="Q12" s="39"/>
      <c r="R12" s="38">
        <v>402418.29</v>
      </c>
      <c r="S12" s="39"/>
      <c r="T12" s="38"/>
      <c r="U12" s="39"/>
      <c r="V12" s="38"/>
      <c r="W12" s="39"/>
      <c r="X12" s="38"/>
      <c r="Y12" s="39"/>
      <c r="Z12" s="38"/>
      <c r="AA12" s="40"/>
      <c r="AB12" s="38"/>
      <c r="AC12" s="40"/>
      <c r="AD12" s="38"/>
      <c r="AE12" s="40"/>
      <c r="AF12" s="38"/>
      <c r="AG12" s="40"/>
      <c r="AH12" s="38"/>
      <c r="AI12" s="40"/>
      <c r="AJ12" s="38"/>
      <c r="AK12" s="40"/>
      <c r="AL12" s="38"/>
      <c r="AM12" s="41"/>
      <c r="AN12" s="38"/>
      <c r="AO12" s="41"/>
      <c r="AP12" s="38">
        <v>865387</v>
      </c>
      <c r="AQ12" s="41"/>
      <c r="AR12" s="38"/>
      <c r="AS12" s="41"/>
      <c r="AT12" s="38"/>
      <c r="AU12" s="41"/>
      <c r="AV12" s="38"/>
      <c r="AW12" s="41"/>
      <c r="AX12" s="38"/>
      <c r="AY12" s="42">
        <f t="shared" si="0"/>
        <v>1906646.1</v>
      </c>
      <c r="AZ12" s="43">
        <f t="shared" si="1"/>
        <v>953323.05</v>
      </c>
    </row>
    <row r="13" spans="1:53" ht="21.75" customHeight="1" x14ac:dyDescent="0.35">
      <c r="A13" s="17" t="s">
        <v>47</v>
      </c>
      <c r="B13" s="36" t="str">
        <f>'📋 بيانات المحطات'!B13</f>
        <v>جنوب الحسينية</v>
      </c>
      <c r="C13" s="37"/>
      <c r="D13" s="38"/>
      <c r="E13" s="37"/>
      <c r="F13" s="38">
        <v>944289.38</v>
      </c>
      <c r="G13" s="37"/>
      <c r="H13" s="38"/>
      <c r="I13" s="37"/>
      <c r="J13" s="38"/>
      <c r="K13" s="37"/>
      <c r="L13" s="38"/>
      <c r="M13" s="37"/>
      <c r="N13" s="38"/>
      <c r="O13" s="39"/>
      <c r="P13" s="38"/>
      <c r="Q13" s="39"/>
      <c r="R13" s="38">
        <v>676583.7</v>
      </c>
      <c r="S13" s="39"/>
      <c r="T13" s="38"/>
      <c r="U13" s="39"/>
      <c r="V13" s="38"/>
      <c r="W13" s="39"/>
      <c r="X13" s="38"/>
      <c r="Y13" s="39"/>
      <c r="Z13" s="38"/>
      <c r="AA13" s="40"/>
      <c r="AB13" s="38"/>
      <c r="AC13" s="40"/>
      <c r="AD13" s="38">
        <v>24445.33</v>
      </c>
      <c r="AE13" s="40"/>
      <c r="AF13" s="38"/>
      <c r="AG13" s="40"/>
      <c r="AH13" s="38"/>
      <c r="AI13" s="40"/>
      <c r="AJ13" s="38"/>
      <c r="AK13" s="40"/>
      <c r="AL13" s="38"/>
      <c r="AM13" s="41"/>
      <c r="AN13" s="38"/>
      <c r="AO13" s="41"/>
      <c r="AP13" s="38"/>
      <c r="AQ13" s="41"/>
      <c r="AR13" s="38"/>
      <c r="AS13" s="41"/>
      <c r="AT13" s="38"/>
      <c r="AU13" s="41"/>
      <c r="AV13" s="38"/>
      <c r="AW13" s="41"/>
      <c r="AX13" s="38"/>
      <c r="AY13" s="42">
        <f t="shared" si="0"/>
        <v>1645318.4100000001</v>
      </c>
      <c r="AZ13" s="43">
        <f t="shared" si="1"/>
        <v>548439.47000000009</v>
      </c>
    </row>
    <row r="14" spans="1:53" ht="21.75" customHeight="1" x14ac:dyDescent="0.35">
      <c r="A14" s="24" t="s">
        <v>50</v>
      </c>
      <c r="B14" s="36" t="str">
        <f>'📋 بيانات المحطات'!B14</f>
        <v>جدة النسيم</v>
      </c>
      <c r="C14" s="37"/>
      <c r="D14" s="38"/>
      <c r="E14" s="37"/>
      <c r="F14" s="38">
        <v>487040.71</v>
      </c>
      <c r="G14" s="37"/>
      <c r="H14" s="38"/>
      <c r="I14" s="37"/>
      <c r="J14" s="38"/>
      <c r="K14" s="37"/>
      <c r="L14" s="38"/>
      <c r="M14" s="37"/>
      <c r="N14" s="38"/>
      <c r="O14" s="39"/>
      <c r="P14" s="38"/>
      <c r="Q14" s="39"/>
      <c r="R14" s="38">
        <v>357935.56</v>
      </c>
      <c r="S14" s="39"/>
      <c r="T14" s="38"/>
      <c r="U14" s="39"/>
      <c r="V14" s="38"/>
      <c r="W14" s="39"/>
      <c r="X14" s="38"/>
      <c r="Y14" s="39"/>
      <c r="Z14" s="38"/>
      <c r="AA14" s="40"/>
      <c r="AB14" s="38"/>
      <c r="AC14" s="40"/>
      <c r="AD14" s="38"/>
      <c r="AE14" s="40"/>
      <c r="AF14" s="38"/>
      <c r="AG14" s="40"/>
      <c r="AH14" s="38"/>
      <c r="AI14" s="40"/>
      <c r="AJ14" s="38"/>
      <c r="AK14" s="40"/>
      <c r="AL14" s="38"/>
      <c r="AM14" s="41"/>
      <c r="AN14" s="38"/>
      <c r="AO14" s="41"/>
      <c r="AP14" s="38"/>
      <c r="AQ14" s="41"/>
      <c r="AR14" s="38"/>
      <c r="AS14" s="41"/>
      <c r="AT14" s="38"/>
      <c r="AU14" s="41"/>
      <c r="AV14" s="38"/>
      <c r="AW14" s="41"/>
      <c r="AX14" s="38"/>
      <c r="AY14" s="42">
        <f t="shared" si="0"/>
        <v>844976.27</v>
      </c>
      <c r="AZ14" s="43">
        <f t="shared" si="1"/>
        <v>422488.13500000001</v>
      </c>
    </row>
    <row r="15" spans="1:53" ht="21.75" customHeight="1" x14ac:dyDescent="0.35">
      <c r="A15" s="17" t="s">
        <v>53</v>
      </c>
      <c r="B15" s="36" t="str">
        <f>'📋 بيانات المحطات'!B15</f>
        <v>الرصيفة</v>
      </c>
      <c r="C15" s="37"/>
      <c r="D15" s="38"/>
      <c r="E15" s="37"/>
      <c r="F15" s="38">
        <v>424268.56</v>
      </c>
      <c r="G15" s="37"/>
      <c r="H15" s="38"/>
      <c r="I15" s="37"/>
      <c r="J15" s="38"/>
      <c r="K15" s="37"/>
      <c r="L15" s="38"/>
      <c r="M15" s="37"/>
      <c r="N15" s="38"/>
      <c r="O15" s="39"/>
      <c r="P15" s="38"/>
      <c r="Q15" s="39"/>
      <c r="R15" s="38">
        <v>372044.17</v>
      </c>
      <c r="S15" s="39"/>
      <c r="T15" s="38"/>
      <c r="U15" s="39"/>
      <c r="V15" s="38"/>
      <c r="W15" s="39"/>
      <c r="X15" s="38"/>
      <c r="Y15" s="39"/>
      <c r="Z15" s="38"/>
      <c r="AA15" s="40"/>
      <c r="AB15" s="38"/>
      <c r="AC15" s="40"/>
      <c r="AD15" s="38"/>
      <c r="AE15" s="40"/>
      <c r="AF15" s="38"/>
      <c r="AG15" s="40"/>
      <c r="AH15" s="38"/>
      <c r="AI15" s="40"/>
      <c r="AJ15" s="38"/>
      <c r="AK15" s="40"/>
      <c r="AL15" s="38"/>
      <c r="AM15" s="41"/>
      <c r="AN15" s="38"/>
      <c r="AO15" s="41"/>
      <c r="AP15" s="38"/>
      <c r="AQ15" s="41"/>
      <c r="AR15" s="38"/>
      <c r="AS15" s="41"/>
      <c r="AT15" s="38"/>
      <c r="AU15" s="41"/>
      <c r="AV15" s="38"/>
      <c r="AW15" s="41"/>
      <c r="AX15" s="38"/>
      <c r="AY15" s="42">
        <f t="shared" si="0"/>
        <v>796312.73</v>
      </c>
      <c r="AZ15" s="43">
        <f t="shared" si="1"/>
        <v>398156.36499999999</v>
      </c>
    </row>
    <row r="16" spans="1:53" ht="21.75" customHeight="1" x14ac:dyDescent="0.35">
      <c r="A16" s="24" t="s">
        <v>56</v>
      </c>
      <c r="B16" s="36" t="str">
        <f>'📋 بيانات المحطات'!B16</f>
        <v>عرفات الشوقية</v>
      </c>
      <c r="C16" s="37"/>
      <c r="D16" s="38"/>
      <c r="E16" s="37"/>
      <c r="F16" s="38">
        <v>331403.27</v>
      </c>
      <c r="G16" s="37"/>
      <c r="H16" s="38"/>
      <c r="I16" s="37"/>
      <c r="J16" s="38"/>
      <c r="K16" s="37"/>
      <c r="L16" s="38"/>
      <c r="M16" s="37"/>
      <c r="N16" s="38"/>
      <c r="O16" s="39"/>
      <c r="P16" s="38"/>
      <c r="Q16" s="39"/>
      <c r="R16" s="38">
        <v>197936.52</v>
      </c>
      <c r="S16" s="39"/>
      <c r="T16" s="38"/>
      <c r="U16" s="39"/>
      <c r="V16" s="38"/>
      <c r="W16" s="39"/>
      <c r="X16" s="38"/>
      <c r="Y16" s="39"/>
      <c r="Z16" s="38"/>
      <c r="AA16" s="40"/>
      <c r="AB16" s="38"/>
      <c r="AC16" s="40"/>
      <c r="AD16" s="38"/>
      <c r="AE16" s="40"/>
      <c r="AF16" s="38"/>
      <c r="AG16" s="40"/>
      <c r="AH16" s="38"/>
      <c r="AI16" s="40"/>
      <c r="AJ16" s="38"/>
      <c r="AK16" s="40"/>
      <c r="AL16" s="38"/>
      <c r="AM16" s="41"/>
      <c r="AN16" s="38"/>
      <c r="AO16" s="41"/>
      <c r="AP16" s="38">
        <v>127925.58</v>
      </c>
      <c r="AQ16" s="41"/>
      <c r="AR16" s="38"/>
      <c r="AS16" s="41"/>
      <c r="AT16" s="38"/>
      <c r="AU16" s="41"/>
      <c r="AV16" s="38"/>
      <c r="AW16" s="41"/>
      <c r="AX16" s="38"/>
      <c r="AY16" s="42">
        <f t="shared" si="0"/>
        <v>657265.37</v>
      </c>
      <c r="AZ16" s="43">
        <f t="shared" si="1"/>
        <v>328632.685</v>
      </c>
    </row>
    <row r="17" spans="1:52" ht="21.75" customHeight="1" x14ac:dyDescent="0.35">
      <c r="A17" s="17" t="s">
        <v>59</v>
      </c>
      <c r="B17" s="36" t="str">
        <f>'📋 بيانات المحطات'!B17</f>
        <v>الرصيفة مسار</v>
      </c>
      <c r="C17" s="37"/>
      <c r="D17" s="38"/>
      <c r="E17" s="37"/>
      <c r="F17" s="38">
        <v>142934.60999999999</v>
      </c>
      <c r="G17" s="37"/>
      <c r="H17" s="38"/>
      <c r="I17" s="37"/>
      <c r="J17" s="38"/>
      <c r="K17" s="37"/>
      <c r="L17" s="38"/>
      <c r="M17" s="37"/>
      <c r="N17" s="38"/>
      <c r="O17" s="39"/>
      <c r="P17" s="38"/>
      <c r="Q17" s="39"/>
      <c r="R17" s="38">
        <v>143169.29999999999</v>
      </c>
      <c r="S17" s="39"/>
      <c r="T17" s="38"/>
      <c r="U17" s="39"/>
      <c r="V17" s="38"/>
      <c r="W17" s="39"/>
      <c r="X17" s="38"/>
      <c r="Y17" s="39"/>
      <c r="Z17" s="38"/>
      <c r="AA17" s="40"/>
      <c r="AB17" s="38"/>
      <c r="AC17" s="40"/>
      <c r="AD17" s="38"/>
      <c r="AE17" s="40"/>
      <c r="AF17" s="38"/>
      <c r="AG17" s="40"/>
      <c r="AH17" s="38"/>
      <c r="AI17" s="40"/>
      <c r="AJ17" s="38"/>
      <c r="AK17" s="40"/>
      <c r="AL17" s="38"/>
      <c r="AM17" s="41"/>
      <c r="AN17" s="38"/>
      <c r="AO17" s="41"/>
      <c r="AP17" s="38"/>
      <c r="AQ17" s="41"/>
      <c r="AR17" s="38"/>
      <c r="AS17" s="41"/>
      <c r="AT17" s="38"/>
      <c r="AU17" s="41"/>
      <c r="AV17" s="38"/>
      <c r="AW17" s="41"/>
      <c r="AX17" s="38"/>
      <c r="AY17" s="42">
        <f t="shared" si="0"/>
        <v>286103.90999999997</v>
      </c>
      <c r="AZ17" s="43">
        <f t="shared" si="1"/>
        <v>143051.95499999999</v>
      </c>
    </row>
    <row r="18" spans="1:52" ht="21.75" customHeight="1" x14ac:dyDescent="0.35">
      <c r="A18" s="24" t="s">
        <v>62</v>
      </c>
      <c r="B18" s="36" t="str">
        <f>'📋 بيانات المحطات'!B18</f>
        <v>عرفات الشرائع</v>
      </c>
      <c r="C18" s="37"/>
      <c r="D18" s="38"/>
      <c r="E18" s="37"/>
      <c r="F18" s="38">
        <v>432589.4</v>
      </c>
      <c r="G18" s="37"/>
      <c r="H18" s="38"/>
      <c r="I18" s="37"/>
      <c r="J18" s="38"/>
      <c r="K18" s="37"/>
      <c r="L18" s="38"/>
      <c r="M18" s="37"/>
      <c r="N18" s="38"/>
      <c r="O18" s="39"/>
      <c r="P18" s="38"/>
      <c r="Q18" s="39"/>
      <c r="R18" s="38">
        <v>380494.28</v>
      </c>
      <c r="S18" s="39"/>
      <c r="T18" s="38"/>
      <c r="U18" s="39"/>
      <c r="V18" s="38"/>
      <c r="W18" s="39"/>
      <c r="X18" s="38"/>
      <c r="Y18" s="39"/>
      <c r="Z18" s="38"/>
      <c r="AA18" s="40"/>
      <c r="AB18" s="38"/>
      <c r="AC18" s="40"/>
      <c r="AD18" s="38"/>
      <c r="AE18" s="40"/>
      <c r="AF18" s="38"/>
      <c r="AG18" s="40"/>
      <c r="AH18" s="38"/>
      <c r="AI18" s="40"/>
      <c r="AJ18" s="38"/>
      <c r="AK18" s="40"/>
      <c r="AL18" s="38"/>
      <c r="AM18" s="41"/>
      <c r="AN18" s="38"/>
      <c r="AO18" s="41"/>
      <c r="AP18" s="38"/>
      <c r="AQ18" s="41"/>
      <c r="AR18" s="38"/>
      <c r="AS18" s="41"/>
      <c r="AT18" s="38"/>
      <c r="AU18" s="41"/>
      <c r="AV18" s="38"/>
      <c r="AW18" s="41"/>
      <c r="AX18" s="38"/>
      <c r="AY18" s="42">
        <f t="shared" si="0"/>
        <v>813083.68</v>
      </c>
      <c r="AZ18" s="43">
        <f t="shared" si="1"/>
        <v>406541.84</v>
      </c>
    </row>
    <row r="19" spans="1:52" ht="21.75" customHeight="1" x14ac:dyDescent="0.35">
      <c r="A19" s="17" t="s">
        <v>65</v>
      </c>
      <c r="B19" s="36" t="str">
        <f>'📋 بيانات المحطات'!B19</f>
        <v>ممشى الشوقية</v>
      </c>
      <c r="C19" s="37"/>
      <c r="D19" s="38"/>
      <c r="E19" s="37"/>
      <c r="F19" s="38">
        <v>264547.53999999998</v>
      </c>
      <c r="G19" s="37"/>
      <c r="H19" s="38"/>
      <c r="I19" s="37"/>
      <c r="J19" s="38"/>
      <c r="K19" s="37"/>
      <c r="L19" s="38"/>
      <c r="M19" s="37"/>
      <c r="N19" s="38"/>
      <c r="O19" s="39"/>
      <c r="P19" s="38"/>
      <c r="Q19" s="39"/>
      <c r="R19" s="38">
        <v>221745.7</v>
      </c>
      <c r="S19" s="39"/>
      <c r="T19" s="38"/>
      <c r="U19" s="39"/>
      <c r="V19" s="38"/>
      <c r="W19" s="39"/>
      <c r="X19" s="38"/>
      <c r="Y19" s="39"/>
      <c r="Z19" s="38"/>
      <c r="AA19" s="40"/>
      <c r="AB19" s="38"/>
      <c r="AC19" s="40"/>
      <c r="AD19" s="38"/>
      <c r="AE19" s="40"/>
      <c r="AF19" s="38"/>
      <c r="AG19" s="40"/>
      <c r="AH19" s="38"/>
      <c r="AI19" s="40"/>
      <c r="AJ19" s="38"/>
      <c r="AK19" s="40"/>
      <c r="AL19" s="38"/>
      <c r="AM19" s="41"/>
      <c r="AN19" s="38"/>
      <c r="AO19" s="41"/>
      <c r="AP19" s="38">
        <v>212998.78</v>
      </c>
      <c r="AQ19" s="41"/>
      <c r="AR19" s="38"/>
      <c r="AS19" s="41"/>
      <c r="AT19" s="38"/>
      <c r="AU19" s="41"/>
      <c r="AV19" s="38"/>
      <c r="AW19" s="41"/>
      <c r="AX19" s="38"/>
      <c r="AY19" s="42">
        <f t="shared" si="0"/>
        <v>699292.02</v>
      </c>
      <c r="AZ19" s="43">
        <f t="shared" si="1"/>
        <v>349646.01</v>
      </c>
    </row>
    <row r="20" spans="1:52" ht="21.75" customHeight="1" x14ac:dyDescent="0.35">
      <c r="A20" s="24" t="s">
        <v>68</v>
      </c>
      <c r="B20" s="36" t="str">
        <f>'📋 بيانات المحطات'!B20</f>
        <v>بطحاء قريش</v>
      </c>
      <c r="C20" s="37"/>
      <c r="D20" s="38"/>
      <c r="E20" s="37"/>
      <c r="F20" s="38">
        <v>270579.71000000002</v>
      </c>
      <c r="G20" s="37"/>
      <c r="H20" s="38"/>
      <c r="I20" s="37"/>
      <c r="J20" s="38"/>
      <c r="K20" s="37"/>
      <c r="L20" s="38"/>
      <c r="M20" s="37"/>
      <c r="N20" s="38"/>
      <c r="O20" s="39"/>
      <c r="P20" s="38"/>
      <c r="Q20" s="39"/>
      <c r="R20" s="38">
        <v>214242.15</v>
      </c>
      <c r="S20" s="39"/>
      <c r="T20" s="38"/>
      <c r="U20" s="39"/>
      <c r="V20" s="38"/>
      <c r="W20" s="39"/>
      <c r="X20" s="38"/>
      <c r="Y20" s="39"/>
      <c r="Z20" s="38"/>
      <c r="AA20" s="40"/>
      <c r="AB20" s="38"/>
      <c r="AC20" s="40"/>
      <c r="AD20" s="38"/>
      <c r="AE20" s="40"/>
      <c r="AF20" s="38"/>
      <c r="AG20" s="40"/>
      <c r="AH20" s="38"/>
      <c r="AI20" s="40"/>
      <c r="AJ20" s="38"/>
      <c r="AK20" s="40"/>
      <c r="AL20" s="38"/>
      <c r="AM20" s="41"/>
      <c r="AN20" s="38"/>
      <c r="AO20" s="41"/>
      <c r="AP20" s="38"/>
      <c r="AQ20" s="41"/>
      <c r="AR20" s="38"/>
      <c r="AS20" s="41"/>
      <c r="AT20" s="38"/>
      <c r="AU20" s="41"/>
      <c r="AV20" s="38"/>
      <c r="AW20" s="41"/>
      <c r="AX20" s="38"/>
      <c r="AY20" s="42">
        <f t="shared" si="0"/>
        <v>484821.86</v>
      </c>
      <c r="AZ20" s="43">
        <f t="shared" si="1"/>
        <v>242410.93</v>
      </c>
    </row>
    <row r="21" spans="1:52" ht="21.75" customHeight="1" x14ac:dyDescent="0.35">
      <c r="A21" s="17" t="s">
        <v>71</v>
      </c>
      <c r="B21" s="36" t="str">
        <f>'📋 بيانات المحطات'!B21</f>
        <v>بن درويش</v>
      </c>
      <c r="C21" s="37"/>
      <c r="D21" s="38"/>
      <c r="E21" s="37"/>
      <c r="F21" s="38">
        <v>259128.86</v>
      </c>
      <c r="G21" s="37"/>
      <c r="H21" s="38"/>
      <c r="I21" s="37"/>
      <c r="J21" s="38"/>
      <c r="K21" s="37"/>
      <c r="L21" s="38"/>
      <c r="M21" s="37"/>
      <c r="N21" s="38"/>
      <c r="O21" s="39"/>
      <c r="P21" s="38"/>
      <c r="Q21" s="39"/>
      <c r="R21" s="38">
        <v>231366.23</v>
      </c>
      <c r="S21" s="39"/>
      <c r="T21" s="38"/>
      <c r="U21" s="39"/>
      <c r="V21" s="38"/>
      <c r="W21" s="39"/>
      <c r="X21" s="38"/>
      <c r="Y21" s="39"/>
      <c r="Z21" s="38"/>
      <c r="AA21" s="40"/>
      <c r="AB21" s="38"/>
      <c r="AC21" s="40"/>
      <c r="AD21" s="38"/>
      <c r="AE21" s="40"/>
      <c r="AF21" s="38"/>
      <c r="AG21" s="40"/>
      <c r="AH21" s="38"/>
      <c r="AI21" s="40"/>
      <c r="AJ21" s="38"/>
      <c r="AK21" s="40"/>
      <c r="AL21" s="38"/>
      <c r="AM21" s="41"/>
      <c r="AN21" s="38"/>
      <c r="AO21" s="41"/>
      <c r="AP21" s="38">
        <v>24604.87</v>
      </c>
      <c r="AQ21" s="41"/>
      <c r="AR21" s="38"/>
      <c r="AS21" s="41"/>
      <c r="AT21" s="38"/>
      <c r="AU21" s="41"/>
      <c r="AV21" s="38"/>
      <c r="AW21" s="41"/>
      <c r="AX21" s="38"/>
      <c r="AY21" s="42">
        <f t="shared" si="0"/>
        <v>515099.95999999996</v>
      </c>
      <c r="AZ21" s="43">
        <f t="shared" si="1"/>
        <v>257549.97999999998</v>
      </c>
    </row>
    <row r="22" spans="1:52" ht="21.75" customHeight="1" x14ac:dyDescent="0.35">
      <c r="A22" s="24" t="s">
        <v>74</v>
      </c>
      <c r="B22" s="36" t="str">
        <f>'📋 بيانات المحطات'!B22</f>
        <v>الخرج غرناطة</v>
      </c>
      <c r="C22" s="37"/>
      <c r="D22" s="38"/>
      <c r="E22" s="37"/>
      <c r="F22" s="38">
        <v>325436.36</v>
      </c>
      <c r="G22" s="37"/>
      <c r="H22" s="38"/>
      <c r="I22" s="37"/>
      <c r="J22" s="38"/>
      <c r="K22" s="37"/>
      <c r="L22" s="38"/>
      <c r="M22" s="37"/>
      <c r="N22" s="38"/>
      <c r="O22" s="39"/>
      <c r="P22" s="38"/>
      <c r="Q22" s="39"/>
      <c r="R22" s="38">
        <v>294675.03000000003</v>
      </c>
      <c r="S22" s="39"/>
      <c r="T22" s="38"/>
      <c r="U22" s="39"/>
      <c r="V22" s="38"/>
      <c r="W22" s="39"/>
      <c r="X22" s="38"/>
      <c r="Y22" s="39"/>
      <c r="Z22" s="38"/>
      <c r="AA22" s="40"/>
      <c r="AB22" s="38"/>
      <c r="AC22" s="40"/>
      <c r="AD22" s="38"/>
      <c r="AE22" s="40"/>
      <c r="AF22" s="38"/>
      <c r="AG22" s="40"/>
      <c r="AH22" s="38"/>
      <c r="AI22" s="40"/>
      <c r="AJ22" s="38"/>
      <c r="AK22" s="40"/>
      <c r="AL22" s="38"/>
      <c r="AM22" s="41"/>
      <c r="AN22" s="38"/>
      <c r="AO22" s="41"/>
      <c r="AP22" s="38">
        <v>67429.399999999994</v>
      </c>
      <c r="AQ22" s="41"/>
      <c r="AR22" s="38"/>
      <c r="AS22" s="41"/>
      <c r="AT22" s="38"/>
      <c r="AU22" s="41"/>
      <c r="AV22" s="38"/>
      <c r="AW22" s="41"/>
      <c r="AX22" s="38"/>
      <c r="AY22" s="42">
        <f t="shared" si="0"/>
        <v>687540.79</v>
      </c>
      <c r="AZ22" s="43">
        <f t="shared" si="1"/>
        <v>343770.39500000002</v>
      </c>
    </row>
    <row r="23" spans="1:52" ht="21.75" customHeight="1" x14ac:dyDescent="0.35">
      <c r="A23" s="17" t="s">
        <v>77</v>
      </c>
      <c r="B23" s="36" t="str">
        <f>'📋 بيانات المحطات'!B23</f>
        <v>الخرج الحمراء</v>
      </c>
      <c r="C23" s="37"/>
      <c r="D23" s="38"/>
      <c r="E23" s="37"/>
      <c r="F23" s="38">
        <v>588023.06999999995</v>
      </c>
      <c r="G23" s="37"/>
      <c r="H23" s="38"/>
      <c r="I23" s="37"/>
      <c r="J23" s="38"/>
      <c r="K23" s="37"/>
      <c r="L23" s="38"/>
      <c r="M23" s="37"/>
      <c r="N23" s="38"/>
      <c r="O23" s="39"/>
      <c r="P23" s="38"/>
      <c r="Q23" s="39"/>
      <c r="R23" s="38">
        <v>537180.44999999995</v>
      </c>
      <c r="S23" s="39"/>
      <c r="T23" s="38"/>
      <c r="U23" s="39"/>
      <c r="V23" s="38"/>
      <c r="W23" s="39"/>
      <c r="X23" s="38"/>
      <c r="Y23" s="39"/>
      <c r="Z23" s="38"/>
      <c r="AA23" s="40"/>
      <c r="AB23" s="38"/>
      <c r="AC23" s="40"/>
      <c r="AD23" s="38"/>
      <c r="AE23" s="40"/>
      <c r="AF23" s="38"/>
      <c r="AG23" s="40"/>
      <c r="AH23" s="38"/>
      <c r="AI23" s="40"/>
      <c r="AJ23" s="38"/>
      <c r="AK23" s="40"/>
      <c r="AL23" s="38"/>
      <c r="AM23" s="41"/>
      <c r="AN23" s="38"/>
      <c r="AO23" s="41"/>
      <c r="AP23" s="38">
        <v>127869.36</v>
      </c>
      <c r="AQ23" s="41"/>
      <c r="AR23" s="38"/>
      <c r="AS23" s="41"/>
      <c r="AT23" s="38"/>
      <c r="AU23" s="41"/>
      <c r="AV23" s="38"/>
      <c r="AW23" s="41"/>
      <c r="AX23" s="38"/>
      <c r="AY23" s="42">
        <f t="shared" si="0"/>
        <v>1253072.8800000001</v>
      </c>
      <c r="AZ23" s="43">
        <f t="shared" si="1"/>
        <v>626536.44000000006</v>
      </c>
    </row>
    <row r="24" spans="1:52" ht="21.75" customHeight="1" x14ac:dyDescent="0.35">
      <c r="A24" s="24" t="s">
        <v>80</v>
      </c>
      <c r="B24" s="36" t="str">
        <f>'📋 بيانات المحطات'!B24</f>
        <v>احلى مساء</v>
      </c>
      <c r="C24" s="37"/>
      <c r="D24" s="38"/>
      <c r="E24" s="37"/>
      <c r="F24" s="38">
        <v>512384.81</v>
      </c>
      <c r="G24" s="37"/>
      <c r="H24" s="38"/>
      <c r="I24" s="37"/>
      <c r="J24" s="38"/>
      <c r="K24" s="37"/>
      <c r="L24" s="38"/>
      <c r="M24" s="37"/>
      <c r="N24" s="38"/>
      <c r="O24" s="39"/>
      <c r="P24" s="38"/>
      <c r="Q24" s="39"/>
      <c r="R24" s="38">
        <v>452211.55</v>
      </c>
      <c r="S24" s="39"/>
      <c r="T24" s="38"/>
      <c r="U24" s="39"/>
      <c r="V24" s="38"/>
      <c r="W24" s="39"/>
      <c r="X24" s="38"/>
      <c r="Y24" s="39"/>
      <c r="Z24" s="38"/>
      <c r="AA24" s="40"/>
      <c r="AB24" s="38"/>
      <c r="AC24" s="40"/>
      <c r="AD24" s="38"/>
      <c r="AE24" s="40"/>
      <c r="AF24" s="38"/>
      <c r="AG24" s="40"/>
      <c r="AH24" s="38"/>
      <c r="AI24" s="40"/>
      <c r="AJ24" s="38"/>
      <c r="AK24" s="40"/>
      <c r="AL24" s="38"/>
      <c r="AM24" s="41"/>
      <c r="AN24" s="38"/>
      <c r="AO24" s="41"/>
      <c r="AP24" s="38">
        <v>218901.49</v>
      </c>
      <c r="AQ24" s="41"/>
      <c r="AR24" s="38"/>
      <c r="AS24" s="41"/>
      <c r="AT24" s="38"/>
      <c r="AU24" s="41"/>
      <c r="AV24" s="38"/>
      <c r="AW24" s="41"/>
      <c r="AX24" s="38"/>
      <c r="AY24" s="42">
        <f t="shared" si="0"/>
        <v>1183497.8500000001</v>
      </c>
      <c r="AZ24" s="43">
        <f t="shared" si="1"/>
        <v>591748.92500000005</v>
      </c>
    </row>
    <row r="25" spans="1:52" ht="21.75" customHeight="1" x14ac:dyDescent="0.35">
      <c r="A25" s="17" t="s">
        <v>84</v>
      </c>
      <c r="B25" s="36" t="str">
        <f>'📋 بيانات المحطات'!B25</f>
        <v>الذكرى الخالدة</v>
      </c>
      <c r="C25" s="37"/>
      <c r="D25" s="38"/>
      <c r="E25" s="37"/>
      <c r="F25" s="38">
        <v>183238.23</v>
      </c>
      <c r="G25" s="37"/>
      <c r="H25" s="38"/>
      <c r="I25" s="37"/>
      <c r="J25" s="38"/>
      <c r="K25" s="37"/>
      <c r="L25" s="38"/>
      <c r="M25" s="37"/>
      <c r="N25" s="38"/>
      <c r="O25" s="39"/>
      <c r="P25" s="38"/>
      <c r="Q25" s="39"/>
      <c r="R25" s="38">
        <v>127240.63</v>
      </c>
      <c r="S25" s="39"/>
      <c r="T25" s="38"/>
      <c r="U25" s="39"/>
      <c r="V25" s="38"/>
      <c r="W25" s="39"/>
      <c r="X25" s="38"/>
      <c r="Y25" s="39"/>
      <c r="Z25" s="38"/>
      <c r="AA25" s="40"/>
      <c r="AB25" s="38"/>
      <c r="AC25" s="40"/>
      <c r="AD25" s="38"/>
      <c r="AE25" s="40"/>
      <c r="AF25" s="38"/>
      <c r="AG25" s="40"/>
      <c r="AH25" s="38"/>
      <c r="AI25" s="40"/>
      <c r="AJ25" s="38"/>
      <c r="AK25" s="40"/>
      <c r="AL25" s="38"/>
      <c r="AM25" s="41"/>
      <c r="AN25" s="38"/>
      <c r="AO25" s="41"/>
      <c r="AP25" s="38">
        <v>88807.98</v>
      </c>
      <c r="AQ25" s="41"/>
      <c r="AR25" s="38"/>
      <c r="AS25" s="41"/>
      <c r="AT25" s="38"/>
      <c r="AU25" s="41"/>
      <c r="AV25" s="38"/>
      <c r="AW25" s="41"/>
      <c r="AX25" s="38"/>
      <c r="AY25" s="42">
        <f t="shared" si="0"/>
        <v>399286.83999999997</v>
      </c>
      <c r="AZ25" s="43">
        <f t="shared" si="1"/>
        <v>199643.41999999998</v>
      </c>
    </row>
    <row r="26" spans="1:52" ht="21.75" customHeight="1" x14ac:dyDescent="0.35">
      <c r="A26" s="24" t="s">
        <v>87</v>
      </c>
      <c r="B26" s="36" t="str">
        <f>'📋 بيانات المحطات'!B26</f>
        <v>بطحاء قريش 2</v>
      </c>
      <c r="C26" s="37"/>
      <c r="D26" s="38"/>
      <c r="E26" s="37"/>
      <c r="F26" s="38">
        <v>346640.99</v>
      </c>
      <c r="G26" s="37"/>
      <c r="H26" s="38"/>
      <c r="I26" s="37"/>
      <c r="J26" s="38"/>
      <c r="K26" s="37"/>
      <c r="L26" s="38"/>
      <c r="M26" s="37"/>
      <c r="N26" s="38"/>
      <c r="O26" s="39"/>
      <c r="P26" s="38"/>
      <c r="Q26" s="39"/>
      <c r="R26" s="38">
        <v>203236.36</v>
      </c>
      <c r="S26" s="39"/>
      <c r="T26" s="38"/>
      <c r="U26" s="39"/>
      <c r="V26" s="38"/>
      <c r="W26" s="39"/>
      <c r="X26" s="38"/>
      <c r="Y26" s="39"/>
      <c r="Z26" s="38"/>
      <c r="AA26" s="40"/>
      <c r="AB26" s="38"/>
      <c r="AC26" s="40"/>
      <c r="AD26" s="38"/>
      <c r="AE26" s="40"/>
      <c r="AF26" s="38"/>
      <c r="AG26" s="40"/>
      <c r="AH26" s="38"/>
      <c r="AI26" s="40"/>
      <c r="AJ26" s="38"/>
      <c r="AK26" s="40"/>
      <c r="AL26" s="38"/>
      <c r="AM26" s="41"/>
      <c r="AN26" s="38"/>
      <c r="AO26" s="41"/>
      <c r="AP26" s="38">
        <v>389400.84</v>
      </c>
      <c r="AQ26" s="41"/>
      <c r="AR26" s="38"/>
      <c r="AS26" s="41"/>
      <c r="AT26" s="38"/>
      <c r="AU26" s="41"/>
      <c r="AV26" s="38"/>
      <c r="AW26" s="41"/>
      <c r="AX26" s="38"/>
      <c r="AY26" s="42">
        <f t="shared" si="0"/>
        <v>939278.19</v>
      </c>
      <c r="AZ26" s="43">
        <f t="shared" si="1"/>
        <v>469639.09499999997</v>
      </c>
    </row>
    <row r="27" spans="1:52" ht="21.75" customHeight="1" x14ac:dyDescent="0.35">
      <c r="A27" s="17" t="s">
        <v>90</v>
      </c>
      <c r="B27" s="36" t="str">
        <f>'📋 بيانات المحطات'!B27</f>
        <v>أبو وافي</v>
      </c>
      <c r="C27" s="37"/>
      <c r="D27" s="38"/>
      <c r="E27" s="37"/>
      <c r="F27" s="38">
        <v>304706.89</v>
      </c>
      <c r="G27" s="37"/>
      <c r="H27" s="38"/>
      <c r="I27" s="37"/>
      <c r="J27" s="38"/>
      <c r="K27" s="37"/>
      <c r="L27" s="38"/>
      <c r="M27" s="37"/>
      <c r="N27" s="38"/>
      <c r="O27" s="39"/>
      <c r="P27" s="38"/>
      <c r="Q27" s="39"/>
      <c r="R27" s="38">
        <v>269906.26</v>
      </c>
      <c r="S27" s="39"/>
      <c r="T27" s="38"/>
      <c r="U27" s="39"/>
      <c r="V27" s="38"/>
      <c r="W27" s="39"/>
      <c r="X27" s="38"/>
      <c r="Y27" s="39"/>
      <c r="Z27" s="38"/>
      <c r="AA27" s="40"/>
      <c r="AB27" s="38"/>
      <c r="AC27" s="40"/>
      <c r="AD27" s="38"/>
      <c r="AE27" s="40"/>
      <c r="AF27" s="38"/>
      <c r="AG27" s="40"/>
      <c r="AH27" s="38"/>
      <c r="AI27" s="40"/>
      <c r="AJ27" s="38"/>
      <c r="AK27" s="40"/>
      <c r="AL27" s="38"/>
      <c r="AM27" s="41"/>
      <c r="AN27" s="38"/>
      <c r="AO27" s="41"/>
      <c r="AP27" s="38">
        <v>238542.04</v>
      </c>
      <c r="AQ27" s="41"/>
      <c r="AR27" s="38"/>
      <c r="AS27" s="41"/>
      <c r="AT27" s="38"/>
      <c r="AU27" s="41"/>
      <c r="AV27" s="38"/>
      <c r="AW27" s="41"/>
      <c r="AX27" s="38"/>
      <c r="AY27" s="42">
        <f t="shared" si="0"/>
        <v>813155.19000000006</v>
      </c>
      <c r="AZ27" s="43">
        <f t="shared" si="1"/>
        <v>406577.59500000003</v>
      </c>
    </row>
    <row r="28" spans="1:52" ht="21.75" customHeight="1" x14ac:dyDescent="0.35">
      <c r="A28" s="24" t="s">
        <v>93</v>
      </c>
      <c r="B28" s="36" t="str">
        <f>'📋 بيانات المحطات'!B28</f>
        <v>الجمعية</v>
      </c>
      <c r="C28" s="37"/>
      <c r="D28" s="38"/>
      <c r="E28" s="37"/>
      <c r="F28" s="38">
        <v>139972.15</v>
      </c>
      <c r="G28" s="37"/>
      <c r="H28" s="38"/>
      <c r="I28" s="37"/>
      <c r="J28" s="38"/>
      <c r="K28" s="37"/>
      <c r="L28" s="38"/>
      <c r="M28" s="37"/>
      <c r="N28" s="38"/>
      <c r="O28" s="39"/>
      <c r="P28" s="38"/>
      <c r="Q28" s="39"/>
      <c r="R28" s="38">
        <v>78795.460000000006</v>
      </c>
      <c r="S28" s="39"/>
      <c r="T28" s="38"/>
      <c r="U28" s="39"/>
      <c r="V28" s="38"/>
      <c r="W28" s="39"/>
      <c r="X28" s="38"/>
      <c r="Y28" s="39"/>
      <c r="Z28" s="38"/>
      <c r="AA28" s="40"/>
      <c r="AB28" s="38"/>
      <c r="AC28" s="40"/>
      <c r="AD28" s="38"/>
      <c r="AE28" s="40"/>
      <c r="AF28" s="38"/>
      <c r="AG28" s="40"/>
      <c r="AH28" s="38"/>
      <c r="AI28" s="40"/>
      <c r="AJ28" s="38"/>
      <c r="AK28" s="40"/>
      <c r="AL28" s="38"/>
      <c r="AM28" s="41"/>
      <c r="AN28" s="38"/>
      <c r="AO28" s="41"/>
      <c r="AP28" s="38">
        <v>29843.96</v>
      </c>
      <c r="AQ28" s="41"/>
      <c r="AR28" s="38"/>
      <c r="AS28" s="41"/>
      <c r="AT28" s="38"/>
      <c r="AU28" s="41"/>
      <c r="AV28" s="38"/>
      <c r="AW28" s="41"/>
      <c r="AX28" s="38"/>
      <c r="AY28" s="42">
        <f t="shared" si="0"/>
        <v>248611.56999999998</v>
      </c>
      <c r="AZ28" s="43">
        <f t="shared" si="1"/>
        <v>124305.78499999999</v>
      </c>
    </row>
    <row r="29" spans="1:52" ht="21.75" customHeight="1" x14ac:dyDescent="0.35">
      <c r="A29" s="17" t="s">
        <v>96</v>
      </c>
      <c r="B29" s="36" t="str">
        <f>'📋 بيانات المحطات'!B29</f>
        <v>العريفي</v>
      </c>
      <c r="C29" s="37"/>
      <c r="D29" s="38"/>
      <c r="E29" s="37"/>
      <c r="F29" s="38">
        <v>541745.1</v>
      </c>
      <c r="G29" s="37"/>
      <c r="H29" s="38"/>
      <c r="I29" s="37"/>
      <c r="J29" s="38"/>
      <c r="K29" s="37"/>
      <c r="L29" s="38"/>
      <c r="M29" s="37"/>
      <c r="N29" s="38"/>
      <c r="O29" s="39"/>
      <c r="P29" s="38"/>
      <c r="Q29" s="39"/>
      <c r="R29" s="38">
        <v>401434.57</v>
      </c>
      <c r="S29" s="39"/>
      <c r="T29" s="38"/>
      <c r="U29" s="39"/>
      <c r="V29" s="38"/>
      <c r="W29" s="39"/>
      <c r="X29" s="38"/>
      <c r="Y29" s="39"/>
      <c r="Z29" s="38"/>
      <c r="AA29" s="40"/>
      <c r="AB29" s="38"/>
      <c r="AC29" s="40"/>
      <c r="AD29" s="38"/>
      <c r="AE29" s="40"/>
      <c r="AF29" s="38"/>
      <c r="AG29" s="40"/>
      <c r="AH29" s="38"/>
      <c r="AI29" s="40"/>
      <c r="AJ29" s="38"/>
      <c r="AK29" s="40"/>
      <c r="AL29" s="38"/>
      <c r="AM29" s="41"/>
      <c r="AN29" s="38"/>
      <c r="AO29" s="41"/>
      <c r="AP29" s="38">
        <v>571750.09</v>
      </c>
      <c r="AQ29" s="41"/>
      <c r="AR29" s="38"/>
      <c r="AS29" s="41"/>
      <c r="AT29" s="38"/>
      <c r="AU29" s="41"/>
      <c r="AV29" s="38"/>
      <c r="AW29" s="41"/>
      <c r="AX29" s="38"/>
      <c r="AY29" s="42">
        <f t="shared" si="0"/>
        <v>1514929.7599999998</v>
      </c>
      <c r="AZ29" s="43">
        <f t="shared" si="1"/>
        <v>757464.87999999989</v>
      </c>
    </row>
    <row r="30" spans="1:52" ht="21.75" customHeight="1" x14ac:dyDescent="0.35">
      <c r="A30" s="24" t="s">
        <v>99</v>
      </c>
      <c r="B30" s="36" t="str">
        <f>'📋 بيانات المحطات'!B30</f>
        <v>الحليس</v>
      </c>
      <c r="C30" s="37"/>
      <c r="D30" s="38"/>
      <c r="E30" s="37"/>
      <c r="F30" s="38">
        <v>470762.57</v>
      </c>
      <c r="G30" s="37"/>
      <c r="H30" s="38"/>
      <c r="I30" s="37"/>
      <c r="J30" s="38"/>
      <c r="K30" s="37"/>
      <c r="L30" s="38"/>
      <c r="M30" s="37"/>
      <c r="N30" s="38"/>
      <c r="O30" s="39"/>
      <c r="P30" s="38"/>
      <c r="Q30" s="39"/>
      <c r="R30" s="38">
        <v>471510.09</v>
      </c>
      <c r="S30" s="39"/>
      <c r="T30" s="38"/>
      <c r="U30" s="39"/>
      <c r="V30" s="38"/>
      <c r="W30" s="39"/>
      <c r="X30" s="38"/>
      <c r="Y30" s="39"/>
      <c r="Z30" s="38"/>
      <c r="AA30" s="40"/>
      <c r="AB30" s="38"/>
      <c r="AC30" s="40"/>
      <c r="AD30" s="38"/>
      <c r="AE30" s="40"/>
      <c r="AF30" s="38"/>
      <c r="AG30" s="40"/>
      <c r="AH30" s="38"/>
      <c r="AI30" s="40"/>
      <c r="AJ30" s="38"/>
      <c r="AK30" s="40"/>
      <c r="AL30" s="38"/>
      <c r="AM30" s="41"/>
      <c r="AN30" s="38"/>
      <c r="AO30" s="41"/>
      <c r="AP30" s="38">
        <v>472472.68</v>
      </c>
      <c r="AQ30" s="41"/>
      <c r="AR30" s="38"/>
      <c r="AS30" s="41"/>
      <c r="AT30" s="38"/>
      <c r="AU30" s="41"/>
      <c r="AV30" s="38"/>
      <c r="AW30" s="41"/>
      <c r="AX30" s="38"/>
      <c r="AY30" s="42">
        <f t="shared" si="0"/>
        <v>1414745.34</v>
      </c>
      <c r="AZ30" s="43">
        <f t="shared" si="1"/>
        <v>707372.67</v>
      </c>
    </row>
    <row r="31" spans="1:52" ht="21.75" customHeight="1" x14ac:dyDescent="0.35">
      <c r="A31" s="17" t="s">
        <v>102</v>
      </c>
      <c r="B31" s="36" t="str">
        <f>'📋 بيانات المحطات'!B31</f>
        <v>القادسية</v>
      </c>
      <c r="C31" s="37"/>
      <c r="D31" s="38"/>
      <c r="E31" s="37"/>
      <c r="F31" s="38">
        <v>89890.92</v>
      </c>
      <c r="G31" s="37"/>
      <c r="H31" s="38"/>
      <c r="I31" s="37"/>
      <c r="J31" s="38"/>
      <c r="K31" s="37"/>
      <c r="L31" s="38"/>
      <c r="M31" s="37"/>
      <c r="N31" s="38"/>
      <c r="O31" s="39"/>
      <c r="P31" s="38"/>
      <c r="Q31" s="39"/>
      <c r="R31" s="38">
        <v>68140.36</v>
      </c>
      <c r="S31" s="39"/>
      <c r="T31" s="38"/>
      <c r="U31" s="39"/>
      <c r="V31" s="38"/>
      <c r="W31" s="39"/>
      <c r="X31" s="38"/>
      <c r="Y31" s="39"/>
      <c r="Z31" s="38"/>
      <c r="AA31" s="40"/>
      <c r="AB31" s="38"/>
      <c r="AC31" s="40"/>
      <c r="AD31" s="38"/>
      <c r="AE31" s="40"/>
      <c r="AF31" s="38"/>
      <c r="AG31" s="40"/>
      <c r="AH31" s="38"/>
      <c r="AI31" s="40"/>
      <c r="AJ31" s="38"/>
      <c r="AK31" s="40"/>
      <c r="AL31" s="38"/>
      <c r="AM31" s="41"/>
      <c r="AN31" s="38"/>
      <c r="AO31" s="41"/>
      <c r="AP31" s="38">
        <v>54305.82</v>
      </c>
      <c r="AQ31" s="41"/>
      <c r="AR31" s="38"/>
      <c r="AS31" s="41"/>
      <c r="AT31" s="38"/>
      <c r="AU31" s="41"/>
      <c r="AV31" s="38"/>
      <c r="AW31" s="41"/>
      <c r="AX31" s="38"/>
      <c r="AY31" s="42">
        <f t="shared" si="0"/>
        <v>212337.1</v>
      </c>
      <c r="AZ31" s="43">
        <f t="shared" si="1"/>
        <v>106168.55</v>
      </c>
    </row>
    <row r="32" spans="1:52" ht="21.75" customHeight="1" x14ac:dyDescent="0.35">
      <c r="A32" s="24" t="s">
        <v>105</v>
      </c>
      <c r="B32" s="36" t="str">
        <f>'📋 بيانات المحطات'!B32</f>
        <v>صامطة</v>
      </c>
      <c r="C32" s="37"/>
      <c r="D32" s="38"/>
      <c r="E32" s="37"/>
      <c r="F32" s="38">
        <v>170986.18</v>
      </c>
      <c r="G32" s="37"/>
      <c r="H32" s="38"/>
      <c r="I32" s="37"/>
      <c r="J32" s="38"/>
      <c r="K32" s="37"/>
      <c r="L32" s="38"/>
      <c r="M32" s="37"/>
      <c r="N32" s="38"/>
      <c r="O32" s="39"/>
      <c r="P32" s="38"/>
      <c r="Q32" s="39"/>
      <c r="R32" s="38">
        <v>157208.01</v>
      </c>
      <c r="S32" s="39"/>
      <c r="T32" s="38"/>
      <c r="U32" s="39"/>
      <c r="V32" s="38"/>
      <c r="W32" s="39"/>
      <c r="X32" s="38"/>
      <c r="Y32" s="39"/>
      <c r="Z32" s="38"/>
      <c r="AA32" s="40"/>
      <c r="AB32" s="38"/>
      <c r="AC32" s="40"/>
      <c r="AD32" s="38"/>
      <c r="AE32" s="40"/>
      <c r="AF32" s="38"/>
      <c r="AG32" s="40"/>
      <c r="AH32" s="38"/>
      <c r="AI32" s="40"/>
      <c r="AJ32" s="38"/>
      <c r="AK32" s="40"/>
      <c r="AL32" s="38"/>
      <c r="AM32" s="41"/>
      <c r="AN32" s="38"/>
      <c r="AO32" s="41"/>
      <c r="AP32" s="38">
        <v>246657.86</v>
      </c>
      <c r="AQ32" s="41"/>
      <c r="AR32" s="38"/>
      <c r="AS32" s="41"/>
      <c r="AT32" s="38"/>
      <c r="AU32" s="41"/>
      <c r="AV32" s="38"/>
      <c r="AW32" s="41"/>
      <c r="AX32" s="38"/>
      <c r="AY32" s="42">
        <f t="shared" si="0"/>
        <v>574852.05000000005</v>
      </c>
      <c r="AZ32" s="43">
        <f t="shared" si="1"/>
        <v>287426.02500000002</v>
      </c>
    </row>
    <row r="33" spans="1:52" ht="21.75" customHeight="1" x14ac:dyDescent="0.35">
      <c r="A33" s="17" t="s">
        <v>108</v>
      </c>
      <c r="B33" s="36" t="str">
        <f>'📋 بيانات المحطات'!B33</f>
        <v>صبيا</v>
      </c>
      <c r="C33" s="37"/>
      <c r="D33" s="38"/>
      <c r="E33" s="37"/>
      <c r="F33" s="38">
        <v>368951.32</v>
      </c>
      <c r="G33" s="37"/>
      <c r="H33" s="38"/>
      <c r="I33" s="37"/>
      <c r="J33" s="38"/>
      <c r="K33" s="37"/>
      <c r="L33" s="38"/>
      <c r="M33" s="37"/>
      <c r="N33" s="38"/>
      <c r="O33" s="39"/>
      <c r="P33" s="38"/>
      <c r="Q33" s="39"/>
      <c r="R33" s="38">
        <v>363164.42</v>
      </c>
      <c r="S33" s="39"/>
      <c r="T33" s="38"/>
      <c r="U33" s="39"/>
      <c r="V33" s="38"/>
      <c r="W33" s="39"/>
      <c r="X33" s="38"/>
      <c r="Y33" s="39"/>
      <c r="Z33" s="38"/>
      <c r="AA33" s="40"/>
      <c r="AB33" s="38"/>
      <c r="AC33" s="40"/>
      <c r="AD33" s="38"/>
      <c r="AE33" s="40"/>
      <c r="AF33" s="38"/>
      <c r="AG33" s="40"/>
      <c r="AH33" s="38"/>
      <c r="AI33" s="40"/>
      <c r="AJ33" s="38"/>
      <c r="AK33" s="40"/>
      <c r="AL33" s="38"/>
      <c r="AM33" s="41"/>
      <c r="AN33" s="38"/>
      <c r="AO33" s="41"/>
      <c r="AP33" s="38">
        <v>54612.22</v>
      </c>
      <c r="AQ33" s="41"/>
      <c r="AR33" s="38"/>
      <c r="AS33" s="41"/>
      <c r="AT33" s="38"/>
      <c r="AU33" s="41"/>
      <c r="AV33" s="38"/>
      <c r="AW33" s="41"/>
      <c r="AX33" s="38"/>
      <c r="AY33" s="42">
        <f t="shared" si="0"/>
        <v>786727.96</v>
      </c>
      <c r="AZ33" s="43">
        <f t="shared" si="1"/>
        <v>393363.98</v>
      </c>
    </row>
    <row r="34" spans="1:52" ht="21.75" customHeight="1" x14ac:dyDescent="0.35">
      <c r="A34" s="24" t="s">
        <v>111</v>
      </c>
      <c r="B34" s="36" t="str">
        <f>'📋 بيانات المحطات'!B34</f>
        <v>السواط</v>
      </c>
      <c r="C34" s="37"/>
      <c r="D34" s="38"/>
      <c r="E34" s="37"/>
      <c r="F34" s="38">
        <v>331267</v>
      </c>
      <c r="G34" s="37"/>
      <c r="H34" s="38"/>
      <c r="I34" s="37"/>
      <c r="J34" s="38"/>
      <c r="K34" s="37"/>
      <c r="L34" s="38"/>
      <c r="M34" s="37"/>
      <c r="N34" s="38"/>
      <c r="O34" s="39"/>
      <c r="P34" s="38"/>
      <c r="Q34" s="39"/>
      <c r="R34" s="38">
        <v>297167.49</v>
      </c>
      <c r="S34" s="39"/>
      <c r="T34" s="38"/>
      <c r="U34" s="39"/>
      <c r="V34" s="38"/>
      <c r="W34" s="39"/>
      <c r="X34" s="38"/>
      <c r="Y34" s="39"/>
      <c r="Z34" s="38"/>
      <c r="AA34" s="40"/>
      <c r="AB34" s="38"/>
      <c r="AC34" s="40"/>
      <c r="AD34" s="38"/>
      <c r="AE34" s="40"/>
      <c r="AF34" s="38"/>
      <c r="AG34" s="40"/>
      <c r="AH34" s="38"/>
      <c r="AI34" s="40"/>
      <c r="AJ34" s="38"/>
      <c r="AK34" s="40"/>
      <c r="AL34" s="38"/>
      <c r="AM34" s="41"/>
      <c r="AN34" s="38"/>
      <c r="AO34" s="41"/>
      <c r="AP34" s="38">
        <v>300993.51</v>
      </c>
      <c r="AQ34" s="41"/>
      <c r="AR34" s="38"/>
      <c r="AS34" s="41"/>
      <c r="AT34" s="38"/>
      <c r="AU34" s="41"/>
      <c r="AV34" s="38"/>
      <c r="AW34" s="41"/>
      <c r="AX34" s="38"/>
      <c r="AY34" s="42">
        <f t="shared" si="0"/>
        <v>929428</v>
      </c>
      <c r="AZ34" s="43">
        <f t="shared" si="1"/>
        <v>464714</v>
      </c>
    </row>
    <row r="35" spans="1:52" ht="21.75" customHeight="1" x14ac:dyDescent="0.35">
      <c r="A35" s="17" t="s">
        <v>114</v>
      </c>
      <c r="B35" s="36" t="str">
        <f>'📋 بيانات المحطات'!B35</f>
        <v>جعرانة</v>
      </c>
      <c r="C35" s="37"/>
      <c r="D35" s="38"/>
      <c r="E35" s="37"/>
      <c r="F35" s="38">
        <v>793697.08</v>
      </c>
      <c r="G35" s="37"/>
      <c r="H35" s="38"/>
      <c r="I35" s="37"/>
      <c r="J35" s="38"/>
      <c r="K35" s="37"/>
      <c r="L35" s="38"/>
      <c r="M35" s="37"/>
      <c r="N35" s="38"/>
      <c r="O35" s="39"/>
      <c r="P35" s="38"/>
      <c r="Q35" s="39"/>
      <c r="R35" s="38">
        <v>439299.04</v>
      </c>
      <c r="S35" s="39"/>
      <c r="T35" s="38"/>
      <c r="U35" s="39"/>
      <c r="V35" s="38"/>
      <c r="W35" s="39"/>
      <c r="X35" s="38"/>
      <c r="Y35" s="39"/>
      <c r="Z35" s="38"/>
      <c r="AA35" s="40"/>
      <c r="AB35" s="38"/>
      <c r="AC35" s="40"/>
      <c r="AD35" s="38"/>
      <c r="AE35" s="40"/>
      <c r="AF35" s="38"/>
      <c r="AG35" s="40"/>
      <c r="AH35" s="38"/>
      <c r="AI35" s="40"/>
      <c r="AJ35" s="38"/>
      <c r="AK35" s="40"/>
      <c r="AL35" s="38"/>
      <c r="AM35" s="41"/>
      <c r="AN35" s="38"/>
      <c r="AO35" s="41"/>
      <c r="AP35" s="38">
        <v>225501.12</v>
      </c>
      <c r="AQ35" s="41"/>
      <c r="AR35" s="38"/>
      <c r="AS35" s="41"/>
      <c r="AT35" s="38"/>
      <c r="AU35" s="41"/>
      <c r="AV35" s="38"/>
      <c r="AW35" s="41"/>
      <c r="AX35" s="38"/>
      <c r="AY35" s="42">
        <f t="shared" si="0"/>
        <v>1458497.2399999998</v>
      </c>
      <c r="AZ35" s="43">
        <f t="shared" si="1"/>
        <v>729248.61999999988</v>
      </c>
    </row>
    <row r="36" spans="1:52" ht="21.75" customHeight="1" x14ac:dyDescent="0.35">
      <c r="A36" s="24" t="s">
        <v>117</v>
      </c>
      <c r="B36" s="36" t="str">
        <f>'📋 بيانات المحطات'!B36</f>
        <v>العزيزية بن دهيش</v>
      </c>
      <c r="C36" s="37"/>
      <c r="D36" s="38"/>
      <c r="E36" s="37"/>
      <c r="F36" s="38">
        <v>643075.24</v>
      </c>
      <c r="G36" s="37"/>
      <c r="H36" s="38"/>
      <c r="I36" s="37"/>
      <c r="J36" s="38"/>
      <c r="K36" s="37"/>
      <c r="L36" s="38"/>
      <c r="M36" s="37"/>
      <c r="N36" s="38"/>
      <c r="O36" s="39"/>
      <c r="P36" s="38"/>
      <c r="Q36" s="39"/>
      <c r="R36" s="38">
        <v>563146.39</v>
      </c>
      <c r="S36" s="39"/>
      <c r="T36" s="38"/>
      <c r="U36" s="39"/>
      <c r="V36" s="38"/>
      <c r="W36" s="39"/>
      <c r="X36" s="38"/>
      <c r="Y36" s="39"/>
      <c r="Z36" s="38"/>
      <c r="AA36" s="40"/>
      <c r="AB36" s="38"/>
      <c r="AC36" s="40"/>
      <c r="AD36" s="38"/>
      <c r="AE36" s="40"/>
      <c r="AF36" s="38"/>
      <c r="AG36" s="40"/>
      <c r="AH36" s="38"/>
      <c r="AI36" s="40"/>
      <c r="AJ36" s="38"/>
      <c r="AK36" s="40"/>
      <c r="AL36" s="38"/>
      <c r="AM36" s="41"/>
      <c r="AN36" s="38"/>
      <c r="AO36" s="41"/>
      <c r="AP36" s="38">
        <v>117714.69</v>
      </c>
      <c r="AQ36" s="41"/>
      <c r="AR36" s="38"/>
      <c r="AS36" s="41"/>
      <c r="AT36" s="38"/>
      <c r="AU36" s="41"/>
      <c r="AV36" s="38"/>
      <c r="AW36" s="41"/>
      <c r="AX36" s="38"/>
      <c r="AY36" s="42">
        <f t="shared" si="0"/>
        <v>1323936.3199999998</v>
      </c>
      <c r="AZ36" s="43">
        <f t="shared" si="1"/>
        <v>661968.15999999992</v>
      </c>
    </row>
    <row r="37" spans="1:52" ht="21.75" customHeight="1" x14ac:dyDescent="0.35">
      <c r="A37" s="17" t="s">
        <v>120</v>
      </c>
      <c r="B37" s="36" t="str">
        <f>'📋 بيانات المحطات'!B37</f>
        <v>الرياض الدائري الشمالي</v>
      </c>
      <c r="C37" s="37"/>
      <c r="D37" s="38"/>
      <c r="E37" s="37"/>
      <c r="F37" s="38">
        <v>224477.92</v>
      </c>
      <c r="G37" s="37"/>
      <c r="H37" s="38"/>
      <c r="I37" s="37"/>
      <c r="J37" s="38"/>
      <c r="K37" s="37"/>
      <c r="L37" s="38"/>
      <c r="M37" s="37"/>
      <c r="N37" s="38"/>
      <c r="O37" s="39"/>
      <c r="P37" s="38"/>
      <c r="Q37" s="39"/>
      <c r="R37" s="38">
        <v>208831.4</v>
      </c>
      <c r="S37" s="39"/>
      <c r="T37" s="38"/>
      <c r="U37" s="39"/>
      <c r="V37" s="38"/>
      <c r="W37" s="39"/>
      <c r="X37" s="38"/>
      <c r="Y37" s="39"/>
      <c r="Z37" s="38"/>
      <c r="AA37" s="40"/>
      <c r="AB37" s="38"/>
      <c r="AC37" s="40"/>
      <c r="AD37" s="38"/>
      <c r="AE37" s="40"/>
      <c r="AF37" s="38"/>
      <c r="AG37" s="40"/>
      <c r="AH37" s="38"/>
      <c r="AI37" s="40"/>
      <c r="AJ37" s="38"/>
      <c r="AK37" s="40"/>
      <c r="AL37" s="38"/>
      <c r="AM37" s="41"/>
      <c r="AN37" s="38"/>
      <c r="AO37" s="41"/>
      <c r="AP37" s="38">
        <v>59701.41</v>
      </c>
      <c r="AQ37" s="41"/>
      <c r="AR37" s="38"/>
      <c r="AS37" s="41"/>
      <c r="AT37" s="38"/>
      <c r="AU37" s="41"/>
      <c r="AV37" s="38"/>
      <c r="AW37" s="41"/>
      <c r="AX37" s="38"/>
      <c r="AY37" s="42">
        <f t="shared" si="0"/>
        <v>493010.73</v>
      </c>
      <c r="AZ37" s="43">
        <f t="shared" si="1"/>
        <v>246505.36499999999</v>
      </c>
    </row>
    <row r="38" spans="1:52" ht="21.75" customHeight="1" x14ac:dyDescent="0.35">
      <c r="A38" s="24" t="s">
        <v>123</v>
      </c>
      <c r="B38" s="36" t="str">
        <f>'📋 بيانات المحطات'!B38</f>
        <v>الكر النازل</v>
      </c>
      <c r="C38" s="37"/>
      <c r="D38" s="38"/>
      <c r="E38" s="37"/>
      <c r="F38" s="38">
        <v>320489.65000000002</v>
      </c>
      <c r="G38" s="37"/>
      <c r="H38" s="38"/>
      <c r="I38" s="37"/>
      <c r="J38" s="38"/>
      <c r="K38" s="37"/>
      <c r="L38" s="38"/>
      <c r="M38" s="37"/>
      <c r="N38" s="38"/>
      <c r="O38" s="39"/>
      <c r="P38" s="38"/>
      <c r="Q38" s="39"/>
      <c r="R38" s="38">
        <v>370637.4</v>
      </c>
      <c r="S38" s="39"/>
      <c r="T38" s="38"/>
      <c r="U38" s="39"/>
      <c r="V38" s="38"/>
      <c r="W38" s="39"/>
      <c r="X38" s="38"/>
      <c r="Y38" s="39"/>
      <c r="Z38" s="38"/>
      <c r="AA38" s="40"/>
      <c r="AB38" s="38"/>
      <c r="AC38" s="40"/>
      <c r="AD38" s="38"/>
      <c r="AE38" s="40"/>
      <c r="AF38" s="38"/>
      <c r="AG38" s="40"/>
      <c r="AH38" s="38"/>
      <c r="AI38" s="40"/>
      <c r="AJ38" s="38"/>
      <c r="AK38" s="40"/>
      <c r="AL38" s="38"/>
      <c r="AM38" s="41"/>
      <c r="AN38" s="38"/>
      <c r="AO38" s="41"/>
      <c r="AP38" s="38">
        <v>23433.75</v>
      </c>
      <c r="AQ38" s="41"/>
      <c r="AR38" s="38"/>
      <c r="AS38" s="41"/>
      <c r="AT38" s="38"/>
      <c r="AU38" s="41"/>
      <c r="AV38" s="38"/>
      <c r="AW38" s="41"/>
      <c r="AX38" s="38"/>
      <c r="AY38" s="42">
        <f t="shared" si="0"/>
        <v>714560.8</v>
      </c>
      <c r="AZ38" s="43">
        <f t="shared" si="1"/>
        <v>357280.4</v>
      </c>
    </row>
    <row r="39" spans="1:52" ht="21.75" customHeight="1" x14ac:dyDescent="0.35">
      <c r="A39" s="17" t="s">
        <v>126</v>
      </c>
      <c r="B39" s="36" t="str">
        <f>'📋 بيانات المحطات'!B39</f>
        <v>كرنيش جيزان</v>
      </c>
      <c r="C39" s="37"/>
      <c r="D39" s="38"/>
      <c r="E39" s="37"/>
      <c r="F39" s="38">
        <v>121522.17</v>
      </c>
      <c r="G39" s="37"/>
      <c r="H39" s="38"/>
      <c r="I39" s="37"/>
      <c r="J39" s="38"/>
      <c r="K39" s="37"/>
      <c r="L39" s="38"/>
      <c r="M39" s="37"/>
      <c r="N39" s="38"/>
      <c r="O39" s="39"/>
      <c r="P39" s="38"/>
      <c r="Q39" s="39"/>
      <c r="R39" s="38">
        <v>107246.13</v>
      </c>
      <c r="S39" s="39"/>
      <c r="T39" s="38"/>
      <c r="U39" s="39"/>
      <c r="V39" s="38"/>
      <c r="W39" s="39"/>
      <c r="X39" s="38"/>
      <c r="Y39" s="39"/>
      <c r="Z39" s="38"/>
      <c r="AA39" s="40"/>
      <c r="AB39" s="38"/>
      <c r="AC39" s="40"/>
      <c r="AD39" s="38"/>
      <c r="AE39" s="40"/>
      <c r="AF39" s="38"/>
      <c r="AG39" s="40"/>
      <c r="AH39" s="38"/>
      <c r="AI39" s="40"/>
      <c r="AJ39" s="38"/>
      <c r="AK39" s="40"/>
      <c r="AL39" s="38"/>
      <c r="AM39" s="41"/>
      <c r="AN39" s="38"/>
      <c r="AO39" s="41"/>
      <c r="AP39" s="38">
        <v>356533.8</v>
      </c>
      <c r="AQ39" s="41"/>
      <c r="AR39" s="38"/>
      <c r="AS39" s="41"/>
      <c r="AT39" s="38"/>
      <c r="AU39" s="41"/>
      <c r="AV39" s="38"/>
      <c r="AW39" s="41"/>
      <c r="AX39" s="38"/>
      <c r="AY39" s="42">
        <f t="shared" ref="AY39:AY70" si="2">SUM(C39:N39)+SUM(O39:Z39)+SUM(AA39:AL39)+SUM(AM39:AX39)</f>
        <v>585302.1</v>
      </c>
      <c r="AZ39" s="43">
        <f t="shared" ref="AZ39:AZ70" si="3">IFERROR(AY39/COUNTIF(C39:AN39,"&gt;0"),"")</f>
        <v>292651.05</v>
      </c>
    </row>
    <row r="40" spans="1:52" ht="21.75" customHeight="1" x14ac:dyDescent="0.35">
      <c r="A40" s="24" t="s">
        <v>129</v>
      </c>
      <c r="B40" s="36" t="str">
        <f>'📋 بيانات المحطات'!B40</f>
        <v>الخليص</v>
      </c>
      <c r="C40" s="37"/>
      <c r="D40" s="38"/>
      <c r="E40" s="37"/>
      <c r="F40" s="38">
        <v>153858.31</v>
      </c>
      <c r="G40" s="37"/>
      <c r="H40" s="38"/>
      <c r="I40" s="37"/>
      <c r="J40" s="38"/>
      <c r="K40" s="37"/>
      <c r="L40" s="38"/>
      <c r="M40" s="37"/>
      <c r="N40" s="38"/>
      <c r="O40" s="39"/>
      <c r="P40" s="38"/>
      <c r="Q40" s="39"/>
      <c r="R40" s="38">
        <v>173144.8</v>
      </c>
      <c r="S40" s="39"/>
      <c r="T40" s="38"/>
      <c r="U40" s="39"/>
      <c r="V40" s="38"/>
      <c r="W40" s="39"/>
      <c r="X40" s="38"/>
      <c r="Y40" s="39"/>
      <c r="Z40" s="38"/>
      <c r="AA40" s="40"/>
      <c r="AB40" s="38"/>
      <c r="AC40" s="40"/>
      <c r="AD40" s="38"/>
      <c r="AE40" s="40"/>
      <c r="AF40" s="38"/>
      <c r="AG40" s="40"/>
      <c r="AH40" s="38"/>
      <c r="AI40" s="40"/>
      <c r="AJ40" s="38"/>
      <c r="AK40" s="40"/>
      <c r="AL40" s="38"/>
      <c r="AM40" s="41"/>
      <c r="AN40" s="38"/>
      <c r="AO40" s="41"/>
      <c r="AP40" s="38">
        <v>80199.740000000005</v>
      </c>
      <c r="AQ40" s="41"/>
      <c r="AR40" s="38"/>
      <c r="AS40" s="41"/>
      <c r="AT40" s="38"/>
      <c r="AU40" s="41"/>
      <c r="AV40" s="38"/>
      <c r="AW40" s="41"/>
      <c r="AX40" s="38"/>
      <c r="AY40" s="42">
        <f t="shared" si="2"/>
        <v>407202.85</v>
      </c>
      <c r="AZ40" s="43">
        <f t="shared" si="3"/>
        <v>203601.42499999999</v>
      </c>
    </row>
    <row r="41" spans="1:52" ht="21.75" customHeight="1" x14ac:dyDescent="0.35">
      <c r="A41" s="17" t="s">
        <v>132</v>
      </c>
      <c r="B41" s="36" t="str">
        <f>'📋 بيانات المحطات'!B41</f>
        <v>صبيا نخلان</v>
      </c>
      <c r="C41" s="37"/>
      <c r="D41" s="38"/>
      <c r="E41" s="37"/>
      <c r="F41" s="38">
        <v>153827.39000000001</v>
      </c>
      <c r="G41" s="37"/>
      <c r="H41" s="38"/>
      <c r="I41" s="37"/>
      <c r="J41" s="38"/>
      <c r="K41" s="37"/>
      <c r="L41" s="38"/>
      <c r="M41" s="37"/>
      <c r="N41" s="38"/>
      <c r="O41" s="39"/>
      <c r="P41" s="38"/>
      <c r="Q41" s="39"/>
      <c r="R41" s="38">
        <v>151678.67000000001</v>
      </c>
      <c r="S41" s="39"/>
      <c r="T41" s="38"/>
      <c r="U41" s="39"/>
      <c r="V41" s="38"/>
      <c r="W41" s="39"/>
      <c r="X41" s="38"/>
      <c r="Y41" s="39"/>
      <c r="Z41" s="38"/>
      <c r="AA41" s="40"/>
      <c r="AB41" s="38"/>
      <c r="AC41" s="40"/>
      <c r="AD41" s="38"/>
      <c r="AE41" s="40"/>
      <c r="AF41" s="38"/>
      <c r="AG41" s="40"/>
      <c r="AH41" s="38"/>
      <c r="AI41" s="40"/>
      <c r="AJ41" s="38"/>
      <c r="AK41" s="40"/>
      <c r="AL41" s="38"/>
      <c r="AM41" s="41"/>
      <c r="AN41" s="38"/>
      <c r="AO41" s="41"/>
      <c r="AP41" s="38">
        <v>89591.72</v>
      </c>
      <c r="AQ41" s="41"/>
      <c r="AR41" s="38"/>
      <c r="AS41" s="41"/>
      <c r="AT41" s="38"/>
      <c r="AU41" s="41"/>
      <c r="AV41" s="38"/>
      <c r="AW41" s="41"/>
      <c r="AX41" s="38"/>
      <c r="AY41" s="42">
        <f t="shared" si="2"/>
        <v>395097.78</v>
      </c>
      <c r="AZ41" s="43">
        <f t="shared" si="3"/>
        <v>197548.89</v>
      </c>
    </row>
    <row r="42" spans="1:52" ht="21.75" customHeight="1" x14ac:dyDescent="0.35">
      <c r="A42" s="24" t="s">
        <v>136</v>
      </c>
      <c r="B42" s="36" t="str">
        <f>'📋 بيانات المحطات'!B42</f>
        <v>العرجاني الخرج</v>
      </c>
      <c r="C42" s="37"/>
      <c r="D42" s="38"/>
      <c r="E42" s="37"/>
      <c r="F42" s="38">
        <v>260209.29</v>
      </c>
      <c r="G42" s="37"/>
      <c r="H42" s="38"/>
      <c r="I42" s="37"/>
      <c r="J42" s="38"/>
      <c r="K42" s="37"/>
      <c r="L42" s="38"/>
      <c r="M42" s="37"/>
      <c r="N42" s="38"/>
      <c r="O42" s="39"/>
      <c r="P42" s="38"/>
      <c r="Q42" s="39"/>
      <c r="R42" s="38">
        <v>170528.89</v>
      </c>
      <c r="S42" s="39"/>
      <c r="T42" s="38"/>
      <c r="U42" s="39"/>
      <c r="V42" s="38"/>
      <c r="W42" s="39"/>
      <c r="X42" s="38"/>
      <c r="Y42" s="39"/>
      <c r="Z42" s="38"/>
      <c r="AA42" s="40"/>
      <c r="AB42" s="38"/>
      <c r="AC42" s="40"/>
      <c r="AD42" s="38"/>
      <c r="AE42" s="40"/>
      <c r="AF42" s="38"/>
      <c r="AG42" s="40"/>
      <c r="AH42" s="38"/>
      <c r="AI42" s="40"/>
      <c r="AJ42" s="38"/>
      <c r="AK42" s="40"/>
      <c r="AL42" s="38"/>
      <c r="AM42" s="41"/>
      <c r="AN42" s="38"/>
      <c r="AO42" s="41"/>
      <c r="AP42" s="38">
        <v>45201.42</v>
      </c>
      <c r="AQ42" s="41"/>
      <c r="AR42" s="38"/>
      <c r="AS42" s="41"/>
      <c r="AT42" s="38"/>
      <c r="AU42" s="41"/>
      <c r="AV42" s="38"/>
      <c r="AW42" s="41"/>
      <c r="AX42" s="38"/>
      <c r="AY42" s="42">
        <f t="shared" si="2"/>
        <v>475939.60000000003</v>
      </c>
      <c r="AZ42" s="43">
        <f t="shared" si="3"/>
        <v>237969.80000000002</v>
      </c>
    </row>
    <row r="43" spans="1:52" ht="21.75" customHeight="1" x14ac:dyDescent="0.35">
      <c r="A43" s="17" t="s">
        <v>139</v>
      </c>
      <c r="B43" s="36" t="str">
        <f>'📋 بيانات المحطات'!B43</f>
        <v>الملك خالد طائف</v>
      </c>
      <c r="C43" s="37"/>
      <c r="D43" s="38"/>
      <c r="E43" s="37"/>
      <c r="F43" s="38">
        <v>300877.93</v>
      </c>
      <c r="G43" s="37"/>
      <c r="H43" s="38"/>
      <c r="I43" s="37"/>
      <c r="J43" s="38"/>
      <c r="K43" s="37"/>
      <c r="L43" s="38"/>
      <c r="M43" s="37"/>
      <c r="N43" s="38"/>
      <c r="O43" s="39"/>
      <c r="P43" s="38"/>
      <c r="Q43" s="39"/>
      <c r="R43" s="38">
        <v>167524.24</v>
      </c>
      <c r="S43" s="39"/>
      <c r="T43" s="38"/>
      <c r="U43" s="39"/>
      <c r="V43" s="38"/>
      <c r="W43" s="39"/>
      <c r="X43" s="38"/>
      <c r="Y43" s="39"/>
      <c r="Z43" s="38"/>
      <c r="AA43" s="40"/>
      <c r="AB43" s="38"/>
      <c r="AC43" s="40"/>
      <c r="AD43" s="38"/>
      <c r="AE43" s="40"/>
      <c r="AF43" s="38"/>
      <c r="AG43" s="40"/>
      <c r="AH43" s="38"/>
      <c r="AI43" s="40"/>
      <c r="AJ43" s="38"/>
      <c r="AK43" s="40"/>
      <c r="AL43" s="38"/>
      <c r="AM43" s="41"/>
      <c r="AN43" s="38"/>
      <c r="AO43" s="41"/>
      <c r="AP43" s="38">
        <v>118559.18</v>
      </c>
      <c r="AQ43" s="41"/>
      <c r="AR43" s="38"/>
      <c r="AS43" s="41"/>
      <c r="AT43" s="38"/>
      <c r="AU43" s="41"/>
      <c r="AV43" s="38"/>
      <c r="AW43" s="41"/>
      <c r="AX43" s="38"/>
      <c r="AY43" s="42">
        <f t="shared" si="2"/>
        <v>586961.35</v>
      </c>
      <c r="AZ43" s="43">
        <f t="shared" si="3"/>
        <v>293480.67499999999</v>
      </c>
    </row>
    <row r="44" spans="1:52" ht="21.75" customHeight="1" x14ac:dyDescent="0.35">
      <c r="A44" s="24" t="s">
        <v>142</v>
      </c>
      <c r="B44" s="36" t="str">
        <f>'📋 بيانات المحطات'!B44</f>
        <v>الاجاويد-جدة</v>
      </c>
      <c r="C44" s="37"/>
      <c r="D44" s="38"/>
      <c r="E44" s="37"/>
      <c r="F44" s="38">
        <v>152162.32999999999</v>
      </c>
      <c r="G44" s="37"/>
      <c r="H44" s="38"/>
      <c r="I44" s="37"/>
      <c r="J44" s="38"/>
      <c r="K44" s="37"/>
      <c r="L44" s="38"/>
      <c r="M44" s="37"/>
      <c r="N44" s="38"/>
      <c r="O44" s="39"/>
      <c r="P44" s="38"/>
      <c r="Q44" s="39"/>
      <c r="R44" s="38">
        <v>135980.09</v>
      </c>
      <c r="S44" s="39"/>
      <c r="T44" s="38"/>
      <c r="U44" s="39"/>
      <c r="V44" s="38"/>
      <c r="W44" s="39"/>
      <c r="X44" s="38"/>
      <c r="Y44" s="39"/>
      <c r="Z44" s="38"/>
      <c r="AA44" s="40"/>
      <c r="AB44" s="38"/>
      <c r="AC44" s="40"/>
      <c r="AD44" s="38"/>
      <c r="AE44" s="40"/>
      <c r="AF44" s="38"/>
      <c r="AG44" s="40"/>
      <c r="AH44" s="38"/>
      <c r="AI44" s="40"/>
      <c r="AJ44" s="38"/>
      <c r="AK44" s="40"/>
      <c r="AL44" s="38"/>
      <c r="AM44" s="41"/>
      <c r="AN44" s="38"/>
      <c r="AO44" s="41"/>
      <c r="AP44" s="38">
        <v>6520.79</v>
      </c>
      <c r="AQ44" s="41"/>
      <c r="AR44" s="38"/>
      <c r="AS44" s="41"/>
      <c r="AT44" s="38"/>
      <c r="AU44" s="41"/>
      <c r="AV44" s="38"/>
      <c r="AW44" s="41"/>
      <c r="AX44" s="38"/>
      <c r="AY44" s="42">
        <f t="shared" si="2"/>
        <v>294663.20999999996</v>
      </c>
      <c r="AZ44" s="43">
        <f t="shared" si="3"/>
        <v>147331.60499999998</v>
      </c>
    </row>
    <row r="45" spans="1:52" ht="21.75" customHeight="1" x14ac:dyDescent="0.35">
      <c r="A45" s="17" t="s">
        <v>145</v>
      </c>
      <c r="B45" s="36" t="str">
        <f>'📋 بيانات المحطات'!B45</f>
        <v>البيعة</v>
      </c>
      <c r="C45" s="37"/>
      <c r="D45" s="38"/>
      <c r="E45" s="37"/>
      <c r="F45" s="38">
        <v>1363132.28</v>
      </c>
      <c r="G45" s="37"/>
      <c r="H45" s="38"/>
      <c r="I45" s="37"/>
      <c r="J45" s="38"/>
      <c r="K45" s="37"/>
      <c r="L45" s="38"/>
      <c r="M45" s="37"/>
      <c r="N45" s="38"/>
      <c r="O45" s="39"/>
      <c r="P45" s="38"/>
      <c r="Q45" s="39"/>
      <c r="R45" s="38">
        <v>1362569.58</v>
      </c>
      <c r="S45" s="39"/>
      <c r="T45" s="38"/>
      <c r="U45" s="39"/>
      <c r="V45" s="38"/>
      <c r="W45" s="39"/>
      <c r="X45" s="38"/>
      <c r="Y45" s="39"/>
      <c r="Z45" s="38"/>
      <c r="AA45" s="40"/>
      <c r="AB45" s="38"/>
      <c r="AC45" s="40"/>
      <c r="AD45" s="38"/>
      <c r="AE45" s="40"/>
      <c r="AF45" s="38"/>
      <c r="AG45" s="40"/>
      <c r="AH45" s="38"/>
      <c r="AI45" s="40"/>
      <c r="AJ45" s="38"/>
      <c r="AK45" s="40"/>
      <c r="AL45" s="38"/>
      <c r="AM45" s="41"/>
      <c r="AN45" s="38"/>
      <c r="AO45" s="41"/>
      <c r="AP45" s="38">
        <v>876553.85</v>
      </c>
      <c r="AQ45" s="41"/>
      <c r="AR45" s="38"/>
      <c r="AS45" s="41"/>
      <c r="AT45" s="38"/>
      <c r="AU45" s="41"/>
      <c r="AV45" s="38"/>
      <c r="AW45" s="41"/>
      <c r="AX45" s="38"/>
      <c r="AY45" s="42">
        <f t="shared" si="2"/>
        <v>3602255.7100000004</v>
      </c>
      <c r="AZ45" s="43">
        <f t="shared" si="3"/>
        <v>1801127.8550000002</v>
      </c>
    </row>
    <row r="46" spans="1:52" ht="21.75" customHeight="1" x14ac:dyDescent="0.35">
      <c r="A46" s="24" t="s">
        <v>148</v>
      </c>
      <c r="B46" s="36" t="str">
        <f>'📋 بيانات المحطات'!B46</f>
        <v>العمرة</v>
      </c>
      <c r="C46" s="37"/>
      <c r="D46" s="38"/>
      <c r="E46" s="37"/>
      <c r="F46" s="38">
        <v>247243.42</v>
      </c>
      <c r="G46" s="37"/>
      <c r="H46" s="38"/>
      <c r="I46" s="37"/>
      <c r="J46" s="38"/>
      <c r="K46" s="37"/>
      <c r="L46" s="38"/>
      <c r="M46" s="37"/>
      <c r="N46" s="38"/>
      <c r="O46" s="39"/>
      <c r="P46" s="38"/>
      <c r="Q46" s="39"/>
      <c r="R46" s="38">
        <v>257393.2</v>
      </c>
      <c r="S46" s="39"/>
      <c r="T46" s="38"/>
      <c r="U46" s="39"/>
      <c r="V46" s="38"/>
      <c r="W46" s="39"/>
      <c r="X46" s="38"/>
      <c r="Y46" s="39"/>
      <c r="Z46" s="38"/>
      <c r="AA46" s="40"/>
      <c r="AB46" s="38"/>
      <c r="AC46" s="40"/>
      <c r="AD46" s="38"/>
      <c r="AE46" s="40"/>
      <c r="AF46" s="38"/>
      <c r="AG46" s="40"/>
      <c r="AH46" s="38"/>
      <c r="AI46" s="40"/>
      <c r="AJ46" s="38"/>
      <c r="AK46" s="40"/>
      <c r="AL46" s="38"/>
      <c r="AM46" s="41"/>
      <c r="AN46" s="38"/>
      <c r="AO46" s="41"/>
      <c r="AP46" s="38">
        <v>86283.66</v>
      </c>
      <c r="AQ46" s="41"/>
      <c r="AR46" s="38"/>
      <c r="AS46" s="41"/>
      <c r="AT46" s="38"/>
      <c r="AU46" s="41"/>
      <c r="AV46" s="38"/>
      <c r="AW46" s="41"/>
      <c r="AX46" s="38"/>
      <c r="AY46" s="42">
        <f t="shared" si="2"/>
        <v>590920.28</v>
      </c>
      <c r="AZ46" s="43">
        <f t="shared" si="3"/>
        <v>295460.14</v>
      </c>
    </row>
    <row r="47" spans="1:52" ht="21.75" customHeight="1" x14ac:dyDescent="0.35">
      <c r="A47" s="17" t="s">
        <v>151</v>
      </c>
      <c r="B47" s="36" t="str">
        <f>'📋 بيانات المحطات'!B47</f>
        <v>الجموم</v>
      </c>
      <c r="C47" s="37"/>
      <c r="D47" s="38"/>
      <c r="E47" s="37"/>
      <c r="F47" s="38">
        <v>280614.3</v>
      </c>
      <c r="G47" s="37"/>
      <c r="H47" s="38"/>
      <c r="I47" s="37"/>
      <c r="J47" s="38"/>
      <c r="K47" s="37"/>
      <c r="L47" s="38"/>
      <c r="M47" s="37"/>
      <c r="N47" s="38"/>
      <c r="O47" s="39"/>
      <c r="P47" s="38"/>
      <c r="Q47" s="39"/>
      <c r="R47" s="38">
        <v>189179.1</v>
      </c>
      <c r="S47" s="39"/>
      <c r="T47" s="38"/>
      <c r="U47" s="39"/>
      <c r="V47" s="38"/>
      <c r="W47" s="39"/>
      <c r="X47" s="38"/>
      <c r="Y47" s="39"/>
      <c r="Z47" s="38"/>
      <c r="AA47" s="40"/>
      <c r="AB47" s="38"/>
      <c r="AC47" s="40"/>
      <c r="AD47" s="38"/>
      <c r="AE47" s="40"/>
      <c r="AF47" s="38"/>
      <c r="AG47" s="40"/>
      <c r="AH47" s="38"/>
      <c r="AI47" s="40"/>
      <c r="AJ47" s="38"/>
      <c r="AK47" s="40"/>
      <c r="AL47" s="38"/>
      <c r="AM47" s="41"/>
      <c r="AN47" s="38"/>
      <c r="AO47" s="41"/>
      <c r="AP47" s="38">
        <v>42576.97</v>
      </c>
      <c r="AQ47" s="41"/>
      <c r="AR47" s="38"/>
      <c r="AS47" s="41"/>
      <c r="AT47" s="38"/>
      <c r="AU47" s="41"/>
      <c r="AV47" s="38"/>
      <c r="AW47" s="41"/>
      <c r="AX47" s="38"/>
      <c r="AY47" s="42">
        <f t="shared" si="2"/>
        <v>512370.37</v>
      </c>
      <c r="AZ47" s="43">
        <f t="shared" si="3"/>
        <v>256185.185</v>
      </c>
    </row>
    <row r="48" spans="1:52" ht="21.75" customHeight="1" x14ac:dyDescent="0.35">
      <c r="A48" s="24" t="s">
        <v>154</v>
      </c>
      <c r="B48" s="36" t="str">
        <f>'📋 بيانات المحطات'!B48</f>
        <v>الخبر</v>
      </c>
      <c r="C48" s="37"/>
      <c r="D48" s="38"/>
      <c r="E48" s="37"/>
      <c r="F48" s="38">
        <v>120675.89</v>
      </c>
      <c r="G48" s="37"/>
      <c r="H48" s="38"/>
      <c r="I48" s="37"/>
      <c r="J48" s="38"/>
      <c r="K48" s="37"/>
      <c r="L48" s="38"/>
      <c r="M48" s="37"/>
      <c r="N48" s="38"/>
      <c r="O48" s="39"/>
      <c r="P48" s="38"/>
      <c r="Q48" s="39"/>
      <c r="R48" s="38">
        <v>66204.09</v>
      </c>
      <c r="S48" s="39"/>
      <c r="T48" s="38"/>
      <c r="U48" s="39"/>
      <c r="V48" s="38"/>
      <c r="W48" s="39"/>
      <c r="X48" s="38"/>
      <c r="Y48" s="39"/>
      <c r="Z48" s="38"/>
      <c r="AA48" s="40"/>
      <c r="AB48" s="38"/>
      <c r="AC48" s="40"/>
      <c r="AD48" s="38"/>
      <c r="AE48" s="40"/>
      <c r="AF48" s="38"/>
      <c r="AG48" s="40"/>
      <c r="AH48" s="38"/>
      <c r="AI48" s="40"/>
      <c r="AJ48" s="38"/>
      <c r="AK48" s="40"/>
      <c r="AL48" s="38"/>
      <c r="AM48" s="41"/>
      <c r="AN48" s="38"/>
      <c r="AO48" s="41"/>
      <c r="AP48" s="38">
        <v>96272.73</v>
      </c>
      <c r="AQ48" s="41"/>
      <c r="AR48" s="38"/>
      <c r="AS48" s="41"/>
      <c r="AT48" s="38"/>
      <c r="AU48" s="41"/>
      <c r="AV48" s="38"/>
      <c r="AW48" s="41"/>
      <c r="AX48" s="38"/>
      <c r="AY48" s="42">
        <f t="shared" si="2"/>
        <v>283152.70999999996</v>
      </c>
      <c r="AZ48" s="43">
        <f t="shared" si="3"/>
        <v>141576.35499999998</v>
      </c>
    </row>
    <row r="49" spans="1:52" ht="21.75" customHeight="1" x14ac:dyDescent="0.35">
      <c r="A49" s="17" t="s">
        <v>157</v>
      </c>
      <c r="B49" s="36" t="str">
        <f>'📋 بيانات المحطات'!B49</f>
        <v>الكوثر</v>
      </c>
      <c r="C49" s="37"/>
      <c r="D49" s="38"/>
      <c r="E49" s="37"/>
      <c r="F49" s="38">
        <v>92140.67</v>
      </c>
      <c r="G49" s="37"/>
      <c r="H49" s="38"/>
      <c r="I49" s="37"/>
      <c r="J49" s="38"/>
      <c r="K49" s="37"/>
      <c r="L49" s="38"/>
      <c r="M49" s="37"/>
      <c r="N49" s="38"/>
      <c r="O49" s="39"/>
      <c r="P49" s="38"/>
      <c r="Q49" s="39"/>
      <c r="R49" s="38">
        <v>82131.179999999993</v>
      </c>
      <c r="S49" s="39"/>
      <c r="T49" s="38"/>
      <c r="U49" s="39"/>
      <c r="V49" s="38"/>
      <c r="W49" s="39"/>
      <c r="X49" s="38"/>
      <c r="Y49" s="39"/>
      <c r="Z49" s="38"/>
      <c r="AA49" s="40"/>
      <c r="AB49" s="38"/>
      <c r="AC49" s="40"/>
      <c r="AD49" s="38"/>
      <c r="AE49" s="40"/>
      <c r="AF49" s="38"/>
      <c r="AG49" s="40"/>
      <c r="AH49" s="38"/>
      <c r="AI49" s="40"/>
      <c r="AJ49" s="38"/>
      <c r="AK49" s="40"/>
      <c r="AL49" s="38"/>
      <c r="AM49" s="41"/>
      <c r="AN49" s="38"/>
      <c r="AO49" s="41"/>
      <c r="AP49" s="38">
        <v>46246.67</v>
      </c>
      <c r="AQ49" s="41"/>
      <c r="AR49" s="38"/>
      <c r="AS49" s="41"/>
      <c r="AT49" s="38"/>
      <c r="AU49" s="41"/>
      <c r="AV49" s="38"/>
      <c r="AW49" s="41"/>
      <c r="AX49" s="38"/>
      <c r="AY49" s="42">
        <f t="shared" si="2"/>
        <v>220518.51999999996</v>
      </c>
      <c r="AZ49" s="43">
        <f t="shared" si="3"/>
        <v>110259.25999999998</v>
      </c>
    </row>
    <row r="50" spans="1:52" ht="21.75" customHeight="1" x14ac:dyDescent="0.35">
      <c r="A50" s="24" t="s">
        <v>160</v>
      </c>
      <c r="B50" s="36" t="str">
        <f>'📋 بيانات المحطات'!B50</f>
        <v>روابي جيزان</v>
      </c>
      <c r="C50" s="37"/>
      <c r="D50" s="38"/>
      <c r="E50" s="37"/>
      <c r="F50" s="38">
        <v>168303.63</v>
      </c>
      <c r="G50" s="37"/>
      <c r="H50" s="38"/>
      <c r="I50" s="37"/>
      <c r="J50" s="38"/>
      <c r="K50" s="37"/>
      <c r="L50" s="38"/>
      <c r="M50" s="37"/>
      <c r="N50" s="38"/>
      <c r="O50" s="39"/>
      <c r="P50" s="38"/>
      <c r="Q50" s="39"/>
      <c r="R50" s="38">
        <v>116571.29</v>
      </c>
      <c r="S50" s="39"/>
      <c r="T50" s="38"/>
      <c r="U50" s="39"/>
      <c r="V50" s="38"/>
      <c r="W50" s="39"/>
      <c r="X50" s="38"/>
      <c r="Y50" s="39"/>
      <c r="Z50" s="38"/>
      <c r="AA50" s="40"/>
      <c r="AB50" s="38"/>
      <c r="AC50" s="40"/>
      <c r="AD50" s="38"/>
      <c r="AE50" s="40"/>
      <c r="AF50" s="38"/>
      <c r="AG50" s="40"/>
      <c r="AH50" s="38"/>
      <c r="AI50" s="40"/>
      <c r="AJ50" s="38"/>
      <c r="AK50" s="40"/>
      <c r="AL50" s="38"/>
      <c r="AM50" s="41"/>
      <c r="AN50" s="38"/>
      <c r="AO50" s="41"/>
      <c r="AP50" s="38">
        <v>226101.83</v>
      </c>
      <c r="AQ50" s="41"/>
      <c r="AR50" s="38"/>
      <c r="AS50" s="41"/>
      <c r="AT50" s="38"/>
      <c r="AU50" s="41"/>
      <c r="AV50" s="38"/>
      <c r="AW50" s="41"/>
      <c r="AX50" s="38"/>
      <c r="AY50" s="42">
        <f t="shared" si="2"/>
        <v>510976.75</v>
      </c>
      <c r="AZ50" s="43">
        <f t="shared" si="3"/>
        <v>255488.375</v>
      </c>
    </row>
    <row r="51" spans="1:52" ht="21.75" customHeight="1" x14ac:dyDescent="0.35">
      <c r="A51" s="17" t="s">
        <v>163</v>
      </c>
      <c r="B51" s="36" t="str">
        <f>'📋 بيانات المحطات'!B51</f>
        <v>الدائري الشرقي</v>
      </c>
      <c r="C51" s="37"/>
      <c r="D51" s="38"/>
      <c r="E51" s="37"/>
      <c r="F51" s="38">
        <v>95560.41</v>
      </c>
      <c r="G51" s="37"/>
      <c r="H51" s="38"/>
      <c r="I51" s="37"/>
      <c r="J51" s="38"/>
      <c r="K51" s="37"/>
      <c r="L51" s="38"/>
      <c r="M51" s="37"/>
      <c r="N51" s="38"/>
      <c r="O51" s="39"/>
      <c r="P51" s="38"/>
      <c r="Q51" s="39"/>
      <c r="R51" s="38">
        <v>49954.76</v>
      </c>
      <c r="S51" s="39"/>
      <c r="T51" s="38"/>
      <c r="U51" s="39"/>
      <c r="V51" s="38"/>
      <c r="W51" s="39"/>
      <c r="X51" s="38"/>
      <c r="Y51" s="39"/>
      <c r="Z51" s="38"/>
      <c r="AA51" s="40"/>
      <c r="AB51" s="38"/>
      <c r="AC51" s="40"/>
      <c r="AD51" s="38"/>
      <c r="AE51" s="40"/>
      <c r="AF51" s="38"/>
      <c r="AG51" s="40"/>
      <c r="AH51" s="38"/>
      <c r="AI51" s="40"/>
      <c r="AJ51" s="38"/>
      <c r="AK51" s="40"/>
      <c r="AL51" s="38"/>
      <c r="AM51" s="41"/>
      <c r="AN51" s="38"/>
      <c r="AO51" s="41"/>
      <c r="AP51" s="38">
        <v>23924.720000000001</v>
      </c>
      <c r="AQ51" s="41"/>
      <c r="AR51" s="38"/>
      <c r="AS51" s="41"/>
      <c r="AT51" s="38"/>
      <c r="AU51" s="41"/>
      <c r="AV51" s="38"/>
      <c r="AW51" s="41"/>
      <c r="AX51" s="38"/>
      <c r="AY51" s="42">
        <f t="shared" si="2"/>
        <v>169439.89</v>
      </c>
      <c r="AZ51" s="43">
        <f t="shared" si="3"/>
        <v>84719.945000000007</v>
      </c>
    </row>
    <row r="52" spans="1:52" ht="21.75" customHeight="1" x14ac:dyDescent="0.35">
      <c r="A52" s="24" t="s">
        <v>166</v>
      </c>
      <c r="B52" s="36" t="str">
        <f>'📋 بيانات المحطات'!B52</f>
        <v>الاطاوله الباحة</v>
      </c>
      <c r="C52" s="37"/>
      <c r="D52" s="38"/>
      <c r="E52" s="37"/>
      <c r="F52" s="38">
        <v>77947.64</v>
      </c>
      <c r="G52" s="37"/>
      <c r="H52" s="38"/>
      <c r="I52" s="37"/>
      <c r="J52" s="38"/>
      <c r="K52" s="37"/>
      <c r="L52" s="38"/>
      <c r="M52" s="37"/>
      <c r="N52" s="38"/>
      <c r="O52" s="39"/>
      <c r="P52" s="38"/>
      <c r="Q52" s="39"/>
      <c r="R52" s="38">
        <v>55245.65</v>
      </c>
      <c r="S52" s="39"/>
      <c r="T52" s="38"/>
      <c r="U52" s="39"/>
      <c r="V52" s="38"/>
      <c r="W52" s="39"/>
      <c r="X52" s="38"/>
      <c r="Y52" s="39"/>
      <c r="Z52" s="38"/>
      <c r="AA52" s="40"/>
      <c r="AB52" s="38"/>
      <c r="AC52" s="40"/>
      <c r="AD52" s="38"/>
      <c r="AE52" s="40"/>
      <c r="AF52" s="38"/>
      <c r="AG52" s="40"/>
      <c r="AH52" s="38"/>
      <c r="AI52" s="40"/>
      <c r="AJ52" s="38"/>
      <c r="AK52" s="40"/>
      <c r="AL52" s="38"/>
      <c r="AM52" s="41"/>
      <c r="AN52" s="38"/>
      <c r="AO52" s="41"/>
      <c r="AP52" s="38">
        <v>12322.2</v>
      </c>
      <c r="AQ52" s="41"/>
      <c r="AR52" s="38"/>
      <c r="AS52" s="41"/>
      <c r="AT52" s="38"/>
      <c r="AU52" s="41"/>
      <c r="AV52" s="38"/>
      <c r="AW52" s="41"/>
      <c r="AX52" s="38"/>
      <c r="AY52" s="42">
        <f t="shared" si="2"/>
        <v>145515.49000000002</v>
      </c>
      <c r="AZ52" s="43">
        <f t="shared" si="3"/>
        <v>72757.74500000001</v>
      </c>
    </row>
    <row r="53" spans="1:52" ht="21.75" customHeight="1" x14ac:dyDescent="0.35">
      <c r="A53" s="17" t="s">
        <v>202</v>
      </c>
      <c r="B53" s="36" t="str">
        <f>'📋 بيانات المحطات'!B53</f>
        <v>محايل عسير</v>
      </c>
      <c r="C53" s="37"/>
      <c r="D53" s="38"/>
      <c r="E53" s="37"/>
      <c r="F53" s="38"/>
      <c r="G53" s="37"/>
      <c r="H53" s="38"/>
      <c r="I53" s="37"/>
      <c r="J53" s="38"/>
      <c r="K53" s="37"/>
      <c r="L53" s="38"/>
      <c r="M53" s="37"/>
      <c r="N53" s="38"/>
      <c r="O53" s="39"/>
      <c r="P53" s="38"/>
      <c r="Q53" s="39"/>
      <c r="R53" s="38"/>
      <c r="S53" s="39"/>
      <c r="T53" s="38"/>
      <c r="U53" s="39"/>
      <c r="V53" s="38"/>
      <c r="W53" s="39"/>
      <c r="X53" s="38"/>
      <c r="Y53" s="39"/>
      <c r="Z53" s="38"/>
      <c r="AA53" s="40"/>
      <c r="AB53" s="38"/>
      <c r="AC53" s="40"/>
      <c r="AD53" s="38"/>
      <c r="AE53" s="40"/>
      <c r="AF53" s="38"/>
      <c r="AG53" s="40"/>
      <c r="AH53" s="38"/>
      <c r="AI53" s="40"/>
      <c r="AJ53" s="38"/>
      <c r="AK53" s="40"/>
      <c r="AL53" s="38"/>
      <c r="AM53" s="41"/>
      <c r="AN53" s="38"/>
      <c r="AO53" s="41"/>
      <c r="AP53" s="38"/>
      <c r="AQ53" s="41"/>
      <c r="AR53" s="38"/>
      <c r="AS53" s="41"/>
      <c r="AT53" s="38"/>
      <c r="AU53" s="41"/>
      <c r="AV53" s="38"/>
      <c r="AW53" s="41"/>
      <c r="AX53" s="38"/>
      <c r="AY53" s="42">
        <f t="shared" si="2"/>
        <v>0</v>
      </c>
      <c r="AZ53" s="43" t="str">
        <f t="shared" si="3"/>
        <v/>
      </c>
    </row>
    <row r="54" spans="1:52" ht="21.75" customHeight="1" x14ac:dyDescent="0.35">
      <c r="A54" s="24" t="s">
        <v>169</v>
      </c>
      <c r="B54" s="36" t="str">
        <f>'📋 بيانات المحطات'!B54</f>
        <v>سلطان المطرفي</v>
      </c>
      <c r="C54" s="37"/>
      <c r="D54" s="38"/>
      <c r="E54" s="37"/>
      <c r="F54" s="38">
        <v>242518.77</v>
      </c>
      <c r="G54" s="37"/>
      <c r="H54" s="38"/>
      <c r="I54" s="37"/>
      <c r="J54" s="38"/>
      <c r="K54" s="37"/>
      <c r="L54" s="38"/>
      <c r="M54" s="37"/>
      <c r="N54" s="38"/>
      <c r="O54" s="39"/>
      <c r="P54" s="38"/>
      <c r="Q54" s="39"/>
      <c r="R54" s="38">
        <v>201595.03</v>
      </c>
      <c r="S54" s="39"/>
      <c r="T54" s="38"/>
      <c r="U54" s="39"/>
      <c r="V54" s="38"/>
      <c r="W54" s="39"/>
      <c r="X54" s="38"/>
      <c r="Y54" s="39"/>
      <c r="Z54" s="38"/>
      <c r="AA54" s="40"/>
      <c r="AB54" s="38"/>
      <c r="AC54" s="40"/>
      <c r="AD54" s="38"/>
      <c r="AE54" s="40"/>
      <c r="AF54" s="38"/>
      <c r="AG54" s="40"/>
      <c r="AH54" s="38"/>
      <c r="AI54" s="40"/>
      <c r="AJ54" s="38"/>
      <c r="AK54" s="40"/>
      <c r="AL54" s="38"/>
      <c r="AM54" s="41"/>
      <c r="AN54" s="38"/>
      <c r="AO54" s="41"/>
      <c r="AP54" s="38">
        <v>237341.99</v>
      </c>
      <c r="AQ54" s="41"/>
      <c r="AR54" s="38"/>
      <c r="AS54" s="41"/>
      <c r="AT54" s="38"/>
      <c r="AU54" s="41"/>
      <c r="AV54" s="38"/>
      <c r="AW54" s="41"/>
      <c r="AX54" s="38"/>
      <c r="AY54" s="42">
        <f t="shared" si="2"/>
        <v>681455.79</v>
      </c>
      <c r="AZ54" s="43">
        <f t="shared" si="3"/>
        <v>340727.89500000002</v>
      </c>
    </row>
    <row r="55" spans="1:52" ht="21.75" customHeight="1" x14ac:dyDescent="0.35">
      <c r="A55" s="17" t="s">
        <v>172</v>
      </c>
      <c r="B55" s="36" t="str">
        <f>'📋 بيانات المحطات'!B55</f>
        <v>محطه بن قباس</v>
      </c>
      <c r="C55" s="37"/>
      <c r="D55" s="38"/>
      <c r="E55" s="37"/>
      <c r="F55" s="38"/>
      <c r="G55" s="37"/>
      <c r="H55" s="38"/>
      <c r="I55" s="37"/>
      <c r="J55" s="38"/>
      <c r="K55" s="37"/>
      <c r="L55" s="38"/>
      <c r="M55" s="37"/>
      <c r="N55" s="38"/>
      <c r="O55" s="39"/>
      <c r="P55" s="38"/>
      <c r="Q55" s="39"/>
      <c r="R55" s="38"/>
      <c r="S55" s="39"/>
      <c r="T55" s="38"/>
      <c r="U55" s="39"/>
      <c r="V55" s="38"/>
      <c r="W55" s="39"/>
      <c r="X55" s="38"/>
      <c r="Y55" s="39"/>
      <c r="Z55" s="38"/>
      <c r="AA55" s="40"/>
      <c r="AB55" s="38"/>
      <c r="AC55" s="40"/>
      <c r="AD55" s="38"/>
      <c r="AE55" s="40"/>
      <c r="AF55" s="38"/>
      <c r="AG55" s="40"/>
      <c r="AH55" s="38"/>
      <c r="AI55" s="40"/>
      <c r="AJ55" s="38"/>
      <c r="AK55" s="40"/>
      <c r="AL55" s="38"/>
      <c r="AM55" s="41"/>
      <c r="AN55" s="38"/>
      <c r="AO55" s="41"/>
      <c r="AP55" s="38"/>
      <c r="AQ55" s="41"/>
      <c r="AR55" s="38"/>
      <c r="AS55" s="41"/>
      <c r="AT55" s="38"/>
      <c r="AU55" s="41"/>
      <c r="AV55" s="38"/>
      <c r="AW55" s="41"/>
      <c r="AX55" s="38"/>
      <c r="AY55" s="42">
        <f t="shared" si="2"/>
        <v>0</v>
      </c>
      <c r="AZ55" s="43" t="str">
        <f t="shared" si="3"/>
        <v/>
      </c>
    </row>
    <row r="56" spans="1:52" ht="21.75" customHeight="1" x14ac:dyDescent="0.35">
      <c r="A56" s="24" t="s">
        <v>174</v>
      </c>
      <c r="B56" s="36" t="str">
        <f>'📋 بيانات المحطات'!B56</f>
        <v>محطة مدخل محايل</v>
      </c>
      <c r="C56" s="37"/>
      <c r="D56" s="38"/>
      <c r="E56" s="37"/>
      <c r="F56" s="38"/>
      <c r="G56" s="37"/>
      <c r="H56" s="38"/>
      <c r="I56" s="37"/>
      <c r="J56" s="38"/>
      <c r="K56" s="37"/>
      <c r="L56" s="38"/>
      <c r="M56" s="37"/>
      <c r="N56" s="38"/>
      <c r="O56" s="39"/>
      <c r="P56" s="38"/>
      <c r="Q56" s="39"/>
      <c r="R56" s="38"/>
      <c r="S56" s="39"/>
      <c r="T56" s="38"/>
      <c r="U56" s="39"/>
      <c r="V56" s="38"/>
      <c r="W56" s="39"/>
      <c r="X56" s="38"/>
      <c r="Y56" s="39"/>
      <c r="Z56" s="38"/>
      <c r="AA56" s="40"/>
      <c r="AB56" s="38"/>
      <c r="AC56" s="40"/>
      <c r="AD56" s="38"/>
      <c r="AE56" s="40"/>
      <c r="AF56" s="38"/>
      <c r="AG56" s="40"/>
      <c r="AH56" s="38"/>
      <c r="AI56" s="40"/>
      <c r="AJ56" s="38"/>
      <c r="AK56" s="40"/>
      <c r="AL56" s="38"/>
      <c r="AM56" s="41"/>
      <c r="AN56" s="38"/>
      <c r="AO56" s="41"/>
      <c r="AP56" s="38"/>
      <c r="AQ56" s="41"/>
      <c r="AR56" s="38"/>
      <c r="AS56" s="41"/>
      <c r="AT56" s="38"/>
      <c r="AU56" s="41"/>
      <c r="AV56" s="38"/>
      <c r="AW56" s="41"/>
      <c r="AX56" s="38"/>
      <c r="AY56" s="42">
        <f t="shared" si="2"/>
        <v>0</v>
      </c>
      <c r="AZ56" s="43" t="str">
        <f t="shared" si="3"/>
        <v/>
      </c>
    </row>
    <row r="57" spans="1:52" ht="21.75" customHeight="1" x14ac:dyDescent="0.35">
      <c r="A57" s="17" t="s">
        <v>176</v>
      </c>
      <c r="B57" s="36" t="str">
        <f>'📋 بيانات المحطات'!B57</f>
        <v>الشوقية - سندي</v>
      </c>
      <c r="C57" s="37"/>
      <c r="D57" s="38"/>
      <c r="E57" s="37"/>
      <c r="F57" s="38"/>
      <c r="G57" s="37"/>
      <c r="H57" s="38"/>
      <c r="I57" s="37"/>
      <c r="J57" s="38"/>
      <c r="K57" s="37"/>
      <c r="L57" s="38"/>
      <c r="M57" s="37"/>
      <c r="N57" s="38"/>
      <c r="O57" s="39"/>
      <c r="P57" s="38"/>
      <c r="Q57" s="39"/>
      <c r="R57" s="38"/>
      <c r="S57" s="39"/>
      <c r="T57" s="38"/>
      <c r="U57" s="39"/>
      <c r="V57" s="38"/>
      <c r="W57" s="39"/>
      <c r="X57" s="38"/>
      <c r="Y57" s="39"/>
      <c r="Z57" s="38"/>
      <c r="AA57" s="40"/>
      <c r="AB57" s="38"/>
      <c r="AC57" s="40"/>
      <c r="AD57" s="38"/>
      <c r="AE57" s="40"/>
      <c r="AF57" s="38"/>
      <c r="AG57" s="40"/>
      <c r="AH57" s="38"/>
      <c r="AI57" s="40"/>
      <c r="AJ57" s="38"/>
      <c r="AK57" s="40"/>
      <c r="AL57" s="38"/>
      <c r="AM57" s="41"/>
      <c r="AN57" s="38"/>
      <c r="AO57" s="41"/>
      <c r="AP57" s="38"/>
      <c r="AQ57" s="41"/>
      <c r="AR57" s="38"/>
      <c r="AS57" s="41"/>
      <c r="AT57" s="38"/>
      <c r="AU57" s="41"/>
      <c r="AV57" s="38"/>
      <c r="AW57" s="41"/>
      <c r="AX57" s="38"/>
      <c r="AY57" s="42">
        <f t="shared" si="2"/>
        <v>0</v>
      </c>
      <c r="AZ57" s="43" t="str">
        <f t="shared" si="3"/>
        <v/>
      </c>
    </row>
    <row r="58" spans="1:52" ht="21.75" customHeight="1" x14ac:dyDescent="0.35">
      <c r="A58" s="24" t="s">
        <v>178</v>
      </c>
      <c r="B58" s="36" t="str">
        <f>'📋 بيانات المحطات'!B58</f>
        <v>دوار البلديه احد المسارحه</v>
      </c>
      <c r="C58" s="37"/>
      <c r="D58" s="38"/>
      <c r="E58" s="37"/>
      <c r="F58" s="38"/>
      <c r="G58" s="37"/>
      <c r="H58" s="38"/>
      <c r="I58" s="37"/>
      <c r="J58" s="38"/>
      <c r="K58" s="37"/>
      <c r="L58" s="38"/>
      <c r="M58" s="37"/>
      <c r="N58" s="38"/>
      <c r="O58" s="39"/>
      <c r="P58" s="38"/>
      <c r="Q58" s="39"/>
      <c r="R58" s="38"/>
      <c r="S58" s="39"/>
      <c r="T58" s="38"/>
      <c r="U58" s="39"/>
      <c r="V58" s="38"/>
      <c r="W58" s="39"/>
      <c r="X58" s="38"/>
      <c r="Y58" s="39"/>
      <c r="Z58" s="38"/>
      <c r="AA58" s="40"/>
      <c r="AB58" s="38"/>
      <c r="AC58" s="40"/>
      <c r="AD58" s="38"/>
      <c r="AE58" s="40"/>
      <c r="AF58" s="38"/>
      <c r="AG58" s="40"/>
      <c r="AH58" s="38"/>
      <c r="AI58" s="40"/>
      <c r="AJ58" s="38"/>
      <c r="AK58" s="40"/>
      <c r="AL58" s="38"/>
      <c r="AM58" s="41"/>
      <c r="AN58" s="38"/>
      <c r="AO58" s="41"/>
      <c r="AP58" s="38"/>
      <c r="AQ58" s="41"/>
      <c r="AR58" s="38"/>
      <c r="AS58" s="41"/>
      <c r="AT58" s="38"/>
      <c r="AU58" s="41"/>
      <c r="AV58" s="38"/>
      <c r="AW58" s="41"/>
      <c r="AX58" s="38"/>
      <c r="AY58" s="42">
        <f t="shared" si="2"/>
        <v>0</v>
      </c>
      <c r="AZ58" s="43" t="str">
        <f t="shared" si="3"/>
        <v/>
      </c>
    </row>
    <row r="59" spans="1:52" ht="21.75" customHeight="1" x14ac:dyDescent="0.35">
      <c r="A59" s="17" t="s">
        <v>181</v>
      </c>
      <c r="B59" s="36" t="str">
        <f>'📋 بيانات المحطات'!B59</f>
        <v>الازوري (طريق المطار)</v>
      </c>
      <c r="C59" s="37"/>
      <c r="D59" s="38"/>
      <c r="E59" s="37"/>
      <c r="F59" s="38"/>
      <c r="G59" s="37"/>
      <c r="H59" s="38"/>
      <c r="I59" s="37"/>
      <c r="J59" s="38"/>
      <c r="K59" s="37"/>
      <c r="L59" s="38"/>
      <c r="M59" s="37"/>
      <c r="N59" s="38"/>
      <c r="O59" s="39"/>
      <c r="P59" s="38"/>
      <c r="Q59" s="39"/>
      <c r="R59" s="38"/>
      <c r="S59" s="39"/>
      <c r="T59" s="38"/>
      <c r="U59" s="39"/>
      <c r="V59" s="38"/>
      <c r="W59" s="39"/>
      <c r="X59" s="38"/>
      <c r="Y59" s="39"/>
      <c r="Z59" s="38"/>
      <c r="AA59" s="40"/>
      <c r="AB59" s="38"/>
      <c r="AC59" s="40"/>
      <c r="AD59" s="38"/>
      <c r="AE59" s="40"/>
      <c r="AF59" s="38"/>
      <c r="AG59" s="40"/>
      <c r="AH59" s="38"/>
      <c r="AI59" s="40"/>
      <c r="AJ59" s="38"/>
      <c r="AK59" s="40"/>
      <c r="AL59" s="38"/>
      <c r="AM59" s="41"/>
      <c r="AN59" s="38"/>
      <c r="AO59" s="41"/>
      <c r="AP59" s="38"/>
      <c r="AQ59" s="41"/>
      <c r="AR59" s="38"/>
      <c r="AS59" s="41"/>
      <c r="AT59" s="38"/>
      <c r="AU59" s="41"/>
      <c r="AV59" s="38"/>
      <c r="AW59" s="41"/>
      <c r="AX59" s="38"/>
      <c r="AY59" s="42">
        <f t="shared" si="2"/>
        <v>0</v>
      </c>
      <c r="AZ59" s="43" t="str">
        <f t="shared" si="3"/>
        <v/>
      </c>
    </row>
    <row r="60" spans="1:52" ht="21.75" customHeight="1" x14ac:dyDescent="0.35">
      <c r="A60" s="24" t="s">
        <v>183</v>
      </c>
      <c r="B60" s="36" t="str">
        <f>'📋 بيانات المحطات'!B60</f>
        <v>عبد الله الخريجي</v>
      </c>
      <c r="C60" s="37"/>
      <c r="D60" s="38"/>
      <c r="E60" s="37"/>
      <c r="F60" s="38"/>
      <c r="G60" s="37"/>
      <c r="H60" s="38"/>
      <c r="I60" s="37"/>
      <c r="J60" s="38"/>
      <c r="K60" s="37"/>
      <c r="L60" s="38"/>
      <c r="M60" s="37"/>
      <c r="N60" s="38"/>
      <c r="O60" s="39"/>
      <c r="P60" s="38"/>
      <c r="Q60" s="39"/>
      <c r="R60" s="38"/>
      <c r="S60" s="39"/>
      <c r="T60" s="38"/>
      <c r="U60" s="39"/>
      <c r="V60" s="38"/>
      <c r="W60" s="39"/>
      <c r="X60" s="38"/>
      <c r="Y60" s="39"/>
      <c r="Z60" s="38"/>
      <c r="AA60" s="40"/>
      <c r="AB60" s="38"/>
      <c r="AC60" s="40"/>
      <c r="AD60" s="38"/>
      <c r="AE60" s="40"/>
      <c r="AF60" s="38"/>
      <c r="AG60" s="40"/>
      <c r="AH60" s="38"/>
      <c r="AI60" s="40"/>
      <c r="AJ60" s="38"/>
      <c r="AK60" s="40"/>
      <c r="AL60" s="38"/>
      <c r="AM60" s="41"/>
      <c r="AN60" s="38"/>
      <c r="AO60" s="41"/>
      <c r="AP60" s="38"/>
      <c r="AQ60" s="41"/>
      <c r="AR60" s="38"/>
      <c r="AS60" s="41"/>
      <c r="AT60" s="38"/>
      <c r="AU60" s="41"/>
      <c r="AV60" s="38"/>
      <c r="AW60" s="41"/>
      <c r="AX60" s="38"/>
      <c r="AY60" s="42">
        <f t="shared" si="2"/>
        <v>0</v>
      </c>
      <c r="AZ60" s="43" t="str">
        <f t="shared" si="3"/>
        <v/>
      </c>
    </row>
    <row r="61" spans="1:52" ht="30" customHeight="1" x14ac:dyDescent="0.35">
      <c r="A61" s="44"/>
      <c r="B61" s="45" t="s">
        <v>203</v>
      </c>
      <c r="C61" s="46">
        <f t="shared" ref="C61:AH61" si="4">SUM(C7:C60)</f>
        <v>0</v>
      </c>
      <c r="D61" s="46">
        <f t="shared" si="4"/>
        <v>0</v>
      </c>
      <c r="E61" s="46">
        <f t="shared" si="4"/>
        <v>0</v>
      </c>
      <c r="F61" s="46">
        <f t="shared" si="4"/>
        <v>18505032.970000006</v>
      </c>
      <c r="G61" s="46">
        <f t="shared" si="4"/>
        <v>0</v>
      </c>
      <c r="H61" s="46">
        <f t="shared" si="4"/>
        <v>0</v>
      </c>
      <c r="I61" s="46">
        <f t="shared" si="4"/>
        <v>0</v>
      </c>
      <c r="J61" s="46">
        <f t="shared" si="4"/>
        <v>0</v>
      </c>
      <c r="K61" s="46">
        <f t="shared" si="4"/>
        <v>0</v>
      </c>
      <c r="L61" s="46">
        <f t="shared" si="4"/>
        <v>0</v>
      </c>
      <c r="M61" s="46">
        <f t="shared" si="4"/>
        <v>0</v>
      </c>
      <c r="N61" s="46">
        <f t="shared" si="4"/>
        <v>0</v>
      </c>
      <c r="O61" s="47">
        <f t="shared" si="4"/>
        <v>0</v>
      </c>
      <c r="P61" s="47">
        <f t="shared" si="4"/>
        <v>0</v>
      </c>
      <c r="Q61" s="47">
        <f t="shared" si="4"/>
        <v>0</v>
      </c>
      <c r="R61" s="47">
        <f t="shared" si="4"/>
        <v>15345560.550000001</v>
      </c>
      <c r="S61" s="47">
        <f t="shared" si="4"/>
        <v>0</v>
      </c>
      <c r="T61" s="47">
        <f t="shared" si="4"/>
        <v>0</v>
      </c>
      <c r="U61" s="47">
        <f t="shared" si="4"/>
        <v>0</v>
      </c>
      <c r="V61" s="47">
        <f t="shared" si="4"/>
        <v>0</v>
      </c>
      <c r="W61" s="47">
        <f t="shared" si="4"/>
        <v>0</v>
      </c>
      <c r="X61" s="47">
        <f t="shared" si="4"/>
        <v>0</v>
      </c>
      <c r="Y61" s="47">
        <f t="shared" si="4"/>
        <v>0</v>
      </c>
      <c r="Z61" s="47">
        <f t="shared" si="4"/>
        <v>0</v>
      </c>
      <c r="AA61" s="48">
        <f t="shared" si="4"/>
        <v>0</v>
      </c>
      <c r="AB61" s="48">
        <f t="shared" si="4"/>
        <v>0</v>
      </c>
      <c r="AC61" s="48">
        <f t="shared" si="4"/>
        <v>0</v>
      </c>
      <c r="AD61" s="48">
        <f t="shared" si="4"/>
        <v>24445.33</v>
      </c>
      <c r="AE61" s="48">
        <f t="shared" si="4"/>
        <v>0</v>
      </c>
      <c r="AF61" s="48">
        <f t="shared" si="4"/>
        <v>0</v>
      </c>
      <c r="AG61" s="48">
        <f t="shared" si="4"/>
        <v>0</v>
      </c>
      <c r="AH61" s="48">
        <f t="shared" si="4"/>
        <v>0</v>
      </c>
      <c r="AI61" s="48">
        <f t="shared" ref="AI61:BN61" si="5">SUM(AI7:AI60)</f>
        <v>0</v>
      </c>
      <c r="AJ61" s="48">
        <f t="shared" si="5"/>
        <v>0</v>
      </c>
      <c r="AK61" s="48">
        <f t="shared" si="5"/>
        <v>0</v>
      </c>
      <c r="AL61" s="48">
        <f t="shared" si="5"/>
        <v>0</v>
      </c>
      <c r="AM61" s="49">
        <f t="shared" si="5"/>
        <v>0</v>
      </c>
      <c r="AN61" s="49">
        <f t="shared" si="5"/>
        <v>0</v>
      </c>
      <c r="AO61" s="49">
        <f t="shared" si="5"/>
        <v>0</v>
      </c>
      <c r="AP61" s="49">
        <f t="shared" si="5"/>
        <v>7910015.96</v>
      </c>
      <c r="AQ61" s="49">
        <f t="shared" si="5"/>
        <v>0</v>
      </c>
      <c r="AR61" s="49">
        <f t="shared" si="5"/>
        <v>0</v>
      </c>
      <c r="AS61" s="49">
        <f t="shared" si="5"/>
        <v>0</v>
      </c>
      <c r="AT61" s="49">
        <f t="shared" si="5"/>
        <v>0</v>
      </c>
      <c r="AU61" s="49">
        <f t="shared" si="5"/>
        <v>0</v>
      </c>
      <c r="AV61" s="49">
        <f t="shared" si="5"/>
        <v>0</v>
      </c>
      <c r="AW61" s="49">
        <f t="shared" si="5"/>
        <v>0</v>
      </c>
      <c r="AX61" s="49">
        <f t="shared" si="5"/>
        <v>0</v>
      </c>
      <c r="AY61" s="50">
        <f t="shared" si="5"/>
        <v>41785054.810000017</v>
      </c>
    </row>
  </sheetData>
  <mergeCells count="7">
    <mergeCell ref="A2:BA2"/>
    <mergeCell ref="A3:BA3"/>
    <mergeCell ref="C5:N5"/>
    <mergeCell ref="O5:Z5"/>
    <mergeCell ref="AA5:AL5"/>
    <mergeCell ref="AM5:AX5"/>
    <mergeCell ref="AY5:AZ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J92"/>
  <sheetViews>
    <sheetView rightToLeft="1" zoomScale="80" zoomScaleNormal="8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328125" defaultRowHeight="14.5" x14ac:dyDescent="0.35"/>
  <cols>
    <col min="1" max="1" width="4" customWidth="1"/>
    <col min="2" max="2" width="20" customWidth="1"/>
    <col min="3" max="62" width="9" customWidth="1"/>
  </cols>
  <sheetData>
    <row r="1" spans="1:62" ht="4.5" customHeight="1" x14ac:dyDescent="0.35"/>
    <row r="2" spans="1:62" ht="49.5" customHeight="1" x14ac:dyDescent="0.35">
      <c r="A2" s="11" t="s">
        <v>204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3" spans="1:62" ht="19.5" customHeight="1" x14ac:dyDescent="0.35">
      <c r="A3" s="1" t="s">
        <v>205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</row>
    <row r="4" spans="1:62" ht="4.5" customHeight="1" x14ac:dyDescent="0.35"/>
    <row r="5" spans="1:62" ht="24" customHeight="1" x14ac:dyDescent="0.35">
      <c r="A5" s="12" t="s">
        <v>8</v>
      </c>
      <c r="B5" s="12" t="s">
        <v>9</v>
      </c>
      <c r="C5" s="6" t="s">
        <v>206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5" t="s">
        <v>207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4" t="s">
        <v>208</v>
      </c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3" t="s">
        <v>209</v>
      </c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51" t="s">
        <v>210</v>
      </c>
    </row>
    <row r="6" spans="1:62" ht="25.5" customHeight="1" x14ac:dyDescent="0.35">
      <c r="A6" s="52" t="s">
        <v>8</v>
      </c>
      <c r="B6" s="52" t="s">
        <v>9</v>
      </c>
      <c r="C6" s="53" t="s">
        <v>211</v>
      </c>
      <c r="D6" s="27" t="s">
        <v>188</v>
      </c>
      <c r="E6" s="27" t="s">
        <v>189</v>
      </c>
      <c r="F6" s="27" t="s">
        <v>190</v>
      </c>
      <c r="G6" s="27" t="s">
        <v>191</v>
      </c>
      <c r="H6" s="27" t="s">
        <v>192</v>
      </c>
      <c r="I6" s="27" t="s">
        <v>193</v>
      </c>
      <c r="J6" s="27" t="s">
        <v>194</v>
      </c>
      <c r="K6" s="27" t="s">
        <v>195</v>
      </c>
      <c r="L6" s="27" t="s">
        <v>196</v>
      </c>
      <c r="M6" s="27" t="s">
        <v>197</v>
      </c>
      <c r="N6" s="27" t="s">
        <v>198</v>
      </c>
      <c r="O6" s="27" t="s">
        <v>199</v>
      </c>
      <c r="P6" s="54" t="s">
        <v>212</v>
      </c>
      <c r="Q6" s="55" t="s">
        <v>211</v>
      </c>
      <c r="R6" s="29" t="s">
        <v>188</v>
      </c>
      <c r="S6" s="29" t="s">
        <v>189</v>
      </c>
      <c r="T6" s="29" t="s">
        <v>190</v>
      </c>
      <c r="U6" s="29" t="s">
        <v>191</v>
      </c>
      <c r="V6" s="29" t="s">
        <v>192</v>
      </c>
      <c r="W6" s="29" t="s">
        <v>193</v>
      </c>
      <c r="X6" s="29" t="s">
        <v>194</v>
      </c>
      <c r="Y6" s="29" t="s">
        <v>195</v>
      </c>
      <c r="Z6" s="29" t="s">
        <v>196</v>
      </c>
      <c r="AA6" s="29" t="s">
        <v>197</v>
      </c>
      <c r="AB6" s="29" t="s">
        <v>198</v>
      </c>
      <c r="AC6" s="29" t="s">
        <v>199</v>
      </c>
      <c r="AD6" s="54" t="s">
        <v>212</v>
      </c>
      <c r="AE6" s="56" t="s">
        <v>211</v>
      </c>
      <c r="AF6" s="31" t="s">
        <v>188</v>
      </c>
      <c r="AG6" s="31" t="s">
        <v>189</v>
      </c>
      <c r="AH6" s="31" t="s">
        <v>190</v>
      </c>
      <c r="AI6" s="31" t="s">
        <v>191</v>
      </c>
      <c r="AJ6" s="31" t="s">
        <v>192</v>
      </c>
      <c r="AK6" s="31" t="s">
        <v>193</v>
      </c>
      <c r="AL6" s="31" t="s">
        <v>194</v>
      </c>
      <c r="AM6" s="31" t="s">
        <v>195</v>
      </c>
      <c r="AN6" s="31" t="s">
        <v>196</v>
      </c>
      <c r="AO6" s="31" t="s">
        <v>197</v>
      </c>
      <c r="AP6" s="31" t="s">
        <v>198</v>
      </c>
      <c r="AQ6" s="31" t="s">
        <v>199</v>
      </c>
      <c r="AR6" s="54" t="s">
        <v>212</v>
      </c>
      <c r="AS6" s="57" t="s">
        <v>211</v>
      </c>
      <c r="AT6" s="33" t="s">
        <v>188</v>
      </c>
      <c r="AU6" s="33" t="s">
        <v>189</v>
      </c>
      <c r="AV6" s="33" t="s">
        <v>190</v>
      </c>
      <c r="AW6" s="33" t="s">
        <v>191</v>
      </c>
      <c r="AX6" s="33" t="s">
        <v>192</v>
      </c>
      <c r="AY6" s="33" t="s">
        <v>193</v>
      </c>
      <c r="AZ6" s="33" t="s">
        <v>194</v>
      </c>
      <c r="BA6" s="33" t="s">
        <v>195</v>
      </c>
      <c r="BB6" s="33" t="s">
        <v>196</v>
      </c>
      <c r="BC6" s="33" t="s">
        <v>197</v>
      </c>
      <c r="BD6" s="33" t="s">
        <v>198</v>
      </c>
      <c r="BE6" s="33" t="s">
        <v>199</v>
      </c>
      <c r="BF6" s="54" t="s">
        <v>212</v>
      </c>
      <c r="BG6" s="54" t="s">
        <v>213</v>
      </c>
    </row>
    <row r="7" spans="1:62" ht="21.75" customHeight="1" x14ac:dyDescent="0.35">
      <c r="A7" s="58" t="s">
        <v>19</v>
      </c>
      <c r="B7" s="36" t="str">
        <f>'📋 بيانات المحطات'!B6</f>
        <v>اسم المحطة</v>
      </c>
      <c r="C7" s="59" t="str">
        <f>'📋 بيانات المحطات'!H6</f>
        <v>هامش 91
هل/ل</v>
      </c>
      <c r="D7" s="60" t="str">
        <f>IFERROR(C7*'⛽ المبيعات الشهرية'!C6/100,"")</f>
        <v/>
      </c>
      <c r="E7" s="61" t="str">
        <f>IFERROR(C7*'⛽ المبيعات الشهرية'!D6/100,"")</f>
        <v/>
      </c>
      <c r="F7" s="60" t="str">
        <f>IFERROR(C7*'⛽ المبيعات الشهرية'!E6/100,"")</f>
        <v/>
      </c>
      <c r="G7" s="61" t="str">
        <f>IFERROR(C7*'⛽ المبيعات الشهرية'!F6/100,"")</f>
        <v/>
      </c>
      <c r="H7" s="60" t="str">
        <f>IFERROR(C7*'⛽ المبيعات الشهرية'!G6/100,"")</f>
        <v/>
      </c>
      <c r="I7" s="61" t="str">
        <f>IFERROR(C7*'⛽ المبيعات الشهرية'!H6/100,"")</f>
        <v/>
      </c>
      <c r="J7" s="60" t="str">
        <f>IFERROR(C7*'⛽ المبيعات الشهرية'!I6/100,"")</f>
        <v/>
      </c>
      <c r="K7" s="61" t="str">
        <f>IFERROR(C7*'⛽ المبيعات الشهرية'!J6/100,"")</f>
        <v/>
      </c>
      <c r="L7" s="60" t="str">
        <f>IFERROR(C7*'⛽ المبيعات الشهرية'!K6/100,"")</f>
        <v/>
      </c>
      <c r="M7" s="61" t="str">
        <f>IFERROR(C7*'⛽ المبيعات الشهرية'!L6/100,"")</f>
        <v/>
      </c>
      <c r="N7" s="60" t="str">
        <f>IFERROR(C7*'⛽ المبيعات الشهرية'!M6/100,"")</f>
        <v/>
      </c>
      <c r="O7" s="61" t="str">
        <f>IFERROR(C7*'⛽ المبيعات الشهرية'!N6/100,"")</f>
        <v/>
      </c>
      <c r="P7" s="42">
        <f t="shared" ref="P7:P38" si="0">IFERROR(SUM(D7:O7),"")</f>
        <v>0</v>
      </c>
      <c r="Q7" s="62" t="str">
        <f>'📋 بيانات المحطات'!I6</f>
        <v>هامش 95
هل/ل</v>
      </c>
      <c r="R7" s="63" t="str">
        <f>IFERROR(Q7*'⛽ المبيعات الشهرية'!O6/100,"")</f>
        <v/>
      </c>
      <c r="S7" s="61" t="str">
        <f>IFERROR(Q7*'⛽ المبيعات الشهرية'!P6/100,"")</f>
        <v/>
      </c>
      <c r="T7" s="63" t="str">
        <f>IFERROR(Q7*'⛽ المبيعات الشهرية'!Q6/100,"")</f>
        <v/>
      </c>
      <c r="U7" s="61" t="str">
        <f>IFERROR(Q7*'⛽ المبيعات الشهرية'!R6/100,"")</f>
        <v/>
      </c>
      <c r="V7" s="63" t="str">
        <f>IFERROR(Q7*'⛽ المبيعات الشهرية'!S6/100,"")</f>
        <v/>
      </c>
      <c r="W7" s="61" t="str">
        <f>IFERROR(Q7*'⛽ المبيعات الشهرية'!T6/100,"")</f>
        <v/>
      </c>
      <c r="X7" s="63" t="str">
        <f>IFERROR(Q7*'⛽ المبيعات الشهرية'!U6/100,"")</f>
        <v/>
      </c>
      <c r="Y7" s="61" t="str">
        <f>IFERROR(Q7*'⛽ المبيعات الشهرية'!V6/100,"")</f>
        <v/>
      </c>
      <c r="Z7" s="63" t="str">
        <f>IFERROR(Q7*'⛽ المبيعات الشهرية'!W6/100,"")</f>
        <v/>
      </c>
      <c r="AA7" s="61" t="str">
        <f>IFERROR(Q7*'⛽ المبيعات الشهرية'!X6/100,"")</f>
        <v/>
      </c>
      <c r="AB7" s="63" t="str">
        <f>IFERROR(Q7*'⛽ المبيعات الشهرية'!Y6/100,"")</f>
        <v/>
      </c>
      <c r="AC7" s="61" t="str">
        <f>IFERROR(Q7*'⛽ المبيعات الشهرية'!Z6/100,"")</f>
        <v/>
      </c>
      <c r="AD7" s="42">
        <f t="shared" ref="AD7:AD38" si="1">IFERROR(SUM(R7:AC7),"")</f>
        <v>0</v>
      </c>
      <c r="AE7" s="64" t="str">
        <f>'📋 بيانات المحطات'!J6</f>
        <v>هامش 98
هل/ل</v>
      </c>
      <c r="AF7" s="65" t="str">
        <f>IFERROR(AE7*'⛽ المبيعات الشهرية'!AA6/100,"")</f>
        <v/>
      </c>
      <c r="AG7" s="61" t="str">
        <f>IFERROR(AE7*'⛽ المبيعات الشهرية'!AB6/100,"")</f>
        <v/>
      </c>
      <c r="AH7" s="65" t="str">
        <f>IFERROR(AE7*'⛽ المبيعات الشهرية'!AC6/100,"")</f>
        <v/>
      </c>
      <c r="AI7" s="61" t="str">
        <f>IFERROR(AE7*'⛽ المبيعات الشهرية'!AD6/100,"")</f>
        <v/>
      </c>
      <c r="AJ7" s="65" t="str">
        <f>IFERROR(AE7*'⛽ المبيعات الشهرية'!AE6/100,"")</f>
        <v/>
      </c>
      <c r="AK7" s="61" t="str">
        <f>IFERROR(AE7*'⛽ المبيعات الشهرية'!AF6/100,"")</f>
        <v/>
      </c>
      <c r="AL7" s="65" t="str">
        <f>IFERROR(AE7*'⛽ المبيعات الشهرية'!AG6/100,"")</f>
        <v/>
      </c>
      <c r="AM7" s="61" t="str">
        <f>IFERROR(AE7*'⛽ المبيعات الشهرية'!AH6/100,"")</f>
        <v/>
      </c>
      <c r="AN7" s="65" t="str">
        <f>IFERROR(AE7*'⛽ المبيعات الشهرية'!AI6/100,"")</f>
        <v/>
      </c>
      <c r="AO7" s="61" t="str">
        <f>IFERROR(AE7*'⛽ المبيعات الشهرية'!AJ6/100,"")</f>
        <v/>
      </c>
      <c r="AP7" s="65" t="str">
        <f>IFERROR(AE7*'⛽ المبيعات الشهرية'!AK6/100,"")</f>
        <v/>
      </c>
      <c r="AQ7" s="61" t="str">
        <f>IFERROR(AE7*'⛽ المبيعات الشهرية'!AL6/100,"")</f>
        <v/>
      </c>
      <c r="AR7" s="42">
        <f t="shared" ref="AR7:AR38" si="2">IFERROR(SUM(AF7:AQ7),"")</f>
        <v>0</v>
      </c>
      <c r="AS7" s="66" t="str">
        <f>'📋 بيانات المحطات'!K6</f>
        <v>هامش ديزل
هل/ل</v>
      </c>
      <c r="AT7" s="67" t="str">
        <f>IFERROR(AS7*'⛽ المبيعات الشهرية'!AM6/100,"")</f>
        <v/>
      </c>
      <c r="AU7" s="61" t="str">
        <f>IFERROR(AS7*'⛽ المبيعات الشهرية'!AN6/100,"")</f>
        <v/>
      </c>
      <c r="AV7" s="67" t="str">
        <f>IFERROR(AS7*'⛽ المبيعات الشهرية'!AO6/100,"")</f>
        <v/>
      </c>
      <c r="AW7" s="61" t="str">
        <f>IFERROR(AS7*'⛽ المبيعات الشهرية'!AP6/100,"")</f>
        <v/>
      </c>
      <c r="AX7" s="67" t="str">
        <f>IFERROR(AS7*'⛽ المبيعات الشهرية'!AQ6/100,"")</f>
        <v/>
      </c>
      <c r="AY7" s="61" t="str">
        <f>IFERROR(AS7*'⛽ المبيعات الشهرية'!AR6/100,"")</f>
        <v/>
      </c>
      <c r="AZ7" s="67" t="str">
        <f>IFERROR(AS7*'⛽ المبيعات الشهرية'!AS6/100,"")</f>
        <v/>
      </c>
      <c r="BA7" s="61" t="str">
        <f>IFERROR(AS7*'⛽ المبيعات الشهرية'!AT6/100,"")</f>
        <v/>
      </c>
      <c r="BB7" s="67" t="str">
        <f>IFERROR(AS7*'⛽ المبيعات الشهرية'!AU6/100,"")</f>
        <v/>
      </c>
      <c r="BC7" s="61" t="str">
        <f>IFERROR(AS7*'⛽ المبيعات الشهرية'!AV6/100,"")</f>
        <v/>
      </c>
      <c r="BD7" s="67" t="str">
        <f>IFERROR(AS7*'⛽ المبيعات الشهرية'!AW6/100,"")</f>
        <v/>
      </c>
      <c r="BE7" s="61" t="str">
        <f>IFERROR(AS7*'⛽ المبيعات الشهرية'!AX6/100,"")</f>
        <v/>
      </c>
      <c r="BF7" s="42">
        <f t="shared" ref="BF7:BF38" si="3">IFERROR(SUM(AT7:BE7),"")</f>
        <v>0</v>
      </c>
      <c r="BG7" s="68">
        <f t="shared" ref="BG7:BG38" si="4">IFERROR(P7+AD7+AR7+BF7,"")</f>
        <v>0</v>
      </c>
    </row>
    <row r="8" spans="1:62" ht="21.75" customHeight="1" x14ac:dyDescent="0.35">
      <c r="A8" s="69" t="s">
        <v>32</v>
      </c>
      <c r="B8" s="36" t="str">
        <f>'📋 بيانات المحطات'!B7</f>
        <v>جبل النور</v>
      </c>
      <c r="C8" s="59" t="str">
        <f>'📋 بيانات المحطات'!H7</f>
        <v>هامش 91
(هللة/لتر)</v>
      </c>
      <c r="D8" s="60" t="str">
        <f>IFERROR(C8*'⛽ المبيعات الشهرية'!C7/100,"")</f>
        <v/>
      </c>
      <c r="E8" s="61" t="str">
        <f>IFERROR(C8*'⛽ المبيعات الشهرية'!D7/100,"")</f>
        <v/>
      </c>
      <c r="F8" s="60" t="str">
        <f>IFERROR(C8*'⛽ المبيعات الشهرية'!E7/100,"")</f>
        <v/>
      </c>
      <c r="G8" s="61" t="str">
        <f>IFERROR(C8*'⛽ المبيعات الشهرية'!F7/100,"")</f>
        <v/>
      </c>
      <c r="H8" s="60" t="str">
        <f>IFERROR(C8*'⛽ المبيعات الشهرية'!G7/100,"")</f>
        <v/>
      </c>
      <c r="I8" s="61" t="str">
        <f>IFERROR(C8*'⛽ المبيعات الشهرية'!H7/100,"")</f>
        <v/>
      </c>
      <c r="J8" s="60" t="str">
        <f>IFERROR(C8*'⛽ المبيعات الشهرية'!I7/100,"")</f>
        <v/>
      </c>
      <c r="K8" s="61" t="str">
        <f>IFERROR(C8*'⛽ المبيعات الشهرية'!J7/100,"")</f>
        <v/>
      </c>
      <c r="L8" s="60" t="str">
        <f>IFERROR(C8*'⛽ المبيعات الشهرية'!K7/100,"")</f>
        <v/>
      </c>
      <c r="M8" s="61" t="str">
        <f>IFERROR(C8*'⛽ المبيعات الشهرية'!L7/100,"")</f>
        <v/>
      </c>
      <c r="N8" s="60" t="str">
        <f>IFERROR(C8*'⛽ المبيعات الشهرية'!M7/100,"")</f>
        <v/>
      </c>
      <c r="O8" s="61" t="str">
        <f>IFERROR(C8*'⛽ المبيعات الشهرية'!N7/100,"")</f>
        <v/>
      </c>
      <c r="P8" s="42">
        <f t="shared" si="0"/>
        <v>0</v>
      </c>
      <c r="Q8" s="62" t="str">
        <f>'📋 بيانات المحطات'!I7</f>
        <v>هامش 95
(هللة/لتر)</v>
      </c>
      <c r="R8" s="63" t="str">
        <f>IFERROR(Q8*'⛽ المبيعات الشهرية'!O7/100,"")</f>
        <v/>
      </c>
      <c r="S8" s="61" t="str">
        <f>IFERROR(Q8*'⛽ المبيعات الشهرية'!P7/100,"")</f>
        <v/>
      </c>
      <c r="T8" s="63" t="str">
        <f>IFERROR(Q8*'⛽ المبيعات الشهرية'!Q7/100,"")</f>
        <v/>
      </c>
      <c r="U8" s="61" t="str">
        <f>IFERROR(Q8*'⛽ المبيعات الشهرية'!R7/100,"")</f>
        <v/>
      </c>
      <c r="V8" s="63" t="str">
        <f>IFERROR(Q8*'⛽ المبيعات الشهرية'!S7/100,"")</f>
        <v/>
      </c>
      <c r="W8" s="61" t="str">
        <f>IFERROR(Q8*'⛽ المبيعات الشهرية'!T7/100,"")</f>
        <v/>
      </c>
      <c r="X8" s="63" t="str">
        <f>IFERROR(Q8*'⛽ المبيعات الشهرية'!U7/100,"")</f>
        <v/>
      </c>
      <c r="Y8" s="61" t="str">
        <f>IFERROR(Q8*'⛽ المبيعات الشهرية'!V7/100,"")</f>
        <v/>
      </c>
      <c r="Z8" s="63" t="str">
        <f>IFERROR(Q8*'⛽ المبيعات الشهرية'!W7/100,"")</f>
        <v/>
      </c>
      <c r="AA8" s="61" t="str">
        <f>IFERROR(Q8*'⛽ المبيعات الشهرية'!X7/100,"")</f>
        <v/>
      </c>
      <c r="AB8" s="63" t="str">
        <f>IFERROR(Q8*'⛽ المبيعات الشهرية'!Y7/100,"")</f>
        <v/>
      </c>
      <c r="AC8" s="61" t="str">
        <f>IFERROR(Q8*'⛽ المبيعات الشهرية'!Z7/100,"")</f>
        <v/>
      </c>
      <c r="AD8" s="42">
        <f t="shared" si="1"/>
        <v>0</v>
      </c>
      <c r="AE8" s="64" t="str">
        <f>'📋 بيانات المحطات'!J7</f>
        <v>هامش 98
(هللة/لتر)</v>
      </c>
      <c r="AF8" s="65" t="str">
        <f>IFERROR(AE8*'⛽ المبيعات الشهرية'!AA7/100,"")</f>
        <v/>
      </c>
      <c r="AG8" s="61" t="str">
        <f>IFERROR(AE8*'⛽ المبيعات الشهرية'!AB7/100,"")</f>
        <v/>
      </c>
      <c r="AH8" s="65" t="str">
        <f>IFERROR(AE8*'⛽ المبيعات الشهرية'!AC7/100,"")</f>
        <v/>
      </c>
      <c r="AI8" s="61" t="str">
        <f>IFERROR(AE8*'⛽ المبيعات الشهرية'!AD7/100,"")</f>
        <v/>
      </c>
      <c r="AJ8" s="65" t="str">
        <f>IFERROR(AE8*'⛽ المبيعات الشهرية'!AE7/100,"")</f>
        <v/>
      </c>
      <c r="AK8" s="61" t="str">
        <f>IFERROR(AE8*'⛽ المبيعات الشهرية'!AF7/100,"")</f>
        <v/>
      </c>
      <c r="AL8" s="65" t="str">
        <f>IFERROR(AE8*'⛽ المبيعات الشهرية'!AG7/100,"")</f>
        <v/>
      </c>
      <c r="AM8" s="61" t="str">
        <f>IFERROR(AE8*'⛽ المبيعات الشهرية'!AH7/100,"")</f>
        <v/>
      </c>
      <c r="AN8" s="65" t="str">
        <f>IFERROR(AE8*'⛽ المبيعات الشهرية'!AI7/100,"")</f>
        <v/>
      </c>
      <c r="AO8" s="61" t="str">
        <f>IFERROR(AE8*'⛽ المبيعات الشهرية'!AJ7/100,"")</f>
        <v/>
      </c>
      <c r="AP8" s="65" t="str">
        <f>IFERROR(AE8*'⛽ المبيعات الشهرية'!AK7/100,"")</f>
        <v/>
      </c>
      <c r="AQ8" s="61" t="str">
        <f>IFERROR(AE8*'⛽ المبيعات الشهرية'!AL7/100,"")</f>
        <v/>
      </c>
      <c r="AR8" s="42">
        <f t="shared" si="2"/>
        <v>0</v>
      </c>
      <c r="AS8" s="66" t="str">
        <f>'📋 بيانات المحطات'!K7</f>
        <v>هامش ديزل
(هللة/لتر)</v>
      </c>
      <c r="AT8" s="67" t="str">
        <f>IFERROR(AS8*'⛽ المبيعات الشهرية'!AM7/100,"")</f>
        <v/>
      </c>
      <c r="AU8" s="61" t="str">
        <f>IFERROR(AS8*'⛽ المبيعات الشهرية'!AN7/100,"")</f>
        <v/>
      </c>
      <c r="AV8" s="67" t="str">
        <f>IFERROR(AS8*'⛽ المبيعات الشهرية'!AO7/100,"")</f>
        <v/>
      </c>
      <c r="AW8" s="61" t="str">
        <f>IFERROR(AS8*'⛽ المبيعات الشهرية'!AP7/100,"")</f>
        <v/>
      </c>
      <c r="AX8" s="67" t="str">
        <f>IFERROR(AS8*'⛽ المبيعات الشهرية'!AQ7/100,"")</f>
        <v/>
      </c>
      <c r="AY8" s="61" t="str">
        <f>IFERROR(AS8*'⛽ المبيعات الشهرية'!AR7/100,"")</f>
        <v/>
      </c>
      <c r="AZ8" s="67" t="str">
        <f>IFERROR(AS8*'⛽ المبيعات الشهرية'!AS7/100,"")</f>
        <v/>
      </c>
      <c r="BA8" s="61" t="str">
        <f>IFERROR(AS8*'⛽ المبيعات الشهرية'!AT7/100,"")</f>
        <v/>
      </c>
      <c r="BB8" s="67" t="str">
        <f>IFERROR(AS8*'⛽ المبيعات الشهرية'!AU7/100,"")</f>
        <v/>
      </c>
      <c r="BC8" s="61" t="str">
        <f>IFERROR(AS8*'⛽ المبيعات الشهرية'!AV7/100,"")</f>
        <v/>
      </c>
      <c r="BD8" s="67" t="str">
        <f>IFERROR(AS8*'⛽ المبيعات الشهرية'!AW7/100,"")</f>
        <v/>
      </c>
      <c r="BE8" s="61" t="str">
        <f>IFERROR(AS8*'⛽ المبيعات الشهرية'!AX7/100,"")</f>
        <v/>
      </c>
      <c r="BF8" s="42">
        <f t="shared" si="3"/>
        <v>0</v>
      </c>
      <c r="BG8" s="68">
        <f t="shared" si="4"/>
        <v>0</v>
      </c>
    </row>
    <row r="9" spans="1:62" ht="21.75" customHeight="1" x14ac:dyDescent="0.35">
      <c r="A9" s="58" t="s">
        <v>35</v>
      </c>
      <c r="B9" s="36" t="str">
        <f>'📋 بيانات المحطات'!B8</f>
        <v>المعيصم</v>
      </c>
      <c r="C9" s="59">
        <f>'📋 بيانات المحطات'!H8</f>
        <v>0</v>
      </c>
      <c r="D9" s="60">
        <f>IFERROR(C9*'⛽ المبيعات الشهرية'!C8/100,"")</f>
        <v>0</v>
      </c>
      <c r="E9" s="61">
        <f>IFERROR(C9*'⛽ المبيعات الشهرية'!D8/100,"")</f>
        <v>0</v>
      </c>
      <c r="F9" s="60">
        <f>IFERROR(C9*'⛽ المبيعات الشهرية'!E8/100,"")</f>
        <v>0</v>
      </c>
      <c r="G9" s="61">
        <f>IFERROR(C9*'⛽ المبيعات الشهرية'!F8/100,"")</f>
        <v>0</v>
      </c>
      <c r="H9" s="60">
        <f>IFERROR(C9*'⛽ المبيعات الشهرية'!G8/100,"")</f>
        <v>0</v>
      </c>
      <c r="I9" s="61">
        <f>IFERROR(C9*'⛽ المبيعات الشهرية'!H8/100,"")</f>
        <v>0</v>
      </c>
      <c r="J9" s="60">
        <f>IFERROR(C9*'⛽ المبيعات الشهرية'!I8/100,"")</f>
        <v>0</v>
      </c>
      <c r="K9" s="61">
        <f>IFERROR(C9*'⛽ المبيعات الشهرية'!J8/100,"")</f>
        <v>0</v>
      </c>
      <c r="L9" s="60">
        <f>IFERROR(C9*'⛽ المبيعات الشهرية'!K8/100,"")</f>
        <v>0</v>
      </c>
      <c r="M9" s="61">
        <f>IFERROR(C9*'⛽ المبيعات الشهرية'!L8/100,"")</f>
        <v>0</v>
      </c>
      <c r="N9" s="60">
        <f>IFERROR(C9*'⛽ المبيعات الشهرية'!M8/100,"")</f>
        <v>0</v>
      </c>
      <c r="O9" s="61">
        <f>IFERROR(C9*'⛽ المبيعات الشهرية'!N8/100,"")</f>
        <v>0</v>
      </c>
      <c r="P9" s="42">
        <f t="shared" si="0"/>
        <v>0</v>
      </c>
      <c r="Q9" s="62">
        <f>'📋 بيانات المحطات'!I8</f>
        <v>0</v>
      </c>
      <c r="R9" s="63">
        <f>IFERROR(Q9*'⛽ المبيعات الشهرية'!O8/100,"")</f>
        <v>0</v>
      </c>
      <c r="S9" s="61">
        <f>IFERROR(Q9*'⛽ المبيعات الشهرية'!P8/100,"")</f>
        <v>0</v>
      </c>
      <c r="T9" s="63">
        <f>IFERROR(Q9*'⛽ المبيعات الشهرية'!Q8/100,"")</f>
        <v>0</v>
      </c>
      <c r="U9" s="61">
        <f>IFERROR(Q9*'⛽ المبيعات الشهرية'!R8/100,"")</f>
        <v>0</v>
      </c>
      <c r="V9" s="63">
        <f>IFERROR(Q9*'⛽ المبيعات الشهرية'!S8/100,"")</f>
        <v>0</v>
      </c>
      <c r="W9" s="61">
        <f>IFERROR(Q9*'⛽ المبيعات الشهرية'!T8/100,"")</f>
        <v>0</v>
      </c>
      <c r="X9" s="63">
        <f>IFERROR(Q9*'⛽ المبيعات الشهرية'!U8/100,"")</f>
        <v>0</v>
      </c>
      <c r="Y9" s="61">
        <f>IFERROR(Q9*'⛽ المبيعات الشهرية'!V8/100,"")</f>
        <v>0</v>
      </c>
      <c r="Z9" s="63">
        <f>IFERROR(Q9*'⛽ المبيعات الشهرية'!W8/100,"")</f>
        <v>0</v>
      </c>
      <c r="AA9" s="61">
        <f>IFERROR(Q9*'⛽ المبيعات الشهرية'!X8/100,"")</f>
        <v>0</v>
      </c>
      <c r="AB9" s="63">
        <f>IFERROR(Q9*'⛽ المبيعات الشهرية'!Y8/100,"")</f>
        <v>0</v>
      </c>
      <c r="AC9" s="61">
        <f>IFERROR(Q9*'⛽ المبيعات الشهرية'!Z8/100,"")</f>
        <v>0</v>
      </c>
      <c r="AD9" s="42">
        <f t="shared" si="1"/>
        <v>0</v>
      </c>
      <c r="AE9" s="64">
        <f>'📋 بيانات المحطات'!J8</f>
        <v>0</v>
      </c>
      <c r="AF9" s="65">
        <f>IFERROR(AE9*'⛽ المبيعات الشهرية'!AA8/100,"")</f>
        <v>0</v>
      </c>
      <c r="AG9" s="61">
        <f>IFERROR(AE9*'⛽ المبيعات الشهرية'!AB8/100,"")</f>
        <v>0</v>
      </c>
      <c r="AH9" s="65">
        <f>IFERROR(AE9*'⛽ المبيعات الشهرية'!AC8/100,"")</f>
        <v>0</v>
      </c>
      <c r="AI9" s="61">
        <f>IFERROR(AE9*'⛽ المبيعات الشهرية'!AD8/100,"")</f>
        <v>0</v>
      </c>
      <c r="AJ9" s="65">
        <f>IFERROR(AE9*'⛽ المبيعات الشهرية'!AE8/100,"")</f>
        <v>0</v>
      </c>
      <c r="AK9" s="61">
        <f>IFERROR(AE9*'⛽ المبيعات الشهرية'!AF8/100,"")</f>
        <v>0</v>
      </c>
      <c r="AL9" s="65">
        <f>IFERROR(AE9*'⛽ المبيعات الشهرية'!AG8/100,"")</f>
        <v>0</v>
      </c>
      <c r="AM9" s="61">
        <f>IFERROR(AE9*'⛽ المبيعات الشهرية'!AH8/100,"")</f>
        <v>0</v>
      </c>
      <c r="AN9" s="65">
        <f>IFERROR(AE9*'⛽ المبيعات الشهرية'!AI8/100,"")</f>
        <v>0</v>
      </c>
      <c r="AO9" s="61">
        <f>IFERROR(AE9*'⛽ المبيعات الشهرية'!AJ8/100,"")</f>
        <v>0</v>
      </c>
      <c r="AP9" s="65">
        <f>IFERROR(AE9*'⛽ المبيعات الشهرية'!AK8/100,"")</f>
        <v>0</v>
      </c>
      <c r="AQ9" s="61">
        <f>IFERROR(AE9*'⛽ المبيعات الشهرية'!AL8/100,"")</f>
        <v>0</v>
      </c>
      <c r="AR9" s="42">
        <f t="shared" si="2"/>
        <v>0</v>
      </c>
      <c r="AS9" s="66">
        <f>'📋 بيانات المحطات'!K8</f>
        <v>0</v>
      </c>
      <c r="AT9" s="67">
        <f>IFERROR(AS9*'⛽ المبيعات الشهرية'!AM8/100,"")</f>
        <v>0</v>
      </c>
      <c r="AU9" s="61">
        <f>IFERROR(AS9*'⛽ المبيعات الشهرية'!AN8/100,"")</f>
        <v>0</v>
      </c>
      <c r="AV9" s="67">
        <f>IFERROR(AS9*'⛽ المبيعات الشهرية'!AO8/100,"")</f>
        <v>0</v>
      </c>
      <c r="AW9" s="61">
        <f>IFERROR(AS9*'⛽ المبيعات الشهرية'!AP8/100,"")</f>
        <v>0</v>
      </c>
      <c r="AX9" s="67">
        <f>IFERROR(AS9*'⛽ المبيعات الشهرية'!AQ8/100,"")</f>
        <v>0</v>
      </c>
      <c r="AY9" s="61">
        <f>IFERROR(AS9*'⛽ المبيعات الشهرية'!AR8/100,"")</f>
        <v>0</v>
      </c>
      <c r="AZ9" s="67">
        <f>IFERROR(AS9*'⛽ المبيعات الشهرية'!AS8/100,"")</f>
        <v>0</v>
      </c>
      <c r="BA9" s="61">
        <f>IFERROR(AS9*'⛽ المبيعات الشهرية'!AT8/100,"")</f>
        <v>0</v>
      </c>
      <c r="BB9" s="67">
        <f>IFERROR(AS9*'⛽ المبيعات الشهرية'!AU8/100,"")</f>
        <v>0</v>
      </c>
      <c r="BC9" s="61">
        <f>IFERROR(AS9*'⛽ المبيعات الشهرية'!AV8/100,"")</f>
        <v>0</v>
      </c>
      <c r="BD9" s="67">
        <f>IFERROR(AS9*'⛽ المبيعات الشهرية'!AW8/100,"")</f>
        <v>0</v>
      </c>
      <c r="BE9" s="61">
        <f>IFERROR(AS9*'⛽ المبيعات الشهرية'!AX8/100,"")</f>
        <v>0</v>
      </c>
      <c r="BF9" s="42">
        <f t="shared" si="3"/>
        <v>0</v>
      </c>
      <c r="BG9" s="68">
        <f t="shared" si="4"/>
        <v>0</v>
      </c>
    </row>
    <row r="10" spans="1:62" ht="21.75" customHeight="1" x14ac:dyDescent="0.35">
      <c r="A10" s="69" t="s">
        <v>38</v>
      </c>
      <c r="B10" s="36" t="str">
        <f>'📋 بيانات المحطات'!B9</f>
        <v>العوالي</v>
      </c>
      <c r="C10" s="59">
        <f>'📋 بيانات المحطات'!H9</f>
        <v>0</v>
      </c>
      <c r="D10" s="60">
        <f>IFERROR(C10*'⛽ المبيعات الشهرية'!C9/100,"")</f>
        <v>0</v>
      </c>
      <c r="E10" s="61">
        <f>IFERROR(C10*'⛽ المبيعات الشهرية'!D9/100,"")</f>
        <v>0</v>
      </c>
      <c r="F10" s="60">
        <f>IFERROR(C10*'⛽ المبيعات الشهرية'!E9/100,"")</f>
        <v>0</v>
      </c>
      <c r="G10" s="61">
        <f>IFERROR(C10*'⛽ المبيعات الشهرية'!F9/100,"")</f>
        <v>0</v>
      </c>
      <c r="H10" s="60">
        <f>IFERROR(C10*'⛽ المبيعات الشهرية'!G9/100,"")</f>
        <v>0</v>
      </c>
      <c r="I10" s="61">
        <f>IFERROR(C10*'⛽ المبيعات الشهرية'!H9/100,"")</f>
        <v>0</v>
      </c>
      <c r="J10" s="60">
        <f>IFERROR(C10*'⛽ المبيعات الشهرية'!I9/100,"")</f>
        <v>0</v>
      </c>
      <c r="K10" s="61">
        <f>IFERROR(C10*'⛽ المبيعات الشهرية'!J9/100,"")</f>
        <v>0</v>
      </c>
      <c r="L10" s="60">
        <f>IFERROR(C10*'⛽ المبيعات الشهرية'!K9/100,"")</f>
        <v>0</v>
      </c>
      <c r="M10" s="61">
        <f>IFERROR(C10*'⛽ المبيعات الشهرية'!L9/100,"")</f>
        <v>0</v>
      </c>
      <c r="N10" s="60">
        <f>IFERROR(C10*'⛽ المبيعات الشهرية'!M9/100,"")</f>
        <v>0</v>
      </c>
      <c r="O10" s="61">
        <f>IFERROR(C10*'⛽ المبيعات الشهرية'!N9/100,"")</f>
        <v>0</v>
      </c>
      <c r="P10" s="42">
        <f t="shared" si="0"/>
        <v>0</v>
      </c>
      <c r="Q10" s="62">
        <f>'📋 بيانات المحطات'!I9</f>
        <v>0</v>
      </c>
      <c r="R10" s="63">
        <f>IFERROR(Q10*'⛽ المبيعات الشهرية'!O9/100,"")</f>
        <v>0</v>
      </c>
      <c r="S10" s="61">
        <f>IFERROR(Q10*'⛽ المبيعات الشهرية'!P9/100,"")</f>
        <v>0</v>
      </c>
      <c r="T10" s="63">
        <f>IFERROR(Q10*'⛽ المبيعات الشهرية'!Q9/100,"")</f>
        <v>0</v>
      </c>
      <c r="U10" s="61">
        <f>IFERROR(Q10*'⛽ المبيعات الشهرية'!R9/100,"")</f>
        <v>0</v>
      </c>
      <c r="V10" s="63">
        <f>IFERROR(Q10*'⛽ المبيعات الشهرية'!S9/100,"")</f>
        <v>0</v>
      </c>
      <c r="W10" s="61">
        <f>IFERROR(Q10*'⛽ المبيعات الشهرية'!T9/100,"")</f>
        <v>0</v>
      </c>
      <c r="X10" s="63">
        <f>IFERROR(Q10*'⛽ المبيعات الشهرية'!U9/100,"")</f>
        <v>0</v>
      </c>
      <c r="Y10" s="61">
        <f>IFERROR(Q10*'⛽ المبيعات الشهرية'!V9/100,"")</f>
        <v>0</v>
      </c>
      <c r="Z10" s="63">
        <f>IFERROR(Q10*'⛽ المبيعات الشهرية'!W9/100,"")</f>
        <v>0</v>
      </c>
      <c r="AA10" s="61">
        <f>IFERROR(Q10*'⛽ المبيعات الشهرية'!X9/100,"")</f>
        <v>0</v>
      </c>
      <c r="AB10" s="63">
        <f>IFERROR(Q10*'⛽ المبيعات الشهرية'!Y9/100,"")</f>
        <v>0</v>
      </c>
      <c r="AC10" s="61">
        <f>IFERROR(Q10*'⛽ المبيعات الشهرية'!Z9/100,"")</f>
        <v>0</v>
      </c>
      <c r="AD10" s="42">
        <f t="shared" si="1"/>
        <v>0</v>
      </c>
      <c r="AE10" s="64">
        <f>'📋 بيانات المحطات'!J9</f>
        <v>0</v>
      </c>
      <c r="AF10" s="65">
        <f>IFERROR(AE10*'⛽ المبيعات الشهرية'!AA9/100,"")</f>
        <v>0</v>
      </c>
      <c r="AG10" s="61">
        <f>IFERROR(AE10*'⛽ المبيعات الشهرية'!AB9/100,"")</f>
        <v>0</v>
      </c>
      <c r="AH10" s="65">
        <f>IFERROR(AE10*'⛽ المبيعات الشهرية'!AC9/100,"")</f>
        <v>0</v>
      </c>
      <c r="AI10" s="61">
        <f>IFERROR(AE10*'⛽ المبيعات الشهرية'!AD9/100,"")</f>
        <v>0</v>
      </c>
      <c r="AJ10" s="65">
        <f>IFERROR(AE10*'⛽ المبيعات الشهرية'!AE9/100,"")</f>
        <v>0</v>
      </c>
      <c r="AK10" s="61">
        <f>IFERROR(AE10*'⛽ المبيعات الشهرية'!AF9/100,"")</f>
        <v>0</v>
      </c>
      <c r="AL10" s="65">
        <f>IFERROR(AE10*'⛽ المبيعات الشهرية'!AG9/100,"")</f>
        <v>0</v>
      </c>
      <c r="AM10" s="61">
        <f>IFERROR(AE10*'⛽ المبيعات الشهرية'!AH9/100,"")</f>
        <v>0</v>
      </c>
      <c r="AN10" s="65">
        <f>IFERROR(AE10*'⛽ المبيعات الشهرية'!AI9/100,"")</f>
        <v>0</v>
      </c>
      <c r="AO10" s="61">
        <f>IFERROR(AE10*'⛽ المبيعات الشهرية'!AJ9/100,"")</f>
        <v>0</v>
      </c>
      <c r="AP10" s="65">
        <f>IFERROR(AE10*'⛽ المبيعات الشهرية'!AK9/100,"")</f>
        <v>0</v>
      </c>
      <c r="AQ10" s="61">
        <f>IFERROR(AE10*'⛽ المبيعات الشهرية'!AL9/100,"")</f>
        <v>0</v>
      </c>
      <c r="AR10" s="42">
        <f t="shared" si="2"/>
        <v>0</v>
      </c>
      <c r="AS10" s="66">
        <f>'📋 بيانات المحطات'!K9</f>
        <v>0</v>
      </c>
      <c r="AT10" s="67">
        <f>IFERROR(AS10*'⛽ المبيعات الشهرية'!AM9/100,"")</f>
        <v>0</v>
      </c>
      <c r="AU10" s="61">
        <f>IFERROR(AS10*'⛽ المبيعات الشهرية'!AN9/100,"")</f>
        <v>0</v>
      </c>
      <c r="AV10" s="67">
        <f>IFERROR(AS10*'⛽ المبيعات الشهرية'!AO9/100,"")</f>
        <v>0</v>
      </c>
      <c r="AW10" s="61">
        <f>IFERROR(AS10*'⛽ المبيعات الشهرية'!AP9/100,"")</f>
        <v>0</v>
      </c>
      <c r="AX10" s="67">
        <f>IFERROR(AS10*'⛽ المبيعات الشهرية'!AQ9/100,"")</f>
        <v>0</v>
      </c>
      <c r="AY10" s="61">
        <f>IFERROR(AS10*'⛽ المبيعات الشهرية'!AR9/100,"")</f>
        <v>0</v>
      </c>
      <c r="AZ10" s="67">
        <f>IFERROR(AS10*'⛽ المبيعات الشهرية'!AS9/100,"")</f>
        <v>0</v>
      </c>
      <c r="BA10" s="61">
        <f>IFERROR(AS10*'⛽ المبيعات الشهرية'!AT9/100,"")</f>
        <v>0</v>
      </c>
      <c r="BB10" s="67">
        <f>IFERROR(AS10*'⛽ المبيعات الشهرية'!AU9/100,"")</f>
        <v>0</v>
      </c>
      <c r="BC10" s="61">
        <f>IFERROR(AS10*'⛽ المبيعات الشهرية'!AV9/100,"")</f>
        <v>0</v>
      </c>
      <c r="BD10" s="67">
        <f>IFERROR(AS10*'⛽ المبيعات الشهرية'!AW9/100,"")</f>
        <v>0</v>
      </c>
      <c r="BE10" s="61">
        <f>IFERROR(AS10*'⛽ المبيعات الشهرية'!AX9/100,"")</f>
        <v>0</v>
      </c>
      <c r="BF10" s="42">
        <f t="shared" si="3"/>
        <v>0</v>
      </c>
      <c r="BG10" s="68">
        <f t="shared" si="4"/>
        <v>0</v>
      </c>
    </row>
    <row r="11" spans="1:62" ht="21.75" customHeight="1" x14ac:dyDescent="0.35">
      <c r="A11" s="58" t="s">
        <v>41</v>
      </c>
      <c r="B11" s="36" t="str">
        <f>'📋 بيانات المحطات'!B10</f>
        <v>عاصفة الصحراء</v>
      </c>
      <c r="C11" s="59">
        <f>'📋 بيانات المحطات'!H10</f>
        <v>0</v>
      </c>
      <c r="D11" s="60">
        <f>IFERROR(C11*'⛽ المبيعات الشهرية'!C10/100,"")</f>
        <v>0</v>
      </c>
      <c r="E11" s="61">
        <f>IFERROR(C11*'⛽ المبيعات الشهرية'!D10/100,"")</f>
        <v>0</v>
      </c>
      <c r="F11" s="60">
        <f>IFERROR(C11*'⛽ المبيعات الشهرية'!E10/100,"")</f>
        <v>0</v>
      </c>
      <c r="G11" s="61">
        <f>IFERROR(C11*'⛽ المبيعات الشهرية'!F10/100,"")</f>
        <v>0</v>
      </c>
      <c r="H11" s="60">
        <f>IFERROR(C11*'⛽ المبيعات الشهرية'!G10/100,"")</f>
        <v>0</v>
      </c>
      <c r="I11" s="61">
        <f>IFERROR(C11*'⛽ المبيعات الشهرية'!H10/100,"")</f>
        <v>0</v>
      </c>
      <c r="J11" s="60">
        <f>IFERROR(C11*'⛽ المبيعات الشهرية'!I10/100,"")</f>
        <v>0</v>
      </c>
      <c r="K11" s="61">
        <f>IFERROR(C11*'⛽ المبيعات الشهرية'!J10/100,"")</f>
        <v>0</v>
      </c>
      <c r="L11" s="60">
        <f>IFERROR(C11*'⛽ المبيعات الشهرية'!K10/100,"")</f>
        <v>0</v>
      </c>
      <c r="M11" s="61">
        <f>IFERROR(C11*'⛽ المبيعات الشهرية'!L10/100,"")</f>
        <v>0</v>
      </c>
      <c r="N11" s="60">
        <f>IFERROR(C11*'⛽ المبيعات الشهرية'!M10/100,"")</f>
        <v>0</v>
      </c>
      <c r="O11" s="61">
        <f>IFERROR(C11*'⛽ المبيعات الشهرية'!N10/100,"")</f>
        <v>0</v>
      </c>
      <c r="P11" s="42">
        <f t="shared" si="0"/>
        <v>0</v>
      </c>
      <c r="Q11" s="62">
        <f>'📋 بيانات المحطات'!I10</f>
        <v>0</v>
      </c>
      <c r="R11" s="63">
        <f>IFERROR(Q11*'⛽ المبيعات الشهرية'!O10/100,"")</f>
        <v>0</v>
      </c>
      <c r="S11" s="61">
        <f>IFERROR(Q11*'⛽ المبيعات الشهرية'!P10/100,"")</f>
        <v>0</v>
      </c>
      <c r="T11" s="63">
        <f>IFERROR(Q11*'⛽ المبيعات الشهرية'!Q10/100,"")</f>
        <v>0</v>
      </c>
      <c r="U11" s="61">
        <f>IFERROR(Q11*'⛽ المبيعات الشهرية'!R10/100,"")</f>
        <v>0</v>
      </c>
      <c r="V11" s="63">
        <f>IFERROR(Q11*'⛽ المبيعات الشهرية'!S10/100,"")</f>
        <v>0</v>
      </c>
      <c r="W11" s="61">
        <f>IFERROR(Q11*'⛽ المبيعات الشهرية'!T10/100,"")</f>
        <v>0</v>
      </c>
      <c r="X11" s="63">
        <f>IFERROR(Q11*'⛽ المبيعات الشهرية'!U10/100,"")</f>
        <v>0</v>
      </c>
      <c r="Y11" s="61">
        <f>IFERROR(Q11*'⛽ المبيعات الشهرية'!V10/100,"")</f>
        <v>0</v>
      </c>
      <c r="Z11" s="63">
        <f>IFERROR(Q11*'⛽ المبيعات الشهرية'!W10/100,"")</f>
        <v>0</v>
      </c>
      <c r="AA11" s="61">
        <f>IFERROR(Q11*'⛽ المبيعات الشهرية'!X10/100,"")</f>
        <v>0</v>
      </c>
      <c r="AB11" s="63">
        <f>IFERROR(Q11*'⛽ المبيعات الشهرية'!Y10/100,"")</f>
        <v>0</v>
      </c>
      <c r="AC11" s="61">
        <f>IFERROR(Q11*'⛽ المبيعات الشهرية'!Z10/100,"")</f>
        <v>0</v>
      </c>
      <c r="AD11" s="42">
        <f t="shared" si="1"/>
        <v>0</v>
      </c>
      <c r="AE11" s="64">
        <f>'📋 بيانات المحطات'!J10</f>
        <v>0</v>
      </c>
      <c r="AF11" s="65">
        <f>IFERROR(AE11*'⛽ المبيعات الشهرية'!AA10/100,"")</f>
        <v>0</v>
      </c>
      <c r="AG11" s="61">
        <f>IFERROR(AE11*'⛽ المبيعات الشهرية'!AB10/100,"")</f>
        <v>0</v>
      </c>
      <c r="AH11" s="65">
        <f>IFERROR(AE11*'⛽ المبيعات الشهرية'!AC10/100,"")</f>
        <v>0</v>
      </c>
      <c r="AI11" s="61">
        <f>IFERROR(AE11*'⛽ المبيعات الشهرية'!AD10/100,"")</f>
        <v>0</v>
      </c>
      <c r="AJ11" s="65">
        <f>IFERROR(AE11*'⛽ المبيعات الشهرية'!AE10/100,"")</f>
        <v>0</v>
      </c>
      <c r="AK11" s="61">
        <f>IFERROR(AE11*'⛽ المبيعات الشهرية'!AF10/100,"")</f>
        <v>0</v>
      </c>
      <c r="AL11" s="65">
        <f>IFERROR(AE11*'⛽ المبيعات الشهرية'!AG10/100,"")</f>
        <v>0</v>
      </c>
      <c r="AM11" s="61">
        <f>IFERROR(AE11*'⛽ المبيعات الشهرية'!AH10/100,"")</f>
        <v>0</v>
      </c>
      <c r="AN11" s="65">
        <f>IFERROR(AE11*'⛽ المبيعات الشهرية'!AI10/100,"")</f>
        <v>0</v>
      </c>
      <c r="AO11" s="61">
        <f>IFERROR(AE11*'⛽ المبيعات الشهرية'!AJ10/100,"")</f>
        <v>0</v>
      </c>
      <c r="AP11" s="65">
        <f>IFERROR(AE11*'⛽ المبيعات الشهرية'!AK10/100,"")</f>
        <v>0</v>
      </c>
      <c r="AQ11" s="61">
        <f>IFERROR(AE11*'⛽ المبيعات الشهرية'!AL10/100,"")</f>
        <v>0</v>
      </c>
      <c r="AR11" s="42">
        <f t="shared" si="2"/>
        <v>0</v>
      </c>
      <c r="AS11" s="66">
        <f>'📋 بيانات المحطات'!K10</f>
        <v>0</v>
      </c>
      <c r="AT11" s="67">
        <f>IFERROR(AS11*'⛽ المبيعات الشهرية'!AM10/100,"")</f>
        <v>0</v>
      </c>
      <c r="AU11" s="61">
        <f>IFERROR(AS11*'⛽ المبيعات الشهرية'!AN10/100,"")</f>
        <v>0</v>
      </c>
      <c r="AV11" s="67">
        <f>IFERROR(AS11*'⛽ المبيعات الشهرية'!AO10/100,"")</f>
        <v>0</v>
      </c>
      <c r="AW11" s="61">
        <f>IFERROR(AS11*'⛽ المبيعات الشهرية'!AP10/100,"")</f>
        <v>0</v>
      </c>
      <c r="AX11" s="67">
        <f>IFERROR(AS11*'⛽ المبيعات الشهرية'!AQ10/100,"")</f>
        <v>0</v>
      </c>
      <c r="AY11" s="61">
        <f>IFERROR(AS11*'⛽ المبيعات الشهرية'!AR10/100,"")</f>
        <v>0</v>
      </c>
      <c r="AZ11" s="67">
        <f>IFERROR(AS11*'⛽ المبيعات الشهرية'!AS10/100,"")</f>
        <v>0</v>
      </c>
      <c r="BA11" s="61">
        <f>IFERROR(AS11*'⛽ المبيعات الشهرية'!AT10/100,"")</f>
        <v>0</v>
      </c>
      <c r="BB11" s="67">
        <f>IFERROR(AS11*'⛽ المبيعات الشهرية'!AU10/100,"")</f>
        <v>0</v>
      </c>
      <c r="BC11" s="61">
        <f>IFERROR(AS11*'⛽ المبيعات الشهرية'!AV10/100,"")</f>
        <v>0</v>
      </c>
      <c r="BD11" s="67">
        <f>IFERROR(AS11*'⛽ المبيعات الشهرية'!AW10/100,"")</f>
        <v>0</v>
      </c>
      <c r="BE11" s="61">
        <f>IFERROR(AS11*'⛽ المبيعات الشهرية'!AX10/100,"")</f>
        <v>0</v>
      </c>
      <c r="BF11" s="42">
        <f t="shared" si="3"/>
        <v>0</v>
      </c>
      <c r="BG11" s="68">
        <f t="shared" si="4"/>
        <v>0</v>
      </c>
    </row>
    <row r="12" spans="1:62" ht="21.75" customHeight="1" x14ac:dyDescent="0.35">
      <c r="A12" s="69" t="s">
        <v>44</v>
      </c>
      <c r="B12" s="36" t="str">
        <f>'📋 بيانات المحطات'!B11</f>
        <v>الشيباني</v>
      </c>
      <c r="C12" s="59">
        <f>'📋 بيانات المحطات'!H11</f>
        <v>0</v>
      </c>
      <c r="D12" s="60">
        <f>IFERROR(C12*'⛽ المبيعات الشهرية'!C11/100,"")</f>
        <v>0</v>
      </c>
      <c r="E12" s="61">
        <f>IFERROR(C12*'⛽ المبيعات الشهرية'!D11/100,"")</f>
        <v>0</v>
      </c>
      <c r="F12" s="60">
        <f>IFERROR(C12*'⛽ المبيعات الشهرية'!E11/100,"")</f>
        <v>0</v>
      </c>
      <c r="G12" s="61">
        <f>IFERROR(C12*'⛽ المبيعات الشهرية'!F11/100,"")</f>
        <v>0</v>
      </c>
      <c r="H12" s="60">
        <f>IFERROR(C12*'⛽ المبيعات الشهرية'!G11/100,"")</f>
        <v>0</v>
      </c>
      <c r="I12" s="61">
        <f>IFERROR(C12*'⛽ المبيعات الشهرية'!H11/100,"")</f>
        <v>0</v>
      </c>
      <c r="J12" s="60">
        <f>IFERROR(C12*'⛽ المبيعات الشهرية'!I11/100,"")</f>
        <v>0</v>
      </c>
      <c r="K12" s="61">
        <f>IFERROR(C12*'⛽ المبيعات الشهرية'!J11/100,"")</f>
        <v>0</v>
      </c>
      <c r="L12" s="60">
        <f>IFERROR(C12*'⛽ المبيعات الشهرية'!K11/100,"")</f>
        <v>0</v>
      </c>
      <c r="M12" s="61">
        <f>IFERROR(C12*'⛽ المبيعات الشهرية'!L11/100,"")</f>
        <v>0</v>
      </c>
      <c r="N12" s="60">
        <f>IFERROR(C12*'⛽ المبيعات الشهرية'!M11/100,"")</f>
        <v>0</v>
      </c>
      <c r="O12" s="61">
        <f>IFERROR(C12*'⛽ المبيعات الشهرية'!N11/100,"")</f>
        <v>0</v>
      </c>
      <c r="P12" s="42">
        <f t="shared" si="0"/>
        <v>0</v>
      </c>
      <c r="Q12" s="62">
        <f>'📋 بيانات المحطات'!I11</f>
        <v>0</v>
      </c>
      <c r="R12" s="63">
        <f>IFERROR(Q12*'⛽ المبيعات الشهرية'!O11/100,"")</f>
        <v>0</v>
      </c>
      <c r="S12" s="61">
        <f>IFERROR(Q12*'⛽ المبيعات الشهرية'!P11/100,"")</f>
        <v>0</v>
      </c>
      <c r="T12" s="63">
        <f>IFERROR(Q12*'⛽ المبيعات الشهرية'!Q11/100,"")</f>
        <v>0</v>
      </c>
      <c r="U12" s="61">
        <f>IFERROR(Q12*'⛽ المبيعات الشهرية'!R11/100,"")</f>
        <v>0</v>
      </c>
      <c r="V12" s="63">
        <f>IFERROR(Q12*'⛽ المبيعات الشهرية'!S11/100,"")</f>
        <v>0</v>
      </c>
      <c r="W12" s="61">
        <f>IFERROR(Q12*'⛽ المبيعات الشهرية'!T11/100,"")</f>
        <v>0</v>
      </c>
      <c r="X12" s="63">
        <f>IFERROR(Q12*'⛽ المبيعات الشهرية'!U11/100,"")</f>
        <v>0</v>
      </c>
      <c r="Y12" s="61">
        <f>IFERROR(Q12*'⛽ المبيعات الشهرية'!V11/100,"")</f>
        <v>0</v>
      </c>
      <c r="Z12" s="63">
        <f>IFERROR(Q12*'⛽ المبيعات الشهرية'!W11/100,"")</f>
        <v>0</v>
      </c>
      <c r="AA12" s="61">
        <f>IFERROR(Q12*'⛽ المبيعات الشهرية'!X11/100,"")</f>
        <v>0</v>
      </c>
      <c r="AB12" s="63">
        <f>IFERROR(Q12*'⛽ المبيعات الشهرية'!Y11/100,"")</f>
        <v>0</v>
      </c>
      <c r="AC12" s="61">
        <f>IFERROR(Q12*'⛽ المبيعات الشهرية'!Z11/100,"")</f>
        <v>0</v>
      </c>
      <c r="AD12" s="42">
        <f t="shared" si="1"/>
        <v>0</v>
      </c>
      <c r="AE12" s="64">
        <f>'📋 بيانات المحطات'!J11</f>
        <v>0</v>
      </c>
      <c r="AF12" s="65">
        <f>IFERROR(AE12*'⛽ المبيعات الشهرية'!AA11/100,"")</f>
        <v>0</v>
      </c>
      <c r="AG12" s="61">
        <f>IFERROR(AE12*'⛽ المبيعات الشهرية'!AB11/100,"")</f>
        <v>0</v>
      </c>
      <c r="AH12" s="65">
        <f>IFERROR(AE12*'⛽ المبيعات الشهرية'!AC11/100,"")</f>
        <v>0</v>
      </c>
      <c r="AI12" s="61">
        <f>IFERROR(AE12*'⛽ المبيعات الشهرية'!AD11/100,"")</f>
        <v>0</v>
      </c>
      <c r="AJ12" s="65">
        <f>IFERROR(AE12*'⛽ المبيعات الشهرية'!AE11/100,"")</f>
        <v>0</v>
      </c>
      <c r="AK12" s="61">
        <f>IFERROR(AE12*'⛽ المبيعات الشهرية'!AF11/100,"")</f>
        <v>0</v>
      </c>
      <c r="AL12" s="65">
        <f>IFERROR(AE12*'⛽ المبيعات الشهرية'!AG11/100,"")</f>
        <v>0</v>
      </c>
      <c r="AM12" s="61">
        <f>IFERROR(AE12*'⛽ المبيعات الشهرية'!AH11/100,"")</f>
        <v>0</v>
      </c>
      <c r="AN12" s="65">
        <f>IFERROR(AE12*'⛽ المبيعات الشهرية'!AI11/100,"")</f>
        <v>0</v>
      </c>
      <c r="AO12" s="61">
        <f>IFERROR(AE12*'⛽ المبيعات الشهرية'!AJ11/100,"")</f>
        <v>0</v>
      </c>
      <c r="AP12" s="65">
        <f>IFERROR(AE12*'⛽ المبيعات الشهرية'!AK11/100,"")</f>
        <v>0</v>
      </c>
      <c r="AQ12" s="61">
        <f>IFERROR(AE12*'⛽ المبيعات الشهرية'!AL11/100,"")</f>
        <v>0</v>
      </c>
      <c r="AR12" s="42">
        <f t="shared" si="2"/>
        <v>0</v>
      </c>
      <c r="AS12" s="66">
        <f>'📋 بيانات المحطات'!K11</f>
        <v>0</v>
      </c>
      <c r="AT12" s="67">
        <f>IFERROR(AS12*'⛽ المبيعات الشهرية'!AM11/100,"")</f>
        <v>0</v>
      </c>
      <c r="AU12" s="61">
        <f>IFERROR(AS12*'⛽ المبيعات الشهرية'!AN11/100,"")</f>
        <v>0</v>
      </c>
      <c r="AV12" s="67">
        <f>IFERROR(AS12*'⛽ المبيعات الشهرية'!AO11/100,"")</f>
        <v>0</v>
      </c>
      <c r="AW12" s="61">
        <f>IFERROR(AS12*'⛽ المبيعات الشهرية'!AP11/100,"")</f>
        <v>0</v>
      </c>
      <c r="AX12" s="67">
        <f>IFERROR(AS12*'⛽ المبيعات الشهرية'!AQ11/100,"")</f>
        <v>0</v>
      </c>
      <c r="AY12" s="61">
        <f>IFERROR(AS12*'⛽ المبيعات الشهرية'!AR11/100,"")</f>
        <v>0</v>
      </c>
      <c r="AZ12" s="67">
        <f>IFERROR(AS12*'⛽ المبيعات الشهرية'!AS11/100,"")</f>
        <v>0</v>
      </c>
      <c r="BA12" s="61">
        <f>IFERROR(AS12*'⛽ المبيعات الشهرية'!AT11/100,"")</f>
        <v>0</v>
      </c>
      <c r="BB12" s="67">
        <f>IFERROR(AS12*'⛽ المبيعات الشهرية'!AU11/100,"")</f>
        <v>0</v>
      </c>
      <c r="BC12" s="61">
        <f>IFERROR(AS12*'⛽ المبيعات الشهرية'!AV11/100,"")</f>
        <v>0</v>
      </c>
      <c r="BD12" s="67">
        <f>IFERROR(AS12*'⛽ المبيعات الشهرية'!AW11/100,"")</f>
        <v>0</v>
      </c>
      <c r="BE12" s="61">
        <f>IFERROR(AS12*'⛽ المبيعات الشهرية'!AX11/100,"")</f>
        <v>0</v>
      </c>
      <c r="BF12" s="42">
        <f t="shared" si="3"/>
        <v>0</v>
      </c>
      <c r="BG12" s="68">
        <f t="shared" si="4"/>
        <v>0</v>
      </c>
    </row>
    <row r="13" spans="1:62" ht="21.75" customHeight="1" x14ac:dyDescent="0.35">
      <c r="A13" s="58" t="s">
        <v>47</v>
      </c>
      <c r="B13" s="36" t="str">
        <f>'📋 بيانات المحطات'!B12</f>
        <v>جنوب الطائف</v>
      </c>
      <c r="C13" s="59">
        <f>'📋 بيانات المحطات'!H12</f>
        <v>0</v>
      </c>
      <c r="D13" s="60">
        <f>IFERROR(C13*'⛽ المبيعات الشهرية'!C12/100,"")</f>
        <v>0</v>
      </c>
      <c r="E13" s="61">
        <f>IFERROR(C13*'⛽ المبيعات الشهرية'!D12/100,"")</f>
        <v>0</v>
      </c>
      <c r="F13" s="60">
        <f>IFERROR(C13*'⛽ المبيعات الشهرية'!E12/100,"")</f>
        <v>0</v>
      </c>
      <c r="G13" s="61">
        <f>IFERROR(C13*'⛽ المبيعات الشهرية'!F12/100,"")</f>
        <v>0</v>
      </c>
      <c r="H13" s="60">
        <f>IFERROR(C13*'⛽ المبيعات الشهرية'!G12/100,"")</f>
        <v>0</v>
      </c>
      <c r="I13" s="61">
        <f>IFERROR(C13*'⛽ المبيعات الشهرية'!H12/100,"")</f>
        <v>0</v>
      </c>
      <c r="J13" s="60">
        <f>IFERROR(C13*'⛽ المبيعات الشهرية'!I12/100,"")</f>
        <v>0</v>
      </c>
      <c r="K13" s="61">
        <f>IFERROR(C13*'⛽ المبيعات الشهرية'!J12/100,"")</f>
        <v>0</v>
      </c>
      <c r="L13" s="60">
        <f>IFERROR(C13*'⛽ المبيعات الشهرية'!K12/100,"")</f>
        <v>0</v>
      </c>
      <c r="M13" s="61">
        <f>IFERROR(C13*'⛽ المبيعات الشهرية'!L12/100,"")</f>
        <v>0</v>
      </c>
      <c r="N13" s="60">
        <f>IFERROR(C13*'⛽ المبيعات الشهرية'!M12/100,"")</f>
        <v>0</v>
      </c>
      <c r="O13" s="61">
        <f>IFERROR(C13*'⛽ المبيعات الشهرية'!N12/100,"")</f>
        <v>0</v>
      </c>
      <c r="P13" s="42">
        <f t="shared" si="0"/>
        <v>0</v>
      </c>
      <c r="Q13" s="62">
        <f>'📋 بيانات المحطات'!I12</f>
        <v>0</v>
      </c>
      <c r="R13" s="63">
        <f>IFERROR(Q13*'⛽ المبيعات الشهرية'!O12/100,"")</f>
        <v>0</v>
      </c>
      <c r="S13" s="61">
        <f>IFERROR(Q13*'⛽ المبيعات الشهرية'!P12/100,"")</f>
        <v>0</v>
      </c>
      <c r="T13" s="63">
        <f>IFERROR(Q13*'⛽ المبيعات الشهرية'!Q12/100,"")</f>
        <v>0</v>
      </c>
      <c r="U13" s="61">
        <f>IFERROR(Q13*'⛽ المبيعات الشهرية'!R12/100,"")</f>
        <v>0</v>
      </c>
      <c r="V13" s="63">
        <f>IFERROR(Q13*'⛽ المبيعات الشهرية'!S12/100,"")</f>
        <v>0</v>
      </c>
      <c r="W13" s="61">
        <f>IFERROR(Q13*'⛽ المبيعات الشهرية'!T12/100,"")</f>
        <v>0</v>
      </c>
      <c r="X13" s="63">
        <f>IFERROR(Q13*'⛽ المبيعات الشهرية'!U12/100,"")</f>
        <v>0</v>
      </c>
      <c r="Y13" s="61">
        <f>IFERROR(Q13*'⛽ المبيعات الشهرية'!V12/100,"")</f>
        <v>0</v>
      </c>
      <c r="Z13" s="63">
        <f>IFERROR(Q13*'⛽ المبيعات الشهرية'!W12/100,"")</f>
        <v>0</v>
      </c>
      <c r="AA13" s="61">
        <f>IFERROR(Q13*'⛽ المبيعات الشهرية'!X12/100,"")</f>
        <v>0</v>
      </c>
      <c r="AB13" s="63">
        <f>IFERROR(Q13*'⛽ المبيعات الشهرية'!Y12/100,"")</f>
        <v>0</v>
      </c>
      <c r="AC13" s="61">
        <f>IFERROR(Q13*'⛽ المبيعات الشهرية'!Z12/100,"")</f>
        <v>0</v>
      </c>
      <c r="AD13" s="42">
        <f t="shared" si="1"/>
        <v>0</v>
      </c>
      <c r="AE13" s="64">
        <f>'📋 بيانات المحطات'!J12</f>
        <v>0</v>
      </c>
      <c r="AF13" s="65">
        <f>IFERROR(AE13*'⛽ المبيعات الشهرية'!AA12/100,"")</f>
        <v>0</v>
      </c>
      <c r="AG13" s="61">
        <f>IFERROR(AE13*'⛽ المبيعات الشهرية'!AB12/100,"")</f>
        <v>0</v>
      </c>
      <c r="AH13" s="65">
        <f>IFERROR(AE13*'⛽ المبيعات الشهرية'!AC12/100,"")</f>
        <v>0</v>
      </c>
      <c r="AI13" s="61">
        <f>IFERROR(AE13*'⛽ المبيعات الشهرية'!AD12/100,"")</f>
        <v>0</v>
      </c>
      <c r="AJ13" s="65">
        <f>IFERROR(AE13*'⛽ المبيعات الشهرية'!AE12/100,"")</f>
        <v>0</v>
      </c>
      <c r="AK13" s="61">
        <f>IFERROR(AE13*'⛽ المبيعات الشهرية'!AF12/100,"")</f>
        <v>0</v>
      </c>
      <c r="AL13" s="65">
        <f>IFERROR(AE13*'⛽ المبيعات الشهرية'!AG12/100,"")</f>
        <v>0</v>
      </c>
      <c r="AM13" s="61">
        <f>IFERROR(AE13*'⛽ المبيعات الشهرية'!AH12/100,"")</f>
        <v>0</v>
      </c>
      <c r="AN13" s="65">
        <f>IFERROR(AE13*'⛽ المبيعات الشهرية'!AI12/100,"")</f>
        <v>0</v>
      </c>
      <c r="AO13" s="61">
        <f>IFERROR(AE13*'⛽ المبيعات الشهرية'!AJ12/100,"")</f>
        <v>0</v>
      </c>
      <c r="AP13" s="65">
        <f>IFERROR(AE13*'⛽ المبيعات الشهرية'!AK12/100,"")</f>
        <v>0</v>
      </c>
      <c r="AQ13" s="61">
        <f>IFERROR(AE13*'⛽ المبيعات الشهرية'!AL12/100,"")</f>
        <v>0</v>
      </c>
      <c r="AR13" s="42">
        <f t="shared" si="2"/>
        <v>0</v>
      </c>
      <c r="AS13" s="66">
        <f>'📋 بيانات المحطات'!K12</f>
        <v>0</v>
      </c>
      <c r="AT13" s="67">
        <f>IFERROR(AS13*'⛽ المبيعات الشهرية'!AM12/100,"")</f>
        <v>0</v>
      </c>
      <c r="AU13" s="61">
        <f>IFERROR(AS13*'⛽ المبيعات الشهرية'!AN12/100,"")</f>
        <v>0</v>
      </c>
      <c r="AV13" s="67">
        <f>IFERROR(AS13*'⛽ المبيعات الشهرية'!AO12/100,"")</f>
        <v>0</v>
      </c>
      <c r="AW13" s="61">
        <f>IFERROR(AS13*'⛽ المبيعات الشهرية'!AP12/100,"")</f>
        <v>0</v>
      </c>
      <c r="AX13" s="67">
        <f>IFERROR(AS13*'⛽ المبيعات الشهرية'!AQ12/100,"")</f>
        <v>0</v>
      </c>
      <c r="AY13" s="61">
        <f>IFERROR(AS13*'⛽ المبيعات الشهرية'!AR12/100,"")</f>
        <v>0</v>
      </c>
      <c r="AZ13" s="67">
        <f>IFERROR(AS13*'⛽ المبيعات الشهرية'!AS12/100,"")</f>
        <v>0</v>
      </c>
      <c r="BA13" s="61">
        <f>IFERROR(AS13*'⛽ المبيعات الشهرية'!AT12/100,"")</f>
        <v>0</v>
      </c>
      <c r="BB13" s="67">
        <f>IFERROR(AS13*'⛽ المبيعات الشهرية'!AU12/100,"")</f>
        <v>0</v>
      </c>
      <c r="BC13" s="61">
        <f>IFERROR(AS13*'⛽ المبيعات الشهرية'!AV12/100,"")</f>
        <v>0</v>
      </c>
      <c r="BD13" s="67">
        <f>IFERROR(AS13*'⛽ المبيعات الشهرية'!AW12/100,"")</f>
        <v>0</v>
      </c>
      <c r="BE13" s="61">
        <f>IFERROR(AS13*'⛽ المبيعات الشهرية'!AX12/100,"")</f>
        <v>0</v>
      </c>
      <c r="BF13" s="42">
        <f t="shared" si="3"/>
        <v>0</v>
      </c>
      <c r="BG13" s="68">
        <f t="shared" si="4"/>
        <v>0</v>
      </c>
    </row>
    <row r="14" spans="1:62" ht="21.75" customHeight="1" x14ac:dyDescent="0.35">
      <c r="A14" s="69" t="s">
        <v>50</v>
      </c>
      <c r="B14" s="36" t="str">
        <f>'📋 بيانات المحطات'!B13</f>
        <v>جنوب الحسينية</v>
      </c>
      <c r="C14" s="59">
        <f>'📋 بيانات المحطات'!H13</f>
        <v>0</v>
      </c>
      <c r="D14" s="60">
        <f>IFERROR(C14*'⛽ المبيعات الشهرية'!C13/100,"")</f>
        <v>0</v>
      </c>
      <c r="E14" s="61">
        <f>IFERROR(C14*'⛽ المبيعات الشهرية'!D13/100,"")</f>
        <v>0</v>
      </c>
      <c r="F14" s="60">
        <f>IFERROR(C14*'⛽ المبيعات الشهرية'!E13/100,"")</f>
        <v>0</v>
      </c>
      <c r="G14" s="61">
        <f>IFERROR(C14*'⛽ المبيعات الشهرية'!F13/100,"")</f>
        <v>0</v>
      </c>
      <c r="H14" s="60">
        <f>IFERROR(C14*'⛽ المبيعات الشهرية'!G13/100,"")</f>
        <v>0</v>
      </c>
      <c r="I14" s="61">
        <f>IFERROR(C14*'⛽ المبيعات الشهرية'!H13/100,"")</f>
        <v>0</v>
      </c>
      <c r="J14" s="60">
        <f>IFERROR(C14*'⛽ المبيعات الشهرية'!I13/100,"")</f>
        <v>0</v>
      </c>
      <c r="K14" s="61">
        <f>IFERROR(C14*'⛽ المبيعات الشهرية'!J13/100,"")</f>
        <v>0</v>
      </c>
      <c r="L14" s="60">
        <f>IFERROR(C14*'⛽ المبيعات الشهرية'!K13/100,"")</f>
        <v>0</v>
      </c>
      <c r="M14" s="61">
        <f>IFERROR(C14*'⛽ المبيعات الشهرية'!L13/100,"")</f>
        <v>0</v>
      </c>
      <c r="N14" s="60">
        <f>IFERROR(C14*'⛽ المبيعات الشهرية'!M13/100,"")</f>
        <v>0</v>
      </c>
      <c r="O14" s="61">
        <f>IFERROR(C14*'⛽ المبيعات الشهرية'!N13/100,"")</f>
        <v>0</v>
      </c>
      <c r="P14" s="42">
        <f t="shared" si="0"/>
        <v>0</v>
      </c>
      <c r="Q14" s="62">
        <f>'📋 بيانات المحطات'!I13</f>
        <v>0</v>
      </c>
      <c r="R14" s="63">
        <f>IFERROR(Q14*'⛽ المبيعات الشهرية'!O13/100,"")</f>
        <v>0</v>
      </c>
      <c r="S14" s="61">
        <f>IFERROR(Q14*'⛽ المبيعات الشهرية'!P13/100,"")</f>
        <v>0</v>
      </c>
      <c r="T14" s="63">
        <f>IFERROR(Q14*'⛽ المبيعات الشهرية'!Q13/100,"")</f>
        <v>0</v>
      </c>
      <c r="U14" s="61">
        <f>IFERROR(Q14*'⛽ المبيعات الشهرية'!R13/100,"")</f>
        <v>0</v>
      </c>
      <c r="V14" s="63">
        <f>IFERROR(Q14*'⛽ المبيعات الشهرية'!S13/100,"")</f>
        <v>0</v>
      </c>
      <c r="W14" s="61">
        <f>IFERROR(Q14*'⛽ المبيعات الشهرية'!T13/100,"")</f>
        <v>0</v>
      </c>
      <c r="X14" s="63">
        <f>IFERROR(Q14*'⛽ المبيعات الشهرية'!U13/100,"")</f>
        <v>0</v>
      </c>
      <c r="Y14" s="61">
        <f>IFERROR(Q14*'⛽ المبيعات الشهرية'!V13/100,"")</f>
        <v>0</v>
      </c>
      <c r="Z14" s="63">
        <f>IFERROR(Q14*'⛽ المبيعات الشهرية'!W13/100,"")</f>
        <v>0</v>
      </c>
      <c r="AA14" s="61">
        <f>IFERROR(Q14*'⛽ المبيعات الشهرية'!X13/100,"")</f>
        <v>0</v>
      </c>
      <c r="AB14" s="63">
        <f>IFERROR(Q14*'⛽ المبيعات الشهرية'!Y13/100,"")</f>
        <v>0</v>
      </c>
      <c r="AC14" s="61">
        <f>IFERROR(Q14*'⛽ المبيعات الشهرية'!Z13/100,"")</f>
        <v>0</v>
      </c>
      <c r="AD14" s="42">
        <f t="shared" si="1"/>
        <v>0</v>
      </c>
      <c r="AE14" s="64">
        <f>'📋 بيانات المحطات'!J13</f>
        <v>0</v>
      </c>
      <c r="AF14" s="65">
        <f>IFERROR(AE14*'⛽ المبيعات الشهرية'!AA13/100,"")</f>
        <v>0</v>
      </c>
      <c r="AG14" s="61">
        <f>IFERROR(AE14*'⛽ المبيعات الشهرية'!AB13/100,"")</f>
        <v>0</v>
      </c>
      <c r="AH14" s="65">
        <f>IFERROR(AE14*'⛽ المبيعات الشهرية'!AC13/100,"")</f>
        <v>0</v>
      </c>
      <c r="AI14" s="61">
        <f>IFERROR(AE14*'⛽ المبيعات الشهرية'!AD13/100,"")</f>
        <v>0</v>
      </c>
      <c r="AJ14" s="65">
        <f>IFERROR(AE14*'⛽ المبيعات الشهرية'!AE13/100,"")</f>
        <v>0</v>
      </c>
      <c r="AK14" s="61">
        <f>IFERROR(AE14*'⛽ المبيعات الشهرية'!AF13/100,"")</f>
        <v>0</v>
      </c>
      <c r="AL14" s="65">
        <f>IFERROR(AE14*'⛽ المبيعات الشهرية'!AG13/100,"")</f>
        <v>0</v>
      </c>
      <c r="AM14" s="61">
        <f>IFERROR(AE14*'⛽ المبيعات الشهرية'!AH13/100,"")</f>
        <v>0</v>
      </c>
      <c r="AN14" s="65">
        <f>IFERROR(AE14*'⛽ المبيعات الشهرية'!AI13/100,"")</f>
        <v>0</v>
      </c>
      <c r="AO14" s="61">
        <f>IFERROR(AE14*'⛽ المبيعات الشهرية'!AJ13/100,"")</f>
        <v>0</v>
      </c>
      <c r="AP14" s="65">
        <f>IFERROR(AE14*'⛽ المبيعات الشهرية'!AK13/100,"")</f>
        <v>0</v>
      </c>
      <c r="AQ14" s="61">
        <f>IFERROR(AE14*'⛽ المبيعات الشهرية'!AL13/100,"")</f>
        <v>0</v>
      </c>
      <c r="AR14" s="42">
        <f t="shared" si="2"/>
        <v>0</v>
      </c>
      <c r="AS14" s="66">
        <f>'📋 بيانات المحطات'!K13</f>
        <v>0</v>
      </c>
      <c r="AT14" s="67">
        <f>IFERROR(AS14*'⛽ المبيعات الشهرية'!AM13/100,"")</f>
        <v>0</v>
      </c>
      <c r="AU14" s="61">
        <f>IFERROR(AS14*'⛽ المبيعات الشهرية'!AN13/100,"")</f>
        <v>0</v>
      </c>
      <c r="AV14" s="67">
        <f>IFERROR(AS14*'⛽ المبيعات الشهرية'!AO13/100,"")</f>
        <v>0</v>
      </c>
      <c r="AW14" s="61">
        <f>IFERROR(AS14*'⛽ المبيعات الشهرية'!AP13/100,"")</f>
        <v>0</v>
      </c>
      <c r="AX14" s="67">
        <f>IFERROR(AS14*'⛽ المبيعات الشهرية'!AQ13/100,"")</f>
        <v>0</v>
      </c>
      <c r="AY14" s="61">
        <f>IFERROR(AS14*'⛽ المبيعات الشهرية'!AR13/100,"")</f>
        <v>0</v>
      </c>
      <c r="AZ14" s="67">
        <f>IFERROR(AS14*'⛽ المبيعات الشهرية'!AS13/100,"")</f>
        <v>0</v>
      </c>
      <c r="BA14" s="61">
        <f>IFERROR(AS14*'⛽ المبيعات الشهرية'!AT13/100,"")</f>
        <v>0</v>
      </c>
      <c r="BB14" s="67">
        <f>IFERROR(AS14*'⛽ المبيعات الشهرية'!AU13/100,"")</f>
        <v>0</v>
      </c>
      <c r="BC14" s="61">
        <f>IFERROR(AS14*'⛽ المبيعات الشهرية'!AV13/100,"")</f>
        <v>0</v>
      </c>
      <c r="BD14" s="67">
        <f>IFERROR(AS14*'⛽ المبيعات الشهرية'!AW13/100,"")</f>
        <v>0</v>
      </c>
      <c r="BE14" s="61">
        <f>IFERROR(AS14*'⛽ المبيعات الشهرية'!AX13/100,"")</f>
        <v>0</v>
      </c>
      <c r="BF14" s="42">
        <f t="shared" si="3"/>
        <v>0</v>
      </c>
      <c r="BG14" s="68">
        <f t="shared" si="4"/>
        <v>0</v>
      </c>
    </row>
    <row r="15" spans="1:62" ht="21.75" customHeight="1" x14ac:dyDescent="0.35">
      <c r="A15" s="58" t="s">
        <v>53</v>
      </c>
      <c r="B15" s="36" t="str">
        <f>'📋 بيانات المحطات'!B14</f>
        <v>جدة النسيم</v>
      </c>
      <c r="C15" s="59">
        <f>'📋 بيانات المحطات'!H14</f>
        <v>0</v>
      </c>
      <c r="D15" s="60">
        <f>IFERROR(C15*'⛽ المبيعات الشهرية'!C14/100,"")</f>
        <v>0</v>
      </c>
      <c r="E15" s="61">
        <f>IFERROR(C15*'⛽ المبيعات الشهرية'!D14/100,"")</f>
        <v>0</v>
      </c>
      <c r="F15" s="60">
        <f>IFERROR(C15*'⛽ المبيعات الشهرية'!E14/100,"")</f>
        <v>0</v>
      </c>
      <c r="G15" s="61">
        <f>IFERROR(C15*'⛽ المبيعات الشهرية'!F14/100,"")</f>
        <v>0</v>
      </c>
      <c r="H15" s="60">
        <f>IFERROR(C15*'⛽ المبيعات الشهرية'!G14/100,"")</f>
        <v>0</v>
      </c>
      <c r="I15" s="61">
        <f>IFERROR(C15*'⛽ المبيعات الشهرية'!H14/100,"")</f>
        <v>0</v>
      </c>
      <c r="J15" s="60">
        <f>IFERROR(C15*'⛽ المبيعات الشهرية'!I14/100,"")</f>
        <v>0</v>
      </c>
      <c r="K15" s="61">
        <f>IFERROR(C15*'⛽ المبيعات الشهرية'!J14/100,"")</f>
        <v>0</v>
      </c>
      <c r="L15" s="60">
        <f>IFERROR(C15*'⛽ المبيعات الشهرية'!K14/100,"")</f>
        <v>0</v>
      </c>
      <c r="M15" s="61">
        <f>IFERROR(C15*'⛽ المبيعات الشهرية'!L14/100,"")</f>
        <v>0</v>
      </c>
      <c r="N15" s="60">
        <f>IFERROR(C15*'⛽ المبيعات الشهرية'!M14/100,"")</f>
        <v>0</v>
      </c>
      <c r="O15" s="61">
        <f>IFERROR(C15*'⛽ المبيعات الشهرية'!N14/100,"")</f>
        <v>0</v>
      </c>
      <c r="P15" s="42">
        <f t="shared" si="0"/>
        <v>0</v>
      </c>
      <c r="Q15" s="62">
        <f>'📋 بيانات المحطات'!I14</f>
        <v>0</v>
      </c>
      <c r="R15" s="63">
        <f>IFERROR(Q15*'⛽ المبيعات الشهرية'!O14/100,"")</f>
        <v>0</v>
      </c>
      <c r="S15" s="61">
        <f>IFERROR(Q15*'⛽ المبيعات الشهرية'!P14/100,"")</f>
        <v>0</v>
      </c>
      <c r="T15" s="63">
        <f>IFERROR(Q15*'⛽ المبيعات الشهرية'!Q14/100,"")</f>
        <v>0</v>
      </c>
      <c r="U15" s="61">
        <f>IFERROR(Q15*'⛽ المبيعات الشهرية'!R14/100,"")</f>
        <v>0</v>
      </c>
      <c r="V15" s="63">
        <f>IFERROR(Q15*'⛽ المبيعات الشهرية'!S14/100,"")</f>
        <v>0</v>
      </c>
      <c r="W15" s="61">
        <f>IFERROR(Q15*'⛽ المبيعات الشهرية'!T14/100,"")</f>
        <v>0</v>
      </c>
      <c r="X15" s="63">
        <f>IFERROR(Q15*'⛽ المبيعات الشهرية'!U14/100,"")</f>
        <v>0</v>
      </c>
      <c r="Y15" s="61">
        <f>IFERROR(Q15*'⛽ المبيعات الشهرية'!V14/100,"")</f>
        <v>0</v>
      </c>
      <c r="Z15" s="63">
        <f>IFERROR(Q15*'⛽ المبيعات الشهرية'!W14/100,"")</f>
        <v>0</v>
      </c>
      <c r="AA15" s="61">
        <f>IFERROR(Q15*'⛽ المبيعات الشهرية'!X14/100,"")</f>
        <v>0</v>
      </c>
      <c r="AB15" s="63">
        <f>IFERROR(Q15*'⛽ المبيعات الشهرية'!Y14/100,"")</f>
        <v>0</v>
      </c>
      <c r="AC15" s="61">
        <f>IFERROR(Q15*'⛽ المبيعات الشهرية'!Z14/100,"")</f>
        <v>0</v>
      </c>
      <c r="AD15" s="42">
        <f t="shared" si="1"/>
        <v>0</v>
      </c>
      <c r="AE15" s="64">
        <f>'📋 بيانات المحطات'!J14</f>
        <v>0</v>
      </c>
      <c r="AF15" s="65">
        <f>IFERROR(AE15*'⛽ المبيعات الشهرية'!AA14/100,"")</f>
        <v>0</v>
      </c>
      <c r="AG15" s="61">
        <f>IFERROR(AE15*'⛽ المبيعات الشهرية'!AB14/100,"")</f>
        <v>0</v>
      </c>
      <c r="AH15" s="65">
        <f>IFERROR(AE15*'⛽ المبيعات الشهرية'!AC14/100,"")</f>
        <v>0</v>
      </c>
      <c r="AI15" s="61">
        <f>IFERROR(AE15*'⛽ المبيعات الشهرية'!AD14/100,"")</f>
        <v>0</v>
      </c>
      <c r="AJ15" s="65">
        <f>IFERROR(AE15*'⛽ المبيعات الشهرية'!AE14/100,"")</f>
        <v>0</v>
      </c>
      <c r="AK15" s="61">
        <f>IFERROR(AE15*'⛽ المبيعات الشهرية'!AF14/100,"")</f>
        <v>0</v>
      </c>
      <c r="AL15" s="65">
        <f>IFERROR(AE15*'⛽ المبيعات الشهرية'!AG14/100,"")</f>
        <v>0</v>
      </c>
      <c r="AM15" s="61">
        <f>IFERROR(AE15*'⛽ المبيعات الشهرية'!AH14/100,"")</f>
        <v>0</v>
      </c>
      <c r="AN15" s="65">
        <f>IFERROR(AE15*'⛽ المبيعات الشهرية'!AI14/100,"")</f>
        <v>0</v>
      </c>
      <c r="AO15" s="61">
        <f>IFERROR(AE15*'⛽ المبيعات الشهرية'!AJ14/100,"")</f>
        <v>0</v>
      </c>
      <c r="AP15" s="65">
        <f>IFERROR(AE15*'⛽ المبيعات الشهرية'!AK14/100,"")</f>
        <v>0</v>
      </c>
      <c r="AQ15" s="61">
        <f>IFERROR(AE15*'⛽ المبيعات الشهرية'!AL14/100,"")</f>
        <v>0</v>
      </c>
      <c r="AR15" s="42">
        <f t="shared" si="2"/>
        <v>0</v>
      </c>
      <c r="AS15" s="66">
        <f>'📋 بيانات المحطات'!K14</f>
        <v>0</v>
      </c>
      <c r="AT15" s="67">
        <f>IFERROR(AS15*'⛽ المبيعات الشهرية'!AM14/100,"")</f>
        <v>0</v>
      </c>
      <c r="AU15" s="61">
        <f>IFERROR(AS15*'⛽ المبيعات الشهرية'!AN14/100,"")</f>
        <v>0</v>
      </c>
      <c r="AV15" s="67">
        <f>IFERROR(AS15*'⛽ المبيعات الشهرية'!AO14/100,"")</f>
        <v>0</v>
      </c>
      <c r="AW15" s="61">
        <f>IFERROR(AS15*'⛽ المبيعات الشهرية'!AP14/100,"")</f>
        <v>0</v>
      </c>
      <c r="AX15" s="67">
        <f>IFERROR(AS15*'⛽ المبيعات الشهرية'!AQ14/100,"")</f>
        <v>0</v>
      </c>
      <c r="AY15" s="61">
        <f>IFERROR(AS15*'⛽ المبيعات الشهرية'!AR14/100,"")</f>
        <v>0</v>
      </c>
      <c r="AZ15" s="67">
        <f>IFERROR(AS15*'⛽ المبيعات الشهرية'!AS14/100,"")</f>
        <v>0</v>
      </c>
      <c r="BA15" s="61">
        <f>IFERROR(AS15*'⛽ المبيعات الشهرية'!AT14/100,"")</f>
        <v>0</v>
      </c>
      <c r="BB15" s="67">
        <f>IFERROR(AS15*'⛽ المبيعات الشهرية'!AU14/100,"")</f>
        <v>0</v>
      </c>
      <c r="BC15" s="61">
        <f>IFERROR(AS15*'⛽ المبيعات الشهرية'!AV14/100,"")</f>
        <v>0</v>
      </c>
      <c r="BD15" s="67">
        <f>IFERROR(AS15*'⛽ المبيعات الشهرية'!AW14/100,"")</f>
        <v>0</v>
      </c>
      <c r="BE15" s="61">
        <f>IFERROR(AS15*'⛽ المبيعات الشهرية'!AX14/100,"")</f>
        <v>0</v>
      </c>
      <c r="BF15" s="42">
        <f t="shared" si="3"/>
        <v>0</v>
      </c>
      <c r="BG15" s="68">
        <f t="shared" si="4"/>
        <v>0</v>
      </c>
    </row>
    <row r="16" spans="1:62" ht="21.75" customHeight="1" x14ac:dyDescent="0.35">
      <c r="A16" s="69" t="s">
        <v>56</v>
      </c>
      <c r="B16" s="36" t="str">
        <f>'📋 بيانات المحطات'!B15</f>
        <v>الرصيفة</v>
      </c>
      <c r="C16" s="59">
        <f>'📋 بيانات المحطات'!H15</f>
        <v>0</v>
      </c>
      <c r="D16" s="60">
        <f>IFERROR(C16*'⛽ المبيعات الشهرية'!C15/100,"")</f>
        <v>0</v>
      </c>
      <c r="E16" s="61">
        <f>IFERROR(C16*'⛽ المبيعات الشهرية'!D15/100,"")</f>
        <v>0</v>
      </c>
      <c r="F16" s="60">
        <f>IFERROR(C16*'⛽ المبيعات الشهرية'!E15/100,"")</f>
        <v>0</v>
      </c>
      <c r="G16" s="61">
        <f>IFERROR(C16*'⛽ المبيعات الشهرية'!F15/100,"")</f>
        <v>0</v>
      </c>
      <c r="H16" s="60">
        <f>IFERROR(C16*'⛽ المبيعات الشهرية'!G15/100,"")</f>
        <v>0</v>
      </c>
      <c r="I16" s="61">
        <f>IFERROR(C16*'⛽ المبيعات الشهرية'!H15/100,"")</f>
        <v>0</v>
      </c>
      <c r="J16" s="60">
        <f>IFERROR(C16*'⛽ المبيعات الشهرية'!I15/100,"")</f>
        <v>0</v>
      </c>
      <c r="K16" s="61">
        <f>IFERROR(C16*'⛽ المبيعات الشهرية'!J15/100,"")</f>
        <v>0</v>
      </c>
      <c r="L16" s="60">
        <f>IFERROR(C16*'⛽ المبيعات الشهرية'!K15/100,"")</f>
        <v>0</v>
      </c>
      <c r="M16" s="61">
        <f>IFERROR(C16*'⛽ المبيعات الشهرية'!L15/100,"")</f>
        <v>0</v>
      </c>
      <c r="N16" s="60">
        <f>IFERROR(C16*'⛽ المبيعات الشهرية'!M15/100,"")</f>
        <v>0</v>
      </c>
      <c r="O16" s="61">
        <f>IFERROR(C16*'⛽ المبيعات الشهرية'!N15/100,"")</f>
        <v>0</v>
      </c>
      <c r="P16" s="42">
        <f t="shared" si="0"/>
        <v>0</v>
      </c>
      <c r="Q16" s="62">
        <f>'📋 بيانات المحطات'!I15</f>
        <v>0</v>
      </c>
      <c r="R16" s="63">
        <f>IFERROR(Q16*'⛽ المبيعات الشهرية'!O15/100,"")</f>
        <v>0</v>
      </c>
      <c r="S16" s="61">
        <f>IFERROR(Q16*'⛽ المبيعات الشهرية'!P15/100,"")</f>
        <v>0</v>
      </c>
      <c r="T16" s="63">
        <f>IFERROR(Q16*'⛽ المبيعات الشهرية'!Q15/100,"")</f>
        <v>0</v>
      </c>
      <c r="U16" s="61">
        <f>IFERROR(Q16*'⛽ المبيعات الشهرية'!R15/100,"")</f>
        <v>0</v>
      </c>
      <c r="V16" s="63">
        <f>IFERROR(Q16*'⛽ المبيعات الشهرية'!S15/100,"")</f>
        <v>0</v>
      </c>
      <c r="W16" s="61">
        <f>IFERROR(Q16*'⛽ المبيعات الشهرية'!T15/100,"")</f>
        <v>0</v>
      </c>
      <c r="X16" s="63">
        <f>IFERROR(Q16*'⛽ المبيعات الشهرية'!U15/100,"")</f>
        <v>0</v>
      </c>
      <c r="Y16" s="61">
        <f>IFERROR(Q16*'⛽ المبيعات الشهرية'!V15/100,"")</f>
        <v>0</v>
      </c>
      <c r="Z16" s="63">
        <f>IFERROR(Q16*'⛽ المبيعات الشهرية'!W15/100,"")</f>
        <v>0</v>
      </c>
      <c r="AA16" s="61">
        <f>IFERROR(Q16*'⛽ المبيعات الشهرية'!X15/100,"")</f>
        <v>0</v>
      </c>
      <c r="AB16" s="63">
        <f>IFERROR(Q16*'⛽ المبيعات الشهرية'!Y15/100,"")</f>
        <v>0</v>
      </c>
      <c r="AC16" s="61">
        <f>IFERROR(Q16*'⛽ المبيعات الشهرية'!Z15/100,"")</f>
        <v>0</v>
      </c>
      <c r="AD16" s="42">
        <f t="shared" si="1"/>
        <v>0</v>
      </c>
      <c r="AE16" s="64">
        <f>'📋 بيانات المحطات'!J15</f>
        <v>0</v>
      </c>
      <c r="AF16" s="65">
        <f>IFERROR(AE16*'⛽ المبيعات الشهرية'!AA15/100,"")</f>
        <v>0</v>
      </c>
      <c r="AG16" s="61">
        <f>IFERROR(AE16*'⛽ المبيعات الشهرية'!AB15/100,"")</f>
        <v>0</v>
      </c>
      <c r="AH16" s="65">
        <f>IFERROR(AE16*'⛽ المبيعات الشهرية'!AC15/100,"")</f>
        <v>0</v>
      </c>
      <c r="AI16" s="61">
        <f>IFERROR(AE16*'⛽ المبيعات الشهرية'!AD15/100,"")</f>
        <v>0</v>
      </c>
      <c r="AJ16" s="65">
        <f>IFERROR(AE16*'⛽ المبيعات الشهرية'!AE15/100,"")</f>
        <v>0</v>
      </c>
      <c r="AK16" s="61">
        <f>IFERROR(AE16*'⛽ المبيعات الشهرية'!AF15/100,"")</f>
        <v>0</v>
      </c>
      <c r="AL16" s="65">
        <f>IFERROR(AE16*'⛽ المبيعات الشهرية'!AG15/100,"")</f>
        <v>0</v>
      </c>
      <c r="AM16" s="61">
        <f>IFERROR(AE16*'⛽ المبيعات الشهرية'!AH15/100,"")</f>
        <v>0</v>
      </c>
      <c r="AN16" s="65">
        <f>IFERROR(AE16*'⛽ المبيعات الشهرية'!AI15/100,"")</f>
        <v>0</v>
      </c>
      <c r="AO16" s="61">
        <f>IFERROR(AE16*'⛽ المبيعات الشهرية'!AJ15/100,"")</f>
        <v>0</v>
      </c>
      <c r="AP16" s="65">
        <f>IFERROR(AE16*'⛽ المبيعات الشهرية'!AK15/100,"")</f>
        <v>0</v>
      </c>
      <c r="AQ16" s="61">
        <f>IFERROR(AE16*'⛽ المبيعات الشهرية'!AL15/100,"")</f>
        <v>0</v>
      </c>
      <c r="AR16" s="42">
        <f t="shared" si="2"/>
        <v>0</v>
      </c>
      <c r="AS16" s="66">
        <f>'📋 بيانات المحطات'!K15</f>
        <v>0</v>
      </c>
      <c r="AT16" s="67">
        <f>IFERROR(AS16*'⛽ المبيعات الشهرية'!AM15/100,"")</f>
        <v>0</v>
      </c>
      <c r="AU16" s="61">
        <f>IFERROR(AS16*'⛽ المبيعات الشهرية'!AN15/100,"")</f>
        <v>0</v>
      </c>
      <c r="AV16" s="67">
        <f>IFERROR(AS16*'⛽ المبيعات الشهرية'!AO15/100,"")</f>
        <v>0</v>
      </c>
      <c r="AW16" s="61">
        <f>IFERROR(AS16*'⛽ المبيعات الشهرية'!AP15/100,"")</f>
        <v>0</v>
      </c>
      <c r="AX16" s="67">
        <f>IFERROR(AS16*'⛽ المبيعات الشهرية'!AQ15/100,"")</f>
        <v>0</v>
      </c>
      <c r="AY16" s="61">
        <f>IFERROR(AS16*'⛽ المبيعات الشهرية'!AR15/100,"")</f>
        <v>0</v>
      </c>
      <c r="AZ16" s="67">
        <f>IFERROR(AS16*'⛽ المبيعات الشهرية'!AS15/100,"")</f>
        <v>0</v>
      </c>
      <c r="BA16" s="61">
        <f>IFERROR(AS16*'⛽ المبيعات الشهرية'!AT15/100,"")</f>
        <v>0</v>
      </c>
      <c r="BB16" s="67">
        <f>IFERROR(AS16*'⛽ المبيعات الشهرية'!AU15/100,"")</f>
        <v>0</v>
      </c>
      <c r="BC16" s="61">
        <f>IFERROR(AS16*'⛽ المبيعات الشهرية'!AV15/100,"")</f>
        <v>0</v>
      </c>
      <c r="BD16" s="67">
        <f>IFERROR(AS16*'⛽ المبيعات الشهرية'!AW15/100,"")</f>
        <v>0</v>
      </c>
      <c r="BE16" s="61">
        <f>IFERROR(AS16*'⛽ المبيعات الشهرية'!AX15/100,"")</f>
        <v>0</v>
      </c>
      <c r="BF16" s="42">
        <f t="shared" si="3"/>
        <v>0</v>
      </c>
      <c r="BG16" s="68">
        <f t="shared" si="4"/>
        <v>0</v>
      </c>
    </row>
    <row r="17" spans="1:59" ht="21.75" customHeight="1" x14ac:dyDescent="0.35">
      <c r="A17" s="58" t="s">
        <v>59</v>
      </c>
      <c r="B17" s="36" t="str">
        <f>'📋 بيانات المحطات'!B16</f>
        <v>عرفات الشوقية</v>
      </c>
      <c r="C17" s="59">
        <f>'📋 بيانات المحطات'!H16</f>
        <v>0</v>
      </c>
      <c r="D17" s="60">
        <f>IFERROR(C17*'⛽ المبيعات الشهرية'!C16/100,"")</f>
        <v>0</v>
      </c>
      <c r="E17" s="61">
        <f>IFERROR(C17*'⛽ المبيعات الشهرية'!D16/100,"")</f>
        <v>0</v>
      </c>
      <c r="F17" s="60">
        <f>IFERROR(C17*'⛽ المبيعات الشهرية'!E16/100,"")</f>
        <v>0</v>
      </c>
      <c r="G17" s="61">
        <f>IFERROR(C17*'⛽ المبيعات الشهرية'!F16/100,"")</f>
        <v>0</v>
      </c>
      <c r="H17" s="60">
        <f>IFERROR(C17*'⛽ المبيعات الشهرية'!G16/100,"")</f>
        <v>0</v>
      </c>
      <c r="I17" s="61">
        <f>IFERROR(C17*'⛽ المبيعات الشهرية'!H16/100,"")</f>
        <v>0</v>
      </c>
      <c r="J17" s="60">
        <f>IFERROR(C17*'⛽ المبيعات الشهرية'!I16/100,"")</f>
        <v>0</v>
      </c>
      <c r="K17" s="61">
        <f>IFERROR(C17*'⛽ المبيعات الشهرية'!J16/100,"")</f>
        <v>0</v>
      </c>
      <c r="L17" s="60">
        <f>IFERROR(C17*'⛽ المبيعات الشهرية'!K16/100,"")</f>
        <v>0</v>
      </c>
      <c r="M17" s="61">
        <f>IFERROR(C17*'⛽ المبيعات الشهرية'!L16/100,"")</f>
        <v>0</v>
      </c>
      <c r="N17" s="60">
        <f>IFERROR(C17*'⛽ المبيعات الشهرية'!M16/100,"")</f>
        <v>0</v>
      </c>
      <c r="O17" s="61">
        <f>IFERROR(C17*'⛽ المبيعات الشهرية'!N16/100,"")</f>
        <v>0</v>
      </c>
      <c r="P17" s="42">
        <f t="shared" si="0"/>
        <v>0</v>
      </c>
      <c r="Q17" s="62">
        <f>'📋 بيانات المحطات'!I16</f>
        <v>0</v>
      </c>
      <c r="R17" s="63">
        <f>IFERROR(Q17*'⛽ المبيعات الشهرية'!O16/100,"")</f>
        <v>0</v>
      </c>
      <c r="S17" s="61">
        <f>IFERROR(Q17*'⛽ المبيعات الشهرية'!P16/100,"")</f>
        <v>0</v>
      </c>
      <c r="T17" s="63">
        <f>IFERROR(Q17*'⛽ المبيعات الشهرية'!Q16/100,"")</f>
        <v>0</v>
      </c>
      <c r="U17" s="61">
        <f>IFERROR(Q17*'⛽ المبيعات الشهرية'!R16/100,"")</f>
        <v>0</v>
      </c>
      <c r="V17" s="63">
        <f>IFERROR(Q17*'⛽ المبيعات الشهرية'!S16/100,"")</f>
        <v>0</v>
      </c>
      <c r="W17" s="61">
        <f>IFERROR(Q17*'⛽ المبيعات الشهرية'!T16/100,"")</f>
        <v>0</v>
      </c>
      <c r="X17" s="63">
        <f>IFERROR(Q17*'⛽ المبيعات الشهرية'!U16/100,"")</f>
        <v>0</v>
      </c>
      <c r="Y17" s="61">
        <f>IFERROR(Q17*'⛽ المبيعات الشهرية'!V16/100,"")</f>
        <v>0</v>
      </c>
      <c r="Z17" s="63">
        <f>IFERROR(Q17*'⛽ المبيعات الشهرية'!W16/100,"")</f>
        <v>0</v>
      </c>
      <c r="AA17" s="61">
        <f>IFERROR(Q17*'⛽ المبيعات الشهرية'!X16/100,"")</f>
        <v>0</v>
      </c>
      <c r="AB17" s="63">
        <f>IFERROR(Q17*'⛽ المبيعات الشهرية'!Y16/100,"")</f>
        <v>0</v>
      </c>
      <c r="AC17" s="61">
        <f>IFERROR(Q17*'⛽ المبيعات الشهرية'!Z16/100,"")</f>
        <v>0</v>
      </c>
      <c r="AD17" s="42">
        <f t="shared" si="1"/>
        <v>0</v>
      </c>
      <c r="AE17" s="64">
        <f>'📋 بيانات المحطات'!J16</f>
        <v>0</v>
      </c>
      <c r="AF17" s="65">
        <f>IFERROR(AE17*'⛽ المبيعات الشهرية'!AA16/100,"")</f>
        <v>0</v>
      </c>
      <c r="AG17" s="61">
        <f>IFERROR(AE17*'⛽ المبيعات الشهرية'!AB16/100,"")</f>
        <v>0</v>
      </c>
      <c r="AH17" s="65">
        <f>IFERROR(AE17*'⛽ المبيعات الشهرية'!AC16/100,"")</f>
        <v>0</v>
      </c>
      <c r="AI17" s="61">
        <f>IFERROR(AE17*'⛽ المبيعات الشهرية'!AD16/100,"")</f>
        <v>0</v>
      </c>
      <c r="AJ17" s="65">
        <f>IFERROR(AE17*'⛽ المبيعات الشهرية'!AE16/100,"")</f>
        <v>0</v>
      </c>
      <c r="AK17" s="61">
        <f>IFERROR(AE17*'⛽ المبيعات الشهرية'!AF16/100,"")</f>
        <v>0</v>
      </c>
      <c r="AL17" s="65">
        <f>IFERROR(AE17*'⛽ المبيعات الشهرية'!AG16/100,"")</f>
        <v>0</v>
      </c>
      <c r="AM17" s="61">
        <f>IFERROR(AE17*'⛽ المبيعات الشهرية'!AH16/100,"")</f>
        <v>0</v>
      </c>
      <c r="AN17" s="65">
        <f>IFERROR(AE17*'⛽ المبيعات الشهرية'!AI16/100,"")</f>
        <v>0</v>
      </c>
      <c r="AO17" s="61">
        <f>IFERROR(AE17*'⛽ المبيعات الشهرية'!AJ16/100,"")</f>
        <v>0</v>
      </c>
      <c r="AP17" s="65">
        <f>IFERROR(AE17*'⛽ المبيعات الشهرية'!AK16/100,"")</f>
        <v>0</v>
      </c>
      <c r="AQ17" s="61">
        <f>IFERROR(AE17*'⛽ المبيعات الشهرية'!AL16/100,"")</f>
        <v>0</v>
      </c>
      <c r="AR17" s="42">
        <f t="shared" si="2"/>
        <v>0</v>
      </c>
      <c r="AS17" s="66">
        <f>'📋 بيانات المحطات'!K16</f>
        <v>0</v>
      </c>
      <c r="AT17" s="67">
        <f>IFERROR(AS17*'⛽ المبيعات الشهرية'!AM16/100,"")</f>
        <v>0</v>
      </c>
      <c r="AU17" s="61">
        <f>IFERROR(AS17*'⛽ المبيعات الشهرية'!AN16/100,"")</f>
        <v>0</v>
      </c>
      <c r="AV17" s="67">
        <f>IFERROR(AS17*'⛽ المبيعات الشهرية'!AO16/100,"")</f>
        <v>0</v>
      </c>
      <c r="AW17" s="61">
        <f>IFERROR(AS17*'⛽ المبيعات الشهرية'!AP16/100,"")</f>
        <v>0</v>
      </c>
      <c r="AX17" s="67">
        <f>IFERROR(AS17*'⛽ المبيعات الشهرية'!AQ16/100,"")</f>
        <v>0</v>
      </c>
      <c r="AY17" s="61">
        <f>IFERROR(AS17*'⛽ المبيعات الشهرية'!AR16/100,"")</f>
        <v>0</v>
      </c>
      <c r="AZ17" s="67">
        <f>IFERROR(AS17*'⛽ المبيعات الشهرية'!AS16/100,"")</f>
        <v>0</v>
      </c>
      <c r="BA17" s="61">
        <f>IFERROR(AS17*'⛽ المبيعات الشهرية'!AT16/100,"")</f>
        <v>0</v>
      </c>
      <c r="BB17" s="67">
        <f>IFERROR(AS17*'⛽ المبيعات الشهرية'!AU16/100,"")</f>
        <v>0</v>
      </c>
      <c r="BC17" s="61">
        <f>IFERROR(AS17*'⛽ المبيعات الشهرية'!AV16/100,"")</f>
        <v>0</v>
      </c>
      <c r="BD17" s="67">
        <f>IFERROR(AS17*'⛽ المبيعات الشهرية'!AW16/100,"")</f>
        <v>0</v>
      </c>
      <c r="BE17" s="61">
        <f>IFERROR(AS17*'⛽ المبيعات الشهرية'!AX16/100,"")</f>
        <v>0</v>
      </c>
      <c r="BF17" s="42">
        <f t="shared" si="3"/>
        <v>0</v>
      </c>
      <c r="BG17" s="68">
        <f t="shared" si="4"/>
        <v>0</v>
      </c>
    </row>
    <row r="18" spans="1:59" ht="21.75" customHeight="1" x14ac:dyDescent="0.35">
      <c r="A18" s="69" t="s">
        <v>62</v>
      </c>
      <c r="B18" s="36" t="str">
        <f>'📋 بيانات المحطات'!B17</f>
        <v>الرصيفة مسار</v>
      </c>
      <c r="C18" s="59">
        <f>'📋 بيانات المحطات'!H17</f>
        <v>0</v>
      </c>
      <c r="D18" s="60">
        <f>IFERROR(C18*'⛽ المبيعات الشهرية'!C17/100,"")</f>
        <v>0</v>
      </c>
      <c r="E18" s="61">
        <f>IFERROR(C18*'⛽ المبيعات الشهرية'!D17/100,"")</f>
        <v>0</v>
      </c>
      <c r="F18" s="60">
        <f>IFERROR(C18*'⛽ المبيعات الشهرية'!E17/100,"")</f>
        <v>0</v>
      </c>
      <c r="G18" s="61">
        <f>IFERROR(C18*'⛽ المبيعات الشهرية'!F17/100,"")</f>
        <v>0</v>
      </c>
      <c r="H18" s="60">
        <f>IFERROR(C18*'⛽ المبيعات الشهرية'!G17/100,"")</f>
        <v>0</v>
      </c>
      <c r="I18" s="61">
        <f>IFERROR(C18*'⛽ المبيعات الشهرية'!H17/100,"")</f>
        <v>0</v>
      </c>
      <c r="J18" s="60">
        <f>IFERROR(C18*'⛽ المبيعات الشهرية'!I17/100,"")</f>
        <v>0</v>
      </c>
      <c r="K18" s="61">
        <f>IFERROR(C18*'⛽ المبيعات الشهرية'!J17/100,"")</f>
        <v>0</v>
      </c>
      <c r="L18" s="60">
        <f>IFERROR(C18*'⛽ المبيعات الشهرية'!K17/100,"")</f>
        <v>0</v>
      </c>
      <c r="M18" s="61">
        <f>IFERROR(C18*'⛽ المبيعات الشهرية'!L17/100,"")</f>
        <v>0</v>
      </c>
      <c r="N18" s="60">
        <f>IFERROR(C18*'⛽ المبيعات الشهرية'!M17/100,"")</f>
        <v>0</v>
      </c>
      <c r="O18" s="61">
        <f>IFERROR(C18*'⛽ المبيعات الشهرية'!N17/100,"")</f>
        <v>0</v>
      </c>
      <c r="P18" s="42">
        <f t="shared" si="0"/>
        <v>0</v>
      </c>
      <c r="Q18" s="62">
        <f>'📋 بيانات المحطات'!I17</f>
        <v>0</v>
      </c>
      <c r="R18" s="63">
        <f>IFERROR(Q18*'⛽ المبيعات الشهرية'!O17/100,"")</f>
        <v>0</v>
      </c>
      <c r="S18" s="61">
        <f>IFERROR(Q18*'⛽ المبيعات الشهرية'!P17/100,"")</f>
        <v>0</v>
      </c>
      <c r="T18" s="63">
        <f>IFERROR(Q18*'⛽ المبيعات الشهرية'!Q17/100,"")</f>
        <v>0</v>
      </c>
      <c r="U18" s="61">
        <f>IFERROR(Q18*'⛽ المبيعات الشهرية'!R17/100,"")</f>
        <v>0</v>
      </c>
      <c r="V18" s="63">
        <f>IFERROR(Q18*'⛽ المبيعات الشهرية'!S17/100,"")</f>
        <v>0</v>
      </c>
      <c r="W18" s="61">
        <f>IFERROR(Q18*'⛽ المبيعات الشهرية'!T17/100,"")</f>
        <v>0</v>
      </c>
      <c r="X18" s="63">
        <f>IFERROR(Q18*'⛽ المبيعات الشهرية'!U17/100,"")</f>
        <v>0</v>
      </c>
      <c r="Y18" s="61">
        <f>IFERROR(Q18*'⛽ المبيعات الشهرية'!V17/100,"")</f>
        <v>0</v>
      </c>
      <c r="Z18" s="63">
        <f>IFERROR(Q18*'⛽ المبيعات الشهرية'!W17/100,"")</f>
        <v>0</v>
      </c>
      <c r="AA18" s="61">
        <f>IFERROR(Q18*'⛽ المبيعات الشهرية'!X17/100,"")</f>
        <v>0</v>
      </c>
      <c r="AB18" s="63">
        <f>IFERROR(Q18*'⛽ المبيعات الشهرية'!Y17/100,"")</f>
        <v>0</v>
      </c>
      <c r="AC18" s="61">
        <f>IFERROR(Q18*'⛽ المبيعات الشهرية'!Z17/100,"")</f>
        <v>0</v>
      </c>
      <c r="AD18" s="42">
        <f t="shared" si="1"/>
        <v>0</v>
      </c>
      <c r="AE18" s="64">
        <f>'📋 بيانات المحطات'!J17</f>
        <v>0</v>
      </c>
      <c r="AF18" s="65">
        <f>IFERROR(AE18*'⛽ المبيعات الشهرية'!AA17/100,"")</f>
        <v>0</v>
      </c>
      <c r="AG18" s="61">
        <f>IFERROR(AE18*'⛽ المبيعات الشهرية'!AB17/100,"")</f>
        <v>0</v>
      </c>
      <c r="AH18" s="65">
        <f>IFERROR(AE18*'⛽ المبيعات الشهرية'!AC17/100,"")</f>
        <v>0</v>
      </c>
      <c r="AI18" s="61">
        <f>IFERROR(AE18*'⛽ المبيعات الشهرية'!AD17/100,"")</f>
        <v>0</v>
      </c>
      <c r="AJ18" s="65">
        <f>IFERROR(AE18*'⛽ المبيعات الشهرية'!AE17/100,"")</f>
        <v>0</v>
      </c>
      <c r="AK18" s="61">
        <f>IFERROR(AE18*'⛽ المبيعات الشهرية'!AF17/100,"")</f>
        <v>0</v>
      </c>
      <c r="AL18" s="65">
        <f>IFERROR(AE18*'⛽ المبيعات الشهرية'!AG17/100,"")</f>
        <v>0</v>
      </c>
      <c r="AM18" s="61">
        <f>IFERROR(AE18*'⛽ المبيعات الشهرية'!AH17/100,"")</f>
        <v>0</v>
      </c>
      <c r="AN18" s="65">
        <f>IFERROR(AE18*'⛽ المبيعات الشهرية'!AI17/100,"")</f>
        <v>0</v>
      </c>
      <c r="AO18" s="61">
        <f>IFERROR(AE18*'⛽ المبيعات الشهرية'!AJ17/100,"")</f>
        <v>0</v>
      </c>
      <c r="AP18" s="65">
        <f>IFERROR(AE18*'⛽ المبيعات الشهرية'!AK17/100,"")</f>
        <v>0</v>
      </c>
      <c r="AQ18" s="61">
        <f>IFERROR(AE18*'⛽ المبيعات الشهرية'!AL17/100,"")</f>
        <v>0</v>
      </c>
      <c r="AR18" s="42">
        <f t="shared" si="2"/>
        <v>0</v>
      </c>
      <c r="AS18" s="66">
        <f>'📋 بيانات المحطات'!K17</f>
        <v>0</v>
      </c>
      <c r="AT18" s="67">
        <f>IFERROR(AS18*'⛽ المبيعات الشهرية'!AM17/100,"")</f>
        <v>0</v>
      </c>
      <c r="AU18" s="61">
        <f>IFERROR(AS18*'⛽ المبيعات الشهرية'!AN17/100,"")</f>
        <v>0</v>
      </c>
      <c r="AV18" s="67">
        <f>IFERROR(AS18*'⛽ المبيعات الشهرية'!AO17/100,"")</f>
        <v>0</v>
      </c>
      <c r="AW18" s="61">
        <f>IFERROR(AS18*'⛽ المبيعات الشهرية'!AP17/100,"")</f>
        <v>0</v>
      </c>
      <c r="AX18" s="67">
        <f>IFERROR(AS18*'⛽ المبيعات الشهرية'!AQ17/100,"")</f>
        <v>0</v>
      </c>
      <c r="AY18" s="61">
        <f>IFERROR(AS18*'⛽ المبيعات الشهرية'!AR17/100,"")</f>
        <v>0</v>
      </c>
      <c r="AZ18" s="67">
        <f>IFERROR(AS18*'⛽ المبيعات الشهرية'!AS17/100,"")</f>
        <v>0</v>
      </c>
      <c r="BA18" s="61">
        <f>IFERROR(AS18*'⛽ المبيعات الشهرية'!AT17/100,"")</f>
        <v>0</v>
      </c>
      <c r="BB18" s="67">
        <f>IFERROR(AS18*'⛽ المبيعات الشهرية'!AU17/100,"")</f>
        <v>0</v>
      </c>
      <c r="BC18" s="61">
        <f>IFERROR(AS18*'⛽ المبيعات الشهرية'!AV17/100,"")</f>
        <v>0</v>
      </c>
      <c r="BD18" s="67">
        <f>IFERROR(AS18*'⛽ المبيعات الشهرية'!AW17/100,"")</f>
        <v>0</v>
      </c>
      <c r="BE18" s="61">
        <f>IFERROR(AS18*'⛽ المبيعات الشهرية'!AX17/100,"")</f>
        <v>0</v>
      </c>
      <c r="BF18" s="42">
        <f t="shared" si="3"/>
        <v>0</v>
      </c>
      <c r="BG18" s="68">
        <f t="shared" si="4"/>
        <v>0</v>
      </c>
    </row>
    <row r="19" spans="1:59" ht="21.75" customHeight="1" x14ac:dyDescent="0.35">
      <c r="A19" s="58" t="s">
        <v>65</v>
      </c>
      <c r="B19" s="36" t="str">
        <f>'📋 بيانات المحطات'!B18</f>
        <v>عرفات الشرائع</v>
      </c>
      <c r="C19" s="59">
        <f>'📋 بيانات المحطات'!H18</f>
        <v>0</v>
      </c>
      <c r="D19" s="60">
        <f>IFERROR(C19*'⛽ المبيعات الشهرية'!C18/100,"")</f>
        <v>0</v>
      </c>
      <c r="E19" s="61">
        <f>IFERROR(C19*'⛽ المبيعات الشهرية'!D18/100,"")</f>
        <v>0</v>
      </c>
      <c r="F19" s="60">
        <f>IFERROR(C19*'⛽ المبيعات الشهرية'!E18/100,"")</f>
        <v>0</v>
      </c>
      <c r="G19" s="61">
        <f>IFERROR(C19*'⛽ المبيعات الشهرية'!F18/100,"")</f>
        <v>0</v>
      </c>
      <c r="H19" s="60">
        <f>IFERROR(C19*'⛽ المبيعات الشهرية'!G18/100,"")</f>
        <v>0</v>
      </c>
      <c r="I19" s="61">
        <f>IFERROR(C19*'⛽ المبيعات الشهرية'!H18/100,"")</f>
        <v>0</v>
      </c>
      <c r="J19" s="60">
        <f>IFERROR(C19*'⛽ المبيعات الشهرية'!I18/100,"")</f>
        <v>0</v>
      </c>
      <c r="K19" s="61">
        <f>IFERROR(C19*'⛽ المبيعات الشهرية'!J18/100,"")</f>
        <v>0</v>
      </c>
      <c r="L19" s="60">
        <f>IFERROR(C19*'⛽ المبيعات الشهرية'!K18/100,"")</f>
        <v>0</v>
      </c>
      <c r="M19" s="61">
        <f>IFERROR(C19*'⛽ المبيعات الشهرية'!L18/100,"")</f>
        <v>0</v>
      </c>
      <c r="N19" s="60">
        <f>IFERROR(C19*'⛽ المبيعات الشهرية'!M18/100,"")</f>
        <v>0</v>
      </c>
      <c r="O19" s="61">
        <f>IFERROR(C19*'⛽ المبيعات الشهرية'!N18/100,"")</f>
        <v>0</v>
      </c>
      <c r="P19" s="42">
        <f t="shared" si="0"/>
        <v>0</v>
      </c>
      <c r="Q19" s="62">
        <f>'📋 بيانات المحطات'!I18</f>
        <v>0</v>
      </c>
      <c r="R19" s="63">
        <f>IFERROR(Q19*'⛽ المبيعات الشهرية'!O18/100,"")</f>
        <v>0</v>
      </c>
      <c r="S19" s="61">
        <f>IFERROR(Q19*'⛽ المبيعات الشهرية'!P18/100,"")</f>
        <v>0</v>
      </c>
      <c r="T19" s="63">
        <f>IFERROR(Q19*'⛽ المبيعات الشهرية'!Q18/100,"")</f>
        <v>0</v>
      </c>
      <c r="U19" s="61">
        <f>IFERROR(Q19*'⛽ المبيعات الشهرية'!R18/100,"")</f>
        <v>0</v>
      </c>
      <c r="V19" s="63">
        <f>IFERROR(Q19*'⛽ المبيعات الشهرية'!S18/100,"")</f>
        <v>0</v>
      </c>
      <c r="W19" s="61">
        <f>IFERROR(Q19*'⛽ المبيعات الشهرية'!T18/100,"")</f>
        <v>0</v>
      </c>
      <c r="X19" s="63">
        <f>IFERROR(Q19*'⛽ المبيعات الشهرية'!U18/100,"")</f>
        <v>0</v>
      </c>
      <c r="Y19" s="61">
        <f>IFERROR(Q19*'⛽ المبيعات الشهرية'!V18/100,"")</f>
        <v>0</v>
      </c>
      <c r="Z19" s="63">
        <f>IFERROR(Q19*'⛽ المبيعات الشهرية'!W18/100,"")</f>
        <v>0</v>
      </c>
      <c r="AA19" s="61">
        <f>IFERROR(Q19*'⛽ المبيعات الشهرية'!X18/100,"")</f>
        <v>0</v>
      </c>
      <c r="AB19" s="63">
        <f>IFERROR(Q19*'⛽ المبيعات الشهرية'!Y18/100,"")</f>
        <v>0</v>
      </c>
      <c r="AC19" s="61">
        <f>IFERROR(Q19*'⛽ المبيعات الشهرية'!Z18/100,"")</f>
        <v>0</v>
      </c>
      <c r="AD19" s="42">
        <f t="shared" si="1"/>
        <v>0</v>
      </c>
      <c r="AE19" s="64">
        <f>'📋 بيانات المحطات'!J18</f>
        <v>0</v>
      </c>
      <c r="AF19" s="65">
        <f>IFERROR(AE19*'⛽ المبيعات الشهرية'!AA18/100,"")</f>
        <v>0</v>
      </c>
      <c r="AG19" s="61">
        <f>IFERROR(AE19*'⛽ المبيعات الشهرية'!AB18/100,"")</f>
        <v>0</v>
      </c>
      <c r="AH19" s="65">
        <f>IFERROR(AE19*'⛽ المبيعات الشهرية'!AC18/100,"")</f>
        <v>0</v>
      </c>
      <c r="AI19" s="61">
        <f>IFERROR(AE19*'⛽ المبيعات الشهرية'!AD18/100,"")</f>
        <v>0</v>
      </c>
      <c r="AJ19" s="65">
        <f>IFERROR(AE19*'⛽ المبيعات الشهرية'!AE18/100,"")</f>
        <v>0</v>
      </c>
      <c r="AK19" s="61">
        <f>IFERROR(AE19*'⛽ المبيعات الشهرية'!AF18/100,"")</f>
        <v>0</v>
      </c>
      <c r="AL19" s="65">
        <f>IFERROR(AE19*'⛽ المبيعات الشهرية'!AG18/100,"")</f>
        <v>0</v>
      </c>
      <c r="AM19" s="61">
        <f>IFERROR(AE19*'⛽ المبيعات الشهرية'!AH18/100,"")</f>
        <v>0</v>
      </c>
      <c r="AN19" s="65">
        <f>IFERROR(AE19*'⛽ المبيعات الشهرية'!AI18/100,"")</f>
        <v>0</v>
      </c>
      <c r="AO19" s="61">
        <f>IFERROR(AE19*'⛽ المبيعات الشهرية'!AJ18/100,"")</f>
        <v>0</v>
      </c>
      <c r="AP19" s="65">
        <f>IFERROR(AE19*'⛽ المبيعات الشهرية'!AK18/100,"")</f>
        <v>0</v>
      </c>
      <c r="AQ19" s="61">
        <f>IFERROR(AE19*'⛽ المبيعات الشهرية'!AL18/100,"")</f>
        <v>0</v>
      </c>
      <c r="AR19" s="42">
        <f t="shared" si="2"/>
        <v>0</v>
      </c>
      <c r="AS19" s="66">
        <f>'📋 بيانات المحطات'!K18</f>
        <v>0</v>
      </c>
      <c r="AT19" s="67">
        <f>IFERROR(AS19*'⛽ المبيعات الشهرية'!AM18/100,"")</f>
        <v>0</v>
      </c>
      <c r="AU19" s="61">
        <f>IFERROR(AS19*'⛽ المبيعات الشهرية'!AN18/100,"")</f>
        <v>0</v>
      </c>
      <c r="AV19" s="67">
        <f>IFERROR(AS19*'⛽ المبيعات الشهرية'!AO18/100,"")</f>
        <v>0</v>
      </c>
      <c r="AW19" s="61">
        <f>IFERROR(AS19*'⛽ المبيعات الشهرية'!AP18/100,"")</f>
        <v>0</v>
      </c>
      <c r="AX19" s="67">
        <f>IFERROR(AS19*'⛽ المبيعات الشهرية'!AQ18/100,"")</f>
        <v>0</v>
      </c>
      <c r="AY19" s="61">
        <f>IFERROR(AS19*'⛽ المبيعات الشهرية'!AR18/100,"")</f>
        <v>0</v>
      </c>
      <c r="AZ19" s="67">
        <f>IFERROR(AS19*'⛽ المبيعات الشهرية'!AS18/100,"")</f>
        <v>0</v>
      </c>
      <c r="BA19" s="61">
        <f>IFERROR(AS19*'⛽ المبيعات الشهرية'!AT18/100,"")</f>
        <v>0</v>
      </c>
      <c r="BB19" s="67">
        <f>IFERROR(AS19*'⛽ المبيعات الشهرية'!AU18/100,"")</f>
        <v>0</v>
      </c>
      <c r="BC19" s="61">
        <f>IFERROR(AS19*'⛽ المبيعات الشهرية'!AV18/100,"")</f>
        <v>0</v>
      </c>
      <c r="BD19" s="67">
        <f>IFERROR(AS19*'⛽ المبيعات الشهرية'!AW18/100,"")</f>
        <v>0</v>
      </c>
      <c r="BE19" s="61">
        <f>IFERROR(AS19*'⛽ المبيعات الشهرية'!AX18/100,"")</f>
        <v>0</v>
      </c>
      <c r="BF19" s="42">
        <f t="shared" si="3"/>
        <v>0</v>
      </c>
      <c r="BG19" s="68">
        <f t="shared" si="4"/>
        <v>0</v>
      </c>
    </row>
    <row r="20" spans="1:59" ht="21.75" customHeight="1" x14ac:dyDescent="0.35">
      <c r="A20" s="69" t="s">
        <v>68</v>
      </c>
      <c r="B20" s="36" t="str">
        <f>'📋 بيانات المحطات'!B19</f>
        <v>ممشى الشوقية</v>
      </c>
      <c r="C20" s="59">
        <f>'📋 بيانات المحطات'!H19</f>
        <v>0</v>
      </c>
      <c r="D20" s="60">
        <f>IFERROR(C20*'⛽ المبيعات الشهرية'!C19/100,"")</f>
        <v>0</v>
      </c>
      <c r="E20" s="61">
        <f>IFERROR(C20*'⛽ المبيعات الشهرية'!D19/100,"")</f>
        <v>0</v>
      </c>
      <c r="F20" s="60">
        <f>IFERROR(C20*'⛽ المبيعات الشهرية'!E19/100,"")</f>
        <v>0</v>
      </c>
      <c r="G20" s="61">
        <f>IFERROR(C20*'⛽ المبيعات الشهرية'!F19/100,"")</f>
        <v>0</v>
      </c>
      <c r="H20" s="60">
        <f>IFERROR(C20*'⛽ المبيعات الشهرية'!G19/100,"")</f>
        <v>0</v>
      </c>
      <c r="I20" s="61">
        <f>IFERROR(C20*'⛽ المبيعات الشهرية'!H19/100,"")</f>
        <v>0</v>
      </c>
      <c r="J20" s="60">
        <f>IFERROR(C20*'⛽ المبيعات الشهرية'!I19/100,"")</f>
        <v>0</v>
      </c>
      <c r="K20" s="61">
        <f>IFERROR(C20*'⛽ المبيعات الشهرية'!J19/100,"")</f>
        <v>0</v>
      </c>
      <c r="L20" s="60">
        <f>IFERROR(C20*'⛽ المبيعات الشهرية'!K19/100,"")</f>
        <v>0</v>
      </c>
      <c r="M20" s="61">
        <f>IFERROR(C20*'⛽ المبيعات الشهرية'!L19/100,"")</f>
        <v>0</v>
      </c>
      <c r="N20" s="60">
        <f>IFERROR(C20*'⛽ المبيعات الشهرية'!M19/100,"")</f>
        <v>0</v>
      </c>
      <c r="O20" s="61">
        <f>IFERROR(C20*'⛽ المبيعات الشهرية'!N19/100,"")</f>
        <v>0</v>
      </c>
      <c r="P20" s="42">
        <f t="shared" si="0"/>
        <v>0</v>
      </c>
      <c r="Q20" s="62">
        <f>'📋 بيانات المحطات'!I19</f>
        <v>0</v>
      </c>
      <c r="R20" s="63">
        <f>IFERROR(Q20*'⛽ المبيعات الشهرية'!O19/100,"")</f>
        <v>0</v>
      </c>
      <c r="S20" s="61">
        <f>IFERROR(Q20*'⛽ المبيعات الشهرية'!P19/100,"")</f>
        <v>0</v>
      </c>
      <c r="T20" s="63">
        <f>IFERROR(Q20*'⛽ المبيعات الشهرية'!Q19/100,"")</f>
        <v>0</v>
      </c>
      <c r="U20" s="61">
        <f>IFERROR(Q20*'⛽ المبيعات الشهرية'!R19/100,"")</f>
        <v>0</v>
      </c>
      <c r="V20" s="63">
        <f>IFERROR(Q20*'⛽ المبيعات الشهرية'!S19/100,"")</f>
        <v>0</v>
      </c>
      <c r="W20" s="61">
        <f>IFERROR(Q20*'⛽ المبيعات الشهرية'!T19/100,"")</f>
        <v>0</v>
      </c>
      <c r="X20" s="63">
        <f>IFERROR(Q20*'⛽ المبيعات الشهرية'!U19/100,"")</f>
        <v>0</v>
      </c>
      <c r="Y20" s="61">
        <f>IFERROR(Q20*'⛽ المبيعات الشهرية'!V19/100,"")</f>
        <v>0</v>
      </c>
      <c r="Z20" s="63">
        <f>IFERROR(Q20*'⛽ المبيعات الشهرية'!W19/100,"")</f>
        <v>0</v>
      </c>
      <c r="AA20" s="61">
        <f>IFERROR(Q20*'⛽ المبيعات الشهرية'!X19/100,"")</f>
        <v>0</v>
      </c>
      <c r="AB20" s="63">
        <f>IFERROR(Q20*'⛽ المبيعات الشهرية'!Y19/100,"")</f>
        <v>0</v>
      </c>
      <c r="AC20" s="61">
        <f>IFERROR(Q20*'⛽ المبيعات الشهرية'!Z19/100,"")</f>
        <v>0</v>
      </c>
      <c r="AD20" s="42">
        <f t="shared" si="1"/>
        <v>0</v>
      </c>
      <c r="AE20" s="64">
        <f>'📋 بيانات المحطات'!J19</f>
        <v>0</v>
      </c>
      <c r="AF20" s="65">
        <f>IFERROR(AE20*'⛽ المبيعات الشهرية'!AA19/100,"")</f>
        <v>0</v>
      </c>
      <c r="AG20" s="61">
        <f>IFERROR(AE20*'⛽ المبيعات الشهرية'!AB19/100,"")</f>
        <v>0</v>
      </c>
      <c r="AH20" s="65">
        <f>IFERROR(AE20*'⛽ المبيعات الشهرية'!AC19/100,"")</f>
        <v>0</v>
      </c>
      <c r="AI20" s="61">
        <f>IFERROR(AE20*'⛽ المبيعات الشهرية'!AD19/100,"")</f>
        <v>0</v>
      </c>
      <c r="AJ20" s="65">
        <f>IFERROR(AE20*'⛽ المبيعات الشهرية'!AE19/100,"")</f>
        <v>0</v>
      </c>
      <c r="AK20" s="61">
        <f>IFERROR(AE20*'⛽ المبيعات الشهرية'!AF19/100,"")</f>
        <v>0</v>
      </c>
      <c r="AL20" s="65">
        <f>IFERROR(AE20*'⛽ المبيعات الشهرية'!AG19/100,"")</f>
        <v>0</v>
      </c>
      <c r="AM20" s="61">
        <f>IFERROR(AE20*'⛽ المبيعات الشهرية'!AH19/100,"")</f>
        <v>0</v>
      </c>
      <c r="AN20" s="65">
        <f>IFERROR(AE20*'⛽ المبيعات الشهرية'!AI19/100,"")</f>
        <v>0</v>
      </c>
      <c r="AO20" s="61">
        <f>IFERROR(AE20*'⛽ المبيعات الشهرية'!AJ19/100,"")</f>
        <v>0</v>
      </c>
      <c r="AP20" s="65">
        <f>IFERROR(AE20*'⛽ المبيعات الشهرية'!AK19/100,"")</f>
        <v>0</v>
      </c>
      <c r="AQ20" s="61">
        <f>IFERROR(AE20*'⛽ المبيعات الشهرية'!AL19/100,"")</f>
        <v>0</v>
      </c>
      <c r="AR20" s="42">
        <f t="shared" si="2"/>
        <v>0</v>
      </c>
      <c r="AS20" s="66">
        <f>'📋 بيانات المحطات'!K19</f>
        <v>0</v>
      </c>
      <c r="AT20" s="67">
        <f>IFERROR(AS20*'⛽ المبيعات الشهرية'!AM19/100,"")</f>
        <v>0</v>
      </c>
      <c r="AU20" s="61">
        <f>IFERROR(AS20*'⛽ المبيعات الشهرية'!AN19/100,"")</f>
        <v>0</v>
      </c>
      <c r="AV20" s="67">
        <f>IFERROR(AS20*'⛽ المبيعات الشهرية'!AO19/100,"")</f>
        <v>0</v>
      </c>
      <c r="AW20" s="61">
        <f>IFERROR(AS20*'⛽ المبيعات الشهرية'!AP19/100,"")</f>
        <v>0</v>
      </c>
      <c r="AX20" s="67">
        <f>IFERROR(AS20*'⛽ المبيعات الشهرية'!AQ19/100,"")</f>
        <v>0</v>
      </c>
      <c r="AY20" s="61">
        <f>IFERROR(AS20*'⛽ المبيعات الشهرية'!AR19/100,"")</f>
        <v>0</v>
      </c>
      <c r="AZ20" s="67">
        <f>IFERROR(AS20*'⛽ المبيعات الشهرية'!AS19/100,"")</f>
        <v>0</v>
      </c>
      <c r="BA20" s="61">
        <f>IFERROR(AS20*'⛽ المبيعات الشهرية'!AT19/100,"")</f>
        <v>0</v>
      </c>
      <c r="BB20" s="67">
        <f>IFERROR(AS20*'⛽ المبيعات الشهرية'!AU19/100,"")</f>
        <v>0</v>
      </c>
      <c r="BC20" s="61">
        <f>IFERROR(AS20*'⛽ المبيعات الشهرية'!AV19/100,"")</f>
        <v>0</v>
      </c>
      <c r="BD20" s="67">
        <f>IFERROR(AS20*'⛽ المبيعات الشهرية'!AW19/100,"")</f>
        <v>0</v>
      </c>
      <c r="BE20" s="61">
        <f>IFERROR(AS20*'⛽ المبيعات الشهرية'!AX19/100,"")</f>
        <v>0</v>
      </c>
      <c r="BF20" s="42">
        <f t="shared" si="3"/>
        <v>0</v>
      </c>
      <c r="BG20" s="68">
        <f t="shared" si="4"/>
        <v>0</v>
      </c>
    </row>
    <row r="21" spans="1:59" ht="21.75" customHeight="1" x14ac:dyDescent="0.35">
      <c r="A21" s="58" t="s">
        <v>71</v>
      </c>
      <c r="B21" s="36" t="str">
        <f>'📋 بيانات المحطات'!B20</f>
        <v>بطحاء قريش</v>
      </c>
      <c r="C21" s="59">
        <f>'📋 بيانات المحطات'!H20</f>
        <v>0</v>
      </c>
      <c r="D21" s="60">
        <f>IFERROR(C21*'⛽ المبيعات الشهرية'!C20/100,"")</f>
        <v>0</v>
      </c>
      <c r="E21" s="61">
        <f>IFERROR(C21*'⛽ المبيعات الشهرية'!D20/100,"")</f>
        <v>0</v>
      </c>
      <c r="F21" s="60">
        <f>IFERROR(C21*'⛽ المبيعات الشهرية'!E20/100,"")</f>
        <v>0</v>
      </c>
      <c r="G21" s="61">
        <f>IFERROR(C21*'⛽ المبيعات الشهرية'!F20/100,"")</f>
        <v>0</v>
      </c>
      <c r="H21" s="60">
        <f>IFERROR(C21*'⛽ المبيعات الشهرية'!G20/100,"")</f>
        <v>0</v>
      </c>
      <c r="I21" s="61">
        <f>IFERROR(C21*'⛽ المبيعات الشهرية'!H20/100,"")</f>
        <v>0</v>
      </c>
      <c r="J21" s="60">
        <f>IFERROR(C21*'⛽ المبيعات الشهرية'!I20/100,"")</f>
        <v>0</v>
      </c>
      <c r="K21" s="61">
        <f>IFERROR(C21*'⛽ المبيعات الشهرية'!J20/100,"")</f>
        <v>0</v>
      </c>
      <c r="L21" s="60">
        <f>IFERROR(C21*'⛽ المبيعات الشهرية'!K20/100,"")</f>
        <v>0</v>
      </c>
      <c r="M21" s="61">
        <f>IFERROR(C21*'⛽ المبيعات الشهرية'!L20/100,"")</f>
        <v>0</v>
      </c>
      <c r="N21" s="60">
        <f>IFERROR(C21*'⛽ المبيعات الشهرية'!M20/100,"")</f>
        <v>0</v>
      </c>
      <c r="O21" s="61">
        <f>IFERROR(C21*'⛽ المبيعات الشهرية'!N20/100,"")</f>
        <v>0</v>
      </c>
      <c r="P21" s="42">
        <f t="shared" si="0"/>
        <v>0</v>
      </c>
      <c r="Q21" s="62">
        <f>'📋 بيانات المحطات'!I20</f>
        <v>0</v>
      </c>
      <c r="R21" s="63">
        <f>IFERROR(Q21*'⛽ المبيعات الشهرية'!O20/100,"")</f>
        <v>0</v>
      </c>
      <c r="S21" s="61">
        <f>IFERROR(Q21*'⛽ المبيعات الشهرية'!P20/100,"")</f>
        <v>0</v>
      </c>
      <c r="T21" s="63">
        <f>IFERROR(Q21*'⛽ المبيعات الشهرية'!Q20/100,"")</f>
        <v>0</v>
      </c>
      <c r="U21" s="61">
        <f>IFERROR(Q21*'⛽ المبيعات الشهرية'!R20/100,"")</f>
        <v>0</v>
      </c>
      <c r="V21" s="63">
        <f>IFERROR(Q21*'⛽ المبيعات الشهرية'!S20/100,"")</f>
        <v>0</v>
      </c>
      <c r="W21" s="61">
        <f>IFERROR(Q21*'⛽ المبيعات الشهرية'!T20/100,"")</f>
        <v>0</v>
      </c>
      <c r="X21" s="63">
        <f>IFERROR(Q21*'⛽ المبيعات الشهرية'!U20/100,"")</f>
        <v>0</v>
      </c>
      <c r="Y21" s="61">
        <f>IFERROR(Q21*'⛽ المبيعات الشهرية'!V20/100,"")</f>
        <v>0</v>
      </c>
      <c r="Z21" s="63">
        <f>IFERROR(Q21*'⛽ المبيعات الشهرية'!W20/100,"")</f>
        <v>0</v>
      </c>
      <c r="AA21" s="61">
        <f>IFERROR(Q21*'⛽ المبيعات الشهرية'!X20/100,"")</f>
        <v>0</v>
      </c>
      <c r="AB21" s="63">
        <f>IFERROR(Q21*'⛽ المبيعات الشهرية'!Y20/100,"")</f>
        <v>0</v>
      </c>
      <c r="AC21" s="61">
        <f>IFERROR(Q21*'⛽ المبيعات الشهرية'!Z20/100,"")</f>
        <v>0</v>
      </c>
      <c r="AD21" s="42">
        <f t="shared" si="1"/>
        <v>0</v>
      </c>
      <c r="AE21" s="64">
        <f>'📋 بيانات المحطات'!J20</f>
        <v>0</v>
      </c>
      <c r="AF21" s="65">
        <f>IFERROR(AE21*'⛽ المبيعات الشهرية'!AA20/100,"")</f>
        <v>0</v>
      </c>
      <c r="AG21" s="61">
        <f>IFERROR(AE21*'⛽ المبيعات الشهرية'!AB20/100,"")</f>
        <v>0</v>
      </c>
      <c r="AH21" s="65">
        <f>IFERROR(AE21*'⛽ المبيعات الشهرية'!AC20/100,"")</f>
        <v>0</v>
      </c>
      <c r="AI21" s="61">
        <f>IFERROR(AE21*'⛽ المبيعات الشهرية'!AD20/100,"")</f>
        <v>0</v>
      </c>
      <c r="AJ21" s="65">
        <f>IFERROR(AE21*'⛽ المبيعات الشهرية'!AE20/100,"")</f>
        <v>0</v>
      </c>
      <c r="AK21" s="61">
        <f>IFERROR(AE21*'⛽ المبيعات الشهرية'!AF20/100,"")</f>
        <v>0</v>
      </c>
      <c r="AL21" s="65">
        <f>IFERROR(AE21*'⛽ المبيعات الشهرية'!AG20/100,"")</f>
        <v>0</v>
      </c>
      <c r="AM21" s="61">
        <f>IFERROR(AE21*'⛽ المبيعات الشهرية'!AH20/100,"")</f>
        <v>0</v>
      </c>
      <c r="AN21" s="65">
        <f>IFERROR(AE21*'⛽ المبيعات الشهرية'!AI20/100,"")</f>
        <v>0</v>
      </c>
      <c r="AO21" s="61">
        <f>IFERROR(AE21*'⛽ المبيعات الشهرية'!AJ20/100,"")</f>
        <v>0</v>
      </c>
      <c r="AP21" s="65">
        <f>IFERROR(AE21*'⛽ المبيعات الشهرية'!AK20/100,"")</f>
        <v>0</v>
      </c>
      <c r="AQ21" s="61">
        <f>IFERROR(AE21*'⛽ المبيعات الشهرية'!AL20/100,"")</f>
        <v>0</v>
      </c>
      <c r="AR21" s="42">
        <f t="shared" si="2"/>
        <v>0</v>
      </c>
      <c r="AS21" s="66">
        <f>'📋 بيانات المحطات'!K20</f>
        <v>0</v>
      </c>
      <c r="AT21" s="67">
        <f>IFERROR(AS21*'⛽ المبيعات الشهرية'!AM20/100,"")</f>
        <v>0</v>
      </c>
      <c r="AU21" s="61">
        <f>IFERROR(AS21*'⛽ المبيعات الشهرية'!AN20/100,"")</f>
        <v>0</v>
      </c>
      <c r="AV21" s="67">
        <f>IFERROR(AS21*'⛽ المبيعات الشهرية'!AO20/100,"")</f>
        <v>0</v>
      </c>
      <c r="AW21" s="61">
        <f>IFERROR(AS21*'⛽ المبيعات الشهرية'!AP20/100,"")</f>
        <v>0</v>
      </c>
      <c r="AX21" s="67">
        <f>IFERROR(AS21*'⛽ المبيعات الشهرية'!AQ20/100,"")</f>
        <v>0</v>
      </c>
      <c r="AY21" s="61">
        <f>IFERROR(AS21*'⛽ المبيعات الشهرية'!AR20/100,"")</f>
        <v>0</v>
      </c>
      <c r="AZ21" s="67">
        <f>IFERROR(AS21*'⛽ المبيعات الشهرية'!AS20/100,"")</f>
        <v>0</v>
      </c>
      <c r="BA21" s="61">
        <f>IFERROR(AS21*'⛽ المبيعات الشهرية'!AT20/100,"")</f>
        <v>0</v>
      </c>
      <c r="BB21" s="67">
        <f>IFERROR(AS21*'⛽ المبيعات الشهرية'!AU20/100,"")</f>
        <v>0</v>
      </c>
      <c r="BC21" s="61">
        <f>IFERROR(AS21*'⛽ المبيعات الشهرية'!AV20/100,"")</f>
        <v>0</v>
      </c>
      <c r="BD21" s="67">
        <f>IFERROR(AS21*'⛽ المبيعات الشهرية'!AW20/100,"")</f>
        <v>0</v>
      </c>
      <c r="BE21" s="61">
        <f>IFERROR(AS21*'⛽ المبيعات الشهرية'!AX20/100,"")</f>
        <v>0</v>
      </c>
      <c r="BF21" s="42">
        <f t="shared" si="3"/>
        <v>0</v>
      </c>
      <c r="BG21" s="68">
        <f t="shared" si="4"/>
        <v>0</v>
      </c>
    </row>
    <row r="22" spans="1:59" ht="21.75" customHeight="1" x14ac:dyDescent="0.35">
      <c r="A22" s="69" t="s">
        <v>74</v>
      </c>
      <c r="B22" s="36" t="str">
        <f>'📋 بيانات المحطات'!B21</f>
        <v>بن درويش</v>
      </c>
      <c r="C22" s="59">
        <f>'📋 بيانات المحطات'!H21</f>
        <v>0</v>
      </c>
      <c r="D22" s="60">
        <f>IFERROR(C22*'⛽ المبيعات الشهرية'!C21/100,"")</f>
        <v>0</v>
      </c>
      <c r="E22" s="61">
        <f>IFERROR(C22*'⛽ المبيعات الشهرية'!D21/100,"")</f>
        <v>0</v>
      </c>
      <c r="F22" s="60">
        <f>IFERROR(C22*'⛽ المبيعات الشهرية'!E21/100,"")</f>
        <v>0</v>
      </c>
      <c r="G22" s="61">
        <f>IFERROR(C22*'⛽ المبيعات الشهرية'!F21/100,"")</f>
        <v>0</v>
      </c>
      <c r="H22" s="60">
        <f>IFERROR(C22*'⛽ المبيعات الشهرية'!G21/100,"")</f>
        <v>0</v>
      </c>
      <c r="I22" s="61">
        <f>IFERROR(C22*'⛽ المبيعات الشهرية'!H21/100,"")</f>
        <v>0</v>
      </c>
      <c r="J22" s="60">
        <f>IFERROR(C22*'⛽ المبيعات الشهرية'!I21/100,"")</f>
        <v>0</v>
      </c>
      <c r="K22" s="61">
        <f>IFERROR(C22*'⛽ المبيعات الشهرية'!J21/100,"")</f>
        <v>0</v>
      </c>
      <c r="L22" s="60">
        <f>IFERROR(C22*'⛽ المبيعات الشهرية'!K21/100,"")</f>
        <v>0</v>
      </c>
      <c r="M22" s="61">
        <f>IFERROR(C22*'⛽ المبيعات الشهرية'!L21/100,"")</f>
        <v>0</v>
      </c>
      <c r="N22" s="60">
        <f>IFERROR(C22*'⛽ المبيعات الشهرية'!M21/100,"")</f>
        <v>0</v>
      </c>
      <c r="O22" s="61">
        <f>IFERROR(C22*'⛽ المبيعات الشهرية'!N21/100,"")</f>
        <v>0</v>
      </c>
      <c r="P22" s="42">
        <f t="shared" si="0"/>
        <v>0</v>
      </c>
      <c r="Q22" s="62">
        <f>'📋 بيانات المحطات'!I21</f>
        <v>0</v>
      </c>
      <c r="R22" s="63">
        <f>IFERROR(Q22*'⛽ المبيعات الشهرية'!O21/100,"")</f>
        <v>0</v>
      </c>
      <c r="S22" s="61">
        <f>IFERROR(Q22*'⛽ المبيعات الشهرية'!P21/100,"")</f>
        <v>0</v>
      </c>
      <c r="T22" s="63">
        <f>IFERROR(Q22*'⛽ المبيعات الشهرية'!Q21/100,"")</f>
        <v>0</v>
      </c>
      <c r="U22" s="61">
        <f>IFERROR(Q22*'⛽ المبيعات الشهرية'!R21/100,"")</f>
        <v>0</v>
      </c>
      <c r="V22" s="63">
        <f>IFERROR(Q22*'⛽ المبيعات الشهرية'!S21/100,"")</f>
        <v>0</v>
      </c>
      <c r="W22" s="61">
        <f>IFERROR(Q22*'⛽ المبيعات الشهرية'!T21/100,"")</f>
        <v>0</v>
      </c>
      <c r="X22" s="63">
        <f>IFERROR(Q22*'⛽ المبيعات الشهرية'!U21/100,"")</f>
        <v>0</v>
      </c>
      <c r="Y22" s="61">
        <f>IFERROR(Q22*'⛽ المبيعات الشهرية'!V21/100,"")</f>
        <v>0</v>
      </c>
      <c r="Z22" s="63">
        <f>IFERROR(Q22*'⛽ المبيعات الشهرية'!W21/100,"")</f>
        <v>0</v>
      </c>
      <c r="AA22" s="61">
        <f>IFERROR(Q22*'⛽ المبيعات الشهرية'!X21/100,"")</f>
        <v>0</v>
      </c>
      <c r="AB22" s="63">
        <f>IFERROR(Q22*'⛽ المبيعات الشهرية'!Y21/100,"")</f>
        <v>0</v>
      </c>
      <c r="AC22" s="61">
        <f>IFERROR(Q22*'⛽ المبيعات الشهرية'!Z21/100,"")</f>
        <v>0</v>
      </c>
      <c r="AD22" s="42">
        <f t="shared" si="1"/>
        <v>0</v>
      </c>
      <c r="AE22" s="64">
        <f>'📋 بيانات المحطات'!J21</f>
        <v>0</v>
      </c>
      <c r="AF22" s="65">
        <f>IFERROR(AE22*'⛽ المبيعات الشهرية'!AA21/100,"")</f>
        <v>0</v>
      </c>
      <c r="AG22" s="61">
        <f>IFERROR(AE22*'⛽ المبيعات الشهرية'!AB21/100,"")</f>
        <v>0</v>
      </c>
      <c r="AH22" s="65">
        <f>IFERROR(AE22*'⛽ المبيعات الشهرية'!AC21/100,"")</f>
        <v>0</v>
      </c>
      <c r="AI22" s="61">
        <f>IFERROR(AE22*'⛽ المبيعات الشهرية'!AD21/100,"")</f>
        <v>0</v>
      </c>
      <c r="AJ22" s="65">
        <f>IFERROR(AE22*'⛽ المبيعات الشهرية'!AE21/100,"")</f>
        <v>0</v>
      </c>
      <c r="AK22" s="61">
        <f>IFERROR(AE22*'⛽ المبيعات الشهرية'!AF21/100,"")</f>
        <v>0</v>
      </c>
      <c r="AL22" s="65">
        <f>IFERROR(AE22*'⛽ المبيعات الشهرية'!AG21/100,"")</f>
        <v>0</v>
      </c>
      <c r="AM22" s="61">
        <f>IFERROR(AE22*'⛽ المبيعات الشهرية'!AH21/100,"")</f>
        <v>0</v>
      </c>
      <c r="AN22" s="65">
        <f>IFERROR(AE22*'⛽ المبيعات الشهرية'!AI21/100,"")</f>
        <v>0</v>
      </c>
      <c r="AO22" s="61">
        <f>IFERROR(AE22*'⛽ المبيعات الشهرية'!AJ21/100,"")</f>
        <v>0</v>
      </c>
      <c r="AP22" s="65">
        <f>IFERROR(AE22*'⛽ المبيعات الشهرية'!AK21/100,"")</f>
        <v>0</v>
      </c>
      <c r="AQ22" s="61">
        <f>IFERROR(AE22*'⛽ المبيعات الشهرية'!AL21/100,"")</f>
        <v>0</v>
      </c>
      <c r="AR22" s="42">
        <f t="shared" si="2"/>
        <v>0</v>
      </c>
      <c r="AS22" s="66">
        <f>'📋 بيانات المحطات'!K21</f>
        <v>0</v>
      </c>
      <c r="AT22" s="67">
        <f>IFERROR(AS22*'⛽ المبيعات الشهرية'!AM21/100,"")</f>
        <v>0</v>
      </c>
      <c r="AU22" s="61">
        <f>IFERROR(AS22*'⛽ المبيعات الشهرية'!AN21/100,"")</f>
        <v>0</v>
      </c>
      <c r="AV22" s="67">
        <f>IFERROR(AS22*'⛽ المبيعات الشهرية'!AO21/100,"")</f>
        <v>0</v>
      </c>
      <c r="AW22" s="61">
        <f>IFERROR(AS22*'⛽ المبيعات الشهرية'!AP21/100,"")</f>
        <v>0</v>
      </c>
      <c r="AX22" s="67">
        <f>IFERROR(AS22*'⛽ المبيعات الشهرية'!AQ21/100,"")</f>
        <v>0</v>
      </c>
      <c r="AY22" s="61">
        <f>IFERROR(AS22*'⛽ المبيعات الشهرية'!AR21/100,"")</f>
        <v>0</v>
      </c>
      <c r="AZ22" s="67">
        <f>IFERROR(AS22*'⛽ المبيعات الشهرية'!AS21/100,"")</f>
        <v>0</v>
      </c>
      <c r="BA22" s="61">
        <f>IFERROR(AS22*'⛽ المبيعات الشهرية'!AT21/100,"")</f>
        <v>0</v>
      </c>
      <c r="BB22" s="67">
        <f>IFERROR(AS22*'⛽ المبيعات الشهرية'!AU21/100,"")</f>
        <v>0</v>
      </c>
      <c r="BC22" s="61">
        <f>IFERROR(AS22*'⛽ المبيعات الشهرية'!AV21/100,"")</f>
        <v>0</v>
      </c>
      <c r="BD22" s="67">
        <f>IFERROR(AS22*'⛽ المبيعات الشهرية'!AW21/100,"")</f>
        <v>0</v>
      </c>
      <c r="BE22" s="61">
        <f>IFERROR(AS22*'⛽ المبيعات الشهرية'!AX21/100,"")</f>
        <v>0</v>
      </c>
      <c r="BF22" s="42">
        <f t="shared" si="3"/>
        <v>0</v>
      </c>
      <c r="BG22" s="68">
        <f t="shared" si="4"/>
        <v>0</v>
      </c>
    </row>
    <row r="23" spans="1:59" ht="21.75" customHeight="1" x14ac:dyDescent="0.35">
      <c r="A23" s="58" t="s">
        <v>77</v>
      </c>
      <c r="B23" s="36" t="str">
        <f>'📋 بيانات المحطات'!B22</f>
        <v>الخرج غرناطة</v>
      </c>
      <c r="C23" s="59">
        <f>'📋 بيانات المحطات'!H22</f>
        <v>0</v>
      </c>
      <c r="D23" s="60">
        <f>IFERROR(C23*'⛽ المبيعات الشهرية'!C22/100,"")</f>
        <v>0</v>
      </c>
      <c r="E23" s="61">
        <f>IFERROR(C23*'⛽ المبيعات الشهرية'!D22/100,"")</f>
        <v>0</v>
      </c>
      <c r="F23" s="60">
        <f>IFERROR(C23*'⛽ المبيعات الشهرية'!E22/100,"")</f>
        <v>0</v>
      </c>
      <c r="G23" s="61">
        <f>IFERROR(C23*'⛽ المبيعات الشهرية'!F22/100,"")</f>
        <v>0</v>
      </c>
      <c r="H23" s="60">
        <f>IFERROR(C23*'⛽ المبيعات الشهرية'!G22/100,"")</f>
        <v>0</v>
      </c>
      <c r="I23" s="61">
        <f>IFERROR(C23*'⛽ المبيعات الشهرية'!H22/100,"")</f>
        <v>0</v>
      </c>
      <c r="J23" s="60">
        <f>IFERROR(C23*'⛽ المبيعات الشهرية'!I22/100,"")</f>
        <v>0</v>
      </c>
      <c r="K23" s="61">
        <f>IFERROR(C23*'⛽ المبيعات الشهرية'!J22/100,"")</f>
        <v>0</v>
      </c>
      <c r="L23" s="60">
        <f>IFERROR(C23*'⛽ المبيعات الشهرية'!K22/100,"")</f>
        <v>0</v>
      </c>
      <c r="M23" s="61">
        <f>IFERROR(C23*'⛽ المبيعات الشهرية'!L22/100,"")</f>
        <v>0</v>
      </c>
      <c r="N23" s="60">
        <f>IFERROR(C23*'⛽ المبيعات الشهرية'!M22/100,"")</f>
        <v>0</v>
      </c>
      <c r="O23" s="61">
        <f>IFERROR(C23*'⛽ المبيعات الشهرية'!N22/100,"")</f>
        <v>0</v>
      </c>
      <c r="P23" s="42">
        <f t="shared" si="0"/>
        <v>0</v>
      </c>
      <c r="Q23" s="62">
        <f>'📋 بيانات المحطات'!I22</f>
        <v>0</v>
      </c>
      <c r="R23" s="63">
        <f>IFERROR(Q23*'⛽ المبيعات الشهرية'!O22/100,"")</f>
        <v>0</v>
      </c>
      <c r="S23" s="61">
        <f>IFERROR(Q23*'⛽ المبيعات الشهرية'!P22/100,"")</f>
        <v>0</v>
      </c>
      <c r="T23" s="63">
        <f>IFERROR(Q23*'⛽ المبيعات الشهرية'!Q22/100,"")</f>
        <v>0</v>
      </c>
      <c r="U23" s="61">
        <f>IFERROR(Q23*'⛽ المبيعات الشهرية'!R22/100,"")</f>
        <v>0</v>
      </c>
      <c r="V23" s="63">
        <f>IFERROR(Q23*'⛽ المبيعات الشهرية'!S22/100,"")</f>
        <v>0</v>
      </c>
      <c r="W23" s="61">
        <f>IFERROR(Q23*'⛽ المبيعات الشهرية'!T22/100,"")</f>
        <v>0</v>
      </c>
      <c r="X23" s="63">
        <f>IFERROR(Q23*'⛽ المبيعات الشهرية'!U22/100,"")</f>
        <v>0</v>
      </c>
      <c r="Y23" s="61">
        <f>IFERROR(Q23*'⛽ المبيعات الشهرية'!V22/100,"")</f>
        <v>0</v>
      </c>
      <c r="Z23" s="63">
        <f>IFERROR(Q23*'⛽ المبيعات الشهرية'!W22/100,"")</f>
        <v>0</v>
      </c>
      <c r="AA23" s="61">
        <f>IFERROR(Q23*'⛽ المبيعات الشهرية'!X22/100,"")</f>
        <v>0</v>
      </c>
      <c r="AB23" s="63">
        <f>IFERROR(Q23*'⛽ المبيعات الشهرية'!Y22/100,"")</f>
        <v>0</v>
      </c>
      <c r="AC23" s="61">
        <f>IFERROR(Q23*'⛽ المبيعات الشهرية'!Z22/100,"")</f>
        <v>0</v>
      </c>
      <c r="AD23" s="42">
        <f t="shared" si="1"/>
        <v>0</v>
      </c>
      <c r="AE23" s="64">
        <f>'📋 بيانات المحطات'!J22</f>
        <v>0</v>
      </c>
      <c r="AF23" s="65">
        <f>IFERROR(AE23*'⛽ المبيعات الشهرية'!AA22/100,"")</f>
        <v>0</v>
      </c>
      <c r="AG23" s="61">
        <f>IFERROR(AE23*'⛽ المبيعات الشهرية'!AB22/100,"")</f>
        <v>0</v>
      </c>
      <c r="AH23" s="65">
        <f>IFERROR(AE23*'⛽ المبيعات الشهرية'!AC22/100,"")</f>
        <v>0</v>
      </c>
      <c r="AI23" s="61">
        <f>IFERROR(AE23*'⛽ المبيعات الشهرية'!AD22/100,"")</f>
        <v>0</v>
      </c>
      <c r="AJ23" s="65">
        <f>IFERROR(AE23*'⛽ المبيعات الشهرية'!AE22/100,"")</f>
        <v>0</v>
      </c>
      <c r="AK23" s="61">
        <f>IFERROR(AE23*'⛽ المبيعات الشهرية'!AF22/100,"")</f>
        <v>0</v>
      </c>
      <c r="AL23" s="65">
        <f>IFERROR(AE23*'⛽ المبيعات الشهرية'!AG22/100,"")</f>
        <v>0</v>
      </c>
      <c r="AM23" s="61">
        <f>IFERROR(AE23*'⛽ المبيعات الشهرية'!AH22/100,"")</f>
        <v>0</v>
      </c>
      <c r="AN23" s="65">
        <f>IFERROR(AE23*'⛽ المبيعات الشهرية'!AI22/100,"")</f>
        <v>0</v>
      </c>
      <c r="AO23" s="61">
        <f>IFERROR(AE23*'⛽ المبيعات الشهرية'!AJ22/100,"")</f>
        <v>0</v>
      </c>
      <c r="AP23" s="65">
        <f>IFERROR(AE23*'⛽ المبيعات الشهرية'!AK22/100,"")</f>
        <v>0</v>
      </c>
      <c r="AQ23" s="61">
        <f>IFERROR(AE23*'⛽ المبيعات الشهرية'!AL22/100,"")</f>
        <v>0</v>
      </c>
      <c r="AR23" s="42">
        <f t="shared" si="2"/>
        <v>0</v>
      </c>
      <c r="AS23" s="66">
        <f>'📋 بيانات المحطات'!K22</f>
        <v>0</v>
      </c>
      <c r="AT23" s="67">
        <f>IFERROR(AS23*'⛽ المبيعات الشهرية'!AM22/100,"")</f>
        <v>0</v>
      </c>
      <c r="AU23" s="61">
        <f>IFERROR(AS23*'⛽ المبيعات الشهرية'!AN22/100,"")</f>
        <v>0</v>
      </c>
      <c r="AV23" s="67">
        <f>IFERROR(AS23*'⛽ المبيعات الشهرية'!AO22/100,"")</f>
        <v>0</v>
      </c>
      <c r="AW23" s="61">
        <f>IFERROR(AS23*'⛽ المبيعات الشهرية'!AP22/100,"")</f>
        <v>0</v>
      </c>
      <c r="AX23" s="67">
        <f>IFERROR(AS23*'⛽ المبيعات الشهرية'!AQ22/100,"")</f>
        <v>0</v>
      </c>
      <c r="AY23" s="61">
        <f>IFERROR(AS23*'⛽ المبيعات الشهرية'!AR22/100,"")</f>
        <v>0</v>
      </c>
      <c r="AZ23" s="67">
        <f>IFERROR(AS23*'⛽ المبيعات الشهرية'!AS22/100,"")</f>
        <v>0</v>
      </c>
      <c r="BA23" s="61">
        <f>IFERROR(AS23*'⛽ المبيعات الشهرية'!AT22/100,"")</f>
        <v>0</v>
      </c>
      <c r="BB23" s="67">
        <f>IFERROR(AS23*'⛽ المبيعات الشهرية'!AU22/100,"")</f>
        <v>0</v>
      </c>
      <c r="BC23" s="61">
        <f>IFERROR(AS23*'⛽ المبيعات الشهرية'!AV22/100,"")</f>
        <v>0</v>
      </c>
      <c r="BD23" s="67">
        <f>IFERROR(AS23*'⛽ المبيعات الشهرية'!AW22/100,"")</f>
        <v>0</v>
      </c>
      <c r="BE23" s="61">
        <f>IFERROR(AS23*'⛽ المبيعات الشهرية'!AX22/100,"")</f>
        <v>0</v>
      </c>
      <c r="BF23" s="42">
        <f t="shared" si="3"/>
        <v>0</v>
      </c>
      <c r="BG23" s="68">
        <f t="shared" si="4"/>
        <v>0</v>
      </c>
    </row>
    <row r="24" spans="1:59" ht="21.75" customHeight="1" x14ac:dyDescent="0.35">
      <c r="A24" s="69" t="s">
        <v>80</v>
      </c>
      <c r="B24" s="36" t="str">
        <f>'📋 بيانات المحطات'!B23</f>
        <v>الخرج الحمراء</v>
      </c>
      <c r="C24" s="59">
        <f>'📋 بيانات المحطات'!H23</f>
        <v>0</v>
      </c>
      <c r="D24" s="60">
        <f>IFERROR(C24*'⛽ المبيعات الشهرية'!C23/100,"")</f>
        <v>0</v>
      </c>
      <c r="E24" s="61">
        <f>IFERROR(C24*'⛽ المبيعات الشهرية'!D23/100,"")</f>
        <v>0</v>
      </c>
      <c r="F24" s="60">
        <f>IFERROR(C24*'⛽ المبيعات الشهرية'!E23/100,"")</f>
        <v>0</v>
      </c>
      <c r="G24" s="61">
        <f>IFERROR(C24*'⛽ المبيعات الشهرية'!F23/100,"")</f>
        <v>0</v>
      </c>
      <c r="H24" s="60">
        <f>IFERROR(C24*'⛽ المبيعات الشهرية'!G23/100,"")</f>
        <v>0</v>
      </c>
      <c r="I24" s="61">
        <f>IFERROR(C24*'⛽ المبيعات الشهرية'!H23/100,"")</f>
        <v>0</v>
      </c>
      <c r="J24" s="60">
        <f>IFERROR(C24*'⛽ المبيعات الشهرية'!I23/100,"")</f>
        <v>0</v>
      </c>
      <c r="K24" s="61">
        <f>IFERROR(C24*'⛽ المبيعات الشهرية'!J23/100,"")</f>
        <v>0</v>
      </c>
      <c r="L24" s="60">
        <f>IFERROR(C24*'⛽ المبيعات الشهرية'!K23/100,"")</f>
        <v>0</v>
      </c>
      <c r="M24" s="61">
        <f>IFERROR(C24*'⛽ المبيعات الشهرية'!L23/100,"")</f>
        <v>0</v>
      </c>
      <c r="N24" s="60">
        <f>IFERROR(C24*'⛽ المبيعات الشهرية'!M23/100,"")</f>
        <v>0</v>
      </c>
      <c r="O24" s="61">
        <f>IFERROR(C24*'⛽ المبيعات الشهرية'!N23/100,"")</f>
        <v>0</v>
      </c>
      <c r="P24" s="42">
        <f t="shared" si="0"/>
        <v>0</v>
      </c>
      <c r="Q24" s="62">
        <f>'📋 بيانات المحطات'!I23</f>
        <v>0</v>
      </c>
      <c r="R24" s="63">
        <f>IFERROR(Q24*'⛽ المبيعات الشهرية'!O23/100,"")</f>
        <v>0</v>
      </c>
      <c r="S24" s="61">
        <f>IFERROR(Q24*'⛽ المبيعات الشهرية'!P23/100,"")</f>
        <v>0</v>
      </c>
      <c r="T24" s="63">
        <f>IFERROR(Q24*'⛽ المبيعات الشهرية'!Q23/100,"")</f>
        <v>0</v>
      </c>
      <c r="U24" s="61">
        <f>IFERROR(Q24*'⛽ المبيعات الشهرية'!R23/100,"")</f>
        <v>0</v>
      </c>
      <c r="V24" s="63">
        <f>IFERROR(Q24*'⛽ المبيعات الشهرية'!S23/100,"")</f>
        <v>0</v>
      </c>
      <c r="W24" s="61">
        <f>IFERROR(Q24*'⛽ المبيعات الشهرية'!T23/100,"")</f>
        <v>0</v>
      </c>
      <c r="X24" s="63">
        <f>IFERROR(Q24*'⛽ المبيعات الشهرية'!U23/100,"")</f>
        <v>0</v>
      </c>
      <c r="Y24" s="61">
        <f>IFERROR(Q24*'⛽ المبيعات الشهرية'!V23/100,"")</f>
        <v>0</v>
      </c>
      <c r="Z24" s="63">
        <f>IFERROR(Q24*'⛽ المبيعات الشهرية'!W23/100,"")</f>
        <v>0</v>
      </c>
      <c r="AA24" s="61">
        <f>IFERROR(Q24*'⛽ المبيعات الشهرية'!X23/100,"")</f>
        <v>0</v>
      </c>
      <c r="AB24" s="63">
        <f>IFERROR(Q24*'⛽ المبيعات الشهرية'!Y23/100,"")</f>
        <v>0</v>
      </c>
      <c r="AC24" s="61">
        <f>IFERROR(Q24*'⛽ المبيعات الشهرية'!Z23/100,"")</f>
        <v>0</v>
      </c>
      <c r="AD24" s="42">
        <f t="shared" si="1"/>
        <v>0</v>
      </c>
      <c r="AE24" s="64">
        <f>'📋 بيانات المحطات'!J23</f>
        <v>0</v>
      </c>
      <c r="AF24" s="65">
        <f>IFERROR(AE24*'⛽ المبيعات الشهرية'!AA23/100,"")</f>
        <v>0</v>
      </c>
      <c r="AG24" s="61">
        <f>IFERROR(AE24*'⛽ المبيعات الشهرية'!AB23/100,"")</f>
        <v>0</v>
      </c>
      <c r="AH24" s="65">
        <f>IFERROR(AE24*'⛽ المبيعات الشهرية'!AC23/100,"")</f>
        <v>0</v>
      </c>
      <c r="AI24" s="61">
        <f>IFERROR(AE24*'⛽ المبيعات الشهرية'!AD23/100,"")</f>
        <v>0</v>
      </c>
      <c r="AJ24" s="65">
        <f>IFERROR(AE24*'⛽ المبيعات الشهرية'!AE23/100,"")</f>
        <v>0</v>
      </c>
      <c r="AK24" s="61">
        <f>IFERROR(AE24*'⛽ المبيعات الشهرية'!AF23/100,"")</f>
        <v>0</v>
      </c>
      <c r="AL24" s="65">
        <f>IFERROR(AE24*'⛽ المبيعات الشهرية'!AG23/100,"")</f>
        <v>0</v>
      </c>
      <c r="AM24" s="61">
        <f>IFERROR(AE24*'⛽ المبيعات الشهرية'!AH23/100,"")</f>
        <v>0</v>
      </c>
      <c r="AN24" s="65">
        <f>IFERROR(AE24*'⛽ المبيعات الشهرية'!AI23/100,"")</f>
        <v>0</v>
      </c>
      <c r="AO24" s="61">
        <f>IFERROR(AE24*'⛽ المبيعات الشهرية'!AJ23/100,"")</f>
        <v>0</v>
      </c>
      <c r="AP24" s="65">
        <f>IFERROR(AE24*'⛽ المبيعات الشهرية'!AK23/100,"")</f>
        <v>0</v>
      </c>
      <c r="AQ24" s="61">
        <f>IFERROR(AE24*'⛽ المبيعات الشهرية'!AL23/100,"")</f>
        <v>0</v>
      </c>
      <c r="AR24" s="42">
        <f t="shared" si="2"/>
        <v>0</v>
      </c>
      <c r="AS24" s="66">
        <f>'📋 بيانات المحطات'!K23</f>
        <v>0</v>
      </c>
      <c r="AT24" s="67">
        <f>IFERROR(AS24*'⛽ المبيعات الشهرية'!AM23/100,"")</f>
        <v>0</v>
      </c>
      <c r="AU24" s="61">
        <f>IFERROR(AS24*'⛽ المبيعات الشهرية'!AN23/100,"")</f>
        <v>0</v>
      </c>
      <c r="AV24" s="67">
        <f>IFERROR(AS24*'⛽ المبيعات الشهرية'!AO23/100,"")</f>
        <v>0</v>
      </c>
      <c r="AW24" s="61">
        <f>IFERROR(AS24*'⛽ المبيعات الشهرية'!AP23/100,"")</f>
        <v>0</v>
      </c>
      <c r="AX24" s="67">
        <f>IFERROR(AS24*'⛽ المبيعات الشهرية'!AQ23/100,"")</f>
        <v>0</v>
      </c>
      <c r="AY24" s="61">
        <f>IFERROR(AS24*'⛽ المبيعات الشهرية'!AR23/100,"")</f>
        <v>0</v>
      </c>
      <c r="AZ24" s="67">
        <f>IFERROR(AS24*'⛽ المبيعات الشهرية'!AS23/100,"")</f>
        <v>0</v>
      </c>
      <c r="BA24" s="61">
        <f>IFERROR(AS24*'⛽ المبيعات الشهرية'!AT23/100,"")</f>
        <v>0</v>
      </c>
      <c r="BB24" s="67">
        <f>IFERROR(AS24*'⛽ المبيعات الشهرية'!AU23/100,"")</f>
        <v>0</v>
      </c>
      <c r="BC24" s="61">
        <f>IFERROR(AS24*'⛽ المبيعات الشهرية'!AV23/100,"")</f>
        <v>0</v>
      </c>
      <c r="BD24" s="67">
        <f>IFERROR(AS24*'⛽ المبيعات الشهرية'!AW23/100,"")</f>
        <v>0</v>
      </c>
      <c r="BE24" s="61">
        <f>IFERROR(AS24*'⛽ المبيعات الشهرية'!AX23/100,"")</f>
        <v>0</v>
      </c>
      <c r="BF24" s="42">
        <f t="shared" si="3"/>
        <v>0</v>
      </c>
      <c r="BG24" s="68">
        <f t="shared" si="4"/>
        <v>0</v>
      </c>
    </row>
    <row r="25" spans="1:59" ht="21.75" customHeight="1" x14ac:dyDescent="0.35">
      <c r="A25" s="58" t="s">
        <v>84</v>
      </c>
      <c r="B25" s="36" t="str">
        <f>'📋 بيانات المحطات'!B24</f>
        <v>احلى مساء</v>
      </c>
      <c r="C25" s="59">
        <f>'📋 بيانات المحطات'!H24</f>
        <v>0</v>
      </c>
      <c r="D25" s="60">
        <f>IFERROR(C25*'⛽ المبيعات الشهرية'!C24/100,"")</f>
        <v>0</v>
      </c>
      <c r="E25" s="61">
        <f>IFERROR(C25*'⛽ المبيعات الشهرية'!D24/100,"")</f>
        <v>0</v>
      </c>
      <c r="F25" s="60">
        <f>IFERROR(C25*'⛽ المبيعات الشهرية'!E24/100,"")</f>
        <v>0</v>
      </c>
      <c r="G25" s="61">
        <f>IFERROR(C25*'⛽ المبيعات الشهرية'!F24/100,"")</f>
        <v>0</v>
      </c>
      <c r="H25" s="60">
        <f>IFERROR(C25*'⛽ المبيعات الشهرية'!G24/100,"")</f>
        <v>0</v>
      </c>
      <c r="I25" s="61">
        <f>IFERROR(C25*'⛽ المبيعات الشهرية'!H24/100,"")</f>
        <v>0</v>
      </c>
      <c r="J25" s="60">
        <f>IFERROR(C25*'⛽ المبيعات الشهرية'!I24/100,"")</f>
        <v>0</v>
      </c>
      <c r="K25" s="61">
        <f>IFERROR(C25*'⛽ المبيعات الشهرية'!J24/100,"")</f>
        <v>0</v>
      </c>
      <c r="L25" s="60">
        <f>IFERROR(C25*'⛽ المبيعات الشهرية'!K24/100,"")</f>
        <v>0</v>
      </c>
      <c r="M25" s="61">
        <f>IFERROR(C25*'⛽ المبيعات الشهرية'!L24/100,"")</f>
        <v>0</v>
      </c>
      <c r="N25" s="60">
        <f>IFERROR(C25*'⛽ المبيعات الشهرية'!M24/100,"")</f>
        <v>0</v>
      </c>
      <c r="O25" s="61">
        <f>IFERROR(C25*'⛽ المبيعات الشهرية'!N24/100,"")</f>
        <v>0</v>
      </c>
      <c r="P25" s="42">
        <f t="shared" si="0"/>
        <v>0</v>
      </c>
      <c r="Q25" s="62">
        <f>'📋 بيانات المحطات'!I24</f>
        <v>0</v>
      </c>
      <c r="R25" s="63">
        <f>IFERROR(Q25*'⛽ المبيعات الشهرية'!O24/100,"")</f>
        <v>0</v>
      </c>
      <c r="S25" s="61">
        <f>IFERROR(Q25*'⛽ المبيعات الشهرية'!P24/100,"")</f>
        <v>0</v>
      </c>
      <c r="T25" s="63">
        <f>IFERROR(Q25*'⛽ المبيعات الشهرية'!Q24/100,"")</f>
        <v>0</v>
      </c>
      <c r="U25" s="61">
        <f>IFERROR(Q25*'⛽ المبيعات الشهرية'!R24/100,"")</f>
        <v>0</v>
      </c>
      <c r="V25" s="63">
        <f>IFERROR(Q25*'⛽ المبيعات الشهرية'!S24/100,"")</f>
        <v>0</v>
      </c>
      <c r="W25" s="61">
        <f>IFERROR(Q25*'⛽ المبيعات الشهرية'!T24/100,"")</f>
        <v>0</v>
      </c>
      <c r="X25" s="63">
        <f>IFERROR(Q25*'⛽ المبيعات الشهرية'!U24/100,"")</f>
        <v>0</v>
      </c>
      <c r="Y25" s="61">
        <f>IFERROR(Q25*'⛽ المبيعات الشهرية'!V24/100,"")</f>
        <v>0</v>
      </c>
      <c r="Z25" s="63">
        <f>IFERROR(Q25*'⛽ المبيعات الشهرية'!W24/100,"")</f>
        <v>0</v>
      </c>
      <c r="AA25" s="61">
        <f>IFERROR(Q25*'⛽ المبيعات الشهرية'!X24/100,"")</f>
        <v>0</v>
      </c>
      <c r="AB25" s="63">
        <f>IFERROR(Q25*'⛽ المبيعات الشهرية'!Y24/100,"")</f>
        <v>0</v>
      </c>
      <c r="AC25" s="61">
        <f>IFERROR(Q25*'⛽ المبيعات الشهرية'!Z24/100,"")</f>
        <v>0</v>
      </c>
      <c r="AD25" s="42">
        <f t="shared" si="1"/>
        <v>0</v>
      </c>
      <c r="AE25" s="64">
        <f>'📋 بيانات المحطات'!J24</f>
        <v>0</v>
      </c>
      <c r="AF25" s="65">
        <f>IFERROR(AE25*'⛽ المبيعات الشهرية'!AA24/100,"")</f>
        <v>0</v>
      </c>
      <c r="AG25" s="61">
        <f>IFERROR(AE25*'⛽ المبيعات الشهرية'!AB24/100,"")</f>
        <v>0</v>
      </c>
      <c r="AH25" s="65">
        <f>IFERROR(AE25*'⛽ المبيعات الشهرية'!AC24/100,"")</f>
        <v>0</v>
      </c>
      <c r="AI25" s="61">
        <f>IFERROR(AE25*'⛽ المبيعات الشهرية'!AD24/100,"")</f>
        <v>0</v>
      </c>
      <c r="AJ25" s="65">
        <f>IFERROR(AE25*'⛽ المبيعات الشهرية'!AE24/100,"")</f>
        <v>0</v>
      </c>
      <c r="AK25" s="61">
        <f>IFERROR(AE25*'⛽ المبيعات الشهرية'!AF24/100,"")</f>
        <v>0</v>
      </c>
      <c r="AL25" s="65">
        <f>IFERROR(AE25*'⛽ المبيعات الشهرية'!AG24/100,"")</f>
        <v>0</v>
      </c>
      <c r="AM25" s="61">
        <f>IFERROR(AE25*'⛽ المبيعات الشهرية'!AH24/100,"")</f>
        <v>0</v>
      </c>
      <c r="AN25" s="65">
        <f>IFERROR(AE25*'⛽ المبيعات الشهرية'!AI24/100,"")</f>
        <v>0</v>
      </c>
      <c r="AO25" s="61">
        <f>IFERROR(AE25*'⛽ المبيعات الشهرية'!AJ24/100,"")</f>
        <v>0</v>
      </c>
      <c r="AP25" s="65">
        <f>IFERROR(AE25*'⛽ المبيعات الشهرية'!AK24/100,"")</f>
        <v>0</v>
      </c>
      <c r="AQ25" s="61">
        <f>IFERROR(AE25*'⛽ المبيعات الشهرية'!AL24/100,"")</f>
        <v>0</v>
      </c>
      <c r="AR25" s="42">
        <f t="shared" si="2"/>
        <v>0</v>
      </c>
      <c r="AS25" s="66">
        <f>'📋 بيانات المحطات'!K24</f>
        <v>0</v>
      </c>
      <c r="AT25" s="67">
        <f>IFERROR(AS25*'⛽ المبيعات الشهرية'!AM24/100,"")</f>
        <v>0</v>
      </c>
      <c r="AU25" s="61">
        <f>IFERROR(AS25*'⛽ المبيعات الشهرية'!AN24/100,"")</f>
        <v>0</v>
      </c>
      <c r="AV25" s="67">
        <f>IFERROR(AS25*'⛽ المبيعات الشهرية'!AO24/100,"")</f>
        <v>0</v>
      </c>
      <c r="AW25" s="61">
        <f>IFERROR(AS25*'⛽ المبيعات الشهرية'!AP24/100,"")</f>
        <v>0</v>
      </c>
      <c r="AX25" s="67">
        <f>IFERROR(AS25*'⛽ المبيعات الشهرية'!AQ24/100,"")</f>
        <v>0</v>
      </c>
      <c r="AY25" s="61">
        <f>IFERROR(AS25*'⛽ المبيعات الشهرية'!AR24/100,"")</f>
        <v>0</v>
      </c>
      <c r="AZ25" s="67">
        <f>IFERROR(AS25*'⛽ المبيعات الشهرية'!AS24/100,"")</f>
        <v>0</v>
      </c>
      <c r="BA25" s="61">
        <f>IFERROR(AS25*'⛽ المبيعات الشهرية'!AT24/100,"")</f>
        <v>0</v>
      </c>
      <c r="BB25" s="67">
        <f>IFERROR(AS25*'⛽ المبيعات الشهرية'!AU24/100,"")</f>
        <v>0</v>
      </c>
      <c r="BC25" s="61">
        <f>IFERROR(AS25*'⛽ المبيعات الشهرية'!AV24/100,"")</f>
        <v>0</v>
      </c>
      <c r="BD25" s="67">
        <f>IFERROR(AS25*'⛽ المبيعات الشهرية'!AW24/100,"")</f>
        <v>0</v>
      </c>
      <c r="BE25" s="61">
        <f>IFERROR(AS25*'⛽ المبيعات الشهرية'!AX24/100,"")</f>
        <v>0</v>
      </c>
      <c r="BF25" s="42">
        <f t="shared" si="3"/>
        <v>0</v>
      </c>
      <c r="BG25" s="68">
        <f t="shared" si="4"/>
        <v>0</v>
      </c>
    </row>
    <row r="26" spans="1:59" ht="21.75" customHeight="1" x14ac:dyDescent="0.35">
      <c r="A26" s="69" t="s">
        <v>87</v>
      </c>
      <c r="B26" s="36" t="str">
        <f>'📋 بيانات المحطات'!B25</f>
        <v>الذكرى الخالدة</v>
      </c>
      <c r="C26" s="59">
        <f>'📋 بيانات المحطات'!H25</f>
        <v>0</v>
      </c>
      <c r="D26" s="60">
        <f>IFERROR(C26*'⛽ المبيعات الشهرية'!C25/100,"")</f>
        <v>0</v>
      </c>
      <c r="E26" s="61">
        <f>IFERROR(C26*'⛽ المبيعات الشهرية'!D25/100,"")</f>
        <v>0</v>
      </c>
      <c r="F26" s="60">
        <f>IFERROR(C26*'⛽ المبيعات الشهرية'!E25/100,"")</f>
        <v>0</v>
      </c>
      <c r="G26" s="61">
        <f>IFERROR(C26*'⛽ المبيعات الشهرية'!F25/100,"")</f>
        <v>0</v>
      </c>
      <c r="H26" s="60">
        <f>IFERROR(C26*'⛽ المبيعات الشهرية'!G25/100,"")</f>
        <v>0</v>
      </c>
      <c r="I26" s="61">
        <f>IFERROR(C26*'⛽ المبيعات الشهرية'!H25/100,"")</f>
        <v>0</v>
      </c>
      <c r="J26" s="60">
        <f>IFERROR(C26*'⛽ المبيعات الشهرية'!I25/100,"")</f>
        <v>0</v>
      </c>
      <c r="K26" s="61">
        <f>IFERROR(C26*'⛽ المبيعات الشهرية'!J25/100,"")</f>
        <v>0</v>
      </c>
      <c r="L26" s="60">
        <f>IFERROR(C26*'⛽ المبيعات الشهرية'!K25/100,"")</f>
        <v>0</v>
      </c>
      <c r="M26" s="61">
        <f>IFERROR(C26*'⛽ المبيعات الشهرية'!L25/100,"")</f>
        <v>0</v>
      </c>
      <c r="N26" s="60">
        <f>IFERROR(C26*'⛽ المبيعات الشهرية'!M25/100,"")</f>
        <v>0</v>
      </c>
      <c r="O26" s="61">
        <f>IFERROR(C26*'⛽ المبيعات الشهرية'!N25/100,"")</f>
        <v>0</v>
      </c>
      <c r="P26" s="42">
        <f t="shared" si="0"/>
        <v>0</v>
      </c>
      <c r="Q26" s="62">
        <f>'📋 بيانات المحطات'!I25</f>
        <v>0</v>
      </c>
      <c r="R26" s="63">
        <f>IFERROR(Q26*'⛽ المبيعات الشهرية'!O25/100,"")</f>
        <v>0</v>
      </c>
      <c r="S26" s="61">
        <f>IFERROR(Q26*'⛽ المبيعات الشهرية'!P25/100,"")</f>
        <v>0</v>
      </c>
      <c r="T26" s="63">
        <f>IFERROR(Q26*'⛽ المبيعات الشهرية'!Q25/100,"")</f>
        <v>0</v>
      </c>
      <c r="U26" s="61">
        <f>IFERROR(Q26*'⛽ المبيعات الشهرية'!R25/100,"")</f>
        <v>0</v>
      </c>
      <c r="V26" s="63">
        <f>IFERROR(Q26*'⛽ المبيعات الشهرية'!S25/100,"")</f>
        <v>0</v>
      </c>
      <c r="W26" s="61">
        <f>IFERROR(Q26*'⛽ المبيعات الشهرية'!T25/100,"")</f>
        <v>0</v>
      </c>
      <c r="X26" s="63">
        <f>IFERROR(Q26*'⛽ المبيعات الشهرية'!U25/100,"")</f>
        <v>0</v>
      </c>
      <c r="Y26" s="61">
        <f>IFERROR(Q26*'⛽ المبيعات الشهرية'!V25/100,"")</f>
        <v>0</v>
      </c>
      <c r="Z26" s="63">
        <f>IFERROR(Q26*'⛽ المبيعات الشهرية'!W25/100,"")</f>
        <v>0</v>
      </c>
      <c r="AA26" s="61">
        <f>IFERROR(Q26*'⛽ المبيعات الشهرية'!X25/100,"")</f>
        <v>0</v>
      </c>
      <c r="AB26" s="63">
        <f>IFERROR(Q26*'⛽ المبيعات الشهرية'!Y25/100,"")</f>
        <v>0</v>
      </c>
      <c r="AC26" s="61">
        <f>IFERROR(Q26*'⛽ المبيعات الشهرية'!Z25/100,"")</f>
        <v>0</v>
      </c>
      <c r="AD26" s="42">
        <f t="shared" si="1"/>
        <v>0</v>
      </c>
      <c r="AE26" s="64">
        <f>'📋 بيانات المحطات'!J25</f>
        <v>0</v>
      </c>
      <c r="AF26" s="65">
        <f>IFERROR(AE26*'⛽ المبيعات الشهرية'!AA25/100,"")</f>
        <v>0</v>
      </c>
      <c r="AG26" s="61">
        <f>IFERROR(AE26*'⛽ المبيعات الشهرية'!AB25/100,"")</f>
        <v>0</v>
      </c>
      <c r="AH26" s="65">
        <f>IFERROR(AE26*'⛽ المبيعات الشهرية'!AC25/100,"")</f>
        <v>0</v>
      </c>
      <c r="AI26" s="61">
        <f>IFERROR(AE26*'⛽ المبيعات الشهرية'!AD25/100,"")</f>
        <v>0</v>
      </c>
      <c r="AJ26" s="65">
        <f>IFERROR(AE26*'⛽ المبيعات الشهرية'!AE25/100,"")</f>
        <v>0</v>
      </c>
      <c r="AK26" s="61">
        <f>IFERROR(AE26*'⛽ المبيعات الشهرية'!AF25/100,"")</f>
        <v>0</v>
      </c>
      <c r="AL26" s="65">
        <f>IFERROR(AE26*'⛽ المبيعات الشهرية'!AG25/100,"")</f>
        <v>0</v>
      </c>
      <c r="AM26" s="61">
        <f>IFERROR(AE26*'⛽ المبيعات الشهرية'!AH25/100,"")</f>
        <v>0</v>
      </c>
      <c r="AN26" s="65">
        <f>IFERROR(AE26*'⛽ المبيعات الشهرية'!AI25/100,"")</f>
        <v>0</v>
      </c>
      <c r="AO26" s="61">
        <f>IFERROR(AE26*'⛽ المبيعات الشهرية'!AJ25/100,"")</f>
        <v>0</v>
      </c>
      <c r="AP26" s="65">
        <f>IFERROR(AE26*'⛽ المبيعات الشهرية'!AK25/100,"")</f>
        <v>0</v>
      </c>
      <c r="AQ26" s="61">
        <f>IFERROR(AE26*'⛽ المبيعات الشهرية'!AL25/100,"")</f>
        <v>0</v>
      </c>
      <c r="AR26" s="42">
        <f t="shared" si="2"/>
        <v>0</v>
      </c>
      <c r="AS26" s="66">
        <f>'📋 بيانات المحطات'!K25</f>
        <v>0</v>
      </c>
      <c r="AT26" s="67">
        <f>IFERROR(AS26*'⛽ المبيعات الشهرية'!AM25/100,"")</f>
        <v>0</v>
      </c>
      <c r="AU26" s="61">
        <f>IFERROR(AS26*'⛽ المبيعات الشهرية'!AN25/100,"")</f>
        <v>0</v>
      </c>
      <c r="AV26" s="67">
        <f>IFERROR(AS26*'⛽ المبيعات الشهرية'!AO25/100,"")</f>
        <v>0</v>
      </c>
      <c r="AW26" s="61">
        <f>IFERROR(AS26*'⛽ المبيعات الشهرية'!AP25/100,"")</f>
        <v>0</v>
      </c>
      <c r="AX26" s="67">
        <f>IFERROR(AS26*'⛽ المبيعات الشهرية'!AQ25/100,"")</f>
        <v>0</v>
      </c>
      <c r="AY26" s="61">
        <f>IFERROR(AS26*'⛽ المبيعات الشهرية'!AR25/100,"")</f>
        <v>0</v>
      </c>
      <c r="AZ26" s="67">
        <f>IFERROR(AS26*'⛽ المبيعات الشهرية'!AS25/100,"")</f>
        <v>0</v>
      </c>
      <c r="BA26" s="61">
        <f>IFERROR(AS26*'⛽ المبيعات الشهرية'!AT25/100,"")</f>
        <v>0</v>
      </c>
      <c r="BB26" s="67">
        <f>IFERROR(AS26*'⛽ المبيعات الشهرية'!AU25/100,"")</f>
        <v>0</v>
      </c>
      <c r="BC26" s="61">
        <f>IFERROR(AS26*'⛽ المبيعات الشهرية'!AV25/100,"")</f>
        <v>0</v>
      </c>
      <c r="BD26" s="67">
        <f>IFERROR(AS26*'⛽ المبيعات الشهرية'!AW25/100,"")</f>
        <v>0</v>
      </c>
      <c r="BE26" s="61">
        <f>IFERROR(AS26*'⛽ المبيعات الشهرية'!AX25/100,"")</f>
        <v>0</v>
      </c>
      <c r="BF26" s="42">
        <f t="shared" si="3"/>
        <v>0</v>
      </c>
      <c r="BG26" s="68">
        <f t="shared" si="4"/>
        <v>0</v>
      </c>
    </row>
    <row r="27" spans="1:59" ht="21.75" customHeight="1" x14ac:dyDescent="0.35">
      <c r="A27" s="58" t="s">
        <v>90</v>
      </c>
      <c r="B27" s="36" t="str">
        <f>'📋 بيانات المحطات'!B26</f>
        <v>بطحاء قريش 2</v>
      </c>
      <c r="C27" s="59">
        <f>'📋 بيانات المحطات'!H26</f>
        <v>0</v>
      </c>
      <c r="D27" s="60">
        <f>IFERROR(C27*'⛽ المبيعات الشهرية'!C26/100,"")</f>
        <v>0</v>
      </c>
      <c r="E27" s="61">
        <f>IFERROR(C27*'⛽ المبيعات الشهرية'!D26/100,"")</f>
        <v>0</v>
      </c>
      <c r="F27" s="60">
        <f>IFERROR(C27*'⛽ المبيعات الشهرية'!E26/100,"")</f>
        <v>0</v>
      </c>
      <c r="G27" s="61">
        <f>IFERROR(C27*'⛽ المبيعات الشهرية'!F26/100,"")</f>
        <v>0</v>
      </c>
      <c r="H27" s="60">
        <f>IFERROR(C27*'⛽ المبيعات الشهرية'!G26/100,"")</f>
        <v>0</v>
      </c>
      <c r="I27" s="61">
        <f>IFERROR(C27*'⛽ المبيعات الشهرية'!H26/100,"")</f>
        <v>0</v>
      </c>
      <c r="J27" s="60">
        <f>IFERROR(C27*'⛽ المبيعات الشهرية'!I26/100,"")</f>
        <v>0</v>
      </c>
      <c r="K27" s="61">
        <f>IFERROR(C27*'⛽ المبيعات الشهرية'!J26/100,"")</f>
        <v>0</v>
      </c>
      <c r="L27" s="60">
        <f>IFERROR(C27*'⛽ المبيعات الشهرية'!K26/100,"")</f>
        <v>0</v>
      </c>
      <c r="M27" s="61">
        <f>IFERROR(C27*'⛽ المبيعات الشهرية'!L26/100,"")</f>
        <v>0</v>
      </c>
      <c r="N27" s="60">
        <f>IFERROR(C27*'⛽ المبيعات الشهرية'!M26/100,"")</f>
        <v>0</v>
      </c>
      <c r="O27" s="61">
        <f>IFERROR(C27*'⛽ المبيعات الشهرية'!N26/100,"")</f>
        <v>0</v>
      </c>
      <c r="P27" s="42">
        <f t="shared" si="0"/>
        <v>0</v>
      </c>
      <c r="Q27" s="62">
        <f>'📋 بيانات المحطات'!I26</f>
        <v>0</v>
      </c>
      <c r="R27" s="63">
        <f>IFERROR(Q27*'⛽ المبيعات الشهرية'!O26/100,"")</f>
        <v>0</v>
      </c>
      <c r="S27" s="61">
        <f>IFERROR(Q27*'⛽ المبيعات الشهرية'!P26/100,"")</f>
        <v>0</v>
      </c>
      <c r="T27" s="63">
        <f>IFERROR(Q27*'⛽ المبيعات الشهرية'!Q26/100,"")</f>
        <v>0</v>
      </c>
      <c r="U27" s="61">
        <f>IFERROR(Q27*'⛽ المبيعات الشهرية'!R26/100,"")</f>
        <v>0</v>
      </c>
      <c r="V27" s="63">
        <f>IFERROR(Q27*'⛽ المبيعات الشهرية'!S26/100,"")</f>
        <v>0</v>
      </c>
      <c r="W27" s="61">
        <f>IFERROR(Q27*'⛽ المبيعات الشهرية'!T26/100,"")</f>
        <v>0</v>
      </c>
      <c r="X27" s="63">
        <f>IFERROR(Q27*'⛽ المبيعات الشهرية'!U26/100,"")</f>
        <v>0</v>
      </c>
      <c r="Y27" s="61">
        <f>IFERROR(Q27*'⛽ المبيعات الشهرية'!V26/100,"")</f>
        <v>0</v>
      </c>
      <c r="Z27" s="63">
        <f>IFERROR(Q27*'⛽ المبيعات الشهرية'!W26/100,"")</f>
        <v>0</v>
      </c>
      <c r="AA27" s="61">
        <f>IFERROR(Q27*'⛽ المبيعات الشهرية'!X26/100,"")</f>
        <v>0</v>
      </c>
      <c r="AB27" s="63">
        <f>IFERROR(Q27*'⛽ المبيعات الشهرية'!Y26/100,"")</f>
        <v>0</v>
      </c>
      <c r="AC27" s="61">
        <f>IFERROR(Q27*'⛽ المبيعات الشهرية'!Z26/100,"")</f>
        <v>0</v>
      </c>
      <c r="AD27" s="42">
        <f t="shared" si="1"/>
        <v>0</v>
      </c>
      <c r="AE27" s="64">
        <f>'📋 بيانات المحطات'!J26</f>
        <v>0</v>
      </c>
      <c r="AF27" s="65">
        <f>IFERROR(AE27*'⛽ المبيعات الشهرية'!AA26/100,"")</f>
        <v>0</v>
      </c>
      <c r="AG27" s="61">
        <f>IFERROR(AE27*'⛽ المبيعات الشهرية'!AB26/100,"")</f>
        <v>0</v>
      </c>
      <c r="AH27" s="65">
        <f>IFERROR(AE27*'⛽ المبيعات الشهرية'!AC26/100,"")</f>
        <v>0</v>
      </c>
      <c r="AI27" s="61">
        <f>IFERROR(AE27*'⛽ المبيعات الشهرية'!AD26/100,"")</f>
        <v>0</v>
      </c>
      <c r="AJ27" s="65">
        <f>IFERROR(AE27*'⛽ المبيعات الشهرية'!AE26/100,"")</f>
        <v>0</v>
      </c>
      <c r="AK27" s="61">
        <f>IFERROR(AE27*'⛽ المبيعات الشهرية'!AF26/100,"")</f>
        <v>0</v>
      </c>
      <c r="AL27" s="65">
        <f>IFERROR(AE27*'⛽ المبيعات الشهرية'!AG26/100,"")</f>
        <v>0</v>
      </c>
      <c r="AM27" s="61">
        <f>IFERROR(AE27*'⛽ المبيعات الشهرية'!AH26/100,"")</f>
        <v>0</v>
      </c>
      <c r="AN27" s="65">
        <f>IFERROR(AE27*'⛽ المبيعات الشهرية'!AI26/100,"")</f>
        <v>0</v>
      </c>
      <c r="AO27" s="61">
        <f>IFERROR(AE27*'⛽ المبيعات الشهرية'!AJ26/100,"")</f>
        <v>0</v>
      </c>
      <c r="AP27" s="65">
        <f>IFERROR(AE27*'⛽ المبيعات الشهرية'!AK26/100,"")</f>
        <v>0</v>
      </c>
      <c r="AQ27" s="61">
        <f>IFERROR(AE27*'⛽ المبيعات الشهرية'!AL26/100,"")</f>
        <v>0</v>
      </c>
      <c r="AR27" s="42">
        <f t="shared" si="2"/>
        <v>0</v>
      </c>
      <c r="AS27" s="66">
        <f>'📋 بيانات المحطات'!K26</f>
        <v>0</v>
      </c>
      <c r="AT27" s="67">
        <f>IFERROR(AS27*'⛽ المبيعات الشهرية'!AM26/100,"")</f>
        <v>0</v>
      </c>
      <c r="AU27" s="61">
        <f>IFERROR(AS27*'⛽ المبيعات الشهرية'!AN26/100,"")</f>
        <v>0</v>
      </c>
      <c r="AV27" s="67">
        <f>IFERROR(AS27*'⛽ المبيعات الشهرية'!AO26/100,"")</f>
        <v>0</v>
      </c>
      <c r="AW27" s="61">
        <f>IFERROR(AS27*'⛽ المبيعات الشهرية'!AP26/100,"")</f>
        <v>0</v>
      </c>
      <c r="AX27" s="67">
        <f>IFERROR(AS27*'⛽ المبيعات الشهرية'!AQ26/100,"")</f>
        <v>0</v>
      </c>
      <c r="AY27" s="61">
        <f>IFERROR(AS27*'⛽ المبيعات الشهرية'!AR26/100,"")</f>
        <v>0</v>
      </c>
      <c r="AZ27" s="67">
        <f>IFERROR(AS27*'⛽ المبيعات الشهرية'!AS26/100,"")</f>
        <v>0</v>
      </c>
      <c r="BA27" s="61">
        <f>IFERROR(AS27*'⛽ المبيعات الشهرية'!AT26/100,"")</f>
        <v>0</v>
      </c>
      <c r="BB27" s="67">
        <f>IFERROR(AS27*'⛽ المبيعات الشهرية'!AU26/100,"")</f>
        <v>0</v>
      </c>
      <c r="BC27" s="61">
        <f>IFERROR(AS27*'⛽ المبيعات الشهرية'!AV26/100,"")</f>
        <v>0</v>
      </c>
      <c r="BD27" s="67">
        <f>IFERROR(AS27*'⛽ المبيعات الشهرية'!AW26/100,"")</f>
        <v>0</v>
      </c>
      <c r="BE27" s="61">
        <f>IFERROR(AS27*'⛽ المبيعات الشهرية'!AX26/100,"")</f>
        <v>0</v>
      </c>
      <c r="BF27" s="42">
        <f t="shared" si="3"/>
        <v>0</v>
      </c>
      <c r="BG27" s="68">
        <f t="shared" si="4"/>
        <v>0</v>
      </c>
    </row>
    <row r="28" spans="1:59" ht="21.75" customHeight="1" x14ac:dyDescent="0.35">
      <c r="A28" s="69" t="s">
        <v>93</v>
      </c>
      <c r="B28" s="36" t="str">
        <f>'📋 بيانات المحطات'!B27</f>
        <v>أبو وافي</v>
      </c>
      <c r="C28" s="59">
        <f>'📋 بيانات المحطات'!H27</f>
        <v>0</v>
      </c>
      <c r="D28" s="60">
        <f>IFERROR(C28*'⛽ المبيعات الشهرية'!C27/100,"")</f>
        <v>0</v>
      </c>
      <c r="E28" s="61">
        <f>IFERROR(C28*'⛽ المبيعات الشهرية'!D27/100,"")</f>
        <v>0</v>
      </c>
      <c r="F28" s="60">
        <f>IFERROR(C28*'⛽ المبيعات الشهرية'!E27/100,"")</f>
        <v>0</v>
      </c>
      <c r="G28" s="61">
        <f>IFERROR(C28*'⛽ المبيعات الشهرية'!F27/100,"")</f>
        <v>0</v>
      </c>
      <c r="H28" s="60">
        <f>IFERROR(C28*'⛽ المبيعات الشهرية'!G27/100,"")</f>
        <v>0</v>
      </c>
      <c r="I28" s="61">
        <f>IFERROR(C28*'⛽ المبيعات الشهرية'!H27/100,"")</f>
        <v>0</v>
      </c>
      <c r="J28" s="60">
        <f>IFERROR(C28*'⛽ المبيعات الشهرية'!I27/100,"")</f>
        <v>0</v>
      </c>
      <c r="K28" s="61">
        <f>IFERROR(C28*'⛽ المبيعات الشهرية'!J27/100,"")</f>
        <v>0</v>
      </c>
      <c r="L28" s="60">
        <f>IFERROR(C28*'⛽ المبيعات الشهرية'!K27/100,"")</f>
        <v>0</v>
      </c>
      <c r="M28" s="61">
        <f>IFERROR(C28*'⛽ المبيعات الشهرية'!L27/100,"")</f>
        <v>0</v>
      </c>
      <c r="N28" s="60">
        <f>IFERROR(C28*'⛽ المبيعات الشهرية'!M27/100,"")</f>
        <v>0</v>
      </c>
      <c r="O28" s="61">
        <f>IFERROR(C28*'⛽ المبيعات الشهرية'!N27/100,"")</f>
        <v>0</v>
      </c>
      <c r="P28" s="42">
        <f t="shared" si="0"/>
        <v>0</v>
      </c>
      <c r="Q28" s="62">
        <f>'📋 بيانات المحطات'!I27</f>
        <v>0</v>
      </c>
      <c r="R28" s="63">
        <f>IFERROR(Q28*'⛽ المبيعات الشهرية'!O27/100,"")</f>
        <v>0</v>
      </c>
      <c r="S28" s="61">
        <f>IFERROR(Q28*'⛽ المبيعات الشهرية'!P27/100,"")</f>
        <v>0</v>
      </c>
      <c r="T28" s="63">
        <f>IFERROR(Q28*'⛽ المبيعات الشهرية'!Q27/100,"")</f>
        <v>0</v>
      </c>
      <c r="U28" s="61">
        <f>IFERROR(Q28*'⛽ المبيعات الشهرية'!R27/100,"")</f>
        <v>0</v>
      </c>
      <c r="V28" s="63">
        <f>IFERROR(Q28*'⛽ المبيعات الشهرية'!S27/100,"")</f>
        <v>0</v>
      </c>
      <c r="W28" s="61">
        <f>IFERROR(Q28*'⛽ المبيعات الشهرية'!T27/100,"")</f>
        <v>0</v>
      </c>
      <c r="X28" s="63">
        <f>IFERROR(Q28*'⛽ المبيعات الشهرية'!U27/100,"")</f>
        <v>0</v>
      </c>
      <c r="Y28" s="61">
        <f>IFERROR(Q28*'⛽ المبيعات الشهرية'!V27/100,"")</f>
        <v>0</v>
      </c>
      <c r="Z28" s="63">
        <f>IFERROR(Q28*'⛽ المبيعات الشهرية'!W27/100,"")</f>
        <v>0</v>
      </c>
      <c r="AA28" s="61">
        <f>IFERROR(Q28*'⛽ المبيعات الشهرية'!X27/100,"")</f>
        <v>0</v>
      </c>
      <c r="AB28" s="63">
        <f>IFERROR(Q28*'⛽ المبيعات الشهرية'!Y27/100,"")</f>
        <v>0</v>
      </c>
      <c r="AC28" s="61">
        <f>IFERROR(Q28*'⛽ المبيعات الشهرية'!Z27/100,"")</f>
        <v>0</v>
      </c>
      <c r="AD28" s="42">
        <f t="shared" si="1"/>
        <v>0</v>
      </c>
      <c r="AE28" s="64">
        <f>'📋 بيانات المحطات'!J27</f>
        <v>0</v>
      </c>
      <c r="AF28" s="65">
        <f>IFERROR(AE28*'⛽ المبيعات الشهرية'!AA27/100,"")</f>
        <v>0</v>
      </c>
      <c r="AG28" s="61">
        <f>IFERROR(AE28*'⛽ المبيعات الشهرية'!AB27/100,"")</f>
        <v>0</v>
      </c>
      <c r="AH28" s="65">
        <f>IFERROR(AE28*'⛽ المبيعات الشهرية'!AC27/100,"")</f>
        <v>0</v>
      </c>
      <c r="AI28" s="61">
        <f>IFERROR(AE28*'⛽ المبيعات الشهرية'!AD27/100,"")</f>
        <v>0</v>
      </c>
      <c r="AJ28" s="65">
        <f>IFERROR(AE28*'⛽ المبيعات الشهرية'!AE27/100,"")</f>
        <v>0</v>
      </c>
      <c r="AK28" s="61">
        <f>IFERROR(AE28*'⛽ المبيعات الشهرية'!AF27/100,"")</f>
        <v>0</v>
      </c>
      <c r="AL28" s="65">
        <f>IFERROR(AE28*'⛽ المبيعات الشهرية'!AG27/100,"")</f>
        <v>0</v>
      </c>
      <c r="AM28" s="61">
        <f>IFERROR(AE28*'⛽ المبيعات الشهرية'!AH27/100,"")</f>
        <v>0</v>
      </c>
      <c r="AN28" s="65">
        <f>IFERROR(AE28*'⛽ المبيعات الشهرية'!AI27/100,"")</f>
        <v>0</v>
      </c>
      <c r="AO28" s="61">
        <f>IFERROR(AE28*'⛽ المبيعات الشهرية'!AJ27/100,"")</f>
        <v>0</v>
      </c>
      <c r="AP28" s="65">
        <f>IFERROR(AE28*'⛽ المبيعات الشهرية'!AK27/100,"")</f>
        <v>0</v>
      </c>
      <c r="AQ28" s="61">
        <f>IFERROR(AE28*'⛽ المبيعات الشهرية'!AL27/100,"")</f>
        <v>0</v>
      </c>
      <c r="AR28" s="42">
        <f t="shared" si="2"/>
        <v>0</v>
      </c>
      <c r="AS28" s="66">
        <f>'📋 بيانات المحطات'!K27</f>
        <v>0</v>
      </c>
      <c r="AT28" s="67">
        <f>IFERROR(AS28*'⛽ المبيعات الشهرية'!AM27/100,"")</f>
        <v>0</v>
      </c>
      <c r="AU28" s="61">
        <f>IFERROR(AS28*'⛽ المبيعات الشهرية'!AN27/100,"")</f>
        <v>0</v>
      </c>
      <c r="AV28" s="67">
        <f>IFERROR(AS28*'⛽ المبيعات الشهرية'!AO27/100,"")</f>
        <v>0</v>
      </c>
      <c r="AW28" s="61">
        <f>IFERROR(AS28*'⛽ المبيعات الشهرية'!AP27/100,"")</f>
        <v>0</v>
      </c>
      <c r="AX28" s="67">
        <f>IFERROR(AS28*'⛽ المبيعات الشهرية'!AQ27/100,"")</f>
        <v>0</v>
      </c>
      <c r="AY28" s="61">
        <f>IFERROR(AS28*'⛽ المبيعات الشهرية'!AR27/100,"")</f>
        <v>0</v>
      </c>
      <c r="AZ28" s="67">
        <f>IFERROR(AS28*'⛽ المبيعات الشهرية'!AS27/100,"")</f>
        <v>0</v>
      </c>
      <c r="BA28" s="61">
        <f>IFERROR(AS28*'⛽ المبيعات الشهرية'!AT27/100,"")</f>
        <v>0</v>
      </c>
      <c r="BB28" s="67">
        <f>IFERROR(AS28*'⛽ المبيعات الشهرية'!AU27/100,"")</f>
        <v>0</v>
      </c>
      <c r="BC28" s="61">
        <f>IFERROR(AS28*'⛽ المبيعات الشهرية'!AV27/100,"")</f>
        <v>0</v>
      </c>
      <c r="BD28" s="67">
        <f>IFERROR(AS28*'⛽ المبيعات الشهرية'!AW27/100,"")</f>
        <v>0</v>
      </c>
      <c r="BE28" s="61">
        <f>IFERROR(AS28*'⛽ المبيعات الشهرية'!AX27/100,"")</f>
        <v>0</v>
      </c>
      <c r="BF28" s="42">
        <f t="shared" si="3"/>
        <v>0</v>
      </c>
      <c r="BG28" s="68">
        <f t="shared" si="4"/>
        <v>0</v>
      </c>
    </row>
    <row r="29" spans="1:59" ht="21.75" customHeight="1" x14ac:dyDescent="0.35">
      <c r="A29" s="58" t="s">
        <v>96</v>
      </c>
      <c r="B29" s="36" t="str">
        <f>'📋 بيانات المحطات'!B28</f>
        <v>الجمعية</v>
      </c>
      <c r="C29" s="59">
        <f>'📋 بيانات المحطات'!H28</f>
        <v>0</v>
      </c>
      <c r="D29" s="60">
        <f>IFERROR(C29*'⛽ المبيعات الشهرية'!C28/100,"")</f>
        <v>0</v>
      </c>
      <c r="E29" s="61">
        <f>IFERROR(C29*'⛽ المبيعات الشهرية'!D28/100,"")</f>
        <v>0</v>
      </c>
      <c r="F29" s="60">
        <f>IFERROR(C29*'⛽ المبيعات الشهرية'!E28/100,"")</f>
        <v>0</v>
      </c>
      <c r="G29" s="61">
        <f>IFERROR(C29*'⛽ المبيعات الشهرية'!F28/100,"")</f>
        <v>0</v>
      </c>
      <c r="H29" s="60">
        <f>IFERROR(C29*'⛽ المبيعات الشهرية'!G28/100,"")</f>
        <v>0</v>
      </c>
      <c r="I29" s="61">
        <f>IFERROR(C29*'⛽ المبيعات الشهرية'!H28/100,"")</f>
        <v>0</v>
      </c>
      <c r="J29" s="60">
        <f>IFERROR(C29*'⛽ المبيعات الشهرية'!I28/100,"")</f>
        <v>0</v>
      </c>
      <c r="K29" s="61">
        <f>IFERROR(C29*'⛽ المبيعات الشهرية'!J28/100,"")</f>
        <v>0</v>
      </c>
      <c r="L29" s="60">
        <f>IFERROR(C29*'⛽ المبيعات الشهرية'!K28/100,"")</f>
        <v>0</v>
      </c>
      <c r="M29" s="61">
        <f>IFERROR(C29*'⛽ المبيعات الشهرية'!L28/100,"")</f>
        <v>0</v>
      </c>
      <c r="N29" s="60">
        <f>IFERROR(C29*'⛽ المبيعات الشهرية'!M28/100,"")</f>
        <v>0</v>
      </c>
      <c r="O29" s="61">
        <f>IFERROR(C29*'⛽ المبيعات الشهرية'!N28/100,"")</f>
        <v>0</v>
      </c>
      <c r="P29" s="42">
        <f t="shared" si="0"/>
        <v>0</v>
      </c>
      <c r="Q29" s="62">
        <f>'📋 بيانات المحطات'!I28</f>
        <v>0</v>
      </c>
      <c r="R29" s="63">
        <f>IFERROR(Q29*'⛽ المبيعات الشهرية'!O28/100,"")</f>
        <v>0</v>
      </c>
      <c r="S29" s="61">
        <f>IFERROR(Q29*'⛽ المبيعات الشهرية'!P28/100,"")</f>
        <v>0</v>
      </c>
      <c r="T29" s="63">
        <f>IFERROR(Q29*'⛽ المبيعات الشهرية'!Q28/100,"")</f>
        <v>0</v>
      </c>
      <c r="U29" s="61">
        <f>IFERROR(Q29*'⛽ المبيعات الشهرية'!R28/100,"")</f>
        <v>0</v>
      </c>
      <c r="V29" s="63">
        <f>IFERROR(Q29*'⛽ المبيعات الشهرية'!S28/100,"")</f>
        <v>0</v>
      </c>
      <c r="W29" s="61">
        <f>IFERROR(Q29*'⛽ المبيعات الشهرية'!T28/100,"")</f>
        <v>0</v>
      </c>
      <c r="X29" s="63">
        <f>IFERROR(Q29*'⛽ المبيعات الشهرية'!U28/100,"")</f>
        <v>0</v>
      </c>
      <c r="Y29" s="61">
        <f>IFERROR(Q29*'⛽ المبيعات الشهرية'!V28/100,"")</f>
        <v>0</v>
      </c>
      <c r="Z29" s="63">
        <f>IFERROR(Q29*'⛽ المبيعات الشهرية'!W28/100,"")</f>
        <v>0</v>
      </c>
      <c r="AA29" s="61">
        <f>IFERROR(Q29*'⛽ المبيعات الشهرية'!X28/100,"")</f>
        <v>0</v>
      </c>
      <c r="AB29" s="63">
        <f>IFERROR(Q29*'⛽ المبيعات الشهرية'!Y28/100,"")</f>
        <v>0</v>
      </c>
      <c r="AC29" s="61">
        <f>IFERROR(Q29*'⛽ المبيعات الشهرية'!Z28/100,"")</f>
        <v>0</v>
      </c>
      <c r="AD29" s="42">
        <f t="shared" si="1"/>
        <v>0</v>
      </c>
      <c r="AE29" s="64">
        <f>'📋 بيانات المحطات'!J28</f>
        <v>0</v>
      </c>
      <c r="AF29" s="65">
        <f>IFERROR(AE29*'⛽ المبيعات الشهرية'!AA28/100,"")</f>
        <v>0</v>
      </c>
      <c r="AG29" s="61">
        <f>IFERROR(AE29*'⛽ المبيعات الشهرية'!AB28/100,"")</f>
        <v>0</v>
      </c>
      <c r="AH29" s="65">
        <f>IFERROR(AE29*'⛽ المبيعات الشهرية'!AC28/100,"")</f>
        <v>0</v>
      </c>
      <c r="AI29" s="61">
        <f>IFERROR(AE29*'⛽ المبيعات الشهرية'!AD28/100,"")</f>
        <v>0</v>
      </c>
      <c r="AJ29" s="65">
        <f>IFERROR(AE29*'⛽ المبيعات الشهرية'!AE28/100,"")</f>
        <v>0</v>
      </c>
      <c r="AK29" s="61">
        <f>IFERROR(AE29*'⛽ المبيعات الشهرية'!AF28/100,"")</f>
        <v>0</v>
      </c>
      <c r="AL29" s="65">
        <f>IFERROR(AE29*'⛽ المبيعات الشهرية'!AG28/100,"")</f>
        <v>0</v>
      </c>
      <c r="AM29" s="61">
        <f>IFERROR(AE29*'⛽ المبيعات الشهرية'!AH28/100,"")</f>
        <v>0</v>
      </c>
      <c r="AN29" s="65">
        <f>IFERROR(AE29*'⛽ المبيعات الشهرية'!AI28/100,"")</f>
        <v>0</v>
      </c>
      <c r="AO29" s="61">
        <f>IFERROR(AE29*'⛽ المبيعات الشهرية'!AJ28/100,"")</f>
        <v>0</v>
      </c>
      <c r="AP29" s="65">
        <f>IFERROR(AE29*'⛽ المبيعات الشهرية'!AK28/100,"")</f>
        <v>0</v>
      </c>
      <c r="AQ29" s="61">
        <f>IFERROR(AE29*'⛽ المبيعات الشهرية'!AL28/100,"")</f>
        <v>0</v>
      </c>
      <c r="AR29" s="42">
        <f t="shared" si="2"/>
        <v>0</v>
      </c>
      <c r="AS29" s="66">
        <f>'📋 بيانات المحطات'!K28</f>
        <v>0</v>
      </c>
      <c r="AT29" s="67">
        <f>IFERROR(AS29*'⛽ المبيعات الشهرية'!AM28/100,"")</f>
        <v>0</v>
      </c>
      <c r="AU29" s="61">
        <f>IFERROR(AS29*'⛽ المبيعات الشهرية'!AN28/100,"")</f>
        <v>0</v>
      </c>
      <c r="AV29" s="67">
        <f>IFERROR(AS29*'⛽ المبيعات الشهرية'!AO28/100,"")</f>
        <v>0</v>
      </c>
      <c r="AW29" s="61">
        <f>IFERROR(AS29*'⛽ المبيعات الشهرية'!AP28/100,"")</f>
        <v>0</v>
      </c>
      <c r="AX29" s="67">
        <f>IFERROR(AS29*'⛽ المبيعات الشهرية'!AQ28/100,"")</f>
        <v>0</v>
      </c>
      <c r="AY29" s="61">
        <f>IFERROR(AS29*'⛽ المبيعات الشهرية'!AR28/100,"")</f>
        <v>0</v>
      </c>
      <c r="AZ29" s="67">
        <f>IFERROR(AS29*'⛽ المبيعات الشهرية'!AS28/100,"")</f>
        <v>0</v>
      </c>
      <c r="BA29" s="61">
        <f>IFERROR(AS29*'⛽ المبيعات الشهرية'!AT28/100,"")</f>
        <v>0</v>
      </c>
      <c r="BB29" s="67">
        <f>IFERROR(AS29*'⛽ المبيعات الشهرية'!AU28/100,"")</f>
        <v>0</v>
      </c>
      <c r="BC29" s="61">
        <f>IFERROR(AS29*'⛽ المبيعات الشهرية'!AV28/100,"")</f>
        <v>0</v>
      </c>
      <c r="BD29" s="67">
        <f>IFERROR(AS29*'⛽ المبيعات الشهرية'!AW28/100,"")</f>
        <v>0</v>
      </c>
      <c r="BE29" s="61">
        <f>IFERROR(AS29*'⛽ المبيعات الشهرية'!AX28/100,"")</f>
        <v>0</v>
      </c>
      <c r="BF29" s="42">
        <f t="shared" si="3"/>
        <v>0</v>
      </c>
      <c r="BG29" s="68">
        <f t="shared" si="4"/>
        <v>0</v>
      </c>
    </row>
    <row r="30" spans="1:59" ht="21.75" customHeight="1" x14ac:dyDescent="0.35">
      <c r="A30" s="69" t="s">
        <v>99</v>
      </c>
      <c r="B30" s="36" t="str">
        <f>'📋 بيانات المحطات'!B29</f>
        <v>العريفي</v>
      </c>
      <c r="C30" s="59">
        <f>'📋 بيانات المحطات'!H29</f>
        <v>0</v>
      </c>
      <c r="D30" s="60">
        <f>IFERROR(C30*'⛽ المبيعات الشهرية'!C29/100,"")</f>
        <v>0</v>
      </c>
      <c r="E30" s="61">
        <f>IFERROR(C30*'⛽ المبيعات الشهرية'!D29/100,"")</f>
        <v>0</v>
      </c>
      <c r="F30" s="60">
        <f>IFERROR(C30*'⛽ المبيعات الشهرية'!E29/100,"")</f>
        <v>0</v>
      </c>
      <c r="G30" s="61">
        <f>IFERROR(C30*'⛽ المبيعات الشهرية'!F29/100,"")</f>
        <v>0</v>
      </c>
      <c r="H30" s="60">
        <f>IFERROR(C30*'⛽ المبيعات الشهرية'!G29/100,"")</f>
        <v>0</v>
      </c>
      <c r="I30" s="61">
        <f>IFERROR(C30*'⛽ المبيعات الشهرية'!H29/100,"")</f>
        <v>0</v>
      </c>
      <c r="J30" s="60">
        <f>IFERROR(C30*'⛽ المبيعات الشهرية'!I29/100,"")</f>
        <v>0</v>
      </c>
      <c r="K30" s="61">
        <f>IFERROR(C30*'⛽ المبيعات الشهرية'!J29/100,"")</f>
        <v>0</v>
      </c>
      <c r="L30" s="60">
        <f>IFERROR(C30*'⛽ المبيعات الشهرية'!K29/100,"")</f>
        <v>0</v>
      </c>
      <c r="M30" s="61">
        <f>IFERROR(C30*'⛽ المبيعات الشهرية'!L29/100,"")</f>
        <v>0</v>
      </c>
      <c r="N30" s="60">
        <f>IFERROR(C30*'⛽ المبيعات الشهرية'!M29/100,"")</f>
        <v>0</v>
      </c>
      <c r="O30" s="61">
        <f>IFERROR(C30*'⛽ المبيعات الشهرية'!N29/100,"")</f>
        <v>0</v>
      </c>
      <c r="P30" s="42">
        <f t="shared" si="0"/>
        <v>0</v>
      </c>
      <c r="Q30" s="62">
        <f>'📋 بيانات المحطات'!I29</f>
        <v>0</v>
      </c>
      <c r="R30" s="63">
        <f>IFERROR(Q30*'⛽ المبيعات الشهرية'!O29/100,"")</f>
        <v>0</v>
      </c>
      <c r="S30" s="61">
        <f>IFERROR(Q30*'⛽ المبيعات الشهرية'!P29/100,"")</f>
        <v>0</v>
      </c>
      <c r="T30" s="63">
        <f>IFERROR(Q30*'⛽ المبيعات الشهرية'!Q29/100,"")</f>
        <v>0</v>
      </c>
      <c r="U30" s="61">
        <f>IFERROR(Q30*'⛽ المبيعات الشهرية'!R29/100,"")</f>
        <v>0</v>
      </c>
      <c r="V30" s="63">
        <f>IFERROR(Q30*'⛽ المبيعات الشهرية'!S29/100,"")</f>
        <v>0</v>
      </c>
      <c r="W30" s="61">
        <f>IFERROR(Q30*'⛽ المبيعات الشهرية'!T29/100,"")</f>
        <v>0</v>
      </c>
      <c r="X30" s="63">
        <f>IFERROR(Q30*'⛽ المبيعات الشهرية'!U29/100,"")</f>
        <v>0</v>
      </c>
      <c r="Y30" s="61">
        <f>IFERROR(Q30*'⛽ المبيعات الشهرية'!V29/100,"")</f>
        <v>0</v>
      </c>
      <c r="Z30" s="63">
        <f>IFERROR(Q30*'⛽ المبيعات الشهرية'!W29/100,"")</f>
        <v>0</v>
      </c>
      <c r="AA30" s="61">
        <f>IFERROR(Q30*'⛽ المبيعات الشهرية'!X29/100,"")</f>
        <v>0</v>
      </c>
      <c r="AB30" s="63">
        <f>IFERROR(Q30*'⛽ المبيعات الشهرية'!Y29/100,"")</f>
        <v>0</v>
      </c>
      <c r="AC30" s="61">
        <f>IFERROR(Q30*'⛽ المبيعات الشهرية'!Z29/100,"")</f>
        <v>0</v>
      </c>
      <c r="AD30" s="42">
        <f t="shared" si="1"/>
        <v>0</v>
      </c>
      <c r="AE30" s="64">
        <f>'📋 بيانات المحطات'!J29</f>
        <v>0</v>
      </c>
      <c r="AF30" s="65">
        <f>IFERROR(AE30*'⛽ المبيعات الشهرية'!AA29/100,"")</f>
        <v>0</v>
      </c>
      <c r="AG30" s="61">
        <f>IFERROR(AE30*'⛽ المبيعات الشهرية'!AB29/100,"")</f>
        <v>0</v>
      </c>
      <c r="AH30" s="65">
        <f>IFERROR(AE30*'⛽ المبيعات الشهرية'!AC29/100,"")</f>
        <v>0</v>
      </c>
      <c r="AI30" s="61">
        <f>IFERROR(AE30*'⛽ المبيعات الشهرية'!AD29/100,"")</f>
        <v>0</v>
      </c>
      <c r="AJ30" s="65">
        <f>IFERROR(AE30*'⛽ المبيعات الشهرية'!AE29/100,"")</f>
        <v>0</v>
      </c>
      <c r="AK30" s="61">
        <f>IFERROR(AE30*'⛽ المبيعات الشهرية'!AF29/100,"")</f>
        <v>0</v>
      </c>
      <c r="AL30" s="65">
        <f>IFERROR(AE30*'⛽ المبيعات الشهرية'!AG29/100,"")</f>
        <v>0</v>
      </c>
      <c r="AM30" s="61">
        <f>IFERROR(AE30*'⛽ المبيعات الشهرية'!AH29/100,"")</f>
        <v>0</v>
      </c>
      <c r="AN30" s="65">
        <f>IFERROR(AE30*'⛽ المبيعات الشهرية'!AI29/100,"")</f>
        <v>0</v>
      </c>
      <c r="AO30" s="61">
        <f>IFERROR(AE30*'⛽ المبيعات الشهرية'!AJ29/100,"")</f>
        <v>0</v>
      </c>
      <c r="AP30" s="65">
        <f>IFERROR(AE30*'⛽ المبيعات الشهرية'!AK29/100,"")</f>
        <v>0</v>
      </c>
      <c r="AQ30" s="61">
        <f>IFERROR(AE30*'⛽ المبيعات الشهرية'!AL29/100,"")</f>
        <v>0</v>
      </c>
      <c r="AR30" s="42">
        <f t="shared" si="2"/>
        <v>0</v>
      </c>
      <c r="AS30" s="66">
        <f>'📋 بيانات المحطات'!K29</f>
        <v>0</v>
      </c>
      <c r="AT30" s="67">
        <f>IFERROR(AS30*'⛽ المبيعات الشهرية'!AM29/100,"")</f>
        <v>0</v>
      </c>
      <c r="AU30" s="61">
        <f>IFERROR(AS30*'⛽ المبيعات الشهرية'!AN29/100,"")</f>
        <v>0</v>
      </c>
      <c r="AV30" s="67">
        <f>IFERROR(AS30*'⛽ المبيعات الشهرية'!AO29/100,"")</f>
        <v>0</v>
      </c>
      <c r="AW30" s="61">
        <f>IFERROR(AS30*'⛽ المبيعات الشهرية'!AP29/100,"")</f>
        <v>0</v>
      </c>
      <c r="AX30" s="67">
        <f>IFERROR(AS30*'⛽ المبيعات الشهرية'!AQ29/100,"")</f>
        <v>0</v>
      </c>
      <c r="AY30" s="61">
        <f>IFERROR(AS30*'⛽ المبيعات الشهرية'!AR29/100,"")</f>
        <v>0</v>
      </c>
      <c r="AZ30" s="67">
        <f>IFERROR(AS30*'⛽ المبيعات الشهرية'!AS29/100,"")</f>
        <v>0</v>
      </c>
      <c r="BA30" s="61">
        <f>IFERROR(AS30*'⛽ المبيعات الشهرية'!AT29/100,"")</f>
        <v>0</v>
      </c>
      <c r="BB30" s="67">
        <f>IFERROR(AS30*'⛽ المبيعات الشهرية'!AU29/100,"")</f>
        <v>0</v>
      </c>
      <c r="BC30" s="61">
        <f>IFERROR(AS30*'⛽ المبيعات الشهرية'!AV29/100,"")</f>
        <v>0</v>
      </c>
      <c r="BD30" s="67">
        <f>IFERROR(AS30*'⛽ المبيعات الشهرية'!AW29/100,"")</f>
        <v>0</v>
      </c>
      <c r="BE30" s="61">
        <f>IFERROR(AS30*'⛽ المبيعات الشهرية'!AX29/100,"")</f>
        <v>0</v>
      </c>
      <c r="BF30" s="42">
        <f t="shared" si="3"/>
        <v>0</v>
      </c>
      <c r="BG30" s="68">
        <f t="shared" si="4"/>
        <v>0</v>
      </c>
    </row>
    <row r="31" spans="1:59" ht="21.75" customHeight="1" x14ac:dyDescent="0.35">
      <c r="A31" s="58" t="s">
        <v>102</v>
      </c>
      <c r="B31" s="36" t="str">
        <f>'📋 بيانات المحطات'!B30</f>
        <v>الحليس</v>
      </c>
      <c r="C31" s="59">
        <f>'📋 بيانات المحطات'!H30</f>
        <v>0</v>
      </c>
      <c r="D31" s="60">
        <f>IFERROR(C31*'⛽ المبيعات الشهرية'!C30/100,"")</f>
        <v>0</v>
      </c>
      <c r="E31" s="61">
        <f>IFERROR(C31*'⛽ المبيعات الشهرية'!D30/100,"")</f>
        <v>0</v>
      </c>
      <c r="F31" s="60">
        <f>IFERROR(C31*'⛽ المبيعات الشهرية'!E30/100,"")</f>
        <v>0</v>
      </c>
      <c r="G31" s="61">
        <f>IFERROR(C31*'⛽ المبيعات الشهرية'!F30/100,"")</f>
        <v>0</v>
      </c>
      <c r="H31" s="60">
        <f>IFERROR(C31*'⛽ المبيعات الشهرية'!G30/100,"")</f>
        <v>0</v>
      </c>
      <c r="I31" s="61">
        <f>IFERROR(C31*'⛽ المبيعات الشهرية'!H30/100,"")</f>
        <v>0</v>
      </c>
      <c r="J31" s="60">
        <f>IFERROR(C31*'⛽ المبيعات الشهرية'!I30/100,"")</f>
        <v>0</v>
      </c>
      <c r="K31" s="61">
        <f>IFERROR(C31*'⛽ المبيعات الشهرية'!J30/100,"")</f>
        <v>0</v>
      </c>
      <c r="L31" s="60">
        <f>IFERROR(C31*'⛽ المبيعات الشهرية'!K30/100,"")</f>
        <v>0</v>
      </c>
      <c r="M31" s="61">
        <f>IFERROR(C31*'⛽ المبيعات الشهرية'!L30/100,"")</f>
        <v>0</v>
      </c>
      <c r="N31" s="60">
        <f>IFERROR(C31*'⛽ المبيعات الشهرية'!M30/100,"")</f>
        <v>0</v>
      </c>
      <c r="O31" s="61">
        <f>IFERROR(C31*'⛽ المبيعات الشهرية'!N30/100,"")</f>
        <v>0</v>
      </c>
      <c r="P31" s="42">
        <f t="shared" si="0"/>
        <v>0</v>
      </c>
      <c r="Q31" s="62">
        <f>'📋 بيانات المحطات'!I30</f>
        <v>0</v>
      </c>
      <c r="R31" s="63">
        <f>IFERROR(Q31*'⛽ المبيعات الشهرية'!O30/100,"")</f>
        <v>0</v>
      </c>
      <c r="S31" s="61">
        <f>IFERROR(Q31*'⛽ المبيعات الشهرية'!P30/100,"")</f>
        <v>0</v>
      </c>
      <c r="T31" s="63">
        <f>IFERROR(Q31*'⛽ المبيعات الشهرية'!Q30/100,"")</f>
        <v>0</v>
      </c>
      <c r="U31" s="61">
        <f>IFERROR(Q31*'⛽ المبيعات الشهرية'!R30/100,"")</f>
        <v>0</v>
      </c>
      <c r="V31" s="63">
        <f>IFERROR(Q31*'⛽ المبيعات الشهرية'!S30/100,"")</f>
        <v>0</v>
      </c>
      <c r="W31" s="61">
        <f>IFERROR(Q31*'⛽ المبيعات الشهرية'!T30/100,"")</f>
        <v>0</v>
      </c>
      <c r="X31" s="63">
        <f>IFERROR(Q31*'⛽ المبيعات الشهرية'!U30/100,"")</f>
        <v>0</v>
      </c>
      <c r="Y31" s="61">
        <f>IFERROR(Q31*'⛽ المبيعات الشهرية'!V30/100,"")</f>
        <v>0</v>
      </c>
      <c r="Z31" s="63">
        <f>IFERROR(Q31*'⛽ المبيعات الشهرية'!W30/100,"")</f>
        <v>0</v>
      </c>
      <c r="AA31" s="61">
        <f>IFERROR(Q31*'⛽ المبيعات الشهرية'!X30/100,"")</f>
        <v>0</v>
      </c>
      <c r="AB31" s="63">
        <f>IFERROR(Q31*'⛽ المبيعات الشهرية'!Y30/100,"")</f>
        <v>0</v>
      </c>
      <c r="AC31" s="61">
        <f>IFERROR(Q31*'⛽ المبيعات الشهرية'!Z30/100,"")</f>
        <v>0</v>
      </c>
      <c r="AD31" s="42">
        <f t="shared" si="1"/>
        <v>0</v>
      </c>
      <c r="AE31" s="64">
        <f>'📋 بيانات المحطات'!J30</f>
        <v>0</v>
      </c>
      <c r="AF31" s="65">
        <f>IFERROR(AE31*'⛽ المبيعات الشهرية'!AA30/100,"")</f>
        <v>0</v>
      </c>
      <c r="AG31" s="61">
        <f>IFERROR(AE31*'⛽ المبيعات الشهرية'!AB30/100,"")</f>
        <v>0</v>
      </c>
      <c r="AH31" s="65">
        <f>IFERROR(AE31*'⛽ المبيعات الشهرية'!AC30/100,"")</f>
        <v>0</v>
      </c>
      <c r="AI31" s="61">
        <f>IFERROR(AE31*'⛽ المبيعات الشهرية'!AD30/100,"")</f>
        <v>0</v>
      </c>
      <c r="AJ31" s="65">
        <f>IFERROR(AE31*'⛽ المبيعات الشهرية'!AE30/100,"")</f>
        <v>0</v>
      </c>
      <c r="AK31" s="61">
        <f>IFERROR(AE31*'⛽ المبيعات الشهرية'!AF30/100,"")</f>
        <v>0</v>
      </c>
      <c r="AL31" s="65">
        <f>IFERROR(AE31*'⛽ المبيعات الشهرية'!AG30/100,"")</f>
        <v>0</v>
      </c>
      <c r="AM31" s="61">
        <f>IFERROR(AE31*'⛽ المبيعات الشهرية'!AH30/100,"")</f>
        <v>0</v>
      </c>
      <c r="AN31" s="65">
        <f>IFERROR(AE31*'⛽ المبيعات الشهرية'!AI30/100,"")</f>
        <v>0</v>
      </c>
      <c r="AO31" s="61">
        <f>IFERROR(AE31*'⛽ المبيعات الشهرية'!AJ30/100,"")</f>
        <v>0</v>
      </c>
      <c r="AP31" s="65">
        <f>IFERROR(AE31*'⛽ المبيعات الشهرية'!AK30/100,"")</f>
        <v>0</v>
      </c>
      <c r="AQ31" s="61">
        <f>IFERROR(AE31*'⛽ المبيعات الشهرية'!AL30/100,"")</f>
        <v>0</v>
      </c>
      <c r="AR31" s="42">
        <f t="shared" si="2"/>
        <v>0</v>
      </c>
      <c r="AS31" s="66">
        <f>'📋 بيانات المحطات'!K30</f>
        <v>0</v>
      </c>
      <c r="AT31" s="67">
        <f>IFERROR(AS31*'⛽ المبيعات الشهرية'!AM30/100,"")</f>
        <v>0</v>
      </c>
      <c r="AU31" s="61">
        <f>IFERROR(AS31*'⛽ المبيعات الشهرية'!AN30/100,"")</f>
        <v>0</v>
      </c>
      <c r="AV31" s="67">
        <f>IFERROR(AS31*'⛽ المبيعات الشهرية'!AO30/100,"")</f>
        <v>0</v>
      </c>
      <c r="AW31" s="61">
        <f>IFERROR(AS31*'⛽ المبيعات الشهرية'!AP30/100,"")</f>
        <v>0</v>
      </c>
      <c r="AX31" s="67">
        <f>IFERROR(AS31*'⛽ المبيعات الشهرية'!AQ30/100,"")</f>
        <v>0</v>
      </c>
      <c r="AY31" s="61">
        <f>IFERROR(AS31*'⛽ المبيعات الشهرية'!AR30/100,"")</f>
        <v>0</v>
      </c>
      <c r="AZ31" s="67">
        <f>IFERROR(AS31*'⛽ المبيعات الشهرية'!AS30/100,"")</f>
        <v>0</v>
      </c>
      <c r="BA31" s="61">
        <f>IFERROR(AS31*'⛽ المبيعات الشهرية'!AT30/100,"")</f>
        <v>0</v>
      </c>
      <c r="BB31" s="67">
        <f>IFERROR(AS31*'⛽ المبيعات الشهرية'!AU30/100,"")</f>
        <v>0</v>
      </c>
      <c r="BC31" s="61">
        <f>IFERROR(AS31*'⛽ المبيعات الشهرية'!AV30/100,"")</f>
        <v>0</v>
      </c>
      <c r="BD31" s="67">
        <f>IFERROR(AS31*'⛽ المبيعات الشهرية'!AW30/100,"")</f>
        <v>0</v>
      </c>
      <c r="BE31" s="61">
        <f>IFERROR(AS31*'⛽ المبيعات الشهرية'!AX30/100,"")</f>
        <v>0</v>
      </c>
      <c r="BF31" s="42">
        <f t="shared" si="3"/>
        <v>0</v>
      </c>
      <c r="BG31" s="68">
        <f t="shared" si="4"/>
        <v>0</v>
      </c>
    </row>
    <row r="32" spans="1:59" ht="21.75" customHeight="1" x14ac:dyDescent="0.35">
      <c r="A32" s="69" t="s">
        <v>105</v>
      </c>
      <c r="B32" s="36" t="str">
        <f>'📋 بيانات المحطات'!B31</f>
        <v>القادسية</v>
      </c>
      <c r="C32" s="59">
        <f>'📋 بيانات المحطات'!H31</f>
        <v>0</v>
      </c>
      <c r="D32" s="60">
        <f>IFERROR(C32*'⛽ المبيعات الشهرية'!C31/100,"")</f>
        <v>0</v>
      </c>
      <c r="E32" s="61">
        <f>IFERROR(C32*'⛽ المبيعات الشهرية'!D31/100,"")</f>
        <v>0</v>
      </c>
      <c r="F32" s="60">
        <f>IFERROR(C32*'⛽ المبيعات الشهرية'!E31/100,"")</f>
        <v>0</v>
      </c>
      <c r="G32" s="61">
        <f>IFERROR(C32*'⛽ المبيعات الشهرية'!F31/100,"")</f>
        <v>0</v>
      </c>
      <c r="H32" s="60">
        <f>IFERROR(C32*'⛽ المبيعات الشهرية'!G31/100,"")</f>
        <v>0</v>
      </c>
      <c r="I32" s="61">
        <f>IFERROR(C32*'⛽ المبيعات الشهرية'!H31/100,"")</f>
        <v>0</v>
      </c>
      <c r="J32" s="60">
        <f>IFERROR(C32*'⛽ المبيعات الشهرية'!I31/100,"")</f>
        <v>0</v>
      </c>
      <c r="K32" s="61">
        <f>IFERROR(C32*'⛽ المبيعات الشهرية'!J31/100,"")</f>
        <v>0</v>
      </c>
      <c r="L32" s="60">
        <f>IFERROR(C32*'⛽ المبيعات الشهرية'!K31/100,"")</f>
        <v>0</v>
      </c>
      <c r="M32" s="61">
        <f>IFERROR(C32*'⛽ المبيعات الشهرية'!L31/100,"")</f>
        <v>0</v>
      </c>
      <c r="N32" s="60">
        <f>IFERROR(C32*'⛽ المبيعات الشهرية'!M31/100,"")</f>
        <v>0</v>
      </c>
      <c r="O32" s="61">
        <f>IFERROR(C32*'⛽ المبيعات الشهرية'!N31/100,"")</f>
        <v>0</v>
      </c>
      <c r="P32" s="42">
        <f t="shared" si="0"/>
        <v>0</v>
      </c>
      <c r="Q32" s="62">
        <f>'📋 بيانات المحطات'!I31</f>
        <v>0</v>
      </c>
      <c r="R32" s="63">
        <f>IFERROR(Q32*'⛽ المبيعات الشهرية'!O31/100,"")</f>
        <v>0</v>
      </c>
      <c r="S32" s="61">
        <f>IFERROR(Q32*'⛽ المبيعات الشهرية'!P31/100,"")</f>
        <v>0</v>
      </c>
      <c r="T32" s="63">
        <f>IFERROR(Q32*'⛽ المبيعات الشهرية'!Q31/100,"")</f>
        <v>0</v>
      </c>
      <c r="U32" s="61">
        <f>IFERROR(Q32*'⛽ المبيعات الشهرية'!R31/100,"")</f>
        <v>0</v>
      </c>
      <c r="V32" s="63">
        <f>IFERROR(Q32*'⛽ المبيعات الشهرية'!S31/100,"")</f>
        <v>0</v>
      </c>
      <c r="W32" s="61">
        <f>IFERROR(Q32*'⛽ المبيعات الشهرية'!T31/100,"")</f>
        <v>0</v>
      </c>
      <c r="X32" s="63">
        <f>IFERROR(Q32*'⛽ المبيعات الشهرية'!U31/100,"")</f>
        <v>0</v>
      </c>
      <c r="Y32" s="61">
        <f>IFERROR(Q32*'⛽ المبيعات الشهرية'!V31/100,"")</f>
        <v>0</v>
      </c>
      <c r="Z32" s="63">
        <f>IFERROR(Q32*'⛽ المبيعات الشهرية'!W31/100,"")</f>
        <v>0</v>
      </c>
      <c r="AA32" s="61">
        <f>IFERROR(Q32*'⛽ المبيعات الشهرية'!X31/100,"")</f>
        <v>0</v>
      </c>
      <c r="AB32" s="63">
        <f>IFERROR(Q32*'⛽ المبيعات الشهرية'!Y31/100,"")</f>
        <v>0</v>
      </c>
      <c r="AC32" s="61">
        <f>IFERROR(Q32*'⛽ المبيعات الشهرية'!Z31/100,"")</f>
        <v>0</v>
      </c>
      <c r="AD32" s="42">
        <f t="shared" si="1"/>
        <v>0</v>
      </c>
      <c r="AE32" s="64">
        <f>'📋 بيانات المحطات'!J31</f>
        <v>0</v>
      </c>
      <c r="AF32" s="65">
        <f>IFERROR(AE32*'⛽ المبيعات الشهرية'!AA31/100,"")</f>
        <v>0</v>
      </c>
      <c r="AG32" s="61">
        <f>IFERROR(AE32*'⛽ المبيعات الشهرية'!AB31/100,"")</f>
        <v>0</v>
      </c>
      <c r="AH32" s="65">
        <f>IFERROR(AE32*'⛽ المبيعات الشهرية'!AC31/100,"")</f>
        <v>0</v>
      </c>
      <c r="AI32" s="61">
        <f>IFERROR(AE32*'⛽ المبيعات الشهرية'!AD31/100,"")</f>
        <v>0</v>
      </c>
      <c r="AJ32" s="65">
        <f>IFERROR(AE32*'⛽ المبيعات الشهرية'!AE31/100,"")</f>
        <v>0</v>
      </c>
      <c r="AK32" s="61">
        <f>IFERROR(AE32*'⛽ المبيعات الشهرية'!AF31/100,"")</f>
        <v>0</v>
      </c>
      <c r="AL32" s="65">
        <f>IFERROR(AE32*'⛽ المبيعات الشهرية'!AG31/100,"")</f>
        <v>0</v>
      </c>
      <c r="AM32" s="61">
        <f>IFERROR(AE32*'⛽ المبيعات الشهرية'!AH31/100,"")</f>
        <v>0</v>
      </c>
      <c r="AN32" s="65">
        <f>IFERROR(AE32*'⛽ المبيعات الشهرية'!AI31/100,"")</f>
        <v>0</v>
      </c>
      <c r="AO32" s="61">
        <f>IFERROR(AE32*'⛽ المبيعات الشهرية'!AJ31/100,"")</f>
        <v>0</v>
      </c>
      <c r="AP32" s="65">
        <f>IFERROR(AE32*'⛽ المبيعات الشهرية'!AK31/100,"")</f>
        <v>0</v>
      </c>
      <c r="AQ32" s="61">
        <f>IFERROR(AE32*'⛽ المبيعات الشهرية'!AL31/100,"")</f>
        <v>0</v>
      </c>
      <c r="AR32" s="42">
        <f t="shared" si="2"/>
        <v>0</v>
      </c>
      <c r="AS32" s="66">
        <f>'📋 بيانات المحطات'!K31</f>
        <v>0</v>
      </c>
      <c r="AT32" s="67">
        <f>IFERROR(AS32*'⛽ المبيعات الشهرية'!AM31/100,"")</f>
        <v>0</v>
      </c>
      <c r="AU32" s="61">
        <f>IFERROR(AS32*'⛽ المبيعات الشهرية'!AN31/100,"")</f>
        <v>0</v>
      </c>
      <c r="AV32" s="67">
        <f>IFERROR(AS32*'⛽ المبيعات الشهرية'!AO31/100,"")</f>
        <v>0</v>
      </c>
      <c r="AW32" s="61">
        <f>IFERROR(AS32*'⛽ المبيعات الشهرية'!AP31/100,"")</f>
        <v>0</v>
      </c>
      <c r="AX32" s="67">
        <f>IFERROR(AS32*'⛽ المبيعات الشهرية'!AQ31/100,"")</f>
        <v>0</v>
      </c>
      <c r="AY32" s="61">
        <f>IFERROR(AS32*'⛽ المبيعات الشهرية'!AR31/100,"")</f>
        <v>0</v>
      </c>
      <c r="AZ32" s="67">
        <f>IFERROR(AS32*'⛽ المبيعات الشهرية'!AS31/100,"")</f>
        <v>0</v>
      </c>
      <c r="BA32" s="61">
        <f>IFERROR(AS32*'⛽ المبيعات الشهرية'!AT31/100,"")</f>
        <v>0</v>
      </c>
      <c r="BB32" s="67">
        <f>IFERROR(AS32*'⛽ المبيعات الشهرية'!AU31/100,"")</f>
        <v>0</v>
      </c>
      <c r="BC32" s="61">
        <f>IFERROR(AS32*'⛽ المبيعات الشهرية'!AV31/100,"")</f>
        <v>0</v>
      </c>
      <c r="BD32" s="67">
        <f>IFERROR(AS32*'⛽ المبيعات الشهرية'!AW31/100,"")</f>
        <v>0</v>
      </c>
      <c r="BE32" s="61">
        <f>IFERROR(AS32*'⛽ المبيعات الشهرية'!AX31/100,"")</f>
        <v>0</v>
      </c>
      <c r="BF32" s="42">
        <f t="shared" si="3"/>
        <v>0</v>
      </c>
      <c r="BG32" s="68">
        <f t="shared" si="4"/>
        <v>0</v>
      </c>
    </row>
    <row r="33" spans="1:59" ht="21.75" customHeight="1" x14ac:dyDescent="0.35">
      <c r="A33" s="58" t="s">
        <v>108</v>
      </c>
      <c r="B33" s="36" t="str">
        <f>'📋 بيانات المحطات'!B32</f>
        <v>صامطة</v>
      </c>
      <c r="C33" s="59">
        <f>'📋 بيانات المحطات'!H32</f>
        <v>0</v>
      </c>
      <c r="D33" s="60">
        <f>IFERROR(C33*'⛽ المبيعات الشهرية'!C32/100,"")</f>
        <v>0</v>
      </c>
      <c r="E33" s="61">
        <f>IFERROR(C33*'⛽ المبيعات الشهرية'!D32/100,"")</f>
        <v>0</v>
      </c>
      <c r="F33" s="60">
        <f>IFERROR(C33*'⛽ المبيعات الشهرية'!E32/100,"")</f>
        <v>0</v>
      </c>
      <c r="G33" s="61">
        <f>IFERROR(C33*'⛽ المبيعات الشهرية'!F32/100,"")</f>
        <v>0</v>
      </c>
      <c r="H33" s="60">
        <f>IFERROR(C33*'⛽ المبيعات الشهرية'!G32/100,"")</f>
        <v>0</v>
      </c>
      <c r="I33" s="61">
        <f>IFERROR(C33*'⛽ المبيعات الشهرية'!H32/100,"")</f>
        <v>0</v>
      </c>
      <c r="J33" s="60">
        <f>IFERROR(C33*'⛽ المبيعات الشهرية'!I32/100,"")</f>
        <v>0</v>
      </c>
      <c r="K33" s="61">
        <f>IFERROR(C33*'⛽ المبيعات الشهرية'!J32/100,"")</f>
        <v>0</v>
      </c>
      <c r="L33" s="60">
        <f>IFERROR(C33*'⛽ المبيعات الشهرية'!K32/100,"")</f>
        <v>0</v>
      </c>
      <c r="M33" s="61">
        <f>IFERROR(C33*'⛽ المبيعات الشهرية'!L32/100,"")</f>
        <v>0</v>
      </c>
      <c r="N33" s="60">
        <f>IFERROR(C33*'⛽ المبيعات الشهرية'!M32/100,"")</f>
        <v>0</v>
      </c>
      <c r="O33" s="61">
        <f>IFERROR(C33*'⛽ المبيعات الشهرية'!N32/100,"")</f>
        <v>0</v>
      </c>
      <c r="P33" s="42">
        <f t="shared" si="0"/>
        <v>0</v>
      </c>
      <c r="Q33" s="62">
        <f>'📋 بيانات المحطات'!I32</f>
        <v>0</v>
      </c>
      <c r="R33" s="63">
        <f>IFERROR(Q33*'⛽ المبيعات الشهرية'!O32/100,"")</f>
        <v>0</v>
      </c>
      <c r="S33" s="61">
        <f>IFERROR(Q33*'⛽ المبيعات الشهرية'!P32/100,"")</f>
        <v>0</v>
      </c>
      <c r="T33" s="63">
        <f>IFERROR(Q33*'⛽ المبيعات الشهرية'!Q32/100,"")</f>
        <v>0</v>
      </c>
      <c r="U33" s="61">
        <f>IFERROR(Q33*'⛽ المبيعات الشهرية'!R32/100,"")</f>
        <v>0</v>
      </c>
      <c r="V33" s="63">
        <f>IFERROR(Q33*'⛽ المبيعات الشهرية'!S32/100,"")</f>
        <v>0</v>
      </c>
      <c r="W33" s="61">
        <f>IFERROR(Q33*'⛽ المبيعات الشهرية'!T32/100,"")</f>
        <v>0</v>
      </c>
      <c r="X33" s="63">
        <f>IFERROR(Q33*'⛽ المبيعات الشهرية'!U32/100,"")</f>
        <v>0</v>
      </c>
      <c r="Y33" s="61">
        <f>IFERROR(Q33*'⛽ المبيعات الشهرية'!V32/100,"")</f>
        <v>0</v>
      </c>
      <c r="Z33" s="63">
        <f>IFERROR(Q33*'⛽ المبيعات الشهرية'!W32/100,"")</f>
        <v>0</v>
      </c>
      <c r="AA33" s="61">
        <f>IFERROR(Q33*'⛽ المبيعات الشهرية'!X32/100,"")</f>
        <v>0</v>
      </c>
      <c r="AB33" s="63">
        <f>IFERROR(Q33*'⛽ المبيعات الشهرية'!Y32/100,"")</f>
        <v>0</v>
      </c>
      <c r="AC33" s="61">
        <f>IFERROR(Q33*'⛽ المبيعات الشهرية'!Z32/100,"")</f>
        <v>0</v>
      </c>
      <c r="AD33" s="42">
        <f t="shared" si="1"/>
        <v>0</v>
      </c>
      <c r="AE33" s="64">
        <f>'📋 بيانات المحطات'!J32</f>
        <v>0</v>
      </c>
      <c r="AF33" s="65">
        <f>IFERROR(AE33*'⛽ المبيعات الشهرية'!AA32/100,"")</f>
        <v>0</v>
      </c>
      <c r="AG33" s="61">
        <f>IFERROR(AE33*'⛽ المبيعات الشهرية'!AB32/100,"")</f>
        <v>0</v>
      </c>
      <c r="AH33" s="65">
        <f>IFERROR(AE33*'⛽ المبيعات الشهرية'!AC32/100,"")</f>
        <v>0</v>
      </c>
      <c r="AI33" s="61">
        <f>IFERROR(AE33*'⛽ المبيعات الشهرية'!AD32/100,"")</f>
        <v>0</v>
      </c>
      <c r="AJ33" s="65">
        <f>IFERROR(AE33*'⛽ المبيعات الشهرية'!AE32/100,"")</f>
        <v>0</v>
      </c>
      <c r="AK33" s="61">
        <f>IFERROR(AE33*'⛽ المبيعات الشهرية'!AF32/100,"")</f>
        <v>0</v>
      </c>
      <c r="AL33" s="65">
        <f>IFERROR(AE33*'⛽ المبيعات الشهرية'!AG32/100,"")</f>
        <v>0</v>
      </c>
      <c r="AM33" s="61">
        <f>IFERROR(AE33*'⛽ المبيعات الشهرية'!AH32/100,"")</f>
        <v>0</v>
      </c>
      <c r="AN33" s="65">
        <f>IFERROR(AE33*'⛽ المبيعات الشهرية'!AI32/100,"")</f>
        <v>0</v>
      </c>
      <c r="AO33" s="61">
        <f>IFERROR(AE33*'⛽ المبيعات الشهرية'!AJ32/100,"")</f>
        <v>0</v>
      </c>
      <c r="AP33" s="65">
        <f>IFERROR(AE33*'⛽ المبيعات الشهرية'!AK32/100,"")</f>
        <v>0</v>
      </c>
      <c r="AQ33" s="61">
        <f>IFERROR(AE33*'⛽ المبيعات الشهرية'!AL32/100,"")</f>
        <v>0</v>
      </c>
      <c r="AR33" s="42">
        <f t="shared" si="2"/>
        <v>0</v>
      </c>
      <c r="AS33" s="66">
        <f>'📋 بيانات المحطات'!K32</f>
        <v>0</v>
      </c>
      <c r="AT33" s="67">
        <f>IFERROR(AS33*'⛽ المبيعات الشهرية'!AM32/100,"")</f>
        <v>0</v>
      </c>
      <c r="AU33" s="61">
        <f>IFERROR(AS33*'⛽ المبيعات الشهرية'!AN32/100,"")</f>
        <v>0</v>
      </c>
      <c r="AV33" s="67">
        <f>IFERROR(AS33*'⛽ المبيعات الشهرية'!AO32/100,"")</f>
        <v>0</v>
      </c>
      <c r="AW33" s="61">
        <f>IFERROR(AS33*'⛽ المبيعات الشهرية'!AP32/100,"")</f>
        <v>0</v>
      </c>
      <c r="AX33" s="67">
        <f>IFERROR(AS33*'⛽ المبيعات الشهرية'!AQ32/100,"")</f>
        <v>0</v>
      </c>
      <c r="AY33" s="61">
        <f>IFERROR(AS33*'⛽ المبيعات الشهرية'!AR32/100,"")</f>
        <v>0</v>
      </c>
      <c r="AZ33" s="67">
        <f>IFERROR(AS33*'⛽ المبيعات الشهرية'!AS32/100,"")</f>
        <v>0</v>
      </c>
      <c r="BA33" s="61">
        <f>IFERROR(AS33*'⛽ المبيعات الشهرية'!AT32/100,"")</f>
        <v>0</v>
      </c>
      <c r="BB33" s="67">
        <f>IFERROR(AS33*'⛽ المبيعات الشهرية'!AU32/100,"")</f>
        <v>0</v>
      </c>
      <c r="BC33" s="61">
        <f>IFERROR(AS33*'⛽ المبيعات الشهرية'!AV32/100,"")</f>
        <v>0</v>
      </c>
      <c r="BD33" s="67">
        <f>IFERROR(AS33*'⛽ المبيعات الشهرية'!AW32/100,"")</f>
        <v>0</v>
      </c>
      <c r="BE33" s="61">
        <f>IFERROR(AS33*'⛽ المبيعات الشهرية'!AX32/100,"")</f>
        <v>0</v>
      </c>
      <c r="BF33" s="42">
        <f t="shared" si="3"/>
        <v>0</v>
      </c>
      <c r="BG33" s="68">
        <f t="shared" si="4"/>
        <v>0</v>
      </c>
    </row>
    <row r="34" spans="1:59" ht="21.75" customHeight="1" x14ac:dyDescent="0.35">
      <c r="A34" s="69" t="s">
        <v>111</v>
      </c>
      <c r="B34" s="36" t="str">
        <f>'📋 بيانات المحطات'!B33</f>
        <v>صبيا</v>
      </c>
      <c r="C34" s="59">
        <f>'📋 بيانات المحطات'!H33</f>
        <v>0</v>
      </c>
      <c r="D34" s="60">
        <f>IFERROR(C34*'⛽ المبيعات الشهرية'!C33/100,"")</f>
        <v>0</v>
      </c>
      <c r="E34" s="61">
        <f>IFERROR(C34*'⛽ المبيعات الشهرية'!D33/100,"")</f>
        <v>0</v>
      </c>
      <c r="F34" s="60">
        <f>IFERROR(C34*'⛽ المبيعات الشهرية'!E33/100,"")</f>
        <v>0</v>
      </c>
      <c r="G34" s="61">
        <f>IFERROR(C34*'⛽ المبيعات الشهرية'!F33/100,"")</f>
        <v>0</v>
      </c>
      <c r="H34" s="60">
        <f>IFERROR(C34*'⛽ المبيعات الشهرية'!G33/100,"")</f>
        <v>0</v>
      </c>
      <c r="I34" s="61">
        <f>IFERROR(C34*'⛽ المبيعات الشهرية'!H33/100,"")</f>
        <v>0</v>
      </c>
      <c r="J34" s="60">
        <f>IFERROR(C34*'⛽ المبيعات الشهرية'!I33/100,"")</f>
        <v>0</v>
      </c>
      <c r="K34" s="61">
        <f>IFERROR(C34*'⛽ المبيعات الشهرية'!J33/100,"")</f>
        <v>0</v>
      </c>
      <c r="L34" s="60">
        <f>IFERROR(C34*'⛽ المبيعات الشهرية'!K33/100,"")</f>
        <v>0</v>
      </c>
      <c r="M34" s="61">
        <f>IFERROR(C34*'⛽ المبيعات الشهرية'!L33/100,"")</f>
        <v>0</v>
      </c>
      <c r="N34" s="60">
        <f>IFERROR(C34*'⛽ المبيعات الشهرية'!M33/100,"")</f>
        <v>0</v>
      </c>
      <c r="O34" s="61">
        <f>IFERROR(C34*'⛽ المبيعات الشهرية'!N33/100,"")</f>
        <v>0</v>
      </c>
      <c r="P34" s="42">
        <f t="shared" si="0"/>
        <v>0</v>
      </c>
      <c r="Q34" s="62">
        <f>'📋 بيانات المحطات'!I33</f>
        <v>0</v>
      </c>
      <c r="R34" s="63">
        <f>IFERROR(Q34*'⛽ المبيعات الشهرية'!O33/100,"")</f>
        <v>0</v>
      </c>
      <c r="S34" s="61">
        <f>IFERROR(Q34*'⛽ المبيعات الشهرية'!P33/100,"")</f>
        <v>0</v>
      </c>
      <c r="T34" s="63">
        <f>IFERROR(Q34*'⛽ المبيعات الشهرية'!Q33/100,"")</f>
        <v>0</v>
      </c>
      <c r="U34" s="61">
        <f>IFERROR(Q34*'⛽ المبيعات الشهرية'!R33/100,"")</f>
        <v>0</v>
      </c>
      <c r="V34" s="63">
        <f>IFERROR(Q34*'⛽ المبيعات الشهرية'!S33/100,"")</f>
        <v>0</v>
      </c>
      <c r="W34" s="61">
        <f>IFERROR(Q34*'⛽ المبيعات الشهرية'!T33/100,"")</f>
        <v>0</v>
      </c>
      <c r="X34" s="63">
        <f>IFERROR(Q34*'⛽ المبيعات الشهرية'!U33/100,"")</f>
        <v>0</v>
      </c>
      <c r="Y34" s="61">
        <f>IFERROR(Q34*'⛽ المبيعات الشهرية'!V33/100,"")</f>
        <v>0</v>
      </c>
      <c r="Z34" s="63">
        <f>IFERROR(Q34*'⛽ المبيعات الشهرية'!W33/100,"")</f>
        <v>0</v>
      </c>
      <c r="AA34" s="61">
        <f>IFERROR(Q34*'⛽ المبيعات الشهرية'!X33/100,"")</f>
        <v>0</v>
      </c>
      <c r="AB34" s="63">
        <f>IFERROR(Q34*'⛽ المبيعات الشهرية'!Y33/100,"")</f>
        <v>0</v>
      </c>
      <c r="AC34" s="61">
        <f>IFERROR(Q34*'⛽ المبيعات الشهرية'!Z33/100,"")</f>
        <v>0</v>
      </c>
      <c r="AD34" s="42">
        <f t="shared" si="1"/>
        <v>0</v>
      </c>
      <c r="AE34" s="64">
        <f>'📋 بيانات المحطات'!J33</f>
        <v>0</v>
      </c>
      <c r="AF34" s="65">
        <f>IFERROR(AE34*'⛽ المبيعات الشهرية'!AA33/100,"")</f>
        <v>0</v>
      </c>
      <c r="AG34" s="61">
        <f>IFERROR(AE34*'⛽ المبيعات الشهرية'!AB33/100,"")</f>
        <v>0</v>
      </c>
      <c r="AH34" s="65">
        <f>IFERROR(AE34*'⛽ المبيعات الشهرية'!AC33/100,"")</f>
        <v>0</v>
      </c>
      <c r="AI34" s="61">
        <f>IFERROR(AE34*'⛽ المبيعات الشهرية'!AD33/100,"")</f>
        <v>0</v>
      </c>
      <c r="AJ34" s="65">
        <f>IFERROR(AE34*'⛽ المبيعات الشهرية'!AE33/100,"")</f>
        <v>0</v>
      </c>
      <c r="AK34" s="61">
        <f>IFERROR(AE34*'⛽ المبيعات الشهرية'!AF33/100,"")</f>
        <v>0</v>
      </c>
      <c r="AL34" s="65">
        <f>IFERROR(AE34*'⛽ المبيعات الشهرية'!AG33/100,"")</f>
        <v>0</v>
      </c>
      <c r="AM34" s="61">
        <f>IFERROR(AE34*'⛽ المبيعات الشهرية'!AH33/100,"")</f>
        <v>0</v>
      </c>
      <c r="AN34" s="65">
        <f>IFERROR(AE34*'⛽ المبيعات الشهرية'!AI33/100,"")</f>
        <v>0</v>
      </c>
      <c r="AO34" s="61">
        <f>IFERROR(AE34*'⛽ المبيعات الشهرية'!AJ33/100,"")</f>
        <v>0</v>
      </c>
      <c r="AP34" s="65">
        <f>IFERROR(AE34*'⛽ المبيعات الشهرية'!AK33/100,"")</f>
        <v>0</v>
      </c>
      <c r="AQ34" s="61">
        <f>IFERROR(AE34*'⛽ المبيعات الشهرية'!AL33/100,"")</f>
        <v>0</v>
      </c>
      <c r="AR34" s="42">
        <f t="shared" si="2"/>
        <v>0</v>
      </c>
      <c r="AS34" s="66">
        <f>'📋 بيانات المحطات'!K33</f>
        <v>0</v>
      </c>
      <c r="AT34" s="67">
        <f>IFERROR(AS34*'⛽ المبيعات الشهرية'!AM33/100,"")</f>
        <v>0</v>
      </c>
      <c r="AU34" s="61">
        <f>IFERROR(AS34*'⛽ المبيعات الشهرية'!AN33/100,"")</f>
        <v>0</v>
      </c>
      <c r="AV34" s="67">
        <f>IFERROR(AS34*'⛽ المبيعات الشهرية'!AO33/100,"")</f>
        <v>0</v>
      </c>
      <c r="AW34" s="61">
        <f>IFERROR(AS34*'⛽ المبيعات الشهرية'!AP33/100,"")</f>
        <v>0</v>
      </c>
      <c r="AX34" s="67">
        <f>IFERROR(AS34*'⛽ المبيعات الشهرية'!AQ33/100,"")</f>
        <v>0</v>
      </c>
      <c r="AY34" s="61">
        <f>IFERROR(AS34*'⛽ المبيعات الشهرية'!AR33/100,"")</f>
        <v>0</v>
      </c>
      <c r="AZ34" s="67">
        <f>IFERROR(AS34*'⛽ المبيعات الشهرية'!AS33/100,"")</f>
        <v>0</v>
      </c>
      <c r="BA34" s="61">
        <f>IFERROR(AS34*'⛽ المبيعات الشهرية'!AT33/100,"")</f>
        <v>0</v>
      </c>
      <c r="BB34" s="67">
        <f>IFERROR(AS34*'⛽ المبيعات الشهرية'!AU33/100,"")</f>
        <v>0</v>
      </c>
      <c r="BC34" s="61">
        <f>IFERROR(AS34*'⛽ المبيعات الشهرية'!AV33/100,"")</f>
        <v>0</v>
      </c>
      <c r="BD34" s="67">
        <f>IFERROR(AS34*'⛽ المبيعات الشهرية'!AW33/100,"")</f>
        <v>0</v>
      </c>
      <c r="BE34" s="61">
        <f>IFERROR(AS34*'⛽ المبيعات الشهرية'!AX33/100,"")</f>
        <v>0</v>
      </c>
      <c r="BF34" s="42">
        <f t="shared" si="3"/>
        <v>0</v>
      </c>
      <c r="BG34" s="68">
        <f t="shared" si="4"/>
        <v>0</v>
      </c>
    </row>
    <row r="35" spans="1:59" ht="21.75" customHeight="1" x14ac:dyDescent="0.35">
      <c r="A35" s="58" t="s">
        <v>114</v>
      </c>
      <c r="B35" s="36" t="str">
        <f>'📋 بيانات المحطات'!B34</f>
        <v>السواط</v>
      </c>
      <c r="C35" s="59">
        <f>'📋 بيانات المحطات'!H34</f>
        <v>0</v>
      </c>
      <c r="D35" s="60">
        <f>IFERROR(C35*'⛽ المبيعات الشهرية'!C34/100,"")</f>
        <v>0</v>
      </c>
      <c r="E35" s="61">
        <f>IFERROR(C35*'⛽ المبيعات الشهرية'!D34/100,"")</f>
        <v>0</v>
      </c>
      <c r="F35" s="60">
        <f>IFERROR(C35*'⛽ المبيعات الشهرية'!E34/100,"")</f>
        <v>0</v>
      </c>
      <c r="G35" s="61">
        <f>IFERROR(C35*'⛽ المبيعات الشهرية'!F34/100,"")</f>
        <v>0</v>
      </c>
      <c r="H35" s="60">
        <f>IFERROR(C35*'⛽ المبيعات الشهرية'!G34/100,"")</f>
        <v>0</v>
      </c>
      <c r="I35" s="61">
        <f>IFERROR(C35*'⛽ المبيعات الشهرية'!H34/100,"")</f>
        <v>0</v>
      </c>
      <c r="J35" s="60">
        <f>IFERROR(C35*'⛽ المبيعات الشهرية'!I34/100,"")</f>
        <v>0</v>
      </c>
      <c r="K35" s="61">
        <f>IFERROR(C35*'⛽ المبيعات الشهرية'!J34/100,"")</f>
        <v>0</v>
      </c>
      <c r="L35" s="60">
        <f>IFERROR(C35*'⛽ المبيعات الشهرية'!K34/100,"")</f>
        <v>0</v>
      </c>
      <c r="M35" s="61">
        <f>IFERROR(C35*'⛽ المبيعات الشهرية'!L34/100,"")</f>
        <v>0</v>
      </c>
      <c r="N35" s="60">
        <f>IFERROR(C35*'⛽ المبيعات الشهرية'!M34/100,"")</f>
        <v>0</v>
      </c>
      <c r="O35" s="61">
        <f>IFERROR(C35*'⛽ المبيعات الشهرية'!N34/100,"")</f>
        <v>0</v>
      </c>
      <c r="P35" s="42">
        <f t="shared" si="0"/>
        <v>0</v>
      </c>
      <c r="Q35" s="62">
        <f>'📋 بيانات المحطات'!I34</f>
        <v>0</v>
      </c>
      <c r="R35" s="63">
        <f>IFERROR(Q35*'⛽ المبيعات الشهرية'!O34/100,"")</f>
        <v>0</v>
      </c>
      <c r="S35" s="61">
        <f>IFERROR(Q35*'⛽ المبيعات الشهرية'!P34/100,"")</f>
        <v>0</v>
      </c>
      <c r="T35" s="63">
        <f>IFERROR(Q35*'⛽ المبيعات الشهرية'!Q34/100,"")</f>
        <v>0</v>
      </c>
      <c r="U35" s="61">
        <f>IFERROR(Q35*'⛽ المبيعات الشهرية'!R34/100,"")</f>
        <v>0</v>
      </c>
      <c r="V35" s="63">
        <f>IFERROR(Q35*'⛽ المبيعات الشهرية'!S34/100,"")</f>
        <v>0</v>
      </c>
      <c r="W35" s="61">
        <f>IFERROR(Q35*'⛽ المبيعات الشهرية'!T34/100,"")</f>
        <v>0</v>
      </c>
      <c r="X35" s="63">
        <f>IFERROR(Q35*'⛽ المبيعات الشهرية'!U34/100,"")</f>
        <v>0</v>
      </c>
      <c r="Y35" s="61">
        <f>IFERROR(Q35*'⛽ المبيعات الشهرية'!V34/100,"")</f>
        <v>0</v>
      </c>
      <c r="Z35" s="63">
        <f>IFERROR(Q35*'⛽ المبيعات الشهرية'!W34/100,"")</f>
        <v>0</v>
      </c>
      <c r="AA35" s="61">
        <f>IFERROR(Q35*'⛽ المبيعات الشهرية'!X34/100,"")</f>
        <v>0</v>
      </c>
      <c r="AB35" s="63">
        <f>IFERROR(Q35*'⛽ المبيعات الشهرية'!Y34/100,"")</f>
        <v>0</v>
      </c>
      <c r="AC35" s="61">
        <f>IFERROR(Q35*'⛽ المبيعات الشهرية'!Z34/100,"")</f>
        <v>0</v>
      </c>
      <c r="AD35" s="42">
        <f t="shared" si="1"/>
        <v>0</v>
      </c>
      <c r="AE35" s="64">
        <f>'📋 بيانات المحطات'!J34</f>
        <v>0</v>
      </c>
      <c r="AF35" s="65">
        <f>IFERROR(AE35*'⛽ المبيعات الشهرية'!AA34/100,"")</f>
        <v>0</v>
      </c>
      <c r="AG35" s="61">
        <f>IFERROR(AE35*'⛽ المبيعات الشهرية'!AB34/100,"")</f>
        <v>0</v>
      </c>
      <c r="AH35" s="65">
        <f>IFERROR(AE35*'⛽ المبيعات الشهرية'!AC34/100,"")</f>
        <v>0</v>
      </c>
      <c r="AI35" s="61">
        <f>IFERROR(AE35*'⛽ المبيعات الشهرية'!AD34/100,"")</f>
        <v>0</v>
      </c>
      <c r="AJ35" s="65">
        <f>IFERROR(AE35*'⛽ المبيعات الشهرية'!AE34/100,"")</f>
        <v>0</v>
      </c>
      <c r="AK35" s="61">
        <f>IFERROR(AE35*'⛽ المبيعات الشهرية'!AF34/100,"")</f>
        <v>0</v>
      </c>
      <c r="AL35" s="65">
        <f>IFERROR(AE35*'⛽ المبيعات الشهرية'!AG34/100,"")</f>
        <v>0</v>
      </c>
      <c r="AM35" s="61">
        <f>IFERROR(AE35*'⛽ المبيعات الشهرية'!AH34/100,"")</f>
        <v>0</v>
      </c>
      <c r="AN35" s="65">
        <f>IFERROR(AE35*'⛽ المبيعات الشهرية'!AI34/100,"")</f>
        <v>0</v>
      </c>
      <c r="AO35" s="61">
        <f>IFERROR(AE35*'⛽ المبيعات الشهرية'!AJ34/100,"")</f>
        <v>0</v>
      </c>
      <c r="AP35" s="65">
        <f>IFERROR(AE35*'⛽ المبيعات الشهرية'!AK34/100,"")</f>
        <v>0</v>
      </c>
      <c r="AQ35" s="61">
        <f>IFERROR(AE35*'⛽ المبيعات الشهرية'!AL34/100,"")</f>
        <v>0</v>
      </c>
      <c r="AR35" s="42">
        <f t="shared" si="2"/>
        <v>0</v>
      </c>
      <c r="AS35" s="66">
        <f>'📋 بيانات المحطات'!K34</f>
        <v>0</v>
      </c>
      <c r="AT35" s="67">
        <f>IFERROR(AS35*'⛽ المبيعات الشهرية'!AM34/100,"")</f>
        <v>0</v>
      </c>
      <c r="AU35" s="61">
        <f>IFERROR(AS35*'⛽ المبيعات الشهرية'!AN34/100,"")</f>
        <v>0</v>
      </c>
      <c r="AV35" s="67">
        <f>IFERROR(AS35*'⛽ المبيعات الشهرية'!AO34/100,"")</f>
        <v>0</v>
      </c>
      <c r="AW35" s="61">
        <f>IFERROR(AS35*'⛽ المبيعات الشهرية'!AP34/100,"")</f>
        <v>0</v>
      </c>
      <c r="AX35" s="67">
        <f>IFERROR(AS35*'⛽ المبيعات الشهرية'!AQ34/100,"")</f>
        <v>0</v>
      </c>
      <c r="AY35" s="61">
        <f>IFERROR(AS35*'⛽ المبيعات الشهرية'!AR34/100,"")</f>
        <v>0</v>
      </c>
      <c r="AZ35" s="67">
        <f>IFERROR(AS35*'⛽ المبيعات الشهرية'!AS34/100,"")</f>
        <v>0</v>
      </c>
      <c r="BA35" s="61">
        <f>IFERROR(AS35*'⛽ المبيعات الشهرية'!AT34/100,"")</f>
        <v>0</v>
      </c>
      <c r="BB35" s="67">
        <f>IFERROR(AS35*'⛽ المبيعات الشهرية'!AU34/100,"")</f>
        <v>0</v>
      </c>
      <c r="BC35" s="61">
        <f>IFERROR(AS35*'⛽ المبيعات الشهرية'!AV34/100,"")</f>
        <v>0</v>
      </c>
      <c r="BD35" s="67">
        <f>IFERROR(AS35*'⛽ المبيعات الشهرية'!AW34/100,"")</f>
        <v>0</v>
      </c>
      <c r="BE35" s="61">
        <f>IFERROR(AS35*'⛽ المبيعات الشهرية'!AX34/100,"")</f>
        <v>0</v>
      </c>
      <c r="BF35" s="42">
        <f t="shared" si="3"/>
        <v>0</v>
      </c>
      <c r="BG35" s="68">
        <f t="shared" si="4"/>
        <v>0</v>
      </c>
    </row>
    <row r="36" spans="1:59" ht="21.75" customHeight="1" x14ac:dyDescent="0.35">
      <c r="A36" s="69" t="s">
        <v>117</v>
      </c>
      <c r="B36" s="36" t="str">
        <f>'📋 بيانات المحطات'!B35</f>
        <v>جعرانة</v>
      </c>
      <c r="C36" s="59">
        <f>'📋 بيانات المحطات'!H35</f>
        <v>0</v>
      </c>
      <c r="D36" s="60">
        <f>IFERROR(C36*'⛽ المبيعات الشهرية'!C35/100,"")</f>
        <v>0</v>
      </c>
      <c r="E36" s="61">
        <f>IFERROR(C36*'⛽ المبيعات الشهرية'!D35/100,"")</f>
        <v>0</v>
      </c>
      <c r="F36" s="60">
        <f>IFERROR(C36*'⛽ المبيعات الشهرية'!E35/100,"")</f>
        <v>0</v>
      </c>
      <c r="G36" s="61">
        <f>IFERROR(C36*'⛽ المبيعات الشهرية'!F35/100,"")</f>
        <v>0</v>
      </c>
      <c r="H36" s="60">
        <f>IFERROR(C36*'⛽ المبيعات الشهرية'!G35/100,"")</f>
        <v>0</v>
      </c>
      <c r="I36" s="61">
        <f>IFERROR(C36*'⛽ المبيعات الشهرية'!H35/100,"")</f>
        <v>0</v>
      </c>
      <c r="J36" s="60">
        <f>IFERROR(C36*'⛽ المبيعات الشهرية'!I35/100,"")</f>
        <v>0</v>
      </c>
      <c r="K36" s="61">
        <f>IFERROR(C36*'⛽ المبيعات الشهرية'!J35/100,"")</f>
        <v>0</v>
      </c>
      <c r="L36" s="60">
        <f>IFERROR(C36*'⛽ المبيعات الشهرية'!K35/100,"")</f>
        <v>0</v>
      </c>
      <c r="M36" s="61">
        <f>IFERROR(C36*'⛽ المبيعات الشهرية'!L35/100,"")</f>
        <v>0</v>
      </c>
      <c r="N36" s="60">
        <f>IFERROR(C36*'⛽ المبيعات الشهرية'!M35/100,"")</f>
        <v>0</v>
      </c>
      <c r="O36" s="61">
        <f>IFERROR(C36*'⛽ المبيعات الشهرية'!N35/100,"")</f>
        <v>0</v>
      </c>
      <c r="P36" s="42">
        <f t="shared" si="0"/>
        <v>0</v>
      </c>
      <c r="Q36" s="62">
        <f>'📋 بيانات المحطات'!I35</f>
        <v>0</v>
      </c>
      <c r="R36" s="63">
        <f>IFERROR(Q36*'⛽ المبيعات الشهرية'!O35/100,"")</f>
        <v>0</v>
      </c>
      <c r="S36" s="61">
        <f>IFERROR(Q36*'⛽ المبيعات الشهرية'!P35/100,"")</f>
        <v>0</v>
      </c>
      <c r="T36" s="63">
        <f>IFERROR(Q36*'⛽ المبيعات الشهرية'!Q35/100,"")</f>
        <v>0</v>
      </c>
      <c r="U36" s="61">
        <f>IFERROR(Q36*'⛽ المبيعات الشهرية'!R35/100,"")</f>
        <v>0</v>
      </c>
      <c r="V36" s="63">
        <f>IFERROR(Q36*'⛽ المبيعات الشهرية'!S35/100,"")</f>
        <v>0</v>
      </c>
      <c r="W36" s="61">
        <f>IFERROR(Q36*'⛽ المبيعات الشهرية'!T35/100,"")</f>
        <v>0</v>
      </c>
      <c r="X36" s="63">
        <f>IFERROR(Q36*'⛽ المبيعات الشهرية'!U35/100,"")</f>
        <v>0</v>
      </c>
      <c r="Y36" s="61">
        <f>IFERROR(Q36*'⛽ المبيعات الشهرية'!V35/100,"")</f>
        <v>0</v>
      </c>
      <c r="Z36" s="63">
        <f>IFERROR(Q36*'⛽ المبيعات الشهرية'!W35/100,"")</f>
        <v>0</v>
      </c>
      <c r="AA36" s="61">
        <f>IFERROR(Q36*'⛽ المبيعات الشهرية'!X35/100,"")</f>
        <v>0</v>
      </c>
      <c r="AB36" s="63">
        <f>IFERROR(Q36*'⛽ المبيعات الشهرية'!Y35/100,"")</f>
        <v>0</v>
      </c>
      <c r="AC36" s="61">
        <f>IFERROR(Q36*'⛽ المبيعات الشهرية'!Z35/100,"")</f>
        <v>0</v>
      </c>
      <c r="AD36" s="42">
        <f t="shared" si="1"/>
        <v>0</v>
      </c>
      <c r="AE36" s="64">
        <f>'📋 بيانات المحطات'!J35</f>
        <v>0</v>
      </c>
      <c r="AF36" s="65">
        <f>IFERROR(AE36*'⛽ المبيعات الشهرية'!AA35/100,"")</f>
        <v>0</v>
      </c>
      <c r="AG36" s="61">
        <f>IFERROR(AE36*'⛽ المبيعات الشهرية'!AB35/100,"")</f>
        <v>0</v>
      </c>
      <c r="AH36" s="65">
        <f>IFERROR(AE36*'⛽ المبيعات الشهرية'!AC35/100,"")</f>
        <v>0</v>
      </c>
      <c r="AI36" s="61">
        <f>IFERROR(AE36*'⛽ المبيعات الشهرية'!AD35/100,"")</f>
        <v>0</v>
      </c>
      <c r="AJ36" s="65">
        <f>IFERROR(AE36*'⛽ المبيعات الشهرية'!AE35/100,"")</f>
        <v>0</v>
      </c>
      <c r="AK36" s="61">
        <f>IFERROR(AE36*'⛽ المبيعات الشهرية'!AF35/100,"")</f>
        <v>0</v>
      </c>
      <c r="AL36" s="65">
        <f>IFERROR(AE36*'⛽ المبيعات الشهرية'!AG35/100,"")</f>
        <v>0</v>
      </c>
      <c r="AM36" s="61">
        <f>IFERROR(AE36*'⛽ المبيعات الشهرية'!AH35/100,"")</f>
        <v>0</v>
      </c>
      <c r="AN36" s="65">
        <f>IFERROR(AE36*'⛽ المبيعات الشهرية'!AI35/100,"")</f>
        <v>0</v>
      </c>
      <c r="AO36" s="61">
        <f>IFERROR(AE36*'⛽ المبيعات الشهرية'!AJ35/100,"")</f>
        <v>0</v>
      </c>
      <c r="AP36" s="65">
        <f>IFERROR(AE36*'⛽ المبيعات الشهرية'!AK35/100,"")</f>
        <v>0</v>
      </c>
      <c r="AQ36" s="61">
        <f>IFERROR(AE36*'⛽ المبيعات الشهرية'!AL35/100,"")</f>
        <v>0</v>
      </c>
      <c r="AR36" s="42">
        <f t="shared" si="2"/>
        <v>0</v>
      </c>
      <c r="AS36" s="66">
        <f>'📋 بيانات المحطات'!K35</f>
        <v>0</v>
      </c>
      <c r="AT36" s="67">
        <f>IFERROR(AS36*'⛽ المبيعات الشهرية'!AM35/100,"")</f>
        <v>0</v>
      </c>
      <c r="AU36" s="61">
        <f>IFERROR(AS36*'⛽ المبيعات الشهرية'!AN35/100,"")</f>
        <v>0</v>
      </c>
      <c r="AV36" s="67">
        <f>IFERROR(AS36*'⛽ المبيعات الشهرية'!AO35/100,"")</f>
        <v>0</v>
      </c>
      <c r="AW36" s="61">
        <f>IFERROR(AS36*'⛽ المبيعات الشهرية'!AP35/100,"")</f>
        <v>0</v>
      </c>
      <c r="AX36" s="67">
        <f>IFERROR(AS36*'⛽ المبيعات الشهرية'!AQ35/100,"")</f>
        <v>0</v>
      </c>
      <c r="AY36" s="61">
        <f>IFERROR(AS36*'⛽ المبيعات الشهرية'!AR35/100,"")</f>
        <v>0</v>
      </c>
      <c r="AZ36" s="67">
        <f>IFERROR(AS36*'⛽ المبيعات الشهرية'!AS35/100,"")</f>
        <v>0</v>
      </c>
      <c r="BA36" s="61">
        <f>IFERROR(AS36*'⛽ المبيعات الشهرية'!AT35/100,"")</f>
        <v>0</v>
      </c>
      <c r="BB36" s="67">
        <f>IFERROR(AS36*'⛽ المبيعات الشهرية'!AU35/100,"")</f>
        <v>0</v>
      </c>
      <c r="BC36" s="61">
        <f>IFERROR(AS36*'⛽ المبيعات الشهرية'!AV35/100,"")</f>
        <v>0</v>
      </c>
      <c r="BD36" s="67">
        <f>IFERROR(AS36*'⛽ المبيعات الشهرية'!AW35/100,"")</f>
        <v>0</v>
      </c>
      <c r="BE36" s="61">
        <f>IFERROR(AS36*'⛽ المبيعات الشهرية'!AX35/100,"")</f>
        <v>0</v>
      </c>
      <c r="BF36" s="42">
        <f t="shared" si="3"/>
        <v>0</v>
      </c>
      <c r="BG36" s="68">
        <f t="shared" si="4"/>
        <v>0</v>
      </c>
    </row>
    <row r="37" spans="1:59" ht="21.75" customHeight="1" x14ac:dyDescent="0.35">
      <c r="A37" s="58" t="s">
        <v>120</v>
      </c>
      <c r="B37" s="36" t="str">
        <f>'📋 بيانات المحطات'!B36</f>
        <v>العزيزية بن دهيش</v>
      </c>
      <c r="C37" s="59">
        <f>'📋 بيانات المحطات'!H36</f>
        <v>0</v>
      </c>
      <c r="D37" s="60">
        <f>IFERROR(C37*'⛽ المبيعات الشهرية'!C36/100,"")</f>
        <v>0</v>
      </c>
      <c r="E37" s="61">
        <f>IFERROR(C37*'⛽ المبيعات الشهرية'!D36/100,"")</f>
        <v>0</v>
      </c>
      <c r="F37" s="60">
        <f>IFERROR(C37*'⛽ المبيعات الشهرية'!E36/100,"")</f>
        <v>0</v>
      </c>
      <c r="G37" s="61">
        <f>IFERROR(C37*'⛽ المبيعات الشهرية'!F36/100,"")</f>
        <v>0</v>
      </c>
      <c r="H37" s="60">
        <f>IFERROR(C37*'⛽ المبيعات الشهرية'!G36/100,"")</f>
        <v>0</v>
      </c>
      <c r="I37" s="61">
        <f>IFERROR(C37*'⛽ المبيعات الشهرية'!H36/100,"")</f>
        <v>0</v>
      </c>
      <c r="J37" s="60">
        <f>IFERROR(C37*'⛽ المبيعات الشهرية'!I36/100,"")</f>
        <v>0</v>
      </c>
      <c r="K37" s="61">
        <f>IFERROR(C37*'⛽ المبيعات الشهرية'!J36/100,"")</f>
        <v>0</v>
      </c>
      <c r="L37" s="60">
        <f>IFERROR(C37*'⛽ المبيعات الشهرية'!K36/100,"")</f>
        <v>0</v>
      </c>
      <c r="M37" s="61">
        <f>IFERROR(C37*'⛽ المبيعات الشهرية'!L36/100,"")</f>
        <v>0</v>
      </c>
      <c r="N37" s="60">
        <f>IFERROR(C37*'⛽ المبيعات الشهرية'!M36/100,"")</f>
        <v>0</v>
      </c>
      <c r="O37" s="61">
        <f>IFERROR(C37*'⛽ المبيعات الشهرية'!N36/100,"")</f>
        <v>0</v>
      </c>
      <c r="P37" s="42">
        <f t="shared" si="0"/>
        <v>0</v>
      </c>
      <c r="Q37" s="62">
        <f>'📋 بيانات المحطات'!I36</f>
        <v>0</v>
      </c>
      <c r="R37" s="63">
        <f>IFERROR(Q37*'⛽ المبيعات الشهرية'!O36/100,"")</f>
        <v>0</v>
      </c>
      <c r="S37" s="61">
        <f>IFERROR(Q37*'⛽ المبيعات الشهرية'!P36/100,"")</f>
        <v>0</v>
      </c>
      <c r="T37" s="63">
        <f>IFERROR(Q37*'⛽ المبيعات الشهرية'!Q36/100,"")</f>
        <v>0</v>
      </c>
      <c r="U37" s="61">
        <f>IFERROR(Q37*'⛽ المبيعات الشهرية'!R36/100,"")</f>
        <v>0</v>
      </c>
      <c r="V37" s="63">
        <f>IFERROR(Q37*'⛽ المبيعات الشهرية'!S36/100,"")</f>
        <v>0</v>
      </c>
      <c r="W37" s="61">
        <f>IFERROR(Q37*'⛽ المبيعات الشهرية'!T36/100,"")</f>
        <v>0</v>
      </c>
      <c r="X37" s="63">
        <f>IFERROR(Q37*'⛽ المبيعات الشهرية'!U36/100,"")</f>
        <v>0</v>
      </c>
      <c r="Y37" s="61">
        <f>IFERROR(Q37*'⛽ المبيعات الشهرية'!V36/100,"")</f>
        <v>0</v>
      </c>
      <c r="Z37" s="63">
        <f>IFERROR(Q37*'⛽ المبيعات الشهرية'!W36/100,"")</f>
        <v>0</v>
      </c>
      <c r="AA37" s="61">
        <f>IFERROR(Q37*'⛽ المبيعات الشهرية'!X36/100,"")</f>
        <v>0</v>
      </c>
      <c r="AB37" s="63">
        <f>IFERROR(Q37*'⛽ المبيعات الشهرية'!Y36/100,"")</f>
        <v>0</v>
      </c>
      <c r="AC37" s="61">
        <f>IFERROR(Q37*'⛽ المبيعات الشهرية'!Z36/100,"")</f>
        <v>0</v>
      </c>
      <c r="AD37" s="42">
        <f t="shared" si="1"/>
        <v>0</v>
      </c>
      <c r="AE37" s="64">
        <f>'📋 بيانات المحطات'!J36</f>
        <v>0</v>
      </c>
      <c r="AF37" s="65">
        <f>IFERROR(AE37*'⛽ المبيعات الشهرية'!AA36/100,"")</f>
        <v>0</v>
      </c>
      <c r="AG37" s="61">
        <f>IFERROR(AE37*'⛽ المبيعات الشهرية'!AB36/100,"")</f>
        <v>0</v>
      </c>
      <c r="AH37" s="65">
        <f>IFERROR(AE37*'⛽ المبيعات الشهرية'!AC36/100,"")</f>
        <v>0</v>
      </c>
      <c r="AI37" s="61">
        <f>IFERROR(AE37*'⛽ المبيعات الشهرية'!AD36/100,"")</f>
        <v>0</v>
      </c>
      <c r="AJ37" s="65">
        <f>IFERROR(AE37*'⛽ المبيعات الشهرية'!AE36/100,"")</f>
        <v>0</v>
      </c>
      <c r="AK37" s="61">
        <f>IFERROR(AE37*'⛽ المبيعات الشهرية'!AF36/100,"")</f>
        <v>0</v>
      </c>
      <c r="AL37" s="65">
        <f>IFERROR(AE37*'⛽ المبيعات الشهرية'!AG36/100,"")</f>
        <v>0</v>
      </c>
      <c r="AM37" s="61">
        <f>IFERROR(AE37*'⛽ المبيعات الشهرية'!AH36/100,"")</f>
        <v>0</v>
      </c>
      <c r="AN37" s="65">
        <f>IFERROR(AE37*'⛽ المبيعات الشهرية'!AI36/100,"")</f>
        <v>0</v>
      </c>
      <c r="AO37" s="61">
        <f>IFERROR(AE37*'⛽ المبيعات الشهرية'!AJ36/100,"")</f>
        <v>0</v>
      </c>
      <c r="AP37" s="65">
        <f>IFERROR(AE37*'⛽ المبيعات الشهرية'!AK36/100,"")</f>
        <v>0</v>
      </c>
      <c r="AQ37" s="61">
        <f>IFERROR(AE37*'⛽ المبيعات الشهرية'!AL36/100,"")</f>
        <v>0</v>
      </c>
      <c r="AR37" s="42">
        <f t="shared" si="2"/>
        <v>0</v>
      </c>
      <c r="AS37" s="66">
        <f>'📋 بيانات المحطات'!K36</f>
        <v>0</v>
      </c>
      <c r="AT37" s="67">
        <f>IFERROR(AS37*'⛽ المبيعات الشهرية'!AM36/100,"")</f>
        <v>0</v>
      </c>
      <c r="AU37" s="61">
        <f>IFERROR(AS37*'⛽ المبيعات الشهرية'!AN36/100,"")</f>
        <v>0</v>
      </c>
      <c r="AV37" s="67">
        <f>IFERROR(AS37*'⛽ المبيعات الشهرية'!AO36/100,"")</f>
        <v>0</v>
      </c>
      <c r="AW37" s="61">
        <f>IFERROR(AS37*'⛽ المبيعات الشهرية'!AP36/100,"")</f>
        <v>0</v>
      </c>
      <c r="AX37" s="67">
        <f>IFERROR(AS37*'⛽ المبيعات الشهرية'!AQ36/100,"")</f>
        <v>0</v>
      </c>
      <c r="AY37" s="61">
        <f>IFERROR(AS37*'⛽ المبيعات الشهرية'!AR36/100,"")</f>
        <v>0</v>
      </c>
      <c r="AZ37" s="67">
        <f>IFERROR(AS37*'⛽ المبيعات الشهرية'!AS36/100,"")</f>
        <v>0</v>
      </c>
      <c r="BA37" s="61">
        <f>IFERROR(AS37*'⛽ المبيعات الشهرية'!AT36/100,"")</f>
        <v>0</v>
      </c>
      <c r="BB37" s="67">
        <f>IFERROR(AS37*'⛽ المبيعات الشهرية'!AU36/100,"")</f>
        <v>0</v>
      </c>
      <c r="BC37" s="61">
        <f>IFERROR(AS37*'⛽ المبيعات الشهرية'!AV36/100,"")</f>
        <v>0</v>
      </c>
      <c r="BD37" s="67">
        <f>IFERROR(AS37*'⛽ المبيعات الشهرية'!AW36/100,"")</f>
        <v>0</v>
      </c>
      <c r="BE37" s="61">
        <f>IFERROR(AS37*'⛽ المبيعات الشهرية'!AX36/100,"")</f>
        <v>0</v>
      </c>
      <c r="BF37" s="42">
        <f t="shared" si="3"/>
        <v>0</v>
      </c>
      <c r="BG37" s="68">
        <f t="shared" si="4"/>
        <v>0</v>
      </c>
    </row>
    <row r="38" spans="1:59" ht="21.75" customHeight="1" x14ac:dyDescent="0.35">
      <c r="A38" s="69" t="s">
        <v>123</v>
      </c>
      <c r="B38" s="36" t="str">
        <f>'📋 بيانات المحطات'!B37</f>
        <v>الرياض الدائري الشمالي</v>
      </c>
      <c r="C38" s="59">
        <f>'📋 بيانات المحطات'!H37</f>
        <v>0</v>
      </c>
      <c r="D38" s="60">
        <f>IFERROR(C38*'⛽ المبيعات الشهرية'!C37/100,"")</f>
        <v>0</v>
      </c>
      <c r="E38" s="61">
        <f>IFERROR(C38*'⛽ المبيعات الشهرية'!D37/100,"")</f>
        <v>0</v>
      </c>
      <c r="F38" s="60">
        <f>IFERROR(C38*'⛽ المبيعات الشهرية'!E37/100,"")</f>
        <v>0</v>
      </c>
      <c r="G38" s="61">
        <f>IFERROR(C38*'⛽ المبيعات الشهرية'!F37/100,"")</f>
        <v>0</v>
      </c>
      <c r="H38" s="60">
        <f>IFERROR(C38*'⛽ المبيعات الشهرية'!G37/100,"")</f>
        <v>0</v>
      </c>
      <c r="I38" s="61">
        <f>IFERROR(C38*'⛽ المبيعات الشهرية'!H37/100,"")</f>
        <v>0</v>
      </c>
      <c r="J38" s="60">
        <f>IFERROR(C38*'⛽ المبيعات الشهرية'!I37/100,"")</f>
        <v>0</v>
      </c>
      <c r="K38" s="61">
        <f>IFERROR(C38*'⛽ المبيعات الشهرية'!J37/100,"")</f>
        <v>0</v>
      </c>
      <c r="L38" s="60">
        <f>IFERROR(C38*'⛽ المبيعات الشهرية'!K37/100,"")</f>
        <v>0</v>
      </c>
      <c r="M38" s="61">
        <f>IFERROR(C38*'⛽ المبيعات الشهرية'!L37/100,"")</f>
        <v>0</v>
      </c>
      <c r="N38" s="60">
        <f>IFERROR(C38*'⛽ المبيعات الشهرية'!M37/100,"")</f>
        <v>0</v>
      </c>
      <c r="O38" s="61">
        <f>IFERROR(C38*'⛽ المبيعات الشهرية'!N37/100,"")</f>
        <v>0</v>
      </c>
      <c r="P38" s="42">
        <f t="shared" si="0"/>
        <v>0</v>
      </c>
      <c r="Q38" s="62">
        <f>'📋 بيانات المحطات'!I37</f>
        <v>0</v>
      </c>
      <c r="R38" s="63">
        <f>IFERROR(Q38*'⛽ المبيعات الشهرية'!O37/100,"")</f>
        <v>0</v>
      </c>
      <c r="S38" s="61">
        <f>IFERROR(Q38*'⛽ المبيعات الشهرية'!P37/100,"")</f>
        <v>0</v>
      </c>
      <c r="T38" s="63">
        <f>IFERROR(Q38*'⛽ المبيعات الشهرية'!Q37/100,"")</f>
        <v>0</v>
      </c>
      <c r="U38" s="61">
        <f>IFERROR(Q38*'⛽ المبيعات الشهرية'!R37/100,"")</f>
        <v>0</v>
      </c>
      <c r="V38" s="63">
        <f>IFERROR(Q38*'⛽ المبيعات الشهرية'!S37/100,"")</f>
        <v>0</v>
      </c>
      <c r="W38" s="61">
        <f>IFERROR(Q38*'⛽ المبيعات الشهرية'!T37/100,"")</f>
        <v>0</v>
      </c>
      <c r="X38" s="63">
        <f>IFERROR(Q38*'⛽ المبيعات الشهرية'!U37/100,"")</f>
        <v>0</v>
      </c>
      <c r="Y38" s="61">
        <f>IFERROR(Q38*'⛽ المبيعات الشهرية'!V37/100,"")</f>
        <v>0</v>
      </c>
      <c r="Z38" s="63">
        <f>IFERROR(Q38*'⛽ المبيعات الشهرية'!W37/100,"")</f>
        <v>0</v>
      </c>
      <c r="AA38" s="61">
        <f>IFERROR(Q38*'⛽ المبيعات الشهرية'!X37/100,"")</f>
        <v>0</v>
      </c>
      <c r="AB38" s="63">
        <f>IFERROR(Q38*'⛽ المبيعات الشهرية'!Y37/100,"")</f>
        <v>0</v>
      </c>
      <c r="AC38" s="61">
        <f>IFERROR(Q38*'⛽ المبيعات الشهرية'!Z37/100,"")</f>
        <v>0</v>
      </c>
      <c r="AD38" s="42">
        <f t="shared" si="1"/>
        <v>0</v>
      </c>
      <c r="AE38" s="64">
        <f>'📋 بيانات المحطات'!J37</f>
        <v>0</v>
      </c>
      <c r="AF38" s="65">
        <f>IFERROR(AE38*'⛽ المبيعات الشهرية'!AA37/100,"")</f>
        <v>0</v>
      </c>
      <c r="AG38" s="61">
        <f>IFERROR(AE38*'⛽ المبيعات الشهرية'!AB37/100,"")</f>
        <v>0</v>
      </c>
      <c r="AH38" s="65">
        <f>IFERROR(AE38*'⛽ المبيعات الشهرية'!AC37/100,"")</f>
        <v>0</v>
      </c>
      <c r="AI38" s="61">
        <f>IFERROR(AE38*'⛽ المبيعات الشهرية'!AD37/100,"")</f>
        <v>0</v>
      </c>
      <c r="AJ38" s="65">
        <f>IFERROR(AE38*'⛽ المبيعات الشهرية'!AE37/100,"")</f>
        <v>0</v>
      </c>
      <c r="AK38" s="61">
        <f>IFERROR(AE38*'⛽ المبيعات الشهرية'!AF37/100,"")</f>
        <v>0</v>
      </c>
      <c r="AL38" s="65">
        <f>IFERROR(AE38*'⛽ المبيعات الشهرية'!AG37/100,"")</f>
        <v>0</v>
      </c>
      <c r="AM38" s="61">
        <f>IFERROR(AE38*'⛽ المبيعات الشهرية'!AH37/100,"")</f>
        <v>0</v>
      </c>
      <c r="AN38" s="65">
        <f>IFERROR(AE38*'⛽ المبيعات الشهرية'!AI37/100,"")</f>
        <v>0</v>
      </c>
      <c r="AO38" s="61">
        <f>IFERROR(AE38*'⛽ المبيعات الشهرية'!AJ37/100,"")</f>
        <v>0</v>
      </c>
      <c r="AP38" s="65">
        <f>IFERROR(AE38*'⛽ المبيعات الشهرية'!AK37/100,"")</f>
        <v>0</v>
      </c>
      <c r="AQ38" s="61">
        <f>IFERROR(AE38*'⛽ المبيعات الشهرية'!AL37/100,"")</f>
        <v>0</v>
      </c>
      <c r="AR38" s="42">
        <f t="shared" si="2"/>
        <v>0</v>
      </c>
      <c r="AS38" s="66">
        <f>'📋 بيانات المحطات'!K37</f>
        <v>0</v>
      </c>
      <c r="AT38" s="67">
        <f>IFERROR(AS38*'⛽ المبيعات الشهرية'!AM37/100,"")</f>
        <v>0</v>
      </c>
      <c r="AU38" s="61">
        <f>IFERROR(AS38*'⛽ المبيعات الشهرية'!AN37/100,"")</f>
        <v>0</v>
      </c>
      <c r="AV38" s="67">
        <f>IFERROR(AS38*'⛽ المبيعات الشهرية'!AO37/100,"")</f>
        <v>0</v>
      </c>
      <c r="AW38" s="61">
        <f>IFERROR(AS38*'⛽ المبيعات الشهرية'!AP37/100,"")</f>
        <v>0</v>
      </c>
      <c r="AX38" s="67">
        <f>IFERROR(AS38*'⛽ المبيعات الشهرية'!AQ37/100,"")</f>
        <v>0</v>
      </c>
      <c r="AY38" s="61">
        <f>IFERROR(AS38*'⛽ المبيعات الشهرية'!AR37/100,"")</f>
        <v>0</v>
      </c>
      <c r="AZ38" s="67">
        <f>IFERROR(AS38*'⛽ المبيعات الشهرية'!AS37/100,"")</f>
        <v>0</v>
      </c>
      <c r="BA38" s="61">
        <f>IFERROR(AS38*'⛽ المبيعات الشهرية'!AT37/100,"")</f>
        <v>0</v>
      </c>
      <c r="BB38" s="67">
        <f>IFERROR(AS38*'⛽ المبيعات الشهرية'!AU37/100,"")</f>
        <v>0</v>
      </c>
      <c r="BC38" s="61">
        <f>IFERROR(AS38*'⛽ المبيعات الشهرية'!AV37/100,"")</f>
        <v>0</v>
      </c>
      <c r="BD38" s="67">
        <f>IFERROR(AS38*'⛽ المبيعات الشهرية'!AW37/100,"")</f>
        <v>0</v>
      </c>
      <c r="BE38" s="61">
        <f>IFERROR(AS38*'⛽ المبيعات الشهرية'!AX37/100,"")</f>
        <v>0</v>
      </c>
      <c r="BF38" s="42">
        <f t="shared" si="3"/>
        <v>0</v>
      </c>
      <c r="BG38" s="68">
        <f t="shared" si="4"/>
        <v>0</v>
      </c>
    </row>
    <row r="39" spans="1:59" ht="21.75" customHeight="1" x14ac:dyDescent="0.35">
      <c r="A39" s="58" t="s">
        <v>126</v>
      </c>
      <c r="B39" s="36" t="str">
        <f>'📋 بيانات المحطات'!B38</f>
        <v>الكر النازل</v>
      </c>
      <c r="C39" s="59">
        <f>'📋 بيانات المحطات'!H38</f>
        <v>0</v>
      </c>
      <c r="D39" s="60">
        <f>IFERROR(C39*'⛽ المبيعات الشهرية'!C38/100,"")</f>
        <v>0</v>
      </c>
      <c r="E39" s="61">
        <f>IFERROR(C39*'⛽ المبيعات الشهرية'!D38/100,"")</f>
        <v>0</v>
      </c>
      <c r="F39" s="60">
        <f>IFERROR(C39*'⛽ المبيعات الشهرية'!E38/100,"")</f>
        <v>0</v>
      </c>
      <c r="G39" s="61">
        <f>IFERROR(C39*'⛽ المبيعات الشهرية'!F38/100,"")</f>
        <v>0</v>
      </c>
      <c r="H39" s="60">
        <f>IFERROR(C39*'⛽ المبيعات الشهرية'!G38/100,"")</f>
        <v>0</v>
      </c>
      <c r="I39" s="61">
        <f>IFERROR(C39*'⛽ المبيعات الشهرية'!H38/100,"")</f>
        <v>0</v>
      </c>
      <c r="J39" s="60">
        <f>IFERROR(C39*'⛽ المبيعات الشهرية'!I38/100,"")</f>
        <v>0</v>
      </c>
      <c r="K39" s="61">
        <f>IFERROR(C39*'⛽ المبيعات الشهرية'!J38/100,"")</f>
        <v>0</v>
      </c>
      <c r="L39" s="60">
        <f>IFERROR(C39*'⛽ المبيعات الشهرية'!K38/100,"")</f>
        <v>0</v>
      </c>
      <c r="M39" s="61">
        <f>IFERROR(C39*'⛽ المبيعات الشهرية'!L38/100,"")</f>
        <v>0</v>
      </c>
      <c r="N39" s="60">
        <f>IFERROR(C39*'⛽ المبيعات الشهرية'!M38/100,"")</f>
        <v>0</v>
      </c>
      <c r="O39" s="61">
        <f>IFERROR(C39*'⛽ المبيعات الشهرية'!N38/100,"")</f>
        <v>0</v>
      </c>
      <c r="P39" s="42">
        <f t="shared" ref="P39:P70" si="5">IFERROR(SUM(D39:O39),"")</f>
        <v>0</v>
      </c>
      <c r="Q39" s="62">
        <f>'📋 بيانات المحطات'!I38</f>
        <v>0</v>
      </c>
      <c r="R39" s="63">
        <f>IFERROR(Q39*'⛽ المبيعات الشهرية'!O38/100,"")</f>
        <v>0</v>
      </c>
      <c r="S39" s="61">
        <f>IFERROR(Q39*'⛽ المبيعات الشهرية'!P38/100,"")</f>
        <v>0</v>
      </c>
      <c r="T39" s="63">
        <f>IFERROR(Q39*'⛽ المبيعات الشهرية'!Q38/100,"")</f>
        <v>0</v>
      </c>
      <c r="U39" s="61">
        <f>IFERROR(Q39*'⛽ المبيعات الشهرية'!R38/100,"")</f>
        <v>0</v>
      </c>
      <c r="V39" s="63">
        <f>IFERROR(Q39*'⛽ المبيعات الشهرية'!S38/100,"")</f>
        <v>0</v>
      </c>
      <c r="W39" s="61">
        <f>IFERROR(Q39*'⛽ المبيعات الشهرية'!T38/100,"")</f>
        <v>0</v>
      </c>
      <c r="X39" s="63">
        <f>IFERROR(Q39*'⛽ المبيعات الشهرية'!U38/100,"")</f>
        <v>0</v>
      </c>
      <c r="Y39" s="61">
        <f>IFERROR(Q39*'⛽ المبيعات الشهرية'!V38/100,"")</f>
        <v>0</v>
      </c>
      <c r="Z39" s="63">
        <f>IFERROR(Q39*'⛽ المبيعات الشهرية'!W38/100,"")</f>
        <v>0</v>
      </c>
      <c r="AA39" s="61">
        <f>IFERROR(Q39*'⛽ المبيعات الشهرية'!X38/100,"")</f>
        <v>0</v>
      </c>
      <c r="AB39" s="63">
        <f>IFERROR(Q39*'⛽ المبيعات الشهرية'!Y38/100,"")</f>
        <v>0</v>
      </c>
      <c r="AC39" s="61">
        <f>IFERROR(Q39*'⛽ المبيعات الشهرية'!Z38/100,"")</f>
        <v>0</v>
      </c>
      <c r="AD39" s="42">
        <f t="shared" ref="AD39:AD70" si="6">IFERROR(SUM(R39:AC39),"")</f>
        <v>0</v>
      </c>
      <c r="AE39" s="64">
        <f>'📋 بيانات المحطات'!J38</f>
        <v>0</v>
      </c>
      <c r="AF39" s="65">
        <f>IFERROR(AE39*'⛽ المبيعات الشهرية'!AA38/100,"")</f>
        <v>0</v>
      </c>
      <c r="AG39" s="61">
        <f>IFERROR(AE39*'⛽ المبيعات الشهرية'!AB38/100,"")</f>
        <v>0</v>
      </c>
      <c r="AH39" s="65">
        <f>IFERROR(AE39*'⛽ المبيعات الشهرية'!AC38/100,"")</f>
        <v>0</v>
      </c>
      <c r="AI39" s="61">
        <f>IFERROR(AE39*'⛽ المبيعات الشهرية'!AD38/100,"")</f>
        <v>0</v>
      </c>
      <c r="AJ39" s="65">
        <f>IFERROR(AE39*'⛽ المبيعات الشهرية'!AE38/100,"")</f>
        <v>0</v>
      </c>
      <c r="AK39" s="61">
        <f>IFERROR(AE39*'⛽ المبيعات الشهرية'!AF38/100,"")</f>
        <v>0</v>
      </c>
      <c r="AL39" s="65">
        <f>IFERROR(AE39*'⛽ المبيعات الشهرية'!AG38/100,"")</f>
        <v>0</v>
      </c>
      <c r="AM39" s="61">
        <f>IFERROR(AE39*'⛽ المبيعات الشهرية'!AH38/100,"")</f>
        <v>0</v>
      </c>
      <c r="AN39" s="65">
        <f>IFERROR(AE39*'⛽ المبيعات الشهرية'!AI38/100,"")</f>
        <v>0</v>
      </c>
      <c r="AO39" s="61">
        <f>IFERROR(AE39*'⛽ المبيعات الشهرية'!AJ38/100,"")</f>
        <v>0</v>
      </c>
      <c r="AP39" s="65">
        <f>IFERROR(AE39*'⛽ المبيعات الشهرية'!AK38/100,"")</f>
        <v>0</v>
      </c>
      <c r="AQ39" s="61">
        <f>IFERROR(AE39*'⛽ المبيعات الشهرية'!AL38/100,"")</f>
        <v>0</v>
      </c>
      <c r="AR39" s="42">
        <f t="shared" ref="AR39:AR70" si="7">IFERROR(SUM(AF39:AQ39),"")</f>
        <v>0</v>
      </c>
      <c r="AS39" s="66">
        <f>'📋 بيانات المحطات'!K38</f>
        <v>0</v>
      </c>
      <c r="AT39" s="67">
        <f>IFERROR(AS39*'⛽ المبيعات الشهرية'!AM38/100,"")</f>
        <v>0</v>
      </c>
      <c r="AU39" s="61">
        <f>IFERROR(AS39*'⛽ المبيعات الشهرية'!AN38/100,"")</f>
        <v>0</v>
      </c>
      <c r="AV39" s="67">
        <f>IFERROR(AS39*'⛽ المبيعات الشهرية'!AO38/100,"")</f>
        <v>0</v>
      </c>
      <c r="AW39" s="61">
        <f>IFERROR(AS39*'⛽ المبيعات الشهرية'!AP38/100,"")</f>
        <v>0</v>
      </c>
      <c r="AX39" s="67">
        <f>IFERROR(AS39*'⛽ المبيعات الشهرية'!AQ38/100,"")</f>
        <v>0</v>
      </c>
      <c r="AY39" s="61">
        <f>IFERROR(AS39*'⛽ المبيعات الشهرية'!AR38/100,"")</f>
        <v>0</v>
      </c>
      <c r="AZ39" s="67">
        <f>IFERROR(AS39*'⛽ المبيعات الشهرية'!AS38/100,"")</f>
        <v>0</v>
      </c>
      <c r="BA39" s="61">
        <f>IFERROR(AS39*'⛽ المبيعات الشهرية'!AT38/100,"")</f>
        <v>0</v>
      </c>
      <c r="BB39" s="67">
        <f>IFERROR(AS39*'⛽ المبيعات الشهرية'!AU38/100,"")</f>
        <v>0</v>
      </c>
      <c r="BC39" s="61">
        <f>IFERROR(AS39*'⛽ المبيعات الشهرية'!AV38/100,"")</f>
        <v>0</v>
      </c>
      <c r="BD39" s="67">
        <f>IFERROR(AS39*'⛽ المبيعات الشهرية'!AW38/100,"")</f>
        <v>0</v>
      </c>
      <c r="BE39" s="61">
        <f>IFERROR(AS39*'⛽ المبيعات الشهرية'!AX38/100,"")</f>
        <v>0</v>
      </c>
      <c r="BF39" s="42">
        <f t="shared" ref="BF39:BF70" si="8">IFERROR(SUM(AT39:BE39),"")</f>
        <v>0</v>
      </c>
      <c r="BG39" s="68">
        <f t="shared" ref="BG39:BG70" si="9">IFERROR(P39+AD39+AR39+BF39,"")</f>
        <v>0</v>
      </c>
    </row>
    <row r="40" spans="1:59" ht="21.75" customHeight="1" x14ac:dyDescent="0.35">
      <c r="A40" s="69" t="s">
        <v>129</v>
      </c>
      <c r="B40" s="36" t="str">
        <f>'📋 بيانات المحطات'!B39</f>
        <v>كرنيش جيزان</v>
      </c>
      <c r="C40" s="59">
        <f>'📋 بيانات المحطات'!H39</f>
        <v>0</v>
      </c>
      <c r="D40" s="60">
        <f>IFERROR(C40*'⛽ المبيعات الشهرية'!C39/100,"")</f>
        <v>0</v>
      </c>
      <c r="E40" s="61">
        <f>IFERROR(C40*'⛽ المبيعات الشهرية'!D39/100,"")</f>
        <v>0</v>
      </c>
      <c r="F40" s="60">
        <f>IFERROR(C40*'⛽ المبيعات الشهرية'!E39/100,"")</f>
        <v>0</v>
      </c>
      <c r="G40" s="61">
        <f>IFERROR(C40*'⛽ المبيعات الشهرية'!F39/100,"")</f>
        <v>0</v>
      </c>
      <c r="H40" s="60">
        <f>IFERROR(C40*'⛽ المبيعات الشهرية'!G39/100,"")</f>
        <v>0</v>
      </c>
      <c r="I40" s="61">
        <f>IFERROR(C40*'⛽ المبيعات الشهرية'!H39/100,"")</f>
        <v>0</v>
      </c>
      <c r="J40" s="60">
        <f>IFERROR(C40*'⛽ المبيعات الشهرية'!I39/100,"")</f>
        <v>0</v>
      </c>
      <c r="K40" s="61">
        <f>IFERROR(C40*'⛽ المبيعات الشهرية'!J39/100,"")</f>
        <v>0</v>
      </c>
      <c r="L40" s="60">
        <f>IFERROR(C40*'⛽ المبيعات الشهرية'!K39/100,"")</f>
        <v>0</v>
      </c>
      <c r="M40" s="61">
        <f>IFERROR(C40*'⛽ المبيعات الشهرية'!L39/100,"")</f>
        <v>0</v>
      </c>
      <c r="N40" s="60">
        <f>IFERROR(C40*'⛽ المبيعات الشهرية'!M39/100,"")</f>
        <v>0</v>
      </c>
      <c r="O40" s="61">
        <f>IFERROR(C40*'⛽ المبيعات الشهرية'!N39/100,"")</f>
        <v>0</v>
      </c>
      <c r="P40" s="42">
        <f t="shared" si="5"/>
        <v>0</v>
      </c>
      <c r="Q40" s="62">
        <f>'📋 بيانات المحطات'!I39</f>
        <v>0</v>
      </c>
      <c r="R40" s="63">
        <f>IFERROR(Q40*'⛽ المبيعات الشهرية'!O39/100,"")</f>
        <v>0</v>
      </c>
      <c r="S40" s="61">
        <f>IFERROR(Q40*'⛽ المبيعات الشهرية'!P39/100,"")</f>
        <v>0</v>
      </c>
      <c r="T40" s="63">
        <f>IFERROR(Q40*'⛽ المبيعات الشهرية'!Q39/100,"")</f>
        <v>0</v>
      </c>
      <c r="U40" s="61">
        <f>IFERROR(Q40*'⛽ المبيعات الشهرية'!R39/100,"")</f>
        <v>0</v>
      </c>
      <c r="V40" s="63">
        <f>IFERROR(Q40*'⛽ المبيعات الشهرية'!S39/100,"")</f>
        <v>0</v>
      </c>
      <c r="W40" s="61">
        <f>IFERROR(Q40*'⛽ المبيعات الشهرية'!T39/100,"")</f>
        <v>0</v>
      </c>
      <c r="X40" s="63">
        <f>IFERROR(Q40*'⛽ المبيعات الشهرية'!U39/100,"")</f>
        <v>0</v>
      </c>
      <c r="Y40" s="61">
        <f>IFERROR(Q40*'⛽ المبيعات الشهرية'!V39/100,"")</f>
        <v>0</v>
      </c>
      <c r="Z40" s="63">
        <f>IFERROR(Q40*'⛽ المبيعات الشهرية'!W39/100,"")</f>
        <v>0</v>
      </c>
      <c r="AA40" s="61">
        <f>IFERROR(Q40*'⛽ المبيعات الشهرية'!X39/100,"")</f>
        <v>0</v>
      </c>
      <c r="AB40" s="63">
        <f>IFERROR(Q40*'⛽ المبيعات الشهرية'!Y39/100,"")</f>
        <v>0</v>
      </c>
      <c r="AC40" s="61">
        <f>IFERROR(Q40*'⛽ المبيعات الشهرية'!Z39/100,"")</f>
        <v>0</v>
      </c>
      <c r="AD40" s="42">
        <f t="shared" si="6"/>
        <v>0</v>
      </c>
      <c r="AE40" s="64">
        <f>'📋 بيانات المحطات'!J39</f>
        <v>0</v>
      </c>
      <c r="AF40" s="65">
        <f>IFERROR(AE40*'⛽ المبيعات الشهرية'!AA39/100,"")</f>
        <v>0</v>
      </c>
      <c r="AG40" s="61">
        <f>IFERROR(AE40*'⛽ المبيعات الشهرية'!AB39/100,"")</f>
        <v>0</v>
      </c>
      <c r="AH40" s="65">
        <f>IFERROR(AE40*'⛽ المبيعات الشهرية'!AC39/100,"")</f>
        <v>0</v>
      </c>
      <c r="AI40" s="61">
        <f>IFERROR(AE40*'⛽ المبيعات الشهرية'!AD39/100,"")</f>
        <v>0</v>
      </c>
      <c r="AJ40" s="65">
        <f>IFERROR(AE40*'⛽ المبيعات الشهرية'!AE39/100,"")</f>
        <v>0</v>
      </c>
      <c r="AK40" s="61">
        <f>IFERROR(AE40*'⛽ المبيعات الشهرية'!AF39/100,"")</f>
        <v>0</v>
      </c>
      <c r="AL40" s="65">
        <f>IFERROR(AE40*'⛽ المبيعات الشهرية'!AG39/100,"")</f>
        <v>0</v>
      </c>
      <c r="AM40" s="61">
        <f>IFERROR(AE40*'⛽ المبيعات الشهرية'!AH39/100,"")</f>
        <v>0</v>
      </c>
      <c r="AN40" s="65">
        <f>IFERROR(AE40*'⛽ المبيعات الشهرية'!AI39/100,"")</f>
        <v>0</v>
      </c>
      <c r="AO40" s="61">
        <f>IFERROR(AE40*'⛽ المبيعات الشهرية'!AJ39/100,"")</f>
        <v>0</v>
      </c>
      <c r="AP40" s="65">
        <f>IFERROR(AE40*'⛽ المبيعات الشهرية'!AK39/100,"")</f>
        <v>0</v>
      </c>
      <c r="AQ40" s="61">
        <f>IFERROR(AE40*'⛽ المبيعات الشهرية'!AL39/100,"")</f>
        <v>0</v>
      </c>
      <c r="AR40" s="42">
        <f t="shared" si="7"/>
        <v>0</v>
      </c>
      <c r="AS40" s="66">
        <f>'📋 بيانات المحطات'!K39</f>
        <v>0</v>
      </c>
      <c r="AT40" s="67">
        <f>IFERROR(AS40*'⛽ المبيعات الشهرية'!AM39/100,"")</f>
        <v>0</v>
      </c>
      <c r="AU40" s="61">
        <f>IFERROR(AS40*'⛽ المبيعات الشهرية'!AN39/100,"")</f>
        <v>0</v>
      </c>
      <c r="AV40" s="67">
        <f>IFERROR(AS40*'⛽ المبيعات الشهرية'!AO39/100,"")</f>
        <v>0</v>
      </c>
      <c r="AW40" s="61">
        <f>IFERROR(AS40*'⛽ المبيعات الشهرية'!AP39/100,"")</f>
        <v>0</v>
      </c>
      <c r="AX40" s="67">
        <f>IFERROR(AS40*'⛽ المبيعات الشهرية'!AQ39/100,"")</f>
        <v>0</v>
      </c>
      <c r="AY40" s="61">
        <f>IFERROR(AS40*'⛽ المبيعات الشهرية'!AR39/100,"")</f>
        <v>0</v>
      </c>
      <c r="AZ40" s="67">
        <f>IFERROR(AS40*'⛽ المبيعات الشهرية'!AS39/100,"")</f>
        <v>0</v>
      </c>
      <c r="BA40" s="61">
        <f>IFERROR(AS40*'⛽ المبيعات الشهرية'!AT39/100,"")</f>
        <v>0</v>
      </c>
      <c r="BB40" s="67">
        <f>IFERROR(AS40*'⛽ المبيعات الشهرية'!AU39/100,"")</f>
        <v>0</v>
      </c>
      <c r="BC40" s="61">
        <f>IFERROR(AS40*'⛽ المبيعات الشهرية'!AV39/100,"")</f>
        <v>0</v>
      </c>
      <c r="BD40" s="67">
        <f>IFERROR(AS40*'⛽ المبيعات الشهرية'!AW39/100,"")</f>
        <v>0</v>
      </c>
      <c r="BE40" s="61">
        <f>IFERROR(AS40*'⛽ المبيعات الشهرية'!AX39/100,"")</f>
        <v>0</v>
      </c>
      <c r="BF40" s="42">
        <f t="shared" si="8"/>
        <v>0</v>
      </c>
      <c r="BG40" s="68">
        <f t="shared" si="9"/>
        <v>0</v>
      </c>
    </row>
    <row r="41" spans="1:59" ht="21.75" customHeight="1" x14ac:dyDescent="0.35">
      <c r="A41" s="58" t="s">
        <v>132</v>
      </c>
      <c r="B41" s="36" t="str">
        <f>'📋 بيانات المحطات'!B40</f>
        <v>الخليص</v>
      </c>
      <c r="C41" s="59">
        <f>'📋 بيانات المحطات'!H40</f>
        <v>0</v>
      </c>
      <c r="D41" s="60">
        <f>IFERROR(C41*'⛽ المبيعات الشهرية'!C40/100,"")</f>
        <v>0</v>
      </c>
      <c r="E41" s="61">
        <f>IFERROR(C41*'⛽ المبيعات الشهرية'!D40/100,"")</f>
        <v>0</v>
      </c>
      <c r="F41" s="60">
        <f>IFERROR(C41*'⛽ المبيعات الشهرية'!E40/100,"")</f>
        <v>0</v>
      </c>
      <c r="G41" s="61">
        <f>IFERROR(C41*'⛽ المبيعات الشهرية'!F40/100,"")</f>
        <v>0</v>
      </c>
      <c r="H41" s="60">
        <f>IFERROR(C41*'⛽ المبيعات الشهرية'!G40/100,"")</f>
        <v>0</v>
      </c>
      <c r="I41" s="61">
        <f>IFERROR(C41*'⛽ المبيعات الشهرية'!H40/100,"")</f>
        <v>0</v>
      </c>
      <c r="J41" s="60">
        <f>IFERROR(C41*'⛽ المبيعات الشهرية'!I40/100,"")</f>
        <v>0</v>
      </c>
      <c r="K41" s="61">
        <f>IFERROR(C41*'⛽ المبيعات الشهرية'!J40/100,"")</f>
        <v>0</v>
      </c>
      <c r="L41" s="60">
        <f>IFERROR(C41*'⛽ المبيعات الشهرية'!K40/100,"")</f>
        <v>0</v>
      </c>
      <c r="M41" s="61">
        <f>IFERROR(C41*'⛽ المبيعات الشهرية'!L40/100,"")</f>
        <v>0</v>
      </c>
      <c r="N41" s="60">
        <f>IFERROR(C41*'⛽ المبيعات الشهرية'!M40/100,"")</f>
        <v>0</v>
      </c>
      <c r="O41" s="61">
        <f>IFERROR(C41*'⛽ المبيعات الشهرية'!N40/100,"")</f>
        <v>0</v>
      </c>
      <c r="P41" s="42">
        <f t="shared" si="5"/>
        <v>0</v>
      </c>
      <c r="Q41" s="62">
        <f>'📋 بيانات المحطات'!I40</f>
        <v>0</v>
      </c>
      <c r="R41" s="63">
        <f>IFERROR(Q41*'⛽ المبيعات الشهرية'!O40/100,"")</f>
        <v>0</v>
      </c>
      <c r="S41" s="61">
        <f>IFERROR(Q41*'⛽ المبيعات الشهرية'!P40/100,"")</f>
        <v>0</v>
      </c>
      <c r="T41" s="63">
        <f>IFERROR(Q41*'⛽ المبيعات الشهرية'!Q40/100,"")</f>
        <v>0</v>
      </c>
      <c r="U41" s="61">
        <f>IFERROR(Q41*'⛽ المبيعات الشهرية'!R40/100,"")</f>
        <v>0</v>
      </c>
      <c r="V41" s="63">
        <f>IFERROR(Q41*'⛽ المبيعات الشهرية'!S40/100,"")</f>
        <v>0</v>
      </c>
      <c r="W41" s="61">
        <f>IFERROR(Q41*'⛽ المبيعات الشهرية'!T40/100,"")</f>
        <v>0</v>
      </c>
      <c r="X41" s="63">
        <f>IFERROR(Q41*'⛽ المبيعات الشهرية'!U40/100,"")</f>
        <v>0</v>
      </c>
      <c r="Y41" s="61">
        <f>IFERROR(Q41*'⛽ المبيعات الشهرية'!V40/100,"")</f>
        <v>0</v>
      </c>
      <c r="Z41" s="63">
        <f>IFERROR(Q41*'⛽ المبيعات الشهرية'!W40/100,"")</f>
        <v>0</v>
      </c>
      <c r="AA41" s="61">
        <f>IFERROR(Q41*'⛽ المبيعات الشهرية'!X40/100,"")</f>
        <v>0</v>
      </c>
      <c r="AB41" s="63">
        <f>IFERROR(Q41*'⛽ المبيعات الشهرية'!Y40/100,"")</f>
        <v>0</v>
      </c>
      <c r="AC41" s="61">
        <f>IFERROR(Q41*'⛽ المبيعات الشهرية'!Z40/100,"")</f>
        <v>0</v>
      </c>
      <c r="AD41" s="42">
        <f t="shared" si="6"/>
        <v>0</v>
      </c>
      <c r="AE41" s="64">
        <f>'📋 بيانات المحطات'!J40</f>
        <v>0</v>
      </c>
      <c r="AF41" s="65">
        <f>IFERROR(AE41*'⛽ المبيعات الشهرية'!AA40/100,"")</f>
        <v>0</v>
      </c>
      <c r="AG41" s="61">
        <f>IFERROR(AE41*'⛽ المبيعات الشهرية'!AB40/100,"")</f>
        <v>0</v>
      </c>
      <c r="AH41" s="65">
        <f>IFERROR(AE41*'⛽ المبيعات الشهرية'!AC40/100,"")</f>
        <v>0</v>
      </c>
      <c r="AI41" s="61">
        <f>IFERROR(AE41*'⛽ المبيعات الشهرية'!AD40/100,"")</f>
        <v>0</v>
      </c>
      <c r="AJ41" s="65">
        <f>IFERROR(AE41*'⛽ المبيعات الشهرية'!AE40/100,"")</f>
        <v>0</v>
      </c>
      <c r="AK41" s="61">
        <f>IFERROR(AE41*'⛽ المبيعات الشهرية'!AF40/100,"")</f>
        <v>0</v>
      </c>
      <c r="AL41" s="65">
        <f>IFERROR(AE41*'⛽ المبيعات الشهرية'!AG40/100,"")</f>
        <v>0</v>
      </c>
      <c r="AM41" s="61">
        <f>IFERROR(AE41*'⛽ المبيعات الشهرية'!AH40/100,"")</f>
        <v>0</v>
      </c>
      <c r="AN41" s="65">
        <f>IFERROR(AE41*'⛽ المبيعات الشهرية'!AI40/100,"")</f>
        <v>0</v>
      </c>
      <c r="AO41" s="61">
        <f>IFERROR(AE41*'⛽ المبيعات الشهرية'!AJ40/100,"")</f>
        <v>0</v>
      </c>
      <c r="AP41" s="65">
        <f>IFERROR(AE41*'⛽ المبيعات الشهرية'!AK40/100,"")</f>
        <v>0</v>
      </c>
      <c r="AQ41" s="61">
        <f>IFERROR(AE41*'⛽ المبيعات الشهرية'!AL40/100,"")</f>
        <v>0</v>
      </c>
      <c r="AR41" s="42">
        <f t="shared" si="7"/>
        <v>0</v>
      </c>
      <c r="AS41" s="66">
        <f>'📋 بيانات المحطات'!K40</f>
        <v>0</v>
      </c>
      <c r="AT41" s="67">
        <f>IFERROR(AS41*'⛽ المبيعات الشهرية'!AM40/100,"")</f>
        <v>0</v>
      </c>
      <c r="AU41" s="61">
        <f>IFERROR(AS41*'⛽ المبيعات الشهرية'!AN40/100,"")</f>
        <v>0</v>
      </c>
      <c r="AV41" s="67">
        <f>IFERROR(AS41*'⛽ المبيعات الشهرية'!AO40/100,"")</f>
        <v>0</v>
      </c>
      <c r="AW41" s="61">
        <f>IFERROR(AS41*'⛽ المبيعات الشهرية'!AP40/100,"")</f>
        <v>0</v>
      </c>
      <c r="AX41" s="67">
        <f>IFERROR(AS41*'⛽ المبيعات الشهرية'!AQ40/100,"")</f>
        <v>0</v>
      </c>
      <c r="AY41" s="61">
        <f>IFERROR(AS41*'⛽ المبيعات الشهرية'!AR40/100,"")</f>
        <v>0</v>
      </c>
      <c r="AZ41" s="67">
        <f>IFERROR(AS41*'⛽ المبيعات الشهرية'!AS40/100,"")</f>
        <v>0</v>
      </c>
      <c r="BA41" s="61">
        <f>IFERROR(AS41*'⛽ المبيعات الشهرية'!AT40/100,"")</f>
        <v>0</v>
      </c>
      <c r="BB41" s="67">
        <f>IFERROR(AS41*'⛽ المبيعات الشهرية'!AU40/100,"")</f>
        <v>0</v>
      </c>
      <c r="BC41" s="61">
        <f>IFERROR(AS41*'⛽ المبيعات الشهرية'!AV40/100,"")</f>
        <v>0</v>
      </c>
      <c r="BD41" s="67">
        <f>IFERROR(AS41*'⛽ المبيعات الشهرية'!AW40/100,"")</f>
        <v>0</v>
      </c>
      <c r="BE41" s="61">
        <f>IFERROR(AS41*'⛽ المبيعات الشهرية'!AX40/100,"")</f>
        <v>0</v>
      </c>
      <c r="BF41" s="42">
        <f t="shared" si="8"/>
        <v>0</v>
      </c>
      <c r="BG41" s="68">
        <f t="shared" si="9"/>
        <v>0</v>
      </c>
    </row>
    <row r="42" spans="1:59" ht="21.75" customHeight="1" x14ac:dyDescent="0.35">
      <c r="A42" s="69" t="s">
        <v>136</v>
      </c>
      <c r="B42" s="36" t="str">
        <f>'📋 بيانات المحطات'!B41</f>
        <v>صبيا نخلان</v>
      </c>
      <c r="C42" s="59">
        <f>'📋 بيانات المحطات'!H41</f>
        <v>0</v>
      </c>
      <c r="D42" s="60">
        <f>IFERROR(C42*'⛽ المبيعات الشهرية'!C41/100,"")</f>
        <v>0</v>
      </c>
      <c r="E42" s="61">
        <f>IFERROR(C42*'⛽ المبيعات الشهرية'!D41/100,"")</f>
        <v>0</v>
      </c>
      <c r="F42" s="60">
        <f>IFERROR(C42*'⛽ المبيعات الشهرية'!E41/100,"")</f>
        <v>0</v>
      </c>
      <c r="G42" s="61">
        <f>IFERROR(C42*'⛽ المبيعات الشهرية'!F41/100,"")</f>
        <v>0</v>
      </c>
      <c r="H42" s="60">
        <f>IFERROR(C42*'⛽ المبيعات الشهرية'!G41/100,"")</f>
        <v>0</v>
      </c>
      <c r="I42" s="61">
        <f>IFERROR(C42*'⛽ المبيعات الشهرية'!H41/100,"")</f>
        <v>0</v>
      </c>
      <c r="J42" s="60">
        <f>IFERROR(C42*'⛽ المبيعات الشهرية'!I41/100,"")</f>
        <v>0</v>
      </c>
      <c r="K42" s="61">
        <f>IFERROR(C42*'⛽ المبيعات الشهرية'!J41/100,"")</f>
        <v>0</v>
      </c>
      <c r="L42" s="60">
        <f>IFERROR(C42*'⛽ المبيعات الشهرية'!K41/100,"")</f>
        <v>0</v>
      </c>
      <c r="M42" s="61">
        <f>IFERROR(C42*'⛽ المبيعات الشهرية'!L41/100,"")</f>
        <v>0</v>
      </c>
      <c r="N42" s="60">
        <f>IFERROR(C42*'⛽ المبيعات الشهرية'!M41/100,"")</f>
        <v>0</v>
      </c>
      <c r="O42" s="61">
        <f>IFERROR(C42*'⛽ المبيعات الشهرية'!N41/100,"")</f>
        <v>0</v>
      </c>
      <c r="P42" s="42">
        <f t="shared" si="5"/>
        <v>0</v>
      </c>
      <c r="Q42" s="62">
        <f>'📋 بيانات المحطات'!I41</f>
        <v>0</v>
      </c>
      <c r="R42" s="63">
        <f>IFERROR(Q42*'⛽ المبيعات الشهرية'!O41/100,"")</f>
        <v>0</v>
      </c>
      <c r="S42" s="61">
        <f>IFERROR(Q42*'⛽ المبيعات الشهرية'!P41/100,"")</f>
        <v>0</v>
      </c>
      <c r="T42" s="63">
        <f>IFERROR(Q42*'⛽ المبيعات الشهرية'!Q41/100,"")</f>
        <v>0</v>
      </c>
      <c r="U42" s="61">
        <f>IFERROR(Q42*'⛽ المبيعات الشهرية'!R41/100,"")</f>
        <v>0</v>
      </c>
      <c r="V42" s="63">
        <f>IFERROR(Q42*'⛽ المبيعات الشهرية'!S41/100,"")</f>
        <v>0</v>
      </c>
      <c r="W42" s="61">
        <f>IFERROR(Q42*'⛽ المبيعات الشهرية'!T41/100,"")</f>
        <v>0</v>
      </c>
      <c r="X42" s="63">
        <f>IFERROR(Q42*'⛽ المبيعات الشهرية'!U41/100,"")</f>
        <v>0</v>
      </c>
      <c r="Y42" s="61">
        <f>IFERROR(Q42*'⛽ المبيعات الشهرية'!V41/100,"")</f>
        <v>0</v>
      </c>
      <c r="Z42" s="63">
        <f>IFERROR(Q42*'⛽ المبيعات الشهرية'!W41/100,"")</f>
        <v>0</v>
      </c>
      <c r="AA42" s="61">
        <f>IFERROR(Q42*'⛽ المبيعات الشهرية'!X41/100,"")</f>
        <v>0</v>
      </c>
      <c r="AB42" s="63">
        <f>IFERROR(Q42*'⛽ المبيعات الشهرية'!Y41/100,"")</f>
        <v>0</v>
      </c>
      <c r="AC42" s="61">
        <f>IFERROR(Q42*'⛽ المبيعات الشهرية'!Z41/100,"")</f>
        <v>0</v>
      </c>
      <c r="AD42" s="42">
        <f t="shared" si="6"/>
        <v>0</v>
      </c>
      <c r="AE42" s="64">
        <f>'📋 بيانات المحطات'!J41</f>
        <v>0</v>
      </c>
      <c r="AF42" s="65">
        <f>IFERROR(AE42*'⛽ المبيعات الشهرية'!AA41/100,"")</f>
        <v>0</v>
      </c>
      <c r="AG42" s="61">
        <f>IFERROR(AE42*'⛽ المبيعات الشهرية'!AB41/100,"")</f>
        <v>0</v>
      </c>
      <c r="AH42" s="65">
        <f>IFERROR(AE42*'⛽ المبيعات الشهرية'!AC41/100,"")</f>
        <v>0</v>
      </c>
      <c r="AI42" s="61">
        <f>IFERROR(AE42*'⛽ المبيعات الشهرية'!AD41/100,"")</f>
        <v>0</v>
      </c>
      <c r="AJ42" s="65">
        <f>IFERROR(AE42*'⛽ المبيعات الشهرية'!AE41/100,"")</f>
        <v>0</v>
      </c>
      <c r="AK42" s="61">
        <f>IFERROR(AE42*'⛽ المبيعات الشهرية'!AF41/100,"")</f>
        <v>0</v>
      </c>
      <c r="AL42" s="65">
        <f>IFERROR(AE42*'⛽ المبيعات الشهرية'!AG41/100,"")</f>
        <v>0</v>
      </c>
      <c r="AM42" s="61">
        <f>IFERROR(AE42*'⛽ المبيعات الشهرية'!AH41/100,"")</f>
        <v>0</v>
      </c>
      <c r="AN42" s="65">
        <f>IFERROR(AE42*'⛽ المبيعات الشهرية'!AI41/100,"")</f>
        <v>0</v>
      </c>
      <c r="AO42" s="61">
        <f>IFERROR(AE42*'⛽ المبيعات الشهرية'!AJ41/100,"")</f>
        <v>0</v>
      </c>
      <c r="AP42" s="65">
        <f>IFERROR(AE42*'⛽ المبيعات الشهرية'!AK41/100,"")</f>
        <v>0</v>
      </c>
      <c r="AQ42" s="61">
        <f>IFERROR(AE42*'⛽ المبيعات الشهرية'!AL41/100,"")</f>
        <v>0</v>
      </c>
      <c r="AR42" s="42">
        <f t="shared" si="7"/>
        <v>0</v>
      </c>
      <c r="AS42" s="66">
        <f>'📋 بيانات المحطات'!K41</f>
        <v>0</v>
      </c>
      <c r="AT42" s="67">
        <f>IFERROR(AS42*'⛽ المبيعات الشهرية'!AM41/100,"")</f>
        <v>0</v>
      </c>
      <c r="AU42" s="61">
        <f>IFERROR(AS42*'⛽ المبيعات الشهرية'!AN41/100,"")</f>
        <v>0</v>
      </c>
      <c r="AV42" s="67">
        <f>IFERROR(AS42*'⛽ المبيعات الشهرية'!AO41/100,"")</f>
        <v>0</v>
      </c>
      <c r="AW42" s="61">
        <f>IFERROR(AS42*'⛽ المبيعات الشهرية'!AP41/100,"")</f>
        <v>0</v>
      </c>
      <c r="AX42" s="67">
        <f>IFERROR(AS42*'⛽ المبيعات الشهرية'!AQ41/100,"")</f>
        <v>0</v>
      </c>
      <c r="AY42" s="61">
        <f>IFERROR(AS42*'⛽ المبيعات الشهرية'!AR41/100,"")</f>
        <v>0</v>
      </c>
      <c r="AZ42" s="67">
        <f>IFERROR(AS42*'⛽ المبيعات الشهرية'!AS41/100,"")</f>
        <v>0</v>
      </c>
      <c r="BA42" s="61">
        <f>IFERROR(AS42*'⛽ المبيعات الشهرية'!AT41/100,"")</f>
        <v>0</v>
      </c>
      <c r="BB42" s="67">
        <f>IFERROR(AS42*'⛽ المبيعات الشهرية'!AU41/100,"")</f>
        <v>0</v>
      </c>
      <c r="BC42" s="61">
        <f>IFERROR(AS42*'⛽ المبيعات الشهرية'!AV41/100,"")</f>
        <v>0</v>
      </c>
      <c r="BD42" s="67">
        <f>IFERROR(AS42*'⛽ المبيعات الشهرية'!AW41/100,"")</f>
        <v>0</v>
      </c>
      <c r="BE42" s="61">
        <f>IFERROR(AS42*'⛽ المبيعات الشهرية'!AX41/100,"")</f>
        <v>0</v>
      </c>
      <c r="BF42" s="42">
        <f t="shared" si="8"/>
        <v>0</v>
      </c>
      <c r="BG42" s="68">
        <f t="shared" si="9"/>
        <v>0</v>
      </c>
    </row>
    <row r="43" spans="1:59" ht="21.75" customHeight="1" x14ac:dyDescent="0.35">
      <c r="A43" s="58" t="s">
        <v>139</v>
      </c>
      <c r="B43" s="36" t="str">
        <f>'📋 بيانات المحطات'!B42</f>
        <v>العرجاني الخرج</v>
      </c>
      <c r="C43" s="59">
        <f>'📋 بيانات المحطات'!H42</f>
        <v>0</v>
      </c>
      <c r="D43" s="60">
        <f>IFERROR(C43*'⛽ المبيعات الشهرية'!C42/100,"")</f>
        <v>0</v>
      </c>
      <c r="E43" s="61">
        <f>IFERROR(C43*'⛽ المبيعات الشهرية'!D42/100,"")</f>
        <v>0</v>
      </c>
      <c r="F43" s="60">
        <f>IFERROR(C43*'⛽ المبيعات الشهرية'!E42/100,"")</f>
        <v>0</v>
      </c>
      <c r="G43" s="61">
        <f>IFERROR(C43*'⛽ المبيعات الشهرية'!F42/100,"")</f>
        <v>0</v>
      </c>
      <c r="H43" s="60">
        <f>IFERROR(C43*'⛽ المبيعات الشهرية'!G42/100,"")</f>
        <v>0</v>
      </c>
      <c r="I43" s="61">
        <f>IFERROR(C43*'⛽ المبيعات الشهرية'!H42/100,"")</f>
        <v>0</v>
      </c>
      <c r="J43" s="60">
        <f>IFERROR(C43*'⛽ المبيعات الشهرية'!I42/100,"")</f>
        <v>0</v>
      </c>
      <c r="K43" s="61">
        <f>IFERROR(C43*'⛽ المبيعات الشهرية'!J42/100,"")</f>
        <v>0</v>
      </c>
      <c r="L43" s="60">
        <f>IFERROR(C43*'⛽ المبيعات الشهرية'!K42/100,"")</f>
        <v>0</v>
      </c>
      <c r="M43" s="61">
        <f>IFERROR(C43*'⛽ المبيعات الشهرية'!L42/100,"")</f>
        <v>0</v>
      </c>
      <c r="N43" s="60">
        <f>IFERROR(C43*'⛽ المبيعات الشهرية'!M42/100,"")</f>
        <v>0</v>
      </c>
      <c r="O43" s="61">
        <f>IFERROR(C43*'⛽ المبيعات الشهرية'!N42/100,"")</f>
        <v>0</v>
      </c>
      <c r="P43" s="42">
        <f t="shared" si="5"/>
        <v>0</v>
      </c>
      <c r="Q43" s="62">
        <f>'📋 بيانات المحطات'!I42</f>
        <v>0</v>
      </c>
      <c r="R43" s="63">
        <f>IFERROR(Q43*'⛽ المبيعات الشهرية'!O42/100,"")</f>
        <v>0</v>
      </c>
      <c r="S43" s="61">
        <f>IFERROR(Q43*'⛽ المبيعات الشهرية'!P42/100,"")</f>
        <v>0</v>
      </c>
      <c r="T43" s="63">
        <f>IFERROR(Q43*'⛽ المبيعات الشهرية'!Q42/100,"")</f>
        <v>0</v>
      </c>
      <c r="U43" s="61">
        <f>IFERROR(Q43*'⛽ المبيعات الشهرية'!R42/100,"")</f>
        <v>0</v>
      </c>
      <c r="V43" s="63">
        <f>IFERROR(Q43*'⛽ المبيعات الشهرية'!S42/100,"")</f>
        <v>0</v>
      </c>
      <c r="W43" s="61">
        <f>IFERROR(Q43*'⛽ المبيعات الشهرية'!T42/100,"")</f>
        <v>0</v>
      </c>
      <c r="X43" s="63">
        <f>IFERROR(Q43*'⛽ المبيعات الشهرية'!U42/100,"")</f>
        <v>0</v>
      </c>
      <c r="Y43" s="61">
        <f>IFERROR(Q43*'⛽ المبيعات الشهرية'!V42/100,"")</f>
        <v>0</v>
      </c>
      <c r="Z43" s="63">
        <f>IFERROR(Q43*'⛽ المبيعات الشهرية'!W42/100,"")</f>
        <v>0</v>
      </c>
      <c r="AA43" s="61">
        <f>IFERROR(Q43*'⛽ المبيعات الشهرية'!X42/100,"")</f>
        <v>0</v>
      </c>
      <c r="AB43" s="63">
        <f>IFERROR(Q43*'⛽ المبيعات الشهرية'!Y42/100,"")</f>
        <v>0</v>
      </c>
      <c r="AC43" s="61">
        <f>IFERROR(Q43*'⛽ المبيعات الشهرية'!Z42/100,"")</f>
        <v>0</v>
      </c>
      <c r="AD43" s="42">
        <f t="shared" si="6"/>
        <v>0</v>
      </c>
      <c r="AE43" s="64">
        <f>'📋 بيانات المحطات'!J42</f>
        <v>0</v>
      </c>
      <c r="AF43" s="65">
        <f>IFERROR(AE43*'⛽ المبيعات الشهرية'!AA42/100,"")</f>
        <v>0</v>
      </c>
      <c r="AG43" s="61">
        <f>IFERROR(AE43*'⛽ المبيعات الشهرية'!AB42/100,"")</f>
        <v>0</v>
      </c>
      <c r="AH43" s="65">
        <f>IFERROR(AE43*'⛽ المبيعات الشهرية'!AC42/100,"")</f>
        <v>0</v>
      </c>
      <c r="AI43" s="61">
        <f>IFERROR(AE43*'⛽ المبيعات الشهرية'!AD42/100,"")</f>
        <v>0</v>
      </c>
      <c r="AJ43" s="65">
        <f>IFERROR(AE43*'⛽ المبيعات الشهرية'!AE42/100,"")</f>
        <v>0</v>
      </c>
      <c r="AK43" s="61">
        <f>IFERROR(AE43*'⛽ المبيعات الشهرية'!AF42/100,"")</f>
        <v>0</v>
      </c>
      <c r="AL43" s="65">
        <f>IFERROR(AE43*'⛽ المبيعات الشهرية'!AG42/100,"")</f>
        <v>0</v>
      </c>
      <c r="AM43" s="61">
        <f>IFERROR(AE43*'⛽ المبيعات الشهرية'!AH42/100,"")</f>
        <v>0</v>
      </c>
      <c r="AN43" s="65">
        <f>IFERROR(AE43*'⛽ المبيعات الشهرية'!AI42/100,"")</f>
        <v>0</v>
      </c>
      <c r="AO43" s="61">
        <f>IFERROR(AE43*'⛽ المبيعات الشهرية'!AJ42/100,"")</f>
        <v>0</v>
      </c>
      <c r="AP43" s="65">
        <f>IFERROR(AE43*'⛽ المبيعات الشهرية'!AK42/100,"")</f>
        <v>0</v>
      </c>
      <c r="AQ43" s="61">
        <f>IFERROR(AE43*'⛽ المبيعات الشهرية'!AL42/100,"")</f>
        <v>0</v>
      </c>
      <c r="AR43" s="42">
        <f t="shared" si="7"/>
        <v>0</v>
      </c>
      <c r="AS43" s="66">
        <f>'📋 بيانات المحطات'!K42</f>
        <v>0</v>
      </c>
      <c r="AT43" s="67">
        <f>IFERROR(AS43*'⛽ المبيعات الشهرية'!AM42/100,"")</f>
        <v>0</v>
      </c>
      <c r="AU43" s="61">
        <f>IFERROR(AS43*'⛽ المبيعات الشهرية'!AN42/100,"")</f>
        <v>0</v>
      </c>
      <c r="AV43" s="67">
        <f>IFERROR(AS43*'⛽ المبيعات الشهرية'!AO42/100,"")</f>
        <v>0</v>
      </c>
      <c r="AW43" s="61">
        <f>IFERROR(AS43*'⛽ المبيعات الشهرية'!AP42/100,"")</f>
        <v>0</v>
      </c>
      <c r="AX43" s="67">
        <f>IFERROR(AS43*'⛽ المبيعات الشهرية'!AQ42/100,"")</f>
        <v>0</v>
      </c>
      <c r="AY43" s="61">
        <f>IFERROR(AS43*'⛽ المبيعات الشهرية'!AR42/100,"")</f>
        <v>0</v>
      </c>
      <c r="AZ43" s="67">
        <f>IFERROR(AS43*'⛽ المبيعات الشهرية'!AS42/100,"")</f>
        <v>0</v>
      </c>
      <c r="BA43" s="61">
        <f>IFERROR(AS43*'⛽ المبيعات الشهرية'!AT42/100,"")</f>
        <v>0</v>
      </c>
      <c r="BB43" s="67">
        <f>IFERROR(AS43*'⛽ المبيعات الشهرية'!AU42/100,"")</f>
        <v>0</v>
      </c>
      <c r="BC43" s="61">
        <f>IFERROR(AS43*'⛽ المبيعات الشهرية'!AV42/100,"")</f>
        <v>0</v>
      </c>
      <c r="BD43" s="67">
        <f>IFERROR(AS43*'⛽ المبيعات الشهرية'!AW42/100,"")</f>
        <v>0</v>
      </c>
      <c r="BE43" s="61">
        <f>IFERROR(AS43*'⛽ المبيعات الشهرية'!AX42/100,"")</f>
        <v>0</v>
      </c>
      <c r="BF43" s="42">
        <f t="shared" si="8"/>
        <v>0</v>
      </c>
      <c r="BG43" s="68">
        <f t="shared" si="9"/>
        <v>0</v>
      </c>
    </row>
    <row r="44" spans="1:59" ht="21.75" customHeight="1" x14ac:dyDescent="0.35">
      <c r="A44" s="69" t="s">
        <v>142</v>
      </c>
      <c r="B44" s="36" t="str">
        <f>'📋 بيانات المحطات'!B43</f>
        <v>الملك خالد طائف</v>
      </c>
      <c r="C44" s="59">
        <f>'📋 بيانات المحطات'!H43</f>
        <v>0</v>
      </c>
      <c r="D44" s="60">
        <f>IFERROR(C44*'⛽ المبيعات الشهرية'!C43/100,"")</f>
        <v>0</v>
      </c>
      <c r="E44" s="61">
        <f>IFERROR(C44*'⛽ المبيعات الشهرية'!D43/100,"")</f>
        <v>0</v>
      </c>
      <c r="F44" s="60">
        <f>IFERROR(C44*'⛽ المبيعات الشهرية'!E43/100,"")</f>
        <v>0</v>
      </c>
      <c r="G44" s="61">
        <f>IFERROR(C44*'⛽ المبيعات الشهرية'!F43/100,"")</f>
        <v>0</v>
      </c>
      <c r="H44" s="60">
        <f>IFERROR(C44*'⛽ المبيعات الشهرية'!G43/100,"")</f>
        <v>0</v>
      </c>
      <c r="I44" s="61">
        <f>IFERROR(C44*'⛽ المبيعات الشهرية'!H43/100,"")</f>
        <v>0</v>
      </c>
      <c r="J44" s="60">
        <f>IFERROR(C44*'⛽ المبيعات الشهرية'!I43/100,"")</f>
        <v>0</v>
      </c>
      <c r="K44" s="61">
        <f>IFERROR(C44*'⛽ المبيعات الشهرية'!J43/100,"")</f>
        <v>0</v>
      </c>
      <c r="L44" s="60">
        <f>IFERROR(C44*'⛽ المبيعات الشهرية'!K43/100,"")</f>
        <v>0</v>
      </c>
      <c r="M44" s="61">
        <f>IFERROR(C44*'⛽ المبيعات الشهرية'!L43/100,"")</f>
        <v>0</v>
      </c>
      <c r="N44" s="60">
        <f>IFERROR(C44*'⛽ المبيعات الشهرية'!M43/100,"")</f>
        <v>0</v>
      </c>
      <c r="O44" s="61">
        <f>IFERROR(C44*'⛽ المبيعات الشهرية'!N43/100,"")</f>
        <v>0</v>
      </c>
      <c r="P44" s="42">
        <f t="shared" si="5"/>
        <v>0</v>
      </c>
      <c r="Q44" s="62">
        <f>'📋 بيانات المحطات'!I43</f>
        <v>0</v>
      </c>
      <c r="R44" s="63">
        <f>IFERROR(Q44*'⛽ المبيعات الشهرية'!O43/100,"")</f>
        <v>0</v>
      </c>
      <c r="S44" s="61">
        <f>IFERROR(Q44*'⛽ المبيعات الشهرية'!P43/100,"")</f>
        <v>0</v>
      </c>
      <c r="T44" s="63">
        <f>IFERROR(Q44*'⛽ المبيعات الشهرية'!Q43/100,"")</f>
        <v>0</v>
      </c>
      <c r="U44" s="61">
        <f>IFERROR(Q44*'⛽ المبيعات الشهرية'!R43/100,"")</f>
        <v>0</v>
      </c>
      <c r="V44" s="63">
        <f>IFERROR(Q44*'⛽ المبيعات الشهرية'!S43/100,"")</f>
        <v>0</v>
      </c>
      <c r="W44" s="61">
        <f>IFERROR(Q44*'⛽ المبيعات الشهرية'!T43/100,"")</f>
        <v>0</v>
      </c>
      <c r="X44" s="63">
        <f>IFERROR(Q44*'⛽ المبيعات الشهرية'!U43/100,"")</f>
        <v>0</v>
      </c>
      <c r="Y44" s="61">
        <f>IFERROR(Q44*'⛽ المبيعات الشهرية'!V43/100,"")</f>
        <v>0</v>
      </c>
      <c r="Z44" s="63">
        <f>IFERROR(Q44*'⛽ المبيعات الشهرية'!W43/100,"")</f>
        <v>0</v>
      </c>
      <c r="AA44" s="61">
        <f>IFERROR(Q44*'⛽ المبيعات الشهرية'!X43/100,"")</f>
        <v>0</v>
      </c>
      <c r="AB44" s="63">
        <f>IFERROR(Q44*'⛽ المبيعات الشهرية'!Y43/100,"")</f>
        <v>0</v>
      </c>
      <c r="AC44" s="61">
        <f>IFERROR(Q44*'⛽ المبيعات الشهرية'!Z43/100,"")</f>
        <v>0</v>
      </c>
      <c r="AD44" s="42">
        <f t="shared" si="6"/>
        <v>0</v>
      </c>
      <c r="AE44" s="64">
        <f>'📋 بيانات المحطات'!J43</f>
        <v>0</v>
      </c>
      <c r="AF44" s="65">
        <f>IFERROR(AE44*'⛽ المبيعات الشهرية'!AA43/100,"")</f>
        <v>0</v>
      </c>
      <c r="AG44" s="61">
        <f>IFERROR(AE44*'⛽ المبيعات الشهرية'!AB43/100,"")</f>
        <v>0</v>
      </c>
      <c r="AH44" s="65">
        <f>IFERROR(AE44*'⛽ المبيعات الشهرية'!AC43/100,"")</f>
        <v>0</v>
      </c>
      <c r="AI44" s="61">
        <f>IFERROR(AE44*'⛽ المبيعات الشهرية'!AD43/100,"")</f>
        <v>0</v>
      </c>
      <c r="AJ44" s="65">
        <f>IFERROR(AE44*'⛽ المبيعات الشهرية'!AE43/100,"")</f>
        <v>0</v>
      </c>
      <c r="AK44" s="61">
        <f>IFERROR(AE44*'⛽ المبيعات الشهرية'!AF43/100,"")</f>
        <v>0</v>
      </c>
      <c r="AL44" s="65">
        <f>IFERROR(AE44*'⛽ المبيعات الشهرية'!AG43/100,"")</f>
        <v>0</v>
      </c>
      <c r="AM44" s="61">
        <f>IFERROR(AE44*'⛽ المبيعات الشهرية'!AH43/100,"")</f>
        <v>0</v>
      </c>
      <c r="AN44" s="65">
        <f>IFERROR(AE44*'⛽ المبيعات الشهرية'!AI43/100,"")</f>
        <v>0</v>
      </c>
      <c r="AO44" s="61">
        <f>IFERROR(AE44*'⛽ المبيعات الشهرية'!AJ43/100,"")</f>
        <v>0</v>
      </c>
      <c r="AP44" s="65">
        <f>IFERROR(AE44*'⛽ المبيعات الشهرية'!AK43/100,"")</f>
        <v>0</v>
      </c>
      <c r="AQ44" s="61">
        <f>IFERROR(AE44*'⛽ المبيعات الشهرية'!AL43/100,"")</f>
        <v>0</v>
      </c>
      <c r="AR44" s="42">
        <f t="shared" si="7"/>
        <v>0</v>
      </c>
      <c r="AS44" s="66">
        <f>'📋 بيانات المحطات'!K43</f>
        <v>0</v>
      </c>
      <c r="AT44" s="67">
        <f>IFERROR(AS44*'⛽ المبيعات الشهرية'!AM43/100,"")</f>
        <v>0</v>
      </c>
      <c r="AU44" s="61">
        <f>IFERROR(AS44*'⛽ المبيعات الشهرية'!AN43/100,"")</f>
        <v>0</v>
      </c>
      <c r="AV44" s="67">
        <f>IFERROR(AS44*'⛽ المبيعات الشهرية'!AO43/100,"")</f>
        <v>0</v>
      </c>
      <c r="AW44" s="61">
        <f>IFERROR(AS44*'⛽ المبيعات الشهرية'!AP43/100,"")</f>
        <v>0</v>
      </c>
      <c r="AX44" s="67">
        <f>IFERROR(AS44*'⛽ المبيعات الشهرية'!AQ43/100,"")</f>
        <v>0</v>
      </c>
      <c r="AY44" s="61">
        <f>IFERROR(AS44*'⛽ المبيعات الشهرية'!AR43/100,"")</f>
        <v>0</v>
      </c>
      <c r="AZ44" s="67">
        <f>IFERROR(AS44*'⛽ المبيعات الشهرية'!AS43/100,"")</f>
        <v>0</v>
      </c>
      <c r="BA44" s="61">
        <f>IFERROR(AS44*'⛽ المبيعات الشهرية'!AT43/100,"")</f>
        <v>0</v>
      </c>
      <c r="BB44" s="67">
        <f>IFERROR(AS44*'⛽ المبيعات الشهرية'!AU43/100,"")</f>
        <v>0</v>
      </c>
      <c r="BC44" s="61">
        <f>IFERROR(AS44*'⛽ المبيعات الشهرية'!AV43/100,"")</f>
        <v>0</v>
      </c>
      <c r="BD44" s="67">
        <f>IFERROR(AS44*'⛽ المبيعات الشهرية'!AW43/100,"")</f>
        <v>0</v>
      </c>
      <c r="BE44" s="61">
        <f>IFERROR(AS44*'⛽ المبيعات الشهرية'!AX43/100,"")</f>
        <v>0</v>
      </c>
      <c r="BF44" s="42">
        <f t="shared" si="8"/>
        <v>0</v>
      </c>
      <c r="BG44" s="68">
        <f t="shared" si="9"/>
        <v>0</v>
      </c>
    </row>
    <row r="45" spans="1:59" ht="21.75" customHeight="1" x14ac:dyDescent="0.35">
      <c r="A45" s="58" t="s">
        <v>145</v>
      </c>
      <c r="B45" s="36" t="str">
        <f>'📋 بيانات المحطات'!B44</f>
        <v>الاجاويد-جدة</v>
      </c>
      <c r="C45" s="59">
        <f>'📋 بيانات المحطات'!H44</f>
        <v>0</v>
      </c>
      <c r="D45" s="60">
        <f>IFERROR(C45*'⛽ المبيعات الشهرية'!C44/100,"")</f>
        <v>0</v>
      </c>
      <c r="E45" s="61">
        <f>IFERROR(C45*'⛽ المبيعات الشهرية'!D44/100,"")</f>
        <v>0</v>
      </c>
      <c r="F45" s="60">
        <f>IFERROR(C45*'⛽ المبيعات الشهرية'!E44/100,"")</f>
        <v>0</v>
      </c>
      <c r="G45" s="61">
        <f>IFERROR(C45*'⛽ المبيعات الشهرية'!F44/100,"")</f>
        <v>0</v>
      </c>
      <c r="H45" s="60">
        <f>IFERROR(C45*'⛽ المبيعات الشهرية'!G44/100,"")</f>
        <v>0</v>
      </c>
      <c r="I45" s="61">
        <f>IFERROR(C45*'⛽ المبيعات الشهرية'!H44/100,"")</f>
        <v>0</v>
      </c>
      <c r="J45" s="60">
        <f>IFERROR(C45*'⛽ المبيعات الشهرية'!I44/100,"")</f>
        <v>0</v>
      </c>
      <c r="K45" s="61">
        <f>IFERROR(C45*'⛽ المبيعات الشهرية'!J44/100,"")</f>
        <v>0</v>
      </c>
      <c r="L45" s="60">
        <f>IFERROR(C45*'⛽ المبيعات الشهرية'!K44/100,"")</f>
        <v>0</v>
      </c>
      <c r="M45" s="61">
        <f>IFERROR(C45*'⛽ المبيعات الشهرية'!L44/100,"")</f>
        <v>0</v>
      </c>
      <c r="N45" s="60">
        <f>IFERROR(C45*'⛽ المبيعات الشهرية'!M44/100,"")</f>
        <v>0</v>
      </c>
      <c r="O45" s="61">
        <f>IFERROR(C45*'⛽ المبيعات الشهرية'!N44/100,"")</f>
        <v>0</v>
      </c>
      <c r="P45" s="42">
        <f t="shared" si="5"/>
        <v>0</v>
      </c>
      <c r="Q45" s="62">
        <f>'📋 بيانات المحطات'!I44</f>
        <v>0</v>
      </c>
      <c r="R45" s="63">
        <f>IFERROR(Q45*'⛽ المبيعات الشهرية'!O44/100,"")</f>
        <v>0</v>
      </c>
      <c r="S45" s="61">
        <f>IFERROR(Q45*'⛽ المبيعات الشهرية'!P44/100,"")</f>
        <v>0</v>
      </c>
      <c r="T45" s="63">
        <f>IFERROR(Q45*'⛽ المبيعات الشهرية'!Q44/100,"")</f>
        <v>0</v>
      </c>
      <c r="U45" s="61">
        <f>IFERROR(Q45*'⛽ المبيعات الشهرية'!R44/100,"")</f>
        <v>0</v>
      </c>
      <c r="V45" s="63">
        <f>IFERROR(Q45*'⛽ المبيعات الشهرية'!S44/100,"")</f>
        <v>0</v>
      </c>
      <c r="W45" s="61">
        <f>IFERROR(Q45*'⛽ المبيعات الشهرية'!T44/100,"")</f>
        <v>0</v>
      </c>
      <c r="X45" s="63">
        <f>IFERROR(Q45*'⛽ المبيعات الشهرية'!U44/100,"")</f>
        <v>0</v>
      </c>
      <c r="Y45" s="61">
        <f>IFERROR(Q45*'⛽ المبيعات الشهرية'!V44/100,"")</f>
        <v>0</v>
      </c>
      <c r="Z45" s="63">
        <f>IFERROR(Q45*'⛽ المبيعات الشهرية'!W44/100,"")</f>
        <v>0</v>
      </c>
      <c r="AA45" s="61">
        <f>IFERROR(Q45*'⛽ المبيعات الشهرية'!X44/100,"")</f>
        <v>0</v>
      </c>
      <c r="AB45" s="63">
        <f>IFERROR(Q45*'⛽ المبيعات الشهرية'!Y44/100,"")</f>
        <v>0</v>
      </c>
      <c r="AC45" s="61">
        <f>IFERROR(Q45*'⛽ المبيعات الشهرية'!Z44/100,"")</f>
        <v>0</v>
      </c>
      <c r="AD45" s="42">
        <f t="shared" si="6"/>
        <v>0</v>
      </c>
      <c r="AE45" s="64">
        <f>'📋 بيانات المحطات'!J44</f>
        <v>0</v>
      </c>
      <c r="AF45" s="65">
        <f>IFERROR(AE45*'⛽ المبيعات الشهرية'!AA44/100,"")</f>
        <v>0</v>
      </c>
      <c r="AG45" s="61">
        <f>IFERROR(AE45*'⛽ المبيعات الشهرية'!AB44/100,"")</f>
        <v>0</v>
      </c>
      <c r="AH45" s="65">
        <f>IFERROR(AE45*'⛽ المبيعات الشهرية'!AC44/100,"")</f>
        <v>0</v>
      </c>
      <c r="AI45" s="61">
        <f>IFERROR(AE45*'⛽ المبيعات الشهرية'!AD44/100,"")</f>
        <v>0</v>
      </c>
      <c r="AJ45" s="65">
        <f>IFERROR(AE45*'⛽ المبيعات الشهرية'!AE44/100,"")</f>
        <v>0</v>
      </c>
      <c r="AK45" s="61">
        <f>IFERROR(AE45*'⛽ المبيعات الشهرية'!AF44/100,"")</f>
        <v>0</v>
      </c>
      <c r="AL45" s="65">
        <f>IFERROR(AE45*'⛽ المبيعات الشهرية'!AG44/100,"")</f>
        <v>0</v>
      </c>
      <c r="AM45" s="61">
        <f>IFERROR(AE45*'⛽ المبيعات الشهرية'!AH44/100,"")</f>
        <v>0</v>
      </c>
      <c r="AN45" s="65">
        <f>IFERROR(AE45*'⛽ المبيعات الشهرية'!AI44/100,"")</f>
        <v>0</v>
      </c>
      <c r="AO45" s="61">
        <f>IFERROR(AE45*'⛽ المبيعات الشهرية'!AJ44/100,"")</f>
        <v>0</v>
      </c>
      <c r="AP45" s="65">
        <f>IFERROR(AE45*'⛽ المبيعات الشهرية'!AK44/100,"")</f>
        <v>0</v>
      </c>
      <c r="AQ45" s="61">
        <f>IFERROR(AE45*'⛽ المبيعات الشهرية'!AL44/100,"")</f>
        <v>0</v>
      </c>
      <c r="AR45" s="42">
        <f t="shared" si="7"/>
        <v>0</v>
      </c>
      <c r="AS45" s="66">
        <f>'📋 بيانات المحطات'!K44</f>
        <v>0</v>
      </c>
      <c r="AT45" s="67">
        <f>IFERROR(AS45*'⛽ المبيعات الشهرية'!AM44/100,"")</f>
        <v>0</v>
      </c>
      <c r="AU45" s="61">
        <f>IFERROR(AS45*'⛽ المبيعات الشهرية'!AN44/100,"")</f>
        <v>0</v>
      </c>
      <c r="AV45" s="67">
        <f>IFERROR(AS45*'⛽ المبيعات الشهرية'!AO44/100,"")</f>
        <v>0</v>
      </c>
      <c r="AW45" s="61">
        <f>IFERROR(AS45*'⛽ المبيعات الشهرية'!AP44/100,"")</f>
        <v>0</v>
      </c>
      <c r="AX45" s="67">
        <f>IFERROR(AS45*'⛽ المبيعات الشهرية'!AQ44/100,"")</f>
        <v>0</v>
      </c>
      <c r="AY45" s="61">
        <f>IFERROR(AS45*'⛽ المبيعات الشهرية'!AR44/100,"")</f>
        <v>0</v>
      </c>
      <c r="AZ45" s="67">
        <f>IFERROR(AS45*'⛽ المبيعات الشهرية'!AS44/100,"")</f>
        <v>0</v>
      </c>
      <c r="BA45" s="61">
        <f>IFERROR(AS45*'⛽ المبيعات الشهرية'!AT44/100,"")</f>
        <v>0</v>
      </c>
      <c r="BB45" s="67">
        <f>IFERROR(AS45*'⛽ المبيعات الشهرية'!AU44/100,"")</f>
        <v>0</v>
      </c>
      <c r="BC45" s="61">
        <f>IFERROR(AS45*'⛽ المبيعات الشهرية'!AV44/100,"")</f>
        <v>0</v>
      </c>
      <c r="BD45" s="67">
        <f>IFERROR(AS45*'⛽ المبيعات الشهرية'!AW44/100,"")</f>
        <v>0</v>
      </c>
      <c r="BE45" s="61">
        <f>IFERROR(AS45*'⛽ المبيعات الشهرية'!AX44/100,"")</f>
        <v>0</v>
      </c>
      <c r="BF45" s="42">
        <f t="shared" si="8"/>
        <v>0</v>
      </c>
      <c r="BG45" s="68">
        <f t="shared" si="9"/>
        <v>0</v>
      </c>
    </row>
    <row r="46" spans="1:59" ht="21.75" customHeight="1" x14ac:dyDescent="0.35">
      <c r="A46" s="69" t="s">
        <v>148</v>
      </c>
      <c r="B46" s="36" t="str">
        <f>'📋 بيانات المحطات'!B45</f>
        <v>البيعة</v>
      </c>
      <c r="C46" s="59">
        <f>'📋 بيانات المحطات'!H45</f>
        <v>0</v>
      </c>
      <c r="D46" s="60">
        <f>IFERROR(C46*'⛽ المبيعات الشهرية'!C45/100,"")</f>
        <v>0</v>
      </c>
      <c r="E46" s="61">
        <f>IFERROR(C46*'⛽ المبيعات الشهرية'!D45/100,"")</f>
        <v>0</v>
      </c>
      <c r="F46" s="60">
        <f>IFERROR(C46*'⛽ المبيعات الشهرية'!E45/100,"")</f>
        <v>0</v>
      </c>
      <c r="G46" s="61">
        <f>IFERROR(C46*'⛽ المبيعات الشهرية'!F45/100,"")</f>
        <v>0</v>
      </c>
      <c r="H46" s="60">
        <f>IFERROR(C46*'⛽ المبيعات الشهرية'!G45/100,"")</f>
        <v>0</v>
      </c>
      <c r="I46" s="61">
        <f>IFERROR(C46*'⛽ المبيعات الشهرية'!H45/100,"")</f>
        <v>0</v>
      </c>
      <c r="J46" s="60">
        <f>IFERROR(C46*'⛽ المبيعات الشهرية'!I45/100,"")</f>
        <v>0</v>
      </c>
      <c r="K46" s="61">
        <f>IFERROR(C46*'⛽ المبيعات الشهرية'!J45/100,"")</f>
        <v>0</v>
      </c>
      <c r="L46" s="60">
        <f>IFERROR(C46*'⛽ المبيعات الشهرية'!K45/100,"")</f>
        <v>0</v>
      </c>
      <c r="M46" s="61">
        <f>IFERROR(C46*'⛽ المبيعات الشهرية'!L45/100,"")</f>
        <v>0</v>
      </c>
      <c r="N46" s="60">
        <f>IFERROR(C46*'⛽ المبيعات الشهرية'!M45/100,"")</f>
        <v>0</v>
      </c>
      <c r="O46" s="61">
        <f>IFERROR(C46*'⛽ المبيعات الشهرية'!N45/100,"")</f>
        <v>0</v>
      </c>
      <c r="P46" s="42">
        <f t="shared" si="5"/>
        <v>0</v>
      </c>
      <c r="Q46" s="62">
        <f>'📋 بيانات المحطات'!I45</f>
        <v>0</v>
      </c>
      <c r="R46" s="63">
        <f>IFERROR(Q46*'⛽ المبيعات الشهرية'!O45/100,"")</f>
        <v>0</v>
      </c>
      <c r="S46" s="61">
        <f>IFERROR(Q46*'⛽ المبيعات الشهرية'!P45/100,"")</f>
        <v>0</v>
      </c>
      <c r="T46" s="63">
        <f>IFERROR(Q46*'⛽ المبيعات الشهرية'!Q45/100,"")</f>
        <v>0</v>
      </c>
      <c r="U46" s="61">
        <f>IFERROR(Q46*'⛽ المبيعات الشهرية'!R45/100,"")</f>
        <v>0</v>
      </c>
      <c r="V46" s="63">
        <f>IFERROR(Q46*'⛽ المبيعات الشهرية'!S45/100,"")</f>
        <v>0</v>
      </c>
      <c r="W46" s="61">
        <f>IFERROR(Q46*'⛽ المبيعات الشهرية'!T45/100,"")</f>
        <v>0</v>
      </c>
      <c r="X46" s="63">
        <f>IFERROR(Q46*'⛽ المبيعات الشهرية'!U45/100,"")</f>
        <v>0</v>
      </c>
      <c r="Y46" s="61">
        <f>IFERROR(Q46*'⛽ المبيعات الشهرية'!V45/100,"")</f>
        <v>0</v>
      </c>
      <c r="Z46" s="63">
        <f>IFERROR(Q46*'⛽ المبيعات الشهرية'!W45/100,"")</f>
        <v>0</v>
      </c>
      <c r="AA46" s="61">
        <f>IFERROR(Q46*'⛽ المبيعات الشهرية'!X45/100,"")</f>
        <v>0</v>
      </c>
      <c r="AB46" s="63">
        <f>IFERROR(Q46*'⛽ المبيعات الشهرية'!Y45/100,"")</f>
        <v>0</v>
      </c>
      <c r="AC46" s="61">
        <f>IFERROR(Q46*'⛽ المبيعات الشهرية'!Z45/100,"")</f>
        <v>0</v>
      </c>
      <c r="AD46" s="42">
        <f t="shared" si="6"/>
        <v>0</v>
      </c>
      <c r="AE46" s="64">
        <f>'📋 بيانات المحطات'!J45</f>
        <v>0</v>
      </c>
      <c r="AF46" s="65">
        <f>IFERROR(AE46*'⛽ المبيعات الشهرية'!AA45/100,"")</f>
        <v>0</v>
      </c>
      <c r="AG46" s="61">
        <f>IFERROR(AE46*'⛽ المبيعات الشهرية'!AB45/100,"")</f>
        <v>0</v>
      </c>
      <c r="AH46" s="65">
        <f>IFERROR(AE46*'⛽ المبيعات الشهرية'!AC45/100,"")</f>
        <v>0</v>
      </c>
      <c r="AI46" s="61">
        <f>IFERROR(AE46*'⛽ المبيعات الشهرية'!AD45/100,"")</f>
        <v>0</v>
      </c>
      <c r="AJ46" s="65">
        <f>IFERROR(AE46*'⛽ المبيعات الشهرية'!AE45/100,"")</f>
        <v>0</v>
      </c>
      <c r="AK46" s="61">
        <f>IFERROR(AE46*'⛽ المبيعات الشهرية'!AF45/100,"")</f>
        <v>0</v>
      </c>
      <c r="AL46" s="65">
        <f>IFERROR(AE46*'⛽ المبيعات الشهرية'!AG45/100,"")</f>
        <v>0</v>
      </c>
      <c r="AM46" s="61">
        <f>IFERROR(AE46*'⛽ المبيعات الشهرية'!AH45/100,"")</f>
        <v>0</v>
      </c>
      <c r="AN46" s="65">
        <f>IFERROR(AE46*'⛽ المبيعات الشهرية'!AI45/100,"")</f>
        <v>0</v>
      </c>
      <c r="AO46" s="61">
        <f>IFERROR(AE46*'⛽ المبيعات الشهرية'!AJ45/100,"")</f>
        <v>0</v>
      </c>
      <c r="AP46" s="65">
        <f>IFERROR(AE46*'⛽ المبيعات الشهرية'!AK45/100,"")</f>
        <v>0</v>
      </c>
      <c r="AQ46" s="61">
        <f>IFERROR(AE46*'⛽ المبيعات الشهرية'!AL45/100,"")</f>
        <v>0</v>
      </c>
      <c r="AR46" s="42">
        <f t="shared" si="7"/>
        <v>0</v>
      </c>
      <c r="AS46" s="66">
        <f>'📋 بيانات المحطات'!K45</f>
        <v>0</v>
      </c>
      <c r="AT46" s="67">
        <f>IFERROR(AS46*'⛽ المبيعات الشهرية'!AM45/100,"")</f>
        <v>0</v>
      </c>
      <c r="AU46" s="61">
        <f>IFERROR(AS46*'⛽ المبيعات الشهرية'!AN45/100,"")</f>
        <v>0</v>
      </c>
      <c r="AV46" s="67">
        <f>IFERROR(AS46*'⛽ المبيعات الشهرية'!AO45/100,"")</f>
        <v>0</v>
      </c>
      <c r="AW46" s="61">
        <f>IFERROR(AS46*'⛽ المبيعات الشهرية'!AP45/100,"")</f>
        <v>0</v>
      </c>
      <c r="AX46" s="67">
        <f>IFERROR(AS46*'⛽ المبيعات الشهرية'!AQ45/100,"")</f>
        <v>0</v>
      </c>
      <c r="AY46" s="61">
        <f>IFERROR(AS46*'⛽ المبيعات الشهرية'!AR45/100,"")</f>
        <v>0</v>
      </c>
      <c r="AZ46" s="67">
        <f>IFERROR(AS46*'⛽ المبيعات الشهرية'!AS45/100,"")</f>
        <v>0</v>
      </c>
      <c r="BA46" s="61">
        <f>IFERROR(AS46*'⛽ المبيعات الشهرية'!AT45/100,"")</f>
        <v>0</v>
      </c>
      <c r="BB46" s="67">
        <f>IFERROR(AS46*'⛽ المبيعات الشهرية'!AU45/100,"")</f>
        <v>0</v>
      </c>
      <c r="BC46" s="61">
        <f>IFERROR(AS46*'⛽ المبيعات الشهرية'!AV45/100,"")</f>
        <v>0</v>
      </c>
      <c r="BD46" s="67">
        <f>IFERROR(AS46*'⛽ المبيعات الشهرية'!AW45/100,"")</f>
        <v>0</v>
      </c>
      <c r="BE46" s="61">
        <f>IFERROR(AS46*'⛽ المبيعات الشهرية'!AX45/100,"")</f>
        <v>0</v>
      </c>
      <c r="BF46" s="42">
        <f t="shared" si="8"/>
        <v>0</v>
      </c>
      <c r="BG46" s="68">
        <f t="shared" si="9"/>
        <v>0</v>
      </c>
    </row>
    <row r="47" spans="1:59" ht="21.75" customHeight="1" x14ac:dyDescent="0.35">
      <c r="A47" s="58" t="s">
        <v>151</v>
      </c>
      <c r="B47" s="36" t="str">
        <f>'📋 بيانات المحطات'!B46</f>
        <v>العمرة</v>
      </c>
      <c r="C47" s="59">
        <f>'📋 بيانات المحطات'!H46</f>
        <v>0</v>
      </c>
      <c r="D47" s="60">
        <f>IFERROR(C47*'⛽ المبيعات الشهرية'!C46/100,"")</f>
        <v>0</v>
      </c>
      <c r="E47" s="61">
        <f>IFERROR(C47*'⛽ المبيعات الشهرية'!D46/100,"")</f>
        <v>0</v>
      </c>
      <c r="F47" s="60">
        <f>IFERROR(C47*'⛽ المبيعات الشهرية'!E46/100,"")</f>
        <v>0</v>
      </c>
      <c r="G47" s="61">
        <f>IFERROR(C47*'⛽ المبيعات الشهرية'!F46/100,"")</f>
        <v>0</v>
      </c>
      <c r="H47" s="60">
        <f>IFERROR(C47*'⛽ المبيعات الشهرية'!G46/100,"")</f>
        <v>0</v>
      </c>
      <c r="I47" s="61">
        <f>IFERROR(C47*'⛽ المبيعات الشهرية'!H46/100,"")</f>
        <v>0</v>
      </c>
      <c r="J47" s="60">
        <f>IFERROR(C47*'⛽ المبيعات الشهرية'!I46/100,"")</f>
        <v>0</v>
      </c>
      <c r="K47" s="61">
        <f>IFERROR(C47*'⛽ المبيعات الشهرية'!J46/100,"")</f>
        <v>0</v>
      </c>
      <c r="L47" s="60">
        <f>IFERROR(C47*'⛽ المبيعات الشهرية'!K46/100,"")</f>
        <v>0</v>
      </c>
      <c r="M47" s="61">
        <f>IFERROR(C47*'⛽ المبيعات الشهرية'!L46/100,"")</f>
        <v>0</v>
      </c>
      <c r="N47" s="60">
        <f>IFERROR(C47*'⛽ المبيعات الشهرية'!M46/100,"")</f>
        <v>0</v>
      </c>
      <c r="O47" s="61">
        <f>IFERROR(C47*'⛽ المبيعات الشهرية'!N46/100,"")</f>
        <v>0</v>
      </c>
      <c r="P47" s="42">
        <f t="shared" si="5"/>
        <v>0</v>
      </c>
      <c r="Q47" s="62">
        <f>'📋 بيانات المحطات'!I46</f>
        <v>0</v>
      </c>
      <c r="R47" s="63">
        <f>IFERROR(Q47*'⛽ المبيعات الشهرية'!O46/100,"")</f>
        <v>0</v>
      </c>
      <c r="S47" s="61">
        <f>IFERROR(Q47*'⛽ المبيعات الشهرية'!P46/100,"")</f>
        <v>0</v>
      </c>
      <c r="T47" s="63">
        <f>IFERROR(Q47*'⛽ المبيعات الشهرية'!Q46/100,"")</f>
        <v>0</v>
      </c>
      <c r="U47" s="61">
        <f>IFERROR(Q47*'⛽ المبيعات الشهرية'!R46/100,"")</f>
        <v>0</v>
      </c>
      <c r="V47" s="63">
        <f>IFERROR(Q47*'⛽ المبيعات الشهرية'!S46/100,"")</f>
        <v>0</v>
      </c>
      <c r="W47" s="61">
        <f>IFERROR(Q47*'⛽ المبيعات الشهرية'!T46/100,"")</f>
        <v>0</v>
      </c>
      <c r="X47" s="63">
        <f>IFERROR(Q47*'⛽ المبيعات الشهرية'!U46/100,"")</f>
        <v>0</v>
      </c>
      <c r="Y47" s="61">
        <f>IFERROR(Q47*'⛽ المبيعات الشهرية'!V46/100,"")</f>
        <v>0</v>
      </c>
      <c r="Z47" s="63">
        <f>IFERROR(Q47*'⛽ المبيعات الشهرية'!W46/100,"")</f>
        <v>0</v>
      </c>
      <c r="AA47" s="61">
        <f>IFERROR(Q47*'⛽ المبيعات الشهرية'!X46/100,"")</f>
        <v>0</v>
      </c>
      <c r="AB47" s="63">
        <f>IFERROR(Q47*'⛽ المبيعات الشهرية'!Y46/100,"")</f>
        <v>0</v>
      </c>
      <c r="AC47" s="61">
        <f>IFERROR(Q47*'⛽ المبيعات الشهرية'!Z46/100,"")</f>
        <v>0</v>
      </c>
      <c r="AD47" s="42">
        <f t="shared" si="6"/>
        <v>0</v>
      </c>
      <c r="AE47" s="64">
        <f>'📋 بيانات المحطات'!J46</f>
        <v>0</v>
      </c>
      <c r="AF47" s="65">
        <f>IFERROR(AE47*'⛽ المبيعات الشهرية'!AA46/100,"")</f>
        <v>0</v>
      </c>
      <c r="AG47" s="61">
        <f>IFERROR(AE47*'⛽ المبيعات الشهرية'!AB46/100,"")</f>
        <v>0</v>
      </c>
      <c r="AH47" s="65">
        <f>IFERROR(AE47*'⛽ المبيعات الشهرية'!AC46/100,"")</f>
        <v>0</v>
      </c>
      <c r="AI47" s="61">
        <f>IFERROR(AE47*'⛽ المبيعات الشهرية'!AD46/100,"")</f>
        <v>0</v>
      </c>
      <c r="AJ47" s="65">
        <f>IFERROR(AE47*'⛽ المبيعات الشهرية'!AE46/100,"")</f>
        <v>0</v>
      </c>
      <c r="AK47" s="61">
        <f>IFERROR(AE47*'⛽ المبيعات الشهرية'!AF46/100,"")</f>
        <v>0</v>
      </c>
      <c r="AL47" s="65">
        <f>IFERROR(AE47*'⛽ المبيعات الشهرية'!AG46/100,"")</f>
        <v>0</v>
      </c>
      <c r="AM47" s="61">
        <f>IFERROR(AE47*'⛽ المبيعات الشهرية'!AH46/100,"")</f>
        <v>0</v>
      </c>
      <c r="AN47" s="65">
        <f>IFERROR(AE47*'⛽ المبيعات الشهرية'!AI46/100,"")</f>
        <v>0</v>
      </c>
      <c r="AO47" s="61">
        <f>IFERROR(AE47*'⛽ المبيعات الشهرية'!AJ46/100,"")</f>
        <v>0</v>
      </c>
      <c r="AP47" s="65">
        <f>IFERROR(AE47*'⛽ المبيعات الشهرية'!AK46/100,"")</f>
        <v>0</v>
      </c>
      <c r="AQ47" s="61">
        <f>IFERROR(AE47*'⛽ المبيعات الشهرية'!AL46/100,"")</f>
        <v>0</v>
      </c>
      <c r="AR47" s="42">
        <f t="shared" si="7"/>
        <v>0</v>
      </c>
      <c r="AS47" s="66">
        <f>'📋 بيانات المحطات'!K46</f>
        <v>0</v>
      </c>
      <c r="AT47" s="67">
        <f>IFERROR(AS47*'⛽ المبيعات الشهرية'!AM46/100,"")</f>
        <v>0</v>
      </c>
      <c r="AU47" s="61">
        <f>IFERROR(AS47*'⛽ المبيعات الشهرية'!AN46/100,"")</f>
        <v>0</v>
      </c>
      <c r="AV47" s="67">
        <f>IFERROR(AS47*'⛽ المبيعات الشهرية'!AO46/100,"")</f>
        <v>0</v>
      </c>
      <c r="AW47" s="61">
        <f>IFERROR(AS47*'⛽ المبيعات الشهرية'!AP46/100,"")</f>
        <v>0</v>
      </c>
      <c r="AX47" s="67">
        <f>IFERROR(AS47*'⛽ المبيعات الشهرية'!AQ46/100,"")</f>
        <v>0</v>
      </c>
      <c r="AY47" s="61">
        <f>IFERROR(AS47*'⛽ المبيعات الشهرية'!AR46/100,"")</f>
        <v>0</v>
      </c>
      <c r="AZ47" s="67">
        <f>IFERROR(AS47*'⛽ المبيعات الشهرية'!AS46/100,"")</f>
        <v>0</v>
      </c>
      <c r="BA47" s="61">
        <f>IFERROR(AS47*'⛽ المبيعات الشهرية'!AT46/100,"")</f>
        <v>0</v>
      </c>
      <c r="BB47" s="67">
        <f>IFERROR(AS47*'⛽ المبيعات الشهرية'!AU46/100,"")</f>
        <v>0</v>
      </c>
      <c r="BC47" s="61">
        <f>IFERROR(AS47*'⛽ المبيعات الشهرية'!AV46/100,"")</f>
        <v>0</v>
      </c>
      <c r="BD47" s="67">
        <f>IFERROR(AS47*'⛽ المبيعات الشهرية'!AW46/100,"")</f>
        <v>0</v>
      </c>
      <c r="BE47" s="61">
        <f>IFERROR(AS47*'⛽ المبيعات الشهرية'!AX46/100,"")</f>
        <v>0</v>
      </c>
      <c r="BF47" s="42">
        <f t="shared" si="8"/>
        <v>0</v>
      </c>
      <c r="BG47" s="68">
        <f t="shared" si="9"/>
        <v>0</v>
      </c>
    </row>
    <row r="48" spans="1:59" ht="21.75" customHeight="1" x14ac:dyDescent="0.35">
      <c r="A48" s="69" t="s">
        <v>154</v>
      </c>
      <c r="B48" s="36" t="str">
        <f>'📋 بيانات المحطات'!B47</f>
        <v>الجموم</v>
      </c>
      <c r="C48" s="59">
        <f>'📋 بيانات المحطات'!H47</f>
        <v>0</v>
      </c>
      <c r="D48" s="60">
        <f>IFERROR(C48*'⛽ المبيعات الشهرية'!C47/100,"")</f>
        <v>0</v>
      </c>
      <c r="E48" s="61">
        <f>IFERROR(C48*'⛽ المبيعات الشهرية'!D47/100,"")</f>
        <v>0</v>
      </c>
      <c r="F48" s="60">
        <f>IFERROR(C48*'⛽ المبيعات الشهرية'!E47/100,"")</f>
        <v>0</v>
      </c>
      <c r="G48" s="61">
        <f>IFERROR(C48*'⛽ المبيعات الشهرية'!F47/100,"")</f>
        <v>0</v>
      </c>
      <c r="H48" s="60">
        <f>IFERROR(C48*'⛽ المبيعات الشهرية'!G47/100,"")</f>
        <v>0</v>
      </c>
      <c r="I48" s="61">
        <f>IFERROR(C48*'⛽ المبيعات الشهرية'!H47/100,"")</f>
        <v>0</v>
      </c>
      <c r="J48" s="60">
        <f>IFERROR(C48*'⛽ المبيعات الشهرية'!I47/100,"")</f>
        <v>0</v>
      </c>
      <c r="K48" s="61">
        <f>IFERROR(C48*'⛽ المبيعات الشهرية'!J47/100,"")</f>
        <v>0</v>
      </c>
      <c r="L48" s="60">
        <f>IFERROR(C48*'⛽ المبيعات الشهرية'!K47/100,"")</f>
        <v>0</v>
      </c>
      <c r="M48" s="61">
        <f>IFERROR(C48*'⛽ المبيعات الشهرية'!L47/100,"")</f>
        <v>0</v>
      </c>
      <c r="N48" s="60">
        <f>IFERROR(C48*'⛽ المبيعات الشهرية'!M47/100,"")</f>
        <v>0</v>
      </c>
      <c r="O48" s="61">
        <f>IFERROR(C48*'⛽ المبيعات الشهرية'!N47/100,"")</f>
        <v>0</v>
      </c>
      <c r="P48" s="42">
        <f t="shared" si="5"/>
        <v>0</v>
      </c>
      <c r="Q48" s="62">
        <f>'📋 بيانات المحطات'!I47</f>
        <v>0</v>
      </c>
      <c r="R48" s="63">
        <f>IFERROR(Q48*'⛽ المبيعات الشهرية'!O47/100,"")</f>
        <v>0</v>
      </c>
      <c r="S48" s="61">
        <f>IFERROR(Q48*'⛽ المبيعات الشهرية'!P47/100,"")</f>
        <v>0</v>
      </c>
      <c r="T48" s="63">
        <f>IFERROR(Q48*'⛽ المبيعات الشهرية'!Q47/100,"")</f>
        <v>0</v>
      </c>
      <c r="U48" s="61">
        <f>IFERROR(Q48*'⛽ المبيعات الشهرية'!R47/100,"")</f>
        <v>0</v>
      </c>
      <c r="V48" s="63">
        <f>IFERROR(Q48*'⛽ المبيعات الشهرية'!S47/100,"")</f>
        <v>0</v>
      </c>
      <c r="W48" s="61">
        <f>IFERROR(Q48*'⛽ المبيعات الشهرية'!T47/100,"")</f>
        <v>0</v>
      </c>
      <c r="X48" s="63">
        <f>IFERROR(Q48*'⛽ المبيعات الشهرية'!U47/100,"")</f>
        <v>0</v>
      </c>
      <c r="Y48" s="61">
        <f>IFERROR(Q48*'⛽ المبيعات الشهرية'!V47/100,"")</f>
        <v>0</v>
      </c>
      <c r="Z48" s="63">
        <f>IFERROR(Q48*'⛽ المبيعات الشهرية'!W47/100,"")</f>
        <v>0</v>
      </c>
      <c r="AA48" s="61">
        <f>IFERROR(Q48*'⛽ المبيعات الشهرية'!X47/100,"")</f>
        <v>0</v>
      </c>
      <c r="AB48" s="63">
        <f>IFERROR(Q48*'⛽ المبيعات الشهرية'!Y47/100,"")</f>
        <v>0</v>
      </c>
      <c r="AC48" s="61">
        <f>IFERROR(Q48*'⛽ المبيعات الشهرية'!Z47/100,"")</f>
        <v>0</v>
      </c>
      <c r="AD48" s="42">
        <f t="shared" si="6"/>
        <v>0</v>
      </c>
      <c r="AE48" s="64">
        <f>'📋 بيانات المحطات'!J47</f>
        <v>0</v>
      </c>
      <c r="AF48" s="65">
        <f>IFERROR(AE48*'⛽ المبيعات الشهرية'!AA47/100,"")</f>
        <v>0</v>
      </c>
      <c r="AG48" s="61">
        <f>IFERROR(AE48*'⛽ المبيعات الشهرية'!AB47/100,"")</f>
        <v>0</v>
      </c>
      <c r="AH48" s="65">
        <f>IFERROR(AE48*'⛽ المبيعات الشهرية'!AC47/100,"")</f>
        <v>0</v>
      </c>
      <c r="AI48" s="61">
        <f>IFERROR(AE48*'⛽ المبيعات الشهرية'!AD47/100,"")</f>
        <v>0</v>
      </c>
      <c r="AJ48" s="65">
        <f>IFERROR(AE48*'⛽ المبيعات الشهرية'!AE47/100,"")</f>
        <v>0</v>
      </c>
      <c r="AK48" s="61">
        <f>IFERROR(AE48*'⛽ المبيعات الشهرية'!AF47/100,"")</f>
        <v>0</v>
      </c>
      <c r="AL48" s="65">
        <f>IFERROR(AE48*'⛽ المبيعات الشهرية'!AG47/100,"")</f>
        <v>0</v>
      </c>
      <c r="AM48" s="61">
        <f>IFERROR(AE48*'⛽ المبيعات الشهرية'!AH47/100,"")</f>
        <v>0</v>
      </c>
      <c r="AN48" s="65">
        <f>IFERROR(AE48*'⛽ المبيعات الشهرية'!AI47/100,"")</f>
        <v>0</v>
      </c>
      <c r="AO48" s="61">
        <f>IFERROR(AE48*'⛽ المبيعات الشهرية'!AJ47/100,"")</f>
        <v>0</v>
      </c>
      <c r="AP48" s="65">
        <f>IFERROR(AE48*'⛽ المبيعات الشهرية'!AK47/100,"")</f>
        <v>0</v>
      </c>
      <c r="AQ48" s="61">
        <f>IFERROR(AE48*'⛽ المبيعات الشهرية'!AL47/100,"")</f>
        <v>0</v>
      </c>
      <c r="AR48" s="42">
        <f t="shared" si="7"/>
        <v>0</v>
      </c>
      <c r="AS48" s="66">
        <f>'📋 بيانات المحطات'!K47</f>
        <v>0</v>
      </c>
      <c r="AT48" s="67">
        <f>IFERROR(AS48*'⛽ المبيعات الشهرية'!AM47/100,"")</f>
        <v>0</v>
      </c>
      <c r="AU48" s="61">
        <f>IFERROR(AS48*'⛽ المبيعات الشهرية'!AN47/100,"")</f>
        <v>0</v>
      </c>
      <c r="AV48" s="67">
        <f>IFERROR(AS48*'⛽ المبيعات الشهرية'!AO47/100,"")</f>
        <v>0</v>
      </c>
      <c r="AW48" s="61">
        <f>IFERROR(AS48*'⛽ المبيعات الشهرية'!AP47/100,"")</f>
        <v>0</v>
      </c>
      <c r="AX48" s="67">
        <f>IFERROR(AS48*'⛽ المبيعات الشهرية'!AQ47/100,"")</f>
        <v>0</v>
      </c>
      <c r="AY48" s="61">
        <f>IFERROR(AS48*'⛽ المبيعات الشهرية'!AR47/100,"")</f>
        <v>0</v>
      </c>
      <c r="AZ48" s="67">
        <f>IFERROR(AS48*'⛽ المبيعات الشهرية'!AS47/100,"")</f>
        <v>0</v>
      </c>
      <c r="BA48" s="61">
        <f>IFERROR(AS48*'⛽ المبيعات الشهرية'!AT47/100,"")</f>
        <v>0</v>
      </c>
      <c r="BB48" s="67">
        <f>IFERROR(AS48*'⛽ المبيعات الشهرية'!AU47/100,"")</f>
        <v>0</v>
      </c>
      <c r="BC48" s="61">
        <f>IFERROR(AS48*'⛽ المبيعات الشهرية'!AV47/100,"")</f>
        <v>0</v>
      </c>
      <c r="BD48" s="67">
        <f>IFERROR(AS48*'⛽ المبيعات الشهرية'!AW47/100,"")</f>
        <v>0</v>
      </c>
      <c r="BE48" s="61">
        <f>IFERROR(AS48*'⛽ المبيعات الشهرية'!AX47/100,"")</f>
        <v>0</v>
      </c>
      <c r="BF48" s="42">
        <f t="shared" si="8"/>
        <v>0</v>
      </c>
      <c r="BG48" s="68">
        <f t="shared" si="9"/>
        <v>0</v>
      </c>
    </row>
    <row r="49" spans="1:59" ht="21.75" customHeight="1" x14ac:dyDescent="0.35">
      <c r="A49" s="58" t="s">
        <v>157</v>
      </c>
      <c r="B49" s="36" t="str">
        <f>'📋 بيانات المحطات'!B48</f>
        <v>الخبر</v>
      </c>
      <c r="C49" s="59">
        <f>'📋 بيانات المحطات'!H48</f>
        <v>0</v>
      </c>
      <c r="D49" s="60">
        <f>IFERROR(C49*'⛽ المبيعات الشهرية'!C48/100,"")</f>
        <v>0</v>
      </c>
      <c r="E49" s="61">
        <f>IFERROR(C49*'⛽ المبيعات الشهرية'!D48/100,"")</f>
        <v>0</v>
      </c>
      <c r="F49" s="60">
        <f>IFERROR(C49*'⛽ المبيعات الشهرية'!E48/100,"")</f>
        <v>0</v>
      </c>
      <c r="G49" s="61">
        <f>IFERROR(C49*'⛽ المبيعات الشهرية'!F48/100,"")</f>
        <v>0</v>
      </c>
      <c r="H49" s="60">
        <f>IFERROR(C49*'⛽ المبيعات الشهرية'!G48/100,"")</f>
        <v>0</v>
      </c>
      <c r="I49" s="61">
        <f>IFERROR(C49*'⛽ المبيعات الشهرية'!H48/100,"")</f>
        <v>0</v>
      </c>
      <c r="J49" s="60">
        <f>IFERROR(C49*'⛽ المبيعات الشهرية'!I48/100,"")</f>
        <v>0</v>
      </c>
      <c r="K49" s="61">
        <f>IFERROR(C49*'⛽ المبيعات الشهرية'!J48/100,"")</f>
        <v>0</v>
      </c>
      <c r="L49" s="60">
        <f>IFERROR(C49*'⛽ المبيعات الشهرية'!K48/100,"")</f>
        <v>0</v>
      </c>
      <c r="M49" s="61">
        <f>IFERROR(C49*'⛽ المبيعات الشهرية'!L48/100,"")</f>
        <v>0</v>
      </c>
      <c r="N49" s="60">
        <f>IFERROR(C49*'⛽ المبيعات الشهرية'!M48/100,"")</f>
        <v>0</v>
      </c>
      <c r="O49" s="61">
        <f>IFERROR(C49*'⛽ المبيعات الشهرية'!N48/100,"")</f>
        <v>0</v>
      </c>
      <c r="P49" s="42">
        <f t="shared" si="5"/>
        <v>0</v>
      </c>
      <c r="Q49" s="62">
        <f>'📋 بيانات المحطات'!I48</f>
        <v>0</v>
      </c>
      <c r="R49" s="63">
        <f>IFERROR(Q49*'⛽ المبيعات الشهرية'!O48/100,"")</f>
        <v>0</v>
      </c>
      <c r="S49" s="61">
        <f>IFERROR(Q49*'⛽ المبيعات الشهرية'!P48/100,"")</f>
        <v>0</v>
      </c>
      <c r="T49" s="63">
        <f>IFERROR(Q49*'⛽ المبيعات الشهرية'!Q48/100,"")</f>
        <v>0</v>
      </c>
      <c r="U49" s="61">
        <f>IFERROR(Q49*'⛽ المبيعات الشهرية'!R48/100,"")</f>
        <v>0</v>
      </c>
      <c r="V49" s="63">
        <f>IFERROR(Q49*'⛽ المبيعات الشهرية'!S48/100,"")</f>
        <v>0</v>
      </c>
      <c r="W49" s="61">
        <f>IFERROR(Q49*'⛽ المبيعات الشهرية'!T48/100,"")</f>
        <v>0</v>
      </c>
      <c r="X49" s="63">
        <f>IFERROR(Q49*'⛽ المبيعات الشهرية'!U48/100,"")</f>
        <v>0</v>
      </c>
      <c r="Y49" s="61">
        <f>IFERROR(Q49*'⛽ المبيعات الشهرية'!V48/100,"")</f>
        <v>0</v>
      </c>
      <c r="Z49" s="63">
        <f>IFERROR(Q49*'⛽ المبيعات الشهرية'!W48/100,"")</f>
        <v>0</v>
      </c>
      <c r="AA49" s="61">
        <f>IFERROR(Q49*'⛽ المبيعات الشهرية'!X48/100,"")</f>
        <v>0</v>
      </c>
      <c r="AB49" s="63">
        <f>IFERROR(Q49*'⛽ المبيعات الشهرية'!Y48/100,"")</f>
        <v>0</v>
      </c>
      <c r="AC49" s="61">
        <f>IFERROR(Q49*'⛽ المبيعات الشهرية'!Z48/100,"")</f>
        <v>0</v>
      </c>
      <c r="AD49" s="42">
        <f t="shared" si="6"/>
        <v>0</v>
      </c>
      <c r="AE49" s="64">
        <f>'📋 بيانات المحطات'!J48</f>
        <v>0</v>
      </c>
      <c r="AF49" s="65">
        <f>IFERROR(AE49*'⛽ المبيعات الشهرية'!AA48/100,"")</f>
        <v>0</v>
      </c>
      <c r="AG49" s="61">
        <f>IFERROR(AE49*'⛽ المبيعات الشهرية'!AB48/100,"")</f>
        <v>0</v>
      </c>
      <c r="AH49" s="65">
        <f>IFERROR(AE49*'⛽ المبيعات الشهرية'!AC48/100,"")</f>
        <v>0</v>
      </c>
      <c r="AI49" s="61">
        <f>IFERROR(AE49*'⛽ المبيعات الشهرية'!AD48/100,"")</f>
        <v>0</v>
      </c>
      <c r="AJ49" s="65">
        <f>IFERROR(AE49*'⛽ المبيعات الشهرية'!AE48/100,"")</f>
        <v>0</v>
      </c>
      <c r="AK49" s="61">
        <f>IFERROR(AE49*'⛽ المبيعات الشهرية'!AF48/100,"")</f>
        <v>0</v>
      </c>
      <c r="AL49" s="65">
        <f>IFERROR(AE49*'⛽ المبيعات الشهرية'!AG48/100,"")</f>
        <v>0</v>
      </c>
      <c r="AM49" s="61">
        <f>IFERROR(AE49*'⛽ المبيعات الشهرية'!AH48/100,"")</f>
        <v>0</v>
      </c>
      <c r="AN49" s="65">
        <f>IFERROR(AE49*'⛽ المبيعات الشهرية'!AI48/100,"")</f>
        <v>0</v>
      </c>
      <c r="AO49" s="61">
        <f>IFERROR(AE49*'⛽ المبيعات الشهرية'!AJ48/100,"")</f>
        <v>0</v>
      </c>
      <c r="AP49" s="65">
        <f>IFERROR(AE49*'⛽ المبيعات الشهرية'!AK48/100,"")</f>
        <v>0</v>
      </c>
      <c r="AQ49" s="61">
        <f>IFERROR(AE49*'⛽ المبيعات الشهرية'!AL48/100,"")</f>
        <v>0</v>
      </c>
      <c r="AR49" s="42">
        <f t="shared" si="7"/>
        <v>0</v>
      </c>
      <c r="AS49" s="66">
        <f>'📋 بيانات المحطات'!K48</f>
        <v>0</v>
      </c>
      <c r="AT49" s="67">
        <f>IFERROR(AS49*'⛽ المبيعات الشهرية'!AM48/100,"")</f>
        <v>0</v>
      </c>
      <c r="AU49" s="61">
        <f>IFERROR(AS49*'⛽ المبيعات الشهرية'!AN48/100,"")</f>
        <v>0</v>
      </c>
      <c r="AV49" s="67">
        <f>IFERROR(AS49*'⛽ المبيعات الشهرية'!AO48/100,"")</f>
        <v>0</v>
      </c>
      <c r="AW49" s="61">
        <f>IFERROR(AS49*'⛽ المبيعات الشهرية'!AP48/100,"")</f>
        <v>0</v>
      </c>
      <c r="AX49" s="67">
        <f>IFERROR(AS49*'⛽ المبيعات الشهرية'!AQ48/100,"")</f>
        <v>0</v>
      </c>
      <c r="AY49" s="61">
        <f>IFERROR(AS49*'⛽ المبيعات الشهرية'!AR48/100,"")</f>
        <v>0</v>
      </c>
      <c r="AZ49" s="67">
        <f>IFERROR(AS49*'⛽ المبيعات الشهرية'!AS48/100,"")</f>
        <v>0</v>
      </c>
      <c r="BA49" s="61">
        <f>IFERROR(AS49*'⛽ المبيعات الشهرية'!AT48/100,"")</f>
        <v>0</v>
      </c>
      <c r="BB49" s="67">
        <f>IFERROR(AS49*'⛽ المبيعات الشهرية'!AU48/100,"")</f>
        <v>0</v>
      </c>
      <c r="BC49" s="61">
        <f>IFERROR(AS49*'⛽ المبيعات الشهرية'!AV48/100,"")</f>
        <v>0</v>
      </c>
      <c r="BD49" s="67">
        <f>IFERROR(AS49*'⛽ المبيعات الشهرية'!AW48/100,"")</f>
        <v>0</v>
      </c>
      <c r="BE49" s="61">
        <f>IFERROR(AS49*'⛽ المبيعات الشهرية'!AX48/100,"")</f>
        <v>0</v>
      </c>
      <c r="BF49" s="42">
        <f t="shared" si="8"/>
        <v>0</v>
      </c>
      <c r="BG49" s="68">
        <f t="shared" si="9"/>
        <v>0</v>
      </c>
    </row>
    <row r="50" spans="1:59" ht="21.75" customHeight="1" x14ac:dyDescent="0.35">
      <c r="A50" s="69" t="s">
        <v>160</v>
      </c>
      <c r="B50" s="36" t="str">
        <f>'📋 بيانات المحطات'!B49</f>
        <v>الكوثر</v>
      </c>
      <c r="C50" s="59">
        <f>'📋 بيانات المحطات'!H49</f>
        <v>0</v>
      </c>
      <c r="D50" s="60">
        <f>IFERROR(C50*'⛽ المبيعات الشهرية'!C49/100,"")</f>
        <v>0</v>
      </c>
      <c r="E50" s="61">
        <f>IFERROR(C50*'⛽ المبيعات الشهرية'!D49/100,"")</f>
        <v>0</v>
      </c>
      <c r="F50" s="60">
        <f>IFERROR(C50*'⛽ المبيعات الشهرية'!E49/100,"")</f>
        <v>0</v>
      </c>
      <c r="G50" s="61">
        <f>IFERROR(C50*'⛽ المبيعات الشهرية'!F49/100,"")</f>
        <v>0</v>
      </c>
      <c r="H50" s="60">
        <f>IFERROR(C50*'⛽ المبيعات الشهرية'!G49/100,"")</f>
        <v>0</v>
      </c>
      <c r="I50" s="61">
        <f>IFERROR(C50*'⛽ المبيعات الشهرية'!H49/100,"")</f>
        <v>0</v>
      </c>
      <c r="J50" s="60">
        <f>IFERROR(C50*'⛽ المبيعات الشهرية'!I49/100,"")</f>
        <v>0</v>
      </c>
      <c r="K50" s="61">
        <f>IFERROR(C50*'⛽ المبيعات الشهرية'!J49/100,"")</f>
        <v>0</v>
      </c>
      <c r="L50" s="60">
        <f>IFERROR(C50*'⛽ المبيعات الشهرية'!K49/100,"")</f>
        <v>0</v>
      </c>
      <c r="M50" s="61">
        <f>IFERROR(C50*'⛽ المبيعات الشهرية'!L49/100,"")</f>
        <v>0</v>
      </c>
      <c r="N50" s="60">
        <f>IFERROR(C50*'⛽ المبيعات الشهرية'!M49/100,"")</f>
        <v>0</v>
      </c>
      <c r="O50" s="61">
        <f>IFERROR(C50*'⛽ المبيعات الشهرية'!N49/100,"")</f>
        <v>0</v>
      </c>
      <c r="P50" s="42">
        <f t="shared" si="5"/>
        <v>0</v>
      </c>
      <c r="Q50" s="62">
        <f>'📋 بيانات المحطات'!I49</f>
        <v>0</v>
      </c>
      <c r="R50" s="63">
        <f>IFERROR(Q50*'⛽ المبيعات الشهرية'!O49/100,"")</f>
        <v>0</v>
      </c>
      <c r="S50" s="61">
        <f>IFERROR(Q50*'⛽ المبيعات الشهرية'!P49/100,"")</f>
        <v>0</v>
      </c>
      <c r="T50" s="63">
        <f>IFERROR(Q50*'⛽ المبيعات الشهرية'!Q49/100,"")</f>
        <v>0</v>
      </c>
      <c r="U50" s="61">
        <f>IFERROR(Q50*'⛽ المبيعات الشهرية'!R49/100,"")</f>
        <v>0</v>
      </c>
      <c r="V50" s="63">
        <f>IFERROR(Q50*'⛽ المبيعات الشهرية'!S49/100,"")</f>
        <v>0</v>
      </c>
      <c r="W50" s="61">
        <f>IFERROR(Q50*'⛽ المبيعات الشهرية'!T49/100,"")</f>
        <v>0</v>
      </c>
      <c r="X50" s="63">
        <f>IFERROR(Q50*'⛽ المبيعات الشهرية'!U49/100,"")</f>
        <v>0</v>
      </c>
      <c r="Y50" s="61">
        <f>IFERROR(Q50*'⛽ المبيعات الشهرية'!V49/100,"")</f>
        <v>0</v>
      </c>
      <c r="Z50" s="63">
        <f>IFERROR(Q50*'⛽ المبيعات الشهرية'!W49/100,"")</f>
        <v>0</v>
      </c>
      <c r="AA50" s="61">
        <f>IFERROR(Q50*'⛽ المبيعات الشهرية'!X49/100,"")</f>
        <v>0</v>
      </c>
      <c r="AB50" s="63">
        <f>IFERROR(Q50*'⛽ المبيعات الشهرية'!Y49/100,"")</f>
        <v>0</v>
      </c>
      <c r="AC50" s="61">
        <f>IFERROR(Q50*'⛽ المبيعات الشهرية'!Z49/100,"")</f>
        <v>0</v>
      </c>
      <c r="AD50" s="42">
        <f t="shared" si="6"/>
        <v>0</v>
      </c>
      <c r="AE50" s="64">
        <f>'📋 بيانات المحطات'!J49</f>
        <v>0</v>
      </c>
      <c r="AF50" s="65">
        <f>IFERROR(AE50*'⛽ المبيعات الشهرية'!AA49/100,"")</f>
        <v>0</v>
      </c>
      <c r="AG50" s="61">
        <f>IFERROR(AE50*'⛽ المبيعات الشهرية'!AB49/100,"")</f>
        <v>0</v>
      </c>
      <c r="AH50" s="65">
        <f>IFERROR(AE50*'⛽ المبيعات الشهرية'!AC49/100,"")</f>
        <v>0</v>
      </c>
      <c r="AI50" s="61">
        <f>IFERROR(AE50*'⛽ المبيعات الشهرية'!AD49/100,"")</f>
        <v>0</v>
      </c>
      <c r="AJ50" s="65">
        <f>IFERROR(AE50*'⛽ المبيعات الشهرية'!AE49/100,"")</f>
        <v>0</v>
      </c>
      <c r="AK50" s="61">
        <f>IFERROR(AE50*'⛽ المبيعات الشهرية'!AF49/100,"")</f>
        <v>0</v>
      </c>
      <c r="AL50" s="65">
        <f>IFERROR(AE50*'⛽ المبيعات الشهرية'!AG49/100,"")</f>
        <v>0</v>
      </c>
      <c r="AM50" s="61">
        <f>IFERROR(AE50*'⛽ المبيعات الشهرية'!AH49/100,"")</f>
        <v>0</v>
      </c>
      <c r="AN50" s="65">
        <f>IFERROR(AE50*'⛽ المبيعات الشهرية'!AI49/100,"")</f>
        <v>0</v>
      </c>
      <c r="AO50" s="61">
        <f>IFERROR(AE50*'⛽ المبيعات الشهرية'!AJ49/100,"")</f>
        <v>0</v>
      </c>
      <c r="AP50" s="65">
        <f>IFERROR(AE50*'⛽ المبيعات الشهرية'!AK49/100,"")</f>
        <v>0</v>
      </c>
      <c r="AQ50" s="61">
        <f>IFERROR(AE50*'⛽ المبيعات الشهرية'!AL49/100,"")</f>
        <v>0</v>
      </c>
      <c r="AR50" s="42">
        <f t="shared" si="7"/>
        <v>0</v>
      </c>
      <c r="AS50" s="66">
        <f>'📋 بيانات المحطات'!K49</f>
        <v>0</v>
      </c>
      <c r="AT50" s="67">
        <f>IFERROR(AS50*'⛽ المبيعات الشهرية'!AM49/100,"")</f>
        <v>0</v>
      </c>
      <c r="AU50" s="61">
        <f>IFERROR(AS50*'⛽ المبيعات الشهرية'!AN49/100,"")</f>
        <v>0</v>
      </c>
      <c r="AV50" s="67">
        <f>IFERROR(AS50*'⛽ المبيعات الشهرية'!AO49/100,"")</f>
        <v>0</v>
      </c>
      <c r="AW50" s="61">
        <f>IFERROR(AS50*'⛽ المبيعات الشهرية'!AP49/100,"")</f>
        <v>0</v>
      </c>
      <c r="AX50" s="67">
        <f>IFERROR(AS50*'⛽ المبيعات الشهرية'!AQ49/100,"")</f>
        <v>0</v>
      </c>
      <c r="AY50" s="61">
        <f>IFERROR(AS50*'⛽ المبيعات الشهرية'!AR49/100,"")</f>
        <v>0</v>
      </c>
      <c r="AZ50" s="67">
        <f>IFERROR(AS50*'⛽ المبيعات الشهرية'!AS49/100,"")</f>
        <v>0</v>
      </c>
      <c r="BA50" s="61">
        <f>IFERROR(AS50*'⛽ المبيعات الشهرية'!AT49/100,"")</f>
        <v>0</v>
      </c>
      <c r="BB50" s="67">
        <f>IFERROR(AS50*'⛽ المبيعات الشهرية'!AU49/100,"")</f>
        <v>0</v>
      </c>
      <c r="BC50" s="61">
        <f>IFERROR(AS50*'⛽ المبيعات الشهرية'!AV49/100,"")</f>
        <v>0</v>
      </c>
      <c r="BD50" s="67">
        <f>IFERROR(AS50*'⛽ المبيعات الشهرية'!AW49/100,"")</f>
        <v>0</v>
      </c>
      <c r="BE50" s="61">
        <f>IFERROR(AS50*'⛽ المبيعات الشهرية'!AX49/100,"")</f>
        <v>0</v>
      </c>
      <c r="BF50" s="42">
        <f t="shared" si="8"/>
        <v>0</v>
      </c>
      <c r="BG50" s="68">
        <f t="shared" si="9"/>
        <v>0</v>
      </c>
    </row>
    <row r="51" spans="1:59" ht="21.75" customHeight="1" x14ac:dyDescent="0.35">
      <c r="A51" s="58" t="s">
        <v>163</v>
      </c>
      <c r="B51" s="36" t="str">
        <f>'📋 بيانات المحطات'!B50</f>
        <v>روابي جيزان</v>
      </c>
      <c r="C51" s="59">
        <f>'📋 بيانات المحطات'!H50</f>
        <v>0</v>
      </c>
      <c r="D51" s="60">
        <f>IFERROR(C51*'⛽ المبيعات الشهرية'!C50/100,"")</f>
        <v>0</v>
      </c>
      <c r="E51" s="61">
        <f>IFERROR(C51*'⛽ المبيعات الشهرية'!D50/100,"")</f>
        <v>0</v>
      </c>
      <c r="F51" s="60">
        <f>IFERROR(C51*'⛽ المبيعات الشهرية'!E50/100,"")</f>
        <v>0</v>
      </c>
      <c r="G51" s="61">
        <f>IFERROR(C51*'⛽ المبيعات الشهرية'!F50/100,"")</f>
        <v>0</v>
      </c>
      <c r="H51" s="60">
        <f>IFERROR(C51*'⛽ المبيعات الشهرية'!G50/100,"")</f>
        <v>0</v>
      </c>
      <c r="I51" s="61">
        <f>IFERROR(C51*'⛽ المبيعات الشهرية'!H50/100,"")</f>
        <v>0</v>
      </c>
      <c r="J51" s="60">
        <f>IFERROR(C51*'⛽ المبيعات الشهرية'!I50/100,"")</f>
        <v>0</v>
      </c>
      <c r="K51" s="61">
        <f>IFERROR(C51*'⛽ المبيعات الشهرية'!J50/100,"")</f>
        <v>0</v>
      </c>
      <c r="L51" s="60">
        <f>IFERROR(C51*'⛽ المبيعات الشهرية'!K50/100,"")</f>
        <v>0</v>
      </c>
      <c r="M51" s="61">
        <f>IFERROR(C51*'⛽ المبيعات الشهرية'!L50/100,"")</f>
        <v>0</v>
      </c>
      <c r="N51" s="60">
        <f>IFERROR(C51*'⛽ المبيعات الشهرية'!M50/100,"")</f>
        <v>0</v>
      </c>
      <c r="O51" s="61">
        <f>IFERROR(C51*'⛽ المبيعات الشهرية'!N50/100,"")</f>
        <v>0</v>
      </c>
      <c r="P51" s="42">
        <f t="shared" si="5"/>
        <v>0</v>
      </c>
      <c r="Q51" s="62">
        <f>'📋 بيانات المحطات'!I50</f>
        <v>0</v>
      </c>
      <c r="R51" s="63">
        <f>IFERROR(Q51*'⛽ المبيعات الشهرية'!O50/100,"")</f>
        <v>0</v>
      </c>
      <c r="S51" s="61">
        <f>IFERROR(Q51*'⛽ المبيعات الشهرية'!P50/100,"")</f>
        <v>0</v>
      </c>
      <c r="T51" s="63">
        <f>IFERROR(Q51*'⛽ المبيعات الشهرية'!Q50/100,"")</f>
        <v>0</v>
      </c>
      <c r="U51" s="61">
        <f>IFERROR(Q51*'⛽ المبيعات الشهرية'!R50/100,"")</f>
        <v>0</v>
      </c>
      <c r="V51" s="63">
        <f>IFERROR(Q51*'⛽ المبيعات الشهرية'!S50/100,"")</f>
        <v>0</v>
      </c>
      <c r="W51" s="61">
        <f>IFERROR(Q51*'⛽ المبيعات الشهرية'!T50/100,"")</f>
        <v>0</v>
      </c>
      <c r="X51" s="63">
        <f>IFERROR(Q51*'⛽ المبيعات الشهرية'!U50/100,"")</f>
        <v>0</v>
      </c>
      <c r="Y51" s="61">
        <f>IFERROR(Q51*'⛽ المبيعات الشهرية'!V50/100,"")</f>
        <v>0</v>
      </c>
      <c r="Z51" s="63">
        <f>IFERROR(Q51*'⛽ المبيعات الشهرية'!W50/100,"")</f>
        <v>0</v>
      </c>
      <c r="AA51" s="61">
        <f>IFERROR(Q51*'⛽ المبيعات الشهرية'!X50/100,"")</f>
        <v>0</v>
      </c>
      <c r="AB51" s="63">
        <f>IFERROR(Q51*'⛽ المبيعات الشهرية'!Y50/100,"")</f>
        <v>0</v>
      </c>
      <c r="AC51" s="61">
        <f>IFERROR(Q51*'⛽ المبيعات الشهرية'!Z50/100,"")</f>
        <v>0</v>
      </c>
      <c r="AD51" s="42">
        <f t="shared" si="6"/>
        <v>0</v>
      </c>
      <c r="AE51" s="64">
        <f>'📋 بيانات المحطات'!J50</f>
        <v>0</v>
      </c>
      <c r="AF51" s="65">
        <f>IFERROR(AE51*'⛽ المبيعات الشهرية'!AA50/100,"")</f>
        <v>0</v>
      </c>
      <c r="AG51" s="61">
        <f>IFERROR(AE51*'⛽ المبيعات الشهرية'!AB50/100,"")</f>
        <v>0</v>
      </c>
      <c r="AH51" s="65">
        <f>IFERROR(AE51*'⛽ المبيعات الشهرية'!AC50/100,"")</f>
        <v>0</v>
      </c>
      <c r="AI51" s="61">
        <f>IFERROR(AE51*'⛽ المبيعات الشهرية'!AD50/100,"")</f>
        <v>0</v>
      </c>
      <c r="AJ51" s="65">
        <f>IFERROR(AE51*'⛽ المبيعات الشهرية'!AE50/100,"")</f>
        <v>0</v>
      </c>
      <c r="AK51" s="61">
        <f>IFERROR(AE51*'⛽ المبيعات الشهرية'!AF50/100,"")</f>
        <v>0</v>
      </c>
      <c r="AL51" s="65">
        <f>IFERROR(AE51*'⛽ المبيعات الشهرية'!AG50/100,"")</f>
        <v>0</v>
      </c>
      <c r="AM51" s="61">
        <f>IFERROR(AE51*'⛽ المبيعات الشهرية'!AH50/100,"")</f>
        <v>0</v>
      </c>
      <c r="AN51" s="65">
        <f>IFERROR(AE51*'⛽ المبيعات الشهرية'!AI50/100,"")</f>
        <v>0</v>
      </c>
      <c r="AO51" s="61">
        <f>IFERROR(AE51*'⛽ المبيعات الشهرية'!AJ50/100,"")</f>
        <v>0</v>
      </c>
      <c r="AP51" s="65">
        <f>IFERROR(AE51*'⛽ المبيعات الشهرية'!AK50/100,"")</f>
        <v>0</v>
      </c>
      <c r="AQ51" s="61">
        <f>IFERROR(AE51*'⛽ المبيعات الشهرية'!AL50/100,"")</f>
        <v>0</v>
      </c>
      <c r="AR51" s="42">
        <f t="shared" si="7"/>
        <v>0</v>
      </c>
      <c r="AS51" s="66">
        <f>'📋 بيانات المحطات'!K50</f>
        <v>0</v>
      </c>
      <c r="AT51" s="67">
        <f>IFERROR(AS51*'⛽ المبيعات الشهرية'!AM50/100,"")</f>
        <v>0</v>
      </c>
      <c r="AU51" s="61">
        <f>IFERROR(AS51*'⛽ المبيعات الشهرية'!AN50/100,"")</f>
        <v>0</v>
      </c>
      <c r="AV51" s="67">
        <f>IFERROR(AS51*'⛽ المبيعات الشهرية'!AO50/100,"")</f>
        <v>0</v>
      </c>
      <c r="AW51" s="61">
        <f>IFERROR(AS51*'⛽ المبيعات الشهرية'!AP50/100,"")</f>
        <v>0</v>
      </c>
      <c r="AX51" s="67">
        <f>IFERROR(AS51*'⛽ المبيعات الشهرية'!AQ50/100,"")</f>
        <v>0</v>
      </c>
      <c r="AY51" s="61">
        <f>IFERROR(AS51*'⛽ المبيعات الشهرية'!AR50/100,"")</f>
        <v>0</v>
      </c>
      <c r="AZ51" s="67">
        <f>IFERROR(AS51*'⛽ المبيعات الشهرية'!AS50/100,"")</f>
        <v>0</v>
      </c>
      <c r="BA51" s="61">
        <f>IFERROR(AS51*'⛽ المبيعات الشهرية'!AT50/100,"")</f>
        <v>0</v>
      </c>
      <c r="BB51" s="67">
        <f>IFERROR(AS51*'⛽ المبيعات الشهرية'!AU50/100,"")</f>
        <v>0</v>
      </c>
      <c r="BC51" s="61">
        <f>IFERROR(AS51*'⛽ المبيعات الشهرية'!AV50/100,"")</f>
        <v>0</v>
      </c>
      <c r="BD51" s="67">
        <f>IFERROR(AS51*'⛽ المبيعات الشهرية'!AW50/100,"")</f>
        <v>0</v>
      </c>
      <c r="BE51" s="61">
        <f>IFERROR(AS51*'⛽ المبيعات الشهرية'!AX50/100,"")</f>
        <v>0</v>
      </c>
      <c r="BF51" s="42">
        <f t="shared" si="8"/>
        <v>0</v>
      </c>
      <c r="BG51" s="68">
        <f t="shared" si="9"/>
        <v>0</v>
      </c>
    </row>
    <row r="52" spans="1:59" ht="21.75" customHeight="1" x14ac:dyDescent="0.35">
      <c r="A52" s="69" t="s">
        <v>166</v>
      </c>
      <c r="B52" s="36" t="str">
        <f>'📋 بيانات المحطات'!B51</f>
        <v>الدائري الشرقي</v>
      </c>
      <c r="C52" s="59">
        <f>'📋 بيانات المحطات'!H51</f>
        <v>0</v>
      </c>
      <c r="D52" s="60">
        <f>IFERROR(C52*'⛽ المبيعات الشهرية'!C51/100,"")</f>
        <v>0</v>
      </c>
      <c r="E52" s="61">
        <f>IFERROR(C52*'⛽ المبيعات الشهرية'!D51/100,"")</f>
        <v>0</v>
      </c>
      <c r="F52" s="60">
        <f>IFERROR(C52*'⛽ المبيعات الشهرية'!E51/100,"")</f>
        <v>0</v>
      </c>
      <c r="G52" s="61">
        <f>IFERROR(C52*'⛽ المبيعات الشهرية'!F51/100,"")</f>
        <v>0</v>
      </c>
      <c r="H52" s="60">
        <f>IFERROR(C52*'⛽ المبيعات الشهرية'!G51/100,"")</f>
        <v>0</v>
      </c>
      <c r="I52" s="61">
        <f>IFERROR(C52*'⛽ المبيعات الشهرية'!H51/100,"")</f>
        <v>0</v>
      </c>
      <c r="J52" s="60">
        <f>IFERROR(C52*'⛽ المبيعات الشهرية'!I51/100,"")</f>
        <v>0</v>
      </c>
      <c r="K52" s="61">
        <f>IFERROR(C52*'⛽ المبيعات الشهرية'!J51/100,"")</f>
        <v>0</v>
      </c>
      <c r="L52" s="60">
        <f>IFERROR(C52*'⛽ المبيعات الشهرية'!K51/100,"")</f>
        <v>0</v>
      </c>
      <c r="M52" s="61">
        <f>IFERROR(C52*'⛽ المبيعات الشهرية'!L51/100,"")</f>
        <v>0</v>
      </c>
      <c r="N52" s="60">
        <f>IFERROR(C52*'⛽ المبيعات الشهرية'!M51/100,"")</f>
        <v>0</v>
      </c>
      <c r="O52" s="61">
        <f>IFERROR(C52*'⛽ المبيعات الشهرية'!N51/100,"")</f>
        <v>0</v>
      </c>
      <c r="P52" s="42">
        <f t="shared" si="5"/>
        <v>0</v>
      </c>
      <c r="Q52" s="62">
        <f>'📋 بيانات المحطات'!I51</f>
        <v>0</v>
      </c>
      <c r="R52" s="63">
        <f>IFERROR(Q52*'⛽ المبيعات الشهرية'!O51/100,"")</f>
        <v>0</v>
      </c>
      <c r="S52" s="61">
        <f>IFERROR(Q52*'⛽ المبيعات الشهرية'!P51/100,"")</f>
        <v>0</v>
      </c>
      <c r="T52" s="63">
        <f>IFERROR(Q52*'⛽ المبيعات الشهرية'!Q51/100,"")</f>
        <v>0</v>
      </c>
      <c r="U52" s="61">
        <f>IFERROR(Q52*'⛽ المبيعات الشهرية'!R51/100,"")</f>
        <v>0</v>
      </c>
      <c r="V52" s="63">
        <f>IFERROR(Q52*'⛽ المبيعات الشهرية'!S51/100,"")</f>
        <v>0</v>
      </c>
      <c r="W52" s="61">
        <f>IFERROR(Q52*'⛽ المبيعات الشهرية'!T51/100,"")</f>
        <v>0</v>
      </c>
      <c r="X52" s="63">
        <f>IFERROR(Q52*'⛽ المبيعات الشهرية'!U51/100,"")</f>
        <v>0</v>
      </c>
      <c r="Y52" s="61">
        <f>IFERROR(Q52*'⛽ المبيعات الشهرية'!V51/100,"")</f>
        <v>0</v>
      </c>
      <c r="Z52" s="63">
        <f>IFERROR(Q52*'⛽ المبيعات الشهرية'!W51/100,"")</f>
        <v>0</v>
      </c>
      <c r="AA52" s="61">
        <f>IFERROR(Q52*'⛽ المبيعات الشهرية'!X51/100,"")</f>
        <v>0</v>
      </c>
      <c r="AB52" s="63">
        <f>IFERROR(Q52*'⛽ المبيعات الشهرية'!Y51/100,"")</f>
        <v>0</v>
      </c>
      <c r="AC52" s="61">
        <f>IFERROR(Q52*'⛽ المبيعات الشهرية'!Z51/100,"")</f>
        <v>0</v>
      </c>
      <c r="AD52" s="42">
        <f t="shared" si="6"/>
        <v>0</v>
      </c>
      <c r="AE52" s="64">
        <f>'📋 بيانات المحطات'!J51</f>
        <v>0</v>
      </c>
      <c r="AF52" s="65">
        <f>IFERROR(AE52*'⛽ المبيعات الشهرية'!AA51/100,"")</f>
        <v>0</v>
      </c>
      <c r="AG52" s="61">
        <f>IFERROR(AE52*'⛽ المبيعات الشهرية'!AB51/100,"")</f>
        <v>0</v>
      </c>
      <c r="AH52" s="65">
        <f>IFERROR(AE52*'⛽ المبيعات الشهرية'!AC51/100,"")</f>
        <v>0</v>
      </c>
      <c r="AI52" s="61">
        <f>IFERROR(AE52*'⛽ المبيعات الشهرية'!AD51/100,"")</f>
        <v>0</v>
      </c>
      <c r="AJ52" s="65">
        <f>IFERROR(AE52*'⛽ المبيعات الشهرية'!AE51/100,"")</f>
        <v>0</v>
      </c>
      <c r="AK52" s="61">
        <f>IFERROR(AE52*'⛽ المبيعات الشهرية'!AF51/100,"")</f>
        <v>0</v>
      </c>
      <c r="AL52" s="65">
        <f>IFERROR(AE52*'⛽ المبيعات الشهرية'!AG51/100,"")</f>
        <v>0</v>
      </c>
      <c r="AM52" s="61">
        <f>IFERROR(AE52*'⛽ المبيعات الشهرية'!AH51/100,"")</f>
        <v>0</v>
      </c>
      <c r="AN52" s="65">
        <f>IFERROR(AE52*'⛽ المبيعات الشهرية'!AI51/100,"")</f>
        <v>0</v>
      </c>
      <c r="AO52" s="61">
        <f>IFERROR(AE52*'⛽ المبيعات الشهرية'!AJ51/100,"")</f>
        <v>0</v>
      </c>
      <c r="AP52" s="65">
        <f>IFERROR(AE52*'⛽ المبيعات الشهرية'!AK51/100,"")</f>
        <v>0</v>
      </c>
      <c r="AQ52" s="61">
        <f>IFERROR(AE52*'⛽ المبيعات الشهرية'!AL51/100,"")</f>
        <v>0</v>
      </c>
      <c r="AR52" s="42">
        <f t="shared" si="7"/>
        <v>0</v>
      </c>
      <c r="AS52" s="66">
        <f>'📋 بيانات المحطات'!K51</f>
        <v>0</v>
      </c>
      <c r="AT52" s="67">
        <f>IFERROR(AS52*'⛽ المبيعات الشهرية'!AM51/100,"")</f>
        <v>0</v>
      </c>
      <c r="AU52" s="61">
        <f>IFERROR(AS52*'⛽ المبيعات الشهرية'!AN51/100,"")</f>
        <v>0</v>
      </c>
      <c r="AV52" s="67">
        <f>IFERROR(AS52*'⛽ المبيعات الشهرية'!AO51/100,"")</f>
        <v>0</v>
      </c>
      <c r="AW52" s="61">
        <f>IFERROR(AS52*'⛽ المبيعات الشهرية'!AP51/100,"")</f>
        <v>0</v>
      </c>
      <c r="AX52" s="67">
        <f>IFERROR(AS52*'⛽ المبيعات الشهرية'!AQ51/100,"")</f>
        <v>0</v>
      </c>
      <c r="AY52" s="61">
        <f>IFERROR(AS52*'⛽ المبيعات الشهرية'!AR51/100,"")</f>
        <v>0</v>
      </c>
      <c r="AZ52" s="67">
        <f>IFERROR(AS52*'⛽ المبيعات الشهرية'!AS51/100,"")</f>
        <v>0</v>
      </c>
      <c r="BA52" s="61">
        <f>IFERROR(AS52*'⛽ المبيعات الشهرية'!AT51/100,"")</f>
        <v>0</v>
      </c>
      <c r="BB52" s="67">
        <f>IFERROR(AS52*'⛽ المبيعات الشهرية'!AU51/100,"")</f>
        <v>0</v>
      </c>
      <c r="BC52" s="61">
        <f>IFERROR(AS52*'⛽ المبيعات الشهرية'!AV51/100,"")</f>
        <v>0</v>
      </c>
      <c r="BD52" s="67">
        <f>IFERROR(AS52*'⛽ المبيعات الشهرية'!AW51/100,"")</f>
        <v>0</v>
      </c>
      <c r="BE52" s="61">
        <f>IFERROR(AS52*'⛽ المبيعات الشهرية'!AX51/100,"")</f>
        <v>0</v>
      </c>
      <c r="BF52" s="42">
        <f t="shared" si="8"/>
        <v>0</v>
      </c>
      <c r="BG52" s="68">
        <f t="shared" si="9"/>
        <v>0</v>
      </c>
    </row>
    <row r="53" spans="1:59" ht="21.75" customHeight="1" x14ac:dyDescent="0.35">
      <c r="A53" s="58" t="s">
        <v>202</v>
      </c>
      <c r="B53" s="36" t="str">
        <f>'📋 بيانات المحطات'!B52</f>
        <v>الاطاوله الباحة</v>
      </c>
      <c r="C53" s="59">
        <f>'📋 بيانات المحطات'!H52</f>
        <v>0</v>
      </c>
      <c r="D53" s="60">
        <f>IFERROR(C53*'⛽ المبيعات الشهرية'!C52/100,"")</f>
        <v>0</v>
      </c>
      <c r="E53" s="61">
        <f>IFERROR(C53*'⛽ المبيعات الشهرية'!D52/100,"")</f>
        <v>0</v>
      </c>
      <c r="F53" s="60">
        <f>IFERROR(C53*'⛽ المبيعات الشهرية'!E52/100,"")</f>
        <v>0</v>
      </c>
      <c r="G53" s="61">
        <f>IFERROR(C53*'⛽ المبيعات الشهرية'!F52/100,"")</f>
        <v>0</v>
      </c>
      <c r="H53" s="60">
        <f>IFERROR(C53*'⛽ المبيعات الشهرية'!G52/100,"")</f>
        <v>0</v>
      </c>
      <c r="I53" s="61">
        <f>IFERROR(C53*'⛽ المبيعات الشهرية'!H52/100,"")</f>
        <v>0</v>
      </c>
      <c r="J53" s="60">
        <f>IFERROR(C53*'⛽ المبيعات الشهرية'!I52/100,"")</f>
        <v>0</v>
      </c>
      <c r="K53" s="61">
        <f>IFERROR(C53*'⛽ المبيعات الشهرية'!J52/100,"")</f>
        <v>0</v>
      </c>
      <c r="L53" s="60">
        <f>IFERROR(C53*'⛽ المبيعات الشهرية'!K52/100,"")</f>
        <v>0</v>
      </c>
      <c r="M53" s="61">
        <f>IFERROR(C53*'⛽ المبيعات الشهرية'!L52/100,"")</f>
        <v>0</v>
      </c>
      <c r="N53" s="60">
        <f>IFERROR(C53*'⛽ المبيعات الشهرية'!M52/100,"")</f>
        <v>0</v>
      </c>
      <c r="O53" s="61">
        <f>IFERROR(C53*'⛽ المبيعات الشهرية'!N52/100,"")</f>
        <v>0</v>
      </c>
      <c r="P53" s="42">
        <f t="shared" si="5"/>
        <v>0</v>
      </c>
      <c r="Q53" s="62">
        <f>'📋 بيانات المحطات'!I52</f>
        <v>0</v>
      </c>
      <c r="R53" s="63">
        <f>IFERROR(Q53*'⛽ المبيعات الشهرية'!O52/100,"")</f>
        <v>0</v>
      </c>
      <c r="S53" s="61">
        <f>IFERROR(Q53*'⛽ المبيعات الشهرية'!P52/100,"")</f>
        <v>0</v>
      </c>
      <c r="T53" s="63">
        <f>IFERROR(Q53*'⛽ المبيعات الشهرية'!Q52/100,"")</f>
        <v>0</v>
      </c>
      <c r="U53" s="61">
        <f>IFERROR(Q53*'⛽ المبيعات الشهرية'!R52/100,"")</f>
        <v>0</v>
      </c>
      <c r="V53" s="63">
        <f>IFERROR(Q53*'⛽ المبيعات الشهرية'!S52/100,"")</f>
        <v>0</v>
      </c>
      <c r="W53" s="61">
        <f>IFERROR(Q53*'⛽ المبيعات الشهرية'!T52/100,"")</f>
        <v>0</v>
      </c>
      <c r="X53" s="63">
        <f>IFERROR(Q53*'⛽ المبيعات الشهرية'!U52/100,"")</f>
        <v>0</v>
      </c>
      <c r="Y53" s="61">
        <f>IFERROR(Q53*'⛽ المبيعات الشهرية'!V52/100,"")</f>
        <v>0</v>
      </c>
      <c r="Z53" s="63">
        <f>IFERROR(Q53*'⛽ المبيعات الشهرية'!W52/100,"")</f>
        <v>0</v>
      </c>
      <c r="AA53" s="61">
        <f>IFERROR(Q53*'⛽ المبيعات الشهرية'!X52/100,"")</f>
        <v>0</v>
      </c>
      <c r="AB53" s="63">
        <f>IFERROR(Q53*'⛽ المبيعات الشهرية'!Y52/100,"")</f>
        <v>0</v>
      </c>
      <c r="AC53" s="61">
        <f>IFERROR(Q53*'⛽ المبيعات الشهرية'!Z52/100,"")</f>
        <v>0</v>
      </c>
      <c r="AD53" s="42">
        <f t="shared" si="6"/>
        <v>0</v>
      </c>
      <c r="AE53" s="64">
        <f>'📋 بيانات المحطات'!J52</f>
        <v>0</v>
      </c>
      <c r="AF53" s="65">
        <f>IFERROR(AE53*'⛽ المبيعات الشهرية'!AA52/100,"")</f>
        <v>0</v>
      </c>
      <c r="AG53" s="61">
        <f>IFERROR(AE53*'⛽ المبيعات الشهرية'!AB52/100,"")</f>
        <v>0</v>
      </c>
      <c r="AH53" s="65">
        <f>IFERROR(AE53*'⛽ المبيعات الشهرية'!AC52/100,"")</f>
        <v>0</v>
      </c>
      <c r="AI53" s="61">
        <f>IFERROR(AE53*'⛽ المبيعات الشهرية'!AD52/100,"")</f>
        <v>0</v>
      </c>
      <c r="AJ53" s="65">
        <f>IFERROR(AE53*'⛽ المبيعات الشهرية'!AE52/100,"")</f>
        <v>0</v>
      </c>
      <c r="AK53" s="61">
        <f>IFERROR(AE53*'⛽ المبيعات الشهرية'!AF52/100,"")</f>
        <v>0</v>
      </c>
      <c r="AL53" s="65">
        <f>IFERROR(AE53*'⛽ المبيعات الشهرية'!AG52/100,"")</f>
        <v>0</v>
      </c>
      <c r="AM53" s="61">
        <f>IFERROR(AE53*'⛽ المبيعات الشهرية'!AH52/100,"")</f>
        <v>0</v>
      </c>
      <c r="AN53" s="65">
        <f>IFERROR(AE53*'⛽ المبيعات الشهرية'!AI52/100,"")</f>
        <v>0</v>
      </c>
      <c r="AO53" s="61">
        <f>IFERROR(AE53*'⛽ المبيعات الشهرية'!AJ52/100,"")</f>
        <v>0</v>
      </c>
      <c r="AP53" s="65">
        <f>IFERROR(AE53*'⛽ المبيعات الشهرية'!AK52/100,"")</f>
        <v>0</v>
      </c>
      <c r="AQ53" s="61">
        <f>IFERROR(AE53*'⛽ المبيعات الشهرية'!AL52/100,"")</f>
        <v>0</v>
      </c>
      <c r="AR53" s="42">
        <f t="shared" si="7"/>
        <v>0</v>
      </c>
      <c r="AS53" s="66">
        <f>'📋 بيانات المحطات'!K52</f>
        <v>0</v>
      </c>
      <c r="AT53" s="67">
        <f>IFERROR(AS53*'⛽ المبيعات الشهرية'!AM52/100,"")</f>
        <v>0</v>
      </c>
      <c r="AU53" s="61">
        <f>IFERROR(AS53*'⛽ المبيعات الشهرية'!AN52/100,"")</f>
        <v>0</v>
      </c>
      <c r="AV53" s="67">
        <f>IFERROR(AS53*'⛽ المبيعات الشهرية'!AO52/100,"")</f>
        <v>0</v>
      </c>
      <c r="AW53" s="61">
        <f>IFERROR(AS53*'⛽ المبيعات الشهرية'!AP52/100,"")</f>
        <v>0</v>
      </c>
      <c r="AX53" s="67">
        <f>IFERROR(AS53*'⛽ المبيعات الشهرية'!AQ52/100,"")</f>
        <v>0</v>
      </c>
      <c r="AY53" s="61">
        <f>IFERROR(AS53*'⛽ المبيعات الشهرية'!AR52/100,"")</f>
        <v>0</v>
      </c>
      <c r="AZ53" s="67">
        <f>IFERROR(AS53*'⛽ المبيعات الشهرية'!AS52/100,"")</f>
        <v>0</v>
      </c>
      <c r="BA53" s="61">
        <f>IFERROR(AS53*'⛽ المبيعات الشهرية'!AT52/100,"")</f>
        <v>0</v>
      </c>
      <c r="BB53" s="67">
        <f>IFERROR(AS53*'⛽ المبيعات الشهرية'!AU52/100,"")</f>
        <v>0</v>
      </c>
      <c r="BC53" s="61">
        <f>IFERROR(AS53*'⛽ المبيعات الشهرية'!AV52/100,"")</f>
        <v>0</v>
      </c>
      <c r="BD53" s="67">
        <f>IFERROR(AS53*'⛽ المبيعات الشهرية'!AW52/100,"")</f>
        <v>0</v>
      </c>
      <c r="BE53" s="61">
        <f>IFERROR(AS53*'⛽ المبيعات الشهرية'!AX52/100,"")</f>
        <v>0</v>
      </c>
      <c r="BF53" s="42">
        <f t="shared" si="8"/>
        <v>0</v>
      </c>
      <c r="BG53" s="68">
        <f t="shared" si="9"/>
        <v>0</v>
      </c>
    </row>
    <row r="54" spans="1:59" ht="21.75" customHeight="1" x14ac:dyDescent="0.35">
      <c r="A54" s="69" t="s">
        <v>169</v>
      </c>
      <c r="B54" s="36" t="str">
        <f>'📋 بيانات المحطات'!B53</f>
        <v>محايل عسير</v>
      </c>
      <c r="C54" s="59">
        <f>'📋 بيانات المحطات'!H53</f>
        <v>0</v>
      </c>
      <c r="D54" s="60">
        <f>IFERROR(C54*'⛽ المبيعات الشهرية'!C53/100,"")</f>
        <v>0</v>
      </c>
      <c r="E54" s="61">
        <f>IFERROR(C54*'⛽ المبيعات الشهرية'!D53/100,"")</f>
        <v>0</v>
      </c>
      <c r="F54" s="60">
        <f>IFERROR(C54*'⛽ المبيعات الشهرية'!E53/100,"")</f>
        <v>0</v>
      </c>
      <c r="G54" s="61">
        <f>IFERROR(C54*'⛽ المبيعات الشهرية'!F53/100,"")</f>
        <v>0</v>
      </c>
      <c r="H54" s="60">
        <f>IFERROR(C54*'⛽ المبيعات الشهرية'!G53/100,"")</f>
        <v>0</v>
      </c>
      <c r="I54" s="61">
        <f>IFERROR(C54*'⛽ المبيعات الشهرية'!H53/100,"")</f>
        <v>0</v>
      </c>
      <c r="J54" s="60">
        <f>IFERROR(C54*'⛽ المبيعات الشهرية'!I53/100,"")</f>
        <v>0</v>
      </c>
      <c r="K54" s="61">
        <f>IFERROR(C54*'⛽ المبيعات الشهرية'!J53/100,"")</f>
        <v>0</v>
      </c>
      <c r="L54" s="60">
        <f>IFERROR(C54*'⛽ المبيعات الشهرية'!K53/100,"")</f>
        <v>0</v>
      </c>
      <c r="M54" s="61">
        <f>IFERROR(C54*'⛽ المبيعات الشهرية'!L53/100,"")</f>
        <v>0</v>
      </c>
      <c r="N54" s="60">
        <f>IFERROR(C54*'⛽ المبيعات الشهرية'!M53/100,"")</f>
        <v>0</v>
      </c>
      <c r="O54" s="61">
        <f>IFERROR(C54*'⛽ المبيعات الشهرية'!N53/100,"")</f>
        <v>0</v>
      </c>
      <c r="P54" s="42">
        <f t="shared" si="5"/>
        <v>0</v>
      </c>
      <c r="Q54" s="62">
        <f>'📋 بيانات المحطات'!I53</f>
        <v>0</v>
      </c>
      <c r="R54" s="63">
        <f>IFERROR(Q54*'⛽ المبيعات الشهرية'!O53/100,"")</f>
        <v>0</v>
      </c>
      <c r="S54" s="61">
        <f>IFERROR(Q54*'⛽ المبيعات الشهرية'!P53/100,"")</f>
        <v>0</v>
      </c>
      <c r="T54" s="63">
        <f>IFERROR(Q54*'⛽ المبيعات الشهرية'!Q53/100,"")</f>
        <v>0</v>
      </c>
      <c r="U54" s="61">
        <f>IFERROR(Q54*'⛽ المبيعات الشهرية'!R53/100,"")</f>
        <v>0</v>
      </c>
      <c r="V54" s="63">
        <f>IFERROR(Q54*'⛽ المبيعات الشهرية'!S53/100,"")</f>
        <v>0</v>
      </c>
      <c r="W54" s="61">
        <f>IFERROR(Q54*'⛽ المبيعات الشهرية'!T53/100,"")</f>
        <v>0</v>
      </c>
      <c r="X54" s="63">
        <f>IFERROR(Q54*'⛽ المبيعات الشهرية'!U53/100,"")</f>
        <v>0</v>
      </c>
      <c r="Y54" s="61">
        <f>IFERROR(Q54*'⛽ المبيعات الشهرية'!V53/100,"")</f>
        <v>0</v>
      </c>
      <c r="Z54" s="63">
        <f>IFERROR(Q54*'⛽ المبيعات الشهرية'!W53/100,"")</f>
        <v>0</v>
      </c>
      <c r="AA54" s="61">
        <f>IFERROR(Q54*'⛽ المبيعات الشهرية'!X53/100,"")</f>
        <v>0</v>
      </c>
      <c r="AB54" s="63">
        <f>IFERROR(Q54*'⛽ المبيعات الشهرية'!Y53/100,"")</f>
        <v>0</v>
      </c>
      <c r="AC54" s="61">
        <f>IFERROR(Q54*'⛽ المبيعات الشهرية'!Z53/100,"")</f>
        <v>0</v>
      </c>
      <c r="AD54" s="42">
        <f t="shared" si="6"/>
        <v>0</v>
      </c>
      <c r="AE54" s="64">
        <f>'📋 بيانات المحطات'!J53</f>
        <v>0</v>
      </c>
      <c r="AF54" s="65">
        <f>IFERROR(AE54*'⛽ المبيعات الشهرية'!AA53/100,"")</f>
        <v>0</v>
      </c>
      <c r="AG54" s="61">
        <f>IFERROR(AE54*'⛽ المبيعات الشهرية'!AB53/100,"")</f>
        <v>0</v>
      </c>
      <c r="AH54" s="65">
        <f>IFERROR(AE54*'⛽ المبيعات الشهرية'!AC53/100,"")</f>
        <v>0</v>
      </c>
      <c r="AI54" s="61">
        <f>IFERROR(AE54*'⛽ المبيعات الشهرية'!AD53/100,"")</f>
        <v>0</v>
      </c>
      <c r="AJ54" s="65">
        <f>IFERROR(AE54*'⛽ المبيعات الشهرية'!AE53/100,"")</f>
        <v>0</v>
      </c>
      <c r="AK54" s="61">
        <f>IFERROR(AE54*'⛽ المبيعات الشهرية'!AF53/100,"")</f>
        <v>0</v>
      </c>
      <c r="AL54" s="65">
        <f>IFERROR(AE54*'⛽ المبيعات الشهرية'!AG53/100,"")</f>
        <v>0</v>
      </c>
      <c r="AM54" s="61">
        <f>IFERROR(AE54*'⛽ المبيعات الشهرية'!AH53/100,"")</f>
        <v>0</v>
      </c>
      <c r="AN54" s="65">
        <f>IFERROR(AE54*'⛽ المبيعات الشهرية'!AI53/100,"")</f>
        <v>0</v>
      </c>
      <c r="AO54" s="61">
        <f>IFERROR(AE54*'⛽ المبيعات الشهرية'!AJ53/100,"")</f>
        <v>0</v>
      </c>
      <c r="AP54" s="65">
        <f>IFERROR(AE54*'⛽ المبيعات الشهرية'!AK53/100,"")</f>
        <v>0</v>
      </c>
      <c r="AQ54" s="61">
        <f>IFERROR(AE54*'⛽ المبيعات الشهرية'!AL53/100,"")</f>
        <v>0</v>
      </c>
      <c r="AR54" s="42">
        <f t="shared" si="7"/>
        <v>0</v>
      </c>
      <c r="AS54" s="66">
        <f>'📋 بيانات المحطات'!K53</f>
        <v>0</v>
      </c>
      <c r="AT54" s="67">
        <f>IFERROR(AS54*'⛽ المبيعات الشهرية'!AM53/100,"")</f>
        <v>0</v>
      </c>
      <c r="AU54" s="61">
        <f>IFERROR(AS54*'⛽ المبيعات الشهرية'!AN53/100,"")</f>
        <v>0</v>
      </c>
      <c r="AV54" s="67">
        <f>IFERROR(AS54*'⛽ المبيعات الشهرية'!AO53/100,"")</f>
        <v>0</v>
      </c>
      <c r="AW54" s="61">
        <f>IFERROR(AS54*'⛽ المبيعات الشهرية'!AP53/100,"")</f>
        <v>0</v>
      </c>
      <c r="AX54" s="67">
        <f>IFERROR(AS54*'⛽ المبيعات الشهرية'!AQ53/100,"")</f>
        <v>0</v>
      </c>
      <c r="AY54" s="61">
        <f>IFERROR(AS54*'⛽ المبيعات الشهرية'!AR53/100,"")</f>
        <v>0</v>
      </c>
      <c r="AZ54" s="67">
        <f>IFERROR(AS54*'⛽ المبيعات الشهرية'!AS53/100,"")</f>
        <v>0</v>
      </c>
      <c r="BA54" s="61">
        <f>IFERROR(AS54*'⛽ المبيعات الشهرية'!AT53/100,"")</f>
        <v>0</v>
      </c>
      <c r="BB54" s="67">
        <f>IFERROR(AS54*'⛽ المبيعات الشهرية'!AU53/100,"")</f>
        <v>0</v>
      </c>
      <c r="BC54" s="61">
        <f>IFERROR(AS54*'⛽ المبيعات الشهرية'!AV53/100,"")</f>
        <v>0</v>
      </c>
      <c r="BD54" s="67">
        <f>IFERROR(AS54*'⛽ المبيعات الشهرية'!AW53/100,"")</f>
        <v>0</v>
      </c>
      <c r="BE54" s="61">
        <f>IFERROR(AS54*'⛽ المبيعات الشهرية'!AX53/100,"")</f>
        <v>0</v>
      </c>
      <c r="BF54" s="42">
        <f t="shared" si="8"/>
        <v>0</v>
      </c>
      <c r="BG54" s="68">
        <f t="shared" si="9"/>
        <v>0</v>
      </c>
    </row>
    <row r="55" spans="1:59" ht="21.75" customHeight="1" x14ac:dyDescent="0.35">
      <c r="A55" s="58" t="s">
        <v>172</v>
      </c>
      <c r="B55" s="36" t="str">
        <f>'📋 بيانات المحطات'!B54</f>
        <v>سلطان المطرفي</v>
      </c>
      <c r="C55" s="59">
        <f>'📋 بيانات المحطات'!H54</f>
        <v>0</v>
      </c>
      <c r="D55" s="60">
        <f>IFERROR(C55*'⛽ المبيعات الشهرية'!C54/100,"")</f>
        <v>0</v>
      </c>
      <c r="E55" s="61">
        <f>IFERROR(C55*'⛽ المبيعات الشهرية'!D54/100,"")</f>
        <v>0</v>
      </c>
      <c r="F55" s="60">
        <f>IFERROR(C55*'⛽ المبيعات الشهرية'!E54/100,"")</f>
        <v>0</v>
      </c>
      <c r="G55" s="61">
        <f>IFERROR(C55*'⛽ المبيعات الشهرية'!F54/100,"")</f>
        <v>0</v>
      </c>
      <c r="H55" s="60">
        <f>IFERROR(C55*'⛽ المبيعات الشهرية'!G54/100,"")</f>
        <v>0</v>
      </c>
      <c r="I55" s="61">
        <f>IFERROR(C55*'⛽ المبيعات الشهرية'!H54/100,"")</f>
        <v>0</v>
      </c>
      <c r="J55" s="60">
        <f>IFERROR(C55*'⛽ المبيعات الشهرية'!I54/100,"")</f>
        <v>0</v>
      </c>
      <c r="K55" s="61">
        <f>IFERROR(C55*'⛽ المبيعات الشهرية'!J54/100,"")</f>
        <v>0</v>
      </c>
      <c r="L55" s="60">
        <f>IFERROR(C55*'⛽ المبيعات الشهرية'!K54/100,"")</f>
        <v>0</v>
      </c>
      <c r="M55" s="61">
        <f>IFERROR(C55*'⛽ المبيعات الشهرية'!L54/100,"")</f>
        <v>0</v>
      </c>
      <c r="N55" s="60">
        <f>IFERROR(C55*'⛽ المبيعات الشهرية'!M54/100,"")</f>
        <v>0</v>
      </c>
      <c r="O55" s="61">
        <f>IFERROR(C55*'⛽ المبيعات الشهرية'!N54/100,"")</f>
        <v>0</v>
      </c>
      <c r="P55" s="42">
        <f t="shared" si="5"/>
        <v>0</v>
      </c>
      <c r="Q55" s="62">
        <f>'📋 بيانات المحطات'!I54</f>
        <v>0</v>
      </c>
      <c r="R55" s="63">
        <f>IFERROR(Q55*'⛽ المبيعات الشهرية'!O54/100,"")</f>
        <v>0</v>
      </c>
      <c r="S55" s="61">
        <f>IFERROR(Q55*'⛽ المبيعات الشهرية'!P54/100,"")</f>
        <v>0</v>
      </c>
      <c r="T55" s="63">
        <f>IFERROR(Q55*'⛽ المبيعات الشهرية'!Q54/100,"")</f>
        <v>0</v>
      </c>
      <c r="U55" s="61">
        <f>IFERROR(Q55*'⛽ المبيعات الشهرية'!R54/100,"")</f>
        <v>0</v>
      </c>
      <c r="V55" s="63">
        <f>IFERROR(Q55*'⛽ المبيعات الشهرية'!S54/100,"")</f>
        <v>0</v>
      </c>
      <c r="W55" s="61">
        <f>IFERROR(Q55*'⛽ المبيعات الشهرية'!T54/100,"")</f>
        <v>0</v>
      </c>
      <c r="X55" s="63">
        <f>IFERROR(Q55*'⛽ المبيعات الشهرية'!U54/100,"")</f>
        <v>0</v>
      </c>
      <c r="Y55" s="61">
        <f>IFERROR(Q55*'⛽ المبيعات الشهرية'!V54/100,"")</f>
        <v>0</v>
      </c>
      <c r="Z55" s="63">
        <f>IFERROR(Q55*'⛽ المبيعات الشهرية'!W54/100,"")</f>
        <v>0</v>
      </c>
      <c r="AA55" s="61">
        <f>IFERROR(Q55*'⛽ المبيعات الشهرية'!X54/100,"")</f>
        <v>0</v>
      </c>
      <c r="AB55" s="63">
        <f>IFERROR(Q55*'⛽ المبيعات الشهرية'!Y54/100,"")</f>
        <v>0</v>
      </c>
      <c r="AC55" s="61">
        <f>IFERROR(Q55*'⛽ المبيعات الشهرية'!Z54/100,"")</f>
        <v>0</v>
      </c>
      <c r="AD55" s="42">
        <f t="shared" si="6"/>
        <v>0</v>
      </c>
      <c r="AE55" s="64">
        <f>'📋 بيانات المحطات'!J54</f>
        <v>0</v>
      </c>
      <c r="AF55" s="65">
        <f>IFERROR(AE55*'⛽ المبيعات الشهرية'!AA54/100,"")</f>
        <v>0</v>
      </c>
      <c r="AG55" s="61">
        <f>IFERROR(AE55*'⛽ المبيعات الشهرية'!AB54/100,"")</f>
        <v>0</v>
      </c>
      <c r="AH55" s="65">
        <f>IFERROR(AE55*'⛽ المبيعات الشهرية'!AC54/100,"")</f>
        <v>0</v>
      </c>
      <c r="AI55" s="61">
        <f>IFERROR(AE55*'⛽ المبيعات الشهرية'!AD54/100,"")</f>
        <v>0</v>
      </c>
      <c r="AJ55" s="65">
        <f>IFERROR(AE55*'⛽ المبيعات الشهرية'!AE54/100,"")</f>
        <v>0</v>
      </c>
      <c r="AK55" s="61">
        <f>IFERROR(AE55*'⛽ المبيعات الشهرية'!AF54/100,"")</f>
        <v>0</v>
      </c>
      <c r="AL55" s="65">
        <f>IFERROR(AE55*'⛽ المبيعات الشهرية'!AG54/100,"")</f>
        <v>0</v>
      </c>
      <c r="AM55" s="61">
        <f>IFERROR(AE55*'⛽ المبيعات الشهرية'!AH54/100,"")</f>
        <v>0</v>
      </c>
      <c r="AN55" s="65">
        <f>IFERROR(AE55*'⛽ المبيعات الشهرية'!AI54/100,"")</f>
        <v>0</v>
      </c>
      <c r="AO55" s="61">
        <f>IFERROR(AE55*'⛽ المبيعات الشهرية'!AJ54/100,"")</f>
        <v>0</v>
      </c>
      <c r="AP55" s="65">
        <f>IFERROR(AE55*'⛽ المبيعات الشهرية'!AK54/100,"")</f>
        <v>0</v>
      </c>
      <c r="AQ55" s="61">
        <f>IFERROR(AE55*'⛽ المبيعات الشهرية'!AL54/100,"")</f>
        <v>0</v>
      </c>
      <c r="AR55" s="42">
        <f t="shared" si="7"/>
        <v>0</v>
      </c>
      <c r="AS55" s="66">
        <f>'📋 بيانات المحطات'!K54</f>
        <v>0</v>
      </c>
      <c r="AT55" s="67">
        <f>IFERROR(AS55*'⛽ المبيعات الشهرية'!AM54/100,"")</f>
        <v>0</v>
      </c>
      <c r="AU55" s="61">
        <f>IFERROR(AS55*'⛽ المبيعات الشهرية'!AN54/100,"")</f>
        <v>0</v>
      </c>
      <c r="AV55" s="67">
        <f>IFERROR(AS55*'⛽ المبيعات الشهرية'!AO54/100,"")</f>
        <v>0</v>
      </c>
      <c r="AW55" s="61">
        <f>IFERROR(AS55*'⛽ المبيعات الشهرية'!AP54/100,"")</f>
        <v>0</v>
      </c>
      <c r="AX55" s="67">
        <f>IFERROR(AS55*'⛽ المبيعات الشهرية'!AQ54/100,"")</f>
        <v>0</v>
      </c>
      <c r="AY55" s="61">
        <f>IFERROR(AS55*'⛽ المبيعات الشهرية'!AR54/100,"")</f>
        <v>0</v>
      </c>
      <c r="AZ55" s="67">
        <f>IFERROR(AS55*'⛽ المبيعات الشهرية'!AS54/100,"")</f>
        <v>0</v>
      </c>
      <c r="BA55" s="61">
        <f>IFERROR(AS55*'⛽ المبيعات الشهرية'!AT54/100,"")</f>
        <v>0</v>
      </c>
      <c r="BB55" s="67">
        <f>IFERROR(AS55*'⛽ المبيعات الشهرية'!AU54/100,"")</f>
        <v>0</v>
      </c>
      <c r="BC55" s="61">
        <f>IFERROR(AS55*'⛽ المبيعات الشهرية'!AV54/100,"")</f>
        <v>0</v>
      </c>
      <c r="BD55" s="67">
        <f>IFERROR(AS55*'⛽ المبيعات الشهرية'!AW54/100,"")</f>
        <v>0</v>
      </c>
      <c r="BE55" s="61">
        <f>IFERROR(AS55*'⛽ المبيعات الشهرية'!AX54/100,"")</f>
        <v>0</v>
      </c>
      <c r="BF55" s="42">
        <f t="shared" si="8"/>
        <v>0</v>
      </c>
      <c r="BG55" s="68">
        <f t="shared" si="9"/>
        <v>0</v>
      </c>
    </row>
    <row r="56" spans="1:59" ht="21.75" customHeight="1" x14ac:dyDescent="0.35">
      <c r="A56" s="69" t="s">
        <v>174</v>
      </c>
      <c r="B56" s="36" t="str">
        <f>'📋 بيانات المحطات'!B55</f>
        <v>محطه بن قباس</v>
      </c>
      <c r="C56" s="59">
        <f>'📋 بيانات المحطات'!H55</f>
        <v>0</v>
      </c>
      <c r="D56" s="60">
        <f>IFERROR(C56*'⛽ المبيعات الشهرية'!C55/100,"")</f>
        <v>0</v>
      </c>
      <c r="E56" s="61">
        <f>IFERROR(C56*'⛽ المبيعات الشهرية'!D55/100,"")</f>
        <v>0</v>
      </c>
      <c r="F56" s="60">
        <f>IFERROR(C56*'⛽ المبيعات الشهرية'!E55/100,"")</f>
        <v>0</v>
      </c>
      <c r="G56" s="61">
        <f>IFERROR(C56*'⛽ المبيعات الشهرية'!F55/100,"")</f>
        <v>0</v>
      </c>
      <c r="H56" s="60">
        <f>IFERROR(C56*'⛽ المبيعات الشهرية'!G55/100,"")</f>
        <v>0</v>
      </c>
      <c r="I56" s="61">
        <f>IFERROR(C56*'⛽ المبيعات الشهرية'!H55/100,"")</f>
        <v>0</v>
      </c>
      <c r="J56" s="60">
        <f>IFERROR(C56*'⛽ المبيعات الشهرية'!I55/100,"")</f>
        <v>0</v>
      </c>
      <c r="K56" s="61">
        <f>IFERROR(C56*'⛽ المبيعات الشهرية'!J55/100,"")</f>
        <v>0</v>
      </c>
      <c r="L56" s="60">
        <f>IFERROR(C56*'⛽ المبيعات الشهرية'!K55/100,"")</f>
        <v>0</v>
      </c>
      <c r="M56" s="61">
        <f>IFERROR(C56*'⛽ المبيعات الشهرية'!L55/100,"")</f>
        <v>0</v>
      </c>
      <c r="N56" s="60">
        <f>IFERROR(C56*'⛽ المبيعات الشهرية'!M55/100,"")</f>
        <v>0</v>
      </c>
      <c r="O56" s="61">
        <f>IFERROR(C56*'⛽ المبيعات الشهرية'!N55/100,"")</f>
        <v>0</v>
      </c>
      <c r="P56" s="42">
        <f t="shared" si="5"/>
        <v>0</v>
      </c>
      <c r="Q56" s="62">
        <f>'📋 بيانات المحطات'!I55</f>
        <v>0</v>
      </c>
      <c r="R56" s="63">
        <f>IFERROR(Q56*'⛽ المبيعات الشهرية'!O55/100,"")</f>
        <v>0</v>
      </c>
      <c r="S56" s="61">
        <f>IFERROR(Q56*'⛽ المبيعات الشهرية'!P55/100,"")</f>
        <v>0</v>
      </c>
      <c r="T56" s="63">
        <f>IFERROR(Q56*'⛽ المبيعات الشهرية'!Q55/100,"")</f>
        <v>0</v>
      </c>
      <c r="U56" s="61">
        <f>IFERROR(Q56*'⛽ المبيعات الشهرية'!R55/100,"")</f>
        <v>0</v>
      </c>
      <c r="V56" s="63">
        <f>IFERROR(Q56*'⛽ المبيعات الشهرية'!S55/100,"")</f>
        <v>0</v>
      </c>
      <c r="W56" s="61">
        <f>IFERROR(Q56*'⛽ المبيعات الشهرية'!T55/100,"")</f>
        <v>0</v>
      </c>
      <c r="X56" s="63">
        <f>IFERROR(Q56*'⛽ المبيعات الشهرية'!U55/100,"")</f>
        <v>0</v>
      </c>
      <c r="Y56" s="61">
        <f>IFERROR(Q56*'⛽ المبيعات الشهرية'!V55/100,"")</f>
        <v>0</v>
      </c>
      <c r="Z56" s="63">
        <f>IFERROR(Q56*'⛽ المبيعات الشهرية'!W55/100,"")</f>
        <v>0</v>
      </c>
      <c r="AA56" s="61">
        <f>IFERROR(Q56*'⛽ المبيعات الشهرية'!X55/100,"")</f>
        <v>0</v>
      </c>
      <c r="AB56" s="63">
        <f>IFERROR(Q56*'⛽ المبيعات الشهرية'!Y55/100,"")</f>
        <v>0</v>
      </c>
      <c r="AC56" s="61">
        <f>IFERROR(Q56*'⛽ المبيعات الشهرية'!Z55/100,"")</f>
        <v>0</v>
      </c>
      <c r="AD56" s="42">
        <f t="shared" si="6"/>
        <v>0</v>
      </c>
      <c r="AE56" s="64">
        <f>'📋 بيانات المحطات'!J55</f>
        <v>0</v>
      </c>
      <c r="AF56" s="65">
        <f>IFERROR(AE56*'⛽ المبيعات الشهرية'!AA55/100,"")</f>
        <v>0</v>
      </c>
      <c r="AG56" s="61">
        <f>IFERROR(AE56*'⛽ المبيعات الشهرية'!AB55/100,"")</f>
        <v>0</v>
      </c>
      <c r="AH56" s="65">
        <f>IFERROR(AE56*'⛽ المبيعات الشهرية'!AC55/100,"")</f>
        <v>0</v>
      </c>
      <c r="AI56" s="61">
        <f>IFERROR(AE56*'⛽ المبيعات الشهرية'!AD55/100,"")</f>
        <v>0</v>
      </c>
      <c r="AJ56" s="65">
        <f>IFERROR(AE56*'⛽ المبيعات الشهرية'!AE55/100,"")</f>
        <v>0</v>
      </c>
      <c r="AK56" s="61">
        <f>IFERROR(AE56*'⛽ المبيعات الشهرية'!AF55/100,"")</f>
        <v>0</v>
      </c>
      <c r="AL56" s="65">
        <f>IFERROR(AE56*'⛽ المبيعات الشهرية'!AG55/100,"")</f>
        <v>0</v>
      </c>
      <c r="AM56" s="61">
        <f>IFERROR(AE56*'⛽ المبيعات الشهرية'!AH55/100,"")</f>
        <v>0</v>
      </c>
      <c r="AN56" s="65">
        <f>IFERROR(AE56*'⛽ المبيعات الشهرية'!AI55/100,"")</f>
        <v>0</v>
      </c>
      <c r="AO56" s="61">
        <f>IFERROR(AE56*'⛽ المبيعات الشهرية'!AJ55/100,"")</f>
        <v>0</v>
      </c>
      <c r="AP56" s="65">
        <f>IFERROR(AE56*'⛽ المبيعات الشهرية'!AK55/100,"")</f>
        <v>0</v>
      </c>
      <c r="AQ56" s="61">
        <f>IFERROR(AE56*'⛽ المبيعات الشهرية'!AL55/100,"")</f>
        <v>0</v>
      </c>
      <c r="AR56" s="42">
        <f t="shared" si="7"/>
        <v>0</v>
      </c>
      <c r="AS56" s="66">
        <f>'📋 بيانات المحطات'!K55</f>
        <v>0</v>
      </c>
      <c r="AT56" s="67">
        <f>IFERROR(AS56*'⛽ المبيعات الشهرية'!AM55/100,"")</f>
        <v>0</v>
      </c>
      <c r="AU56" s="61">
        <f>IFERROR(AS56*'⛽ المبيعات الشهرية'!AN55/100,"")</f>
        <v>0</v>
      </c>
      <c r="AV56" s="67">
        <f>IFERROR(AS56*'⛽ المبيعات الشهرية'!AO55/100,"")</f>
        <v>0</v>
      </c>
      <c r="AW56" s="61">
        <f>IFERROR(AS56*'⛽ المبيعات الشهرية'!AP55/100,"")</f>
        <v>0</v>
      </c>
      <c r="AX56" s="67">
        <f>IFERROR(AS56*'⛽ المبيعات الشهرية'!AQ55/100,"")</f>
        <v>0</v>
      </c>
      <c r="AY56" s="61">
        <f>IFERROR(AS56*'⛽ المبيعات الشهرية'!AR55/100,"")</f>
        <v>0</v>
      </c>
      <c r="AZ56" s="67">
        <f>IFERROR(AS56*'⛽ المبيعات الشهرية'!AS55/100,"")</f>
        <v>0</v>
      </c>
      <c r="BA56" s="61">
        <f>IFERROR(AS56*'⛽ المبيعات الشهرية'!AT55/100,"")</f>
        <v>0</v>
      </c>
      <c r="BB56" s="67">
        <f>IFERROR(AS56*'⛽ المبيعات الشهرية'!AU55/100,"")</f>
        <v>0</v>
      </c>
      <c r="BC56" s="61">
        <f>IFERROR(AS56*'⛽ المبيعات الشهرية'!AV55/100,"")</f>
        <v>0</v>
      </c>
      <c r="BD56" s="67">
        <f>IFERROR(AS56*'⛽ المبيعات الشهرية'!AW55/100,"")</f>
        <v>0</v>
      </c>
      <c r="BE56" s="61">
        <f>IFERROR(AS56*'⛽ المبيعات الشهرية'!AX55/100,"")</f>
        <v>0</v>
      </c>
      <c r="BF56" s="42">
        <f t="shared" si="8"/>
        <v>0</v>
      </c>
      <c r="BG56" s="68">
        <f t="shared" si="9"/>
        <v>0</v>
      </c>
    </row>
    <row r="57" spans="1:59" ht="21.75" customHeight="1" x14ac:dyDescent="0.35">
      <c r="A57" s="58" t="s">
        <v>176</v>
      </c>
      <c r="B57" s="36" t="str">
        <f>'📋 بيانات المحطات'!B56</f>
        <v>محطة مدخل محايل</v>
      </c>
      <c r="C57" s="59">
        <f>'📋 بيانات المحطات'!H56</f>
        <v>0</v>
      </c>
      <c r="D57" s="60">
        <f>IFERROR(C57*'⛽ المبيعات الشهرية'!C56/100,"")</f>
        <v>0</v>
      </c>
      <c r="E57" s="61">
        <f>IFERROR(C57*'⛽ المبيعات الشهرية'!D56/100,"")</f>
        <v>0</v>
      </c>
      <c r="F57" s="60">
        <f>IFERROR(C57*'⛽ المبيعات الشهرية'!E56/100,"")</f>
        <v>0</v>
      </c>
      <c r="G57" s="61">
        <f>IFERROR(C57*'⛽ المبيعات الشهرية'!F56/100,"")</f>
        <v>0</v>
      </c>
      <c r="H57" s="60">
        <f>IFERROR(C57*'⛽ المبيعات الشهرية'!G56/100,"")</f>
        <v>0</v>
      </c>
      <c r="I57" s="61">
        <f>IFERROR(C57*'⛽ المبيعات الشهرية'!H56/100,"")</f>
        <v>0</v>
      </c>
      <c r="J57" s="60">
        <f>IFERROR(C57*'⛽ المبيعات الشهرية'!I56/100,"")</f>
        <v>0</v>
      </c>
      <c r="K57" s="61">
        <f>IFERROR(C57*'⛽ المبيعات الشهرية'!J56/100,"")</f>
        <v>0</v>
      </c>
      <c r="L57" s="60">
        <f>IFERROR(C57*'⛽ المبيعات الشهرية'!K56/100,"")</f>
        <v>0</v>
      </c>
      <c r="M57" s="61">
        <f>IFERROR(C57*'⛽ المبيعات الشهرية'!L56/100,"")</f>
        <v>0</v>
      </c>
      <c r="N57" s="60">
        <f>IFERROR(C57*'⛽ المبيعات الشهرية'!M56/100,"")</f>
        <v>0</v>
      </c>
      <c r="O57" s="61">
        <f>IFERROR(C57*'⛽ المبيعات الشهرية'!N56/100,"")</f>
        <v>0</v>
      </c>
      <c r="P57" s="42">
        <f t="shared" si="5"/>
        <v>0</v>
      </c>
      <c r="Q57" s="62">
        <f>'📋 بيانات المحطات'!I56</f>
        <v>0</v>
      </c>
      <c r="R57" s="63">
        <f>IFERROR(Q57*'⛽ المبيعات الشهرية'!O56/100,"")</f>
        <v>0</v>
      </c>
      <c r="S57" s="61">
        <f>IFERROR(Q57*'⛽ المبيعات الشهرية'!P56/100,"")</f>
        <v>0</v>
      </c>
      <c r="T57" s="63">
        <f>IFERROR(Q57*'⛽ المبيعات الشهرية'!Q56/100,"")</f>
        <v>0</v>
      </c>
      <c r="U57" s="61">
        <f>IFERROR(Q57*'⛽ المبيعات الشهرية'!R56/100,"")</f>
        <v>0</v>
      </c>
      <c r="V57" s="63">
        <f>IFERROR(Q57*'⛽ المبيعات الشهرية'!S56/100,"")</f>
        <v>0</v>
      </c>
      <c r="W57" s="61">
        <f>IFERROR(Q57*'⛽ المبيعات الشهرية'!T56/100,"")</f>
        <v>0</v>
      </c>
      <c r="X57" s="63">
        <f>IFERROR(Q57*'⛽ المبيعات الشهرية'!U56/100,"")</f>
        <v>0</v>
      </c>
      <c r="Y57" s="61">
        <f>IFERROR(Q57*'⛽ المبيعات الشهرية'!V56/100,"")</f>
        <v>0</v>
      </c>
      <c r="Z57" s="63">
        <f>IFERROR(Q57*'⛽ المبيعات الشهرية'!W56/100,"")</f>
        <v>0</v>
      </c>
      <c r="AA57" s="61">
        <f>IFERROR(Q57*'⛽ المبيعات الشهرية'!X56/100,"")</f>
        <v>0</v>
      </c>
      <c r="AB57" s="63">
        <f>IFERROR(Q57*'⛽ المبيعات الشهرية'!Y56/100,"")</f>
        <v>0</v>
      </c>
      <c r="AC57" s="61">
        <f>IFERROR(Q57*'⛽ المبيعات الشهرية'!Z56/100,"")</f>
        <v>0</v>
      </c>
      <c r="AD57" s="42">
        <f t="shared" si="6"/>
        <v>0</v>
      </c>
      <c r="AE57" s="64">
        <f>'📋 بيانات المحطات'!J56</f>
        <v>0</v>
      </c>
      <c r="AF57" s="65">
        <f>IFERROR(AE57*'⛽ المبيعات الشهرية'!AA56/100,"")</f>
        <v>0</v>
      </c>
      <c r="AG57" s="61">
        <f>IFERROR(AE57*'⛽ المبيعات الشهرية'!AB56/100,"")</f>
        <v>0</v>
      </c>
      <c r="AH57" s="65">
        <f>IFERROR(AE57*'⛽ المبيعات الشهرية'!AC56/100,"")</f>
        <v>0</v>
      </c>
      <c r="AI57" s="61">
        <f>IFERROR(AE57*'⛽ المبيعات الشهرية'!AD56/100,"")</f>
        <v>0</v>
      </c>
      <c r="AJ57" s="65">
        <f>IFERROR(AE57*'⛽ المبيعات الشهرية'!AE56/100,"")</f>
        <v>0</v>
      </c>
      <c r="AK57" s="61">
        <f>IFERROR(AE57*'⛽ المبيعات الشهرية'!AF56/100,"")</f>
        <v>0</v>
      </c>
      <c r="AL57" s="65">
        <f>IFERROR(AE57*'⛽ المبيعات الشهرية'!AG56/100,"")</f>
        <v>0</v>
      </c>
      <c r="AM57" s="61">
        <f>IFERROR(AE57*'⛽ المبيعات الشهرية'!AH56/100,"")</f>
        <v>0</v>
      </c>
      <c r="AN57" s="65">
        <f>IFERROR(AE57*'⛽ المبيعات الشهرية'!AI56/100,"")</f>
        <v>0</v>
      </c>
      <c r="AO57" s="61">
        <f>IFERROR(AE57*'⛽ المبيعات الشهرية'!AJ56/100,"")</f>
        <v>0</v>
      </c>
      <c r="AP57" s="65">
        <f>IFERROR(AE57*'⛽ المبيعات الشهرية'!AK56/100,"")</f>
        <v>0</v>
      </c>
      <c r="AQ57" s="61">
        <f>IFERROR(AE57*'⛽ المبيعات الشهرية'!AL56/100,"")</f>
        <v>0</v>
      </c>
      <c r="AR57" s="42">
        <f t="shared" si="7"/>
        <v>0</v>
      </c>
      <c r="AS57" s="66">
        <f>'📋 بيانات المحطات'!K56</f>
        <v>0</v>
      </c>
      <c r="AT57" s="67">
        <f>IFERROR(AS57*'⛽ المبيعات الشهرية'!AM56/100,"")</f>
        <v>0</v>
      </c>
      <c r="AU57" s="61">
        <f>IFERROR(AS57*'⛽ المبيعات الشهرية'!AN56/100,"")</f>
        <v>0</v>
      </c>
      <c r="AV57" s="67">
        <f>IFERROR(AS57*'⛽ المبيعات الشهرية'!AO56/100,"")</f>
        <v>0</v>
      </c>
      <c r="AW57" s="61">
        <f>IFERROR(AS57*'⛽ المبيعات الشهرية'!AP56/100,"")</f>
        <v>0</v>
      </c>
      <c r="AX57" s="67">
        <f>IFERROR(AS57*'⛽ المبيعات الشهرية'!AQ56/100,"")</f>
        <v>0</v>
      </c>
      <c r="AY57" s="61">
        <f>IFERROR(AS57*'⛽ المبيعات الشهرية'!AR56/100,"")</f>
        <v>0</v>
      </c>
      <c r="AZ57" s="67">
        <f>IFERROR(AS57*'⛽ المبيعات الشهرية'!AS56/100,"")</f>
        <v>0</v>
      </c>
      <c r="BA57" s="61">
        <f>IFERROR(AS57*'⛽ المبيعات الشهرية'!AT56/100,"")</f>
        <v>0</v>
      </c>
      <c r="BB57" s="67">
        <f>IFERROR(AS57*'⛽ المبيعات الشهرية'!AU56/100,"")</f>
        <v>0</v>
      </c>
      <c r="BC57" s="61">
        <f>IFERROR(AS57*'⛽ المبيعات الشهرية'!AV56/100,"")</f>
        <v>0</v>
      </c>
      <c r="BD57" s="67">
        <f>IFERROR(AS57*'⛽ المبيعات الشهرية'!AW56/100,"")</f>
        <v>0</v>
      </c>
      <c r="BE57" s="61">
        <f>IFERROR(AS57*'⛽ المبيعات الشهرية'!AX56/100,"")</f>
        <v>0</v>
      </c>
      <c r="BF57" s="42">
        <f t="shared" si="8"/>
        <v>0</v>
      </c>
      <c r="BG57" s="68">
        <f t="shared" si="9"/>
        <v>0</v>
      </c>
    </row>
    <row r="58" spans="1:59" ht="21.75" customHeight="1" x14ac:dyDescent="0.35">
      <c r="A58" s="69" t="s">
        <v>178</v>
      </c>
      <c r="B58" s="36" t="str">
        <f>'📋 بيانات المحطات'!B57</f>
        <v>الشوقية - سندي</v>
      </c>
      <c r="C58" s="59">
        <f>'📋 بيانات المحطات'!H57</f>
        <v>0</v>
      </c>
      <c r="D58" s="60">
        <f>IFERROR(C58*'⛽ المبيعات الشهرية'!C57/100,"")</f>
        <v>0</v>
      </c>
      <c r="E58" s="61">
        <f>IFERROR(C58*'⛽ المبيعات الشهرية'!D57/100,"")</f>
        <v>0</v>
      </c>
      <c r="F58" s="60">
        <f>IFERROR(C58*'⛽ المبيعات الشهرية'!E57/100,"")</f>
        <v>0</v>
      </c>
      <c r="G58" s="61">
        <f>IFERROR(C58*'⛽ المبيعات الشهرية'!F57/100,"")</f>
        <v>0</v>
      </c>
      <c r="H58" s="60">
        <f>IFERROR(C58*'⛽ المبيعات الشهرية'!G57/100,"")</f>
        <v>0</v>
      </c>
      <c r="I58" s="61">
        <f>IFERROR(C58*'⛽ المبيعات الشهرية'!H57/100,"")</f>
        <v>0</v>
      </c>
      <c r="J58" s="60">
        <f>IFERROR(C58*'⛽ المبيعات الشهرية'!I57/100,"")</f>
        <v>0</v>
      </c>
      <c r="K58" s="61">
        <f>IFERROR(C58*'⛽ المبيعات الشهرية'!J57/100,"")</f>
        <v>0</v>
      </c>
      <c r="L58" s="60">
        <f>IFERROR(C58*'⛽ المبيعات الشهرية'!K57/100,"")</f>
        <v>0</v>
      </c>
      <c r="M58" s="61">
        <f>IFERROR(C58*'⛽ المبيعات الشهرية'!L57/100,"")</f>
        <v>0</v>
      </c>
      <c r="N58" s="60">
        <f>IFERROR(C58*'⛽ المبيعات الشهرية'!M57/100,"")</f>
        <v>0</v>
      </c>
      <c r="O58" s="61">
        <f>IFERROR(C58*'⛽ المبيعات الشهرية'!N57/100,"")</f>
        <v>0</v>
      </c>
      <c r="P58" s="42">
        <f t="shared" si="5"/>
        <v>0</v>
      </c>
      <c r="Q58" s="62">
        <f>'📋 بيانات المحطات'!I57</f>
        <v>0</v>
      </c>
      <c r="R58" s="63">
        <f>IFERROR(Q58*'⛽ المبيعات الشهرية'!O57/100,"")</f>
        <v>0</v>
      </c>
      <c r="S58" s="61">
        <f>IFERROR(Q58*'⛽ المبيعات الشهرية'!P57/100,"")</f>
        <v>0</v>
      </c>
      <c r="T58" s="63">
        <f>IFERROR(Q58*'⛽ المبيعات الشهرية'!Q57/100,"")</f>
        <v>0</v>
      </c>
      <c r="U58" s="61">
        <f>IFERROR(Q58*'⛽ المبيعات الشهرية'!R57/100,"")</f>
        <v>0</v>
      </c>
      <c r="V58" s="63">
        <f>IFERROR(Q58*'⛽ المبيعات الشهرية'!S57/100,"")</f>
        <v>0</v>
      </c>
      <c r="W58" s="61">
        <f>IFERROR(Q58*'⛽ المبيعات الشهرية'!T57/100,"")</f>
        <v>0</v>
      </c>
      <c r="X58" s="63">
        <f>IFERROR(Q58*'⛽ المبيعات الشهرية'!U57/100,"")</f>
        <v>0</v>
      </c>
      <c r="Y58" s="61">
        <f>IFERROR(Q58*'⛽ المبيعات الشهرية'!V57/100,"")</f>
        <v>0</v>
      </c>
      <c r="Z58" s="63">
        <f>IFERROR(Q58*'⛽ المبيعات الشهرية'!W57/100,"")</f>
        <v>0</v>
      </c>
      <c r="AA58" s="61">
        <f>IFERROR(Q58*'⛽ المبيعات الشهرية'!X57/100,"")</f>
        <v>0</v>
      </c>
      <c r="AB58" s="63">
        <f>IFERROR(Q58*'⛽ المبيعات الشهرية'!Y57/100,"")</f>
        <v>0</v>
      </c>
      <c r="AC58" s="61">
        <f>IFERROR(Q58*'⛽ المبيعات الشهرية'!Z57/100,"")</f>
        <v>0</v>
      </c>
      <c r="AD58" s="42">
        <f t="shared" si="6"/>
        <v>0</v>
      </c>
      <c r="AE58" s="64">
        <f>'📋 بيانات المحطات'!J57</f>
        <v>0</v>
      </c>
      <c r="AF58" s="65">
        <f>IFERROR(AE58*'⛽ المبيعات الشهرية'!AA57/100,"")</f>
        <v>0</v>
      </c>
      <c r="AG58" s="61">
        <f>IFERROR(AE58*'⛽ المبيعات الشهرية'!AB57/100,"")</f>
        <v>0</v>
      </c>
      <c r="AH58" s="65">
        <f>IFERROR(AE58*'⛽ المبيعات الشهرية'!AC57/100,"")</f>
        <v>0</v>
      </c>
      <c r="AI58" s="61">
        <f>IFERROR(AE58*'⛽ المبيعات الشهرية'!AD57/100,"")</f>
        <v>0</v>
      </c>
      <c r="AJ58" s="65">
        <f>IFERROR(AE58*'⛽ المبيعات الشهرية'!AE57/100,"")</f>
        <v>0</v>
      </c>
      <c r="AK58" s="61">
        <f>IFERROR(AE58*'⛽ المبيعات الشهرية'!AF57/100,"")</f>
        <v>0</v>
      </c>
      <c r="AL58" s="65">
        <f>IFERROR(AE58*'⛽ المبيعات الشهرية'!AG57/100,"")</f>
        <v>0</v>
      </c>
      <c r="AM58" s="61">
        <f>IFERROR(AE58*'⛽ المبيعات الشهرية'!AH57/100,"")</f>
        <v>0</v>
      </c>
      <c r="AN58" s="65">
        <f>IFERROR(AE58*'⛽ المبيعات الشهرية'!AI57/100,"")</f>
        <v>0</v>
      </c>
      <c r="AO58" s="61">
        <f>IFERROR(AE58*'⛽ المبيعات الشهرية'!AJ57/100,"")</f>
        <v>0</v>
      </c>
      <c r="AP58" s="65">
        <f>IFERROR(AE58*'⛽ المبيعات الشهرية'!AK57/100,"")</f>
        <v>0</v>
      </c>
      <c r="AQ58" s="61">
        <f>IFERROR(AE58*'⛽ المبيعات الشهرية'!AL57/100,"")</f>
        <v>0</v>
      </c>
      <c r="AR58" s="42">
        <f t="shared" si="7"/>
        <v>0</v>
      </c>
      <c r="AS58" s="66">
        <f>'📋 بيانات المحطات'!K57</f>
        <v>0</v>
      </c>
      <c r="AT58" s="67">
        <f>IFERROR(AS58*'⛽ المبيعات الشهرية'!AM57/100,"")</f>
        <v>0</v>
      </c>
      <c r="AU58" s="61">
        <f>IFERROR(AS58*'⛽ المبيعات الشهرية'!AN57/100,"")</f>
        <v>0</v>
      </c>
      <c r="AV58" s="67">
        <f>IFERROR(AS58*'⛽ المبيعات الشهرية'!AO57/100,"")</f>
        <v>0</v>
      </c>
      <c r="AW58" s="61">
        <f>IFERROR(AS58*'⛽ المبيعات الشهرية'!AP57/100,"")</f>
        <v>0</v>
      </c>
      <c r="AX58" s="67">
        <f>IFERROR(AS58*'⛽ المبيعات الشهرية'!AQ57/100,"")</f>
        <v>0</v>
      </c>
      <c r="AY58" s="61">
        <f>IFERROR(AS58*'⛽ المبيعات الشهرية'!AR57/100,"")</f>
        <v>0</v>
      </c>
      <c r="AZ58" s="67">
        <f>IFERROR(AS58*'⛽ المبيعات الشهرية'!AS57/100,"")</f>
        <v>0</v>
      </c>
      <c r="BA58" s="61">
        <f>IFERROR(AS58*'⛽ المبيعات الشهرية'!AT57/100,"")</f>
        <v>0</v>
      </c>
      <c r="BB58" s="67">
        <f>IFERROR(AS58*'⛽ المبيعات الشهرية'!AU57/100,"")</f>
        <v>0</v>
      </c>
      <c r="BC58" s="61">
        <f>IFERROR(AS58*'⛽ المبيعات الشهرية'!AV57/100,"")</f>
        <v>0</v>
      </c>
      <c r="BD58" s="67">
        <f>IFERROR(AS58*'⛽ المبيعات الشهرية'!AW57/100,"")</f>
        <v>0</v>
      </c>
      <c r="BE58" s="61">
        <f>IFERROR(AS58*'⛽ المبيعات الشهرية'!AX57/100,"")</f>
        <v>0</v>
      </c>
      <c r="BF58" s="42">
        <f t="shared" si="8"/>
        <v>0</v>
      </c>
      <c r="BG58" s="68">
        <f t="shared" si="9"/>
        <v>0</v>
      </c>
    </row>
    <row r="59" spans="1:59" ht="21.75" customHeight="1" x14ac:dyDescent="0.35">
      <c r="A59" s="58" t="s">
        <v>181</v>
      </c>
      <c r="B59" s="36" t="str">
        <f>'📋 بيانات المحطات'!B58</f>
        <v>دوار البلديه احد المسارحه</v>
      </c>
      <c r="C59" s="59">
        <f>'📋 بيانات المحطات'!H58</f>
        <v>0</v>
      </c>
      <c r="D59" s="60">
        <f>IFERROR(C59*'⛽ المبيعات الشهرية'!C58/100,"")</f>
        <v>0</v>
      </c>
      <c r="E59" s="61">
        <f>IFERROR(C59*'⛽ المبيعات الشهرية'!D58/100,"")</f>
        <v>0</v>
      </c>
      <c r="F59" s="60">
        <f>IFERROR(C59*'⛽ المبيعات الشهرية'!E58/100,"")</f>
        <v>0</v>
      </c>
      <c r="G59" s="61">
        <f>IFERROR(C59*'⛽ المبيعات الشهرية'!F58/100,"")</f>
        <v>0</v>
      </c>
      <c r="H59" s="60">
        <f>IFERROR(C59*'⛽ المبيعات الشهرية'!G58/100,"")</f>
        <v>0</v>
      </c>
      <c r="I59" s="61">
        <f>IFERROR(C59*'⛽ المبيعات الشهرية'!H58/100,"")</f>
        <v>0</v>
      </c>
      <c r="J59" s="60">
        <f>IFERROR(C59*'⛽ المبيعات الشهرية'!I58/100,"")</f>
        <v>0</v>
      </c>
      <c r="K59" s="61">
        <f>IFERROR(C59*'⛽ المبيعات الشهرية'!J58/100,"")</f>
        <v>0</v>
      </c>
      <c r="L59" s="60">
        <f>IFERROR(C59*'⛽ المبيعات الشهرية'!K58/100,"")</f>
        <v>0</v>
      </c>
      <c r="M59" s="61">
        <f>IFERROR(C59*'⛽ المبيعات الشهرية'!L58/100,"")</f>
        <v>0</v>
      </c>
      <c r="N59" s="60">
        <f>IFERROR(C59*'⛽ المبيعات الشهرية'!M58/100,"")</f>
        <v>0</v>
      </c>
      <c r="O59" s="61">
        <f>IFERROR(C59*'⛽ المبيعات الشهرية'!N58/100,"")</f>
        <v>0</v>
      </c>
      <c r="P59" s="42">
        <f t="shared" si="5"/>
        <v>0</v>
      </c>
      <c r="Q59" s="62">
        <f>'📋 بيانات المحطات'!I58</f>
        <v>0</v>
      </c>
      <c r="R59" s="63">
        <f>IFERROR(Q59*'⛽ المبيعات الشهرية'!O58/100,"")</f>
        <v>0</v>
      </c>
      <c r="S59" s="61">
        <f>IFERROR(Q59*'⛽ المبيعات الشهرية'!P58/100,"")</f>
        <v>0</v>
      </c>
      <c r="T59" s="63">
        <f>IFERROR(Q59*'⛽ المبيعات الشهرية'!Q58/100,"")</f>
        <v>0</v>
      </c>
      <c r="U59" s="61">
        <f>IFERROR(Q59*'⛽ المبيعات الشهرية'!R58/100,"")</f>
        <v>0</v>
      </c>
      <c r="V59" s="63">
        <f>IFERROR(Q59*'⛽ المبيعات الشهرية'!S58/100,"")</f>
        <v>0</v>
      </c>
      <c r="W59" s="61">
        <f>IFERROR(Q59*'⛽ المبيعات الشهرية'!T58/100,"")</f>
        <v>0</v>
      </c>
      <c r="X59" s="63">
        <f>IFERROR(Q59*'⛽ المبيعات الشهرية'!U58/100,"")</f>
        <v>0</v>
      </c>
      <c r="Y59" s="61">
        <f>IFERROR(Q59*'⛽ المبيعات الشهرية'!V58/100,"")</f>
        <v>0</v>
      </c>
      <c r="Z59" s="63">
        <f>IFERROR(Q59*'⛽ المبيعات الشهرية'!W58/100,"")</f>
        <v>0</v>
      </c>
      <c r="AA59" s="61">
        <f>IFERROR(Q59*'⛽ المبيعات الشهرية'!X58/100,"")</f>
        <v>0</v>
      </c>
      <c r="AB59" s="63">
        <f>IFERROR(Q59*'⛽ المبيعات الشهرية'!Y58/100,"")</f>
        <v>0</v>
      </c>
      <c r="AC59" s="61">
        <f>IFERROR(Q59*'⛽ المبيعات الشهرية'!Z58/100,"")</f>
        <v>0</v>
      </c>
      <c r="AD59" s="42">
        <f t="shared" si="6"/>
        <v>0</v>
      </c>
      <c r="AE59" s="64">
        <f>'📋 بيانات المحطات'!J58</f>
        <v>0</v>
      </c>
      <c r="AF59" s="65">
        <f>IFERROR(AE59*'⛽ المبيعات الشهرية'!AA58/100,"")</f>
        <v>0</v>
      </c>
      <c r="AG59" s="61">
        <f>IFERROR(AE59*'⛽ المبيعات الشهرية'!AB58/100,"")</f>
        <v>0</v>
      </c>
      <c r="AH59" s="65">
        <f>IFERROR(AE59*'⛽ المبيعات الشهرية'!AC58/100,"")</f>
        <v>0</v>
      </c>
      <c r="AI59" s="61">
        <f>IFERROR(AE59*'⛽ المبيعات الشهرية'!AD58/100,"")</f>
        <v>0</v>
      </c>
      <c r="AJ59" s="65">
        <f>IFERROR(AE59*'⛽ المبيعات الشهرية'!AE58/100,"")</f>
        <v>0</v>
      </c>
      <c r="AK59" s="61">
        <f>IFERROR(AE59*'⛽ المبيعات الشهرية'!AF58/100,"")</f>
        <v>0</v>
      </c>
      <c r="AL59" s="65">
        <f>IFERROR(AE59*'⛽ المبيعات الشهرية'!AG58/100,"")</f>
        <v>0</v>
      </c>
      <c r="AM59" s="61">
        <f>IFERROR(AE59*'⛽ المبيعات الشهرية'!AH58/100,"")</f>
        <v>0</v>
      </c>
      <c r="AN59" s="65">
        <f>IFERROR(AE59*'⛽ المبيعات الشهرية'!AI58/100,"")</f>
        <v>0</v>
      </c>
      <c r="AO59" s="61">
        <f>IFERROR(AE59*'⛽ المبيعات الشهرية'!AJ58/100,"")</f>
        <v>0</v>
      </c>
      <c r="AP59" s="65">
        <f>IFERROR(AE59*'⛽ المبيعات الشهرية'!AK58/100,"")</f>
        <v>0</v>
      </c>
      <c r="AQ59" s="61">
        <f>IFERROR(AE59*'⛽ المبيعات الشهرية'!AL58/100,"")</f>
        <v>0</v>
      </c>
      <c r="AR59" s="42">
        <f t="shared" si="7"/>
        <v>0</v>
      </c>
      <c r="AS59" s="66">
        <f>'📋 بيانات المحطات'!K58</f>
        <v>0</v>
      </c>
      <c r="AT59" s="67">
        <f>IFERROR(AS59*'⛽ المبيعات الشهرية'!AM58/100,"")</f>
        <v>0</v>
      </c>
      <c r="AU59" s="61">
        <f>IFERROR(AS59*'⛽ المبيعات الشهرية'!AN58/100,"")</f>
        <v>0</v>
      </c>
      <c r="AV59" s="67">
        <f>IFERROR(AS59*'⛽ المبيعات الشهرية'!AO58/100,"")</f>
        <v>0</v>
      </c>
      <c r="AW59" s="61">
        <f>IFERROR(AS59*'⛽ المبيعات الشهرية'!AP58/100,"")</f>
        <v>0</v>
      </c>
      <c r="AX59" s="67">
        <f>IFERROR(AS59*'⛽ المبيعات الشهرية'!AQ58/100,"")</f>
        <v>0</v>
      </c>
      <c r="AY59" s="61">
        <f>IFERROR(AS59*'⛽ المبيعات الشهرية'!AR58/100,"")</f>
        <v>0</v>
      </c>
      <c r="AZ59" s="67">
        <f>IFERROR(AS59*'⛽ المبيعات الشهرية'!AS58/100,"")</f>
        <v>0</v>
      </c>
      <c r="BA59" s="61">
        <f>IFERROR(AS59*'⛽ المبيعات الشهرية'!AT58/100,"")</f>
        <v>0</v>
      </c>
      <c r="BB59" s="67">
        <f>IFERROR(AS59*'⛽ المبيعات الشهرية'!AU58/100,"")</f>
        <v>0</v>
      </c>
      <c r="BC59" s="61">
        <f>IFERROR(AS59*'⛽ المبيعات الشهرية'!AV58/100,"")</f>
        <v>0</v>
      </c>
      <c r="BD59" s="67">
        <f>IFERROR(AS59*'⛽ المبيعات الشهرية'!AW58/100,"")</f>
        <v>0</v>
      </c>
      <c r="BE59" s="61">
        <f>IFERROR(AS59*'⛽ المبيعات الشهرية'!AX58/100,"")</f>
        <v>0</v>
      </c>
      <c r="BF59" s="42">
        <f t="shared" si="8"/>
        <v>0</v>
      </c>
      <c r="BG59" s="68">
        <f t="shared" si="9"/>
        <v>0</v>
      </c>
    </row>
    <row r="60" spans="1:59" ht="21.75" customHeight="1" x14ac:dyDescent="0.35">
      <c r="A60" s="69" t="s">
        <v>183</v>
      </c>
      <c r="B60" s="36" t="str">
        <f>'📋 بيانات المحطات'!B59</f>
        <v>الازوري (طريق المطار)</v>
      </c>
      <c r="C60" s="59">
        <f>'📋 بيانات المحطات'!H59</f>
        <v>0</v>
      </c>
      <c r="D60" s="60">
        <f>IFERROR(C60*'⛽ المبيعات الشهرية'!C59/100,"")</f>
        <v>0</v>
      </c>
      <c r="E60" s="61">
        <f>IFERROR(C60*'⛽ المبيعات الشهرية'!D59/100,"")</f>
        <v>0</v>
      </c>
      <c r="F60" s="60">
        <f>IFERROR(C60*'⛽ المبيعات الشهرية'!E59/100,"")</f>
        <v>0</v>
      </c>
      <c r="G60" s="61">
        <f>IFERROR(C60*'⛽ المبيعات الشهرية'!F59/100,"")</f>
        <v>0</v>
      </c>
      <c r="H60" s="60">
        <f>IFERROR(C60*'⛽ المبيعات الشهرية'!G59/100,"")</f>
        <v>0</v>
      </c>
      <c r="I60" s="61">
        <f>IFERROR(C60*'⛽ المبيعات الشهرية'!H59/100,"")</f>
        <v>0</v>
      </c>
      <c r="J60" s="60">
        <f>IFERROR(C60*'⛽ المبيعات الشهرية'!I59/100,"")</f>
        <v>0</v>
      </c>
      <c r="K60" s="61">
        <f>IFERROR(C60*'⛽ المبيعات الشهرية'!J59/100,"")</f>
        <v>0</v>
      </c>
      <c r="L60" s="60">
        <f>IFERROR(C60*'⛽ المبيعات الشهرية'!K59/100,"")</f>
        <v>0</v>
      </c>
      <c r="M60" s="61">
        <f>IFERROR(C60*'⛽ المبيعات الشهرية'!L59/100,"")</f>
        <v>0</v>
      </c>
      <c r="N60" s="60">
        <f>IFERROR(C60*'⛽ المبيعات الشهرية'!M59/100,"")</f>
        <v>0</v>
      </c>
      <c r="O60" s="61">
        <f>IFERROR(C60*'⛽ المبيعات الشهرية'!N59/100,"")</f>
        <v>0</v>
      </c>
      <c r="P60" s="42">
        <f t="shared" si="5"/>
        <v>0</v>
      </c>
      <c r="Q60" s="62">
        <f>'📋 بيانات المحطات'!I59</f>
        <v>0</v>
      </c>
      <c r="R60" s="63">
        <f>IFERROR(Q60*'⛽ المبيعات الشهرية'!O59/100,"")</f>
        <v>0</v>
      </c>
      <c r="S60" s="61">
        <f>IFERROR(Q60*'⛽ المبيعات الشهرية'!P59/100,"")</f>
        <v>0</v>
      </c>
      <c r="T60" s="63">
        <f>IFERROR(Q60*'⛽ المبيعات الشهرية'!Q59/100,"")</f>
        <v>0</v>
      </c>
      <c r="U60" s="61">
        <f>IFERROR(Q60*'⛽ المبيعات الشهرية'!R59/100,"")</f>
        <v>0</v>
      </c>
      <c r="V60" s="63">
        <f>IFERROR(Q60*'⛽ المبيعات الشهرية'!S59/100,"")</f>
        <v>0</v>
      </c>
      <c r="W60" s="61">
        <f>IFERROR(Q60*'⛽ المبيعات الشهرية'!T59/100,"")</f>
        <v>0</v>
      </c>
      <c r="X60" s="63">
        <f>IFERROR(Q60*'⛽ المبيعات الشهرية'!U59/100,"")</f>
        <v>0</v>
      </c>
      <c r="Y60" s="61">
        <f>IFERROR(Q60*'⛽ المبيعات الشهرية'!V59/100,"")</f>
        <v>0</v>
      </c>
      <c r="Z60" s="63">
        <f>IFERROR(Q60*'⛽ المبيعات الشهرية'!W59/100,"")</f>
        <v>0</v>
      </c>
      <c r="AA60" s="61">
        <f>IFERROR(Q60*'⛽ المبيعات الشهرية'!X59/100,"")</f>
        <v>0</v>
      </c>
      <c r="AB60" s="63">
        <f>IFERROR(Q60*'⛽ المبيعات الشهرية'!Y59/100,"")</f>
        <v>0</v>
      </c>
      <c r="AC60" s="61">
        <f>IFERROR(Q60*'⛽ المبيعات الشهرية'!Z59/100,"")</f>
        <v>0</v>
      </c>
      <c r="AD60" s="42">
        <f t="shared" si="6"/>
        <v>0</v>
      </c>
      <c r="AE60" s="64">
        <f>'📋 بيانات المحطات'!J59</f>
        <v>0</v>
      </c>
      <c r="AF60" s="65">
        <f>IFERROR(AE60*'⛽ المبيعات الشهرية'!AA59/100,"")</f>
        <v>0</v>
      </c>
      <c r="AG60" s="61">
        <f>IFERROR(AE60*'⛽ المبيعات الشهرية'!AB59/100,"")</f>
        <v>0</v>
      </c>
      <c r="AH60" s="65">
        <f>IFERROR(AE60*'⛽ المبيعات الشهرية'!AC59/100,"")</f>
        <v>0</v>
      </c>
      <c r="AI60" s="61">
        <f>IFERROR(AE60*'⛽ المبيعات الشهرية'!AD59/100,"")</f>
        <v>0</v>
      </c>
      <c r="AJ60" s="65">
        <f>IFERROR(AE60*'⛽ المبيعات الشهرية'!AE59/100,"")</f>
        <v>0</v>
      </c>
      <c r="AK60" s="61">
        <f>IFERROR(AE60*'⛽ المبيعات الشهرية'!AF59/100,"")</f>
        <v>0</v>
      </c>
      <c r="AL60" s="65">
        <f>IFERROR(AE60*'⛽ المبيعات الشهرية'!AG59/100,"")</f>
        <v>0</v>
      </c>
      <c r="AM60" s="61">
        <f>IFERROR(AE60*'⛽ المبيعات الشهرية'!AH59/100,"")</f>
        <v>0</v>
      </c>
      <c r="AN60" s="65">
        <f>IFERROR(AE60*'⛽ المبيعات الشهرية'!AI59/100,"")</f>
        <v>0</v>
      </c>
      <c r="AO60" s="61">
        <f>IFERROR(AE60*'⛽ المبيعات الشهرية'!AJ59/100,"")</f>
        <v>0</v>
      </c>
      <c r="AP60" s="65">
        <f>IFERROR(AE60*'⛽ المبيعات الشهرية'!AK59/100,"")</f>
        <v>0</v>
      </c>
      <c r="AQ60" s="61">
        <f>IFERROR(AE60*'⛽ المبيعات الشهرية'!AL59/100,"")</f>
        <v>0</v>
      </c>
      <c r="AR60" s="42">
        <f t="shared" si="7"/>
        <v>0</v>
      </c>
      <c r="AS60" s="66">
        <f>'📋 بيانات المحطات'!K59</f>
        <v>0</v>
      </c>
      <c r="AT60" s="67">
        <f>IFERROR(AS60*'⛽ المبيعات الشهرية'!AM59/100,"")</f>
        <v>0</v>
      </c>
      <c r="AU60" s="61">
        <f>IFERROR(AS60*'⛽ المبيعات الشهرية'!AN59/100,"")</f>
        <v>0</v>
      </c>
      <c r="AV60" s="67">
        <f>IFERROR(AS60*'⛽ المبيعات الشهرية'!AO59/100,"")</f>
        <v>0</v>
      </c>
      <c r="AW60" s="61">
        <f>IFERROR(AS60*'⛽ المبيعات الشهرية'!AP59/100,"")</f>
        <v>0</v>
      </c>
      <c r="AX60" s="67">
        <f>IFERROR(AS60*'⛽ المبيعات الشهرية'!AQ59/100,"")</f>
        <v>0</v>
      </c>
      <c r="AY60" s="61">
        <f>IFERROR(AS60*'⛽ المبيعات الشهرية'!AR59/100,"")</f>
        <v>0</v>
      </c>
      <c r="AZ60" s="67">
        <f>IFERROR(AS60*'⛽ المبيعات الشهرية'!AS59/100,"")</f>
        <v>0</v>
      </c>
      <c r="BA60" s="61">
        <f>IFERROR(AS60*'⛽ المبيعات الشهرية'!AT59/100,"")</f>
        <v>0</v>
      </c>
      <c r="BB60" s="67">
        <f>IFERROR(AS60*'⛽ المبيعات الشهرية'!AU59/100,"")</f>
        <v>0</v>
      </c>
      <c r="BC60" s="61">
        <f>IFERROR(AS60*'⛽ المبيعات الشهرية'!AV59/100,"")</f>
        <v>0</v>
      </c>
      <c r="BD60" s="67">
        <f>IFERROR(AS60*'⛽ المبيعات الشهرية'!AW59/100,"")</f>
        <v>0</v>
      </c>
      <c r="BE60" s="61">
        <f>IFERROR(AS60*'⛽ المبيعات الشهرية'!AX59/100,"")</f>
        <v>0</v>
      </c>
      <c r="BF60" s="42">
        <f t="shared" si="8"/>
        <v>0</v>
      </c>
      <c r="BG60" s="68">
        <f t="shared" si="9"/>
        <v>0</v>
      </c>
    </row>
    <row r="61" spans="1:59" ht="21.75" customHeight="1" x14ac:dyDescent="0.35">
      <c r="A61" s="58" t="s">
        <v>214</v>
      </c>
      <c r="B61" s="36" t="str">
        <f>'📋 بيانات المحطات'!B60</f>
        <v>عبد الله الخريجي</v>
      </c>
      <c r="C61" s="59">
        <f>'📋 بيانات المحطات'!H60</f>
        <v>0</v>
      </c>
      <c r="D61" s="60">
        <f>IFERROR(C61*'⛽ المبيعات الشهرية'!C60/100,"")</f>
        <v>0</v>
      </c>
      <c r="E61" s="61">
        <f>IFERROR(C61*'⛽ المبيعات الشهرية'!D60/100,"")</f>
        <v>0</v>
      </c>
      <c r="F61" s="60">
        <f>IFERROR(C61*'⛽ المبيعات الشهرية'!E60/100,"")</f>
        <v>0</v>
      </c>
      <c r="G61" s="61">
        <f>IFERROR(C61*'⛽ المبيعات الشهرية'!F60/100,"")</f>
        <v>0</v>
      </c>
      <c r="H61" s="60">
        <f>IFERROR(C61*'⛽ المبيعات الشهرية'!G60/100,"")</f>
        <v>0</v>
      </c>
      <c r="I61" s="61">
        <f>IFERROR(C61*'⛽ المبيعات الشهرية'!H60/100,"")</f>
        <v>0</v>
      </c>
      <c r="J61" s="60">
        <f>IFERROR(C61*'⛽ المبيعات الشهرية'!I60/100,"")</f>
        <v>0</v>
      </c>
      <c r="K61" s="61">
        <f>IFERROR(C61*'⛽ المبيعات الشهرية'!J60/100,"")</f>
        <v>0</v>
      </c>
      <c r="L61" s="60">
        <f>IFERROR(C61*'⛽ المبيعات الشهرية'!K60/100,"")</f>
        <v>0</v>
      </c>
      <c r="M61" s="61">
        <f>IFERROR(C61*'⛽ المبيعات الشهرية'!L60/100,"")</f>
        <v>0</v>
      </c>
      <c r="N61" s="60">
        <f>IFERROR(C61*'⛽ المبيعات الشهرية'!M60/100,"")</f>
        <v>0</v>
      </c>
      <c r="O61" s="61">
        <f>IFERROR(C61*'⛽ المبيعات الشهرية'!N60/100,"")</f>
        <v>0</v>
      </c>
      <c r="P61" s="42">
        <f t="shared" si="5"/>
        <v>0</v>
      </c>
      <c r="Q61" s="62">
        <f>'📋 بيانات المحطات'!I60</f>
        <v>0</v>
      </c>
      <c r="R61" s="63">
        <f>IFERROR(Q61*'⛽ المبيعات الشهرية'!O60/100,"")</f>
        <v>0</v>
      </c>
      <c r="S61" s="61">
        <f>IFERROR(Q61*'⛽ المبيعات الشهرية'!P60/100,"")</f>
        <v>0</v>
      </c>
      <c r="T61" s="63">
        <f>IFERROR(Q61*'⛽ المبيعات الشهرية'!Q60/100,"")</f>
        <v>0</v>
      </c>
      <c r="U61" s="61">
        <f>IFERROR(Q61*'⛽ المبيعات الشهرية'!R60/100,"")</f>
        <v>0</v>
      </c>
      <c r="V61" s="63">
        <f>IFERROR(Q61*'⛽ المبيعات الشهرية'!S60/100,"")</f>
        <v>0</v>
      </c>
      <c r="W61" s="61">
        <f>IFERROR(Q61*'⛽ المبيعات الشهرية'!T60/100,"")</f>
        <v>0</v>
      </c>
      <c r="X61" s="63">
        <f>IFERROR(Q61*'⛽ المبيعات الشهرية'!U60/100,"")</f>
        <v>0</v>
      </c>
      <c r="Y61" s="61">
        <f>IFERROR(Q61*'⛽ المبيعات الشهرية'!V60/100,"")</f>
        <v>0</v>
      </c>
      <c r="Z61" s="63">
        <f>IFERROR(Q61*'⛽ المبيعات الشهرية'!W60/100,"")</f>
        <v>0</v>
      </c>
      <c r="AA61" s="61">
        <f>IFERROR(Q61*'⛽ المبيعات الشهرية'!X60/100,"")</f>
        <v>0</v>
      </c>
      <c r="AB61" s="63">
        <f>IFERROR(Q61*'⛽ المبيعات الشهرية'!Y60/100,"")</f>
        <v>0</v>
      </c>
      <c r="AC61" s="61">
        <f>IFERROR(Q61*'⛽ المبيعات الشهرية'!Z60/100,"")</f>
        <v>0</v>
      </c>
      <c r="AD61" s="42">
        <f t="shared" si="6"/>
        <v>0</v>
      </c>
      <c r="AE61" s="64">
        <f>'📋 بيانات المحطات'!J60</f>
        <v>0</v>
      </c>
      <c r="AF61" s="65">
        <f>IFERROR(AE61*'⛽ المبيعات الشهرية'!AA60/100,"")</f>
        <v>0</v>
      </c>
      <c r="AG61" s="61">
        <f>IFERROR(AE61*'⛽ المبيعات الشهرية'!AB60/100,"")</f>
        <v>0</v>
      </c>
      <c r="AH61" s="65">
        <f>IFERROR(AE61*'⛽ المبيعات الشهرية'!AC60/100,"")</f>
        <v>0</v>
      </c>
      <c r="AI61" s="61">
        <f>IFERROR(AE61*'⛽ المبيعات الشهرية'!AD60/100,"")</f>
        <v>0</v>
      </c>
      <c r="AJ61" s="65">
        <f>IFERROR(AE61*'⛽ المبيعات الشهرية'!AE60/100,"")</f>
        <v>0</v>
      </c>
      <c r="AK61" s="61">
        <f>IFERROR(AE61*'⛽ المبيعات الشهرية'!AF60/100,"")</f>
        <v>0</v>
      </c>
      <c r="AL61" s="65">
        <f>IFERROR(AE61*'⛽ المبيعات الشهرية'!AG60/100,"")</f>
        <v>0</v>
      </c>
      <c r="AM61" s="61">
        <f>IFERROR(AE61*'⛽ المبيعات الشهرية'!AH60/100,"")</f>
        <v>0</v>
      </c>
      <c r="AN61" s="65">
        <f>IFERROR(AE61*'⛽ المبيعات الشهرية'!AI60/100,"")</f>
        <v>0</v>
      </c>
      <c r="AO61" s="61">
        <f>IFERROR(AE61*'⛽ المبيعات الشهرية'!AJ60/100,"")</f>
        <v>0</v>
      </c>
      <c r="AP61" s="65">
        <f>IFERROR(AE61*'⛽ المبيعات الشهرية'!AK60/100,"")</f>
        <v>0</v>
      </c>
      <c r="AQ61" s="61">
        <f>IFERROR(AE61*'⛽ المبيعات الشهرية'!AL60/100,"")</f>
        <v>0</v>
      </c>
      <c r="AR61" s="42">
        <f t="shared" si="7"/>
        <v>0</v>
      </c>
      <c r="AS61" s="66">
        <f>'📋 بيانات المحطات'!K60</f>
        <v>0</v>
      </c>
      <c r="AT61" s="67">
        <f>IFERROR(AS61*'⛽ المبيعات الشهرية'!AM60/100,"")</f>
        <v>0</v>
      </c>
      <c r="AU61" s="61">
        <f>IFERROR(AS61*'⛽ المبيعات الشهرية'!AN60/100,"")</f>
        <v>0</v>
      </c>
      <c r="AV61" s="67">
        <f>IFERROR(AS61*'⛽ المبيعات الشهرية'!AO60/100,"")</f>
        <v>0</v>
      </c>
      <c r="AW61" s="61">
        <f>IFERROR(AS61*'⛽ المبيعات الشهرية'!AP60/100,"")</f>
        <v>0</v>
      </c>
      <c r="AX61" s="67">
        <f>IFERROR(AS61*'⛽ المبيعات الشهرية'!AQ60/100,"")</f>
        <v>0</v>
      </c>
      <c r="AY61" s="61">
        <f>IFERROR(AS61*'⛽ المبيعات الشهرية'!AR60/100,"")</f>
        <v>0</v>
      </c>
      <c r="AZ61" s="67">
        <f>IFERROR(AS61*'⛽ المبيعات الشهرية'!AS60/100,"")</f>
        <v>0</v>
      </c>
      <c r="BA61" s="61">
        <f>IFERROR(AS61*'⛽ المبيعات الشهرية'!AT60/100,"")</f>
        <v>0</v>
      </c>
      <c r="BB61" s="67">
        <f>IFERROR(AS61*'⛽ المبيعات الشهرية'!AU60/100,"")</f>
        <v>0</v>
      </c>
      <c r="BC61" s="61">
        <f>IFERROR(AS61*'⛽ المبيعات الشهرية'!AV60/100,"")</f>
        <v>0</v>
      </c>
      <c r="BD61" s="67">
        <f>IFERROR(AS61*'⛽ المبيعات الشهرية'!AW60/100,"")</f>
        <v>0</v>
      </c>
      <c r="BE61" s="61">
        <f>IFERROR(AS61*'⛽ المبيعات الشهرية'!AX60/100,"")</f>
        <v>0</v>
      </c>
      <c r="BF61" s="42">
        <f t="shared" si="8"/>
        <v>0</v>
      </c>
      <c r="BG61" s="68">
        <f t="shared" si="9"/>
        <v>0</v>
      </c>
    </row>
    <row r="62" spans="1:59" ht="21.75" customHeight="1" x14ac:dyDescent="0.35">
      <c r="A62" s="69" t="s">
        <v>215</v>
      </c>
      <c r="B62" s="36">
        <f>'📋 بيانات المحطات'!B61</f>
        <v>0</v>
      </c>
      <c r="C62" s="59">
        <f>'📋 بيانات المحطات'!H61</f>
        <v>0</v>
      </c>
      <c r="D62" s="60">
        <f>IFERROR(C62*'⛽ المبيعات الشهرية'!C61/100,"")</f>
        <v>0</v>
      </c>
      <c r="E62" s="61">
        <f>IFERROR(C62*'⛽ المبيعات الشهرية'!D61/100,"")</f>
        <v>0</v>
      </c>
      <c r="F62" s="60">
        <f>IFERROR(C62*'⛽ المبيعات الشهرية'!E61/100,"")</f>
        <v>0</v>
      </c>
      <c r="G62" s="61">
        <f>IFERROR(C62*'⛽ المبيعات الشهرية'!F61/100,"")</f>
        <v>0</v>
      </c>
      <c r="H62" s="60">
        <f>IFERROR(C62*'⛽ المبيعات الشهرية'!G61/100,"")</f>
        <v>0</v>
      </c>
      <c r="I62" s="61">
        <f>IFERROR(C62*'⛽ المبيعات الشهرية'!H61/100,"")</f>
        <v>0</v>
      </c>
      <c r="J62" s="60">
        <f>IFERROR(C62*'⛽ المبيعات الشهرية'!I61/100,"")</f>
        <v>0</v>
      </c>
      <c r="K62" s="61">
        <f>IFERROR(C62*'⛽ المبيعات الشهرية'!J61/100,"")</f>
        <v>0</v>
      </c>
      <c r="L62" s="60">
        <f>IFERROR(C62*'⛽ المبيعات الشهرية'!K61/100,"")</f>
        <v>0</v>
      </c>
      <c r="M62" s="61">
        <f>IFERROR(C62*'⛽ المبيعات الشهرية'!L61/100,"")</f>
        <v>0</v>
      </c>
      <c r="N62" s="60">
        <f>IFERROR(C62*'⛽ المبيعات الشهرية'!M61/100,"")</f>
        <v>0</v>
      </c>
      <c r="O62" s="61">
        <f>IFERROR(C62*'⛽ المبيعات الشهرية'!N61/100,"")</f>
        <v>0</v>
      </c>
      <c r="P62" s="42">
        <f t="shared" si="5"/>
        <v>0</v>
      </c>
      <c r="Q62" s="62">
        <f>'📋 بيانات المحطات'!I61</f>
        <v>0</v>
      </c>
      <c r="R62" s="63">
        <f>IFERROR(Q62*'⛽ المبيعات الشهرية'!O61/100,"")</f>
        <v>0</v>
      </c>
      <c r="S62" s="61">
        <f>IFERROR(Q62*'⛽ المبيعات الشهرية'!P61/100,"")</f>
        <v>0</v>
      </c>
      <c r="T62" s="63">
        <f>IFERROR(Q62*'⛽ المبيعات الشهرية'!Q61/100,"")</f>
        <v>0</v>
      </c>
      <c r="U62" s="61">
        <f>IFERROR(Q62*'⛽ المبيعات الشهرية'!R61/100,"")</f>
        <v>0</v>
      </c>
      <c r="V62" s="63">
        <f>IFERROR(Q62*'⛽ المبيعات الشهرية'!S61/100,"")</f>
        <v>0</v>
      </c>
      <c r="W62" s="61">
        <f>IFERROR(Q62*'⛽ المبيعات الشهرية'!T61/100,"")</f>
        <v>0</v>
      </c>
      <c r="X62" s="63">
        <f>IFERROR(Q62*'⛽ المبيعات الشهرية'!U61/100,"")</f>
        <v>0</v>
      </c>
      <c r="Y62" s="61">
        <f>IFERROR(Q62*'⛽ المبيعات الشهرية'!V61/100,"")</f>
        <v>0</v>
      </c>
      <c r="Z62" s="63">
        <f>IFERROR(Q62*'⛽ المبيعات الشهرية'!W61/100,"")</f>
        <v>0</v>
      </c>
      <c r="AA62" s="61">
        <f>IFERROR(Q62*'⛽ المبيعات الشهرية'!X61/100,"")</f>
        <v>0</v>
      </c>
      <c r="AB62" s="63">
        <f>IFERROR(Q62*'⛽ المبيعات الشهرية'!Y61/100,"")</f>
        <v>0</v>
      </c>
      <c r="AC62" s="61">
        <f>IFERROR(Q62*'⛽ المبيعات الشهرية'!Z61/100,"")</f>
        <v>0</v>
      </c>
      <c r="AD62" s="42">
        <f t="shared" si="6"/>
        <v>0</v>
      </c>
      <c r="AE62" s="64">
        <f>'📋 بيانات المحطات'!J61</f>
        <v>0</v>
      </c>
      <c r="AF62" s="65">
        <f>IFERROR(AE62*'⛽ المبيعات الشهرية'!AA61/100,"")</f>
        <v>0</v>
      </c>
      <c r="AG62" s="61">
        <f>IFERROR(AE62*'⛽ المبيعات الشهرية'!AB61/100,"")</f>
        <v>0</v>
      </c>
      <c r="AH62" s="65">
        <f>IFERROR(AE62*'⛽ المبيعات الشهرية'!AC61/100,"")</f>
        <v>0</v>
      </c>
      <c r="AI62" s="61">
        <f>IFERROR(AE62*'⛽ المبيعات الشهرية'!AD61/100,"")</f>
        <v>0</v>
      </c>
      <c r="AJ62" s="65">
        <f>IFERROR(AE62*'⛽ المبيعات الشهرية'!AE61/100,"")</f>
        <v>0</v>
      </c>
      <c r="AK62" s="61">
        <f>IFERROR(AE62*'⛽ المبيعات الشهرية'!AF61/100,"")</f>
        <v>0</v>
      </c>
      <c r="AL62" s="65">
        <f>IFERROR(AE62*'⛽ المبيعات الشهرية'!AG61/100,"")</f>
        <v>0</v>
      </c>
      <c r="AM62" s="61">
        <f>IFERROR(AE62*'⛽ المبيعات الشهرية'!AH61/100,"")</f>
        <v>0</v>
      </c>
      <c r="AN62" s="65">
        <f>IFERROR(AE62*'⛽ المبيعات الشهرية'!AI61/100,"")</f>
        <v>0</v>
      </c>
      <c r="AO62" s="61">
        <f>IFERROR(AE62*'⛽ المبيعات الشهرية'!AJ61/100,"")</f>
        <v>0</v>
      </c>
      <c r="AP62" s="65">
        <f>IFERROR(AE62*'⛽ المبيعات الشهرية'!AK61/100,"")</f>
        <v>0</v>
      </c>
      <c r="AQ62" s="61">
        <f>IFERROR(AE62*'⛽ المبيعات الشهرية'!AL61/100,"")</f>
        <v>0</v>
      </c>
      <c r="AR62" s="42">
        <f t="shared" si="7"/>
        <v>0</v>
      </c>
      <c r="AS62" s="66">
        <f>'📋 بيانات المحطات'!K61</f>
        <v>0</v>
      </c>
      <c r="AT62" s="67">
        <f>IFERROR(AS62*'⛽ المبيعات الشهرية'!AM61/100,"")</f>
        <v>0</v>
      </c>
      <c r="AU62" s="61">
        <f>IFERROR(AS62*'⛽ المبيعات الشهرية'!AN61/100,"")</f>
        <v>0</v>
      </c>
      <c r="AV62" s="67">
        <f>IFERROR(AS62*'⛽ المبيعات الشهرية'!AO61/100,"")</f>
        <v>0</v>
      </c>
      <c r="AW62" s="61">
        <f>IFERROR(AS62*'⛽ المبيعات الشهرية'!AP61/100,"")</f>
        <v>0</v>
      </c>
      <c r="AX62" s="67">
        <f>IFERROR(AS62*'⛽ المبيعات الشهرية'!AQ61/100,"")</f>
        <v>0</v>
      </c>
      <c r="AY62" s="61">
        <f>IFERROR(AS62*'⛽ المبيعات الشهرية'!AR61/100,"")</f>
        <v>0</v>
      </c>
      <c r="AZ62" s="67">
        <f>IFERROR(AS62*'⛽ المبيعات الشهرية'!AS61/100,"")</f>
        <v>0</v>
      </c>
      <c r="BA62" s="61">
        <f>IFERROR(AS62*'⛽ المبيعات الشهرية'!AT61/100,"")</f>
        <v>0</v>
      </c>
      <c r="BB62" s="67">
        <f>IFERROR(AS62*'⛽ المبيعات الشهرية'!AU61/100,"")</f>
        <v>0</v>
      </c>
      <c r="BC62" s="61">
        <f>IFERROR(AS62*'⛽ المبيعات الشهرية'!AV61/100,"")</f>
        <v>0</v>
      </c>
      <c r="BD62" s="67">
        <f>IFERROR(AS62*'⛽ المبيعات الشهرية'!AW61/100,"")</f>
        <v>0</v>
      </c>
      <c r="BE62" s="61">
        <f>IFERROR(AS62*'⛽ المبيعات الشهرية'!AX61/100,"")</f>
        <v>0</v>
      </c>
      <c r="BF62" s="42">
        <f t="shared" si="8"/>
        <v>0</v>
      </c>
      <c r="BG62" s="68">
        <f t="shared" si="9"/>
        <v>0</v>
      </c>
    </row>
    <row r="63" spans="1:59" ht="21.75" customHeight="1" x14ac:dyDescent="0.35">
      <c r="A63" s="58" t="s">
        <v>216</v>
      </c>
      <c r="B63" s="36">
        <f>'📋 بيانات المحطات'!B62</f>
        <v>0</v>
      </c>
      <c r="C63" s="59">
        <f>'📋 بيانات المحطات'!H62</f>
        <v>0</v>
      </c>
      <c r="D63" s="60">
        <f>IFERROR(C63*'⛽ المبيعات الشهرية'!C62/100,"")</f>
        <v>0</v>
      </c>
      <c r="E63" s="61">
        <f>IFERROR(C63*'⛽ المبيعات الشهرية'!D62/100,"")</f>
        <v>0</v>
      </c>
      <c r="F63" s="60">
        <f>IFERROR(C63*'⛽ المبيعات الشهرية'!E62/100,"")</f>
        <v>0</v>
      </c>
      <c r="G63" s="61">
        <f>IFERROR(C63*'⛽ المبيعات الشهرية'!F62/100,"")</f>
        <v>0</v>
      </c>
      <c r="H63" s="60">
        <f>IFERROR(C63*'⛽ المبيعات الشهرية'!G62/100,"")</f>
        <v>0</v>
      </c>
      <c r="I63" s="61">
        <f>IFERROR(C63*'⛽ المبيعات الشهرية'!H62/100,"")</f>
        <v>0</v>
      </c>
      <c r="J63" s="60">
        <f>IFERROR(C63*'⛽ المبيعات الشهرية'!I62/100,"")</f>
        <v>0</v>
      </c>
      <c r="K63" s="61">
        <f>IFERROR(C63*'⛽ المبيعات الشهرية'!J62/100,"")</f>
        <v>0</v>
      </c>
      <c r="L63" s="60">
        <f>IFERROR(C63*'⛽ المبيعات الشهرية'!K62/100,"")</f>
        <v>0</v>
      </c>
      <c r="M63" s="61">
        <f>IFERROR(C63*'⛽ المبيعات الشهرية'!L62/100,"")</f>
        <v>0</v>
      </c>
      <c r="N63" s="60">
        <f>IFERROR(C63*'⛽ المبيعات الشهرية'!M62/100,"")</f>
        <v>0</v>
      </c>
      <c r="O63" s="61">
        <f>IFERROR(C63*'⛽ المبيعات الشهرية'!N62/100,"")</f>
        <v>0</v>
      </c>
      <c r="P63" s="42">
        <f t="shared" si="5"/>
        <v>0</v>
      </c>
      <c r="Q63" s="62">
        <f>'📋 بيانات المحطات'!I62</f>
        <v>0</v>
      </c>
      <c r="R63" s="63">
        <f>IFERROR(Q63*'⛽ المبيعات الشهرية'!O62/100,"")</f>
        <v>0</v>
      </c>
      <c r="S63" s="61">
        <f>IFERROR(Q63*'⛽ المبيعات الشهرية'!P62/100,"")</f>
        <v>0</v>
      </c>
      <c r="T63" s="63">
        <f>IFERROR(Q63*'⛽ المبيعات الشهرية'!Q62/100,"")</f>
        <v>0</v>
      </c>
      <c r="U63" s="61">
        <f>IFERROR(Q63*'⛽ المبيعات الشهرية'!R62/100,"")</f>
        <v>0</v>
      </c>
      <c r="V63" s="63">
        <f>IFERROR(Q63*'⛽ المبيعات الشهرية'!S62/100,"")</f>
        <v>0</v>
      </c>
      <c r="W63" s="61">
        <f>IFERROR(Q63*'⛽ المبيعات الشهرية'!T62/100,"")</f>
        <v>0</v>
      </c>
      <c r="X63" s="63">
        <f>IFERROR(Q63*'⛽ المبيعات الشهرية'!U62/100,"")</f>
        <v>0</v>
      </c>
      <c r="Y63" s="61">
        <f>IFERROR(Q63*'⛽ المبيعات الشهرية'!V62/100,"")</f>
        <v>0</v>
      </c>
      <c r="Z63" s="63">
        <f>IFERROR(Q63*'⛽ المبيعات الشهرية'!W62/100,"")</f>
        <v>0</v>
      </c>
      <c r="AA63" s="61">
        <f>IFERROR(Q63*'⛽ المبيعات الشهرية'!X62/100,"")</f>
        <v>0</v>
      </c>
      <c r="AB63" s="63">
        <f>IFERROR(Q63*'⛽ المبيعات الشهرية'!Y62/100,"")</f>
        <v>0</v>
      </c>
      <c r="AC63" s="61">
        <f>IFERROR(Q63*'⛽ المبيعات الشهرية'!Z62/100,"")</f>
        <v>0</v>
      </c>
      <c r="AD63" s="42">
        <f t="shared" si="6"/>
        <v>0</v>
      </c>
      <c r="AE63" s="64">
        <f>'📋 بيانات المحطات'!J62</f>
        <v>0</v>
      </c>
      <c r="AF63" s="65">
        <f>IFERROR(AE63*'⛽ المبيعات الشهرية'!AA62/100,"")</f>
        <v>0</v>
      </c>
      <c r="AG63" s="61">
        <f>IFERROR(AE63*'⛽ المبيعات الشهرية'!AB62/100,"")</f>
        <v>0</v>
      </c>
      <c r="AH63" s="65">
        <f>IFERROR(AE63*'⛽ المبيعات الشهرية'!AC62/100,"")</f>
        <v>0</v>
      </c>
      <c r="AI63" s="61">
        <f>IFERROR(AE63*'⛽ المبيعات الشهرية'!AD62/100,"")</f>
        <v>0</v>
      </c>
      <c r="AJ63" s="65">
        <f>IFERROR(AE63*'⛽ المبيعات الشهرية'!AE62/100,"")</f>
        <v>0</v>
      </c>
      <c r="AK63" s="61">
        <f>IFERROR(AE63*'⛽ المبيعات الشهرية'!AF62/100,"")</f>
        <v>0</v>
      </c>
      <c r="AL63" s="65">
        <f>IFERROR(AE63*'⛽ المبيعات الشهرية'!AG62/100,"")</f>
        <v>0</v>
      </c>
      <c r="AM63" s="61">
        <f>IFERROR(AE63*'⛽ المبيعات الشهرية'!AH62/100,"")</f>
        <v>0</v>
      </c>
      <c r="AN63" s="65">
        <f>IFERROR(AE63*'⛽ المبيعات الشهرية'!AI62/100,"")</f>
        <v>0</v>
      </c>
      <c r="AO63" s="61">
        <f>IFERROR(AE63*'⛽ المبيعات الشهرية'!AJ62/100,"")</f>
        <v>0</v>
      </c>
      <c r="AP63" s="65">
        <f>IFERROR(AE63*'⛽ المبيعات الشهرية'!AK62/100,"")</f>
        <v>0</v>
      </c>
      <c r="AQ63" s="61">
        <f>IFERROR(AE63*'⛽ المبيعات الشهرية'!AL62/100,"")</f>
        <v>0</v>
      </c>
      <c r="AR63" s="42">
        <f t="shared" si="7"/>
        <v>0</v>
      </c>
      <c r="AS63" s="66">
        <f>'📋 بيانات المحطات'!K62</f>
        <v>0</v>
      </c>
      <c r="AT63" s="67">
        <f>IFERROR(AS63*'⛽ المبيعات الشهرية'!AM62/100,"")</f>
        <v>0</v>
      </c>
      <c r="AU63" s="61">
        <f>IFERROR(AS63*'⛽ المبيعات الشهرية'!AN62/100,"")</f>
        <v>0</v>
      </c>
      <c r="AV63" s="67">
        <f>IFERROR(AS63*'⛽ المبيعات الشهرية'!AO62/100,"")</f>
        <v>0</v>
      </c>
      <c r="AW63" s="61">
        <f>IFERROR(AS63*'⛽ المبيعات الشهرية'!AP62/100,"")</f>
        <v>0</v>
      </c>
      <c r="AX63" s="67">
        <f>IFERROR(AS63*'⛽ المبيعات الشهرية'!AQ62/100,"")</f>
        <v>0</v>
      </c>
      <c r="AY63" s="61">
        <f>IFERROR(AS63*'⛽ المبيعات الشهرية'!AR62/100,"")</f>
        <v>0</v>
      </c>
      <c r="AZ63" s="67">
        <f>IFERROR(AS63*'⛽ المبيعات الشهرية'!AS62/100,"")</f>
        <v>0</v>
      </c>
      <c r="BA63" s="61">
        <f>IFERROR(AS63*'⛽ المبيعات الشهرية'!AT62/100,"")</f>
        <v>0</v>
      </c>
      <c r="BB63" s="67">
        <f>IFERROR(AS63*'⛽ المبيعات الشهرية'!AU62/100,"")</f>
        <v>0</v>
      </c>
      <c r="BC63" s="61">
        <f>IFERROR(AS63*'⛽ المبيعات الشهرية'!AV62/100,"")</f>
        <v>0</v>
      </c>
      <c r="BD63" s="67">
        <f>IFERROR(AS63*'⛽ المبيعات الشهرية'!AW62/100,"")</f>
        <v>0</v>
      </c>
      <c r="BE63" s="61">
        <f>IFERROR(AS63*'⛽ المبيعات الشهرية'!AX62/100,"")</f>
        <v>0</v>
      </c>
      <c r="BF63" s="42">
        <f t="shared" si="8"/>
        <v>0</v>
      </c>
      <c r="BG63" s="68">
        <f t="shared" si="9"/>
        <v>0</v>
      </c>
    </row>
    <row r="64" spans="1:59" ht="21.75" customHeight="1" x14ac:dyDescent="0.35">
      <c r="A64" s="69" t="s">
        <v>217</v>
      </c>
      <c r="B64" s="36">
        <f>'📋 بيانات المحطات'!B63</f>
        <v>0</v>
      </c>
      <c r="C64" s="59">
        <f>'📋 بيانات المحطات'!H63</f>
        <v>0</v>
      </c>
      <c r="D64" s="60">
        <f>IFERROR(C64*'⛽ المبيعات الشهرية'!C63/100,"")</f>
        <v>0</v>
      </c>
      <c r="E64" s="61">
        <f>IFERROR(C64*'⛽ المبيعات الشهرية'!D63/100,"")</f>
        <v>0</v>
      </c>
      <c r="F64" s="60">
        <f>IFERROR(C64*'⛽ المبيعات الشهرية'!E63/100,"")</f>
        <v>0</v>
      </c>
      <c r="G64" s="61">
        <f>IFERROR(C64*'⛽ المبيعات الشهرية'!F63/100,"")</f>
        <v>0</v>
      </c>
      <c r="H64" s="60">
        <f>IFERROR(C64*'⛽ المبيعات الشهرية'!G63/100,"")</f>
        <v>0</v>
      </c>
      <c r="I64" s="61">
        <f>IFERROR(C64*'⛽ المبيعات الشهرية'!H63/100,"")</f>
        <v>0</v>
      </c>
      <c r="J64" s="60">
        <f>IFERROR(C64*'⛽ المبيعات الشهرية'!I63/100,"")</f>
        <v>0</v>
      </c>
      <c r="K64" s="61">
        <f>IFERROR(C64*'⛽ المبيعات الشهرية'!J63/100,"")</f>
        <v>0</v>
      </c>
      <c r="L64" s="60">
        <f>IFERROR(C64*'⛽ المبيعات الشهرية'!K63/100,"")</f>
        <v>0</v>
      </c>
      <c r="M64" s="61">
        <f>IFERROR(C64*'⛽ المبيعات الشهرية'!L63/100,"")</f>
        <v>0</v>
      </c>
      <c r="N64" s="60">
        <f>IFERROR(C64*'⛽ المبيعات الشهرية'!M63/100,"")</f>
        <v>0</v>
      </c>
      <c r="O64" s="61">
        <f>IFERROR(C64*'⛽ المبيعات الشهرية'!N63/100,"")</f>
        <v>0</v>
      </c>
      <c r="P64" s="42">
        <f t="shared" si="5"/>
        <v>0</v>
      </c>
      <c r="Q64" s="62">
        <f>'📋 بيانات المحطات'!I63</f>
        <v>0</v>
      </c>
      <c r="R64" s="63">
        <f>IFERROR(Q64*'⛽ المبيعات الشهرية'!O63/100,"")</f>
        <v>0</v>
      </c>
      <c r="S64" s="61">
        <f>IFERROR(Q64*'⛽ المبيعات الشهرية'!P63/100,"")</f>
        <v>0</v>
      </c>
      <c r="T64" s="63">
        <f>IFERROR(Q64*'⛽ المبيعات الشهرية'!Q63/100,"")</f>
        <v>0</v>
      </c>
      <c r="U64" s="61">
        <f>IFERROR(Q64*'⛽ المبيعات الشهرية'!R63/100,"")</f>
        <v>0</v>
      </c>
      <c r="V64" s="63">
        <f>IFERROR(Q64*'⛽ المبيعات الشهرية'!S63/100,"")</f>
        <v>0</v>
      </c>
      <c r="W64" s="61">
        <f>IFERROR(Q64*'⛽ المبيعات الشهرية'!T63/100,"")</f>
        <v>0</v>
      </c>
      <c r="X64" s="63">
        <f>IFERROR(Q64*'⛽ المبيعات الشهرية'!U63/100,"")</f>
        <v>0</v>
      </c>
      <c r="Y64" s="61">
        <f>IFERROR(Q64*'⛽ المبيعات الشهرية'!V63/100,"")</f>
        <v>0</v>
      </c>
      <c r="Z64" s="63">
        <f>IFERROR(Q64*'⛽ المبيعات الشهرية'!W63/100,"")</f>
        <v>0</v>
      </c>
      <c r="AA64" s="61">
        <f>IFERROR(Q64*'⛽ المبيعات الشهرية'!X63/100,"")</f>
        <v>0</v>
      </c>
      <c r="AB64" s="63">
        <f>IFERROR(Q64*'⛽ المبيعات الشهرية'!Y63/100,"")</f>
        <v>0</v>
      </c>
      <c r="AC64" s="61">
        <f>IFERROR(Q64*'⛽ المبيعات الشهرية'!Z63/100,"")</f>
        <v>0</v>
      </c>
      <c r="AD64" s="42">
        <f t="shared" si="6"/>
        <v>0</v>
      </c>
      <c r="AE64" s="64">
        <f>'📋 بيانات المحطات'!J63</f>
        <v>0</v>
      </c>
      <c r="AF64" s="65">
        <f>IFERROR(AE64*'⛽ المبيعات الشهرية'!AA63/100,"")</f>
        <v>0</v>
      </c>
      <c r="AG64" s="61">
        <f>IFERROR(AE64*'⛽ المبيعات الشهرية'!AB63/100,"")</f>
        <v>0</v>
      </c>
      <c r="AH64" s="65">
        <f>IFERROR(AE64*'⛽ المبيعات الشهرية'!AC63/100,"")</f>
        <v>0</v>
      </c>
      <c r="AI64" s="61">
        <f>IFERROR(AE64*'⛽ المبيعات الشهرية'!AD63/100,"")</f>
        <v>0</v>
      </c>
      <c r="AJ64" s="65">
        <f>IFERROR(AE64*'⛽ المبيعات الشهرية'!AE63/100,"")</f>
        <v>0</v>
      </c>
      <c r="AK64" s="61">
        <f>IFERROR(AE64*'⛽ المبيعات الشهرية'!AF63/100,"")</f>
        <v>0</v>
      </c>
      <c r="AL64" s="65">
        <f>IFERROR(AE64*'⛽ المبيعات الشهرية'!AG63/100,"")</f>
        <v>0</v>
      </c>
      <c r="AM64" s="61">
        <f>IFERROR(AE64*'⛽ المبيعات الشهرية'!AH63/100,"")</f>
        <v>0</v>
      </c>
      <c r="AN64" s="65">
        <f>IFERROR(AE64*'⛽ المبيعات الشهرية'!AI63/100,"")</f>
        <v>0</v>
      </c>
      <c r="AO64" s="61">
        <f>IFERROR(AE64*'⛽ المبيعات الشهرية'!AJ63/100,"")</f>
        <v>0</v>
      </c>
      <c r="AP64" s="65">
        <f>IFERROR(AE64*'⛽ المبيعات الشهرية'!AK63/100,"")</f>
        <v>0</v>
      </c>
      <c r="AQ64" s="61">
        <f>IFERROR(AE64*'⛽ المبيعات الشهرية'!AL63/100,"")</f>
        <v>0</v>
      </c>
      <c r="AR64" s="42">
        <f t="shared" si="7"/>
        <v>0</v>
      </c>
      <c r="AS64" s="66">
        <f>'📋 بيانات المحطات'!K63</f>
        <v>0</v>
      </c>
      <c r="AT64" s="67">
        <f>IFERROR(AS64*'⛽ المبيعات الشهرية'!AM63/100,"")</f>
        <v>0</v>
      </c>
      <c r="AU64" s="61">
        <f>IFERROR(AS64*'⛽ المبيعات الشهرية'!AN63/100,"")</f>
        <v>0</v>
      </c>
      <c r="AV64" s="67">
        <f>IFERROR(AS64*'⛽ المبيعات الشهرية'!AO63/100,"")</f>
        <v>0</v>
      </c>
      <c r="AW64" s="61">
        <f>IFERROR(AS64*'⛽ المبيعات الشهرية'!AP63/100,"")</f>
        <v>0</v>
      </c>
      <c r="AX64" s="67">
        <f>IFERROR(AS64*'⛽ المبيعات الشهرية'!AQ63/100,"")</f>
        <v>0</v>
      </c>
      <c r="AY64" s="61">
        <f>IFERROR(AS64*'⛽ المبيعات الشهرية'!AR63/100,"")</f>
        <v>0</v>
      </c>
      <c r="AZ64" s="67">
        <f>IFERROR(AS64*'⛽ المبيعات الشهرية'!AS63/100,"")</f>
        <v>0</v>
      </c>
      <c r="BA64" s="61">
        <f>IFERROR(AS64*'⛽ المبيعات الشهرية'!AT63/100,"")</f>
        <v>0</v>
      </c>
      <c r="BB64" s="67">
        <f>IFERROR(AS64*'⛽ المبيعات الشهرية'!AU63/100,"")</f>
        <v>0</v>
      </c>
      <c r="BC64" s="61">
        <f>IFERROR(AS64*'⛽ المبيعات الشهرية'!AV63/100,"")</f>
        <v>0</v>
      </c>
      <c r="BD64" s="67">
        <f>IFERROR(AS64*'⛽ المبيعات الشهرية'!AW63/100,"")</f>
        <v>0</v>
      </c>
      <c r="BE64" s="61">
        <f>IFERROR(AS64*'⛽ المبيعات الشهرية'!AX63/100,"")</f>
        <v>0</v>
      </c>
      <c r="BF64" s="42">
        <f t="shared" si="8"/>
        <v>0</v>
      </c>
      <c r="BG64" s="68">
        <f t="shared" si="9"/>
        <v>0</v>
      </c>
    </row>
    <row r="65" spans="1:59" ht="21.75" customHeight="1" x14ac:dyDescent="0.35">
      <c r="A65" s="58" t="s">
        <v>218</v>
      </c>
      <c r="B65" s="36">
        <f>'📋 بيانات المحطات'!B64</f>
        <v>0</v>
      </c>
      <c r="C65" s="59">
        <f>'📋 بيانات المحطات'!H64</f>
        <v>0</v>
      </c>
      <c r="D65" s="60">
        <f>IFERROR(C65*'⛽ المبيعات الشهرية'!C64/100,"")</f>
        <v>0</v>
      </c>
      <c r="E65" s="61">
        <f>IFERROR(C65*'⛽ المبيعات الشهرية'!D64/100,"")</f>
        <v>0</v>
      </c>
      <c r="F65" s="60">
        <f>IFERROR(C65*'⛽ المبيعات الشهرية'!E64/100,"")</f>
        <v>0</v>
      </c>
      <c r="G65" s="61">
        <f>IFERROR(C65*'⛽ المبيعات الشهرية'!F64/100,"")</f>
        <v>0</v>
      </c>
      <c r="H65" s="60">
        <f>IFERROR(C65*'⛽ المبيعات الشهرية'!G64/100,"")</f>
        <v>0</v>
      </c>
      <c r="I65" s="61">
        <f>IFERROR(C65*'⛽ المبيعات الشهرية'!H64/100,"")</f>
        <v>0</v>
      </c>
      <c r="J65" s="60">
        <f>IFERROR(C65*'⛽ المبيعات الشهرية'!I64/100,"")</f>
        <v>0</v>
      </c>
      <c r="K65" s="61">
        <f>IFERROR(C65*'⛽ المبيعات الشهرية'!J64/100,"")</f>
        <v>0</v>
      </c>
      <c r="L65" s="60">
        <f>IFERROR(C65*'⛽ المبيعات الشهرية'!K64/100,"")</f>
        <v>0</v>
      </c>
      <c r="M65" s="61">
        <f>IFERROR(C65*'⛽ المبيعات الشهرية'!L64/100,"")</f>
        <v>0</v>
      </c>
      <c r="N65" s="60">
        <f>IFERROR(C65*'⛽ المبيعات الشهرية'!M64/100,"")</f>
        <v>0</v>
      </c>
      <c r="O65" s="61">
        <f>IFERROR(C65*'⛽ المبيعات الشهرية'!N64/100,"")</f>
        <v>0</v>
      </c>
      <c r="P65" s="42">
        <f t="shared" si="5"/>
        <v>0</v>
      </c>
      <c r="Q65" s="62">
        <f>'📋 بيانات المحطات'!I64</f>
        <v>0</v>
      </c>
      <c r="R65" s="63">
        <f>IFERROR(Q65*'⛽ المبيعات الشهرية'!O64/100,"")</f>
        <v>0</v>
      </c>
      <c r="S65" s="61">
        <f>IFERROR(Q65*'⛽ المبيعات الشهرية'!P64/100,"")</f>
        <v>0</v>
      </c>
      <c r="T65" s="63">
        <f>IFERROR(Q65*'⛽ المبيعات الشهرية'!Q64/100,"")</f>
        <v>0</v>
      </c>
      <c r="U65" s="61">
        <f>IFERROR(Q65*'⛽ المبيعات الشهرية'!R64/100,"")</f>
        <v>0</v>
      </c>
      <c r="V65" s="63">
        <f>IFERROR(Q65*'⛽ المبيعات الشهرية'!S64/100,"")</f>
        <v>0</v>
      </c>
      <c r="W65" s="61">
        <f>IFERROR(Q65*'⛽ المبيعات الشهرية'!T64/100,"")</f>
        <v>0</v>
      </c>
      <c r="X65" s="63">
        <f>IFERROR(Q65*'⛽ المبيعات الشهرية'!U64/100,"")</f>
        <v>0</v>
      </c>
      <c r="Y65" s="61">
        <f>IFERROR(Q65*'⛽ المبيعات الشهرية'!V64/100,"")</f>
        <v>0</v>
      </c>
      <c r="Z65" s="63">
        <f>IFERROR(Q65*'⛽ المبيعات الشهرية'!W64/100,"")</f>
        <v>0</v>
      </c>
      <c r="AA65" s="61">
        <f>IFERROR(Q65*'⛽ المبيعات الشهرية'!X64/100,"")</f>
        <v>0</v>
      </c>
      <c r="AB65" s="63">
        <f>IFERROR(Q65*'⛽ المبيعات الشهرية'!Y64/100,"")</f>
        <v>0</v>
      </c>
      <c r="AC65" s="61">
        <f>IFERROR(Q65*'⛽ المبيعات الشهرية'!Z64/100,"")</f>
        <v>0</v>
      </c>
      <c r="AD65" s="42">
        <f t="shared" si="6"/>
        <v>0</v>
      </c>
      <c r="AE65" s="64">
        <f>'📋 بيانات المحطات'!J64</f>
        <v>0</v>
      </c>
      <c r="AF65" s="65">
        <f>IFERROR(AE65*'⛽ المبيعات الشهرية'!AA64/100,"")</f>
        <v>0</v>
      </c>
      <c r="AG65" s="61">
        <f>IFERROR(AE65*'⛽ المبيعات الشهرية'!AB64/100,"")</f>
        <v>0</v>
      </c>
      <c r="AH65" s="65">
        <f>IFERROR(AE65*'⛽ المبيعات الشهرية'!AC64/100,"")</f>
        <v>0</v>
      </c>
      <c r="AI65" s="61">
        <f>IFERROR(AE65*'⛽ المبيعات الشهرية'!AD64/100,"")</f>
        <v>0</v>
      </c>
      <c r="AJ65" s="65">
        <f>IFERROR(AE65*'⛽ المبيعات الشهرية'!AE64/100,"")</f>
        <v>0</v>
      </c>
      <c r="AK65" s="61">
        <f>IFERROR(AE65*'⛽ المبيعات الشهرية'!AF64/100,"")</f>
        <v>0</v>
      </c>
      <c r="AL65" s="65">
        <f>IFERROR(AE65*'⛽ المبيعات الشهرية'!AG64/100,"")</f>
        <v>0</v>
      </c>
      <c r="AM65" s="61">
        <f>IFERROR(AE65*'⛽ المبيعات الشهرية'!AH64/100,"")</f>
        <v>0</v>
      </c>
      <c r="AN65" s="65">
        <f>IFERROR(AE65*'⛽ المبيعات الشهرية'!AI64/100,"")</f>
        <v>0</v>
      </c>
      <c r="AO65" s="61">
        <f>IFERROR(AE65*'⛽ المبيعات الشهرية'!AJ64/100,"")</f>
        <v>0</v>
      </c>
      <c r="AP65" s="65">
        <f>IFERROR(AE65*'⛽ المبيعات الشهرية'!AK64/100,"")</f>
        <v>0</v>
      </c>
      <c r="AQ65" s="61">
        <f>IFERROR(AE65*'⛽ المبيعات الشهرية'!AL64/100,"")</f>
        <v>0</v>
      </c>
      <c r="AR65" s="42">
        <f t="shared" si="7"/>
        <v>0</v>
      </c>
      <c r="AS65" s="66">
        <f>'📋 بيانات المحطات'!K64</f>
        <v>0</v>
      </c>
      <c r="AT65" s="67">
        <f>IFERROR(AS65*'⛽ المبيعات الشهرية'!AM64/100,"")</f>
        <v>0</v>
      </c>
      <c r="AU65" s="61">
        <f>IFERROR(AS65*'⛽ المبيعات الشهرية'!AN64/100,"")</f>
        <v>0</v>
      </c>
      <c r="AV65" s="67">
        <f>IFERROR(AS65*'⛽ المبيعات الشهرية'!AO64/100,"")</f>
        <v>0</v>
      </c>
      <c r="AW65" s="61">
        <f>IFERROR(AS65*'⛽ المبيعات الشهرية'!AP64/100,"")</f>
        <v>0</v>
      </c>
      <c r="AX65" s="67">
        <f>IFERROR(AS65*'⛽ المبيعات الشهرية'!AQ64/100,"")</f>
        <v>0</v>
      </c>
      <c r="AY65" s="61">
        <f>IFERROR(AS65*'⛽ المبيعات الشهرية'!AR64/100,"")</f>
        <v>0</v>
      </c>
      <c r="AZ65" s="67">
        <f>IFERROR(AS65*'⛽ المبيعات الشهرية'!AS64/100,"")</f>
        <v>0</v>
      </c>
      <c r="BA65" s="61">
        <f>IFERROR(AS65*'⛽ المبيعات الشهرية'!AT64/100,"")</f>
        <v>0</v>
      </c>
      <c r="BB65" s="67">
        <f>IFERROR(AS65*'⛽ المبيعات الشهرية'!AU64/100,"")</f>
        <v>0</v>
      </c>
      <c r="BC65" s="61">
        <f>IFERROR(AS65*'⛽ المبيعات الشهرية'!AV64/100,"")</f>
        <v>0</v>
      </c>
      <c r="BD65" s="67">
        <f>IFERROR(AS65*'⛽ المبيعات الشهرية'!AW64/100,"")</f>
        <v>0</v>
      </c>
      <c r="BE65" s="61">
        <f>IFERROR(AS65*'⛽ المبيعات الشهرية'!AX64/100,"")</f>
        <v>0</v>
      </c>
      <c r="BF65" s="42">
        <f t="shared" si="8"/>
        <v>0</v>
      </c>
      <c r="BG65" s="68">
        <f t="shared" si="9"/>
        <v>0</v>
      </c>
    </row>
    <row r="66" spans="1:59" ht="21.75" customHeight="1" x14ac:dyDescent="0.35">
      <c r="A66" s="69" t="s">
        <v>219</v>
      </c>
      <c r="B66" s="36">
        <f>'📋 بيانات المحطات'!B65</f>
        <v>0</v>
      </c>
      <c r="C66" s="59">
        <f>'📋 بيانات المحطات'!H65</f>
        <v>0</v>
      </c>
      <c r="D66" s="60">
        <f>IFERROR(C66*'⛽ المبيعات الشهرية'!C65/100,"")</f>
        <v>0</v>
      </c>
      <c r="E66" s="61">
        <f>IFERROR(C66*'⛽ المبيعات الشهرية'!D65/100,"")</f>
        <v>0</v>
      </c>
      <c r="F66" s="60">
        <f>IFERROR(C66*'⛽ المبيعات الشهرية'!E65/100,"")</f>
        <v>0</v>
      </c>
      <c r="G66" s="61">
        <f>IFERROR(C66*'⛽ المبيعات الشهرية'!F65/100,"")</f>
        <v>0</v>
      </c>
      <c r="H66" s="60">
        <f>IFERROR(C66*'⛽ المبيعات الشهرية'!G65/100,"")</f>
        <v>0</v>
      </c>
      <c r="I66" s="61">
        <f>IFERROR(C66*'⛽ المبيعات الشهرية'!H65/100,"")</f>
        <v>0</v>
      </c>
      <c r="J66" s="60">
        <f>IFERROR(C66*'⛽ المبيعات الشهرية'!I65/100,"")</f>
        <v>0</v>
      </c>
      <c r="K66" s="61">
        <f>IFERROR(C66*'⛽ المبيعات الشهرية'!J65/100,"")</f>
        <v>0</v>
      </c>
      <c r="L66" s="60">
        <f>IFERROR(C66*'⛽ المبيعات الشهرية'!K65/100,"")</f>
        <v>0</v>
      </c>
      <c r="M66" s="61">
        <f>IFERROR(C66*'⛽ المبيعات الشهرية'!L65/100,"")</f>
        <v>0</v>
      </c>
      <c r="N66" s="60">
        <f>IFERROR(C66*'⛽ المبيعات الشهرية'!M65/100,"")</f>
        <v>0</v>
      </c>
      <c r="O66" s="61">
        <f>IFERROR(C66*'⛽ المبيعات الشهرية'!N65/100,"")</f>
        <v>0</v>
      </c>
      <c r="P66" s="42">
        <f t="shared" si="5"/>
        <v>0</v>
      </c>
      <c r="Q66" s="62">
        <f>'📋 بيانات المحطات'!I65</f>
        <v>0</v>
      </c>
      <c r="R66" s="63">
        <f>IFERROR(Q66*'⛽ المبيعات الشهرية'!O65/100,"")</f>
        <v>0</v>
      </c>
      <c r="S66" s="61">
        <f>IFERROR(Q66*'⛽ المبيعات الشهرية'!P65/100,"")</f>
        <v>0</v>
      </c>
      <c r="T66" s="63">
        <f>IFERROR(Q66*'⛽ المبيعات الشهرية'!Q65/100,"")</f>
        <v>0</v>
      </c>
      <c r="U66" s="61">
        <f>IFERROR(Q66*'⛽ المبيعات الشهرية'!R65/100,"")</f>
        <v>0</v>
      </c>
      <c r="V66" s="63">
        <f>IFERROR(Q66*'⛽ المبيعات الشهرية'!S65/100,"")</f>
        <v>0</v>
      </c>
      <c r="W66" s="61">
        <f>IFERROR(Q66*'⛽ المبيعات الشهرية'!T65/100,"")</f>
        <v>0</v>
      </c>
      <c r="X66" s="63">
        <f>IFERROR(Q66*'⛽ المبيعات الشهرية'!U65/100,"")</f>
        <v>0</v>
      </c>
      <c r="Y66" s="61">
        <f>IFERROR(Q66*'⛽ المبيعات الشهرية'!V65/100,"")</f>
        <v>0</v>
      </c>
      <c r="Z66" s="63">
        <f>IFERROR(Q66*'⛽ المبيعات الشهرية'!W65/100,"")</f>
        <v>0</v>
      </c>
      <c r="AA66" s="61">
        <f>IFERROR(Q66*'⛽ المبيعات الشهرية'!X65/100,"")</f>
        <v>0</v>
      </c>
      <c r="AB66" s="63">
        <f>IFERROR(Q66*'⛽ المبيعات الشهرية'!Y65/100,"")</f>
        <v>0</v>
      </c>
      <c r="AC66" s="61">
        <f>IFERROR(Q66*'⛽ المبيعات الشهرية'!Z65/100,"")</f>
        <v>0</v>
      </c>
      <c r="AD66" s="42">
        <f t="shared" si="6"/>
        <v>0</v>
      </c>
      <c r="AE66" s="64">
        <f>'📋 بيانات المحطات'!J65</f>
        <v>0</v>
      </c>
      <c r="AF66" s="65">
        <f>IFERROR(AE66*'⛽ المبيعات الشهرية'!AA65/100,"")</f>
        <v>0</v>
      </c>
      <c r="AG66" s="61">
        <f>IFERROR(AE66*'⛽ المبيعات الشهرية'!AB65/100,"")</f>
        <v>0</v>
      </c>
      <c r="AH66" s="65">
        <f>IFERROR(AE66*'⛽ المبيعات الشهرية'!AC65/100,"")</f>
        <v>0</v>
      </c>
      <c r="AI66" s="61">
        <f>IFERROR(AE66*'⛽ المبيعات الشهرية'!AD65/100,"")</f>
        <v>0</v>
      </c>
      <c r="AJ66" s="65">
        <f>IFERROR(AE66*'⛽ المبيعات الشهرية'!AE65/100,"")</f>
        <v>0</v>
      </c>
      <c r="AK66" s="61">
        <f>IFERROR(AE66*'⛽ المبيعات الشهرية'!AF65/100,"")</f>
        <v>0</v>
      </c>
      <c r="AL66" s="65">
        <f>IFERROR(AE66*'⛽ المبيعات الشهرية'!AG65/100,"")</f>
        <v>0</v>
      </c>
      <c r="AM66" s="61">
        <f>IFERROR(AE66*'⛽ المبيعات الشهرية'!AH65/100,"")</f>
        <v>0</v>
      </c>
      <c r="AN66" s="65">
        <f>IFERROR(AE66*'⛽ المبيعات الشهرية'!AI65/100,"")</f>
        <v>0</v>
      </c>
      <c r="AO66" s="61">
        <f>IFERROR(AE66*'⛽ المبيعات الشهرية'!AJ65/100,"")</f>
        <v>0</v>
      </c>
      <c r="AP66" s="65">
        <f>IFERROR(AE66*'⛽ المبيعات الشهرية'!AK65/100,"")</f>
        <v>0</v>
      </c>
      <c r="AQ66" s="61">
        <f>IFERROR(AE66*'⛽ المبيعات الشهرية'!AL65/100,"")</f>
        <v>0</v>
      </c>
      <c r="AR66" s="42">
        <f t="shared" si="7"/>
        <v>0</v>
      </c>
      <c r="AS66" s="66">
        <f>'📋 بيانات المحطات'!K65</f>
        <v>0</v>
      </c>
      <c r="AT66" s="67">
        <f>IFERROR(AS66*'⛽ المبيعات الشهرية'!AM65/100,"")</f>
        <v>0</v>
      </c>
      <c r="AU66" s="61">
        <f>IFERROR(AS66*'⛽ المبيعات الشهرية'!AN65/100,"")</f>
        <v>0</v>
      </c>
      <c r="AV66" s="67">
        <f>IFERROR(AS66*'⛽ المبيعات الشهرية'!AO65/100,"")</f>
        <v>0</v>
      </c>
      <c r="AW66" s="61">
        <f>IFERROR(AS66*'⛽ المبيعات الشهرية'!AP65/100,"")</f>
        <v>0</v>
      </c>
      <c r="AX66" s="67">
        <f>IFERROR(AS66*'⛽ المبيعات الشهرية'!AQ65/100,"")</f>
        <v>0</v>
      </c>
      <c r="AY66" s="61">
        <f>IFERROR(AS66*'⛽ المبيعات الشهرية'!AR65/100,"")</f>
        <v>0</v>
      </c>
      <c r="AZ66" s="67">
        <f>IFERROR(AS66*'⛽ المبيعات الشهرية'!AS65/100,"")</f>
        <v>0</v>
      </c>
      <c r="BA66" s="61">
        <f>IFERROR(AS66*'⛽ المبيعات الشهرية'!AT65/100,"")</f>
        <v>0</v>
      </c>
      <c r="BB66" s="67">
        <f>IFERROR(AS66*'⛽ المبيعات الشهرية'!AU65/100,"")</f>
        <v>0</v>
      </c>
      <c r="BC66" s="61">
        <f>IFERROR(AS66*'⛽ المبيعات الشهرية'!AV65/100,"")</f>
        <v>0</v>
      </c>
      <c r="BD66" s="67">
        <f>IFERROR(AS66*'⛽ المبيعات الشهرية'!AW65/100,"")</f>
        <v>0</v>
      </c>
      <c r="BE66" s="61">
        <f>IFERROR(AS66*'⛽ المبيعات الشهرية'!AX65/100,"")</f>
        <v>0</v>
      </c>
      <c r="BF66" s="42">
        <f t="shared" si="8"/>
        <v>0</v>
      </c>
      <c r="BG66" s="68">
        <f t="shared" si="9"/>
        <v>0</v>
      </c>
    </row>
    <row r="67" spans="1:59" ht="21.75" customHeight="1" x14ac:dyDescent="0.35">
      <c r="A67" s="58" t="s">
        <v>220</v>
      </c>
      <c r="B67" s="36">
        <f>'📋 بيانات المحطات'!B66</f>
        <v>0</v>
      </c>
      <c r="C67" s="59">
        <f>'📋 بيانات المحطات'!H66</f>
        <v>0</v>
      </c>
      <c r="D67" s="60">
        <f>IFERROR(C67*'⛽ المبيعات الشهرية'!C66/100,"")</f>
        <v>0</v>
      </c>
      <c r="E67" s="61">
        <f>IFERROR(C67*'⛽ المبيعات الشهرية'!D66/100,"")</f>
        <v>0</v>
      </c>
      <c r="F67" s="60">
        <f>IFERROR(C67*'⛽ المبيعات الشهرية'!E66/100,"")</f>
        <v>0</v>
      </c>
      <c r="G67" s="61">
        <f>IFERROR(C67*'⛽ المبيعات الشهرية'!F66/100,"")</f>
        <v>0</v>
      </c>
      <c r="H67" s="60">
        <f>IFERROR(C67*'⛽ المبيعات الشهرية'!G66/100,"")</f>
        <v>0</v>
      </c>
      <c r="I67" s="61">
        <f>IFERROR(C67*'⛽ المبيعات الشهرية'!H66/100,"")</f>
        <v>0</v>
      </c>
      <c r="J67" s="60">
        <f>IFERROR(C67*'⛽ المبيعات الشهرية'!I66/100,"")</f>
        <v>0</v>
      </c>
      <c r="K67" s="61">
        <f>IFERROR(C67*'⛽ المبيعات الشهرية'!J66/100,"")</f>
        <v>0</v>
      </c>
      <c r="L67" s="60">
        <f>IFERROR(C67*'⛽ المبيعات الشهرية'!K66/100,"")</f>
        <v>0</v>
      </c>
      <c r="M67" s="61">
        <f>IFERROR(C67*'⛽ المبيعات الشهرية'!L66/100,"")</f>
        <v>0</v>
      </c>
      <c r="N67" s="60">
        <f>IFERROR(C67*'⛽ المبيعات الشهرية'!M66/100,"")</f>
        <v>0</v>
      </c>
      <c r="O67" s="61">
        <f>IFERROR(C67*'⛽ المبيعات الشهرية'!N66/100,"")</f>
        <v>0</v>
      </c>
      <c r="P67" s="42">
        <f t="shared" si="5"/>
        <v>0</v>
      </c>
      <c r="Q67" s="62">
        <f>'📋 بيانات المحطات'!I66</f>
        <v>0</v>
      </c>
      <c r="R67" s="63">
        <f>IFERROR(Q67*'⛽ المبيعات الشهرية'!O66/100,"")</f>
        <v>0</v>
      </c>
      <c r="S67" s="61">
        <f>IFERROR(Q67*'⛽ المبيعات الشهرية'!P66/100,"")</f>
        <v>0</v>
      </c>
      <c r="T67" s="63">
        <f>IFERROR(Q67*'⛽ المبيعات الشهرية'!Q66/100,"")</f>
        <v>0</v>
      </c>
      <c r="U67" s="61">
        <f>IFERROR(Q67*'⛽ المبيعات الشهرية'!R66/100,"")</f>
        <v>0</v>
      </c>
      <c r="V67" s="63">
        <f>IFERROR(Q67*'⛽ المبيعات الشهرية'!S66/100,"")</f>
        <v>0</v>
      </c>
      <c r="W67" s="61">
        <f>IFERROR(Q67*'⛽ المبيعات الشهرية'!T66/100,"")</f>
        <v>0</v>
      </c>
      <c r="X67" s="63">
        <f>IFERROR(Q67*'⛽ المبيعات الشهرية'!U66/100,"")</f>
        <v>0</v>
      </c>
      <c r="Y67" s="61">
        <f>IFERROR(Q67*'⛽ المبيعات الشهرية'!V66/100,"")</f>
        <v>0</v>
      </c>
      <c r="Z67" s="63">
        <f>IFERROR(Q67*'⛽ المبيعات الشهرية'!W66/100,"")</f>
        <v>0</v>
      </c>
      <c r="AA67" s="61">
        <f>IFERROR(Q67*'⛽ المبيعات الشهرية'!X66/100,"")</f>
        <v>0</v>
      </c>
      <c r="AB67" s="63">
        <f>IFERROR(Q67*'⛽ المبيعات الشهرية'!Y66/100,"")</f>
        <v>0</v>
      </c>
      <c r="AC67" s="61">
        <f>IFERROR(Q67*'⛽ المبيعات الشهرية'!Z66/100,"")</f>
        <v>0</v>
      </c>
      <c r="AD67" s="42">
        <f t="shared" si="6"/>
        <v>0</v>
      </c>
      <c r="AE67" s="64">
        <f>'📋 بيانات المحطات'!J66</f>
        <v>0</v>
      </c>
      <c r="AF67" s="65">
        <f>IFERROR(AE67*'⛽ المبيعات الشهرية'!AA66/100,"")</f>
        <v>0</v>
      </c>
      <c r="AG67" s="61">
        <f>IFERROR(AE67*'⛽ المبيعات الشهرية'!AB66/100,"")</f>
        <v>0</v>
      </c>
      <c r="AH67" s="65">
        <f>IFERROR(AE67*'⛽ المبيعات الشهرية'!AC66/100,"")</f>
        <v>0</v>
      </c>
      <c r="AI67" s="61">
        <f>IFERROR(AE67*'⛽ المبيعات الشهرية'!AD66/100,"")</f>
        <v>0</v>
      </c>
      <c r="AJ67" s="65">
        <f>IFERROR(AE67*'⛽ المبيعات الشهرية'!AE66/100,"")</f>
        <v>0</v>
      </c>
      <c r="AK67" s="61">
        <f>IFERROR(AE67*'⛽ المبيعات الشهرية'!AF66/100,"")</f>
        <v>0</v>
      </c>
      <c r="AL67" s="65">
        <f>IFERROR(AE67*'⛽ المبيعات الشهرية'!AG66/100,"")</f>
        <v>0</v>
      </c>
      <c r="AM67" s="61">
        <f>IFERROR(AE67*'⛽ المبيعات الشهرية'!AH66/100,"")</f>
        <v>0</v>
      </c>
      <c r="AN67" s="65">
        <f>IFERROR(AE67*'⛽ المبيعات الشهرية'!AI66/100,"")</f>
        <v>0</v>
      </c>
      <c r="AO67" s="61">
        <f>IFERROR(AE67*'⛽ المبيعات الشهرية'!AJ66/100,"")</f>
        <v>0</v>
      </c>
      <c r="AP67" s="65">
        <f>IFERROR(AE67*'⛽ المبيعات الشهرية'!AK66/100,"")</f>
        <v>0</v>
      </c>
      <c r="AQ67" s="61">
        <f>IFERROR(AE67*'⛽ المبيعات الشهرية'!AL66/100,"")</f>
        <v>0</v>
      </c>
      <c r="AR67" s="42">
        <f t="shared" si="7"/>
        <v>0</v>
      </c>
      <c r="AS67" s="66">
        <f>'📋 بيانات المحطات'!K66</f>
        <v>0</v>
      </c>
      <c r="AT67" s="67">
        <f>IFERROR(AS67*'⛽ المبيعات الشهرية'!AM66/100,"")</f>
        <v>0</v>
      </c>
      <c r="AU67" s="61">
        <f>IFERROR(AS67*'⛽ المبيعات الشهرية'!AN66/100,"")</f>
        <v>0</v>
      </c>
      <c r="AV67" s="67">
        <f>IFERROR(AS67*'⛽ المبيعات الشهرية'!AO66/100,"")</f>
        <v>0</v>
      </c>
      <c r="AW67" s="61">
        <f>IFERROR(AS67*'⛽ المبيعات الشهرية'!AP66/100,"")</f>
        <v>0</v>
      </c>
      <c r="AX67" s="67">
        <f>IFERROR(AS67*'⛽ المبيعات الشهرية'!AQ66/100,"")</f>
        <v>0</v>
      </c>
      <c r="AY67" s="61">
        <f>IFERROR(AS67*'⛽ المبيعات الشهرية'!AR66/100,"")</f>
        <v>0</v>
      </c>
      <c r="AZ67" s="67">
        <f>IFERROR(AS67*'⛽ المبيعات الشهرية'!AS66/100,"")</f>
        <v>0</v>
      </c>
      <c r="BA67" s="61">
        <f>IFERROR(AS67*'⛽ المبيعات الشهرية'!AT66/100,"")</f>
        <v>0</v>
      </c>
      <c r="BB67" s="67">
        <f>IFERROR(AS67*'⛽ المبيعات الشهرية'!AU66/100,"")</f>
        <v>0</v>
      </c>
      <c r="BC67" s="61">
        <f>IFERROR(AS67*'⛽ المبيعات الشهرية'!AV66/100,"")</f>
        <v>0</v>
      </c>
      <c r="BD67" s="67">
        <f>IFERROR(AS67*'⛽ المبيعات الشهرية'!AW66/100,"")</f>
        <v>0</v>
      </c>
      <c r="BE67" s="61">
        <f>IFERROR(AS67*'⛽ المبيعات الشهرية'!AX66/100,"")</f>
        <v>0</v>
      </c>
      <c r="BF67" s="42">
        <f t="shared" si="8"/>
        <v>0</v>
      </c>
      <c r="BG67" s="68">
        <f t="shared" si="9"/>
        <v>0</v>
      </c>
    </row>
    <row r="68" spans="1:59" ht="21.75" customHeight="1" x14ac:dyDescent="0.35">
      <c r="A68" s="69" t="s">
        <v>221</v>
      </c>
      <c r="B68" s="36">
        <f>'📋 بيانات المحطات'!B67</f>
        <v>0</v>
      </c>
      <c r="C68" s="59">
        <f>'📋 بيانات المحطات'!H67</f>
        <v>0</v>
      </c>
      <c r="D68" s="60">
        <f>IFERROR(C68*'⛽ المبيعات الشهرية'!C67/100,"")</f>
        <v>0</v>
      </c>
      <c r="E68" s="61">
        <f>IFERROR(C68*'⛽ المبيعات الشهرية'!D67/100,"")</f>
        <v>0</v>
      </c>
      <c r="F68" s="60">
        <f>IFERROR(C68*'⛽ المبيعات الشهرية'!E67/100,"")</f>
        <v>0</v>
      </c>
      <c r="G68" s="61">
        <f>IFERROR(C68*'⛽ المبيعات الشهرية'!F67/100,"")</f>
        <v>0</v>
      </c>
      <c r="H68" s="60">
        <f>IFERROR(C68*'⛽ المبيعات الشهرية'!G67/100,"")</f>
        <v>0</v>
      </c>
      <c r="I68" s="61">
        <f>IFERROR(C68*'⛽ المبيعات الشهرية'!H67/100,"")</f>
        <v>0</v>
      </c>
      <c r="J68" s="60">
        <f>IFERROR(C68*'⛽ المبيعات الشهرية'!I67/100,"")</f>
        <v>0</v>
      </c>
      <c r="K68" s="61">
        <f>IFERROR(C68*'⛽ المبيعات الشهرية'!J67/100,"")</f>
        <v>0</v>
      </c>
      <c r="L68" s="60">
        <f>IFERROR(C68*'⛽ المبيعات الشهرية'!K67/100,"")</f>
        <v>0</v>
      </c>
      <c r="M68" s="61">
        <f>IFERROR(C68*'⛽ المبيعات الشهرية'!L67/100,"")</f>
        <v>0</v>
      </c>
      <c r="N68" s="60">
        <f>IFERROR(C68*'⛽ المبيعات الشهرية'!M67/100,"")</f>
        <v>0</v>
      </c>
      <c r="O68" s="61">
        <f>IFERROR(C68*'⛽ المبيعات الشهرية'!N67/100,"")</f>
        <v>0</v>
      </c>
      <c r="P68" s="42">
        <f t="shared" si="5"/>
        <v>0</v>
      </c>
      <c r="Q68" s="62">
        <f>'📋 بيانات المحطات'!I67</f>
        <v>0</v>
      </c>
      <c r="R68" s="63">
        <f>IFERROR(Q68*'⛽ المبيعات الشهرية'!O67/100,"")</f>
        <v>0</v>
      </c>
      <c r="S68" s="61">
        <f>IFERROR(Q68*'⛽ المبيعات الشهرية'!P67/100,"")</f>
        <v>0</v>
      </c>
      <c r="T68" s="63">
        <f>IFERROR(Q68*'⛽ المبيعات الشهرية'!Q67/100,"")</f>
        <v>0</v>
      </c>
      <c r="U68" s="61">
        <f>IFERROR(Q68*'⛽ المبيعات الشهرية'!R67/100,"")</f>
        <v>0</v>
      </c>
      <c r="V68" s="63">
        <f>IFERROR(Q68*'⛽ المبيعات الشهرية'!S67/100,"")</f>
        <v>0</v>
      </c>
      <c r="W68" s="61">
        <f>IFERROR(Q68*'⛽ المبيعات الشهرية'!T67/100,"")</f>
        <v>0</v>
      </c>
      <c r="X68" s="63">
        <f>IFERROR(Q68*'⛽ المبيعات الشهرية'!U67/100,"")</f>
        <v>0</v>
      </c>
      <c r="Y68" s="61">
        <f>IFERROR(Q68*'⛽ المبيعات الشهرية'!V67/100,"")</f>
        <v>0</v>
      </c>
      <c r="Z68" s="63">
        <f>IFERROR(Q68*'⛽ المبيعات الشهرية'!W67/100,"")</f>
        <v>0</v>
      </c>
      <c r="AA68" s="61">
        <f>IFERROR(Q68*'⛽ المبيعات الشهرية'!X67/100,"")</f>
        <v>0</v>
      </c>
      <c r="AB68" s="63">
        <f>IFERROR(Q68*'⛽ المبيعات الشهرية'!Y67/100,"")</f>
        <v>0</v>
      </c>
      <c r="AC68" s="61">
        <f>IFERROR(Q68*'⛽ المبيعات الشهرية'!Z67/100,"")</f>
        <v>0</v>
      </c>
      <c r="AD68" s="42">
        <f t="shared" si="6"/>
        <v>0</v>
      </c>
      <c r="AE68" s="64">
        <f>'📋 بيانات المحطات'!J67</f>
        <v>0</v>
      </c>
      <c r="AF68" s="65">
        <f>IFERROR(AE68*'⛽ المبيعات الشهرية'!AA67/100,"")</f>
        <v>0</v>
      </c>
      <c r="AG68" s="61">
        <f>IFERROR(AE68*'⛽ المبيعات الشهرية'!AB67/100,"")</f>
        <v>0</v>
      </c>
      <c r="AH68" s="65">
        <f>IFERROR(AE68*'⛽ المبيعات الشهرية'!AC67/100,"")</f>
        <v>0</v>
      </c>
      <c r="AI68" s="61">
        <f>IFERROR(AE68*'⛽ المبيعات الشهرية'!AD67/100,"")</f>
        <v>0</v>
      </c>
      <c r="AJ68" s="65">
        <f>IFERROR(AE68*'⛽ المبيعات الشهرية'!AE67/100,"")</f>
        <v>0</v>
      </c>
      <c r="AK68" s="61">
        <f>IFERROR(AE68*'⛽ المبيعات الشهرية'!AF67/100,"")</f>
        <v>0</v>
      </c>
      <c r="AL68" s="65">
        <f>IFERROR(AE68*'⛽ المبيعات الشهرية'!AG67/100,"")</f>
        <v>0</v>
      </c>
      <c r="AM68" s="61">
        <f>IFERROR(AE68*'⛽ المبيعات الشهرية'!AH67/100,"")</f>
        <v>0</v>
      </c>
      <c r="AN68" s="65">
        <f>IFERROR(AE68*'⛽ المبيعات الشهرية'!AI67/100,"")</f>
        <v>0</v>
      </c>
      <c r="AO68" s="61">
        <f>IFERROR(AE68*'⛽ المبيعات الشهرية'!AJ67/100,"")</f>
        <v>0</v>
      </c>
      <c r="AP68" s="65">
        <f>IFERROR(AE68*'⛽ المبيعات الشهرية'!AK67/100,"")</f>
        <v>0</v>
      </c>
      <c r="AQ68" s="61">
        <f>IFERROR(AE68*'⛽ المبيعات الشهرية'!AL67/100,"")</f>
        <v>0</v>
      </c>
      <c r="AR68" s="42">
        <f t="shared" si="7"/>
        <v>0</v>
      </c>
      <c r="AS68" s="66">
        <f>'📋 بيانات المحطات'!K67</f>
        <v>0</v>
      </c>
      <c r="AT68" s="67">
        <f>IFERROR(AS68*'⛽ المبيعات الشهرية'!AM67/100,"")</f>
        <v>0</v>
      </c>
      <c r="AU68" s="61">
        <f>IFERROR(AS68*'⛽ المبيعات الشهرية'!AN67/100,"")</f>
        <v>0</v>
      </c>
      <c r="AV68" s="67">
        <f>IFERROR(AS68*'⛽ المبيعات الشهرية'!AO67/100,"")</f>
        <v>0</v>
      </c>
      <c r="AW68" s="61">
        <f>IFERROR(AS68*'⛽ المبيعات الشهرية'!AP67/100,"")</f>
        <v>0</v>
      </c>
      <c r="AX68" s="67">
        <f>IFERROR(AS68*'⛽ المبيعات الشهرية'!AQ67/100,"")</f>
        <v>0</v>
      </c>
      <c r="AY68" s="61">
        <f>IFERROR(AS68*'⛽ المبيعات الشهرية'!AR67/100,"")</f>
        <v>0</v>
      </c>
      <c r="AZ68" s="67">
        <f>IFERROR(AS68*'⛽ المبيعات الشهرية'!AS67/100,"")</f>
        <v>0</v>
      </c>
      <c r="BA68" s="61">
        <f>IFERROR(AS68*'⛽ المبيعات الشهرية'!AT67/100,"")</f>
        <v>0</v>
      </c>
      <c r="BB68" s="67">
        <f>IFERROR(AS68*'⛽ المبيعات الشهرية'!AU67/100,"")</f>
        <v>0</v>
      </c>
      <c r="BC68" s="61">
        <f>IFERROR(AS68*'⛽ المبيعات الشهرية'!AV67/100,"")</f>
        <v>0</v>
      </c>
      <c r="BD68" s="67">
        <f>IFERROR(AS68*'⛽ المبيعات الشهرية'!AW67/100,"")</f>
        <v>0</v>
      </c>
      <c r="BE68" s="61">
        <f>IFERROR(AS68*'⛽ المبيعات الشهرية'!AX67/100,"")</f>
        <v>0</v>
      </c>
      <c r="BF68" s="42">
        <f t="shared" si="8"/>
        <v>0</v>
      </c>
      <c r="BG68" s="68">
        <f t="shared" si="9"/>
        <v>0</v>
      </c>
    </row>
    <row r="69" spans="1:59" ht="21.75" customHeight="1" x14ac:dyDescent="0.35">
      <c r="A69" s="58" t="s">
        <v>222</v>
      </c>
      <c r="B69" s="36">
        <f>'📋 بيانات المحطات'!B68</f>
        <v>0</v>
      </c>
      <c r="C69" s="59">
        <f>'📋 بيانات المحطات'!H68</f>
        <v>0</v>
      </c>
      <c r="D69" s="60">
        <f>IFERROR(C69*'⛽ المبيعات الشهرية'!C68/100,"")</f>
        <v>0</v>
      </c>
      <c r="E69" s="61">
        <f>IFERROR(C69*'⛽ المبيعات الشهرية'!D68/100,"")</f>
        <v>0</v>
      </c>
      <c r="F69" s="60">
        <f>IFERROR(C69*'⛽ المبيعات الشهرية'!E68/100,"")</f>
        <v>0</v>
      </c>
      <c r="G69" s="61">
        <f>IFERROR(C69*'⛽ المبيعات الشهرية'!F68/100,"")</f>
        <v>0</v>
      </c>
      <c r="H69" s="60">
        <f>IFERROR(C69*'⛽ المبيعات الشهرية'!G68/100,"")</f>
        <v>0</v>
      </c>
      <c r="I69" s="61">
        <f>IFERROR(C69*'⛽ المبيعات الشهرية'!H68/100,"")</f>
        <v>0</v>
      </c>
      <c r="J69" s="60">
        <f>IFERROR(C69*'⛽ المبيعات الشهرية'!I68/100,"")</f>
        <v>0</v>
      </c>
      <c r="K69" s="61">
        <f>IFERROR(C69*'⛽ المبيعات الشهرية'!J68/100,"")</f>
        <v>0</v>
      </c>
      <c r="L69" s="60">
        <f>IFERROR(C69*'⛽ المبيعات الشهرية'!K68/100,"")</f>
        <v>0</v>
      </c>
      <c r="M69" s="61">
        <f>IFERROR(C69*'⛽ المبيعات الشهرية'!L68/100,"")</f>
        <v>0</v>
      </c>
      <c r="N69" s="60">
        <f>IFERROR(C69*'⛽ المبيعات الشهرية'!M68/100,"")</f>
        <v>0</v>
      </c>
      <c r="O69" s="61">
        <f>IFERROR(C69*'⛽ المبيعات الشهرية'!N68/100,"")</f>
        <v>0</v>
      </c>
      <c r="P69" s="42">
        <f t="shared" si="5"/>
        <v>0</v>
      </c>
      <c r="Q69" s="62">
        <f>'📋 بيانات المحطات'!I68</f>
        <v>0</v>
      </c>
      <c r="R69" s="63">
        <f>IFERROR(Q69*'⛽ المبيعات الشهرية'!O68/100,"")</f>
        <v>0</v>
      </c>
      <c r="S69" s="61">
        <f>IFERROR(Q69*'⛽ المبيعات الشهرية'!P68/100,"")</f>
        <v>0</v>
      </c>
      <c r="T69" s="63">
        <f>IFERROR(Q69*'⛽ المبيعات الشهرية'!Q68/100,"")</f>
        <v>0</v>
      </c>
      <c r="U69" s="61">
        <f>IFERROR(Q69*'⛽ المبيعات الشهرية'!R68/100,"")</f>
        <v>0</v>
      </c>
      <c r="V69" s="63">
        <f>IFERROR(Q69*'⛽ المبيعات الشهرية'!S68/100,"")</f>
        <v>0</v>
      </c>
      <c r="W69" s="61">
        <f>IFERROR(Q69*'⛽ المبيعات الشهرية'!T68/100,"")</f>
        <v>0</v>
      </c>
      <c r="X69" s="63">
        <f>IFERROR(Q69*'⛽ المبيعات الشهرية'!U68/100,"")</f>
        <v>0</v>
      </c>
      <c r="Y69" s="61">
        <f>IFERROR(Q69*'⛽ المبيعات الشهرية'!V68/100,"")</f>
        <v>0</v>
      </c>
      <c r="Z69" s="63">
        <f>IFERROR(Q69*'⛽ المبيعات الشهرية'!W68/100,"")</f>
        <v>0</v>
      </c>
      <c r="AA69" s="61">
        <f>IFERROR(Q69*'⛽ المبيعات الشهرية'!X68/100,"")</f>
        <v>0</v>
      </c>
      <c r="AB69" s="63">
        <f>IFERROR(Q69*'⛽ المبيعات الشهرية'!Y68/100,"")</f>
        <v>0</v>
      </c>
      <c r="AC69" s="61">
        <f>IFERROR(Q69*'⛽ المبيعات الشهرية'!Z68/100,"")</f>
        <v>0</v>
      </c>
      <c r="AD69" s="42">
        <f t="shared" si="6"/>
        <v>0</v>
      </c>
      <c r="AE69" s="64">
        <f>'📋 بيانات المحطات'!J68</f>
        <v>0</v>
      </c>
      <c r="AF69" s="65">
        <f>IFERROR(AE69*'⛽ المبيعات الشهرية'!AA68/100,"")</f>
        <v>0</v>
      </c>
      <c r="AG69" s="61">
        <f>IFERROR(AE69*'⛽ المبيعات الشهرية'!AB68/100,"")</f>
        <v>0</v>
      </c>
      <c r="AH69" s="65">
        <f>IFERROR(AE69*'⛽ المبيعات الشهرية'!AC68/100,"")</f>
        <v>0</v>
      </c>
      <c r="AI69" s="61">
        <f>IFERROR(AE69*'⛽ المبيعات الشهرية'!AD68/100,"")</f>
        <v>0</v>
      </c>
      <c r="AJ69" s="65">
        <f>IFERROR(AE69*'⛽ المبيعات الشهرية'!AE68/100,"")</f>
        <v>0</v>
      </c>
      <c r="AK69" s="61">
        <f>IFERROR(AE69*'⛽ المبيعات الشهرية'!AF68/100,"")</f>
        <v>0</v>
      </c>
      <c r="AL69" s="65">
        <f>IFERROR(AE69*'⛽ المبيعات الشهرية'!AG68/100,"")</f>
        <v>0</v>
      </c>
      <c r="AM69" s="61">
        <f>IFERROR(AE69*'⛽ المبيعات الشهرية'!AH68/100,"")</f>
        <v>0</v>
      </c>
      <c r="AN69" s="65">
        <f>IFERROR(AE69*'⛽ المبيعات الشهرية'!AI68/100,"")</f>
        <v>0</v>
      </c>
      <c r="AO69" s="61">
        <f>IFERROR(AE69*'⛽ المبيعات الشهرية'!AJ68/100,"")</f>
        <v>0</v>
      </c>
      <c r="AP69" s="65">
        <f>IFERROR(AE69*'⛽ المبيعات الشهرية'!AK68/100,"")</f>
        <v>0</v>
      </c>
      <c r="AQ69" s="61">
        <f>IFERROR(AE69*'⛽ المبيعات الشهرية'!AL68/100,"")</f>
        <v>0</v>
      </c>
      <c r="AR69" s="42">
        <f t="shared" si="7"/>
        <v>0</v>
      </c>
      <c r="AS69" s="66">
        <f>'📋 بيانات المحطات'!K68</f>
        <v>0</v>
      </c>
      <c r="AT69" s="67">
        <f>IFERROR(AS69*'⛽ المبيعات الشهرية'!AM68/100,"")</f>
        <v>0</v>
      </c>
      <c r="AU69" s="61">
        <f>IFERROR(AS69*'⛽ المبيعات الشهرية'!AN68/100,"")</f>
        <v>0</v>
      </c>
      <c r="AV69" s="67">
        <f>IFERROR(AS69*'⛽ المبيعات الشهرية'!AO68/100,"")</f>
        <v>0</v>
      </c>
      <c r="AW69" s="61">
        <f>IFERROR(AS69*'⛽ المبيعات الشهرية'!AP68/100,"")</f>
        <v>0</v>
      </c>
      <c r="AX69" s="67">
        <f>IFERROR(AS69*'⛽ المبيعات الشهرية'!AQ68/100,"")</f>
        <v>0</v>
      </c>
      <c r="AY69" s="61">
        <f>IFERROR(AS69*'⛽ المبيعات الشهرية'!AR68/100,"")</f>
        <v>0</v>
      </c>
      <c r="AZ69" s="67">
        <f>IFERROR(AS69*'⛽ المبيعات الشهرية'!AS68/100,"")</f>
        <v>0</v>
      </c>
      <c r="BA69" s="61">
        <f>IFERROR(AS69*'⛽ المبيعات الشهرية'!AT68/100,"")</f>
        <v>0</v>
      </c>
      <c r="BB69" s="67">
        <f>IFERROR(AS69*'⛽ المبيعات الشهرية'!AU68/100,"")</f>
        <v>0</v>
      </c>
      <c r="BC69" s="61">
        <f>IFERROR(AS69*'⛽ المبيعات الشهرية'!AV68/100,"")</f>
        <v>0</v>
      </c>
      <c r="BD69" s="67">
        <f>IFERROR(AS69*'⛽ المبيعات الشهرية'!AW68/100,"")</f>
        <v>0</v>
      </c>
      <c r="BE69" s="61">
        <f>IFERROR(AS69*'⛽ المبيعات الشهرية'!AX68/100,"")</f>
        <v>0</v>
      </c>
      <c r="BF69" s="42">
        <f t="shared" si="8"/>
        <v>0</v>
      </c>
      <c r="BG69" s="68">
        <f t="shared" si="9"/>
        <v>0</v>
      </c>
    </row>
    <row r="70" spans="1:59" ht="21.75" customHeight="1" x14ac:dyDescent="0.35">
      <c r="A70" s="69" t="s">
        <v>223</v>
      </c>
      <c r="B70" s="36">
        <f>'📋 بيانات المحطات'!B69</f>
        <v>0</v>
      </c>
      <c r="C70" s="59">
        <f>'📋 بيانات المحطات'!H69</f>
        <v>0</v>
      </c>
      <c r="D70" s="60">
        <f>IFERROR(C70*'⛽ المبيعات الشهرية'!C69/100,"")</f>
        <v>0</v>
      </c>
      <c r="E70" s="61">
        <f>IFERROR(C70*'⛽ المبيعات الشهرية'!D69/100,"")</f>
        <v>0</v>
      </c>
      <c r="F70" s="60">
        <f>IFERROR(C70*'⛽ المبيعات الشهرية'!E69/100,"")</f>
        <v>0</v>
      </c>
      <c r="G70" s="61">
        <f>IFERROR(C70*'⛽ المبيعات الشهرية'!F69/100,"")</f>
        <v>0</v>
      </c>
      <c r="H70" s="60">
        <f>IFERROR(C70*'⛽ المبيعات الشهرية'!G69/100,"")</f>
        <v>0</v>
      </c>
      <c r="I70" s="61">
        <f>IFERROR(C70*'⛽ المبيعات الشهرية'!H69/100,"")</f>
        <v>0</v>
      </c>
      <c r="J70" s="60">
        <f>IFERROR(C70*'⛽ المبيعات الشهرية'!I69/100,"")</f>
        <v>0</v>
      </c>
      <c r="K70" s="61">
        <f>IFERROR(C70*'⛽ المبيعات الشهرية'!J69/100,"")</f>
        <v>0</v>
      </c>
      <c r="L70" s="60">
        <f>IFERROR(C70*'⛽ المبيعات الشهرية'!K69/100,"")</f>
        <v>0</v>
      </c>
      <c r="M70" s="61">
        <f>IFERROR(C70*'⛽ المبيعات الشهرية'!L69/100,"")</f>
        <v>0</v>
      </c>
      <c r="N70" s="60">
        <f>IFERROR(C70*'⛽ المبيعات الشهرية'!M69/100,"")</f>
        <v>0</v>
      </c>
      <c r="O70" s="61">
        <f>IFERROR(C70*'⛽ المبيعات الشهرية'!N69/100,"")</f>
        <v>0</v>
      </c>
      <c r="P70" s="42">
        <f t="shared" si="5"/>
        <v>0</v>
      </c>
      <c r="Q70" s="62">
        <f>'📋 بيانات المحطات'!I69</f>
        <v>0</v>
      </c>
      <c r="R70" s="63">
        <f>IFERROR(Q70*'⛽ المبيعات الشهرية'!O69/100,"")</f>
        <v>0</v>
      </c>
      <c r="S70" s="61">
        <f>IFERROR(Q70*'⛽ المبيعات الشهرية'!P69/100,"")</f>
        <v>0</v>
      </c>
      <c r="T70" s="63">
        <f>IFERROR(Q70*'⛽ المبيعات الشهرية'!Q69/100,"")</f>
        <v>0</v>
      </c>
      <c r="U70" s="61">
        <f>IFERROR(Q70*'⛽ المبيعات الشهرية'!R69/100,"")</f>
        <v>0</v>
      </c>
      <c r="V70" s="63">
        <f>IFERROR(Q70*'⛽ المبيعات الشهرية'!S69/100,"")</f>
        <v>0</v>
      </c>
      <c r="W70" s="61">
        <f>IFERROR(Q70*'⛽ المبيعات الشهرية'!T69/100,"")</f>
        <v>0</v>
      </c>
      <c r="X70" s="63">
        <f>IFERROR(Q70*'⛽ المبيعات الشهرية'!U69/100,"")</f>
        <v>0</v>
      </c>
      <c r="Y70" s="61">
        <f>IFERROR(Q70*'⛽ المبيعات الشهرية'!V69/100,"")</f>
        <v>0</v>
      </c>
      <c r="Z70" s="63">
        <f>IFERROR(Q70*'⛽ المبيعات الشهرية'!W69/100,"")</f>
        <v>0</v>
      </c>
      <c r="AA70" s="61">
        <f>IFERROR(Q70*'⛽ المبيعات الشهرية'!X69/100,"")</f>
        <v>0</v>
      </c>
      <c r="AB70" s="63">
        <f>IFERROR(Q70*'⛽ المبيعات الشهرية'!Y69/100,"")</f>
        <v>0</v>
      </c>
      <c r="AC70" s="61">
        <f>IFERROR(Q70*'⛽ المبيعات الشهرية'!Z69/100,"")</f>
        <v>0</v>
      </c>
      <c r="AD70" s="42">
        <f t="shared" si="6"/>
        <v>0</v>
      </c>
      <c r="AE70" s="64">
        <f>'📋 بيانات المحطات'!J69</f>
        <v>0</v>
      </c>
      <c r="AF70" s="65">
        <f>IFERROR(AE70*'⛽ المبيعات الشهرية'!AA69/100,"")</f>
        <v>0</v>
      </c>
      <c r="AG70" s="61">
        <f>IFERROR(AE70*'⛽ المبيعات الشهرية'!AB69/100,"")</f>
        <v>0</v>
      </c>
      <c r="AH70" s="65">
        <f>IFERROR(AE70*'⛽ المبيعات الشهرية'!AC69/100,"")</f>
        <v>0</v>
      </c>
      <c r="AI70" s="61">
        <f>IFERROR(AE70*'⛽ المبيعات الشهرية'!AD69/100,"")</f>
        <v>0</v>
      </c>
      <c r="AJ70" s="65">
        <f>IFERROR(AE70*'⛽ المبيعات الشهرية'!AE69/100,"")</f>
        <v>0</v>
      </c>
      <c r="AK70" s="61">
        <f>IFERROR(AE70*'⛽ المبيعات الشهرية'!AF69/100,"")</f>
        <v>0</v>
      </c>
      <c r="AL70" s="65">
        <f>IFERROR(AE70*'⛽ المبيعات الشهرية'!AG69/100,"")</f>
        <v>0</v>
      </c>
      <c r="AM70" s="61">
        <f>IFERROR(AE70*'⛽ المبيعات الشهرية'!AH69/100,"")</f>
        <v>0</v>
      </c>
      <c r="AN70" s="65">
        <f>IFERROR(AE70*'⛽ المبيعات الشهرية'!AI69/100,"")</f>
        <v>0</v>
      </c>
      <c r="AO70" s="61">
        <f>IFERROR(AE70*'⛽ المبيعات الشهرية'!AJ69/100,"")</f>
        <v>0</v>
      </c>
      <c r="AP70" s="65">
        <f>IFERROR(AE70*'⛽ المبيعات الشهرية'!AK69/100,"")</f>
        <v>0</v>
      </c>
      <c r="AQ70" s="61">
        <f>IFERROR(AE70*'⛽ المبيعات الشهرية'!AL69/100,"")</f>
        <v>0</v>
      </c>
      <c r="AR70" s="42">
        <f t="shared" si="7"/>
        <v>0</v>
      </c>
      <c r="AS70" s="66">
        <f>'📋 بيانات المحطات'!K69</f>
        <v>0</v>
      </c>
      <c r="AT70" s="67">
        <f>IFERROR(AS70*'⛽ المبيعات الشهرية'!AM69/100,"")</f>
        <v>0</v>
      </c>
      <c r="AU70" s="61">
        <f>IFERROR(AS70*'⛽ المبيعات الشهرية'!AN69/100,"")</f>
        <v>0</v>
      </c>
      <c r="AV70" s="67">
        <f>IFERROR(AS70*'⛽ المبيعات الشهرية'!AO69/100,"")</f>
        <v>0</v>
      </c>
      <c r="AW70" s="61">
        <f>IFERROR(AS70*'⛽ المبيعات الشهرية'!AP69/100,"")</f>
        <v>0</v>
      </c>
      <c r="AX70" s="67">
        <f>IFERROR(AS70*'⛽ المبيعات الشهرية'!AQ69/100,"")</f>
        <v>0</v>
      </c>
      <c r="AY70" s="61">
        <f>IFERROR(AS70*'⛽ المبيعات الشهرية'!AR69/100,"")</f>
        <v>0</v>
      </c>
      <c r="AZ70" s="67">
        <f>IFERROR(AS70*'⛽ المبيعات الشهرية'!AS69/100,"")</f>
        <v>0</v>
      </c>
      <c r="BA70" s="61">
        <f>IFERROR(AS70*'⛽ المبيعات الشهرية'!AT69/100,"")</f>
        <v>0</v>
      </c>
      <c r="BB70" s="67">
        <f>IFERROR(AS70*'⛽ المبيعات الشهرية'!AU69/100,"")</f>
        <v>0</v>
      </c>
      <c r="BC70" s="61">
        <f>IFERROR(AS70*'⛽ المبيعات الشهرية'!AV69/100,"")</f>
        <v>0</v>
      </c>
      <c r="BD70" s="67">
        <f>IFERROR(AS70*'⛽ المبيعات الشهرية'!AW69/100,"")</f>
        <v>0</v>
      </c>
      <c r="BE70" s="61">
        <f>IFERROR(AS70*'⛽ المبيعات الشهرية'!AX69/100,"")</f>
        <v>0</v>
      </c>
      <c r="BF70" s="42">
        <f t="shared" si="8"/>
        <v>0</v>
      </c>
      <c r="BG70" s="68">
        <f t="shared" si="9"/>
        <v>0</v>
      </c>
    </row>
    <row r="71" spans="1:59" ht="21.75" customHeight="1" x14ac:dyDescent="0.35">
      <c r="A71" s="58" t="s">
        <v>224</v>
      </c>
      <c r="B71" s="36">
        <f>'📋 بيانات المحطات'!B70</f>
        <v>0</v>
      </c>
      <c r="C71" s="59">
        <f>'📋 بيانات المحطات'!H70</f>
        <v>0</v>
      </c>
      <c r="D71" s="60">
        <f>IFERROR(C71*'⛽ المبيعات الشهرية'!C70/100,"")</f>
        <v>0</v>
      </c>
      <c r="E71" s="61">
        <f>IFERROR(C71*'⛽ المبيعات الشهرية'!D70/100,"")</f>
        <v>0</v>
      </c>
      <c r="F71" s="60">
        <f>IFERROR(C71*'⛽ المبيعات الشهرية'!E70/100,"")</f>
        <v>0</v>
      </c>
      <c r="G71" s="61">
        <f>IFERROR(C71*'⛽ المبيعات الشهرية'!F70/100,"")</f>
        <v>0</v>
      </c>
      <c r="H71" s="60">
        <f>IFERROR(C71*'⛽ المبيعات الشهرية'!G70/100,"")</f>
        <v>0</v>
      </c>
      <c r="I71" s="61">
        <f>IFERROR(C71*'⛽ المبيعات الشهرية'!H70/100,"")</f>
        <v>0</v>
      </c>
      <c r="J71" s="60">
        <f>IFERROR(C71*'⛽ المبيعات الشهرية'!I70/100,"")</f>
        <v>0</v>
      </c>
      <c r="K71" s="61">
        <f>IFERROR(C71*'⛽ المبيعات الشهرية'!J70/100,"")</f>
        <v>0</v>
      </c>
      <c r="L71" s="60">
        <f>IFERROR(C71*'⛽ المبيعات الشهرية'!K70/100,"")</f>
        <v>0</v>
      </c>
      <c r="M71" s="61">
        <f>IFERROR(C71*'⛽ المبيعات الشهرية'!L70/100,"")</f>
        <v>0</v>
      </c>
      <c r="N71" s="60">
        <f>IFERROR(C71*'⛽ المبيعات الشهرية'!M70/100,"")</f>
        <v>0</v>
      </c>
      <c r="O71" s="61">
        <f>IFERROR(C71*'⛽ المبيعات الشهرية'!N70/100,"")</f>
        <v>0</v>
      </c>
      <c r="P71" s="42">
        <f t="shared" ref="P71:P102" si="10">IFERROR(SUM(D71:O71),"")</f>
        <v>0</v>
      </c>
      <c r="Q71" s="62">
        <f>'📋 بيانات المحطات'!I70</f>
        <v>0</v>
      </c>
      <c r="R71" s="63">
        <f>IFERROR(Q71*'⛽ المبيعات الشهرية'!O70/100,"")</f>
        <v>0</v>
      </c>
      <c r="S71" s="61">
        <f>IFERROR(Q71*'⛽ المبيعات الشهرية'!P70/100,"")</f>
        <v>0</v>
      </c>
      <c r="T71" s="63">
        <f>IFERROR(Q71*'⛽ المبيعات الشهرية'!Q70/100,"")</f>
        <v>0</v>
      </c>
      <c r="U71" s="61">
        <f>IFERROR(Q71*'⛽ المبيعات الشهرية'!R70/100,"")</f>
        <v>0</v>
      </c>
      <c r="V71" s="63">
        <f>IFERROR(Q71*'⛽ المبيعات الشهرية'!S70/100,"")</f>
        <v>0</v>
      </c>
      <c r="W71" s="61">
        <f>IFERROR(Q71*'⛽ المبيعات الشهرية'!T70/100,"")</f>
        <v>0</v>
      </c>
      <c r="X71" s="63">
        <f>IFERROR(Q71*'⛽ المبيعات الشهرية'!U70/100,"")</f>
        <v>0</v>
      </c>
      <c r="Y71" s="61">
        <f>IFERROR(Q71*'⛽ المبيعات الشهرية'!V70/100,"")</f>
        <v>0</v>
      </c>
      <c r="Z71" s="63">
        <f>IFERROR(Q71*'⛽ المبيعات الشهرية'!W70/100,"")</f>
        <v>0</v>
      </c>
      <c r="AA71" s="61">
        <f>IFERROR(Q71*'⛽ المبيعات الشهرية'!X70/100,"")</f>
        <v>0</v>
      </c>
      <c r="AB71" s="63">
        <f>IFERROR(Q71*'⛽ المبيعات الشهرية'!Y70/100,"")</f>
        <v>0</v>
      </c>
      <c r="AC71" s="61">
        <f>IFERROR(Q71*'⛽ المبيعات الشهرية'!Z70/100,"")</f>
        <v>0</v>
      </c>
      <c r="AD71" s="42">
        <f t="shared" ref="AD71:AD102" si="11">IFERROR(SUM(R71:AC71),"")</f>
        <v>0</v>
      </c>
      <c r="AE71" s="64">
        <f>'📋 بيانات المحطات'!J70</f>
        <v>0</v>
      </c>
      <c r="AF71" s="65">
        <f>IFERROR(AE71*'⛽ المبيعات الشهرية'!AA70/100,"")</f>
        <v>0</v>
      </c>
      <c r="AG71" s="61">
        <f>IFERROR(AE71*'⛽ المبيعات الشهرية'!AB70/100,"")</f>
        <v>0</v>
      </c>
      <c r="AH71" s="65">
        <f>IFERROR(AE71*'⛽ المبيعات الشهرية'!AC70/100,"")</f>
        <v>0</v>
      </c>
      <c r="AI71" s="61">
        <f>IFERROR(AE71*'⛽ المبيعات الشهرية'!AD70/100,"")</f>
        <v>0</v>
      </c>
      <c r="AJ71" s="65">
        <f>IFERROR(AE71*'⛽ المبيعات الشهرية'!AE70/100,"")</f>
        <v>0</v>
      </c>
      <c r="AK71" s="61">
        <f>IFERROR(AE71*'⛽ المبيعات الشهرية'!AF70/100,"")</f>
        <v>0</v>
      </c>
      <c r="AL71" s="65">
        <f>IFERROR(AE71*'⛽ المبيعات الشهرية'!AG70/100,"")</f>
        <v>0</v>
      </c>
      <c r="AM71" s="61">
        <f>IFERROR(AE71*'⛽ المبيعات الشهرية'!AH70/100,"")</f>
        <v>0</v>
      </c>
      <c r="AN71" s="65">
        <f>IFERROR(AE71*'⛽ المبيعات الشهرية'!AI70/100,"")</f>
        <v>0</v>
      </c>
      <c r="AO71" s="61">
        <f>IFERROR(AE71*'⛽ المبيعات الشهرية'!AJ70/100,"")</f>
        <v>0</v>
      </c>
      <c r="AP71" s="65">
        <f>IFERROR(AE71*'⛽ المبيعات الشهرية'!AK70/100,"")</f>
        <v>0</v>
      </c>
      <c r="AQ71" s="61">
        <f>IFERROR(AE71*'⛽ المبيعات الشهرية'!AL70/100,"")</f>
        <v>0</v>
      </c>
      <c r="AR71" s="42">
        <f t="shared" ref="AR71:AR102" si="12">IFERROR(SUM(AF71:AQ71),"")</f>
        <v>0</v>
      </c>
      <c r="AS71" s="66">
        <f>'📋 بيانات المحطات'!K70</f>
        <v>0</v>
      </c>
      <c r="AT71" s="67">
        <f>IFERROR(AS71*'⛽ المبيعات الشهرية'!AM70/100,"")</f>
        <v>0</v>
      </c>
      <c r="AU71" s="61">
        <f>IFERROR(AS71*'⛽ المبيعات الشهرية'!AN70/100,"")</f>
        <v>0</v>
      </c>
      <c r="AV71" s="67">
        <f>IFERROR(AS71*'⛽ المبيعات الشهرية'!AO70/100,"")</f>
        <v>0</v>
      </c>
      <c r="AW71" s="61">
        <f>IFERROR(AS71*'⛽ المبيعات الشهرية'!AP70/100,"")</f>
        <v>0</v>
      </c>
      <c r="AX71" s="67">
        <f>IFERROR(AS71*'⛽ المبيعات الشهرية'!AQ70/100,"")</f>
        <v>0</v>
      </c>
      <c r="AY71" s="61">
        <f>IFERROR(AS71*'⛽ المبيعات الشهرية'!AR70/100,"")</f>
        <v>0</v>
      </c>
      <c r="AZ71" s="67">
        <f>IFERROR(AS71*'⛽ المبيعات الشهرية'!AS70/100,"")</f>
        <v>0</v>
      </c>
      <c r="BA71" s="61">
        <f>IFERROR(AS71*'⛽ المبيعات الشهرية'!AT70/100,"")</f>
        <v>0</v>
      </c>
      <c r="BB71" s="67">
        <f>IFERROR(AS71*'⛽ المبيعات الشهرية'!AU70/100,"")</f>
        <v>0</v>
      </c>
      <c r="BC71" s="61">
        <f>IFERROR(AS71*'⛽ المبيعات الشهرية'!AV70/100,"")</f>
        <v>0</v>
      </c>
      <c r="BD71" s="67">
        <f>IFERROR(AS71*'⛽ المبيعات الشهرية'!AW70/100,"")</f>
        <v>0</v>
      </c>
      <c r="BE71" s="61">
        <f>IFERROR(AS71*'⛽ المبيعات الشهرية'!AX70/100,"")</f>
        <v>0</v>
      </c>
      <c r="BF71" s="42">
        <f t="shared" ref="BF71:BF102" si="13">IFERROR(SUM(AT71:BE71),"")</f>
        <v>0</v>
      </c>
      <c r="BG71" s="68">
        <f t="shared" ref="BG71:BG102" si="14">IFERROR(P71+AD71+AR71+BF71,"")</f>
        <v>0</v>
      </c>
    </row>
    <row r="72" spans="1:59" ht="21.75" customHeight="1" x14ac:dyDescent="0.35">
      <c r="A72" s="69" t="s">
        <v>225</v>
      </c>
      <c r="B72" s="36">
        <f>'📋 بيانات المحطات'!B71</f>
        <v>0</v>
      </c>
      <c r="C72" s="59">
        <f>'📋 بيانات المحطات'!H71</f>
        <v>0</v>
      </c>
      <c r="D72" s="60">
        <f>IFERROR(C72*'⛽ المبيعات الشهرية'!C71/100,"")</f>
        <v>0</v>
      </c>
      <c r="E72" s="61">
        <f>IFERROR(C72*'⛽ المبيعات الشهرية'!D71/100,"")</f>
        <v>0</v>
      </c>
      <c r="F72" s="60">
        <f>IFERROR(C72*'⛽ المبيعات الشهرية'!E71/100,"")</f>
        <v>0</v>
      </c>
      <c r="G72" s="61">
        <f>IFERROR(C72*'⛽ المبيعات الشهرية'!F71/100,"")</f>
        <v>0</v>
      </c>
      <c r="H72" s="60">
        <f>IFERROR(C72*'⛽ المبيعات الشهرية'!G71/100,"")</f>
        <v>0</v>
      </c>
      <c r="I72" s="61">
        <f>IFERROR(C72*'⛽ المبيعات الشهرية'!H71/100,"")</f>
        <v>0</v>
      </c>
      <c r="J72" s="60">
        <f>IFERROR(C72*'⛽ المبيعات الشهرية'!I71/100,"")</f>
        <v>0</v>
      </c>
      <c r="K72" s="61">
        <f>IFERROR(C72*'⛽ المبيعات الشهرية'!J71/100,"")</f>
        <v>0</v>
      </c>
      <c r="L72" s="60">
        <f>IFERROR(C72*'⛽ المبيعات الشهرية'!K71/100,"")</f>
        <v>0</v>
      </c>
      <c r="M72" s="61">
        <f>IFERROR(C72*'⛽ المبيعات الشهرية'!L71/100,"")</f>
        <v>0</v>
      </c>
      <c r="N72" s="60">
        <f>IFERROR(C72*'⛽ المبيعات الشهرية'!M71/100,"")</f>
        <v>0</v>
      </c>
      <c r="O72" s="61">
        <f>IFERROR(C72*'⛽ المبيعات الشهرية'!N71/100,"")</f>
        <v>0</v>
      </c>
      <c r="P72" s="42">
        <f t="shared" si="10"/>
        <v>0</v>
      </c>
      <c r="Q72" s="62">
        <f>'📋 بيانات المحطات'!I71</f>
        <v>0</v>
      </c>
      <c r="R72" s="63">
        <f>IFERROR(Q72*'⛽ المبيعات الشهرية'!O71/100,"")</f>
        <v>0</v>
      </c>
      <c r="S72" s="61">
        <f>IFERROR(Q72*'⛽ المبيعات الشهرية'!P71/100,"")</f>
        <v>0</v>
      </c>
      <c r="T72" s="63">
        <f>IFERROR(Q72*'⛽ المبيعات الشهرية'!Q71/100,"")</f>
        <v>0</v>
      </c>
      <c r="U72" s="61">
        <f>IFERROR(Q72*'⛽ المبيعات الشهرية'!R71/100,"")</f>
        <v>0</v>
      </c>
      <c r="V72" s="63">
        <f>IFERROR(Q72*'⛽ المبيعات الشهرية'!S71/100,"")</f>
        <v>0</v>
      </c>
      <c r="W72" s="61">
        <f>IFERROR(Q72*'⛽ المبيعات الشهرية'!T71/100,"")</f>
        <v>0</v>
      </c>
      <c r="X72" s="63">
        <f>IFERROR(Q72*'⛽ المبيعات الشهرية'!U71/100,"")</f>
        <v>0</v>
      </c>
      <c r="Y72" s="61">
        <f>IFERROR(Q72*'⛽ المبيعات الشهرية'!V71/100,"")</f>
        <v>0</v>
      </c>
      <c r="Z72" s="63">
        <f>IFERROR(Q72*'⛽ المبيعات الشهرية'!W71/100,"")</f>
        <v>0</v>
      </c>
      <c r="AA72" s="61">
        <f>IFERROR(Q72*'⛽ المبيعات الشهرية'!X71/100,"")</f>
        <v>0</v>
      </c>
      <c r="AB72" s="63">
        <f>IFERROR(Q72*'⛽ المبيعات الشهرية'!Y71/100,"")</f>
        <v>0</v>
      </c>
      <c r="AC72" s="61">
        <f>IFERROR(Q72*'⛽ المبيعات الشهرية'!Z71/100,"")</f>
        <v>0</v>
      </c>
      <c r="AD72" s="42">
        <f t="shared" si="11"/>
        <v>0</v>
      </c>
      <c r="AE72" s="64">
        <f>'📋 بيانات المحطات'!J71</f>
        <v>0</v>
      </c>
      <c r="AF72" s="65">
        <f>IFERROR(AE72*'⛽ المبيعات الشهرية'!AA71/100,"")</f>
        <v>0</v>
      </c>
      <c r="AG72" s="61">
        <f>IFERROR(AE72*'⛽ المبيعات الشهرية'!AB71/100,"")</f>
        <v>0</v>
      </c>
      <c r="AH72" s="65">
        <f>IFERROR(AE72*'⛽ المبيعات الشهرية'!AC71/100,"")</f>
        <v>0</v>
      </c>
      <c r="AI72" s="61">
        <f>IFERROR(AE72*'⛽ المبيعات الشهرية'!AD71/100,"")</f>
        <v>0</v>
      </c>
      <c r="AJ72" s="65">
        <f>IFERROR(AE72*'⛽ المبيعات الشهرية'!AE71/100,"")</f>
        <v>0</v>
      </c>
      <c r="AK72" s="61">
        <f>IFERROR(AE72*'⛽ المبيعات الشهرية'!AF71/100,"")</f>
        <v>0</v>
      </c>
      <c r="AL72" s="65">
        <f>IFERROR(AE72*'⛽ المبيعات الشهرية'!AG71/100,"")</f>
        <v>0</v>
      </c>
      <c r="AM72" s="61">
        <f>IFERROR(AE72*'⛽ المبيعات الشهرية'!AH71/100,"")</f>
        <v>0</v>
      </c>
      <c r="AN72" s="65">
        <f>IFERROR(AE72*'⛽ المبيعات الشهرية'!AI71/100,"")</f>
        <v>0</v>
      </c>
      <c r="AO72" s="61">
        <f>IFERROR(AE72*'⛽ المبيعات الشهرية'!AJ71/100,"")</f>
        <v>0</v>
      </c>
      <c r="AP72" s="65">
        <f>IFERROR(AE72*'⛽ المبيعات الشهرية'!AK71/100,"")</f>
        <v>0</v>
      </c>
      <c r="AQ72" s="61">
        <f>IFERROR(AE72*'⛽ المبيعات الشهرية'!AL71/100,"")</f>
        <v>0</v>
      </c>
      <c r="AR72" s="42">
        <f t="shared" si="12"/>
        <v>0</v>
      </c>
      <c r="AS72" s="66">
        <f>'📋 بيانات المحطات'!K71</f>
        <v>0</v>
      </c>
      <c r="AT72" s="67">
        <f>IFERROR(AS72*'⛽ المبيعات الشهرية'!AM71/100,"")</f>
        <v>0</v>
      </c>
      <c r="AU72" s="61">
        <f>IFERROR(AS72*'⛽ المبيعات الشهرية'!AN71/100,"")</f>
        <v>0</v>
      </c>
      <c r="AV72" s="67">
        <f>IFERROR(AS72*'⛽ المبيعات الشهرية'!AO71/100,"")</f>
        <v>0</v>
      </c>
      <c r="AW72" s="61">
        <f>IFERROR(AS72*'⛽ المبيعات الشهرية'!AP71/100,"")</f>
        <v>0</v>
      </c>
      <c r="AX72" s="67">
        <f>IFERROR(AS72*'⛽ المبيعات الشهرية'!AQ71/100,"")</f>
        <v>0</v>
      </c>
      <c r="AY72" s="61">
        <f>IFERROR(AS72*'⛽ المبيعات الشهرية'!AR71/100,"")</f>
        <v>0</v>
      </c>
      <c r="AZ72" s="67">
        <f>IFERROR(AS72*'⛽ المبيعات الشهرية'!AS71/100,"")</f>
        <v>0</v>
      </c>
      <c r="BA72" s="61">
        <f>IFERROR(AS72*'⛽ المبيعات الشهرية'!AT71/100,"")</f>
        <v>0</v>
      </c>
      <c r="BB72" s="67">
        <f>IFERROR(AS72*'⛽ المبيعات الشهرية'!AU71/100,"")</f>
        <v>0</v>
      </c>
      <c r="BC72" s="61">
        <f>IFERROR(AS72*'⛽ المبيعات الشهرية'!AV71/100,"")</f>
        <v>0</v>
      </c>
      <c r="BD72" s="67">
        <f>IFERROR(AS72*'⛽ المبيعات الشهرية'!AW71/100,"")</f>
        <v>0</v>
      </c>
      <c r="BE72" s="61">
        <f>IFERROR(AS72*'⛽ المبيعات الشهرية'!AX71/100,"")</f>
        <v>0</v>
      </c>
      <c r="BF72" s="42">
        <f t="shared" si="13"/>
        <v>0</v>
      </c>
      <c r="BG72" s="68">
        <f t="shared" si="14"/>
        <v>0</v>
      </c>
    </row>
    <row r="73" spans="1:59" ht="21.75" customHeight="1" x14ac:dyDescent="0.35">
      <c r="A73" s="58" t="s">
        <v>226</v>
      </c>
      <c r="B73" s="36">
        <f>'📋 بيانات المحطات'!B72</f>
        <v>0</v>
      </c>
      <c r="C73" s="59">
        <f>'📋 بيانات المحطات'!H72</f>
        <v>0</v>
      </c>
      <c r="D73" s="60">
        <f>IFERROR(C73*'⛽ المبيعات الشهرية'!C72/100,"")</f>
        <v>0</v>
      </c>
      <c r="E73" s="61">
        <f>IFERROR(C73*'⛽ المبيعات الشهرية'!D72/100,"")</f>
        <v>0</v>
      </c>
      <c r="F73" s="60">
        <f>IFERROR(C73*'⛽ المبيعات الشهرية'!E72/100,"")</f>
        <v>0</v>
      </c>
      <c r="G73" s="61">
        <f>IFERROR(C73*'⛽ المبيعات الشهرية'!F72/100,"")</f>
        <v>0</v>
      </c>
      <c r="H73" s="60">
        <f>IFERROR(C73*'⛽ المبيعات الشهرية'!G72/100,"")</f>
        <v>0</v>
      </c>
      <c r="I73" s="61">
        <f>IFERROR(C73*'⛽ المبيعات الشهرية'!H72/100,"")</f>
        <v>0</v>
      </c>
      <c r="J73" s="60">
        <f>IFERROR(C73*'⛽ المبيعات الشهرية'!I72/100,"")</f>
        <v>0</v>
      </c>
      <c r="K73" s="61">
        <f>IFERROR(C73*'⛽ المبيعات الشهرية'!J72/100,"")</f>
        <v>0</v>
      </c>
      <c r="L73" s="60">
        <f>IFERROR(C73*'⛽ المبيعات الشهرية'!K72/100,"")</f>
        <v>0</v>
      </c>
      <c r="M73" s="61">
        <f>IFERROR(C73*'⛽ المبيعات الشهرية'!L72/100,"")</f>
        <v>0</v>
      </c>
      <c r="N73" s="60">
        <f>IFERROR(C73*'⛽ المبيعات الشهرية'!M72/100,"")</f>
        <v>0</v>
      </c>
      <c r="O73" s="61">
        <f>IFERROR(C73*'⛽ المبيعات الشهرية'!N72/100,"")</f>
        <v>0</v>
      </c>
      <c r="P73" s="42">
        <f t="shared" si="10"/>
        <v>0</v>
      </c>
      <c r="Q73" s="62">
        <f>'📋 بيانات المحطات'!I72</f>
        <v>0</v>
      </c>
      <c r="R73" s="63">
        <f>IFERROR(Q73*'⛽ المبيعات الشهرية'!O72/100,"")</f>
        <v>0</v>
      </c>
      <c r="S73" s="61">
        <f>IFERROR(Q73*'⛽ المبيعات الشهرية'!P72/100,"")</f>
        <v>0</v>
      </c>
      <c r="T73" s="63">
        <f>IFERROR(Q73*'⛽ المبيعات الشهرية'!Q72/100,"")</f>
        <v>0</v>
      </c>
      <c r="U73" s="61">
        <f>IFERROR(Q73*'⛽ المبيعات الشهرية'!R72/100,"")</f>
        <v>0</v>
      </c>
      <c r="V73" s="63">
        <f>IFERROR(Q73*'⛽ المبيعات الشهرية'!S72/100,"")</f>
        <v>0</v>
      </c>
      <c r="W73" s="61">
        <f>IFERROR(Q73*'⛽ المبيعات الشهرية'!T72/100,"")</f>
        <v>0</v>
      </c>
      <c r="X73" s="63">
        <f>IFERROR(Q73*'⛽ المبيعات الشهرية'!U72/100,"")</f>
        <v>0</v>
      </c>
      <c r="Y73" s="61">
        <f>IFERROR(Q73*'⛽ المبيعات الشهرية'!V72/100,"")</f>
        <v>0</v>
      </c>
      <c r="Z73" s="63">
        <f>IFERROR(Q73*'⛽ المبيعات الشهرية'!W72/100,"")</f>
        <v>0</v>
      </c>
      <c r="AA73" s="61">
        <f>IFERROR(Q73*'⛽ المبيعات الشهرية'!X72/100,"")</f>
        <v>0</v>
      </c>
      <c r="AB73" s="63">
        <f>IFERROR(Q73*'⛽ المبيعات الشهرية'!Y72/100,"")</f>
        <v>0</v>
      </c>
      <c r="AC73" s="61">
        <f>IFERROR(Q73*'⛽ المبيعات الشهرية'!Z72/100,"")</f>
        <v>0</v>
      </c>
      <c r="AD73" s="42">
        <f t="shared" si="11"/>
        <v>0</v>
      </c>
      <c r="AE73" s="64">
        <f>'📋 بيانات المحطات'!J72</f>
        <v>0</v>
      </c>
      <c r="AF73" s="65">
        <f>IFERROR(AE73*'⛽ المبيعات الشهرية'!AA72/100,"")</f>
        <v>0</v>
      </c>
      <c r="AG73" s="61">
        <f>IFERROR(AE73*'⛽ المبيعات الشهرية'!AB72/100,"")</f>
        <v>0</v>
      </c>
      <c r="AH73" s="65">
        <f>IFERROR(AE73*'⛽ المبيعات الشهرية'!AC72/100,"")</f>
        <v>0</v>
      </c>
      <c r="AI73" s="61">
        <f>IFERROR(AE73*'⛽ المبيعات الشهرية'!AD72/100,"")</f>
        <v>0</v>
      </c>
      <c r="AJ73" s="65">
        <f>IFERROR(AE73*'⛽ المبيعات الشهرية'!AE72/100,"")</f>
        <v>0</v>
      </c>
      <c r="AK73" s="61">
        <f>IFERROR(AE73*'⛽ المبيعات الشهرية'!AF72/100,"")</f>
        <v>0</v>
      </c>
      <c r="AL73" s="65">
        <f>IFERROR(AE73*'⛽ المبيعات الشهرية'!AG72/100,"")</f>
        <v>0</v>
      </c>
      <c r="AM73" s="61">
        <f>IFERROR(AE73*'⛽ المبيعات الشهرية'!AH72/100,"")</f>
        <v>0</v>
      </c>
      <c r="AN73" s="65">
        <f>IFERROR(AE73*'⛽ المبيعات الشهرية'!AI72/100,"")</f>
        <v>0</v>
      </c>
      <c r="AO73" s="61">
        <f>IFERROR(AE73*'⛽ المبيعات الشهرية'!AJ72/100,"")</f>
        <v>0</v>
      </c>
      <c r="AP73" s="65">
        <f>IFERROR(AE73*'⛽ المبيعات الشهرية'!AK72/100,"")</f>
        <v>0</v>
      </c>
      <c r="AQ73" s="61">
        <f>IFERROR(AE73*'⛽ المبيعات الشهرية'!AL72/100,"")</f>
        <v>0</v>
      </c>
      <c r="AR73" s="42">
        <f t="shared" si="12"/>
        <v>0</v>
      </c>
      <c r="AS73" s="66">
        <f>'📋 بيانات المحطات'!K72</f>
        <v>0</v>
      </c>
      <c r="AT73" s="67">
        <f>IFERROR(AS73*'⛽ المبيعات الشهرية'!AM72/100,"")</f>
        <v>0</v>
      </c>
      <c r="AU73" s="61">
        <f>IFERROR(AS73*'⛽ المبيعات الشهرية'!AN72/100,"")</f>
        <v>0</v>
      </c>
      <c r="AV73" s="67">
        <f>IFERROR(AS73*'⛽ المبيعات الشهرية'!AO72/100,"")</f>
        <v>0</v>
      </c>
      <c r="AW73" s="61">
        <f>IFERROR(AS73*'⛽ المبيعات الشهرية'!AP72/100,"")</f>
        <v>0</v>
      </c>
      <c r="AX73" s="67">
        <f>IFERROR(AS73*'⛽ المبيعات الشهرية'!AQ72/100,"")</f>
        <v>0</v>
      </c>
      <c r="AY73" s="61">
        <f>IFERROR(AS73*'⛽ المبيعات الشهرية'!AR72/100,"")</f>
        <v>0</v>
      </c>
      <c r="AZ73" s="67">
        <f>IFERROR(AS73*'⛽ المبيعات الشهرية'!AS72/100,"")</f>
        <v>0</v>
      </c>
      <c r="BA73" s="61">
        <f>IFERROR(AS73*'⛽ المبيعات الشهرية'!AT72/100,"")</f>
        <v>0</v>
      </c>
      <c r="BB73" s="67">
        <f>IFERROR(AS73*'⛽ المبيعات الشهرية'!AU72/100,"")</f>
        <v>0</v>
      </c>
      <c r="BC73" s="61">
        <f>IFERROR(AS73*'⛽ المبيعات الشهرية'!AV72/100,"")</f>
        <v>0</v>
      </c>
      <c r="BD73" s="67">
        <f>IFERROR(AS73*'⛽ المبيعات الشهرية'!AW72/100,"")</f>
        <v>0</v>
      </c>
      <c r="BE73" s="61">
        <f>IFERROR(AS73*'⛽ المبيعات الشهرية'!AX72/100,"")</f>
        <v>0</v>
      </c>
      <c r="BF73" s="42">
        <f t="shared" si="13"/>
        <v>0</v>
      </c>
      <c r="BG73" s="68">
        <f t="shared" si="14"/>
        <v>0</v>
      </c>
    </row>
    <row r="74" spans="1:59" ht="21.75" customHeight="1" x14ac:dyDescent="0.35">
      <c r="A74" s="69" t="s">
        <v>227</v>
      </c>
      <c r="B74" s="36">
        <f>'📋 بيانات المحطات'!B73</f>
        <v>0</v>
      </c>
      <c r="C74" s="59">
        <f>'📋 بيانات المحطات'!H73</f>
        <v>0</v>
      </c>
      <c r="D74" s="60">
        <f>IFERROR(C74*'⛽ المبيعات الشهرية'!C73/100,"")</f>
        <v>0</v>
      </c>
      <c r="E74" s="61">
        <f>IFERROR(C74*'⛽ المبيعات الشهرية'!D73/100,"")</f>
        <v>0</v>
      </c>
      <c r="F74" s="60">
        <f>IFERROR(C74*'⛽ المبيعات الشهرية'!E73/100,"")</f>
        <v>0</v>
      </c>
      <c r="G74" s="61">
        <f>IFERROR(C74*'⛽ المبيعات الشهرية'!F73/100,"")</f>
        <v>0</v>
      </c>
      <c r="H74" s="60">
        <f>IFERROR(C74*'⛽ المبيعات الشهرية'!G73/100,"")</f>
        <v>0</v>
      </c>
      <c r="I74" s="61">
        <f>IFERROR(C74*'⛽ المبيعات الشهرية'!H73/100,"")</f>
        <v>0</v>
      </c>
      <c r="J74" s="60">
        <f>IFERROR(C74*'⛽ المبيعات الشهرية'!I73/100,"")</f>
        <v>0</v>
      </c>
      <c r="K74" s="61">
        <f>IFERROR(C74*'⛽ المبيعات الشهرية'!J73/100,"")</f>
        <v>0</v>
      </c>
      <c r="L74" s="60">
        <f>IFERROR(C74*'⛽ المبيعات الشهرية'!K73/100,"")</f>
        <v>0</v>
      </c>
      <c r="M74" s="61">
        <f>IFERROR(C74*'⛽ المبيعات الشهرية'!L73/100,"")</f>
        <v>0</v>
      </c>
      <c r="N74" s="60">
        <f>IFERROR(C74*'⛽ المبيعات الشهرية'!M73/100,"")</f>
        <v>0</v>
      </c>
      <c r="O74" s="61">
        <f>IFERROR(C74*'⛽ المبيعات الشهرية'!N73/100,"")</f>
        <v>0</v>
      </c>
      <c r="P74" s="42">
        <f t="shared" si="10"/>
        <v>0</v>
      </c>
      <c r="Q74" s="62">
        <f>'📋 بيانات المحطات'!I73</f>
        <v>0</v>
      </c>
      <c r="R74" s="63">
        <f>IFERROR(Q74*'⛽ المبيعات الشهرية'!O73/100,"")</f>
        <v>0</v>
      </c>
      <c r="S74" s="61">
        <f>IFERROR(Q74*'⛽ المبيعات الشهرية'!P73/100,"")</f>
        <v>0</v>
      </c>
      <c r="T74" s="63">
        <f>IFERROR(Q74*'⛽ المبيعات الشهرية'!Q73/100,"")</f>
        <v>0</v>
      </c>
      <c r="U74" s="61">
        <f>IFERROR(Q74*'⛽ المبيعات الشهرية'!R73/100,"")</f>
        <v>0</v>
      </c>
      <c r="V74" s="63">
        <f>IFERROR(Q74*'⛽ المبيعات الشهرية'!S73/100,"")</f>
        <v>0</v>
      </c>
      <c r="W74" s="61">
        <f>IFERROR(Q74*'⛽ المبيعات الشهرية'!T73/100,"")</f>
        <v>0</v>
      </c>
      <c r="X74" s="63">
        <f>IFERROR(Q74*'⛽ المبيعات الشهرية'!U73/100,"")</f>
        <v>0</v>
      </c>
      <c r="Y74" s="61">
        <f>IFERROR(Q74*'⛽ المبيعات الشهرية'!V73/100,"")</f>
        <v>0</v>
      </c>
      <c r="Z74" s="63">
        <f>IFERROR(Q74*'⛽ المبيعات الشهرية'!W73/100,"")</f>
        <v>0</v>
      </c>
      <c r="AA74" s="61">
        <f>IFERROR(Q74*'⛽ المبيعات الشهرية'!X73/100,"")</f>
        <v>0</v>
      </c>
      <c r="AB74" s="63">
        <f>IFERROR(Q74*'⛽ المبيعات الشهرية'!Y73/100,"")</f>
        <v>0</v>
      </c>
      <c r="AC74" s="61">
        <f>IFERROR(Q74*'⛽ المبيعات الشهرية'!Z73/100,"")</f>
        <v>0</v>
      </c>
      <c r="AD74" s="42">
        <f t="shared" si="11"/>
        <v>0</v>
      </c>
      <c r="AE74" s="64">
        <f>'📋 بيانات المحطات'!J73</f>
        <v>0</v>
      </c>
      <c r="AF74" s="65">
        <f>IFERROR(AE74*'⛽ المبيعات الشهرية'!AA73/100,"")</f>
        <v>0</v>
      </c>
      <c r="AG74" s="61">
        <f>IFERROR(AE74*'⛽ المبيعات الشهرية'!AB73/100,"")</f>
        <v>0</v>
      </c>
      <c r="AH74" s="65">
        <f>IFERROR(AE74*'⛽ المبيعات الشهرية'!AC73/100,"")</f>
        <v>0</v>
      </c>
      <c r="AI74" s="61">
        <f>IFERROR(AE74*'⛽ المبيعات الشهرية'!AD73/100,"")</f>
        <v>0</v>
      </c>
      <c r="AJ74" s="65">
        <f>IFERROR(AE74*'⛽ المبيعات الشهرية'!AE73/100,"")</f>
        <v>0</v>
      </c>
      <c r="AK74" s="61">
        <f>IFERROR(AE74*'⛽ المبيعات الشهرية'!AF73/100,"")</f>
        <v>0</v>
      </c>
      <c r="AL74" s="65">
        <f>IFERROR(AE74*'⛽ المبيعات الشهرية'!AG73/100,"")</f>
        <v>0</v>
      </c>
      <c r="AM74" s="61">
        <f>IFERROR(AE74*'⛽ المبيعات الشهرية'!AH73/100,"")</f>
        <v>0</v>
      </c>
      <c r="AN74" s="65">
        <f>IFERROR(AE74*'⛽ المبيعات الشهرية'!AI73/100,"")</f>
        <v>0</v>
      </c>
      <c r="AO74" s="61">
        <f>IFERROR(AE74*'⛽ المبيعات الشهرية'!AJ73/100,"")</f>
        <v>0</v>
      </c>
      <c r="AP74" s="65">
        <f>IFERROR(AE74*'⛽ المبيعات الشهرية'!AK73/100,"")</f>
        <v>0</v>
      </c>
      <c r="AQ74" s="61">
        <f>IFERROR(AE74*'⛽ المبيعات الشهرية'!AL73/100,"")</f>
        <v>0</v>
      </c>
      <c r="AR74" s="42">
        <f t="shared" si="12"/>
        <v>0</v>
      </c>
      <c r="AS74" s="66">
        <f>'📋 بيانات المحطات'!K73</f>
        <v>0</v>
      </c>
      <c r="AT74" s="67">
        <f>IFERROR(AS74*'⛽ المبيعات الشهرية'!AM73/100,"")</f>
        <v>0</v>
      </c>
      <c r="AU74" s="61">
        <f>IFERROR(AS74*'⛽ المبيعات الشهرية'!AN73/100,"")</f>
        <v>0</v>
      </c>
      <c r="AV74" s="67">
        <f>IFERROR(AS74*'⛽ المبيعات الشهرية'!AO73/100,"")</f>
        <v>0</v>
      </c>
      <c r="AW74" s="61">
        <f>IFERROR(AS74*'⛽ المبيعات الشهرية'!AP73/100,"")</f>
        <v>0</v>
      </c>
      <c r="AX74" s="67">
        <f>IFERROR(AS74*'⛽ المبيعات الشهرية'!AQ73/100,"")</f>
        <v>0</v>
      </c>
      <c r="AY74" s="61">
        <f>IFERROR(AS74*'⛽ المبيعات الشهرية'!AR73/100,"")</f>
        <v>0</v>
      </c>
      <c r="AZ74" s="67">
        <f>IFERROR(AS74*'⛽ المبيعات الشهرية'!AS73/100,"")</f>
        <v>0</v>
      </c>
      <c r="BA74" s="61">
        <f>IFERROR(AS74*'⛽ المبيعات الشهرية'!AT73/100,"")</f>
        <v>0</v>
      </c>
      <c r="BB74" s="67">
        <f>IFERROR(AS74*'⛽ المبيعات الشهرية'!AU73/100,"")</f>
        <v>0</v>
      </c>
      <c r="BC74" s="61">
        <f>IFERROR(AS74*'⛽ المبيعات الشهرية'!AV73/100,"")</f>
        <v>0</v>
      </c>
      <c r="BD74" s="67">
        <f>IFERROR(AS74*'⛽ المبيعات الشهرية'!AW73/100,"")</f>
        <v>0</v>
      </c>
      <c r="BE74" s="61">
        <f>IFERROR(AS74*'⛽ المبيعات الشهرية'!AX73/100,"")</f>
        <v>0</v>
      </c>
      <c r="BF74" s="42">
        <f t="shared" si="13"/>
        <v>0</v>
      </c>
      <c r="BG74" s="68">
        <f t="shared" si="14"/>
        <v>0</v>
      </c>
    </row>
    <row r="75" spans="1:59" ht="21.75" customHeight="1" x14ac:dyDescent="0.35">
      <c r="A75" s="58" t="s">
        <v>228</v>
      </c>
      <c r="B75" s="36">
        <f>'📋 بيانات المحطات'!B74</f>
        <v>0</v>
      </c>
      <c r="C75" s="59">
        <f>'📋 بيانات المحطات'!H74</f>
        <v>0</v>
      </c>
      <c r="D75" s="60">
        <f>IFERROR(C75*'⛽ المبيعات الشهرية'!C74/100,"")</f>
        <v>0</v>
      </c>
      <c r="E75" s="61">
        <f>IFERROR(C75*'⛽ المبيعات الشهرية'!D74/100,"")</f>
        <v>0</v>
      </c>
      <c r="F75" s="60">
        <f>IFERROR(C75*'⛽ المبيعات الشهرية'!E74/100,"")</f>
        <v>0</v>
      </c>
      <c r="G75" s="61">
        <f>IFERROR(C75*'⛽ المبيعات الشهرية'!F74/100,"")</f>
        <v>0</v>
      </c>
      <c r="H75" s="60">
        <f>IFERROR(C75*'⛽ المبيعات الشهرية'!G74/100,"")</f>
        <v>0</v>
      </c>
      <c r="I75" s="61">
        <f>IFERROR(C75*'⛽ المبيعات الشهرية'!H74/100,"")</f>
        <v>0</v>
      </c>
      <c r="J75" s="60">
        <f>IFERROR(C75*'⛽ المبيعات الشهرية'!I74/100,"")</f>
        <v>0</v>
      </c>
      <c r="K75" s="61">
        <f>IFERROR(C75*'⛽ المبيعات الشهرية'!J74/100,"")</f>
        <v>0</v>
      </c>
      <c r="L75" s="60">
        <f>IFERROR(C75*'⛽ المبيعات الشهرية'!K74/100,"")</f>
        <v>0</v>
      </c>
      <c r="M75" s="61">
        <f>IFERROR(C75*'⛽ المبيعات الشهرية'!L74/100,"")</f>
        <v>0</v>
      </c>
      <c r="N75" s="60">
        <f>IFERROR(C75*'⛽ المبيعات الشهرية'!M74/100,"")</f>
        <v>0</v>
      </c>
      <c r="O75" s="61">
        <f>IFERROR(C75*'⛽ المبيعات الشهرية'!N74/100,"")</f>
        <v>0</v>
      </c>
      <c r="P75" s="42">
        <f t="shared" si="10"/>
        <v>0</v>
      </c>
      <c r="Q75" s="62">
        <f>'📋 بيانات المحطات'!I74</f>
        <v>0</v>
      </c>
      <c r="R75" s="63">
        <f>IFERROR(Q75*'⛽ المبيعات الشهرية'!O74/100,"")</f>
        <v>0</v>
      </c>
      <c r="S75" s="61">
        <f>IFERROR(Q75*'⛽ المبيعات الشهرية'!P74/100,"")</f>
        <v>0</v>
      </c>
      <c r="T75" s="63">
        <f>IFERROR(Q75*'⛽ المبيعات الشهرية'!Q74/100,"")</f>
        <v>0</v>
      </c>
      <c r="U75" s="61">
        <f>IFERROR(Q75*'⛽ المبيعات الشهرية'!R74/100,"")</f>
        <v>0</v>
      </c>
      <c r="V75" s="63">
        <f>IFERROR(Q75*'⛽ المبيعات الشهرية'!S74/100,"")</f>
        <v>0</v>
      </c>
      <c r="W75" s="61">
        <f>IFERROR(Q75*'⛽ المبيعات الشهرية'!T74/100,"")</f>
        <v>0</v>
      </c>
      <c r="X75" s="63">
        <f>IFERROR(Q75*'⛽ المبيعات الشهرية'!U74/100,"")</f>
        <v>0</v>
      </c>
      <c r="Y75" s="61">
        <f>IFERROR(Q75*'⛽ المبيعات الشهرية'!V74/100,"")</f>
        <v>0</v>
      </c>
      <c r="Z75" s="63">
        <f>IFERROR(Q75*'⛽ المبيعات الشهرية'!W74/100,"")</f>
        <v>0</v>
      </c>
      <c r="AA75" s="61">
        <f>IFERROR(Q75*'⛽ المبيعات الشهرية'!X74/100,"")</f>
        <v>0</v>
      </c>
      <c r="AB75" s="63">
        <f>IFERROR(Q75*'⛽ المبيعات الشهرية'!Y74/100,"")</f>
        <v>0</v>
      </c>
      <c r="AC75" s="61">
        <f>IFERROR(Q75*'⛽ المبيعات الشهرية'!Z74/100,"")</f>
        <v>0</v>
      </c>
      <c r="AD75" s="42">
        <f t="shared" si="11"/>
        <v>0</v>
      </c>
      <c r="AE75" s="64">
        <f>'📋 بيانات المحطات'!J74</f>
        <v>0</v>
      </c>
      <c r="AF75" s="65">
        <f>IFERROR(AE75*'⛽ المبيعات الشهرية'!AA74/100,"")</f>
        <v>0</v>
      </c>
      <c r="AG75" s="61">
        <f>IFERROR(AE75*'⛽ المبيعات الشهرية'!AB74/100,"")</f>
        <v>0</v>
      </c>
      <c r="AH75" s="65">
        <f>IFERROR(AE75*'⛽ المبيعات الشهرية'!AC74/100,"")</f>
        <v>0</v>
      </c>
      <c r="AI75" s="61">
        <f>IFERROR(AE75*'⛽ المبيعات الشهرية'!AD74/100,"")</f>
        <v>0</v>
      </c>
      <c r="AJ75" s="65">
        <f>IFERROR(AE75*'⛽ المبيعات الشهرية'!AE74/100,"")</f>
        <v>0</v>
      </c>
      <c r="AK75" s="61">
        <f>IFERROR(AE75*'⛽ المبيعات الشهرية'!AF74/100,"")</f>
        <v>0</v>
      </c>
      <c r="AL75" s="65">
        <f>IFERROR(AE75*'⛽ المبيعات الشهرية'!AG74/100,"")</f>
        <v>0</v>
      </c>
      <c r="AM75" s="61">
        <f>IFERROR(AE75*'⛽ المبيعات الشهرية'!AH74/100,"")</f>
        <v>0</v>
      </c>
      <c r="AN75" s="65">
        <f>IFERROR(AE75*'⛽ المبيعات الشهرية'!AI74/100,"")</f>
        <v>0</v>
      </c>
      <c r="AO75" s="61">
        <f>IFERROR(AE75*'⛽ المبيعات الشهرية'!AJ74/100,"")</f>
        <v>0</v>
      </c>
      <c r="AP75" s="65">
        <f>IFERROR(AE75*'⛽ المبيعات الشهرية'!AK74/100,"")</f>
        <v>0</v>
      </c>
      <c r="AQ75" s="61">
        <f>IFERROR(AE75*'⛽ المبيعات الشهرية'!AL74/100,"")</f>
        <v>0</v>
      </c>
      <c r="AR75" s="42">
        <f t="shared" si="12"/>
        <v>0</v>
      </c>
      <c r="AS75" s="66">
        <f>'📋 بيانات المحطات'!K74</f>
        <v>0</v>
      </c>
      <c r="AT75" s="67">
        <f>IFERROR(AS75*'⛽ المبيعات الشهرية'!AM74/100,"")</f>
        <v>0</v>
      </c>
      <c r="AU75" s="61">
        <f>IFERROR(AS75*'⛽ المبيعات الشهرية'!AN74/100,"")</f>
        <v>0</v>
      </c>
      <c r="AV75" s="67">
        <f>IFERROR(AS75*'⛽ المبيعات الشهرية'!AO74/100,"")</f>
        <v>0</v>
      </c>
      <c r="AW75" s="61">
        <f>IFERROR(AS75*'⛽ المبيعات الشهرية'!AP74/100,"")</f>
        <v>0</v>
      </c>
      <c r="AX75" s="67">
        <f>IFERROR(AS75*'⛽ المبيعات الشهرية'!AQ74/100,"")</f>
        <v>0</v>
      </c>
      <c r="AY75" s="61">
        <f>IFERROR(AS75*'⛽ المبيعات الشهرية'!AR74/100,"")</f>
        <v>0</v>
      </c>
      <c r="AZ75" s="67">
        <f>IFERROR(AS75*'⛽ المبيعات الشهرية'!AS74/100,"")</f>
        <v>0</v>
      </c>
      <c r="BA75" s="61">
        <f>IFERROR(AS75*'⛽ المبيعات الشهرية'!AT74/100,"")</f>
        <v>0</v>
      </c>
      <c r="BB75" s="67">
        <f>IFERROR(AS75*'⛽ المبيعات الشهرية'!AU74/100,"")</f>
        <v>0</v>
      </c>
      <c r="BC75" s="61">
        <f>IFERROR(AS75*'⛽ المبيعات الشهرية'!AV74/100,"")</f>
        <v>0</v>
      </c>
      <c r="BD75" s="67">
        <f>IFERROR(AS75*'⛽ المبيعات الشهرية'!AW74/100,"")</f>
        <v>0</v>
      </c>
      <c r="BE75" s="61">
        <f>IFERROR(AS75*'⛽ المبيعات الشهرية'!AX74/100,"")</f>
        <v>0</v>
      </c>
      <c r="BF75" s="42">
        <f t="shared" si="13"/>
        <v>0</v>
      </c>
      <c r="BG75" s="68">
        <f t="shared" si="14"/>
        <v>0</v>
      </c>
    </row>
    <row r="76" spans="1:59" ht="21.75" customHeight="1" x14ac:dyDescent="0.35">
      <c r="A76" s="69" t="s">
        <v>229</v>
      </c>
      <c r="B76" s="36">
        <f>'📋 بيانات المحطات'!B75</f>
        <v>0</v>
      </c>
      <c r="C76" s="59">
        <f>'📋 بيانات المحطات'!H75</f>
        <v>0</v>
      </c>
      <c r="D76" s="60">
        <f>IFERROR(C76*'⛽ المبيعات الشهرية'!C75/100,"")</f>
        <v>0</v>
      </c>
      <c r="E76" s="61">
        <f>IFERROR(C76*'⛽ المبيعات الشهرية'!D75/100,"")</f>
        <v>0</v>
      </c>
      <c r="F76" s="60">
        <f>IFERROR(C76*'⛽ المبيعات الشهرية'!E75/100,"")</f>
        <v>0</v>
      </c>
      <c r="G76" s="61">
        <f>IFERROR(C76*'⛽ المبيعات الشهرية'!F75/100,"")</f>
        <v>0</v>
      </c>
      <c r="H76" s="60">
        <f>IFERROR(C76*'⛽ المبيعات الشهرية'!G75/100,"")</f>
        <v>0</v>
      </c>
      <c r="I76" s="61">
        <f>IFERROR(C76*'⛽ المبيعات الشهرية'!H75/100,"")</f>
        <v>0</v>
      </c>
      <c r="J76" s="60">
        <f>IFERROR(C76*'⛽ المبيعات الشهرية'!I75/100,"")</f>
        <v>0</v>
      </c>
      <c r="K76" s="61">
        <f>IFERROR(C76*'⛽ المبيعات الشهرية'!J75/100,"")</f>
        <v>0</v>
      </c>
      <c r="L76" s="60">
        <f>IFERROR(C76*'⛽ المبيعات الشهرية'!K75/100,"")</f>
        <v>0</v>
      </c>
      <c r="M76" s="61">
        <f>IFERROR(C76*'⛽ المبيعات الشهرية'!L75/100,"")</f>
        <v>0</v>
      </c>
      <c r="N76" s="60">
        <f>IFERROR(C76*'⛽ المبيعات الشهرية'!M75/100,"")</f>
        <v>0</v>
      </c>
      <c r="O76" s="61">
        <f>IFERROR(C76*'⛽ المبيعات الشهرية'!N75/100,"")</f>
        <v>0</v>
      </c>
      <c r="P76" s="42">
        <f t="shared" si="10"/>
        <v>0</v>
      </c>
      <c r="Q76" s="62">
        <f>'📋 بيانات المحطات'!I75</f>
        <v>0</v>
      </c>
      <c r="R76" s="63">
        <f>IFERROR(Q76*'⛽ المبيعات الشهرية'!O75/100,"")</f>
        <v>0</v>
      </c>
      <c r="S76" s="61">
        <f>IFERROR(Q76*'⛽ المبيعات الشهرية'!P75/100,"")</f>
        <v>0</v>
      </c>
      <c r="T76" s="63">
        <f>IFERROR(Q76*'⛽ المبيعات الشهرية'!Q75/100,"")</f>
        <v>0</v>
      </c>
      <c r="U76" s="61">
        <f>IFERROR(Q76*'⛽ المبيعات الشهرية'!R75/100,"")</f>
        <v>0</v>
      </c>
      <c r="V76" s="63">
        <f>IFERROR(Q76*'⛽ المبيعات الشهرية'!S75/100,"")</f>
        <v>0</v>
      </c>
      <c r="W76" s="61">
        <f>IFERROR(Q76*'⛽ المبيعات الشهرية'!T75/100,"")</f>
        <v>0</v>
      </c>
      <c r="X76" s="63">
        <f>IFERROR(Q76*'⛽ المبيعات الشهرية'!U75/100,"")</f>
        <v>0</v>
      </c>
      <c r="Y76" s="61">
        <f>IFERROR(Q76*'⛽ المبيعات الشهرية'!V75/100,"")</f>
        <v>0</v>
      </c>
      <c r="Z76" s="63">
        <f>IFERROR(Q76*'⛽ المبيعات الشهرية'!W75/100,"")</f>
        <v>0</v>
      </c>
      <c r="AA76" s="61">
        <f>IFERROR(Q76*'⛽ المبيعات الشهرية'!X75/100,"")</f>
        <v>0</v>
      </c>
      <c r="AB76" s="63">
        <f>IFERROR(Q76*'⛽ المبيعات الشهرية'!Y75/100,"")</f>
        <v>0</v>
      </c>
      <c r="AC76" s="61">
        <f>IFERROR(Q76*'⛽ المبيعات الشهرية'!Z75/100,"")</f>
        <v>0</v>
      </c>
      <c r="AD76" s="42">
        <f t="shared" si="11"/>
        <v>0</v>
      </c>
      <c r="AE76" s="64">
        <f>'📋 بيانات المحطات'!J75</f>
        <v>0</v>
      </c>
      <c r="AF76" s="65">
        <f>IFERROR(AE76*'⛽ المبيعات الشهرية'!AA75/100,"")</f>
        <v>0</v>
      </c>
      <c r="AG76" s="61">
        <f>IFERROR(AE76*'⛽ المبيعات الشهرية'!AB75/100,"")</f>
        <v>0</v>
      </c>
      <c r="AH76" s="65">
        <f>IFERROR(AE76*'⛽ المبيعات الشهرية'!AC75/100,"")</f>
        <v>0</v>
      </c>
      <c r="AI76" s="61">
        <f>IFERROR(AE76*'⛽ المبيعات الشهرية'!AD75/100,"")</f>
        <v>0</v>
      </c>
      <c r="AJ76" s="65">
        <f>IFERROR(AE76*'⛽ المبيعات الشهرية'!AE75/100,"")</f>
        <v>0</v>
      </c>
      <c r="AK76" s="61">
        <f>IFERROR(AE76*'⛽ المبيعات الشهرية'!AF75/100,"")</f>
        <v>0</v>
      </c>
      <c r="AL76" s="65">
        <f>IFERROR(AE76*'⛽ المبيعات الشهرية'!AG75/100,"")</f>
        <v>0</v>
      </c>
      <c r="AM76" s="61">
        <f>IFERROR(AE76*'⛽ المبيعات الشهرية'!AH75/100,"")</f>
        <v>0</v>
      </c>
      <c r="AN76" s="65">
        <f>IFERROR(AE76*'⛽ المبيعات الشهرية'!AI75/100,"")</f>
        <v>0</v>
      </c>
      <c r="AO76" s="61">
        <f>IFERROR(AE76*'⛽ المبيعات الشهرية'!AJ75/100,"")</f>
        <v>0</v>
      </c>
      <c r="AP76" s="65">
        <f>IFERROR(AE76*'⛽ المبيعات الشهرية'!AK75/100,"")</f>
        <v>0</v>
      </c>
      <c r="AQ76" s="61">
        <f>IFERROR(AE76*'⛽ المبيعات الشهرية'!AL75/100,"")</f>
        <v>0</v>
      </c>
      <c r="AR76" s="42">
        <f t="shared" si="12"/>
        <v>0</v>
      </c>
      <c r="AS76" s="66">
        <f>'📋 بيانات المحطات'!K75</f>
        <v>0</v>
      </c>
      <c r="AT76" s="67">
        <f>IFERROR(AS76*'⛽ المبيعات الشهرية'!AM75/100,"")</f>
        <v>0</v>
      </c>
      <c r="AU76" s="61">
        <f>IFERROR(AS76*'⛽ المبيعات الشهرية'!AN75/100,"")</f>
        <v>0</v>
      </c>
      <c r="AV76" s="67">
        <f>IFERROR(AS76*'⛽ المبيعات الشهرية'!AO75/100,"")</f>
        <v>0</v>
      </c>
      <c r="AW76" s="61">
        <f>IFERROR(AS76*'⛽ المبيعات الشهرية'!AP75/100,"")</f>
        <v>0</v>
      </c>
      <c r="AX76" s="67">
        <f>IFERROR(AS76*'⛽ المبيعات الشهرية'!AQ75/100,"")</f>
        <v>0</v>
      </c>
      <c r="AY76" s="61">
        <f>IFERROR(AS76*'⛽ المبيعات الشهرية'!AR75/100,"")</f>
        <v>0</v>
      </c>
      <c r="AZ76" s="67">
        <f>IFERROR(AS76*'⛽ المبيعات الشهرية'!AS75/100,"")</f>
        <v>0</v>
      </c>
      <c r="BA76" s="61">
        <f>IFERROR(AS76*'⛽ المبيعات الشهرية'!AT75/100,"")</f>
        <v>0</v>
      </c>
      <c r="BB76" s="67">
        <f>IFERROR(AS76*'⛽ المبيعات الشهرية'!AU75/100,"")</f>
        <v>0</v>
      </c>
      <c r="BC76" s="61">
        <f>IFERROR(AS76*'⛽ المبيعات الشهرية'!AV75/100,"")</f>
        <v>0</v>
      </c>
      <c r="BD76" s="67">
        <f>IFERROR(AS76*'⛽ المبيعات الشهرية'!AW75/100,"")</f>
        <v>0</v>
      </c>
      <c r="BE76" s="61">
        <f>IFERROR(AS76*'⛽ المبيعات الشهرية'!AX75/100,"")</f>
        <v>0</v>
      </c>
      <c r="BF76" s="42">
        <f t="shared" si="13"/>
        <v>0</v>
      </c>
      <c r="BG76" s="68">
        <f t="shared" si="14"/>
        <v>0</v>
      </c>
    </row>
    <row r="77" spans="1:59" ht="21.75" customHeight="1" x14ac:dyDescent="0.35">
      <c r="A77" s="58" t="s">
        <v>230</v>
      </c>
      <c r="B77" s="36">
        <f>'📋 بيانات المحطات'!B76</f>
        <v>0</v>
      </c>
      <c r="C77" s="59">
        <f>'📋 بيانات المحطات'!H76</f>
        <v>0</v>
      </c>
      <c r="D77" s="60">
        <f>IFERROR(C77*'⛽ المبيعات الشهرية'!C76/100,"")</f>
        <v>0</v>
      </c>
      <c r="E77" s="61">
        <f>IFERROR(C77*'⛽ المبيعات الشهرية'!D76/100,"")</f>
        <v>0</v>
      </c>
      <c r="F77" s="60">
        <f>IFERROR(C77*'⛽ المبيعات الشهرية'!E76/100,"")</f>
        <v>0</v>
      </c>
      <c r="G77" s="61">
        <f>IFERROR(C77*'⛽ المبيعات الشهرية'!F76/100,"")</f>
        <v>0</v>
      </c>
      <c r="H77" s="60">
        <f>IFERROR(C77*'⛽ المبيعات الشهرية'!G76/100,"")</f>
        <v>0</v>
      </c>
      <c r="I77" s="61">
        <f>IFERROR(C77*'⛽ المبيعات الشهرية'!H76/100,"")</f>
        <v>0</v>
      </c>
      <c r="J77" s="60">
        <f>IFERROR(C77*'⛽ المبيعات الشهرية'!I76/100,"")</f>
        <v>0</v>
      </c>
      <c r="K77" s="61">
        <f>IFERROR(C77*'⛽ المبيعات الشهرية'!J76/100,"")</f>
        <v>0</v>
      </c>
      <c r="L77" s="60">
        <f>IFERROR(C77*'⛽ المبيعات الشهرية'!K76/100,"")</f>
        <v>0</v>
      </c>
      <c r="M77" s="61">
        <f>IFERROR(C77*'⛽ المبيعات الشهرية'!L76/100,"")</f>
        <v>0</v>
      </c>
      <c r="N77" s="60">
        <f>IFERROR(C77*'⛽ المبيعات الشهرية'!M76/100,"")</f>
        <v>0</v>
      </c>
      <c r="O77" s="61">
        <f>IFERROR(C77*'⛽ المبيعات الشهرية'!N76/100,"")</f>
        <v>0</v>
      </c>
      <c r="P77" s="42">
        <f t="shared" si="10"/>
        <v>0</v>
      </c>
      <c r="Q77" s="62">
        <f>'📋 بيانات المحطات'!I76</f>
        <v>0</v>
      </c>
      <c r="R77" s="63">
        <f>IFERROR(Q77*'⛽ المبيعات الشهرية'!O76/100,"")</f>
        <v>0</v>
      </c>
      <c r="S77" s="61">
        <f>IFERROR(Q77*'⛽ المبيعات الشهرية'!P76/100,"")</f>
        <v>0</v>
      </c>
      <c r="T77" s="63">
        <f>IFERROR(Q77*'⛽ المبيعات الشهرية'!Q76/100,"")</f>
        <v>0</v>
      </c>
      <c r="U77" s="61">
        <f>IFERROR(Q77*'⛽ المبيعات الشهرية'!R76/100,"")</f>
        <v>0</v>
      </c>
      <c r="V77" s="63">
        <f>IFERROR(Q77*'⛽ المبيعات الشهرية'!S76/100,"")</f>
        <v>0</v>
      </c>
      <c r="W77" s="61">
        <f>IFERROR(Q77*'⛽ المبيعات الشهرية'!T76/100,"")</f>
        <v>0</v>
      </c>
      <c r="X77" s="63">
        <f>IFERROR(Q77*'⛽ المبيعات الشهرية'!U76/100,"")</f>
        <v>0</v>
      </c>
      <c r="Y77" s="61">
        <f>IFERROR(Q77*'⛽ المبيعات الشهرية'!V76/100,"")</f>
        <v>0</v>
      </c>
      <c r="Z77" s="63">
        <f>IFERROR(Q77*'⛽ المبيعات الشهرية'!W76/100,"")</f>
        <v>0</v>
      </c>
      <c r="AA77" s="61">
        <f>IFERROR(Q77*'⛽ المبيعات الشهرية'!X76/100,"")</f>
        <v>0</v>
      </c>
      <c r="AB77" s="63">
        <f>IFERROR(Q77*'⛽ المبيعات الشهرية'!Y76/100,"")</f>
        <v>0</v>
      </c>
      <c r="AC77" s="61">
        <f>IFERROR(Q77*'⛽ المبيعات الشهرية'!Z76/100,"")</f>
        <v>0</v>
      </c>
      <c r="AD77" s="42">
        <f t="shared" si="11"/>
        <v>0</v>
      </c>
      <c r="AE77" s="64">
        <f>'📋 بيانات المحطات'!J76</f>
        <v>0</v>
      </c>
      <c r="AF77" s="65">
        <f>IFERROR(AE77*'⛽ المبيعات الشهرية'!AA76/100,"")</f>
        <v>0</v>
      </c>
      <c r="AG77" s="61">
        <f>IFERROR(AE77*'⛽ المبيعات الشهرية'!AB76/100,"")</f>
        <v>0</v>
      </c>
      <c r="AH77" s="65">
        <f>IFERROR(AE77*'⛽ المبيعات الشهرية'!AC76/100,"")</f>
        <v>0</v>
      </c>
      <c r="AI77" s="61">
        <f>IFERROR(AE77*'⛽ المبيعات الشهرية'!AD76/100,"")</f>
        <v>0</v>
      </c>
      <c r="AJ77" s="65">
        <f>IFERROR(AE77*'⛽ المبيعات الشهرية'!AE76/100,"")</f>
        <v>0</v>
      </c>
      <c r="AK77" s="61">
        <f>IFERROR(AE77*'⛽ المبيعات الشهرية'!AF76/100,"")</f>
        <v>0</v>
      </c>
      <c r="AL77" s="65">
        <f>IFERROR(AE77*'⛽ المبيعات الشهرية'!AG76/100,"")</f>
        <v>0</v>
      </c>
      <c r="AM77" s="61">
        <f>IFERROR(AE77*'⛽ المبيعات الشهرية'!AH76/100,"")</f>
        <v>0</v>
      </c>
      <c r="AN77" s="65">
        <f>IFERROR(AE77*'⛽ المبيعات الشهرية'!AI76/100,"")</f>
        <v>0</v>
      </c>
      <c r="AO77" s="61">
        <f>IFERROR(AE77*'⛽ المبيعات الشهرية'!AJ76/100,"")</f>
        <v>0</v>
      </c>
      <c r="AP77" s="65">
        <f>IFERROR(AE77*'⛽ المبيعات الشهرية'!AK76/100,"")</f>
        <v>0</v>
      </c>
      <c r="AQ77" s="61">
        <f>IFERROR(AE77*'⛽ المبيعات الشهرية'!AL76/100,"")</f>
        <v>0</v>
      </c>
      <c r="AR77" s="42">
        <f t="shared" si="12"/>
        <v>0</v>
      </c>
      <c r="AS77" s="66">
        <f>'📋 بيانات المحطات'!K76</f>
        <v>0</v>
      </c>
      <c r="AT77" s="67">
        <f>IFERROR(AS77*'⛽ المبيعات الشهرية'!AM76/100,"")</f>
        <v>0</v>
      </c>
      <c r="AU77" s="61">
        <f>IFERROR(AS77*'⛽ المبيعات الشهرية'!AN76/100,"")</f>
        <v>0</v>
      </c>
      <c r="AV77" s="67">
        <f>IFERROR(AS77*'⛽ المبيعات الشهرية'!AO76/100,"")</f>
        <v>0</v>
      </c>
      <c r="AW77" s="61">
        <f>IFERROR(AS77*'⛽ المبيعات الشهرية'!AP76/100,"")</f>
        <v>0</v>
      </c>
      <c r="AX77" s="67">
        <f>IFERROR(AS77*'⛽ المبيعات الشهرية'!AQ76/100,"")</f>
        <v>0</v>
      </c>
      <c r="AY77" s="61">
        <f>IFERROR(AS77*'⛽ المبيعات الشهرية'!AR76/100,"")</f>
        <v>0</v>
      </c>
      <c r="AZ77" s="67">
        <f>IFERROR(AS77*'⛽ المبيعات الشهرية'!AS76/100,"")</f>
        <v>0</v>
      </c>
      <c r="BA77" s="61">
        <f>IFERROR(AS77*'⛽ المبيعات الشهرية'!AT76/100,"")</f>
        <v>0</v>
      </c>
      <c r="BB77" s="67">
        <f>IFERROR(AS77*'⛽ المبيعات الشهرية'!AU76/100,"")</f>
        <v>0</v>
      </c>
      <c r="BC77" s="61">
        <f>IFERROR(AS77*'⛽ المبيعات الشهرية'!AV76/100,"")</f>
        <v>0</v>
      </c>
      <c r="BD77" s="67">
        <f>IFERROR(AS77*'⛽ المبيعات الشهرية'!AW76/100,"")</f>
        <v>0</v>
      </c>
      <c r="BE77" s="61">
        <f>IFERROR(AS77*'⛽ المبيعات الشهرية'!AX76/100,"")</f>
        <v>0</v>
      </c>
      <c r="BF77" s="42">
        <f t="shared" si="13"/>
        <v>0</v>
      </c>
      <c r="BG77" s="68">
        <f t="shared" si="14"/>
        <v>0</v>
      </c>
    </row>
    <row r="78" spans="1:59" ht="21.75" customHeight="1" x14ac:dyDescent="0.35">
      <c r="A78" s="69" t="s">
        <v>231</v>
      </c>
      <c r="B78" s="36">
        <f>'📋 بيانات المحطات'!B77</f>
        <v>0</v>
      </c>
      <c r="C78" s="59">
        <f>'📋 بيانات المحطات'!H77</f>
        <v>0</v>
      </c>
      <c r="D78" s="60">
        <f>IFERROR(C78*'⛽ المبيعات الشهرية'!C77/100,"")</f>
        <v>0</v>
      </c>
      <c r="E78" s="61">
        <f>IFERROR(C78*'⛽ المبيعات الشهرية'!D77/100,"")</f>
        <v>0</v>
      </c>
      <c r="F78" s="60">
        <f>IFERROR(C78*'⛽ المبيعات الشهرية'!E77/100,"")</f>
        <v>0</v>
      </c>
      <c r="G78" s="61">
        <f>IFERROR(C78*'⛽ المبيعات الشهرية'!F77/100,"")</f>
        <v>0</v>
      </c>
      <c r="H78" s="60">
        <f>IFERROR(C78*'⛽ المبيعات الشهرية'!G77/100,"")</f>
        <v>0</v>
      </c>
      <c r="I78" s="61">
        <f>IFERROR(C78*'⛽ المبيعات الشهرية'!H77/100,"")</f>
        <v>0</v>
      </c>
      <c r="J78" s="60">
        <f>IFERROR(C78*'⛽ المبيعات الشهرية'!I77/100,"")</f>
        <v>0</v>
      </c>
      <c r="K78" s="61">
        <f>IFERROR(C78*'⛽ المبيعات الشهرية'!J77/100,"")</f>
        <v>0</v>
      </c>
      <c r="L78" s="60">
        <f>IFERROR(C78*'⛽ المبيعات الشهرية'!K77/100,"")</f>
        <v>0</v>
      </c>
      <c r="M78" s="61">
        <f>IFERROR(C78*'⛽ المبيعات الشهرية'!L77/100,"")</f>
        <v>0</v>
      </c>
      <c r="N78" s="60">
        <f>IFERROR(C78*'⛽ المبيعات الشهرية'!M77/100,"")</f>
        <v>0</v>
      </c>
      <c r="O78" s="61">
        <f>IFERROR(C78*'⛽ المبيعات الشهرية'!N77/100,"")</f>
        <v>0</v>
      </c>
      <c r="P78" s="42">
        <f t="shared" si="10"/>
        <v>0</v>
      </c>
      <c r="Q78" s="62">
        <f>'📋 بيانات المحطات'!I77</f>
        <v>0</v>
      </c>
      <c r="R78" s="63">
        <f>IFERROR(Q78*'⛽ المبيعات الشهرية'!O77/100,"")</f>
        <v>0</v>
      </c>
      <c r="S78" s="61">
        <f>IFERROR(Q78*'⛽ المبيعات الشهرية'!P77/100,"")</f>
        <v>0</v>
      </c>
      <c r="T78" s="63">
        <f>IFERROR(Q78*'⛽ المبيعات الشهرية'!Q77/100,"")</f>
        <v>0</v>
      </c>
      <c r="U78" s="61">
        <f>IFERROR(Q78*'⛽ المبيعات الشهرية'!R77/100,"")</f>
        <v>0</v>
      </c>
      <c r="V78" s="63">
        <f>IFERROR(Q78*'⛽ المبيعات الشهرية'!S77/100,"")</f>
        <v>0</v>
      </c>
      <c r="W78" s="61">
        <f>IFERROR(Q78*'⛽ المبيعات الشهرية'!T77/100,"")</f>
        <v>0</v>
      </c>
      <c r="X78" s="63">
        <f>IFERROR(Q78*'⛽ المبيعات الشهرية'!U77/100,"")</f>
        <v>0</v>
      </c>
      <c r="Y78" s="61">
        <f>IFERROR(Q78*'⛽ المبيعات الشهرية'!V77/100,"")</f>
        <v>0</v>
      </c>
      <c r="Z78" s="63">
        <f>IFERROR(Q78*'⛽ المبيعات الشهرية'!W77/100,"")</f>
        <v>0</v>
      </c>
      <c r="AA78" s="61">
        <f>IFERROR(Q78*'⛽ المبيعات الشهرية'!X77/100,"")</f>
        <v>0</v>
      </c>
      <c r="AB78" s="63">
        <f>IFERROR(Q78*'⛽ المبيعات الشهرية'!Y77/100,"")</f>
        <v>0</v>
      </c>
      <c r="AC78" s="61">
        <f>IFERROR(Q78*'⛽ المبيعات الشهرية'!Z77/100,"")</f>
        <v>0</v>
      </c>
      <c r="AD78" s="42">
        <f t="shared" si="11"/>
        <v>0</v>
      </c>
      <c r="AE78" s="64">
        <f>'📋 بيانات المحطات'!J77</f>
        <v>0</v>
      </c>
      <c r="AF78" s="65">
        <f>IFERROR(AE78*'⛽ المبيعات الشهرية'!AA77/100,"")</f>
        <v>0</v>
      </c>
      <c r="AG78" s="61">
        <f>IFERROR(AE78*'⛽ المبيعات الشهرية'!AB77/100,"")</f>
        <v>0</v>
      </c>
      <c r="AH78" s="65">
        <f>IFERROR(AE78*'⛽ المبيعات الشهرية'!AC77/100,"")</f>
        <v>0</v>
      </c>
      <c r="AI78" s="61">
        <f>IFERROR(AE78*'⛽ المبيعات الشهرية'!AD77/100,"")</f>
        <v>0</v>
      </c>
      <c r="AJ78" s="65">
        <f>IFERROR(AE78*'⛽ المبيعات الشهرية'!AE77/100,"")</f>
        <v>0</v>
      </c>
      <c r="AK78" s="61">
        <f>IFERROR(AE78*'⛽ المبيعات الشهرية'!AF77/100,"")</f>
        <v>0</v>
      </c>
      <c r="AL78" s="65">
        <f>IFERROR(AE78*'⛽ المبيعات الشهرية'!AG77/100,"")</f>
        <v>0</v>
      </c>
      <c r="AM78" s="61">
        <f>IFERROR(AE78*'⛽ المبيعات الشهرية'!AH77/100,"")</f>
        <v>0</v>
      </c>
      <c r="AN78" s="65">
        <f>IFERROR(AE78*'⛽ المبيعات الشهرية'!AI77/100,"")</f>
        <v>0</v>
      </c>
      <c r="AO78" s="61">
        <f>IFERROR(AE78*'⛽ المبيعات الشهرية'!AJ77/100,"")</f>
        <v>0</v>
      </c>
      <c r="AP78" s="65">
        <f>IFERROR(AE78*'⛽ المبيعات الشهرية'!AK77/100,"")</f>
        <v>0</v>
      </c>
      <c r="AQ78" s="61">
        <f>IFERROR(AE78*'⛽ المبيعات الشهرية'!AL77/100,"")</f>
        <v>0</v>
      </c>
      <c r="AR78" s="42">
        <f t="shared" si="12"/>
        <v>0</v>
      </c>
      <c r="AS78" s="66">
        <f>'📋 بيانات المحطات'!K77</f>
        <v>0</v>
      </c>
      <c r="AT78" s="67">
        <f>IFERROR(AS78*'⛽ المبيعات الشهرية'!AM77/100,"")</f>
        <v>0</v>
      </c>
      <c r="AU78" s="61">
        <f>IFERROR(AS78*'⛽ المبيعات الشهرية'!AN77/100,"")</f>
        <v>0</v>
      </c>
      <c r="AV78" s="67">
        <f>IFERROR(AS78*'⛽ المبيعات الشهرية'!AO77/100,"")</f>
        <v>0</v>
      </c>
      <c r="AW78" s="61">
        <f>IFERROR(AS78*'⛽ المبيعات الشهرية'!AP77/100,"")</f>
        <v>0</v>
      </c>
      <c r="AX78" s="67">
        <f>IFERROR(AS78*'⛽ المبيعات الشهرية'!AQ77/100,"")</f>
        <v>0</v>
      </c>
      <c r="AY78" s="61">
        <f>IFERROR(AS78*'⛽ المبيعات الشهرية'!AR77/100,"")</f>
        <v>0</v>
      </c>
      <c r="AZ78" s="67">
        <f>IFERROR(AS78*'⛽ المبيعات الشهرية'!AS77/100,"")</f>
        <v>0</v>
      </c>
      <c r="BA78" s="61">
        <f>IFERROR(AS78*'⛽ المبيعات الشهرية'!AT77/100,"")</f>
        <v>0</v>
      </c>
      <c r="BB78" s="67">
        <f>IFERROR(AS78*'⛽ المبيعات الشهرية'!AU77/100,"")</f>
        <v>0</v>
      </c>
      <c r="BC78" s="61">
        <f>IFERROR(AS78*'⛽ المبيعات الشهرية'!AV77/100,"")</f>
        <v>0</v>
      </c>
      <c r="BD78" s="67">
        <f>IFERROR(AS78*'⛽ المبيعات الشهرية'!AW77/100,"")</f>
        <v>0</v>
      </c>
      <c r="BE78" s="61">
        <f>IFERROR(AS78*'⛽ المبيعات الشهرية'!AX77/100,"")</f>
        <v>0</v>
      </c>
      <c r="BF78" s="42">
        <f t="shared" si="13"/>
        <v>0</v>
      </c>
      <c r="BG78" s="68">
        <f t="shared" si="14"/>
        <v>0</v>
      </c>
    </row>
    <row r="79" spans="1:59" ht="21.75" customHeight="1" x14ac:dyDescent="0.35">
      <c r="A79" s="58" t="s">
        <v>232</v>
      </c>
      <c r="B79" s="36">
        <f>'📋 بيانات المحطات'!B78</f>
        <v>0</v>
      </c>
      <c r="C79" s="59">
        <f>'📋 بيانات المحطات'!H78</f>
        <v>0</v>
      </c>
      <c r="D79" s="60">
        <f>IFERROR(C79*'⛽ المبيعات الشهرية'!C78/100,"")</f>
        <v>0</v>
      </c>
      <c r="E79" s="61">
        <f>IFERROR(C79*'⛽ المبيعات الشهرية'!D78/100,"")</f>
        <v>0</v>
      </c>
      <c r="F79" s="60">
        <f>IFERROR(C79*'⛽ المبيعات الشهرية'!E78/100,"")</f>
        <v>0</v>
      </c>
      <c r="G79" s="61">
        <f>IFERROR(C79*'⛽ المبيعات الشهرية'!F78/100,"")</f>
        <v>0</v>
      </c>
      <c r="H79" s="60">
        <f>IFERROR(C79*'⛽ المبيعات الشهرية'!G78/100,"")</f>
        <v>0</v>
      </c>
      <c r="I79" s="61">
        <f>IFERROR(C79*'⛽ المبيعات الشهرية'!H78/100,"")</f>
        <v>0</v>
      </c>
      <c r="J79" s="60">
        <f>IFERROR(C79*'⛽ المبيعات الشهرية'!I78/100,"")</f>
        <v>0</v>
      </c>
      <c r="K79" s="61">
        <f>IFERROR(C79*'⛽ المبيعات الشهرية'!J78/100,"")</f>
        <v>0</v>
      </c>
      <c r="L79" s="60">
        <f>IFERROR(C79*'⛽ المبيعات الشهرية'!K78/100,"")</f>
        <v>0</v>
      </c>
      <c r="M79" s="61">
        <f>IFERROR(C79*'⛽ المبيعات الشهرية'!L78/100,"")</f>
        <v>0</v>
      </c>
      <c r="N79" s="60">
        <f>IFERROR(C79*'⛽ المبيعات الشهرية'!M78/100,"")</f>
        <v>0</v>
      </c>
      <c r="O79" s="61">
        <f>IFERROR(C79*'⛽ المبيعات الشهرية'!N78/100,"")</f>
        <v>0</v>
      </c>
      <c r="P79" s="42">
        <f t="shared" si="10"/>
        <v>0</v>
      </c>
      <c r="Q79" s="62">
        <f>'📋 بيانات المحطات'!I78</f>
        <v>0</v>
      </c>
      <c r="R79" s="63">
        <f>IFERROR(Q79*'⛽ المبيعات الشهرية'!O78/100,"")</f>
        <v>0</v>
      </c>
      <c r="S79" s="61">
        <f>IFERROR(Q79*'⛽ المبيعات الشهرية'!P78/100,"")</f>
        <v>0</v>
      </c>
      <c r="T79" s="63">
        <f>IFERROR(Q79*'⛽ المبيعات الشهرية'!Q78/100,"")</f>
        <v>0</v>
      </c>
      <c r="U79" s="61">
        <f>IFERROR(Q79*'⛽ المبيعات الشهرية'!R78/100,"")</f>
        <v>0</v>
      </c>
      <c r="V79" s="63">
        <f>IFERROR(Q79*'⛽ المبيعات الشهرية'!S78/100,"")</f>
        <v>0</v>
      </c>
      <c r="W79" s="61">
        <f>IFERROR(Q79*'⛽ المبيعات الشهرية'!T78/100,"")</f>
        <v>0</v>
      </c>
      <c r="X79" s="63">
        <f>IFERROR(Q79*'⛽ المبيعات الشهرية'!U78/100,"")</f>
        <v>0</v>
      </c>
      <c r="Y79" s="61">
        <f>IFERROR(Q79*'⛽ المبيعات الشهرية'!V78/100,"")</f>
        <v>0</v>
      </c>
      <c r="Z79" s="63">
        <f>IFERROR(Q79*'⛽ المبيعات الشهرية'!W78/100,"")</f>
        <v>0</v>
      </c>
      <c r="AA79" s="61">
        <f>IFERROR(Q79*'⛽ المبيعات الشهرية'!X78/100,"")</f>
        <v>0</v>
      </c>
      <c r="AB79" s="63">
        <f>IFERROR(Q79*'⛽ المبيعات الشهرية'!Y78/100,"")</f>
        <v>0</v>
      </c>
      <c r="AC79" s="61">
        <f>IFERROR(Q79*'⛽ المبيعات الشهرية'!Z78/100,"")</f>
        <v>0</v>
      </c>
      <c r="AD79" s="42">
        <f t="shared" si="11"/>
        <v>0</v>
      </c>
      <c r="AE79" s="64">
        <f>'📋 بيانات المحطات'!J78</f>
        <v>0</v>
      </c>
      <c r="AF79" s="65">
        <f>IFERROR(AE79*'⛽ المبيعات الشهرية'!AA78/100,"")</f>
        <v>0</v>
      </c>
      <c r="AG79" s="61">
        <f>IFERROR(AE79*'⛽ المبيعات الشهرية'!AB78/100,"")</f>
        <v>0</v>
      </c>
      <c r="AH79" s="65">
        <f>IFERROR(AE79*'⛽ المبيعات الشهرية'!AC78/100,"")</f>
        <v>0</v>
      </c>
      <c r="AI79" s="61">
        <f>IFERROR(AE79*'⛽ المبيعات الشهرية'!AD78/100,"")</f>
        <v>0</v>
      </c>
      <c r="AJ79" s="65">
        <f>IFERROR(AE79*'⛽ المبيعات الشهرية'!AE78/100,"")</f>
        <v>0</v>
      </c>
      <c r="AK79" s="61">
        <f>IFERROR(AE79*'⛽ المبيعات الشهرية'!AF78/100,"")</f>
        <v>0</v>
      </c>
      <c r="AL79" s="65">
        <f>IFERROR(AE79*'⛽ المبيعات الشهرية'!AG78/100,"")</f>
        <v>0</v>
      </c>
      <c r="AM79" s="61">
        <f>IFERROR(AE79*'⛽ المبيعات الشهرية'!AH78/100,"")</f>
        <v>0</v>
      </c>
      <c r="AN79" s="65">
        <f>IFERROR(AE79*'⛽ المبيعات الشهرية'!AI78/100,"")</f>
        <v>0</v>
      </c>
      <c r="AO79" s="61">
        <f>IFERROR(AE79*'⛽ المبيعات الشهرية'!AJ78/100,"")</f>
        <v>0</v>
      </c>
      <c r="AP79" s="65">
        <f>IFERROR(AE79*'⛽ المبيعات الشهرية'!AK78/100,"")</f>
        <v>0</v>
      </c>
      <c r="AQ79" s="61">
        <f>IFERROR(AE79*'⛽ المبيعات الشهرية'!AL78/100,"")</f>
        <v>0</v>
      </c>
      <c r="AR79" s="42">
        <f t="shared" si="12"/>
        <v>0</v>
      </c>
      <c r="AS79" s="66">
        <f>'📋 بيانات المحطات'!K78</f>
        <v>0</v>
      </c>
      <c r="AT79" s="67">
        <f>IFERROR(AS79*'⛽ المبيعات الشهرية'!AM78/100,"")</f>
        <v>0</v>
      </c>
      <c r="AU79" s="61">
        <f>IFERROR(AS79*'⛽ المبيعات الشهرية'!AN78/100,"")</f>
        <v>0</v>
      </c>
      <c r="AV79" s="67">
        <f>IFERROR(AS79*'⛽ المبيعات الشهرية'!AO78/100,"")</f>
        <v>0</v>
      </c>
      <c r="AW79" s="61">
        <f>IFERROR(AS79*'⛽ المبيعات الشهرية'!AP78/100,"")</f>
        <v>0</v>
      </c>
      <c r="AX79" s="67">
        <f>IFERROR(AS79*'⛽ المبيعات الشهرية'!AQ78/100,"")</f>
        <v>0</v>
      </c>
      <c r="AY79" s="61">
        <f>IFERROR(AS79*'⛽ المبيعات الشهرية'!AR78/100,"")</f>
        <v>0</v>
      </c>
      <c r="AZ79" s="67">
        <f>IFERROR(AS79*'⛽ المبيعات الشهرية'!AS78/100,"")</f>
        <v>0</v>
      </c>
      <c r="BA79" s="61">
        <f>IFERROR(AS79*'⛽ المبيعات الشهرية'!AT78/100,"")</f>
        <v>0</v>
      </c>
      <c r="BB79" s="67">
        <f>IFERROR(AS79*'⛽ المبيعات الشهرية'!AU78/100,"")</f>
        <v>0</v>
      </c>
      <c r="BC79" s="61">
        <f>IFERROR(AS79*'⛽ المبيعات الشهرية'!AV78/100,"")</f>
        <v>0</v>
      </c>
      <c r="BD79" s="67">
        <f>IFERROR(AS79*'⛽ المبيعات الشهرية'!AW78/100,"")</f>
        <v>0</v>
      </c>
      <c r="BE79" s="61">
        <f>IFERROR(AS79*'⛽ المبيعات الشهرية'!AX78/100,"")</f>
        <v>0</v>
      </c>
      <c r="BF79" s="42">
        <f t="shared" si="13"/>
        <v>0</v>
      </c>
      <c r="BG79" s="68">
        <f t="shared" si="14"/>
        <v>0</v>
      </c>
    </row>
    <row r="80" spans="1:59" ht="21.75" customHeight="1" x14ac:dyDescent="0.35">
      <c r="A80" s="69" t="s">
        <v>233</v>
      </c>
      <c r="B80" s="36">
        <f>'📋 بيانات المحطات'!B79</f>
        <v>0</v>
      </c>
      <c r="C80" s="59">
        <f>'📋 بيانات المحطات'!H79</f>
        <v>0</v>
      </c>
      <c r="D80" s="60">
        <f>IFERROR(C80*'⛽ المبيعات الشهرية'!C79/100,"")</f>
        <v>0</v>
      </c>
      <c r="E80" s="61">
        <f>IFERROR(C80*'⛽ المبيعات الشهرية'!D79/100,"")</f>
        <v>0</v>
      </c>
      <c r="F80" s="60">
        <f>IFERROR(C80*'⛽ المبيعات الشهرية'!E79/100,"")</f>
        <v>0</v>
      </c>
      <c r="G80" s="61">
        <f>IFERROR(C80*'⛽ المبيعات الشهرية'!F79/100,"")</f>
        <v>0</v>
      </c>
      <c r="H80" s="60">
        <f>IFERROR(C80*'⛽ المبيعات الشهرية'!G79/100,"")</f>
        <v>0</v>
      </c>
      <c r="I80" s="61">
        <f>IFERROR(C80*'⛽ المبيعات الشهرية'!H79/100,"")</f>
        <v>0</v>
      </c>
      <c r="J80" s="60">
        <f>IFERROR(C80*'⛽ المبيعات الشهرية'!I79/100,"")</f>
        <v>0</v>
      </c>
      <c r="K80" s="61">
        <f>IFERROR(C80*'⛽ المبيعات الشهرية'!J79/100,"")</f>
        <v>0</v>
      </c>
      <c r="L80" s="60">
        <f>IFERROR(C80*'⛽ المبيعات الشهرية'!K79/100,"")</f>
        <v>0</v>
      </c>
      <c r="M80" s="61">
        <f>IFERROR(C80*'⛽ المبيعات الشهرية'!L79/100,"")</f>
        <v>0</v>
      </c>
      <c r="N80" s="60">
        <f>IFERROR(C80*'⛽ المبيعات الشهرية'!M79/100,"")</f>
        <v>0</v>
      </c>
      <c r="O80" s="61">
        <f>IFERROR(C80*'⛽ المبيعات الشهرية'!N79/100,"")</f>
        <v>0</v>
      </c>
      <c r="P80" s="42">
        <f t="shared" si="10"/>
        <v>0</v>
      </c>
      <c r="Q80" s="62">
        <f>'📋 بيانات المحطات'!I79</f>
        <v>0</v>
      </c>
      <c r="R80" s="63">
        <f>IFERROR(Q80*'⛽ المبيعات الشهرية'!O79/100,"")</f>
        <v>0</v>
      </c>
      <c r="S80" s="61">
        <f>IFERROR(Q80*'⛽ المبيعات الشهرية'!P79/100,"")</f>
        <v>0</v>
      </c>
      <c r="T80" s="63">
        <f>IFERROR(Q80*'⛽ المبيعات الشهرية'!Q79/100,"")</f>
        <v>0</v>
      </c>
      <c r="U80" s="61">
        <f>IFERROR(Q80*'⛽ المبيعات الشهرية'!R79/100,"")</f>
        <v>0</v>
      </c>
      <c r="V80" s="63">
        <f>IFERROR(Q80*'⛽ المبيعات الشهرية'!S79/100,"")</f>
        <v>0</v>
      </c>
      <c r="W80" s="61">
        <f>IFERROR(Q80*'⛽ المبيعات الشهرية'!T79/100,"")</f>
        <v>0</v>
      </c>
      <c r="X80" s="63">
        <f>IFERROR(Q80*'⛽ المبيعات الشهرية'!U79/100,"")</f>
        <v>0</v>
      </c>
      <c r="Y80" s="61">
        <f>IFERROR(Q80*'⛽ المبيعات الشهرية'!V79/100,"")</f>
        <v>0</v>
      </c>
      <c r="Z80" s="63">
        <f>IFERROR(Q80*'⛽ المبيعات الشهرية'!W79/100,"")</f>
        <v>0</v>
      </c>
      <c r="AA80" s="61">
        <f>IFERROR(Q80*'⛽ المبيعات الشهرية'!X79/100,"")</f>
        <v>0</v>
      </c>
      <c r="AB80" s="63">
        <f>IFERROR(Q80*'⛽ المبيعات الشهرية'!Y79/100,"")</f>
        <v>0</v>
      </c>
      <c r="AC80" s="61">
        <f>IFERROR(Q80*'⛽ المبيعات الشهرية'!Z79/100,"")</f>
        <v>0</v>
      </c>
      <c r="AD80" s="42">
        <f t="shared" si="11"/>
        <v>0</v>
      </c>
      <c r="AE80" s="64">
        <f>'📋 بيانات المحطات'!J79</f>
        <v>0</v>
      </c>
      <c r="AF80" s="65">
        <f>IFERROR(AE80*'⛽ المبيعات الشهرية'!AA79/100,"")</f>
        <v>0</v>
      </c>
      <c r="AG80" s="61">
        <f>IFERROR(AE80*'⛽ المبيعات الشهرية'!AB79/100,"")</f>
        <v>0</v>
      </c>
      <c r="AH80" s="65">
        <f>IFERROR(AE80*'⛽ المبيعات الشهرية'!AC79/100,"")</f>
        <v>0</v>
      </c>
      <c r="AI80" s="61">
        <f>IFERROR(AE80*'⛽ المبيعات الشهرية'!AD79/100,"")</f>
        <v>0</v>
      </c>
      <c r="AJ80" s="65">
        <f>IFERROR(AE80*'⛽ المبيعات الشهرية'!AE79/100,"")</f>
        <v>0</v>
      </c>
      <c r="AK80" s="61">
        <f>IFERROR(AE80*'⛽ المبيعات الشهرية'!AF79/100,"")</f>
        <v>0</v>
      </c>
      <c r="AL80" s="65">
        <f>IFERROR(AE80*'⛽ المبيعات الشهرية'!AG79/100,"")</f>
        <v>0</v>
      </c>
      <c r="AM80" s="61">
        <f>IFERROR(AE80*'⛽ المبيعات الشهرية'!AH79/100,"")</f>
        <v>0</v>
      </c>
      <c r="AN80" s="65">
        <f>IFERROR(AE80*'⛽ المبيعات الشهرية'!AI79/100,"")</f>
        <v>0</v>
      </c>
      <c r="AO80" s="61">
        <f>IFERROR(AE80*'⛽ المبيعات الشهرية'!AJ79/100,"")</f>
        <v>0</v>
      </c>
      <c r="AP80" s="65">
        <f>IFERROR(AE80*'⛽ المبيعات الشهرية'!AK79/100,"")</f>
        <v>0</v>
      </c>
      <c r="AQ80" s="61">
        <f>IFERROR(AE80*'⛽ المبيعات الشهرية'!AL79/100,"")</f>
        <v>0</v>
      </c>
      <c r="AR80" s="42">
        <f t="shared" si="12"/>
        <v>0</v>
      </c>
      <c r="AS80" s="66">
        <f>'📋 بيانات المحطات'!K79</f>
        <v>0</v>
      </c>
      <c r="AT80" s="67">
        <f>IFERROR(AS80*'⛽ المبيعات الشهرية'!AM79/100,"")</f>
        <v>0</v>
      </c>
      <c r="AU80" s="61">
        <f>IFERROR(AS80*'⛽ المبيعات الشهرية'!AN79/100,"")</f>
        <v>0</v>
      </c>
      <c r="AV80" s="67">
        <f>IFERROR(AS80*'⛽ المبيعات الشهرية'!AO79/100,"")</f>
        <v>0</v>
      </c>
      <c r="AW80" s="61">
        <f>IFERROR(AS80*'⛽ المبيعات الشهرية'!AP79/100,"")</f>
        <v>0</v>
      </c>
      <c r="AX80" s="67">
        <f>IFERROR(AS80*'⛽ المبيعات الشهرية'!AQ79/100,"")</f>
        <v>0</v>
      </c>
      <c r="AY80" s="61">
        <f>IFERROR(AS80*'⛽ المبيعات الشهرية'!AR79/100,"")</f>
        <v>0</v>
      </c>
      <c r="AZ80" s="67">
        <f>IFERROR(AS80*'⛽ المبيعات الشهرية'!AS79/100,"")</f>
        <v>0</v>
      </c>
      <c r="BA80" s="61">
        <f>IFERROR(AS80*'⛽ المبيعات الشهرية'!AT79/100,"")</f>
        <v>0</v>
      </c>
      <c r="BB80" s="67">
        <f>IFERROR(AS80*'⛽ المبيعات الشهرية'!AU79/100,"")</f>
        <v>0</v>
      </c>
      <c r="BC80" s="61">
        <f>IFERROR(AS80*'⛽ المبيعات الشهرية'!AV79/100,"")</f>
        <v>0</v>
      </c>
      <c r="BD80" s="67">
        <f>IFERROR(AS80*'⛽ المبيعات الشهرية'!AW79/100,"")</f>
        <v>0</v>
      </c>
      <c r="BE80" s="61">
        <f>IFERROR(AS80*'⛽ المبيعات الشهرية'!AX79/100,"")</f>
        <v>0</v>
      </c>
      <c r="BF80" s="42">
        <f t="shared" si="13"/>
        <v>0</v>
      </c>
      <c r="BG80" s="68">
        <f t="shared" si="14"/>
        <v>0</v>
      </c>
    </row>
    <row r="81" spans="1:59" ht="21.75" customHeight="1" x14ac:dyDescent="0.35">
      <c r="A81" s="58" t="s">
        <v>234</v>
      </c>
      <c r="B81" s="36">
        <f>'📋 بيانات المحطات'!B80</f>
        <v>0</v>
      </c>
      <c r="C81" s="59">
        <f>'📋 بيانات المحطات'!H80</f>
        <v>0</v>
      </c>
      <c r="D81" s="60">
        <f>IFERROR(C81*'⛽ المبيعات الشهرية'!C80/100,"")</f>
        <v>0</v>
      </c>
      <c r="E81" s="61">
        <f>IFERROR(C81*'⛽ المبيعات الشهرية'!D80/100,"")</f>
        <v>0</v>
      </c>
      <c r="F81" s="60">
        <f>IFERROR(C81*'⛽ المبيعات الشهرية'!E80/100,"")</f>
        <v>0</v>
      </c>
      <c r="G81" s="61">
        <f>IFERROR(C81*'⛽ المبيعات الشهرية'!F80/100,"")</f>
        <v>0</v>
      </c>
      <c r="H81" s="60">
        <f>IFERROR(C81*'⛽ المبيعات الشهرية'!G80/100,"")</f>
        <v>0</v>
      </c>
      <c r="I81" s="61">
        <f>IFERROR(C81*'⛽ المبيعات الشهرية'!H80/100,"")</f>
        <v>0</v>
      </c>
      <c r="J81" s="60">
        <f>IFERROR(C81*'⛽ المبيعات الشهرية'!I80/100,"")</f>
        <v>0</v>
      </c>
      <c r="K81" s="61">
        <f>IFERROR(C81*'⛽ المبيعات الشهرية'!J80/100,"")</f>
        <v>0</v>
      </c>
      <c r="L81" s="60">
        <f>IFERROR(C81*'⛽ المبيعات الشهرية'!K80/100,"")</f>
        <v>0</v>
      </c>
      <c r="M81" s="61">
        <f>IFERROR(C81*'⛽ المبيعات الشهرية'!L80/100,"")</f>
        <v>0</v>
      </c>
      <c r="N81" s="60">
        <f>IFERROR(C81*'⛽ المبيعات الشهرية'!M80/100,"")</f>
        <v>0</v>
      </c>
      <c r="O81" s="61">
        <f>IFERROR(C81*'⛽ المبيعات الشهرية'!N80/100,"")</f>
        <v>0</v>
      </c>
      <c r="P81" s="42">
        <f t="shared" si="10"/>
        <v>0</v>
      </c>
      <c r="Q81" s="62">
        <f>'📋 بيانات المحطات'!I80</f>
        <v>0</v>
      </c>
      <c r="R81" s="63">
        <f>IFERROR(Q81*'⛽ المبيعات الشهرية'!O80/100,"")</f>
        <v>0</v>
      </c>
      <c r="S81" s="61">
        <f>IFERROR(Q81*'⛽ المبيعات الشهرية'!P80/100,"")</f>
        <v>0</v>
      </c>
      <c r="T81" s="63">
        <f>IFERROR(Q81*'⛽ المبيعات الشهرية'!Q80/100,"")</f>
        <v>0</v>
      </c>
      <c r="U81" s="61">
        <f>IFERROR(Q81*'⛽ المبيعات الشهرية'!R80/100,"")</f>
        <v>0</v>
      </c>
      <c r="V81" s="63">
        <f>IFERROR(Q81*'⛽ المبيعات الشهرية'!S80/100,"")</f>
        <v>0</v>
      </c>
      <c r="W81" s="61">
        <f>IFERROR(Q81*'⛽ المبيعات الشهرية'!T80/100,"")</f>
        <v>0</v>
      </c>
      <c r="X81" s="63">
        <f>IFERROR(Q81*'⛽ المبيعات الشهرية'!U80/100,"")</f>
        <v>0</v>
      </c>
      <c r="Y81" s="61">
        <f>IFERROR(Q81*'⛽ المبيعات الشهرية'!V80/100,"")</f>
        <v>0</v>
      </c>
      <c r="Z81" s="63">
        <f>IFERROR(Q81*'⛽ المبيعات الشهرية'!W80/100,"")</f>
        <v>0</v>
      </c>
      <c r="AA81" s="61">
        <f>IFERROR(Q81*'⛽ المبيعات الشهرية'!X80/100,"")</f>
        <v>0</v>
      </c>
      <c r="AB81" s="63">
        <f>IFERROR(Q81*'⛽ المبيعات الشهرية'!Y80/100,"")</f>
        <v>0</v>
      </c>
      <c r="AC81" s="61">
        <f>IFERROR(Q81*'⛽ المبيعات الشهرية'!Z80/100,"")</f>
        <v>0</v>
      </c>
      <c r="AD81" s="42">
        <f t="shared" si="11"/>
        <v>0</v>
      </c>
      <c r="AE81" s="64">
        <f>'📋 بيانات المحطات'!J80</f>
        <v>0</v>
      </c>
      <c r="AF81" s="65">
        <f>IFERROR(AE81*'⛽ المبيعات الشهرية'!AA80/100,"")</f>
        <v>0</v>
      </c>
      <c r="AG81" s="61">
        <f>IFERROR(AE81*'⛽ المبيعات الشهرية'!AB80/100,"")</f>
        <v>0</v>
      </c>
      <c r="AH81" s="65">
        <f>IFERROR(AE81*'⛽ المبيعات الشهرية'!AC80/100,"")</f>
        <v>0</v>
      </c>
      <c r="AI81" s="61">
        <f>IFERROR(AE81*'⛽ المبيعات الشهرية'!AD80/100,"")</f>
        <v>0</v>
      </c>
      <c r="AJ81" s="65">
        <f>IFERROR(AE81*'⛽ المبيعات الشهرية'!AE80/100,"")</f>
        <v>0</v>
      </c>
      <c r="AK81" s="61">
        <f>IFERROR(AE81*'⛽ المبيعات الشهرية'!AF80/100,"")</f>
        <v>0</v>
      </c>
      <c r="AL81" s="65">
        <f>IFERROR(AE81*'⛽ المبيعات الشهرية'!AG80/100,"")</f>
        <v>0</v>
      </c>
      <c r="AM81" s="61">
        <f>IFERROR(AE81*'⛽ المبيعات الشهرية'!AH80/100,"")</f>
        <v>0</v>
      </c>
      <c r="AN81" s="65">
        <f>IFERROR(AE81*'⛽ المبيعات الشهرية'!AI80/100,"")</f>
        <v>0</v>
      </c>
      <c r="AO81" s="61">
        <f>IFERROR(AE81*'⛽ المبيعات الشهرية'!AJ80/100,"")</f>
        <v>0</v>
      </c>
      <c r="AP81" s="65">
        <f>IFERROR(AE81*'⛽ المبيعات الشهرية'!AK80/100,"")</f>
        <v>0</v>
      </c>
      <c r="AQ81" s="61">
        <f>IFERROR(AE81*'⛽ المبيعات الشهرية'!AL80/100,"")</f>
        <v>0</v>
      </c>
      <c r="AR81" s="42">
        <f t="shared" si="12"/>
        <v>0</v>
      </c>
      <c r="AS81" s="66">
        <f>'📋 بيانات المحطات'!K80</f>
        <v>0</v>
      </c>
      <c r="AT81" s="67">
        <f>IFERROR(AS81*'⛽ المبيعات الشهرية'!AM80/100,"")</f>
        <v>0</v>
      </c>
      <c r="AU81" s="61">
        <f>IFERROR(AS81*'⛽ المبيعات الشهرية'!AN80/100,"")</f>
        <v>0</v>
      </c>
      <c r="AV81" s="67">
        <f>IFERROR(AS81*'⛽ المبيعات الشهرية'!AO80/100,"")</f>
        <v>0</v>
      </c>
      <c r="AW81" s="61">
        <f>IFERROR(AS81*'⛽ المبيعات الشهرية'!AP80/100,"")</f>
        <v>0</v>
      </c>
      <c r="AX81" s="67">
        <f>IFERROR(AS81*'⛽ المبيعات الشهرية'!AQ80/100,"")</f>
        <v>0</v>
      </c>
      <c r="AY81" s="61">
        <f>IFERROR(AS81*'⛽ المبيعات الشهرية'!AR80/100,"")</f>
        <v>0</v>
      </c>
      <c r="AZ81" s="67">
        <f>IFERROR(AS81*'⛽ المبيعات الشهرية'!AS80/100,"")</f>
        <v>0</v>
      </c>
      <c r="BA81" s="61">
        <f>IFERROR(AS81*'⛽ المبيعات الشهرية'!AT80/100,"")</f>
        <v>0</v>
      </c>
      <c r="BB81" s="67">
        <f>IFERROR(AS81*'⛽ المبيعات الشهرية'!AU80/100,"")</f>
        <v>0</v>
      </c>
      <c r="BC81" s="61">
        <f>IFERROR(AS81*'⛽ المبيعات الشهرية'!AV80/100,"")</f>
        <v>0</v>
      </c>
      <c r="BD81" s="67">
        <f>IFERROR(AS81*'⛽ المبيعات الشهرية'!AW80/100,"")</f>
        <v>0</v>
      </c>
      <c r="BE81" s="61">
        <f>IFERROR(AS81*'⛽ المبيعات الشهرية'!AX80/100,"")</f>
        <v>0</v>
      </c>
      <c r="BF81" s="42">
        <f t="shared" si="13"/>
        <v>0</v>
      </c>
      <c r="BG81" s="68">
        <f t="shared" si="14"/>
        <v>0</v>
      </c>
    </row>
    <row r="82" spans="1:59" ht="21.75" customHeight="1" x14ac:dyDescent="0.35">
      <c r="A82" s="69" t="s">
        <v>235</v>
      </c>
      <c r="B82" s="36">
        <f>'📋 بيانات المحطات'!B81</f>
        <v>0</v>
      </c>
      <c r="C82" s="59">
        <f>'📋 بيانات المحطات'!H81</f>
        <v>0</v>
      </c>
      <c r="D82" s="60">
        <f>IFERROR(C82*'⛽ المبيعات الشهرية'!C81/100,"")</f>
        <v>0</v>
      </c>
      <c r="E82" s="61">
        <f>IFERROR(C82*'⛽ المبيعات الشهرية'!D81/100,"")</f>
        <v>0</v>
      </c>
      <c r="F82" s="60">
        <f>IFERROR(C82*'⛽ المبيعات الشهرية'!E81/100,"")</f>
        <v>0</v>
      </c>
      <c r="G82" s="61">
        <f>IFERROR(C82*'⛽ المبيعات الشهرية'!F81/100,"")</f>
        <v>0</v>
      </c>
      <c r="H82" s="60">
        <f>IFERROR(C82*'⛽ المبيعات الشهرية'!G81/100,"")</f>
        <v>0</v>
      </c>
      <c r="I82" s="61">
        <f>IFERROR(C82*'⛽ المبيعات الشهرية'!H81/100,"")</f>
        <v>0</v>
      </c>
      <c r="J82" s="60">
        <f>IFERROR(C82*'⛽ المبيعات الشهرية'!I81/100,"")</f>
        <v>0</v>
      </c>
      <c r="K82" s="61">
        <f>IFERROR(C82*'⛽ المبيعات الشهرية'!J81/100,"")</f>
        <v>0</v>
      </c>
      <c r="L82" s="60">
        <f>IFERROR(C82*'⛽ المبيعات الشهرية'!K81/100,"")</f>
        <v>0</v>
      </c>
      <c r="M82" s="61">
        <f>IFERROR(C82*'⛽ المبيعات الشهرية'!L81/100,"")</f>
        <v>0</v>
      </c>
      <c r="N82" s="60">
        <f>IFERROR(C82*'⛽ المبيعات الشهرية'!M81/100,"")</f>
        <v>0</v>
      </c>
      <c r="O82" s="61">
        <f>IFERROR(C82*'⛽ المبيعات الشهرية'!N81/100,"")</f>
        <v>0</v>
      </c>
      <c r="P82" s="42">
        <f t="shared" si="10"/>
        <v>0</v>
      </c>
      <c r="Q82" s="62">
        <f>'📋 بيانات المحطات'!I81</f>
        <v>0</v>
      </c>
      <c r="R82" s="63">
        <f>IFERROR(Q82*'⛽ المبيعات الشهرية'!O81/100,"")</f>
        <v>0</v>
      </c>
      <c r="S82" s="61">
        <f>IFERROR(Q82*'⛽ المبيعات الشهرية'!P81/100,"")</f>
        <v>0</v>
      </c>
      <c r="T82" s="63">
        <f>IFERROR(Q82*'⛽ المبيعات الشهرية'!Q81/100,"")</f>
        <v>0</v>
      </c>
      <c r="U82" s="61">
        <f>IFERROR(Q82*'⛽ المبيعات الشهرية'!R81/100,"")</f>
        <v>0</v>
      </c>
      <c r="V82" s="63">
        <f>IFERROR(Q82*'⛽ المبيعات الشهرية'!S81/100,"")</f>
        <v>0</v>
      </c>
      <c r="W82" s="61">
        <f>IFERROR(Q82*'⛽ المبيعات الشهرية'!T81/100,"")</f>
        <v>0</v>
      </c>
      <c r="X82" s="63">
        <f>IFERROR(Q82*'⛽ المبيعات الشهرية'!U81/100,"")</f>
        <v>0</v>
      </c>
      <c r="Y82" s="61">
        <f>IFERROR(Q82*'⛽ المبيعات الشهرية'!V81/100,"")</f>
        <v>0</v>
      </c>
      <c r="Z82" s="63">
        <f>IFERROR(Q82*'⛽ المبيعات الشهرية'!W81/100,"")</f>
        <v>0</v>
      </c>
      <c r="AA82" s="61">
        <f>IFERROR(Q82*'⛽ المبيعات الشهرية'!X81/100,"")</f>
        <v>0</v>
      </c>
      <c r="AB82" s="63">
        <f>IFERROR(Q82*'⛽ المبيعات الشهرية'!Y81/100,"")</f>
        <v>0</v>
      </c>
      <c r="AC82" s="61">
        <f>IFERROR(Q82*'⛽ المبيعات الشهرية'!Z81/100,"")</f>
        <v>0</v>
      </c>
      <c r="AD82" s="42">
        <f t="shared" si="11"/>
        <v>0</v>
      </c>
      <c r="AE82" s="64">
        <f>'📋 بيانات المحطات'!J81</f>
        <v>0</v>
      </c>
      <c r="AF82" s="65">
        <f>IFERROR(AE82*'⛽ المبيعات الشهرية'!AA81/100,"")</f>
        <v>0</v>
      </c>
      <c r="AG82" s="61">
        <f>IFERROR(AE82*'⛽ المبيعات الشهرية'!AB81/100,"")</f>
        <v>0</v>
      </c>
      <c r="AH82" s="65">
        <f>IFERROR(AE82*'⛽ المبيعات الشهرية'!AC81/100,"")</f>
        <v>0</v>
      </c>
      <c r="AI82" s="61">
        <f>IFERROR(AE82*'⛽ المبيعات الشهرية'!AD81/100,"")</f>
        <v>0</v>
      </c>
      <c r="AJ82" s="65">
        <f>IFERROR(AE82*'⛽ المبيعات الشهرية'!AE81/100,"")</f>
        <v>0</v>
      </c>
      <c r="AK82" s="61">
        <f>IFERROR(AE82*'⛽ المبيعات الشهرية'!AF81/100,"")</f>
        <v>0</v>
      </c>
      <c r="AL82" s="65">
        <f>IFERROR(AE82*'⛽ المبيعات الشهرية'!AG81/100,"")</f>
        <v>0</v>
      </c>
      <c r="AM82" s="61">
        <f>IFERROR(AE82*'⛽ المبيعات الشهرية'!AH81/100,"")</f>
        <v>0</v>
      </c>
      <c r="AN82" s="65">
        <f>IFERROR(AE82*'⛽ المبيعات الشهرية'!AI81/100,"")</f>
        <v>0</v>
      </c>
      <c r="AO82" s="61">
        <f>IFERROR(AE82*'⛽ المبيعات الشهرية'!AJ81/100,"")</f>
        <v>0</v>
      </c>
      <c r="AP82" s="65">
        <f>IFERROR(AE82*'⛽ المبيعات الشهرية'!AK81/100,"")</f>
        <v>0</v>
      </c>
      <c r="AQ82" s="61">
        <f>IFERROR(AE82*'⛽ المبيعات الشهرية'!AL81/100,"")</f>
        <v>0</v>
      </c>
      <c r="AR82" s="42">
        <f t="shared" si="12"/>
        <v>0</v>
      </c>
      <c r="AS82" s="66">
        <f>'📋 بيانات المحطات'!K81</f>
        <v>0</v>
      </c>
      <c r="AT82" s="67">
        <f>IFERROR(AS82*'⛽ المبيعات الشهرية'!AM81/100,"")</f>
        <v>0</v>
      </c>
      <c r="AU82" s="61">
        <f>IFERROR(AS82*'⛽ المبيعات الشهرية'!AN81/100,"")</f>
        <v>0</v>
      </c>
      <c r="AV82" s="67">
        <f>IFERROR(AS82*'⛽ المبيعات الشهرية'!AO81/100,"")</f>
        <v>0</v>
      </c>
      <c r="AW82" s="61">
        <f>IFERROR(AS82*'⛽ المبيعات الشهرية'!AP81/100,"")</f>
        <v>0</v>
      </c>
      <c r="AX82" s="67">
        <f>IFERROR(AS82*'⛽ المبيعات الشهرية'!AQ81/100,"")</f>
        <v>0</v>
      </c>
      <c r="AY82" s="61">
        <f>IFERROR(AS82*'⛽ المبيعات الشهرية'!AR81/100,"")</f>
        <v>0</v>
      </c>
      <c r="AZ82" s="67">
        <f>IFERROR(AS82*'⛽ المبيعات الشهرية'!AS81/100,"")</f>
        <v>0</v>
      </c>
      <c r="BA82" s="61">
        <f>IFERROR(AS82*'⛽ المبيعات الشهرية'!AT81/100,"")</f>
        <v>0</v>
      </c>
      <c r="BB82" s="67">
        <f>IFERROR(AS82*'⛽ المبيعات الشهرية'!AU81/100,"")</f>
        <v>0</v>
      </c>
      <c r="BC82" s="61">
        <f>IFERROR(AS82*'⛽ المبيعات الشهرية'!AV81/100,"")</f>
        <v>0</v>
      </c>
      <c r="BD82" s="67">
        <f>IFERROR(AS82*'⛽ المبيعات الشهرية'!AW81/100,"")</f>
        <v>0</v>
      </c>
      <c r="BE82" s="61">
        <f>IFERROR(AS82*'⛽ المبيعات الشهرية'!AX81/100,"")</f>
        <v>0</v>
      </c>
      <c r="BF82" s="42">
        <f t="shared" si="13"/>
        <v>0</v>
      </c>
      <c r="BG82" s="68">
        <f t="shared" si="14"/>
        <v>0</v>
      </c>
    </row>
    <row r="83" spans="1:59" ht="21.75" customHeight="1" x14ac:dyDescent="0.35">
      <c r="A83" s="58" t="s">
        <v>236</v>
      </c>
      <c r="B83" s="36">
        <f>'📋 بيانات المحطات'!B82</f>
        <v>0</v>
      </c>
      <c r="C83" s="59">
        <f>'📋 بيانات المحطات'!H82</f>
        <v>0</v>
      </c>
      <c r="D83" s="60">
        <f>IFERROR(C83*'⛽ المبيعات الشهرية'!C82/100,"")</f>
        <v>0</v>
      </c>
      <c r="E83" s="61">
        <f>IFERROR(C83*'⛽ المبيعات الشهرية'!D82/100,"")</f>
        <v>0</v>
      </c>
      <c r="F83" s="60">
        <f>IFERROR(C83*'⛽ المبيعات الشهرية'!E82/100,"")</f>
        <v>0</v>
      </c>
      <c r="G83" s="61">
        <f>IFERROR(C83*'⛽ المبيعات الشهرية'!F82/100,"")</f>
        <v>0</v>
      </c>
      <c r="H83" s="60">
        <f>IFERROR(C83*'⛽ المبيعات الشهرية'!G82/100,"")</f>
        <v>0</v>
      </c>
      <c r="I83" s="61">
        <f>IFERROR(C83*'⛽ المبيعات الشهرية'!H82/100,"")</f>
        <v>0</v>
      </c>
      <c r="J83" s="60">
        <f>IFERROR(C83*'⛽ المبيعات الشهرية'!I82/100,"")</f>
        <v>0</v>
      </c>
      <c r="K83" s="61">
        <f>IFERROR(C83*'⛽ المبيعات الشهرية'!J82/100,"")</f>
        <v>0</v>
      </c>
      <c r="L83" s="60">
        <f>IFERROR(C83*'⛽ المبيعات الشهرية'!K82/100,"")</f>
        <v>0</v>
      </c>
      <c r="M83" s="61">
        <f>IFERROR(C83*'⛽ المبيعات الشهرية'!L82/100,"")</f>
        <v>0</v>
      </c>
      <c r="N83" s="60">
        <f>IFERROR(C83*'⛽ المبيعات الشهرية'!M82/100,"")</f>
        <v>0</v>
      </c>
      <c r="O83" s="61">
        <f>IFERROR(C83*'⛽ المبيعات الشهرية'!N82/100,"")</f>
        <v>0</v>
      </c>
      <c r="P83" s="42">
        <f t="shared" si="10"/>
        <v>0</v>
      </c>
      <c r="Q83" s="62">
        <f>'📋 بيانات المحطات'!I82</f>
        <v>0</v>
      </c>
      <c r="R83" s="63">
        <f>IFERROR(Q83*'⛽ المبيعات الشهرية'!O82/100,"")</f>
        <v>0</v>
      </c>
      <c r="S83" s="61">
        <f>IFERROR(Q83*'⛽ المبيعات الشهرية'!P82/100,"")</f>
        <v>0</v>
      </c>
      <c r="T83" s="63">
        <f>IFERROR(Q83*'⛽ المبيعات الشهرية'!Q82/100,"")</f>
        <v>0</v>
      </c>
      <c r="U83" s="61">
        <f>IFERROR(Q83*'⛽ المبيعات الشهرية'!R82/100,"")</f>
        <v>0</v>
      </c>
      <c r="V83" s="63">
        <f>IFERROR(Q83*'⛽ المبيعات الشهرية'!S82/100,"")</f>
        <v>0</v>
      </c>
      <c r="W83" s="61">
        <f>IFERROR(Q83*'⛽ المبيعات الشهرية'!T82/100,"")</f>
        <v>0</v>
      </c>
      <c r="X83" s="63">
        <f>IFERROR(Q83*'⛽ المبيعات الشهرية'!U82/100,"")</f>
        <v>0</v>
      </c>
      <c r="Y83" s="61">
        <f>IFERROR(Q83*'⛽ المبيعات الشهرية'!V82/100,"")</f>
        <v>0</v>
      </c>
      <c r="Z83" s="63">
        <f>IFERROR(Q83*'⛽ المبيعات الشهرية'!W82/100,"")</f>
        <v>0</v>
      </c>
      <c r="AA83" s="61">
        <f>IFERROR(Q83*'⛽ المبيعات الشهرية'!X82/100,"")</f>
        <v>0</v>
      </c>
      <c r="AB83" s="63">
        <f>IFERROR(Q83*'⛽ المبيعات الشهرية'!Y82/100,"")</f>
        <v>0</v>
      </c>
      <c r="AC83" s="61">
        <f>IFERROR(Q83*'⛽ المبيعات الشهرية'!Z82/100,"")</f>
        <v>0</v>
      </c>
      <c r="AD83" s="42">
        <f t="shared" si="11"/>
        <v>0</v>
      </c>
      <c r="AE83" s="64">
        <f>'📋 بيانات المحطات'!J82</f>
        <v>0</v>
      </c>
      <c r="AF83" s="65">
        <f>IFERROR(AE83*'⛽ المبيعات الشهرية'!AA82/100,"")</f>
        <v>0</v>
      </c>
      <c r="AG83" s="61">
        <f>IFERROR(AE83*'⛽ المبيعات الشهرية'!AB82/100,"")</f>
        <v>0</v>
      </c>
      <c r="AH83" s="65">
        <f>IFERROR(AE83*'⛽ المبيعات الشهرية'!AC82/100,"")</f>
        <v>0</v>
      </c>
      <c r="AI83" s="61">
        <f>IFERROR(AE83*'⛽ المبيعات الشهرية'!AD82/100,"")</f>
        <v>0</v>
      </c>
      <c r="AJ83" s="65">
        <f>IFERROR(AE83*'⛽ المبيعات الشهرية'!AE82/100,"")</f>
        <v>0</v>
      </c>
      <c r="AK83" s="61">
        <f>IFERROR(AE83*'⛽ المبيعات الشهرية'!AF82/100,"")</f>
        <v>0</v>
      </c>
      <c r="AL83" s="65">
        <f>IFERROR(AE83*'⛽ المبيعات الشهرية'!AG82/100,"")</f>
        <v>0</v>
      </c>
      <c r="AM83" s="61">
        <f>IFERROR(AE83*'⛽ المبيعات الشهرية'!AH82/100,"")</f>
        <v>0</v>
      </c>
      <c r="AN83" s="65">
        <f>IFERROR(AE83*'⛽ المبيعات الشهرية'!AI82/100,"")</f>
        <v>0</v>
      </c>
      <c r="AO83" s="61">
        <f>IFERROR(AE83*'⛽ المبيعات الشهرية'!AJ82/100,"")</f>
        <v>0</v>
      </c>
      <c r="AP83" s="65">
        <f>IFERROR(AE83*'⛽ المبيعات الشهرية'!AK82/100,"")</f>
        <v>0</v>
      </c>
      <c r="AQ83" s="61">
        <f>IFERROR(AE83*'⛽ المبيعات الشهرية'!AL82/100,"")</f>
        <v>0</v>
      </c>
      <c r="AR83" s="42">
        <f t="shared" si="12"/>
        <v>0</v>
      </c>
      <c r="AS83" s="66">
        <f>'📋 بيانات المحطات'!K82</f>
        <v>0</v>
      </c>
      <c r="AT83" s="67">
        <f>IFERROR(AS83*'⛽ المبيعات الشهرية'!AM82/100,"")</f>
        <v>0</v>
      </c>
      <c r="AU83" s="61">
        <f>IFERROR(AS83*'⛽ المبيعات الشهرية'!AN82/100,"")</f>
        <v>0</v>
      </c>
      <c r="AV83" s="67">
        <f>IFERROR(AS83*'⛽ المبيعات الشهرية'!AO82/100,"")</f>
        <v>0</v>
      </c>
      <c r="AW83" s="61">
        <f>IFERROR(AS83*'⛽ المبيعات الشهرية'!AP82/100,"")</f>
        <v>0</v>
      </c>
      <c r="AX83" s="67">
        <f>IFERROR(AS83*'⛽ المبيعات الشهرية'!AQ82/100,"")</f>
        <v>0</v>
      </c>
      <c r="AY83" s="61">
        <f>IFERROR(AS83*'⛽ المبيعات الشهرية'!AR82/100,"")</f>
        <v>0</v>
      </c>
      <c r="AZ83" s="67">
        <f>IFERROR(AS83*'⛽ المبيعات الشهرية'!AS82/100,"")</f>
        <v>0</v>
      </c>
      <c r="BA83" s="61">
        <f>IFERROR(AS83*'⛽ المبيعات الشهرية'!AT82/100,"")</f>
        <v>0</v>
      </c>
      <c r="BB83" s="67">
        <f>IFERROR(AS83*'⛽ المبيعات الشهرية'!AU82/100,"")</f>
        <v>0</v>
      </c>
      <c r="BC83" s="61">
        <f>IFERROR(AS83*'⛽ المبيعات الشهرية'!AV82/100,"")</f>
        <v>0</v>
      </c>
      <c r="BD83" s="67">
        <f>IFERROR(AS83*'⛽ المبيعات الشهرية'!AW82/100,"")</f>
        <v>0</v>
      </c>
      <c r="BE83" s="61">
        <f>IFERROR(AS83*'⛽ المبيعات الشهرية'!AX82/100,"")</f>
        <v>0</v>
      </c>
      <c r="BF83" s="42">
        <f t="shared" si="13"/>
        <v>0</v>
      </c>
      <c r="BG83" s="68">
        <f t="shared" si="14"/>
        <v>0</v>
      </c>
    </row>
    <row r="84" spans="1:59" ht="21.75" customHeight="1" x14ac:dyDescent="0.35">
      <c r="A84" s="69" t="s">
        <v>237</v>
      </c>
      <c r="B84" s="36">
        <f>'📋 بيانات المحطات'!B83</f>
        <v>0</v>
      </c>
      <c r="C84" s="59">
        <f>'📋 بيانات المحطات'!H83</f>
        <v>0</v>
      </c>
      <c r="D84" s="60">
        <f>IFERROR(C84*'⛽ المبيعات الشهرية'!C83/100,"")</f>
        <v>0</v>
      </c>
      <c r="E84" s="61">
        <f>IFERROR(C84*'⛽ المبيعات الشهرية'!D83/100,"")</f>
        <v>0</v>
      </c>
      <c r="F84" s="60">
        <f>IFERROR(C84*'⛽ المبيعات الشهرية'!E83/100,"")</f>
        <v>0</v>
      </c>
      <c r="G84" s="61">
        <f>IFERROR(C84*'⛽ المبيعات الشهرية'!F83/100,"")</f>
        <v>0</v>
      </c>
      <c r="H84" s="60">
        <f>IFERROR(C84*'⛽ المبيعات الشهرية'!G83/100,"")</f>
        <v>0</v>
      </c>
      <c r="I84" s="61">
        <f>IFERROR(C84*'⛽ المبيعات الشهرية'!H83/100,"")</f>
        <v>0</v>
      </c>
      <c r="J84" s="60">
        <f>IFERROR(C84*'⛽ المبيعات الشهرية'!I83/100,"")</f>
        <v>0</v>
      </c>
      <c r="K84" s="61">
        <f>IFERROR(C84*'⛽ المبيعات الشهرية'!J83/100,"")</f>
        <v>0</v>
      </c>
      <c r="L84" s="60">
        <f>IFERROR(C84*'⛽ المبيعات الشهرية'!K83/100,"")</f>
        <v>0</v>
      </c>
      <c r="M84" s="61">
        <f>IFERROR(C84*'⛽ المبيعات الشهرية'!L83/100,"")</f>
        <v>0</v>
      </c>
      <c r="N84" s="60">
        <f>IFERROR(C84*'⛽ المبيعات الشهرية'!M83/100,"")</f>
        <v>0</v>
      </c>
      <c r="O84" s="61">
        <f>IFERROR(C84*'⛽ المبيعات الشهرية'!N83/100,"")</f>
        <v>0</v>
      </c>
      <c r="P84" s="42">
        <f t="shared" si="10"/>
        <v>0</v>
      </c>
      <c r="Q84" s="62">
        <f>'📋 بيانات المحطات'!I83</f>
        <v>0</v>
      </c>
      <c r="R84" s="63">
        <f>IFERROR(Q84*'⛽ المبيعات الشهرية'!O83/100,"")</f>
        <v>0</v>
      </c>
      <c r="S84" s="61">
        <f>IFERROR(Q84*'⛽ المبيعات الشهرية'!P83/100,"")</f>
        <v>0</v>
      </c>
      <c r="T84" s="63">
        <f>IFERROR(Q84*'⛽ المبيعات الشهرية'!Q83/100,"")</f>
        <v>0</v>
      </c>
      <c r="U84" s="61">
        <f>IFERROR(Q84*'⛽ المبيعات الشهرية'!R83/100,"")</f>
        <v>0</v>
      </c>
      <c r="V84" s="63">
        <f>IFERROR(Q84*'⛽ المبيعات الشهرية'!S83/100,"")</f>
        <v>0</v>
      </c>
      <c r="W84" s="61">
        <f>IFERROR(Q84*'⛽ المبيعات الشهرية'!T83/100,"")</f>
        <v>0</v>
      </c>
      <c r="X84" s="63">
        <f>IFERROR(Q84*'⛽ المبيعات الشهرية'!U83/100,"")</f>
        <v>0</v>
      </c>
      <c r="Y84" s="61">
        <f>IFERROR(Q84*'⛽ المبيعات الشهرية'!V83/100,"")</f>
        <v>0</v>
      </c>
      <c r="Z84" s="63">
        <f>IFERROR(Q84*'⛽ المبيعات الشهرية'!W83/100,"")</f>
        <v>0</v>
      </c>
      <c r="AA84" s="61">
        <f>IFERROR(Q84*'⛽ المبيعات الشهرية'!X83/100,"")</f>
        <v>0</v>
      </c>
      <c r="AB84" s="63">
        <f>IFERROR(Q84*'⛽ المبيعات الشهرية'!Y83/100,"")</f>
        <v>0</v>
      </c>
      <c r="AC84" s="61">
        <f>IFERROR(Q84*'⛽ المبيعات الشهرية'!Z83/100,"")</f>
        <v>0</v>
      </c>
      <c r="AD84" s="42">
        <f t="shared" si="11"/>
        <v>0</v>
      </c>
      <c r="AE84" s="64">
        <f>'📋 بيانات المحطات'!J83</f>
        <v>0</v>
      </c>
      <c r="AF84" s="65">
        <f>IFERROR(AE84*'⛽ المبيعات الشهرية'!AA83/100,"")</f>
        <v>0</v>
      </c>
      <c r="AG84" s="61">
        <f>IFERROR(AE84*'⛽ المبيعات الشهرية'!AB83/100,"")</f>
        <v>0</v>
      </c>
      <c r="AH84" s="65">
        <f>IFERROR(AE84*'⛽ المبيعات الشهرية'!AC83/100,"")</f>
        <v>0</v>
      </c>
      <c r="AI84" s="61">
        <f>IFERROR(AE84*'⛽ المبيعات الشهرية'!AD83/100,"")</f>
        <v>0</v>
      </c>
      <c r="AJ84" s="65">
        <f>IFERROR(AE84*'⛽ المبيعات الشهرية'!AE83/100,"")</f>
        <v>0</v>
      </c>
      <c r="AK84" s="61">
        <f>IFERROR(AE84*'⛽ المبيعات الشهرية'!AF83/100,"")</f>
        <v>0</v>
      </c>
      <c r="AL84" s="65">
        <f>IFERROR(AE84*'⛽ المبيعات الشهرية'!AG83/100,"")</f>
        <v>0</v>
      </c>
      <c r="AM84" s="61">
        <f>IFERROR(AE84*'⛽ المبيعات الشهرية'!AH83/100,"")</f>
        <v>0</v>
      </c>
      <c r="AN84" s="65">
        <f>IFERROR(AE84*'⛽ المبيعات الشهرية'!AI83/100,"")</f>
        <v>0</v>
      </c>
      <c r="AO84" s="61">
        <f>IFERROR(AE84*'⛽ المبيعات الشهرية'!AJ83/100,"")</f>
        <v>0</v>
      </c>
      <c r="AP84" s="65">
        <f>IFERROR(AE84*'⛽ المبيعات الشهرية'!AK83/100,"")</f>
        <v>0</v>
      </c>
      <c r="AQ84" s="61">
        <f>IFERROR(AE84*'⛽ المبيعات الشهرية'!AL83/100,"")</f>
        <v>0</v>
      </c>
      <c r="AR84" s="42">
        <f t="shared" si="12"/>
        <v>0</v>
      </c>
      <c r="AS84" s="66">
        <f>'📋 بيانات المحطات'!K83</f>
        <v>0</v>
      </c>
      <c r="AT84" s="67">
        <f>IFERROR(AS84*'⛽ المبيعات الشهرية'!AM83/100,"")</f>
        <v>0</v>
      </c>
      <c r="AU84" s="61">
        <f>IFERROR(AS84*'⛽ المبيعات الشهرية'!AN83/100,"")</f>
        <v>0</v>
      </c>
      <c r="AV84" s="67">
        <f>IFERROR(AS84*'⛽ المبيعات الشهرية'!AO83/100,"")</f>
        <v>0</v>
      </c>
      <c r="AW84" s="61">
        <f>IFERROR(AS84*'⛽ المبيعات الشهرية'!AP83/100,"")</f>
        <v>0</v>
      </c>
      <c r="AX84" s="67">
        <f>IFERROR(AS84*'⛽ المبيعات الشهرية'!AQ83/100,"")</f>
        <v>0</v>
      </c>
      <c r="AY84" s="61">
        <f>IFERROR(AS84*'⛽ المبيعات الشهرية'!AR83/100,"")</f>
        <v>0</v>
      </c>
      <c r="AZ84" s="67">
        <f>IFERROR(AS84*'⛽ المبيعات الشهرية'!AS83/100,"")</f>
        <v>0</v>
      </c>
      <c r="BA84" s="61">
        <f>IFERROR(AS84*'⛽ المبيعات الشهرية'!AT83/100,"")</f>
        <v>0</v>
      </c>
      <c r="BB84" s="67">
        <f>IFERROR(AS84*'⛽ المبيعات الشهرية'!AU83/100,"")</f>
        <v>0</v>
      </c>
      <c r="BC84" s="61">
        <f>IFERROR(AS84*'⛽ المبيعات الشهرية'!AV83/100,"")</f>
        <v>0</v>
      </c>
      <c r="BD84" s="67">
        <f>IFERROR(AS84*'⛽ المبيعات الشهرية'!AW83/100,"")</f>
        <v>0</v>
      </c>
      <c r="BE84" s="61">
        <f>IFERROR(AS84*'⛽ المبيعات الشهرية'!AX83/100,"")</f>
        <v>0</v>
      </c>
      <c r="BF84" s="42">
        <f t="shared" si="13"/>
        <v>0</v>
      </c>
      <c r="BG84" s="68">
        <f t="shared" si="14"/>
        <v>0</v>
      </c>
    </row>
    <row r="85" spans="1:59" ht="21.75" customHeight="1" x14ac:dyDescent="0.35">
      <c r="A85" s="58" t="s">
        <v>238</v>
      </c>
      <c r="B85" s="36">
        <f>'📋 بيانات المحطات'!B84</f>
        <v>0</v>
      </c>
      <c r="C85" s="59">
        <f>'📋 بيانات المحطات'!H84</f>
        <v>0</v>
      </c>
      <c r="D85" s="60">
        <f>IFERROR(C85*'⛽ المبيعات الشهرية'!C84/100,"")</f>
        <v>0</v>
      </c>
      <c r="E85" s="61">
        <f>IFERROR(C85*'⛽ المبيعات الشهرية'!D84/100,"")</f>
        <v>0</v>
      </c>
      <c r="F85" s="60">
        <f>IFERROR(C85*'⛽ المبيعات الشهرية'!E84/100,"")</f>
        <v>0</v>
      </c>
      <c r="G85" s="61">
        <f>IFERROR(C85*'⛽ المبيعات الشهرية'!F84/100,"")</f>
        <v>0</v>
      </c>
      <c r="H85" s="60">
        <f>IFERROR(C85*'⛽ المبيعات الشهرية'!G84/100,"")</f>
        <v>0</v>
      </c>
      <c r="I85" s="61">
        <f>IFERROR(C85*'⛽ المبيعات الشهرية'!H84/100,"")</f>
        <v>0</v>
      </c>
      <c r="J85" s="60">
        <f>IFERROR(C85*'⛽ المبيعات الشهرية'!I84/100,"")</f>
        <v>0</v>
      </c>
      <c r="K85" s="61">
        <f>IFERROR(C85*'⛽ المبيعات الشهرية'!J84/100,"")</f>
        <v>0</v>
      </c>
      <c r="L85" s="60">
        <f>IFERROR(C85*'⛽ المبيعات الشهرية'!K84/100,"")</f>
        <v>0</v>
      </c>
      <c r="M85" s="61">
        <f>IFERROR(C85*'⛽ المبيعات الشهرية'!L84/100,"")</f>
        <v>0</v>
      </c>
      <c r="N85" s="60">
        <f>IFERROR(C85*'⛽ المبيعات الشهرية'!M84/100,"")</f>
        <v>0</v>
      </c>
      <c r="O85" s="61">
        <f>IFERROR(C85*'⛽ المبيعات الشهرية'!N84/100,"")</f>
        <v>0</v>
      </c>
      <c r="P85" s="42">
        <f t="shared" si="10"/>
        <v>0</v>
      </c>
      <c r="Q85" s="62">
        <f>'📋 بيانات المحطات'!I84</f>
        <v>0</v>
      </c>
      <c r="R85" s="63">
        <f>IFERROR(Q85*'⛽ المبيعات الشهرية'!O84/100,"")</f>
        <v>0</v>
      </c>
      <c r="S85" s="61">
        <f>IFERROR(Q85*'⛽ المبيعات الشهرية'!P84/100,"")</f>
        <v>0</v>
      </c>
      <c r="T85" s="63">
        <f>IFERROR(Q85*'⛽ المبيعات الشهرية'!Q84/100,"")</f>
        <v>0</v>
      </c>
      <c r="U85" s="61">
        <f>IFERROR(Q85*'⛽ المبيعات الشهرية'!R84/100,"")</f>
        <v>0</v>
      </c>
      <c r="V85" s="63">
        <f>IFERROR(Q85*'⛽ المبيعات الشهرية'!S84/100,"")</f>
        <v>0</v>
      </c>
      <c r="W85" s="61">
        <f>IFERROR(Q85*'⛽ المبيعات الشهرية'!T84/100,"")</f>
        <v>0</v>
      </c>
      <c r="X85" s="63">
        <f>IFERROR(Q85*'⛽ المبيعات الشهرية'!U84/100,"")</f>
        <v>0</v>
      </c>
      <c r="Y85" s="61">
        <f>IFERROR(Q85*'⛽ المبيعات الشهرية'!V84/100,"")</f>
        <v>0</v>
      </c>
      <c r="Z85" s="63">
        <f>IFERROR(Q85*'⛽ المبيعات الشهرية'!W84/100,"")</f>
        <v>0</v>
      </c>
      <c r="AA85" s="61">
        <f>IFERROR(Q85*'⛽ المبيعات الشهرية'!X84/100,"")</f>
        <v>0</v>
      </c>
      <c r="AB85" s="63">
        <f>IFERROR(Q85*'⛽ المبيعات الشهرية'!Y84/100,"")</f>
        <v>0</v>
      </c>
      <c r="AC85" s="61">
        <f>IFERROR(Q85*'⛽ المبيعات الشهرية'!Z84/100,"")</f>
        <v>0</v>
      </c>
      <c r="AD85" s="42">
        <f t="shared" si="11"/>
        <v>0</v>
      </c>
      <c r="AE85" s="64">
        <f>'📋 بيانات المحطات'!J84</f>
        <v>0</v>
      </c>
      <c r="AF85" s="65">
        <f>IFERROR(AE85*'⛽ المبيعات الشهرية'!AA84/100,"")</f>
        <v>0</v>
      </c>
      <c r="AG85" s="61">
        <f>IFERROR(AE85*'⛽ المبيعات الشهرية'!AB84/100,"")</f>
        <v>0</v>
      </c>
      <c r="AH85" s="65">
        <f>IFERROR(AE85*'⛽ المبيعات الشهرية'!AC84/100,"")</f>
        <v>0</v>
      </c>
      <c r="AI85" s="61">
        <f>IFERROR(AE85*'⛽ المبيعات الشهرية'!AD84/100,"")</f>
        <v>0</v>
      </c>
      <c r="AJ85" s="65">
        <f>IFERROR(AE85*'⛽ المبيعات الشهرية'!AE84/100,"")</f>
        <v>0</v>
      </c>
      <c r="AK85" s="61">
        <f>IFERROR(AE85*'⛽ المبيعات الشهرية'!AF84/100,"")</f>
        <v>0</v>
      </c>
      <c r="AL85" s="65">
        <f>IFERROR(AE85*'⛽ المبيعات الشهرية'!AG84/100,"")</f>
        <v>0</v>
      </c>
      <c r="AM85" s="61">
        <f>IFERROR(AE85*'⛽ المبيعات الشهرية'!AH84/100,"")</f>
        <v>0</v>
      </c>
      <c r="AN85" s="65">
        <f>IFERROR(AE85*'⛽ المبيعات الشهرية'!AI84/100,"")</f>
        <v>0</v>
      </c>
      <c r="AO85" s="61">
        <f>IFERROR(AE85*'⛽ المبيعات الشهرية'!AJ84/100,"")</f>
        <v>0</v>
      </c>
      <c r="AP85" s="65">
        <f>IFERROR(AE85*'⛽ المبيعات الشهرية'!AK84/100,"")</f>
        <v>0</v>
      </c>
      <c r="AQ85" s="61">
        <f>IFERROR(AE85*'⛽ المبيعات الشهرية'!AL84/100,"")</f>
        <v>0</v>
      </c>
      <c r="AR85" s="42">
        <f t="shared" si="12"/>
        <v>0</v>
      </c>
      <c r="AS85" s="66">
        <f>'📋 بيانات المحطات'!K84</f>
        <v>0</v>
      </c>
      <c r="AT85" s="67">
        <f>IFERROR(AS85*'⛽ المبيعات الشهرية'!AM84/100,"")</f>
        <v>0</v>
      </c>
      <c r="AU85" s="61">
        <f>IFERROR(AS85*'⛽ المبيعات الشهرية'!AN84/100,"")</f>
        <v>0</v>
      </c>
      <c r="AV85" s="67">
        <f>IFERROR(AS85*'⛽ المبيعات الشهرية'!AO84/100,"")</f>
        <v>0</v>
      </c>
      <c r="AW85" s="61">
        <f>IFERROR(AS85*'⛽ المبيعات الشهرية'!AP84/100,"")</f>
        <v>0</v>
      </c>
      <c r="AX85" s="67">
        <f>IFERROR(AS85*'⛽ المبيعات الشهرية'!AQ84/100,"")</f>
        <v>0</v>
      </c>
      <c r="AY85" s="61">
        <f>IFERROR(AS85*'⛽ المبيعات الشهرية'!AR84/100,"")</f>
        <v>0</v>
      </c>
      <c r="AZ85" s="67">
        <f>IFERROR(AS85*'⛽ المبيعات الشهرية'!AS84/100,"")</f>
        <v>0</v>
      </c>
      <c r="BA85" s="61">
        <f>IFERROR(AS85*'⛽ المبيعات الشهرية'!AT84/100,"")</f>
        <v>0</v>
      </c>
      <c r="BB85" s="67">
        <f>IFERROR(AS85*'⛽ المبيعات الشهرية'!AU84/100,"")</f>
        <v>0</v>
      </c>
      <c r="BC85" s="61">
        <f>IFERROR(AS85*'⛽ المبيعات الشهرية'!AV84/100,"")</f>
        <v>0</v>
      </c>
      <c r="BD85" s="67">
        <f>IFERROR(AS85*'⛽ المبيعات الشهرية'!AW84/100,"")</f>
        <v>0</v>
      </c>
      <c r="BE85" s="61">
        <f>IFERROR(AS85*'⛽ المبيعات الشهرية'!AX84/100,"")</f>
        <v>0</v>
      </c>
      <c r="BF85" s="42">
        <f t="shared" si="13"/>
        <v>0</v>
      </c>
      <c r="BG85" s="68">
        <f t="shared" si="14"/>
        <v>0</v>
      </c>
    </row>
    <row r="86" spans="1:59" ht="21.75" customHeight="1" x14ac:dyDescent="0.35">
      <c r="A86" s="69" t="s">
        <v>239</v>
      </c>
      <c r="B86" s="36">
        <f>'📋 بيانات المحطات'!B85</f>
        <v>0</v>
      </c>
      <c r="C86" s="59">
        <f>'📋 بيانات المحطات'!H85</f>
        <v>0</v>
      </c>
      <c r="D86" s="60">
        <f>IFERROR(C86*'⛽ المبيعات الشهرية'!C85/100,"")</f>
        <v>0</v>
      </c>
      <c r="E86" s="61">
        <f>IFERROR(C86*'⛽ المبيعات الشهرية'!D85/100,"")</f>
        <v>0</v>
      </c>
      <c r="F86" s="60">
        <f>IFERROR(C86*'⛽ المبيعات الشهرية'!E85/100,"")</f>
        <v>0</v>
      </c>
      <c r="G86" s="61">
        <f>IFERROR(C86*'⛽ المبيعات الشهرية'!F85/100,"")</f>
        <v>0</v>
      </c>
      <c r="H86" s="60">
        <f>IFERROR(C86*'⛽ المبيعات الشهرية'!G85/100,"")</f>
        <v>0</v>
      </c>
      <c r="I86" s="61">
        <f>IFERROR(C86*'⛽ المبيعات الشهرية'!H85/100,"")</f>
        <v>0</v>
      </c>
      <c r="J86" s="60">
        <f>IFERROR(C86*'⛽ المبيعات الشهرية'!I85/100,"")</f>
        <v>0</v>
      </c>
      <c r="K86" s="61">
        <f>IFERROR(C86*'⛽ المبيعات الشهرية'!J85/100,"")</f>
        <v>0</v>
      </c>
      <c r="L86" s="60">
        <f>IFERROR(C86*'⛽ المبيعات الشهرية'!K85/100,"")</f>
        <v>0</v>
      </c>
      <c r="M86" s="61">
        <f>IFERROR(C86*'⛽ المبيعات الشهرية'!L85/100,"")</f>
        <v>0</v>
      </c>
      <c r="N86" s="60">
        <f>IFERROR(C86*'⛽ المبيعات الشهرية'!M85/100,"")</f>
        <v>0</v>
      </c>
      <c r="O86" s="61">
        <f>IFERROR(C86*'⛽ المبيعات الشهرية'!N85/100,"")</f>
        <v>0</v>
      </c>
      <c r="P86" s="42">
        <f t="shared" si="10"/>
        <v>0</v>
      </c>
      <c r="Q86" s="62">
        <f>'📋 بيانات المحطات'!I85</f>
        <v>0</v>
      </c>
      <c r="R86" s="63">
        <f>IFERROR(Q86*'⛽ المبيعات الشهرية'!O85/100,"")</f>
        <v>0</v>
      </c>
      <c r="S86" s="61">
        <f>IFERROR(Q86*'⛽ المبيعات الشهرية'!P85/100,"")</f>
        <v>0</v>
      </c>
      <c r="T86" s="63">
        <f>IFERROR(Q86*'⛽ المبيعات الشهرية'!Q85/100,"")</f>
        <v>0</v>
      </c>
      <c r="U86" s="61">
        <f>IFERROR(Q86*'⛽ المبيعات الشهرية'!R85/100,"")</f>
        <v>0</v>
      </c>
      <c r="V86" s="63">
        <f>IFERROR(Q86*'⛽ المبيعات الشهرية'!S85/100,"")</f>
        <v>0</v>
      </c>
      <c r="W86" s="61">
        <f>IFERROR(Q86*'⛽ المبيعات الشهرية'!T85/100,"")</f>
        <v>0</v>
      </c>
      <c r="X86" s="63">
        <f>IFERROR(Q86*'⛽ المبيعات الشهرية'!U85/100,"")</f>
        <v>0</v>
      </c>
      <c r="Y86" s="61">
        <f>IFERROR(Q86*'⛽ المبيعات الشهرية'!V85/100,"")</f>
        <v>0</v>
      </c>
      <c r="Z86" s="63">
        <f>IFERROR(Q86*'⛽ المبيعات الشهرية'!W85/100,"")</f>
        <v>0</v>
      </c>
      <c r="AA86" s="61">
        <f>IFERROR(Q86*'⛽ المبيعات الشهرية'!X85/100,"")</f>
        <v>0</v>
      </c>
      <c r="AB86" s="63">
        <f>IFERROR(Q86*'⛽ المبيعات الشهرية'!Y85/100,"")</f>
        <v>0</v>
      </c>
      <c r="AC86" s="61">
        <f>IFERROR(Q86*'⛽ المبيعات الشهرية'!Z85/100,"")</f>
        <v>0</v>
      </c>
      <c r="AD86" s="42">
        <f t="shared" si="11"/>
        <v>0</v>
      </c>
      <c r="AE86" s="64">
        <f>'📋 بيانات المحطات'!J85</f>
        <v>0</v>
      </c>
      <c r="AF86" s="65">
        <f>IFERROR(AE86*'⛽ المبيعات الشهرية'!AA85/100,"")</f>
        <v>0</v>
      </c>
      <c r="AG86" s="61">
        <f>IFERROR(AE86*'⛽ المبيعات الشهرية'!AB85/100,"")</f>
        <v>0</v>
      </c>
      <c r="AH86" s="65">
        <f>IFERROR(AE86*'⛽ المبيعات الشهرية'!AC85/100,"")</f>
        <v>0</v>
      </c>
      <c r="AI86" s="61">
        <f>IFERROR(AE86*'⛽ المبيعات الشهرية'!AD85/100,"")</f>
        <v>0</v>
      </c>
      <c r="AJ86" s="65">
        <f>IFERROR(AE86*'⛽ المبيعات الشهرية'!AE85/100,"")</f>
        <v>0</v>
      </c>
      <c r="AK86" s="61">
        <f>IFERROR(AE86*'⛽ المبيعات الشهرية'!AF85/100,"")</f>
        <v>0</v>
      </c>
      <c r="AL86" s="65">
        <f>IFERROR(AE86*'⛽ المبيعات الشهرية'!AG85/100,"")</f>
        <v>0</v>
      </c>
      <c r="AM86" s="61">
        <f>IFERROR(AE86*'⛽ المبيعات الشهرية'!AH85/100,"")</f>
        <v>0</v>
      </c>
      <c r="AN86" s="65">
        <f>IFERROR(AE86*'⛽ المبيعات الشهرية'!AI85/100,"")</f>
        <v>0</v>
      </c>
      <c r="AO86" s="61">
        <f>IFERROR(AE86*'⛽ المبيعات الشهرية'!AJ85/100,"")</f>
        <v>0</v>
      </c>
      <c r="AP86" s="65">
        <f>IFERROR(AE86*'⛽ المبيعات الشهرية'!AK85/100,"")</f>
        <v>0</v>
      </c>
      <c r="AQ86" s="61">
        <f>IFERROR(AE86*'⛽ المبيعات الشهرية'!AL85/100,"")</f>
        <v>0</v>
      </c>
      <c r="AR86" s="42">
        <f t="shared" si="12"/>
        <v>0</v>
      </c>
      <c r="AS86" s="66">
        <f>'📋 بيانات المحطات'!K85</f>
        <v>0</v>
      </c>
      <c r="AT86" s="67">
        <f>IFERROR(AS86*'⛽ المبيعات الشهرية'!AM85/100,"")</f>
        <v>0</v>
      </c>
      <c r="AU86" s="61">
        <f>IFERROR(AS86*'⛽ المبيعات الشهرية'!AN85/100,"")</f>
        <v>0</v>
      </c>
      <c r="AV86" s="67">
        <f>IFERROR(AS86*'⛽ المبيعات الشهرية'!AO85/100,"")</f>
        <v>0</v>
      </c>
      <c r="AW86" s="61">
        <f>IFERROR(AS86*'⛽ المبيعات الشهرية'!AP85/100,"")</f>
        <v>0</v>
      </c>
      <c r="AX86" s="67">
        <f>IFERROR(AS86*'⛽ المبيعات الشهرية'!AQ85/100,"")</f>
        <v>0</v>
      </c>
      <c r="AY86" s="61">
        <f>IFERROR(AS86*'⛽ المبيعات الشهرية'!AR85/100,"")</f>
        <v>0</v>
      </c>
      <c r="AZ86" s="67">
        <f>IFERROR(AS86*'⛽ المبيعات الشهرية'!AS85/100,"")</f>
        <v>0</v>
      </c>
      <c r="BA86" s="61">
        <f>IFERROR(AS86*'⛽ المبيعات الشهرية'!AT85/100,"")</f>
        <v>0</v>
      </c>
      <c r="BB86" s="67">
        <f>IFERROR(AS86*'⛽ المبيعات الشهرية'!AU85/100,"")</f>
        <v>0</v>
      </c>
      <c r="BC86" s="61">
        <f>IFERROR(AS86*'⛽ المبيعات الشهرية'!AV85/100,"")</f>
        <v>0</v>
      </c>
      <c r="BD86" s="67">
        <f>IFERROR(AS86*'⛽ المبيعات الشهرية'!AW85/100,"")</f>
        <v>0</v>
      </c>
      <c r="BE86" s="61">
        <f>IFERROR(AS86*'⛽ المبيعات الشهرية'!AX85/100,"")</f>
        <v>0</v>
      </c>
      <c r="BF86" s="42">
        <f t="shared" si="13"/>
        <v>0</v>
      </c>
      <c r="BG86" s="68">
        <f t="shared" si="14"/>
        <v>0</v>
      </c>
    </row>
    <row r="87" spans="1:59" ht="21.75" customHeight="1" x14ac:dyDescent="0.35">
      <c r="A87" s="58" t="s">
        <v>240</v>
      </c>
      <c r="B87" s="36">
        <f>'📋 بيانات المحطات'!B86</f>
        <v>0</v>
      </c>
      <c r="C87" s="59">
        <f>'📋 بيانات المحطات'!H86</f>
        <v>0</v>
      </c>
      <c r="D87" s="60">
        <f>IFERROR(C87*'⛽ المبيعات الشهرية'!C86/100,"")</f>
        <v>0</v>
      </c>
      <c r="E87" s="61">
        <f>IFERROR(C87*'⛽ المبيعات الشهرية'!D86/100,"")</f>
        <v>0</v>
      </c>
      <c r="F87" s="60">
        <f>IFERROR(C87*'⛽ المبيعات الشهرية'!E86/100,"")</f>
        <v>0</v>
      </c>
      <c r="G87" s="61">
        <f>IFERROR(C87*'⛽ المبيعات الشهرية'!F86/100,"")</f>
        <v>0</v>
      </c>
      <c r="H87" s="60">
        <f>IFERROR(C87*'⛽ المبيعات الشهرية'!G86/100,"")</f>
        <v>0</v>
      </c>
      <c r="I87" s="61">
        <f>IFERROR(C87*'⛽ المبيعات الشهرية'!H86/100,"")</f>
        <v>0</v>
      </c>
      <c r="J87" s="60">
        <f>IFERROR(C87*'⛽ المبيعات الشهرية'!I86/100,"")</f>
        <v>0</v>
      </c>
      <c r="K87" s="61">
        <f>IFERROR(C87*'⛽ المبيعات الشهرية'!J86/100,"")</f>
        <v>0</v>
      </c>
      <c r="L87" s="60">
        <f>IFERROR(C87*'⛽ المبيعات الشهرية'!K86/100,"")</f>
        <v>0</v>
      </c>
      <c r="M87" s="61">
        <f>IFERROR(C87*'⛽ المبيعات الشهرية'!L86/100,"")</f>
        <v>0</v>
      </c>
      <c r="N87" s="60">
        <f>IFERROR(C87*'⛽ المبيعات الشهرية'!M86/100,"")</f>
        <v>0</v>
      </c>
      <c r="O87" s="61">
        <f>IFERROR(C87*'⛽ المبيعات الشهرية'!N86/100,"")</f>
        <v>0</v>
      </c>
      <c r="P87" s="42">
        <f t="shared" si="10"/>
        <v>0</v>
      </c>
      <c r="Q87" s="62">
        <f>'📋 بيانات المحطات'!I86</f>
        <v>0</v>
      </c>
      <c r="R87" s="63">
        <f>IFERROR(Q87*'⛽ المبيعات الشهرية'!O86/100,"")</f>
        <v>0</v>
      </c>
      <c r="S87" s="61">
        <f>IFERROR(Q87*'⛽ المبيعات الشهرية'!P86/100,"")</f>
        <v>0</v>
      </c>
      <c r="T87" s="63">
        <f>IFERROR(Q87*'⛽ المبيعات الشهرية'!Q86/100,"")</f>
        <v>0</v>
      </c>
      <c r="U87" s="61">
        <f>IFERROR(Q87*'⛽ المبيعات الشهرية'!R86/100,"")</f>
        <v>0</v>
      </c>
      <c r="V87" s="63">
        <f>IFERROR(Q87*'⛽ المبيعات الشهرية'!S86/100,"")</f>
        <v>0</v>
      </c>
      <c r="W87" s="61">
        <f>IFERROR(Q87*'⛽ المبيعات الشهرية'!T86/100,"")</f>
        <v>0</v>
      </c>
      <c r="X87" s="63">
        <f>IFERROR(Q87*'⛽ المبيعات الشهرية'!U86/100,"")</f>
        <v>0</v>
      </c>
      <c r="Y87" s="61">
        <f>IFERROR(Q87*'⛽ المبيعات الشهرية'!V86/100,"")</f>
        <v>0</v>
      </c>
      <c r="Z87" s="63">
        <f>IFERROR(Q87*'⛽ المبيعات الشهرية'!W86/100,"")</f>
        <v>0</v>
      </c>
      <c r="AA87" s="61">
        <f>IFERROR(Q87*'⛽ المبيعات الشهرية'!X86/100,"")</f>
        <v>0</v>
      </c>
      <c r="AB87" s="63">
        <f>IFERROR(Q87*'⛽ المبيعات الشهرية'!Y86/100,"")</f>
        <v>0</v>
      </c>
      <c r="AC87" s="61">
        <f>IFERROR(Q87*'⛽ المبيعات الشهرية'!Z86/100,"")</f>
        <v>0</v>
      </c>
      <c r="AD87" s="42">
        <f t="shared" si="11"/>
        <v>0</v>
      </c>
      <c r="AE87" s="64">
        <f>'📋 بيانات المحطات'!J86</f>
        <v>0</v>
      </c>
      <c r="AF87" s="65">
        <f>IFERROR(AE87*'⛽ المبيعات الشهرية'!AA86/100,"")</f>
        <v>0</v>
      </c>
      <c r="AG87" s="61">
        <f>IFERROR(AE87*'⛽ المبيعات الشهرية'!AB86/100,"")</f>
        <v>0</v>
      </c>
      <c r="AH87" s="65">
        <f>IFERROR(AE87*'⛽ المبيعات الشهرية'!AC86/100,"")</f>
        <v>0</v>
      </c>
      <c r="AI87" s="61">
        <f>IFERROR(AE87*'⛽ المبيعات الشهرية'!AD86/100,"")</f>
        <v>0</v>
      </c>
      <c r="AJ87" s="65">
        <f>IFERROR(AE87*'⛽ المبيعات الشهرية'!AE86/100,"")</f>
        <v>0</v>
      </c>
      <c r="AK87" s="61">
        <f>IFERROR(AE87*'⛽ المبيعات الشهرية'!AF86/100,"")</f>
        <v>0</v>
      </c>
      <c r="AL87" s="65">
        <f>IFERROR(AE87*'⛽ المبيعات الشهرية'!AG86/100,"")</f>
        <v>0</v>
      </c>
      <c r="AM87" s="61">
        <f>IFERROR(AE87*'⛽ المبيعات الشهرية'!AH86/100,"")</f>
        <v>0</v>
      </c>
      <c r="AN87" s="65">
        <f>IFERROR(AE87*'⛽ المبيعات الشهرية'!AI86/100,"")</f>
        <v>0</v>
      </c>
      <c r="AO87" s="61">
        <f>IFERROR(AE87*'⛽ المبيعات الشهرية'!AJ86/100,"")</f>
        <v>0</v>
      </c>
      <c r="AP87" s="65">
        <f>IFERROR(AE87*'⛽ المبيعات الشهرية'!AK86/100,"")</f>
        <v>0</v>
      </c>
      <c r="AQ87" s="61">
        <f>IFERROR(AE87*'⛽ المبيعات الشهرية'!AL86/100,"")</f>
        <v>0</v>
      </c>
      <c r="AR87" s="42">
        <f t="shared" si="12"/>
        <v>0</v>
      </c>
      <c r="AS87" s="66">
        <f>'📋 بيانات المحطات'!K86</f>
        <v>0</v>
      </c>
      <c r="AT87" s="67">
        <f>IFERROR(AS87*'⛽ المبيعات الشهرية'!AM86/100,"")</f>
        <v>0</v>
      </c>
      <c r="AU87" s="61">
        <f>IFERROR(AS87*'⛽ المبيعات الشهرية'!AN86/100,"")</f>
        <v>0</v>
      </c>
      <c r="AV87" s="67">
        <f>IFERROR(AS87*'⛽ المبيعات الشهرية'!AO86/100,"")</f>
        <v>0</v>
      </c>
      <c r="AW87" s="61">
        <f>IFERROR(AS87*'⛽ المبيعات الشهرية'!AP86/100,"")</f>
        <v>0</v>
      </c>
      <c r="AX87" s="67">
        <f>IFERROR(AS87*'⛽ المبيعات الشهرية'!AQ86/100,"")</f>
        <v>0</v>
      </c>
      <c r="AY87" s="61">
        <f>IFERROR(AS87*'⛽ المبيعات الشهرية'!AR86/100,"")</f>
        <v>0</v>
      </c>
      <c r="AZ87" s="67">
        <f>IFERROR(AS87*'⛽ المبيعات الشهرية'!AS86/100,"")</f>
        <v>0</v>
      </c>
      <c r="BA87" s="61">
        <f>IFERROR(AS87*'⛽ المبيعات الشهرية'!AT86/100,"")</f>
        <v>0</v>
      </c>
      <c r="BB87" s="67">
        <f>IFERROR(AS87*'⛽ المبيعات الشهرية'!AU86/100,"")</f>
        <v>0</v>
      </c>
      <c r="BC87" s="61">
        <f>IFERROR(AS87*'⛽ المبيعات الشهرية'!AV86/100,"")</f>
        <v>0</v>
      </c>
      <c r="BD87" s="67">
        <f>IFERROR(AS87*'⛽ المبيعات الشهرية'!AW86/100,"")</f>
        <v>0</v>
      </c>
      <c r="BE87" s="61">
        <f>IFERROR(AS87*'⛽ المبيعات الشهرية'!AX86/100,"")</f>
        <v>0</v>
      </c>
      <c r="BF87" s="42">
        <f t="shared" si="13"/>
        <v>0</v>
      </c>
      <c r="BG87" s="68">
        <f t="shared" si="14"/>
        <v>0</v>
      </c>
    </row>
    <row r="88" spans="1:59" ht="21.75" customHeight="1" x14ac:dyDescent="0.35">
      <c r="A88" s="69" t="s">
        <v>241</v>
      </c>
      <c r="B88" s="36">
        <f>'📋 بيانات المحطات'!B87</f>
        <v>0</v>
      </c>
      <c r="C88" s="59">
        <f>'📋 بيانات المحطات'!H87</f>
        <v>0</v>
      </c>
      <c r="D88" s="60">
        <f>IFERROR(C88*'⛽ المبيعات الشهرية'!C87/100,"")</f>
        <v>0</v>
      </c>
      <c r="E88" s="61">
        <f>IFERROR(C88*'⛽ المبيعات الشهرية'!D87/100,"")</f>
        <v>0</v>
      </c>
      <c r="F88" s="60">
        <f>IFERROR(C88*'⛽ المبيعات الشهرية'!E87/100,"")</f>
        <v>0</v>
      </c>
      <c r="G88" s="61">
        <f>IFERROR(C88*'⛽ المبيعات الشهرية'!F87/100,"")</f>
        <v>0</v>
      </c>
      <c r="H88" s="60">
        <f>IFERROR(C88*'⛽ المبيعات الشهرية'!G87/100,"")</f>
        <v>0</v>
      </c>
      <c r="I88" s="61">
        <f>IFERROR(C88*'⛽ المبيعات الشهرية'!H87/100,"")</f>
        <v>0</v>
      </c>
      <c r="J88" s="60">
        <f>IFERROR(C88*'⛽ المبيعات الشهرية'!I87/100,"")</f>
        <v>0</v>
      </c>
      <c r="K88" s="61">
        <f>IFERROR(C88*'⛽ المبيعات الشهرية'!J87/100,"")</f>
        <v>0</v>
      </c>
      <c r="L88" s="60">
        <f>IFERROR(C88*'⛽ المبيعات الشهرية'!K87/100,"")</f>
        <v>0</v>
      </c>
      <c r="M88" s="61">
        <f>IFERROR(C88*'⛽ المبيعات الشهرية'!L87/100,"")</f>
        <v>0</v>
      </c>
      <c r="N88" s="60">
        <f>IFERROR(C88*'⛽ المبيعات الشهرية'!M87/100,"")</f>
        <v>0</v>
      </c>
      <c r="O88" s="61">
        <f>IFERROR(C88*'⛽ المبيعات الشهرية'!N87/100,"")</f>
        <v>0</v>
      </c>
      <c r="P88" s="42">
        <f t="shared" si="10"/>
        <v>0</v>
      </c>
      <c r="Q88" s="62">
        <f>'📋 بيانات المحطات'!I87</f>
        <v>0</v>
      </c>
      <c r="R88" s="63">
        <f>IFERROR(Q88*'⛽ المبيعات الشهرية'!O87/100,"")</f>
        <v>0</v>
      </c>
      <c r="S88" s="61">
        <f>IFERROR(Q88*'⛽ المبيعات الشهرية'!P87/100,"")</f>
        <v>0</v>
      </c>
      <c r="T88" s="63">
        <f>IFERROR(Q88*'⛽ المبيعات الشهرية'!Q87/100,"")</f>
        <v>0</v>
      </c>
      <c r="U88" s="61">
        <f>IFERROR(Q88*'⛽ المبيعات الشهرية'!R87/100,"")</f>
        <v>0</v>
      </c>
      <c r="V88" s="63">
        <f>IFERROR(Q88*'⛽ المبيعات الشهرية'!S87/100,"")</f>
        <v>0</v>
      </c>
      <c r="W88" s="61">
        <f>IFERROR(Q88*'⛽ المبيعات الشهرية'!T87/100,"")</f>
        <v>0</v>
      </c>
      <c r="X88" s="63">
        <f>IFERROR(Q88*'⛽ المبيعات الشهرية'!U87/100,"")</f>
        <v>0</v>
      </c>
      <c r="Y88" s="61">
        <f>IFERROR(Q88*'⛽ المبيعات الشهرية'!V87/100,"")</f>
        <v>0</v>
      </c>
      <c r="Z88" s="63">
        <f>IFERROR(Q88*'⛽ المبيعات الشهرية'!W87/100,"")</f>
        <v>0</v>
      </c>
      <c r="AA88" s="61">
        <f>IFERROR(Q88*'⛽ المبيعات الشهرية'!X87/100,"")</f>
        <v>0</v>
      </c>
      <c r="AB88" s="63">
        <f>IFERROR(Q88*'⛽ المبيعات الشهرية'!Y87/100,"")</f>
        <v>0</v>
      </c>
      <c r="AC88" s="61">
        <f>IFERROR(Q88*'⛽ المبيعات الشهرية'!Z87/100,"")</f>
        <v>0</v>
      </c>
      <c r="AD88" s="42">
        <f t="shared" si="11"/>
        <v>0</v>
      </c>
      <c r="AE88" s="64">
        <f>'📋 بيانات المحطات'!J87</f>
        <v>0</v>
      </c>
      <c r="AF88" s="65">
        <f>IFERROR(AE88*'⛽ المبيعات الشهرية'!AA87/100,"")</f>
        <v>0</v>
      </c>
      <c r="AG88" s="61">
        <f>IFERROR(AE88*'⛽ المبيعات الشهرية'!AB87/100,"")</f>
        <v>0</v>
      </c>
      <c r="AH88" s="65">
        <f>IFERROR(AE88*'⛽ المبيعات الشهرية'!AC87/100,"")</f>
        <v>0</v>
      </c>
      <c r="AI88" s="61">
        <f>IFERROR(AE88*'⛽ المبيعات الشهرية'!AD87/100,"")</f>
        <v>0</v>
      </c>
      <c r="AJ88" s="65">
        <f>IFERROR(AE88*'⛽ المبيعات الشهرية'!AE87/100,"")</f>
        <v>0</v>
      </c>
      <c r="AK88" s="61">
        <f>IFERROR(AE88*'⛽ المبيعات الشهرية'!AF87/100,"")</f>
        <v>0</v>
      </c>
      <c r="AL88" s="65">
        <f>IFERROR(AE88*'⛽ المبيعات الشهرية'!AG87/100,"")</f>
        <v>0</v>
      </c>
      <c r="AM88" s="61">
        <f>IFERROR(AE88*'⛽ المبيعات الشهرية'!AH87/100,"")</f>
        <v>0</v>
      </c>
      <c r="AN88" s="65">
        <f>IFERROR(AE88*'⛽ المبيعات الشهرية'!AI87/100,"")</f>
        <v>0</v>
      </c>
      <c r="AO88" s="61">
        <f>IFERROR(AE88*'⛽ المبيعات الشهرية'!AJ87/100,"")</f>
        <v>0</v>
      </c>
      <c r="AP88" s="65">
        <f>IFERROR(AE88*'⛽ المبيعات الشهرية'!AK87/100,"")</f>
        <v>0</v>
      </c>
      <c r="AQ88" s="61">
        <f>IFERROR(AE88*'⛽ المبيعات الشهرية'!AL87/100,"")</f>
        <v>0</v>
      </c>
      <c r="AR88" s="42">
        <f t="shared" si="12"/>
        <v>0</v>
      </c>
      <c r="AS88" s="66">
        <f>'📋 بيانات المحطات'!K87</f>
        <v>0</v>
      </c>
      <c r="AT88" s="67">
        <f>IFERROR(AS88*'⛽ المبيعات الشهرية'!AM87/100,"")</f>
        <v>0</v>
      </c>
      <c r="AU88" s="61">
        <f>IFERROR(AS88*'⛽ المبيعات الشهرية'!AN87/100,"")</f>
        <v>0</v>
      </c>
      <c r="AV88" s="67">
        <f>IFERROR(AS88*'⛽ المبيعات الشهرية'!AO87/100,"")</f>
        <v>0</v>
      </c>
      <c r="AW88" s="61">
        <f>IFERROR(AS88*'⛽ المبيعات الشهرية'!AP87/100,"")</f>
        <v>0</v>
      </c>
      <c r="AX88" s="67">
        <f>IFERROR(AS88*'⛽ المبيعات الشهرية'!AQ87/100,"")</f>
        <v>0</v>
      </c>
      <c r="AY88" s="61">
        <f>IFERROR(AS88*'⛽ المبيعات الشهرية'!AR87/100,"")</f>
        <v>0</v>
      </c>
      <c r="AZ88" s="67">
        <f>IFERROR(AS88*'⛽ المبيعات الشهرية'!AS87/100,"")</f>
        <v>0</v>
      </c>
      <c r="BA88" s="61">
        <f>IFERROR(AS88*'⛽ المبيعات الشهرية'!AT87/100,"")</f>
        <v>0</v>
      </c>
      <c r="BB88" s="67">
        <f>IFERROR(AS88*'⛽ المبيعات الشهرية'!AU87/100,"")</f>
        <v>0</v>
      </c>
      <c r="BC88" s="61">
        <f>IFERROR(AS88*'⛽ المبيعات الشهرية'!AV87/100,"")</f>
        <v>0</v>
      </c>
      <c r="BD88" s="67">
        <f>IFERROR(AS88*'⛽ المبيعات الشهرية'!AW87/100,"")</f>
        <v>0</v>
      </c>
      <c r="BE88" s="61">
        <f>IFERROR(AS88*'⛽ المبيعات الشهرية'!AX87/100,"")</f>
        <v>0</v>
      </c>
      <c r="BF88" s="42">
        <f t="shared" si="13"/>
        <v>0</v>
      </c>
      <c r="BG88" s="68">
        <f t="shared" si="14"/>
        <v>0</v>
      </c>
    </row>
    <row r="89" spans="1:59" ht="21.75" customHeight="1" x14ac:dyDescent="0.35">
      <c r="A89" s="58" t="s">
        <v>242</v>
      </c>
      <c r="B89" s="36">
        <f>'📋 بيانات المحطات'!B88</f>
        <v>0</v>
      </c>
      <c r="C89" s="59">
        <f>'📋 بيانات المحطات'!H88</f>
        <v>0</v>
      </c>
      <c r="D89" s="60">
        <f>IFERROR(C89*'⛽ المبيعات الشهرية'!C88/100,"")</f>
        <v>0</v>
      </c>
      <c r="E89" s="61">
        <f>IFERROR(C89*'⛽ المبيعات الشهرية'!D88/100,"")</f>
        <v>0</v>
      </c>
      <c r="F89" s="60">
        <f>IFERROR(C89*'⛽ المبيعات الشهرية'!E88/100,"")</f>
        <v>0</v>
      </c>
      <c r="G89" s="61">
        <f>IFERROR(C89*'⛽ المبيعات الشهرية'!F88/100,"")</f>
        <v>0</v>
      </c>
      <c r="H89" s="60">
        <f>IFERROR(C89*'⛽ المبيعات الشهرية'!G88/100,"")</f>
        <v>0</v>
      </c>
      <c r="I89" s="61">
        <f>IFERROR(C89*'⛽ المبيعات الشهرية'!H88/100,"")</f>
        <v>0</v>
      </c>
      <c r="J89" s="60">
        <f>IFERROR(C89*'⛽ المبيعات الشهرية'!I88/100,"")</f>
        <v>0</v>
      </c>
      <c r="K89" s="61">
        <f>IFERROR(C89*'⛽ المبيعات الشهرية'!J88/100,"")</f>
        <v>0</v>
      </c>
      <c r="L89" s="60">
        <f>IFERROR(C89*'⛽ المبيعات الشهرية'!K88/100,"")</f>
        <v>0</v>
      </c>
      <c r="M89" s="61">
        <f>IFERROR(C89*'⛽ المبيعات الشهرية'!L88/100,"")</f>
        <v>0</v>
      </c>
      <c r="N89" s="60">
        <f>IFERROR(C89*'⛽ المبيعات الشهرية'!M88/100,"")</f>
        <v>0</v>
      </c>
      <c r="O89" s="61">
        <f>IFERROR(C89*'⛽ المبيعات الشهرية'!N88/100,"")</f>
        <v>0</v>
      </c>
      <c r="P89" s="42">
        <f t="shared" si="10"/>
        <v>0</v>
      </c>
      <c r="Q89" s="62">
        <f>'📋 بيانات المحطات'!I88</f>
        <v>0</v>
      </c>
      <c r="R89" s="63">
        <f>IFERROR(Q89*'⛽ المبيعات الشهرية'!O88/100,"")</f>
        <v>0</v>
      </c>
      <c r="S89" s="61">
        <f>IFERROR(Q89*'⛽ المبيعات الشهرية'!P88/100,"")</f>
        <v>0</v>
      </c>
      <c r="T89" s="63">
        <f>IFERROR(Q89*'⛽ المبيعات الشهرية'!Q88/100,"")</f>
        <v>0</v>
      </c>
      <c r="U89" s="61">
        <f>IFERROR(Q89*'⛽ المبيعات الشهرية'!R88/100,"")</f>
        <v>0</v>
      </c>
      <c r="V89" s="63">
        <f>IFERROR(Q89*'⛽ المبيعات الشهرية'!S88/100,"")</f>
        <v>0</v>
      </c>
      <c r="W89" s="61">
        <f>IFERROR(Q89*'⛽ المبيعات الشهرية'!T88/100,"")</f>
        <v>0</v>
      </c>
      <c r="X89" s="63">
        <f>IFERROR(Q89*'⛽ المبيعات الشهرية'!U88/100,"")</f>
        <v>0</v>
      </c>
      <c r="Y89" s="61">
        <f>IFERROR(Q89*'⛽ المبيعات الشهرية'!V88/100,"")</f>
        <v>0</v>
      </c>
      <c r="Z89" s="63">
        <f>IFERROR(Q89*'⛽ المبيعات الشهرية'!W88/100,"")</f>
        <v>0</v>
      </c>
      <c r="AA89" s="61">
        <f>IFERROR(Q89*'⛽ المبيعات الشهرية'!X88/100,"")</f>
        <v>0</v>
      </c>
      <c r="AB89" s="63">
        <f>IFERROR(Q89*'⛽ المبيعات الشهرية'!Y88/100,"")</f>
        <v>0</v>
      </c>
      <c r="AC89" s="61">
        <f>IFERROR(Q89*'⛽ المبيعات الشهرية'!Z88/100,"")</f>
        <v>0</v>
      </c>
      <c r="AD89" s="42">
        <f t="shared" si="11"/>
        <v>0</v>
      </c>
      <c r="AE89" s="64">
        <f>'📋 بيانات المحطات'!J88</f>
        <v>0</v>
      </c>
      <c r="AF89" s="65">
        <f>IFERROR(AE89*'⛽ المبيعات الشهرية'!AA88/100,"")</f>
        <v>0</v>
      </c>
      <c r="AG89" s="61">
        <f>IFERROR(AE89*'⛽ المبيعات الشهرية'!AB88/100,"")</f>
        <v>0</v>
      </c>
      <c r="AH89" s="65">
        <f>IFERROR(AE89*'⛽ المبيعات الشهرية'!AC88/100,"")</f>
        <v>0</v>
      </c>
      <c r="AI89" s="61">
        <f>IFERROR(AE89*'⛽ المبيعات الشهرية'!AD88/100,"")</f>
        <v>0</v>
      </c>
      <c r="AJ89" s="65">
        <f>IFERROR(AE89*'⛽ المبيعات الشهرية'!AE88/100,"")</f>
        <v>0</v>
      </c>
      <c r="AK89" s="61">
        <f>IFERROR(AE89*'⛽ المبيعات الشهرية'!AF88/100,"")</f>
        <v>0</v>
      </c>
      <c r="AL89" s="65">
        <f>IFERROR(AE89*'⛽ المبيعات الشهرية'!AG88/100,"")</f>
        <v>0</v>
      </c>
      <c r="AM89" s="61">
        <f>IFERROR(AE89*'⛽ المبيعات الشهرية'!AH88/100,"")</f>
        <v>0</v>
      </c>
      <c r="AN89" s="65">
        <f>IFERROR(AE89*'⛽ المبيعات الشهرية'!AI88/100,"")</f>
        <v>0</v>
      </c>
      <c r="AO89" s="61">
        <f>IFERROR(AE89*'⛽ المبيعات الشهرية'!AJ88/100,"")</f>
        <v>0</v>
      </c>
      <c r="AP89" s="65">
        <f>IFERROR(AE89*'⛽ المبيعات الشهرية'!AK88/100,"")</f>
        <v>0</v>
      </c>
      <c r="AQ89" s="61">
        <f>IFERROR(AE89*'⛽ المبيعات الشهرية'!AL88/100,"")</f>
        <v>0</v>
      </c>
      <c r="AR89" s="42">
        <f t="shared" si="12"/>
        <v>0</v>
      </c>
      <c r="AS89" s="66">
        <f>'📋 بيانات المحطات'!K88</f>
        <v>0</v>
      </c>
      <c r="AT89" s="67">
        <f>IFERROR(AS89*'⛽ المبيعات الشهرية'!AM88/100,"")</f>
        <v>0</v>
      </c>
      <c r="AU89" s="61">
        <f>IFERROR(AS89*'⛽ المبيعات الشهرية'!AN88/100,"")</f>
        <v>0</v>
      </c>
      <c r="AV89" s="67">
        <f>IFERROR(AS89*'⛽ المبيعات الشهرية'!AO88/100,"")</f>
        <v>0</v>
      </c>
      <c r="AW89" s="61">
        <f>IFERROR(AS89*'⛽ المبيعات الشهرية'!AP88/100,"")</f>
        <v>0</v>
      </c>
      <c r="AX89" s="67">
        <f>IFERROR(AS89*'⛽ المبيعات الشهرية'!AQ88/100,"")</f>
        <v>0</v>
      </c>
      <c r="AY89" s="61">
        <f>IFERROR(AS89*'⛽ المبيعات الشهرية'!AR88/100,"")</f>
        <v>0</v>
      </c>
      <c r="AZ89" s="67">
        <f>IFERROR(AS89*'⛽ المبيعات الشهرية'!AS88/100,"")</f>
        <v>0</v>
      </c>
      <c r="BA89" s="61">
        <f>IFERROR(AS89*'⛽ المبيعات الشهرية'!AT88/100,"")</f>
        <v>0</v>
      </c>
      <c r="BB89" s="67">
        <f>IFERROR(AS89*'⛽ المبيعات الشهرية'!AU88/100,"")</f>
        <v>0</v>
      </c>
      <c r="BC89" s="61">
        <f>IFERROR(AS89*'⛽ المبيعات الشهرية'!AV88/100,"")</f>
        <v>0</v>
      </c>
      <c r="BD89" s="67">
        <f>IFERROR(AS89*'⛽ المبيعات الشهرية'!AW88/100,"")</f>
        <v>0</v>
      </c>
      <c r="BE89" s="61">
        <f>IFERROR(AS89*'⛽ المبيعات الشهرية'!AX88/100,"")</f>
        <v>0</v>
      </c>
      <c r="BF89" s="42">
        <f t="shared" si="13"/>
        <v>0</v>
      </c>
      <c r="BG89" s="68">
        <f t="shared" si="14"/>
        <v>0</v>
      </c>
    </row>
    <row r="90" spans="1:59" ht="21.75" customHeight="1" x14ac:dyDescent="0.35">
      <c r="A90" s="69" t="s">
        <v>243</v>
      </c>
      <c r="B90" s="36">
        <f>'📋 بيانات المحطات'!B89</f>
        <v>0</v>
      </c>
      <c r="C90" s="59">
        <f>'📋 بيانات المحطات'!H89</f>
        <v>0</v>
      </c>
      <c r="D90" s="60">
        <f>IFERROR(C90*'⛽ المبيعات الشهرية'!C89/100,"")</f>
        <v>0</v>
      </c>
      <c r="E90" s="61">
        <f>IFERROR(C90*'⛽ المبيعات الشهرية'!D89/100,"")</f>
        <v>0</v>
      </c>
      <c r="F90" s="60">
        <f>IFERROR(C90*'⛽ المبيعات الشهرية'!E89/100,"")</f>
        <v>0</v>
      </c>
      <c r="G90" s="61">
        <f>IFERROR(C90*'⛽ المبيعات الشهرية'!F89/100,"")</f>
        <v>0</v>
      </c>
      <c r="H90" s="60">
        <f>IFERROR(C90*'⛽ المبيعات الشهرية'!G89/100,"")</f>
        <v>0</v>
      </c>
      <c r="I90" s="61">
        <f>IFERROR(C90*'⛽ المبيعات الشهرية'!H89/100,"")</f>
        <v>0</v>
      </c>
      <c r="J90" s="60">
        <f>IFERROR(C90*'⛽ المبيعات الشهرية'!I89/100,"")</f>
        <v>0</v>
      </c>
      <c r="K90" s="61">
        <f>IFERROR(C90*'⛽ المبيعات الشهرية'!J89/100,"")</f>
        <v>0</v>
      </c>
      <c r="L90" s="60">
        <f>IFERROR(C90*'⛽ المبيعات الشهرية'!K89/100,"")</f>
        <v>0</v>
      </c>
      <c r="M90" s="61">
        <f>IFERROR(C90*'⛽ المبيعات الشهرية'!L89/100,"")</f>
        <v>0</v>
      </c>
      <c r="N90" s="60">
        <f>IFERROR(C90*'⛽ المبيعات الشهرية'!M89/100,"")</f>
        <v>0</v>
      </c>
      <c r="O90" s="61">
        <f>IFERROR(C90*'⛽ المبيعات الشهرية'!N89/100,"")</f>
        <v>0</v>
      </c>
      <c r="P90" s="42">
        <f t="shared" si="10"/>
        <v>0</v>
      </c>
      <c r="Q90" s="62">
        <f>'📋 بيانات المحطات'!I89</f>
        <v>0</v>
      </c>
      <c r="R90" s="63">
        <f>IFERROR(Q90*'⛽ المبيعات الشهرية'!O89/100,"")</f>
        <v>0</v>
      </c>
      <c r="S90" s="61">
        <f>IFERROR(Q90*'⛽ المبيعات الشهرية'!P89/100,"")</f>
        <v>0</v>
      </c>
      <c r="T90" s="63">
        <f>IFERROR(Q90*'⛽ المبيعات الشهرية'!Q89/100,"")</f>
        <v>0</v>
      </c>
      <c r="U90" s="61">
        <f>IFERROR(Q90*'⛽ المبيعات الشهرية'!R89/100,"")</f>
        <v>0</v>
      </c>
      <c r="V90" s="63">
        <f>IFERROR(Q90*'⛽ المبيعات الشهرية'!S89/100,"")</f>
        <v>0</v>
      </c>
      <c r="W90" s="61">
        <f>IFERROR(Q90*'⛽ المبيعات الشهرية'!T89/100,"")</f>
        <v>0</v>
      </c>
      <c r="X90" s="63">
        <f>IFERROR(Q90*'⛽ المبيعات الشهرية'!U89/100,"")</f>
        <v>0</v>
      </c>
      <c r="Y90" s="61">
        <f>IFERROR(Q90*'⛽ المبيعات الشهرية'!V89/100,"")</f>
        <v>0</v>
      </c>
      <c r="Z90" s="63">
        <f>IFERROR(Q90*'⛽ المبيعات الشهرية'!W89/100,"")</f>
        <v>0</v>
      </c>
      <c r="AA90" s="61">
        <f>IFERROR(Q90*'⛽ المبيعات الشهرية'!X89/100,"")</f>
        <v>0</v>
      </c>
      <c r="AB90" s="63">
        <f>IFERROR(Q90*'⛽ المبيعات الشهرية'!Y89/100,"")</f>
        <v>0</v>
      </c>
      <c r="AC90" s="61">
        <f>IFERROR(Q90*'⛽ المبيعات الشهرية'!Z89/100,"")</f>
        <v>0</v>
      </c>
      <c r="AD90" s="42">
        <f t="shared" si="11"/>
        <v>0</v>
      </c>
      <c r="AE90" s="64">
        <f>'📋 بيانات المحطات'!J89</f>
        <v>0</v>
      </c>
      <c r="AF90" s="65">
        <f>IFERROR(AE90*'⛽ المبيعات الشهرية'!AA89/100,"")</f>
        <v>0</v>
      </c>
      <c r="AG90" s="61">
        <f>IFERROR(AE90*'⛽ المبيعات الشهرية'!AB89/100,"")</f>
        <v>0</v>
      </c>
      <c r="AH90" s="65">
        <f>IFERROR(AE90*'⛽ المبيعات الشهرية'!AC89/100,"")</f>
        <v>0</v>
      </c>
      <c r="AI90" s="61">
        <f>IFERROR(AE90*'⛽ المبيعات الشهرية'!AD89/100,"")</f>
        <v>0</v>
      </c>
      <c r="AJ90" s="65">
        <f>IFERROR(AE90*'⛽ المبيعات الشهرية'!AE89/100,"")</f>
        <v>0</v>
      </c>
      <c r="AK90" s="61">
        <f>IFERROR(AE90*'⛽ المبيعات الشهرية'!AF89/100,"")</f>
        <v>0</v>
      </c>
      <c r="AL90" s="65">
        <f>IFERROR(AE90*'⛽ المبيعات الشهرية'!AG89/100,"")</f>
        <v>0</v>
      </c>
      <c r="AM90" s="61">
        <f>IFERROR(AE90*'⛽ المبيعات الشهرية'!AH89/100,"")</f>
        <v>0</v>
      </c>
      <c r="AN90" s="65">
        <f>IFERROR(AE90*'⛽ المبيعات الشهرية'!AI89/100,"")</f>
        <v>0</v>
      </c>
      <c r="AO90" s="61">
        <f>IFERROR(AE90*'⛽ المبيعات الشهرية'!AJ89/100,"")</f>
        <v>0</v>
      </c>
      <c r="AP90" s="65">
        <f>IFERROR(AE90*'⛽ المبيعات الشهرية'!AK89/100,"")</f>
        <v>0</v>
      </c>
      <c r="AQ90" s="61">
        <f>IFERROR(AE90*'⛽ المبيعات الشهرية'!AL89/100,"")</f>
        <v>0</v>
      </c>
      <c r="AR90" s="42">
        <f t="shared" si="12"/>
        <v>0</v>
      </c>
      <c r="AS90" s="66">
        <f>'📋 بيانات المحطات'!K89</f>
        <v>0</v>
      </c>
      <c r="AT90" s="67">
        <f>IFERROR(AS90*'⛽ المبيعات الشهرية'!AM89/100,"")</f>
        <v>0</v>
      </c>
      <c r="AU90" s="61">
        <f>IFERROR(AS90*'⛽ المبيعات الشهرية'!AN89/100,"")</f>
        <v>0</v>
      </c>
      <c r="AV90" s="67">
        <f>IFERROR(AS90*'⛽ المبيعات الشهرية'!AO89/100,"")</f>
        <v>0</v>
      </c>
      <c r="AW90" s="61">
        <f>IFERROR(AS90*'⛽ المبيعات الشهرية'!AP89/100,"")</f>
        <v>0</v>
      </c>
      <c r="AX90" s="67">
        <f>IFERROR(AS90*'⛽ المبيعات الشهرية'!AQ89/100,"")</f>
        <v>0</v>
      </c>
      <c r="AY90" s="61">
        <f>IFERROR(AS90*'⛽ المبيعات الشهرية'!AR89/100,"")</f>
        <v>0</v>
      </c>
      <c r="AZ90" s="67">
        <f>IFERROR(AS90*'⛽ المبيعات الشهرية'!AS89/100,"")</f>
        <v>0</v>
      </c>
      <c r="BA90" s="61">
        <f>IFERROR(AS90*'⛽ المبيعات الشهرية'!AT89/100,"")</f>
        <v>0</v>
      </c>
      <c r="BB90" s="67">
        <f>IFERROR(AS90*'⛽ المبيعات الشهرية'!AU89/100,"")</f>
        <v>0</v>
      </c>
      <c r="BC90" s="61">
        <f>IFERROR(AS90*'⛽ المبيعات الشهرية'!AV89/100,"")</f>
        <v>0</v>
      </c>
      <c r="BD90" s="67">
        <f>IFERROR(AS90*'⛽ المبيعات الشهرية'!AW89/100,"")</f>
        <v>0</v>
      </c>
      <c r="BE90" s="61">
        <f>IFERROR(AS90*'⛽ المبيعات الشهرية'!AX89/100,"")</f>
        <v>0</v>
      </c>
      <c r="BF90" s="42">
        <f t="shared" si="13"/>
        <v>0</v>
      </c>
      <c r="BG90" s="68">
        <f t="shared" si="14"/>
        <v>0</v>
      </c>
    </row>
    <row r="91" spans="1:59" ht="21.75" customHeight="1" x14ac:dyDescent="0.35">
      <c r="A91" s="58" t="s">
        <v>244</v>
      </c>
      <c r="B91" s="36">
        <f>'📋 بيانات المحطات'!B90</f>
        <v>0</v>
      </c>
      <c r="C91" s="59">
        <f>'📋 بيانات المحطات'!H90</f>
        <v>0</v>
      </c>
      <c r="D91" s="60">
        <f>IFERROR(C91*'⛽ المبيعات الشهرية'!C90/100,"")</f>
        <v>0</v>
      </c>
      <c r="E91" s="61">
        <f>IFERROR(C91*'⛽ المبيعات الشهرية'!D90/100,"")</f>
        <v>0</v>
      </c>
      <c r="F91" s="60">
        <f>IFERROR(C91*'⛽ المبيعات الشهرية'!E90/100,"")</f>
        <v>0</v>
      </c>
      <c r="G91" s="61">
        <f>IFERROR(C91*'⛽ المبيعات الشهرية'!F90/100,"")</f>
        <v>0</v>
      </c>
      <c r="H91" s="60">
        <f>IFERROR(C91*'⛽ المبيعات الشهرية'!G90/100,"")</f>
        <v>0</v>
      </c>
      <c r="I91" s="61">
        <f>IFERROR(C91*'⛽ المبيعات الشهرية'!H90/100,"")</f>
        <v>0</v>
      </c>
      <c r="J91" s="60">
        <f>IFERROR(C91*'⛽ المبيعات الشهرية'!I90/100,"")</f>
        <v>0</v>
      </c>
      <c r="K91" s="61">
        <f>IFERROR(C91*'⛽ المبيعات الشهرية'!J90/100,"")</f>
        <v>0</v>
      </c>
      <c r="L91" s="60">
        <f>IFERROR(C91*'⛽ المبيعات الشهرية'!K90/100,"")</f>
        <v>0</v>
      </c>
      <c r="M91" s="61">
        <f>IFERROR(C91*'⛽ المبيعات الشهرية'!L90/100,"")</f>
        <v>0</v>
      </c>
      <c r="N91" s="60">
        <f>IFERROR(C91*'⛽ المبيعات الشهرية'!M90/100,"")</f>
        <v>0</v>
      </c>
      <c r="O91" s="61">
        <f>IFERROR(C91*'⛽ المبيعات الشهرية'!N90/100,"")</f>
        <v>0</v>
      </c>
      <c r="P91" s="42">
        <f t="shared" si="10"/>
        <v>0</v>
      </c>
      <c r="Q91" s="62">
        <f>'📋 بيانات المحطات'!I90</f>
        <v>0</v>
      </c>
      <c r="R91" s="63">
        <f>IFERROR(Q91*'⛽ المبيعات الشهرية'!O90/100,"")</f>
        <v>0</v>
      </c>
      <c r="S91" s="61">
        <f>IFERROR(Q91*'⛽ المبيعات الشهرية'!P90/100,"")</f>
        <v>0</v>
      </c>
      <c r="T91" s="63">
        <f>IFERROR(Q91*'⛽ المبيعات الشهرية'!Q90/100,"")</f>
        <v>0</v>
      </c>
      <c r="U91" s="61">
        <f>IFERROR(Q91*'⛽ المبيعات الشهرية'!R90/100,"")</f>
        <v>0</v>
      </c>
      <c r="V91" s="63">
        <f>IFERROR(Q91*'⛽ المبيعات الشهرية'!S90/100,"")</f>
        <v>0</v>
      </c>
      <c r="W91" s="61">
        <f>IFERROR(Q91*'⛽ المبيعات الشهرية'!T90/100,"")</f>
        <v>0</v>
      </c>
      <c r="X91" s="63">
        <f>IFERROR(Q91*'⛽ المبيعات الشهرية'!U90/100,"")</f>
        <v>0</v>
      </c>
      <c r="Y91" s="61">
        <f>IFERROR(Q91*'⛽ المبيعات الشهرية'!V90/100,"")</f>
        <v>0</v>
      </c>
      <c r="Z91" s="63">
        <f>IFERROR(Q91*'⛽ المبيعات الشهرية'!W90/100,"")</f>
        <v>0</v>
      </c>
      <c r="AA91" s="61">
        <f>IFERROR(Q91*'⛽ المبيعات الشهرية'!X90/100,"")</f>
        <v>0</v>
      </c>
      <c r="AB91" s="63">
        <f>IFERROR(Q91*'⛽ المبيعات الشهرية'!Y90/100,"")</f>
        <v>0</v>
      </c>
      <c r="AC91" s="61">
        <f>IFERROR(Q91*'⛽ المبيعات الشهرية'!Z90/100,"")</f>
        <v>0</v>
      </c>
      <c r="AD91" s="42">
        <f t="shared" si="11"/>
        <v>0</v>
      </c>
      <c r="AE91" s="64">
        <f>'📋 بيانات المحطات'!J90</f>
        <v>0</v>
      </c>
      <c r="AF91" s="65">
        <f>IFERROR(AE91*'⛽ المبيعات الشهرية'!AA90/100,"")</f>
        <v>0</v>
      </c>
      <c r="AG91" s="61">
        <f>IFERROR(AE91*'⛽ المبيعات الشهرية'!AB90/100,"")</f>
        <v>0</v>
      </c>
      <c r="AH91" s="65">
        <f>IFERROR(AE91*'⛽ المبيعات الشهرية'!AC90/100,"")</f>
        <v>0</v>
      </c>
      <c r="AI91" s="61">
        <f>IFERROR(AE91*'⛽ المبيعات الشهرية'!AD90/100,"")</f>
        <v>0</v>
      </c>
      <c r="AJ91" s="65">
        <f>IFERROR(AE91*'⛽ المبيعات الشهرية'!AE90/100,"")</f>
        <v>0</v>
      </c>
      <c r="AK91" s="61">
        <f>IFERROR(AE91*'⛽ المبيعات الشهرية'!AF90/100,"")</f>
        <v>0</v>
      </c>
      <c r="AL91" s="65">
        <f>IFERROR(AE91*'⛽ المبيعات الشهرية'!AG90/100,"")</f>
        <v>0</v>
      </c>
      <c r="AM91" s="61">
        <f>IFERROR(AE91*'⛽ المبيعات الشهرية'!AH90/100,"")</f>
        <v>0</v>
      </c>
      <c r="AN91" s="65">
        <f>IFERROR(AE91*'⛽ المبيعات الشهرية'!AI90/100,"")</f>
        <v>0</v>
      </c>
      <c r="AO91" s="61">
        <f>IFERROR(AE91*'⛽ المبيعات الشهرية'!AJ90/100,"")</f>
        <v>0</v>
      </c>
      <c r="AP91" s="65">
        <f>IFERROR(AE91*'⛽ المبيعات الشهرية'!AK90/100,"")</f>
        <v>0</v>
      </c>
      <c r="AQ91" s="61">
        <f>IFERROR(AE91*'⛽ المبيعات الشهرية'!AL90/100,"")</f>
        <v>0</v>
      </c>
      <c r="AR91" s="42">
        <f t="shared" si="12"/>
        <v>0</v>
      </c>
      <c r="AS91" s="66">
        <f>'📋 بيانات المحطات'!K90</f>
        <v>0</v>
      </c>
      <c r="AT91" s="67">
        <f>IFERROR(AS91*'⛽ المبيعات الشهرية'!AM90/100,"")</f>
        <v>0</v>
      </c>
      <c r="AU91" s="61">
        <f>IFERROR(AS91*'⛽ المبيعات الشهرية'!AN90/100,"")</f>
        <v>0</v>
      </c>
      <c r="AV91" s="67">
        <f>IFERROR(AS91*'⛽ المبيعات الشهرية'!AO90/100,"")</f>
        <v>0</v>
      </c>
      <c r="AW91" s="61">
        <f>IFERROR(AS91*'⛽ المبيعات الشهرية'!AP90/100,"")</f>
        <v>0</v>
      </c>
      <c r="AX91" s="67">
        <f>IFERROR(AS91*'⛽ المبيعات الشهرية'!AQ90/100,"")</f>
        <v>0</v>
      </c>
      <c r="AY91" s="61">
        <f>IFERROR(AS91*'⛽ المبيعات الشهرية'!AR90/100,"")</f>
        <v>0</v>
      </c>
      <c r="AZ91" s="67">
        <f>IFERROR(AS91*'⛽ المبيعات الشهرية'!AS90/100,"")</f>
        <v>0</v>
      </c>
      <c r="BA91" s="61">
        <f>IFERROR(AS91*'⛽ المبيعات الشهرية'!AT90/100,"")</f>
        <v>0</v>
      </c>
      <c r="BB91" s="67">
        <f>IFERROR(AS91*'⛽ المبيعات الشهرية'!AU90/100,"")</f>
        <v>0</v>
      </c>
      <c r="BC91" s="61">
        <f>IFERROR(AS91*'⛽ المبيعات الشهرية'!AV90/100,"")</f>
        <v>0</v>
      </c>
      <c r="BD91" s="67">
        <f>IFERROR(AS91*'⛽ المبيعات الشهرية'!AW90/100,"")</f>
        <v>0</v>
      </c>
      <c r="BE91" s="61">
        <f>IFERROR(AS91*'⛽ المبيعات الشهرية'!AX90/100,"")</f>
        <v>0</v>
      </c>
      <c r="BF91" s="42">
        <f t="shared" si="13"/>
        <v>0</v>
      </c>
      <c r="BG91" s="68">
        <f t="shared" si="14"/>
        <v>0</v>
      </c>
    </row>
    <row r="92" spans="1:59" ht="30" customHeight="1" x14ac:dyDescent="0.35">
      <c r="A92" s="70"/>
      <c r="B92" s="71" t="s">
        <v>203</v>
      </c>
      <c r="C92" s="72" t="s">
        <v>245</v>
      </c>
      <c r="D92" s="46">
        <f t="shared" ref="D92:P92" si="15">IFERROR(SUM(D6:D90),"")</f>
        <v>0</v>
      </c>
      <c r="E92" s="46">
        <f t="shared" si="15"/>
        <v>0</v>
      </c>
      <c r="F92" s="46">
        <f t="shared" si="15"/>
        <v>0</v>
      </c>
      <c r="G92" s="46">
        <f t="shared" si="15"/>
        <v>0</v>
      </c>
      <c r="H92" s="46">
        <f t="shared" si="15"/>
        <v>0</v>
      </c>
      <c r="I92" s="46">
        <f t="shared" si="15"/>
        <v>0</v>
      </c>
      <c r="J92" s="46">
        <f t="shared" si="15"/>
        <v>0</v>
      </c>
      <c r="K92" s="46">
        <f t="shared" si="15"/>
        <v>0</v>
      </c>
      <c r="L92" s="46">
        <f t="shared" si="15"/>
        <v>0</v>
      </c>
      <c r="M92" s="46">
        <f t="shared" si="15"/>
        <v>0</v>
      </c>
      <c r="N92" s="46">
        <f t="shared" si="15"/>
        <v>0</v>
      </c>
      <c r="O92" s="46">
        <f t="shared" si="15"/>
        <v>0</v>
      </c>
      <c r="P92" s="50">
        <f t="shared" si="15"/>
        <v>0</v>
      </c>
      <c r="Q92" s="73" t="s">
        <v>245</v>
      </c>
      <c r="R92" s="47">
        <f t="shared" ref="R92:AD92" si="16">IFERROR(SUM(R6:R90),"")</f>
        <v>0</v>
      </c>
      <c r="S92" s="47">
        <f t="shared" si="16"/>
        <v>0</v>
      </c>
      <c r="T92" s="47">
        <f t="shared" si="16"/>
        <v>0</v>
      </c>
      <c r="U92" s="47">
        <f t="shared" si="16"/>
        <v>0</v>
      </c>
      <c r="V92" s="47">
        <f t="shared" si="16"/>
        <v>0</v>
      </c>
      <c r="W92" s="47">
        <f t="shared" si="16"/>
        <v>0</v>
      </c>
      <c r="X92" s="47">
        <f t="shared" si="16"/>
        <v>0</v>
      </c>
      <c r="Y92" s="47">
        <f t="shared" si="16"/>
        <v>0</v>
      </c>
      <c r="Z92" s="47">
        <f t="shared" si="16"/>
        <v>0</v>
      </c>
      <c r="AA92" s="47">
        <f t="shared" si="16"/>
        <v>0</v>
      </c>
      <c r="AB92" s="47">
        <f t="shared" si="16"/>
        <v>0</v>
      </c>
      <c r="AC92" s="47">
        <f t="shared" si="16"/>
        <v>0</v>
      </c>
      <c r="AD92" s="50">
        <f t="shared" si="16"/>
        <v>0</v>
      </c>
      <c r="AE92" s="74" t="s">
        <v>245</v>
      </c>
      <c r="AF92" s="48">
        <f t="shared" ref="AF92:AR92" si="17">IFERROR(SUM(AF6:AF90),"")</f>
        <v>0</v>
      </c>
      <c r="AG92" s="48">
        <f t="shared" si="17"/>
        <v>0</v>
      </c>
      <c r="AH92" s="48">
        <f t="shared" si="17"/>
        <v>0</v>
      </c>
      <c r="AI92" s="48">
        <f t="shared" si="17"/>
        <v>0</v>
      </c>
      <c r="AJ92" s="48">
        <f t="shared" si="17"/>
        <v>0</v>
      </c>
      <c r="AK92" s="48">
        <f t="shared" si="17"/>
        <v>0</v>
      </c>
      <c r="AL92" s="48">
        <f t="shared" si="17"/>
        <v>0</v>
      </c>
      <c r="AM92" s="48">
        <f t="shared" si="17"/>
        <v>0</v>
      </c>
      <c r="AN92" s="48">
        <f t="shared" si="17"/>
        <v>0</v>
      </c>
      <c r="AO92" s="48">
        <f t="shared" si="17"/>
        <v>0</v>
      </c>
      <c r="AP92" s="48">
        <f t="shared" si="17"/>
        <v>0</v>
      </c>
      <c r="AQ92" s="48">
        <f t="shared" si="17"/>
        <v>0</v>
      </c>
      <c r="AR92" s="50">
        <f t="shared" si="17"/>
        <v>0</v>
      </c>
      <c r="AS92" s="75" t="s">
        <v>245</v>
      </c>
      <c r="AT92" s="49">
        <f t="shared" ref="AT92:BG92" si="18">IFERROR(SUM(AT6:AT90),"")</f>
        <v>0</v>
      </c>
      <c r="AU92" s="49">
        <f t="shared" si="18"/>
        <v>0</v>
      </c>
      <c r="AV92" s="49">
        <f t="shared" si="18"/>
        <v>0</v>
      </c>
      <c r="AW92" s="49">
        <f t="shared" si="18"/>
        <v>0</v>
      </c>
      <c r="AX92" s="49">
        <f t="shared" si="18"/>
        <v>0</v>
      </c>
      <c r="AY92" s="49">
        <f t="shared" si="18"/>
        <v>0</v>
      </c>
      <c r="AZ92" s="49">
        <f t="shared" si="18"/>
        <v>0</v>
      </c>
      <c r="BA92" s="49">
        <f t="shared" si="18"/>
        <v>0</v>
      </c>
      <c r="BB92" s="49">
        <f t="shared" si="18"/>
        <v>0</v>
      </c>
      <c r="BC92" s="49">
        <f t="shared" si="18"/>
        <v>0</v>
      </c>
      <c r="BD92" s="49">
        <f t="shared" si="18"/>
        <v>0</v>
      </c>
      <c r="BE92" s="49">
        <f t="shared" si="18"/>
        <v>0</v>
      </c>
      <c r="BF92" s="50">
        <f t="shared" si="18"/>
        <v>0</v>
      </c>
      <c r="BG92" s="76">
        <f t="shared" si="18"/>
        <v>0</v>
      </c>
    </row>
  </sheetData>
  <mergeCells count="6">
    <mergeCell ref="A2:BJ2"/>
    <mergeCell ref="A3:BJ3"/>
    <mergeCell ref="C5:P5"/>
    <mergeCell ref="Q5:AD5"/>
    <mergeCell ref="AE5:AR5"/>
    <mergeCell ref="AS5:BF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7"/>
  <sheetViews>
    <sheetView rightToLeft="1" zoomScale="90" zoomScaleNormal="9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4" customWidth="1"/>
    <col min="2" max="2" width="28" customWidth="1"/>
    <col min="3" max="3" width="10" customWidth="1"/>
    <col min="4" max="4" width="12" customWidth="1"/>
    <col min="5" max="8" width="16" customWidth="1"/>
    <col min="9" max="11" width="14" customWidth="1"/>
  </cols>
  <sheetData>
    <row r="1" spans="1:11" ht="4.5" customHeight="1" x14ac:dyDescent="0.35"/>
    <row r="2" spans="1:11" ht="51.75" customHeight="1" x14ac:dyDescent="0.35">
      <c r="A2" s="236" t="s">
        <v>246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</row>
    <row r="3" spans="1:11" ht="19.5" customHeight="1" x14ac:dyDescent="0.35">
      <c r="A3" s="1" t="s">
        <v>247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4.5" customHeight="1" x14ac:dyDescent="0.35"/>
    <row r="5" spans="1:11" ht="30" customHeight="1" x14ac:dyDescent="0.35">
      <c r="A5" s="12" t="s">
        <v>8</v>
      </c>
      <c r="B5" s="12" t="s">
        <v>248</v>
      </c>
      <c r="C5" s="12" t="s">
        <v>249</v>
      </c>
      <c r="D5" s="12" t="s">
        <v>250</v>
      </c>
      <c r="E5" s="12" t="s">
        <v>251</v>
      </c>
      <c r="F5" s="12" t="s">
        <v>252</v>
      </c>
      <c r="G5" s="12" t="s">
        <v>253</v>
      </c>
      <c r="H5" s="12" t="s">
        <v>254</v>
      </c>
      <c r="I5" s="12" t="s">
        <v>255</v>
      </c>
      <c r="J5" s="12" t="s">
        <v>256</v>
      </c>
      <c r="K5" s="12" t="s">
        <v>257</v>
      </c>
    </row>
    <row r="6" spans="1:11" ht="21.75" customHeight="1" x14ac:dyDescent="0.35">
      <c r="A6" s="237" t="s">
        <v>258</v>
      </c>
      <c r="B6" s="237"/>
      <c r="C6" s="237"/>
      <c r="D6" s="237"/>
      <c r="E6" s="237"/>
      <c r="F6" s="237"/>
      <c r="G6" s="237"/>
      <c r="H6" s="237"/>
      <c r="I6" s="237"/>
      <c r="J6" s="237"/>
      <c r="K6" s="237"/>
    </row>
    <row r="7" spans="1:11" ht="30" customHeight="1" x14ac:dyDescent="0.35">
      <c r="A7" s="77" t="s">
        <v>19</v>
      </c>
      <c r="B7" s="78" t="s">
        <v>259</v>
      </c>
      <c r="C7" s="69" t="s">
        <v>260</v>
      </c>
      <c r="D7" s="79" t="s">
        <v>261</v>
      </c>
      <c r="E7" s="80">
        <f>IFERROR(SUMPRODUCT('📋 بيانات المحطات'!H6:H90,'⛽ المبيعات الشهرية'!C6:C90)/100,"")</f>
        <v>0</v>
      </c>
      <c r="F7" s="81">
        <f>IFERROR(SUMPRODUCT('📋 بيانات المحطات'!H6:H90,'⛽ المبيعات الشهرية'!D6:D90)/100,"")</f>
        <v>0</v>
      </c>
      <c r="G7" s="80">
        <f>IFERROR(SUMPRODUCT('📋 بيانات المحطات'!H6:H90,'⛽ المبيعات الشهرية'!E6:E90)/100,"")</f>
        <v>0</v>
      </c>
      <c r="H7" s="82">
        <f>IFERROR(SUM(E7:G7),"")</f>
        <v>0</v>
      </c>
      <c r="I7" s="83"/>
      <c r="J7" s="83"/>
      <c r="K7" s="84">
        <f>IFERROR(SUM('💰 الربحية — محسوبة'!P6:P90),"")</f>
        <v>0</v>
      </c>
    </row>
    <row r="8" spans="1:11" ht="30" customHeight="1" x14ac:dyDescent="0.35">
      <c r="A8" s="85" t="s">
        <v>32</v>
      </c>
      <c r="B8" s="86" t="s">
        <v>262</v>
      </c>
      <c r="C8" s="69" t="s">
        <v>260</v>
      </c>
      <c r="D8" s="79" t="s">
        <v>261</v>
      </c>
      <c r="E8" s="39">
        <f>IFERROR(SUMPRODUCT('📋 بيانات المحطات'!I6:I90,'⛽ المبيعات الشهرية'!O6:O90)/100,"")</f>
        <v>0</v>
      </c>
      <c r="F8" s="38">
        <f>IFERROR(SUMPRODUCT('📋 بيانات المحطات'!I6:I90,'⛽ المبيعات الشهرية'!P6:P90)/100,"")</f>
        <v>0</v>
      </c>
      <c r="G8" s="39">
        <f>IFERROR(SUMPRODUCT('📋 بيانات المحطات'!I6:I90,'⛽ المبيعات الشهرية'!Q6:Q90)/100,"")</f>
        <v>0</v>
      </c>
      <c r="H8" s="87">
        <f>IFERROR(SUM(E8:G8),"")</f>
        <v>0</v>
      </c>
      <c r="I8" s="88"/>
      <c r="J8" s="88"/>
      <c r="K8" s="89">
        <f>IFERROR(SUM('💰 الربحية — محسوبة'!AD6:AD90),"")</f>
        <v>0</v>
      </c>
    </row>
    <row r="9" spans="1:11" ht="30" customHeight="1" x14ac:dyDescent="0.35">
      <c r="A9" s="90" t="s">
        <v>35</v>
      </c>
      <c r="B9" s="91" t="s">
        <v>263</v>
      </c>
      <c r="C9" s="69" t="s">
        <v>260</v>
      </c>
      <c r="D9" s="79" t="s">
        <v>261</v>
      </c>
      <c r="E9" s="92">
        <f>IFERROR(SUMPRODUCT('📋 بيانات المحطات'!J6:J90,'⛽ المبيعات الشهرية'!AA6:AA90)/100,"")</f>
        <v>0</v>
      </c>
      <c r="F9" s="93">
        <f>IFERROR(SUMPRODUCT('📋 بيانات المحطات'!J6:J90,'⛽ المبيعات الشهرية'!AB6:AB90)/100,"")</f>
        <v>0</v>
      </c>
      <c r="G9" s="92">
        <f>IFERROR(SUMPRODUCT('📋 بيانات المحطات'!J6:J90,'⛽ المبيعات الشهرية'!AC6:AC90)/100,"")</f>
        <v>0</v>
      </c>
      <c r="H9" s="94">
        <f>IFERROR(SUM(E9:G9),"")</f>
        <v>0</v>
      </c>
      <c r="I9" s="95"/>
      <c r="J9" s="95"/>
      <c r="K9" s="96">
        <f>IFERROR(SUM('💰 الربحية — محسوبة'!AR6:AR90),"")</f>
        <v>0</v>
      </c>
    </row>
    <row r="10" spans="1:11" ht="30" customHeight="1" x14ac:dyDescent="0.35">
      <c r="A10" s="97" t="s">
        <v>38</v>
      </c>
      <c r="B10" s="98" t="s">
        <v>264</v>
      </c>
      <c r="C10" s="69" t="s">
        <v>260</v>
      </c>
      <c r="D10" s="79" t="s">
        <v>261</v>
      </c>
      <c r="E10" s="99">
        <f>IFERROR(SUMPRODUCT('📋 بيانات المحطات'!K6:K90,'⛽ المبيعات الشهرية'!AM6:AM90)/100,"")</f>
        <v>0</v>
      </c>
      <c r="F10" s="100">
        <f>IFERROR(SUMPRODUCT('📋 بيانات المحطات'!K6:K90,'⛽ المبيعات الشهرية'!AN6:AN90)/100,"")</f>
        <v>0</v>
      </c>
      <c r="G10" s="99">
        <f>IFERROR(SUMPRODUCT('📋 بيانات المحطات'!K6:K90,'⛽ المبيعات الشهرية'!AO6:AO90)/100,"")</f>
        <v>0</v>
      </c>
      <c r="H10" s="101">
        <f>IFERROR(SUM(E10:G10),"")</f>
        <v>0</v>
      </c>
      <c r="I10" s="102"/>
      <c r="J10" s="102"/>
      <c r="K10" s="103">
        <f>IFERROR(SUM('💰 الربحية — محسوبة'!BF6:BF90),"")</f>
        <v>0</v>
      </c>
    </row>
    <row r="11" spans="1:11" ht="33.75" customHeight="1" x14ac:dyDescent="0.35">
      <c r="A11" s="104" t="s">
        <v>41</v>
      </c>
      <c r="B11" s="105" t="s">
        <v>265</v>
      </c>
      <c r="C11" s="69" t="s">
        <v>260</v>
      </c>
      <c r="D11" s="79" t="s">
        <v>261</v>
      </c>
      <c r="H11" s="106">
        <f>IFERROR(SUM(H7:H10),"")</f>
        <v>0</v>
      </c>
      <c r="K11" s="76">
        <f>IFERROR(SUM('💰 الربحية — محسوبة'!BG6:BG90),"")</f>
        <v>0</v>
      </c>
    </row>
    <row r="13" spans="1:11" ht="21.75" customHeight="1" x14ac:dyDescent="0.35">
      <c r="A13" s="237" t="s">
        <v>266</v>
      </c>
      <c r="B13" s="237"/>
      <c r="C13" s="237"/>
      <c r="D13" s="237"/>
      <c r="E13" s="237"/>
      <c r="F13" s="237"/>
      <c r="G13" s="237"/>
      <c r="H13" s="237"/>
      <c r="I13" s="237"/>
      <c r="J13" s="237"/>
      <c r="K13" s="237"/>
    </row>
    <row r="14" spans="1:11" ht="30" customHeight="1" x14ac:dyDescent="0.35">
      <c r="A14" s="77" t="s">
        <v>44</v>
      </c>
      <c r="B14" s="78" t="s">
        <v>267</v>
      </c>
      <c r="C14" s="69" t="s">
        <v>268</v>
      </c>
      <c r="D14" s="79" t="s">
        <v>261</v>
      </c>
      <c r="E14" s="80">
        <f>IFERROR(SUM('⛽ المبيعات الشهرية'!C6:C90),"")</f>
        <v>0</v>
      </c>
      <c r="F14" s="81">
        <f>IFERROR(SUM('⛽ المبيعات الشهرية'!D6:D90),"")</f>
        <v>0</v>
      </c>
      <c r="G14" s="80">
        <f>IFERROR(SUM('⛽ المبيعات الشهرية'!E6:E90),"")</f>
        <v>0</v>
      </c>
      <c r="H14" s="82">
        <f>IFERROR(SUM(E14:G14),"")</f>
        <v>0</v>
      </c>
      <c r="K14" s="84">
        <f>IFERROR(SUM('⛽ المبيعات الشهرية'!C6:N90),"")</f>
        <v>37010065.940000013</v>
      </c>
    </row>
    <row r="15" spans="1:11" ht="30" customHeight="1" x14ac:dyDescent="0.35">
      <c r="A15" s="85" t="s">
        <v>47</v>
      </c>
      <c r="B15" s="86" t="s">
        <v>269</v>
      </c>
      <c r="C15" s="69" t="s">
        <v>268</v>
      </c>
      <c r="D15" s="79" t="s">
        <v>261</v>
      </c>
      <c r="E15" s="39">
        <f>IFERROR(SUM('⛽ المبيعات الشهرية'!O6:O90),"")</f>
        <v>0</v>
      </c>
      <c r="F15" s="38">
        <f>IFERROR(SUM('⛽ المبيعات الشهرية'!P6:P90),"")</f>
        <v>0</v>
      </c>
      <c r="G15" s="39">
        <f>IFERROR(SUM('⛽ المبيعات الشهرية'!Q6:Q90),"")</f>
        <v>0</v>
      </c>
      <c r="H15" s="87">
        <f>IFERROR(SUM(E15:G15),"")</f>
        <v>0</v>
      </c>
      <c r="K15" s="89">
        <f>IFERROR(SUM('⛽ المبيعات الشهرية'!O6:Z90),"")</f>
        <v>30691121.100000001</v>
      </c>
    </row>
    <row r="16" spans="1:11" ht="30" customHeight="1" x14ac:dyDescent="0.35">
      <c r="A16" s="90" t="s">
        <v>50</v>
      </c>
      <c r="B16" s="91" t="s">
        <v>270</v>
      </c>
      <c r="C16" s="69" t="s">
        <v>268</v>
      </c>
      <c r="D16" s="79" t="s">
        <v>261</v>
      </c>
      <c r="E16" s="92">
        <f>IFERROR(SUM('⛽ المبيعات الشهرية'!AA6:AA90),"")</f>
        <v>0</v>
      </c>
      <c r="F16" s="93">
        <f>IFERROR(SUM('⛽ المبيعات الشهرية'!AB6:AB90),"")</f>
        <v>0</v>
      </c>
      <c r="G16" s="92">
        <f>IFERROR(SUM('⛽ المبيعات الشهرية'!AC6:AC90),"")</f>
        <v>0</v>
      </c>
      <c r="H16" s="94">
        <f>IFERROR(SUM(E16:G16),"")</f>
        <v>0</v>
      </c>
      <c r="K16" s="96">
        <f>IFERROR(SUM('⛽ المبيعات الشهرية'!AA6:AL90),"")</f>
        <v>48890.66</v>
      </c>
    </row>
    <row r="17" spans="1:11" ht="30" customHeight="1" x14ac:dyDescent="0.35">
      <c r="A17" s="97" t="s">
        <v>53</v>
      </c>
      <c r="B17" s="98" t="s">
        <v>271</v>
      </c>
      <c r="C17" s="69" t="s">
        <v>268</v>
      </c>
      <c r="D17" s="79" t="s">
        <v>261</v>
      </c>
      <c r="E17" s="99">
        <f>IFERROR(SUM('⛽ المبيعات الشهرية'!AM6:AM90),"")</f>
        <v>0</v>
      </c>
      <c r="F17" s="100">
        <f>IFERROR(SUM('⛽ المبيعات الشهرية'!AN6:AN90),"")</f>
        <v>0</v>
      </c>
      <c r="G17" s="99">
        <f>IFERROR(SUM('⛽ المبيعات الشهرية'!AO6:AO90),"")</f>
        <v>0</v>
      </c>
      <c r="H17" s="101">
        <f>IFERROR(SUM(E17:G17),"")</f>
        <v>0</v>
      </c>
      <c r="K17" s="103">
        <f>IFERROR(SUM('⛽ المبيعات الشهرية'!AM6:AX90),"")</f>
        <v>15820031.92</v>
      </c>
    </row>
  </sheetData>
  <mergeCells count="4">
    <mergeCell ref="A2:K2"/>
    <mergeCell ref="A3:K3"/>
    <mergeCell ref="A6:K6"/>
    <mergeCell ref="A13:K1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61"/>
  <sheetViews>
    <sheetView rightToLeft="1" zoomScale="80" zoomScaleNormal="8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ColWidth="8.6328125" defaultRowHeight="14.5" x14ac:dyDescent="0.35"/>
  <cols>
    <col min="1" max="1" width="4" customWidth="1"/>
    <col min="2" max="2" width="20" customWidth="1"/>
    <col min="3" max="3" width="8" customWidth="1"/>
    <col min="4" max="38" width="9" customWidth="1"/>
  </cols>
  <sheetData>
    <row r="1" spans="1:37" ht="4.5" customHeight="1" x14ac:dyDescent="0.35"/>
    <row r="2" spans="1:37" ht="49.5" customHeight="1" x14ac:dyDescent="0.35">
      <c r="A2" s="11" t="s">
        <v>272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</row>
    <row r="3" spans="1:37" ht="19.5" customHeight="1" x14ac:dyDescent="0.35">
      <c r="A3" s="10" t="s">
        <v>273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</row>
    <row r="4" spans="1:37" ht="4.5" customHeight="1" x14ac:dyDescent="0.35"/>
    <row r="5" spans="1:37" ht="30" customHeight="1" x14ac:dyDescent="0.35">
      <c r="A5" s="25" t="s">
        <v>8</v>
      </c>
      <c r="B5" s="107" t="s">
        <v>9</v>
      </c>
      <c r="C5" s="25" t="s">
        <v>10</v>
      </c>
      <c r="D5" s="27" t="s">
        <v>274</v>
      </c>
      <c r="E5" s="108" t="s">
        <v>275</v>
      </c>
      <c r="F5" s="27" t="s">
        <v>276</v>
      </c>
      <c r="G5" s="108" t="s">
        <v>277</v>
      </c>
      <c r="H5" s="27" t="s">
        <v>278</v>
      </c>
      <c r="I5" s="108" t="s">
        <v>279</v>
      </c>
      <c r="J5" s="27" t="s">
        <v>280</v>
      </c>
      <c r="K5" s="108" t="s">
        <v>281</v>
      </c>
      <c r="L5" s="27" t="s">
        <v>282</v>
      </c>
      <c r="M5" s="108" t="s">
        <v>283</v>
      </c>
      <c r="N5" s="27" t="s">
        <v>284</v>
      </c>
      <c r="O5" s="108" t="s">
        <v>285</v>
      </c>
      <c r="P5" s="27" t="s">
        <v>286</v>
      </c>
      <c r="Q5" s="108" t="s">
        <v>287</v>
      </c>
      <c r="R5" s="27" t="s">
        <v>288</v>
      </c>
      <c r="S5" s="108" t="s">
        <v>289</v>
      </c>
      <c r="T5" s="27" t="s">
        <v>290</v>
      </c>
      <c r="U5" s="108" t="s">
        <v>291</v>
      </c>
      <c r="V5" s="27" t="s">
        <v>292</v>
      </c>
      <c r="W5" s="108" t="s">
        <v>293</v>
      </c>
      <c r="X5" s="27" t="s">
        <v>294</v>
      </c>
      <c r="Y5" s="108" t="s">
        <v>295</v>
      </c>
      <c r="Z5" s="27" t="s">
        <v>296</v>
      </c>
      <c r="AA5" s="108" t="s">
        <v>297</v>
      </c>
      <c r="AB5" s="27" t="s">
        <v>298</v>
      </c>
      <c r="AC5" s="108" t="s">
        <v>299</v>
      </c>
      <c r="AD5" s="27" t="s">
        <v>300</v>
      </c>
      <c r="AE5" s="108" t="s">
        <v>301</v>
      </c>
      <c r="AF5" s="27" t="s">
        <v>302</v>
      </c>
      <c r="AG5" s="108" t="s">
        <v>303</v>
      </c>
      <c r="AH5" s="25" t="s">
        <v>304</v>
      </c>
      <c r="AI5" s="25" t="s">
        <v>305</v>
      </c>
      <c r="AJ5" s="25" t="s">
        <v>306</v>
      </c>
      <c r="AK5" s="25" t="s">
        <v>307</v>
      </c>
    </row>
    <row r="6" spans="1:37" ht="21.75" customHeight="1" x14ac:dyDescent="0.35">
      <c r="A6" s="17" t="s">
        <v>19</v>
      </c>
      <c r="B6" s="109" t="s">
        <v>20</v>
      </c>
      <c r="C6" s="110" t="s">
        <v>21</v>
      </c>
      <c r="D6" s="111">
        <v>46918</v>
      </c>
      <c r="E6" s="112">
        <v>46596</v>
      </c>
      <c r="F6" s="111">
        <v>35468</v>
      </c>
      <c r="G6" s="112">
        <v>36813</v>
      </c>
      <c r="H6" s="111">
        <v>42659</v>
      </c>
      <c r="I6" s="112">
        <v>42301</v>
      </c>
      <c r="J6" s="111">
        <v>40181</v>
      </c>
      <c r="K6" s="112">
        <v>39752</v>
      </c>
      <c r="L6" s="111">
        <v>46628</v>
      </c>
      <c r="M6" s="112">
        <v>37798</v>
      </c>
      <c r="N6" s="111">
        <v>39599</v>
      </c>
      <c r="O6" s="112">
        <v>42670</v>
      </c>
      <c r="P6" s="111">
        <v>40106</v>
      </c>
      <c r="Q6" s="112">
        <v>40128</v>
      </c>
      <c r="R6" s="111">
        <v>39249</v>
      </c>
      <c r="S6" s="112">
        <v>38486</v>
      </c>
      <c r="T6" s="111">
        <v>31030</v>
      </c>
      <c r="U6" s="112">
        <v>32200</v>
      </c>
      <c r="V6" s="111">
        <v>34170</v>
      </c>
      <c r="W6" s="112">
        <v>32461</v>
      </c>
      <c r="X6" s="111">
        <v>34994</v>
      </c>
      <c r="Y6" s="112">
        <v>33638</v>
      </c>
      <c r="Z6" s="111">
        <v>33555</v>
      </c>
      <c r="AA6" s="112">
        <v>26380</v>
      </c>
      <c r="AB6" s="111">
        <v>29147</v>
      </c>
      <c r="AC6" s="112">
        <v>32997</v>
      </c>
      <c r="AD6" s="111">
        <v>43346</v>
      </c>
      <c r="AE6" s="112">
        <v>36369</v>
      </c>
      <c r="AF6" s="111">
        <v>33792</v>
      </c>
      <c r="AG6" s="112">
        <v>41395</v>
      </c>
      <c r="AH6" s="42">
        <v>1130827</v>
      </c>
      <c r="AI6" s="61">
        <v>37694</v>
      </c>
      <c r="AJ6" s="113">
        <v>56.2</v>
      </c>
      <c r="AK6" s="114">
        <v>43.8</v>
      </c>
    </row>
    <row r="7" spans="1:37" ht="21.75" customHeight="1" x14ac:dyDescent="0.35">
      <c r="A7" s="24" t="s">
        <v>32</v>
      </c>
      <c r="B7" s="109" t="s">
        <v>27</v>
      </c>
      <c r="C7" s="115" t="s">
        <v>28</v>
      </c>
      <c r="D7" s="111">
        <v>18378</v>
      </c>
      <c r="E7" s="112">
        <v>19129</v>
      </c>
      <c r="F7" s="111">
        <v>15891</v>
      </c>
      <c r="G7" s="112">
        <v>17065</v>
      </c>
      <c r="H7" s="111">
        <v>17479</v>
      </c>
      <c r="I7" s="112">
        <v>16915</v>
      </c>
      <c r="J7" s="111">
        <v>17424</v>
      </c>
      <c r="K7" s="112">
        <v>16272</v>
      </c>
      <c r="L7" s="111">
        <v>19104</v>
      </c>
      <c r="M7" s="112">
        <v>16373</v>
      </c>
      <c r="N7" s="111">
        <v>17188</v>
      </c>
      <c r="O7" s="112">
        <v>17624</v>
      </c>
      <c r="P7" s="111">
        <v>14876</v>
      </c>
      <c r="Q7" s="112">
        <v>17259</v>
      </c>
      <c r="R7" s="111">
        <v>15014</v>
      </c>
      <c r="S7" s="112">
        <v>15770</v>
      </c>
      <c r="T7" s="111">
        <v>12838</v>
      </c>
      <c r="U7" s="112">
        <v>11186</v>
      </c>
      <c r="V7" s="111">
        <v>10438</v>
      </c>
      <c r="W7" s="112">
        <v>10655</v>
      </c>
      <c r="X7" s="111">
        <v>11828</v>
      </c>
      <c r="Y7" s="112">
        <v>12855</v>
      </c>
      <c r="Z7" s="111">
        <v>11188</v>
      </c>
      <c r="AA7" s="112">
        <v>9311</v>
      </c>
      <c r="AB7" s="111">
        <v>10197</v>
      </c>
      <c r="AC7" s="112">
        <v>10587</v>
      </c>
      <c r="AD7" s="111">
        <v>14133</v>
      </c>
      <c r="AE7" s="112">
        <v>12061</v>
      </c>
      <c r="AF7" s="111">
        <v>11654</v>
      </c>
      <c r="AG7" s="112">
        <v>12837</v>
      </c>
      <c r="AH7" s="42">
        <v>433532</v>
      </c>
      <c r="AI7" s="67">
        <v>14451</v>
      </c>
      <c r="AJ7" s="113">
        <v>56.3</v>
      </c>
      <c r="AK7" s="114">
        <v>43.7</v>
      </c>
    </row>
    <row r="8" spans="1:37" ht="21.75" customHeight="1" x14ac:dyDescent="0.35">
      <c r="A8" s="17" t="s">
        <v>35</v>
      </c>
      <c r="B8" s="109" t="s">
        <v>33</v>
      </c>
      <c r="C8" s="110" t="s">
        <v>34</v>
      </c>
      <c r="D8" s="111">
        <v>105234</v>
      </c>
      <c r="E8" s="112">
        <v>109208</v>
      </c>
      <c r="F8" s="111">
        <v>98741</v>
      </c>
      <c r="G8" s="112">
        <v>95604</v>
      </c>
      <c r="H8" s="111">
        <v>98614</v>
      </c>
      <c r="I8" s="112">
        <v>98278</v>
      </c>
      <c r="J8" s="111">
        <v>98845</v>
      </c>
      <c r="K8" s="112">
        <v>102827</v>
      </c>
      <c r="L8" s="111">
        <v>115863</v>
      </c>
      <c r="M8" s="112">
        <v>101750</v>
      </c>
      <c r="N8" s="111">
        <v>94299</v>
      </c>
      <c r="O8" s="112">
        <v>97604</v>
      </c>
      <c r="P8" s="111">
        <v>94311</v>
      </c>
      <c r="Q8" s="112">
        <v>95736</v>
      </c>
      <c r="R8" s="111">
        <v>99063</v>
      </c>
      <c r="S8" s="112">
        <v>114892</v>
      </c>
      <c r="T8" s="111">
        <v>101401</v>
      </c>
      <c r="U8" s="112">
        <v>97232</v>
      </c>
      <c r="V8" s="111">
        <v>98613</v>
      </c>
      <c r="W8" s="112">
        <v>98050</v>
      </c>
      <c r="X8" s="111">
        <v>103521</v>
      </c>
      <c r="Y8" s="112">
        <v>105629</v>
      </c>
      <c r="Z8" s="111">
        <v>120537</v>
      </c>
      <c r="AA8" s="112">
        <v>111940</v>
      </c>
      <c r="AB8" s="111">
        <v>108457</v>
      </c>
      <c r="AC8" s="112">
        <v>100941</v>
      </c>
      <c r="AD8" s="111">
        <v>135607</v>
      </c>
      <c r="AE8" s="112">
        <v>112480</v>
      </c>
      <c r="AF8" s="111">
        <v>108923</v>
      </c>
      <c r="AG8" s="112">
        <v>127674</v>
      </c>
      <c r="AH8" s="42">
        <v>3151873</v>
      </c>
      <c r="AI8" s="61">
        <v>105062</v>
      </c>
      <c r="AJ8" s="113">
        <v>51.6</v>
      </c>
      <c r="AK8" s="114">
        <v>48.4</v>
      </c>
    </row>
    <row r="9" spans="1:37" ht="21.75" customHeight="1" x14ac:dyDescent="0.35">
      <c r="A9" s="24" t="s">
        <v>38</v>
      </c>
      <c r="B9" s="109" t="s">
        <v>36</v>
      </c>
      <c r="C9" s="115" t="s">
        <v>37</v>
      </c>
      <c r="D9" s="111">
        <v>87918</v>
      </c>
      <c r="E9" s="112">
        <v>90742</v>
      </c>
      <c r="F9" s="111">
        <v>77844</v>
      </c>
      <c r="G9" s="112">
        <v>83367</v>
      </c>
      <c r="H9" s="111">
        <v>82957</v>
      </c>
      <c r="I9" s="112">
        <v>83016</v>
      </c>
      <c r="J9" s="111">
        <v>80586</v>
      </c>
      <c r="K9" s="112">
        <v>81099</v>
      </c>
      <c r="L9" s="111">
        <v>97072</v>
      </c>
      <c r="M9" s="112">
        <v>77055</v>
      </c>
      <c r="N9" s="111">
        <v>90255</v>
      </c>
      <c r="O9" s="112">
        <v>80107</v>
      </c>
      <c r="P9" s="111">
        <v>82061</v>
      </c>
      <c r="Q9" s="112">
        <v>81371</v>
      </c>
      <c r="R9" s="111">
        <v>87430</v>
      </c>
      <c r="S9" s="112">
        <v>90111</v>
      </c>
      <c r="T9" s="111">
        <v>78278</v>
      </c>
      <c r="U9" s="112">
        <v>88042</v>
      </c>
      <c r="V9" s="111">
        <v>85436</v>
      </c>
      <c r="W9" s="112">
        <v>88643</v>
      </c>
      <c r="X9" s="111">
        <v>92440</v>
      </c>
      <c r="Y9" s="112">
        <v>106777</v>
      </c>
      <c r="Z9" s="111">
        <v>110805</v>
      </c>
      <c r="AA9" s="112">
        <v>87433</v>
      </c>
      <c r="AB9" s="111">
        <v>91452</v>
      </c>
      <c r="AC9" s="112">
        <v>86021</v>
      </c>
      <c r="AD9" s="111">
        <v>104822</v>
      </c>
      <c r="AE9" s="112">
        <v>86683</v>
      </c>
      <c r="AF9" s="111">
        <v>103420</v>
      </c>
      <c r="AG9" s="112">
        <v>114470</v>
      </c>
      <c r="AH9" s="42">
        <v>2677710</v>
      </c>
      <c r="AI9" s="67">
        <v>89257</v>
      </c>
      <c r="AJ9" s="113">
        <v>32.799999999999997</v>
      </c>
      <c r="AK9" s="114">
        <v>28.1</v>
      </c>
    </row>
    <row r="10" spans="1:37" ht="21.75" customHeight="1" x14ac:dyDescent="0.35">
      <c r="A10" s="17" t="s">
        <v>41</v>
      </c>
      <c r="B10" s="109" t="s">
        <v>39</v>
      </c>
      <c r="C10" s="110" t="s">
        <v>40</v>
      </c>
      <c r="D10" s="111">
        <v>50342</v>
      </c>
      <c r="E10" s="112">
        <v>50035</v>
      </c>
      <c r="F10" s="111">
        <v>39224</v>
      </c>
      <c r="G10" s="112">
        <v>43138</v>
      </c>
      <c r="H10" s="111">
        <v>45195</v>
      </c>
      <c r="I10" s="112">
        <v>45912</v>
      </c>
      <c r="J10" s="111">
        <v>44612</v>
      </c>
      <c r="K10" s="112">
        <v>45075</v>
      </c>
      <c r="L10" s="111">
        <v>50837</v>
      </c>
      <c r="M10" s="112">
        <v>38877</v>
      </c>
      <c r="N10" s="111">
        <v>44483</v>
      </c>
      <c r="O10" s="112">
        <v>45391</v>
      </c>
      <c r="P10" s="111">
        <v>43292</v>
      </c>
      <c r="Q10" s="112">
        <v>41956</v>
      </c>
      <c r="R10" s="111">
        <v>41784</v>
      </c>
      <c r="S10" s="112">
        <v>47749</v>
      </c>
      <c r="T10" s="111">
        <v>39919</v>
      </c>
      <c r="U10" s="112">
        <v>44457</v>
      </c>
      <c r="V10" s="111">
        <v>45577</v>
      </c>
      <c r="W10" s="112">
        <v>43155</v>
      </c>
      <c r="X10" s="111">
        <v>45044</v>
      </c>
      <c r="Y10" s="112">
        <v>44674</v>
      </c>
      <c r="Z10" s="111">
        <v>51286</v>
      </c>
      <c r="AA10" s="112">
        <v>44209</v>
      </c>
      <c r="AB10" s="111">
        <v>49998</v>
      </c>
      <c r="AC10" s="112">
        <v>51593</v>
      </c>
      <c r="AD10" s="111">
        <v>70505</v>
      </c>
      <c r="AE10" s="112">
        <v>55724</v>
      </c>
      <c r="AF10" s="111">
        <v>49700</v>
      </c>
      <c r="AG10" s="112">
        <v>59321</v>
      </c>
      <c r="AH10" s="42">
        <v>1413065</v>
      </c>
      <c r="AI10" s="61">
        <v>47102</v>
      </c>
      <c r="AJ10" s="113">
        <v>55.2</v>
      </c>
      <c r="AK10" s="114">
        <v>44.8</v>
      </c>
    </row>
    <row r="11" spans="1:37" ht="21.75" customHeight="1" x14ac:dyDescent="0.35">
      <c r="A11" s="24" t="s">
        <v>44</v>
      </c>
      <c r="B11" s="109" t="s">
        <v>42</v>
      </c>
      <c r="C11" s="115" t="s">
        <v>43</v>
      </c>
      <c r="D11" s="111">
        <v>42029</v>
      </c>
      <c r="E11" s="112">
        <v>40452</v>
      </c>
      <c r="F11" s="111">
        <v>36100</v>
      </c>
      <c r="G11" s="112">
        <v>37874</v>
      </c>
      <c r="H11" s="111">
        <v>34596</v>
      </c>
      <c r="I11" s="112">
        <v>31626</v>
      </c>
      <c r="J11" s="111">
        <v>31827</v>
      </c>
      <c r="K11" s="112">
        <v>32397</v>
      </c>
      <c r="L11" s="111">
        <v>41369</v>
      </c>
      <c r="M11" s="112">
        <v>36347</v>
      </c>
      <c r="N11" s="111">
        <v>38376</v>
      </c>
      <c r="O11" s="112">
        <v>32181</v>
      </c>
      <c r="P11" s="111">
        <v>31206</v>
      </c>
      <c r="Q11" s="112">
        <v>30637</v>
      </c>
      <c r="R11" s="111">
        <v>29604</v>
      </c>
      <c r="S11" s="112">
        <v>34736</v>
      </c>
      <c r="T11" s="111">
        <v>31685</v>
      </c>
      <c r="U11" s="112">
        <v>34648</v>
      </c>
      <c r="V11" s="111">
        <v>29759</v>
      </c>
      <c r="W11" s="112">
        <v>28812</v>
      </c>
      <c r="X11" s="111">
        <v>28808</v>
      </c>
      <c r="Y11" s="112">
        <v>31172</v>
      </c>
      <c r="Z11" s="111">
        <v>34604</v>
      </c>
      <c r="AA11" s="112">
        <v>34485</v>
      </c>
      <c r="AB11" s="111">
        <v>36336</v>
      </c>
      <c r="AC11" s="112">
        <v>33834</v>
      </c>
      <c r="AD11" s="111">
        <v>47059</v>
      </c>
      <c r="AE11" s="112">
        <v>36628</v>
      </c>
      <c r="AF11" s="111">
        <v>34003</v>
      </c>
      <c r="AG11" s="112">
        <v>47524</v>
      </c>
      <c r="AH11" s="42">
        <v>1050713</v>
      </c>
      <c r="AI11" s="67">
        <v>35024</v>
      </c>
      <c r="AJ11" s="113">
        <v>56.5</v>
      </c>
      <c r="AK11" s="114">
        <v>43.5</v>
      </c>
    </row>
    <row r="12" spans="1:37" ht="21.75" customHeight="1" x14ac:dyDescent="0.35">
      <c r="A12" s="17" t="s">
        <v>47</v>
      </c>
      <c r="B12" s="109" t="s">
        <v>45</v>
      </c>
      <c r="C12" s="110" t="s">
        <v>46</v>
      </c>
      <c r="D12" s="111">
        <v>66041</v>
      </c>
      <c r="E12" s="112">
        <v>67584</v>
      </c>
      <c r="F12" s="111">
        <v>44148</v>
      </c>
      <c r="G12" s="112">
        <v>52543</v>
      </c>
      <c r="H12" s="111">
        <v>55962</v>
      </c>
      <c r="I12" s="112">
        <v>71995</v>
      </c>
      <c r="J12" s="111">
        <v>78705</v>
      </c>
      <c r="K12" s="112">
        <v>88848</v>
      </c>
      <c r="L12" s="111">
        <v>103680</v>
      </c>
      <c r="M12" s="112">
        <v>62171</v>
      </c>
      <c r="N12" s="111">
        <v>80942</v>
      </c>
      <c r="O12" s="112">
        <v>66007</v>
      </c>
      <c r="P12" s="111">
        <v>82673</v>
      </c>
      <c r="Q12" s="112">
        <v>55858</v>
      </c>
      <c r="R12" s="111">
        <v>70316</v>
      </c>
      <c r="S12" s="112">
        <v>67056</v>
      </c>
      <c r="T12" s="111">
        <v>34063</v>
      </c>
      <c r="U12" s="112">
        <v>58828</v>
      </c>
      <c r="V12" s="111">
        <v>65914</v>
      </c>
      <c r="W12" s="112">
        <v>69890</v>
      </c>
      <c r="X12" s="111">
        <v>59718</v>
      </c>
      <c r="Y12" s="112">
        <v>50708</v>
      </c>
      <c r="Z12" s="111">
        <v>52790</v>
      </c>
      <c r="AA12" s="112">
        <v>30597</v>
      </c>
      <c r="AB12" s="111">
        <v>36600</v>
      </c>
      <c r="AC12" s="112">
        <v>76989</v>
      </c>
      <c r="AD12" s="111">
        <v>50969</v>
      </c>
      <c r="AE12" s="112">
        <v>64190</v>
      </c>
      <c r="AF12" s="111">
        <v>60751</v>
      </c>
      <c r="AG12" s="112">
        <v>80113</v>
      </c>
      <c r="AH12" s="42">
        <v>1906646</v>
      </c>
      <c r="AI12" s="61">
        <v>63555</v>
      </c>
      <c r="AJ12" s="113">
        <v>33.5</v>
      </c>
      <c r="AK12" s="114">
        <v>21.1</v>
      </c>
    </row>
    <row r="13" spans="1:37" ht="21.75" customHeight="1" x14ac:dyDescent="0.35">
      <c r="A13" s="24" t="s">
        <v>50</v>
      </c>
      <c r="B13" s="109" t="s">
        <v>48</v>
      </c>
      <c r="C13" s="115" t="s">
        <v>49</v>
      </c>
      <c r="D13" s="111">
        <v>53823</v>
      </c>
      <c r="E13" s="112">
        <v>59772</v>
      </c>
      <c r="F13" s="111">
        <v>48590</v>
      </c>
      <c r="G13" s="112">
        <v>51640</v>
      </c>
      <c r="H13" s="111">
        <v>47741</v>
      </c>
      <c r="I13" s="112">
        <v>55500</v>
      </c>
      <c r="J13" s="111">
        <v>57234</v>
      </c>
      <c r="K13" s="112">
        <v>56589</v>
      </c>
      <c r="L13" s="111">
        <v>59675</v>
      </c>
      <c r="M13" s="112">
        <v>45032</v>
      </c>
      <c r="N13" s="111">
        <v>56673</v>
      </c>
      <c r="O13" s="112">
        <v>52425</v>
      </c>
      <c r="P13" s="111">
        <v>49411</v>
      </c>
      <c r="Q13" s="112">
        <v>56370</v>
      </c>
      <c r="R13" s="111">
        <v>55754</v>
      </c>
      <c r="S13" s="112">
        <v>56658</v>
      </c>
      <c r="T13" s="111">
        <v>47053</v>
      </c>
      <c r="U13" s="112">
        <v>49430</v>
      </c>
      <c r="V13" s="111">
        <v>49349</v>
      </c>
      <c r="W13" s="112">
        <v>57856</v>
      </c>
      <c r="X13" s="111">
        <v>60331</v>
      </c>
      <c r="Y13" s="112">
        <v>59809</v>
      </c>
      <c r="Z13" s="111">
        <v>55595</v>
      </c>
      <c r="AA13" s="112">
        <v>49530</v>
      </c>
      <c r="AB13" s="111">
        <v>47115</v>
      </c>
      <c r="AC13" s="112">
        <v>54524</v>
      </c>
      <c r="AD13" s="111">
        <v>75701</v>
      </c>
      <c r="AE13" s="112">
        <v>56870</v>
      </c>
      <c r="AF13" s="111">
        <v>56654</v>
      </c>
      <c r="AG13" s="112">
        <v>62615</v>
      </c>
      <c r="AH13" s="42">
        <v>1645318</v>
      </c>
      <c r="AI13" s="67">
        <v>54844</v>
      </c>
      <c r="AJ13" s="113">
        <v>57.4</v>
      </c>
      <c r="AK13" s="114">
        <v>41.1</v>
      </c>
    </row>
    <row r="14" spans="1:37" ht="21.75" customHeight="1" x14ac:dyDescent="0.35">
      <c r="A14" s="17" t="s">
        <v>53</v>
      </c>
      <c r="B14" s="109" t="s">
        <v>51</v>
      </c>
      <c r="C14" s="110" t="s">
        <v>52</v>
      </c>
      <c r="D14" s="111">
        <v>34248</v>
      </c>
      <c r="E14" s="112">
        <v>34452</v>
      </c>
      <c r="F14" s="111">
        <v>27452</v>
      </c>
      <c r="G14" s="112">
        <v>27529</v>
      </c>
      <c r="H14" s="111">
        <v>33686</v>
      </c>
      <c r="I14" s="112">
        <v>32588</v>
      </c>
      <c r="J14" s="111">
        <v>33562</v>
      </c>
      <c r="K14" s="112">
        <v>31140</v>
      </c>
      <c r="L14" s="111">
        <v>33161</v>
      </c>
      <c r="M14" s="112">
        <v>25089</v>
      </c>
      <c r="N14" s="111">
        <v>26252</v>
      </c>
      <c r="O14" s="112">
        <v>30584</v>
      </c>
      <c r="P14" s="111">
        <v>27821</v>
      </c>
      <c r="Q14" s="112">
        <v>29440</v>
      </c>
      <c r="R14" s="111">
        <v>28551</v>
      </c>
      <c r="S14" s="112">
        <v>29979</v>
      </c>
      <c r="T14" s="111">
        <v>24264</v>
      </c>
      <c r="U14" s="112">
        <v>24952</v>
      </c>
      <c r="V14" s="111">
        <v>25930</v>
      </c>
      <c r="W14" s="112">
        <v>26588</v>
      </c>
      <c r="X14" s="111">
        <v>26191</v>
      </c>
      <c r="Y14" s="112">
        <v>26608</v>
      </c>
      <c r="Z14" s="111">
        <v>25681</v>
      </c>
      <c r="AA14" s="112">
        <v>20663</v>
      </c>
      <c r="AB14" s="111">
        <v>22924</v>
      </c>
      <c r="AC14" s="112">
        <v>26628</v>
      </c>
      <c r="AD14" s="111">
        <v>28281</v>
      </c>
      <c r="AE14" s="112">
        <v>25586</v>
      </c>
      <c r="AF14" s="111">
        <v>25818</v>
      </c>
      <c r="AG14" s="112">
        <v>29328</v>
      </c>
      <c r="AH14" s="42">
        <v>844976</v>
      </c>
      <c r="AI14" s="61">
        <v>28166</v>
      </c>
      <c r="AJ14" s="113">
        <v>57.6</v>
      </c>
      <c r="AK14" s="114">
        <v>42.4</v>
      </c>
    </row>
    <row r="15" spans="1:37" ht="21.75" customHeight="1" x14ac:dyDescent="0.35">
      <c r="A15" s="24" t="s">
        <v>56</v>
      </c>
      <c r="B15" s="109" t="s">
        <v>54</v>
      </c>
      <c r="C15" s="115" t="s">
        <v>55</v>
      </c>
      <c r="D15" s="111">
        <v>30213</v>
      </c>
      <c r="E15" s="112">
        <v>27508</v>
      </c>
      <c r="F15" s="111">
        <v>23363</v>
      </c>
      <c r="G15" s="112">
        <v>25520</v>
      </c>
      <c r="H15" s="111">
        <v>24721</v>
      </c>
      <c r="I15" s="112">
        <v>26959</v>
      </c>
      <c r="J15" s="111">
        <v>28917</v>
      </c>
      <c r="K15" s="112">
        <v>27279</v>
      </c>
      <c r="L15" s="111">
        <v>30168</v>
      </c>
      <c r="M15" s="112">
        <v>23794</v>
      </c>
      <c r="N15" s="111">
        <v>24271</v>
      </c>
      <c r="O15" s="112">
        <v>27865</v>
      </c>
      <c r="P15" s="111">
        <v>25456</v>
      </c>
      <c r="Q15" s="112">
        <v>24529</v>
      </c>
      <c r="R15" s="111">
        <v>29137</v>
      </c>
      <c r="S15" s="112">
        <v>27734</v>
      </c>
      <c r="T15" s="111">
        <v>25057</v>
      </c>
      <c r="U15" s="112">
        <v>25783</v>
      </c>
      <c r="V15" s="111">
        <v>26217</v>
      </c>
      <c r="W15" s="112">
        <v>24734</v>
      </c>
      <c r="X15" s="111">
        <v>25474</v>
      </c>
      <c r="Y15" s="112">
        <v>26343</v>
      </c>
      <c r="Z15" s="111">
        <v>27390</v>
      </c>
      <c r="AA15" s="112">
        <v>24458</v>
      </c>
      <c r="AB15" s="111">
        <v>23036</v>
      </c>
      <c r="AC15" s="112">
        <v>26778</v>
      </c>
      <c r="AD15" s="111">
        <v>30138</v>
      </c>
      <c r="AE15" s="112">
        <v>28137</v>
      </c>
      <c r="AF15" s="111">
        <v>26705</v>
      </c>
      <c r="AG15" s="112">
        <v>28629</v>
      </c>
      <c r="AH15" s="42">
        <v>796313</v>
      </c>
      <c r="AI15" s="67">
        <v>26544</v>
      </c>
      <c r="AJ15" s="113">
        <v>53.3</v>
      </c>
      <c r="AK15" s="114">
        <v>46.7</v>
      </c>
    </row>
    <row r="16" spans="1:37" ht="21.75" customHeight="1" x14ac:dyDescent="0.35">
      <c r="A16" s="17" t="s">
        <v>59</v>
      </c>
      <c r="B16" s="109" t="s">
        <v>57</v>
      </c>
      <c r="C16" s="110" t="s">
        <v>58</v>
      </c>
      <c r="D16" s="111">
        <v>23423</v>
      </c>
      <c r="E16" s="112">
        <v>26972</v>
      </c>
      <c r="F16" s="111">
        <v>19658</v>
      </c>
      <c r="G16" s="112">
        <v>22740</v>
      </c>
      <c r="H16" s="111">
        <v>23265</v>
      </c>
      <c r="I16" s="112">
        <v>25107</v>
      </c>
      <c r="J16" s="111">
        <v>24619</v>
      </c>
      <c r="K16" s="112">
        <v>20975</v>
      </c>
      <c r="L16" s="111">
        <v>25625</v>
      </c>
      <c r="M16" s="112">
        <v>20480</v>
      </c>
      <c r="N16" s="111">
        <v>23148</v>
      </c>
      <c r="O16" s="112">
        <v>19117</v>
      </c>
      <c r="P16" s="111">
        <v>19819</v>
      </c>
      <c r="Q16" s="112">
        <v>20463</v>
      </c>
      <c r="R16" s="111">
        <v>20312</v>
      </c>
      <c r="S16" s="112">
        <v>21289</v>
      </c>
      <c r="T16" s="111">
        <v>18313</v>
      </c>
      <c r="U16" s="112">
        <v>20069</v>
      </c>
      <c r="V16" s="111">
        <v>18432</v>
      </c>
      <c r="W16" s="112">
        <v>19638</v>
      </c>
      <c r="X16" s="111">
        <v>21994</v>
      </c>
      <c r="Y16" s="112">
        <v>21148</v>
      </c>
      <c r="Z16" s="111">
        <v>24596</v>
      </c>
      <c r="AA16" s="112">
        <v>20326</v>
      </c>
      <c r="AB16" s="111">
        <v>21300</v>
      </c>
      <c r="AC16" s="112">
        <v>20971</v>
      </c>
      <c r="AD16" s="111">
        <v>24250</v>
      </c>
      <c r="AE16" s="112">
        <v>22326</v>
      </c>
      <c r="AF16" s="111">
        <v>20589</v>
      </c>
      <c r="AG16" s="112">
        <v>26298</v>
      </c>
      <c r="AH16" s="42">
        <v>657265</v>
      </c>
      <c r="AI16" s="61">
        <v>21909</v>
      </c>
      <c r="AJ16" s="113">
        <v>50.4</v>
      </c>
      <c r="AK16" s="114">
        <v>30.1</v>
      </c>
    </row>
    <row r="17" spans="1:37" ht="21.75" customHeight="1" x14ac:dyDescent="0.35">
      <c r="A17" s="24" t="s">
        <v>62</v>
      </c>
      <c r="B17" s="109" t="s">
        <v>60</v>
      </c>
      <c r="C17" s="115" t="s">
        <v>61</v>
      </c>
      <c r="D17" s="111">
        <v>10086</v>
      </c>
      <c r="E17" s="112">
        <v>9254</v>
      </c>
      <c r="F17" s="111">
        <v>8631</v>
      </c>
      <c r="G17" s="112">
        <v>7628</v>
      </c>
      <c r="H17" s="111">
        <v>10885</v>
      </c>
      <c r="I17" s="112">
        <v>9478</v>
      </c>
      <c r="J17" s="111">
        <v>11382</v>
      </c>
      <c r="K17" s="112">
        <v>9096</v>
      </c>
      <c r="L17" s="111">
        <v>9691</v>
      </c>
      <c r="M17" s="112">
        <v>9047</v>
      </c>
      <c r="N17" s="111">
        <v>9403</v>
      </c>
      <c r="O17" s="112">
        <v>9076</v>
      </c>
      <c r="P17" s="111">
        <v>9080</v>
      </c>
      <c r="Q17" s="112">
        <v>9097</v>
      </c>
      <c r="R17" s="111">
        <v>9837</v>
      </c>
      <c r="S17" s="112">
        <v>8628</v>
      </c>
      <c r="T17" s="111">
        <v>8912</v>
      </c>
      <c r="U17" s="112">
        <v>8895</v>
      </c>
      <c r="V17" s="111">
        <v>7504</v>
      </c>
      <c r="W17" s="112">
        <v>8216</v>
      </c>
      <c r="X17" s="111">
        <v>8562</v>
      </c>
      <c r="Y17" s="112">
        <v>9793</v>
      </c>
      <c r="Z17" s="111">
        <v>8285</v>
      </c>
      <c r="AA17" s="112">
        <v>8989</v>
      </c>
      <c r="AB17" s="111">
        <v>10711</v>
      </c>
      <c r="AC17" s="112">
        <v>10077</v>
      </c>
      <c r="AD17" s="111">
        <v>14225</v>
      </c>
      <c r="AE17" s="112">
        <v>10448</v>
      </c>
      <c r="AF17" s="111">
        <v>10008</v>
      </c>
      <c r="AG17" s="112">
        <v>11181</v>
      </c>
      <c r="AH17" s="42">
        <v>286104</v>
      </c>
      <c r="AI17" s="67">
        <v>9537</v>
      </c>
      <c r="AJ17" s="113">
        <v>50</v>
      </c>
      <c r="AK17" s="114">
        <v>50</v>
      </c>
    </row>
    <row r="18" spans="1:37" ht="21.75" customHeight="1" x14ac:dyDescent="0.35">
      <c r="A18" s="17" t="s">
        <v>65</v>
      </c>
      <c r="B18" s="109" t="s">
        <v>63</v>
      </c>
      <c r="C18" s="110" t="s">
        <v>64</v>
      </c>
      <c r="D18" s="111">
        <v>32661</v>
      </c>
      <c r="E18" s="112">
        <v>28658</v>
      </c>
      <c r="F18" s="111">
        <v>24340</v>
      </c>
      <c r="G18" s="112">
        <v>25419</v>
      </c>
      <c r="H18" s="111">
        <v>27498</v>
      </c>
      <c r="I18" s="112">
        <v>26416</v>
      </c>
      <c r="J18" s="111">
        <v>26440</v>
      </c>
      <c r="K18" s="112">
        <v>26797</v>
      </c>
      <c r="L18" s="111">
        <v>28941</v>
      </c>
      <c r="M18" s="112">
        <v>23962</v>
      </c>
      <c r="N18" s="111">
        <v>25931</v>
      </c>
      <c r="O18" s="112">
        <v>27253</v>
      </c>
      <c r="P18" s="111">
        <v>25450</v>
      </c>
      <c r="Q18" s="112">
        <v>27793</v>
      </c>
      <c r="R18" s="111">
        <v>29658</v>
      </c>
      <c r="S18" s="112">
        <v>29910</v>
      </c>
      <c r="T18" s="111">
        <v>24349</v>
      </c>
      <c r="U18" s="112">
        <v>25573</v>
      </c>
      <c r="V18" s="111">
        <v>26831</v>
      </c>
      <c r="W18" s="112">
        <v>25620</v>
      </c>
      <c r="X18" s="111">
        <v>25971</v>
      </c>
      <c r="Y18" s="112">
        <v>25081</v>
      </c>
      <c r="Z18" s="111">
        <v>27106</v>
      </c>
      <c r="AA18" s="112">
        <v>23163</v>
      </c>
      <c r="AB18" s="111">
        <v>26113</v>
      </c>
      <c r="AC18" s="112">
        <v>26181</v>
      </c>
      <c r="AD18" s="111">
        <v>31272</v>
      </c>
      <c r="AE18" s="112">
        <v>28413</v>
      </c>
      <c r="AF18" s="111">
        <v>26983</v>
      </c>
      <c r="AG18" s="112">
        <v>33298</v>
      </c>
      <c r="AH18" s="42">
        <v>813084</v>
      </c>
      <c r="AI18" s="61">
        <v>27103</v>
      </c>
      <c r="AJ18" s="113">
        <v>53.2</v>
      </c>
      <c r="AK18" s="114">
        <v>46.8</v>
      </c>
    </row>
    <row r="19" spans="1:37" ht="21.75" customHeight="1" x14ac:dyDescent="0.35">
      <c r="A19" s="24" t="s">
        <v>68</v>
      </c>
      <c r="B19" s="109" t="s">
        <v>66</v>
      </c>
      <c r="C19" s="115" t="s">
        <v>67</v>
      </c>
      <c r="D19" s="111">
        <v>30016</v>
      </c>
      <c r="E19" s="112">
        <v>29642</v>
      </c>
      <c r="F19" s="111">
        <v>24272</v>
      </c>
      <c r="G19" s="112">
        <v>29109</v>
      </c>
      <c r="H19" s="111">
        <v>32217</v>
      </c>
      <c r="I19" s="112">
        <v>26897</v>
      </c>
      <c r="J19" s="111">
        <v>27570</v>
      </c>
      <c r="K19" s="112">
        <v>23796</v>
      </c>
      <c r="L19" s="111">
        <v>28091</v>
      </c>
      <c r="M19" s="112">
        <v>21954</v>
      </c>
      <c r="N19" s="111">
        <v>22210</v>
      </c>
      <c r="O19" s="112">
        <v>21871</v>
      </c>
      <c r="P19" s="111">
        <v>24288</v>
      </c>
      <c r="Q19" s="112">
        <v>22085</v>
      </c>
      <c r="R19" s="111">
        <v>23867</v>
      </c>
      <c r="S19" s="112">
        <v>24685</v>
      </c>
      <c r="T19" s="111">
        <v>19562</v>
      </c>
      <c r="U19" s="112"/>
      <c r="V19" s="111">
        <v>20921</v>
      </c>
      <c r="W19" s="112">
        <v>23227</v>
      </c>
      <c r="X19" s="111">
        <v>20692</v>
      </c>
      <c r="Y19" s="112">
        <v>22505</v>
      </c>
      <c r="Z19" s="111">
        <v>22734</v>
      </c>
      <c r="AA19" s="112">
        <v>18352</v>
      </c>
      <c r="AB19" s="111">
        <v>18177</v>
      </c>
      <c r="AC19" s="112">
        <v>20019</v>
      </c>
      <c r="AD19" s="111">
        <v>27121</v>
      </c>
      <c r="AE19" s="112">
        <v>24895</v>
      </c>
      <c r="AF19" s="111">
        <v>23303</v>
      </c>
      <c r="AG19" s="112">
        <v>25213</v>
      </c>
      <c r="AH19" s="42">
        <v>699292</v>
      </c>
      <c r="AI19" s="67">
        <v>24114</v>
      </c>
      <c r="AJ19" s="113">
        <v>37.799999999999997</v>
      </c>
      <c r="AK19" s="114">
        <v>31.7</v>
      </c>
    </row>
    <row r="20" spans="1:37" ht="21.75" customHeight="1" x14ac:dyDescent="0.35">
      <c r="A20" s="17" t="s">
        <v>71</v>
      </c>
      <c r="B20" s="109" t="s">
        <v>69</v>
      </c>
      <c r="C20" s="110" t="s">
        <v>70</v>
      </c>
      <c r="D20" s="111">
        <v>17684</v>
      </c>
      <c r="E20" s="112">
        <v>18054</v>
      </c>
      <c r="F20" s="111">
        <v>13470</v>
      </c>
      <c r="G20" s="112">
        <v>13584</v>
      </c>
      <c r="H20" s="111">
        <v>15461</v>
      </c>
      <c r="I20" s="112">
        <v>16185</v>
      </c>
      <c r="J20" s="111">
        <v>16468</v>
      </c>
      <c r="K20" s="112">
        <v>15966</v>
      </c>
      <c r="L20" s="111">
        <v>19534</v>
      </c>
      <c r="M20" s="112">
        <v>14642</v>
      </c>
      <c r="N20" s="111">
        <v>15328</v>
      </c>
      <c r="O20" s="112">
        <v>15283</v>
      </c>
      <c r="P20" s="111">
        <v>14384</v>
      </c>
      <c r="Q20" s="112">
        <v>15405</v>
      </c>
      <c r="R20" s="111">
        <v>16811</v>
      </c>
      <c r="S20" s="112">
        <v>16635</v>
      </c>
      <c r="T20" s="111">
        <v>14794</v>
      </c>
      <c r="U20" s="112">
        <v>14753</v>
      </c>
      <c r="V20" s="111">
        <v>14529</v>
      </c>
      <c r="W20" s="112">
        <v>16134</v>
      </c>
      <c r="X20" s="111">
        <v>14299</v>
      </c>
      <c r="Y20" s="112">
        <v>15960</v>
      </c>
      <c r="Z20" s="111">
        <v>17748</v>
      </c>
      <c r="AA20" s="112">
        <v>14622</v>
      </c>
      <c r="AB20" s="111">
        <v>14919</v>
      </c>
      <c r="AC20" s="112">
        <v>15399</v>
      </c>
      <c r="AD20" s="111">
        <v>23429</v>
      </c>
      <c r="AE20" s="112">
        <v>17677</v>
      </c>
      <c r="AF20" s="111">
        <v>16215</v>
      </c>
      <c r="AG20" s="112">
        <v>19453</v>
      </c>
      <c r="AH20" s="42">
        <v>484822</v>
      </c>
      <c r="AI20" s="61">
        <v>16161</v>
      </c>
      <c r="AJ20" s="113">
        <v>55.8</v>
      </c>
      <c r="AK20" s="114">
        <v>44.2</v>
      </c>
    </row>
    <row r="21" spans="1:37" ht="21.75" customHeight="1" x14ac:dyDescent="0.35">
      <c r="A21" s="24" t="s">
        <v>74</v>
      </c>
      <c r="B21" s="109" t="s">
        <v>72</v>
      </c>
      <c r="C21" s="115" t="s">
        <v>73</v>
      </c>
      <c r="D21" s="111">
        <v>21130</v>
      </c>
      <c r="E21" s="112">
        <v>16783</v>
      </c>
      <c r="F21" s="111">
        <v>10222</v>
      </c>
      <c r="G21" s="112">
        <v>14999</v>
      </c>
      <c r="H21" s="111">
        <v>17236</v>
      </c>
      <c r="I21" s="112">
        <v>16774</v>
      </c>
      <c r="J21" s="111">
        <v>12909</v>
      </c>
      <c r="K21" s="112">
        <v>15333</v>
      </c>
      <c r="L21" s="111">
        <v>18275</v>
      </c>
      <c r="M21" s="112">
        <v>14614</v>
      </c>
      <c r="N21" s="111">
        <v>16045</v>
      </c>
      <c r="O21" s="112">
        <v>17756</v>
      </c>
      <c r="P21" s="111">
        <v>17096</v>
      </c>
      <c r="Q21" s="112">
        <v>17362</v>
      </c>
      <c r="R21" s="111">
        <v>15662</v>
      </c>
      <c r="S21" s="112">
        <v>17019</v>
      </c>
      <c r="T21" s="111">
        <v>15310</v>
      </c>
      <c r="U21" s="112">
        <v>16785</v>
      </c>
      <c r="V21" s="111">
        <v>17774</v>
      </c>
      <c r="W21" s="112">
        <v>18368</v>
      </c>
      <c r="X21" s="111">
        <v>18769</v>
      </c>
      <c r="Y21" s="112">
        <v>18082</v>
      </c>
      <c r="Z21" s="111">
        <v>16449</v>
      </c>
      <c r="AA21" s="112">
        <v>15096</v>
      </c>
      <c r="AB21" s="111">
        <v>13653</v>
      </c>
      <c r="AC21" s="112">
        <v>20610</v>
      </c>
      <c r="AD21" s="111">
        <v>24915</v>
      </c>
      <c r="AE21" s="112">
        <v>20785</v>
      </c>
      <c r="AF21" s="111">
        <v>18557</v>
      </c>
      <c r="AG21" s="112">
        <v>20734</v>
      </c>
      <c r="AH21" s="42">
        <v>515100</v>
      </c>
      <c r="AI21" s="67">
        <v>17170</v>
      </c>
      <c r="AJ21" s="113">
        <v>50.3</v>
      </c>
      <c r="AK21" s="114">
        <v>44.9</v>
      </c>
    </row>
    <row r="22" spans="1:37" ht="21.75" customHeight="1" x14ac:dyDescent="0.35">
      <c r="A22" s="17" t="s">
        <v>77</v>
      </c>
      <c r="B22" s="109" t="s">
        <v>75</v>
      </c>
      <c r="C22" s="110" t="s">
        <v>76</v>
      </c>
      <c r="D22" s="111">
        <v>19166</v>
      </c>
      <c r="E22" s="112">
        <v>25684</v>
      </c>
      <c r="F22" s="111">
        <v>18955</v>
      </c>
      <c r="G22" s="112">
        <v>20642</v>
      </c>
      <c r="H22" s="111">
        <v>22434</v>
      </c>
      <c r="I22" s="112">
        <v>23071</v>
      </c>
      <c r="J22" s="111">
        <v>16250</v>
      </c>
      <c r="K22" s="112">
        <v>21265</v>
      </c>
      <c r="L22" s="111">
        <v>25453</v>
      </c>
      <c r="M22" s="112">
        <v>19748</v>
      </c>
      <c r="N22" s="111">
        <v>21136</v>
      </c>
      <c r="O22" s="112">
        <v>23458</v>
      </c>
      <c r="P22" s="111">
        <v>23114</v>
      </c>
      <c r="Q22" s="112">
        <v>23612</v>
      </c>
      <c r="R22" s="111">
        <v>23384</v>
      </c>
      <c r="S22" s="112">
        <v>25036</v>
      </c>
      <c r="T22" s="111">
        <v>19783</v>
      </c>
      <c r="U22" s="112">
        <v>20952</v>
      </c>
      <c r="V22" s="111">
        <v>23891</v>
      </c>
      <c r="W22" s="112">
        <v>22769</v>
      </c>
      <c r="X22" s="111">
        <v>25561</v>
      </c>
      <c r="Y22" s="112">
        <v>22760</v>
      </c>
      <c r="Z22" s="111">
        <v>24788</v>
      </c>
      <c r="AA22" s="112">
        <v>19516</v>
      </c>
      <c r="AB22" s="111">
        <v>21412</v>
      </c>
      <c r="AC22" s="112">
        <v>25897</v>
      </c>
      <c r="AD22" s="111">
        <v>29823</v>
      </c>
      <c r="AE22" s="112">
        <v>25880</v>
      </c>
      <c r="AF22" s="111">
        <v>24629</v>
      </c>
      <c r="AG22" s="112">
        <v>27473</v>
      </c>
      <c r="AH22" s="42">
        <v>687541</v>
      </c>
      <c r="AI22" s="61">
        <v>22918</v>
      </c>
      <c r="AJ22" s="113">
        <v>47.3</v>
      </c>
      <c r="AK22" s="114">
        <v>42.9</v>
      </c>
    </row>
    <row r="23" spans="1:37" ht="21.75" customHeight="1" x14ac:dyDescent="0.35">
      <c r="A23" s="24" t="s">
        <v>80</v>
      </c>
      <c r="B23" s="109" t="s">
        <v>78</v>
      </c>
      <c r="C23" s="115" t="s">
        <v>79</v>
      </c>
      <c r="D23" s="111">
        <v>42517</v>
      </c>
      <c r="E23" s="112">
        <v>52419</v>
      </c>
      <c r="F23" s="111">
        <v>46024</v>
      </c>
      <c r="G23" s="112">
        <v>48606</v>
      </c>
      <c r="H23" s="111">
        <v>40778</v>
      </c>
      <c r="I23" s="112">
        <v>27643</v>
      </c>
      <c r="J23" s="111">
        <v>16915</v>
      </c>
      <c r="K23" s="112">
        <v>41067</v>
      </c>
      <c r="L23" s="111">
        <v>53818</v>
      </c>
      <c r="M23" s="112">
        <v>37493</v>
      </c>
      <c r="N23" s="111">
        <v>46555</v>
      </c>
      <c r="O23" s="112">
        <v>34551</v>
      </c>
      <c r="P23" s="111">
        <v>36587</v>
      </c>
      <c r="Q23" s="112">
        <v>36257</v>
      </c>
      <c r="R23" s="111">
        <v>36601</v>
      </c>
      <c r="S23" s="112">
        <v>46582</v>
      </c>
      <c r="T23" s="111">
        <v>40919</v>
      </c>
      <c r="U23" s="112">
        <v>42451</v>
      </c>
      <c r="V23" s="111">
        <v>36784</v>
      </c>
      <c r="W23" s="112">
        <v>35391</v>
      </c>
      <c r="X23" s="111">
        <v>40673</v>
      </c>
      <c r="Y23" s="112">
        <v>46953</v>
      </c>
      <c r="Z23" s="111">
        <v>49518</v>
      </c>
      <c r="AA23" s="112">
        <v>44715</v>
      </c>
      <c r="AB23" s="111">
        <v>46562</v>
      </c>
      <c r="AC23" s="112">
        <v>41354</v>
      </c>
      <c r="AD23" s="111">
        <v>47751</v>
      </c>
      <c r="AE23" s="112">
        <v>43228</v>
      </c>
      <c r="AF23" s="111">
        <v>39507</v>
      </c>
      <c r="AG23" s="112">
        <v>52852</v>
      </c>
      <c r="AH23" s="42">
        <v>1253073</v>
      </c>
      <c r="AI23" s="67">
        <v>41769</v>
      </c>
      <c r="AJ23" s="113">
        <v>46.9</v>
      </c>
      <c r="AK23" s="114">
        <v>42.9</v>
      </c>
    </row>
    <row r="24" spans="1:37" ht="21.75" customHeight="1" x14ac:dyDescent="0.35">
      <c r="A24" s="17" t="s">
        <v>84</v>
      </c>
      <c r="B24" s="109" t="s">
        <v>81</v>
      </c>
      <c r="C24" s="110" t="s">
        <v>82</v>
      </c>
      <c r="D24" s="111">
        <v>46718</v>
      </c>
      <c r="E24" s="112">
        <v>53163</v>
      </c>
      <c r="F24" s="111">
        <v>35866</v>
      </c>
      <c r="G24" s="112">
        <v>37985</v>
      </c>
      <c r="H24" s="111">
        <v>53526</v>
      </c>
      <c r="I24" s="112">
        <v>41131</v>
      </c>
      <c r="J24" s="111">
        <v>41878</v>
      </c>
      <c r="K24" s="112">
        <v>44419</v>
      </c>
      <c r="L24" s="111">
        <v>46550</v>
      </c>
      <c r="M24" s="112">
        <v>32578</v>
      </c>
      <c r="N24" s="111">
        <v>37100</v>
      </c>
      <c r="O24" s="112">
        <v>42663</v>
      </c>
      <c r="P24" s="111">
        <v>36578</v>
      </c>
      <c r="Q24" s="112">
        <v>38151</v>
      </c>
      <c r="R24" s="111">
        <v>40073</v>
      </c>
      <c r="S24" s="112">
        <v>41990</v>
      </c>
      <c r="T24" s="111">
        <v>29233</v>
      </c>
      <c r="U24" s="112">
        <v>33068</v>
      </c>
      <c r="V24" s="111">
        <v>38643</v>
      </c>
      <c r="W24" s="112">
        <v>35685</v>
      </c>
      <c r="X24" s="111">
        <v>36941</v>
      </c>
      <c r="Y24" s="112">
        <v>35563</v>
      </c>
      <c r="Z24" s="111">
        <v>41454</v>
      </c>
      <c r="AA24" s="112">
        <v>30623</v>
      </c>
      <c r="AB24" s="111">
        <v>32091</v>
      </c>
      <c r="AC24" s="112">
        <v>36687</v>
      </c>
      <c r="AD24" s="111">
        <v>41802</v>
      </c>
      <c r="AE24" s="112">
        <v>36867</v>
      </c>
      <c r="AF24" s="111">
        <v>41374</v>
      </c>
      <c r="AG24" s="112">
        <v>43096</v>
      </c>
      <c r="AH24" s="42">
        <v>1183498</v>
      </c>
      <c r="AI24" s="61">
        <v>39450</v>
      </c>
      <c r="AJ24" s="113">
        <v>43.3</v>
      </c>
      <c r="AK24" s="114">
        <v>38.200000000000003</v>
      </c>
    </row>
    <row r="25" spans="1:37" ht="21.75" customHeight="1" x14ac:dyDescent="0.35">
      <c r="A25" s="24" t="s">
        <v>87</v>
      </c>
      <c r="B25" s="109" t="s">
        <v>85</v>
      </c>
      <c r="C25" s="115" t="s">
        <v>86</v>
      </c>
      <c r="D25" s="111">
        <v>14152</v>
      </c>
      <c r="E25" s="112">
        <v>16756</v>
      </c>
      <c r="F25" s="111">
        <v>10373</v>
      </c>
      <c r="G25" s="112">
        <v>12835</v>
      </c>
      <c r="H25" s="111">
        <v>16018</v>
      </c>
      <c r="I25" s="112">
        <v>15129</v>
      </c>
      <c r="J25" s="111">
        <v>13557</v>
      </c>
      <c r="K25" s="112">
        <v>14813</v>
      </c>
      <c r="L25" s="111">
        <v>14928</v>
      </c>
      <c r="M25" s="112">
        <v>11626</v>
      </c>
      <c r="N25" s="111">
        <v>12355</v>
      </c>
      <c r="O25" s="112">
        <v>12579</v>
      </c>
      <c r="P25" s="111">
        <v>14888</v>
      </c>
      <c r="Q25" s="112">
        <v>12930</v>
      </c>
      <c r="R25" s="111">
        <v>11425</v>
      </c>
      <c r="S25" s="112">
        <v>13739</v>
      </c>
      <c r="T25" s="111">
        <v>11172</v>
      </c>
      <c r="U25" s="112">
        <v>11670</v>
      </c>
      <c r="V25" s="111">
        <v>12829</v>
      </c>
      <c r="W25" s="112">
        <v>11172</v>
      </c>
      <c r="X25" s="111">
        <v>12794</v>
      </c>
      <c r="Y25" s="112">
        <v>12619</v>
      </c>
      <c r="Z25" s="111">
        <v>13301</v>
      </c>
      <c r="AA25" s="112">
        <v>12083</v>
      </c>
      <c r="AB25" s="111">
        <v>13178</v>
      </c>
      <c r="AC25" s="112">
        <v>11552</v>
      </c>
      <c r="AD25" s="111">
        <v>14791</v>
      </c>
      <c r="AE25" s="112">
        <v>13716</v>
      </c>
      <c r="AF25" s="111">
        <v>15393</v>
      </c>
      <c r="AG25" s="112">
        <v>14913</v>
      </c>
      <c r="AH25" s="42">
        <v>399287</v>
      </c>
      <c r="AI25" s="67">
        <v>13310</v>
      </c>
      <c r="AJ25" s="113">
        <v>45.9</v>
      </c>
      <c r="AK25" s="114">
        <v>31.9</v>
      </c>
    </row>
    <row r="26" spans="1:37" ht="21.75" customHeight="1" x14ac:dyDescent="0.35">
      <c r="A26" s="17" t="s">
        <v>90</v>
      </c>
      <c r="B26" s="109" t="s">
        <v>88</v>
      </c>
      <c r="C26" s="110" t="s">
        <v>89</v>
      </c>
      <c r="D26" s="111">
        <v>47855</v>
      </c>
      <c r="E26" s="112">
        <v>44360</v>
      </c>
      <c r="F26" s="111">
        <v>37923</v>
      </c>
      <c r="G26" s="112">
        <v>43597</v>
      </c>
      <c r="H26" s="111">
        <v>43086</v>
      </c>
      <c r="I26" s="112">
        <v>41974</v>
      </c>
      <c r="J26" s="111">
        <v>41314</v>
      </c>
      <c r="K26" s="112">
        <v>42184</v>
      </c>
      <c r="L26" s="111">
        <v>44629</v>
      </c>
      <c r="M26" s="112">
        <v>32339</v>
      </c>
      <c r="N26" s="111">
        <v>37587</v>
      </c>
      <c r="O26" s="112">
        <v>37933</v>
      </c>
      <c r="P26" s="111">
        <v>34488</v>
      </c>
      <c r="Q26" s="112">
        <v>26233</v>
      </c>
      <c r="R26" s="111">
        <v>26359</v>
      </c>
      <c r="S26" s="112">
        <v>23687</v>
      </c>
      <c r="T26" s="111">
        <v>17442</v>
      </c>
      <c r="U26" s="112">
        <v>23184</v>
      </c>
      <c r="V26" s="111">
        <v>28156</v>
      </c>
      <c r="W26" s="112">
        <v>23099</v>
      </c>
      <c r="X26" s="111">
        <v>27162</v>
      </c>
      <c r="Y26" s="112">
        <v>22730</v>
      </c>
      <c r="Z26" s="111">
        <v>27376</v>
      </c>
      <c r="AA26" s="112">
        <v>20660</v>
      </c>
      <c r="AB26" s="111">
        <v>18304</v>
      </c>
      <c r="AC26" s="112">
        <v>21973</v>
      </c>
      <c r="AD26" s="111">
        <v>28915</v>
      </c>
      <c r="AE26" s="112">
        <v>21592</v>
      </c>
      <c r="AF26" s="111">
        <v>23797</v>
      </c>
      <c r="AG26" s="112">
        <v>29340</v>
      </c>
      <c r="AH26" s="42">
        <v>939278</v>
      </c>
      <c r="AI26" s="61">
        <v>31309</v>
      </c>
      <c r="AJ26" s="113">
        <v>36.9</v>
      </c>
      <c r="AK26" s="114">
        <v>21.6</v>
      </c>
    </row>
    <row r="27" spans="1:37" ht="21.75" customHeight="1" x14ac:dyDescent="0.35">
      <c r="A27" s="24" t="s">
        <v>93</v>
      </c>
      <c r="B27" s="109" t="s">
        <v>91</v>
      </c>
      <c r="C27" s="115" t="s">
        <v>92</v>
      </c>
      <c r="D27" s="111">
        <v>23174</v>
      </c>
      <c r="E27" s="112">
        <v>28461</v>
      </c>
      <c r="F27" s="111">
        <v>25697</v>
      </c>
      <c r="G27" s="112">
        <v>25571</v>
      </c>
      <c r="H27" s="111">
        <v>23354</v>
      </c>
      <c r="I27" s="112">
        <v>24690</v>
      </c>
      <c r="J27" s="111">
        <v>23524</v>
      </c>
      <c r="K27" s="112">
        <v>22959</v>
      </c>
      <c r="L27" s="111">
        <v>35286</v>
      </c>
      <c r="M27" s="112">
        <v>34880</v>
      </c>
      <c r="N27" s="111">
        <v>28807</v>
      </c>
      <c r="O27" s="112">
        <v>24977</v>
      </c>
      <c r="P27" s="111">
        <v>23382</v>
      </c>
      <c r="Q27" s="112">
        <v>23476</v>
      </c>
      <c r="R27" s="111">
        <v>25734</v>
      </c>
      <c r="S27" s="112">
        <v>25913</v>
      </c>
      <c r="T27" s="111">
        <v>23745</v>
      </c>
      <c r="U27" s="112">
        <v>27145</v>
      </c>
      <c r="V27" s="111">
        <v>30039</v>
      </c>
      <c r="W27" s="112">
        <v>31838</v>
      </c>
      <c r="X27" s="111">
        <v>26541</v>
      </c>
      <c r="Y27" s="112">
        <v>27667</v>
      </c>
      <c r="Z27" s="111">
        <v>27546</v>
      </c>
      <c r="AA27" s="112">
        <v>26922</v>
      </c>
      <c r="AB27" s="111">
        <v>25477</v>
      </c>
      <c r="AC27" s="112">
        <v>27445</v>
      </c>
      <c r="AD27" s="111">
        <v>37485</v>
      </c>
      <c r="AE27" s="112">
        <v>26599</v>
      </c>
      <c r="AF27" s="111">
        <v>26738</v>
      </c>
      <c r="AG27" s="112">
        <v>28084</v>
      </c>
      <c r="AH27" s="42">
        <v>813155</v>
      </c>
      <c r="AI27" s="67">
        <v>27105</v>
      </c>
      <c r="AJ27" s="113">
        <v>37.5</v>
      </c>
      <c r="AK27" s="114">
        <v>33.200000000000003</v>
      </c>
    </row>
    <row r="28" spans="1:37" ht="21.75" customHeight="1" x14ac:dyDescent="0.35">
      <c r="A28" s="17" t="s">
        <v>96</v>
      </c>
      <c r="B28" s="109" t="s">
        <v>94</v>
      </c>
      <c r="C28" s="110" t="s">
        <v>95</v>
      </c>
      <c r="D28" s="111">
        <v>11014</v>
      </c>
      <c r="E28" s="112">
        <v>9416</v>
      </c>
      <c r="F28" s="111">
        <v>7365</v>
      </c>
      <c r="G28" s="112">
        <v>7477</v>
      </c>
      <c r="H28" s="111">
        <v>7721</v>
      </c>
      <c r="I28" s="112">
        <v>7405</v>
      </c>
      <c r="J28" s="111">
        <v>8532</v>
      </c>
      <c r="K28" s="112">
        <v>6519</v>
      </c>
      <c r="L28" s="111">
        <v>8414</v>
      </c>
      <c r="M28" s="112">
        <v>7079</v>
      </c>
      <c r="N28" s="111">
        <v>7976</v>
      </c>
      <c r="O28" s="112">
        <v>6633</v>
      </c>
      <c r="P28" s="111">
        <v>7228</v>
      </c>
      <c r="Q28" s="112">
        <v>13199</v>
      </c>
      <c r="R28" s="111">
        <v>6230</v>
      </c>
      <c r="S28" s="112">
        <v>8634</v>
      </c>
      <c r="T28" s="111">
        <v>8089</v>
      </c>
      <c r="U28" s="112">
        <v>6653</v>
      </c>
      <c r="V28" s="111">
        <v>8100</v>
      </c>
      <c r="W28" s="112">
        <v>8249</v>
      </c>
      <c r="X28" s="111">
        <v>7518</v>
      </c>
      <c r="Y28" s="112">
        <v>7448</v>
      </c>
      <c r="Z28" s="111">
        <v>7938</v>
      </c>
      <c r="AA28" s="112">
        <v>6283</v>
      </c>
      <c r="AB28" s="111">
        <v>8170</v>
      </c>
      <c r="AC28" s="112">
        <v>9323</v>
      </c>
      <c r="AD28" s="111">
        <v>10967</v>
      </c>
      <c r="AE28" s="112">
        <v>9852</v>
      </c>
      <c r="AF28" s="111">
        <v>8292</v>
      </c>
      <c r="AG28" s="112">
        <v>10889</v>
      </c>
      <c r="AH28" s="42">
        <v>248612</v>
      </c>
      <c r="AI28" s="61">
        <v>8287</v>
      </c>
      <c r="AJ28" s="113">
        <v>56.3</v>
      </c>
      <c r="AK28" s="114">
        <v>31.7</v>
      </c>
    </row>
    <row r="29" spans="1:37" ht="21.75" customHeight="1" x14ac:dyDescent="0.35">
      <c r="A29" s="24" t="s">
        <v>99</v>
      </c>
      <c r="B29" s="109" t="s">
        <v>97</v>
      </c>
      <c r="C29" s="115" t="s">
        <v>98</v>
      </c>
      <c r="D29" s="111">
        <v>56071</v>
      </c>
      <c r="E29" s="112">
        <v>60283</v>
      </c>
      <c r="F29" s="111">
        <v>47933</v>
      </c>
      <c r="G29" s="112">
        <v>57157</v>
      </c>
      <c r="H29" s="111">
        <v>48019</v>
      </c>
      <c r="I29" s="112">
        <v>46350</v>
      </c>
      <c r="J29" s="111">
        <v>44314</v>
      </c>
      <c r="K29" s="112">
        <v>46451</v>
      </c>
      <c r="L29" s="111">
        <v>61497</v>
      </c>
      <c r="M29" s="112">
        <v>47423</v>
      </c>
      <c r="N29" s="111">
        <v>53396</v>
      </c>
      <c r="O29" s="112">
        <v>43139</v>
      </c>
      <c r="P29" s="111">
        <v>44078</v>
      </c>
      <c r="Q29" s="112">
        <v>42062</v>
      </c>
      <c r="R29" s="111">
        <v>45699</v>
      </c>
      <c r="S29" s="112">
        <v>51590</v>
      </c>
      <c r="T29" s="111">
        <v>43109</v>
      </c>
      <c r="U29" s="112">
        <v>50617</v>
      </c>
      <c r="V29" s="111">
        <v>45045</v>
      </c>
      <c r="W29" s="112">
        <v>43127</v>
      </c>
      <c r="X29" s="111">
        <v>46325</v>
      </c>
      <c r="Y29" s="112">
        <v>45011</v>
      </c>
      <c r="Z29" s="111">
        <v>54311</v>
      </c>
      <c r="AA29" s="112">
        <v>51473</v>
      </c>
      <c r="AB29" s="111">
        <v>50490</v>
      </c>
      <c r="AC29" s="112">
        <v>49562</v>
      </c>
      <c r="AD29" s="111">
        <v>66188</v>
      </c>
      <c r="AE29" s="112">
        <v>54040</v>
      </c>
      <c r="AF29" s="111">
        <v>53916</v>
      </c>
      <c r="AG29" s="112">
        <v>66253</v>
      </c>
      <c r="AH29" s="42">
        <v>1514930</v>
      </c>
      <c r="AI29" s="67">
        <v>50498</v>
      </c>
      <c r="AJ29" s="113">
        <v>35.799999999999997</v>
      </c>
      <c r="AK29" s="114">
        <v>26.5</v>
      </c>
    </row>
    <row r="30" spans="1:37" ht="21.75" customHeight="1" x14ac:dyDescent="0.35">
      <c r="A30" s="17" t="s">
        <v>102</v>
      </c>
      <c r="B30" s="109" t="s">
        <v>100</v>
      </c>
      <c r="C30" s="110" t="s">
        <v>101</v>
      </c>
      <c r="D30" s="111">
        <v>61574</v>
      </c>
      <c r="E30" s="112">
        <v>55480</v>
      </c>
      <c r="F30" s="111">
        <v>45673</v>
      </c>
      <c r="G30" s="112">
        <v>56377</v>
      </c>
      <c r="H30" s="111">
        <v>54242</v>
      </c>
      <c r="I30" s="112">
        <v>50894</v>
      </c>
      <c r="J30" s="111">
        <v>49579</v>
      </c>
      <c r="K30" s="112">
        <v>50963</v>
      </c>
      <c r="L30" s="111">
        <v>54032</v>
      </c>
      <c r="M30" s="112">
        <v>51601</v>
      </c>
      <c r="N30" s="111">
        <v>48262</v>
      </c>
      <c r="O30" s="112">
        <v>45136</v>
      </c>
      <c r="P30" s="111">
        <v>46766</v>
      </c>
      <c r="Q30" s="112">
        <v>48892</v>
      </c>
      <c r="R30" s="111">
        <v>49108</v>
      </c>
      <c r="S30" s="112">
        <v>48486</v>
      </c>
      <c r="T30" s="111">
        <v>40266</v>
      </c>
      <c r="U30" s="112">
        <v>38615</v>
      </c>
      <c r="V30" s="111">
        <v>41024</v>
      </c>
      <c r="W30" s="112">
        <v>38931</v>
      </c>
      <c r="X30" s="111">
        <v>46659</v>
      </c>
      <c r="Y30" s="112">
        <v>31633</v>
      </c>
      <c r="Z30" s="111">
        <v>40494</v>
      </c>
      <c r="AA30" s="112">
        <v>27776</v>
      </c>
      <c r="AB30" s="111">
        <v>40682</v>
      </c>
      <c r="AC30" s="112">
        <v>45606</v>
      </c>
      <c r="AD30" s="111">
        <v>63276</v>
      </c>
      <c r="AE30" s="112">
        <v>43051</v>
      </c>
      <c r="AF30" s="111">
        <v>46020</v>
      </c>
      <c r="AG30" s="112">
        <v>53648</v>
      </c>
      <c r="AH30" s="42">
        <v>1414745</v>
      </c>
      <c r="AI30" s="61">
        <v>47158</v>
      </c>
      <c r="AJ30" s="113">
        <v>33.299999999999997</v>
      </c>
      <c r="AK30" s="114">
        <v>33.299999999999997</v>
      </c>
    </row>
    <row r="31" spans="1:37" ht="21.75" customHeight="1" x14ac:dyDescent="0.35">
      <c r="A31" s="24" t="s">
        <v>105</v>
      </c>
      <c r="B31" s="109" t="s">
        <v>103</v>
      </c>
      <c r="C31" s="115" t="s">
        <v>104</v>
      </c>
      <c r="D31" s="111">
        <v>8561</v>
      </c>
      <c r="E31" s="112">
        <v>7572</v>
      </c>
      <c r="F31" s="111">
        <v>4644</v>
      </c>
      <c r="G31" s="112">
        <v>7757</v>
      </c>
      <c r="H31" s="111">
        <v>8566</v>
      </c>
      <c r="I31" s="112">
        <v>7199</v>
      </c>
      <c r="J31" s="111">
        <v>7281</v>
      </c>
      <c r="K31" s="112">
        <v>6387</v>
      </c>
      <c r="L31" s="111">
        <v>8584</v>
      </c>
      <c r="M31" s="112">
        <v>5489</v>
      </c>
      <c r="N31" s="111">
        <v>7630</v>
      </c>
      <c r="O31" s="112">
        <v>7043</v>
      </c>
      <c r="P31" s="111">
        <v>7858</v>
      </c>
      <c r="Q31" s="112">
        <v>6618</v>
      </c>
      <c r="R31" s="111">
        <v>5996</v>
      </c>
      <c r="S31" s="112">
        <v>7820</v>
      </c>
      <c r="T31" s="111">
        <v>3861</v>
      </c>
      <c r="U31" s="112">
        <v>7253</v>
      </c>
      <c r="V31" s="111">
        <v>7358</v>
      </c>
      <c r="W31" s="112">
        <v>7791</v>
      </c>
      <c r="X31" s="111">
        <v>6229</v>
      </c>
      <c r="Y31" s="112">
        <v>6948</v>
      </c>
      <c r="Z31" s="111">
        <v>5713</v>
      </c>
      <c r="AA31" s="112">
        <v>3444</v>
      </c>
      <c r="AB31" s="111">
        <v>6334</v>
      </c>
      <c r="AC31" s="112">
        <v>7303</v>
      </c>
      <c r="AD31" s="111">
        <v>10214</v>
      </c>
      <c r="AE31" s="112">
        <v>7327</v>
      </c>
      <c r="AF31" s="111">
        <v>7857</v>
      </c>
      <c r="AG31" s="112">
        <v>9702</v>
      </c>
      <c r="AH31" s="42">
        <v>212337</v>
      </c>
      <c r="AI31" s="67">
        <v>7078</v>
      </c>
      <c r="AJ31" s="113">
        <v>42.3</v>
      </c>
      <c r="AK31" s="114">
        <v>32.1</v>
      </c>
    </row>
    <row r="32" spans="1:37" ht="21.75" customHeight="1" x14ac:dyDescent="0.35">
      <c r="A32" s="17" t="s">
        <v>108</v>
      </c>
      <c r="B32" s="109" t="s">
        <v>106</v>
      </c>
      <c r="C32" s="110" t="s">
        <v>107</v>
      </c>
      <c r="D32" s="111">
        <v>21928</v>
      </c>
      <c r="E32" s="112">
        <v>23391</v>
      </c>
      <c r="F32" s="111">
        <v>14034</v>
      </c>
      <c r="G32" s="112">
        <v>16321</v>
      </c>
      <c r="H32" s="111">
        <v>21105</v>
      </c>
      <c r="I32" s="112">
        <v>21221</v>
      </c>
      <c r="J32" s="111">
        <v>23915</v>
      </c>
      <c r="K32" s="112">
        <v>19795</v>
      </c>
      <c r="L32" s="111">
        <v>17543</v>
      </c>
      <c r="M32" s="112">
        <v>15810</v>
      </c>
      <c r="N32" s="111">
        <v>19523</v>
      </c>
      <c r="O32" s="112">
        <v>19007</v>
      </c>
      <c r="P32" s="111">
        <v>19240</v>
      </c>
      <c r="Q32" s="112">
        <v>17492</v>
      </c>
      <c r="R32" s="111">
        <v>19955</v>
      </c>
      <c r="S32" s="112">
        <v>20372</v>
      </c>
      <c r="T32" s="111">
        <v>14913</v>
      </c>
      <c r="U32" s="112">
        <v>18922</v>
      </c>
      <c r="V32" s="111">
        <v>16145</v>
      </c>
      <c r="W32" s="112">
        <v>16298</v>
      </c>
      <c r="X32" s="111">
        <v>19214</v>
      </c>
      <c r="Y32" s="112">
        <v>18006</v>
      </c>
      <c r="Z32" s="111">
        <v>19396</v>
      </c>
      <c r="AA32" s="112">
        <v>13977</v>
      </c>
      <c r="AB32" s="111">
        <v>17909</v>
      </c>
      <c r="AC32" s="112">
        <v>19517</v>
      </c>
      <c r="AD32" s="111">
        <v>23833</v>
      </c>
      <c r="AE32" s="112">
        <v>21292</v>
      </c>
      <c r="AF32" s="111">
        <v>21976</v>
      </c>
      <c r="AG32" s="112">
        <v>22803</v>
      </c>
      <c r="AH32" s="42">
        <v>574852</v>
      </c>
      <c r="AI32" s="61">
        <v>19162</v>
      </c>
      <c r="AJ32" s="113">
        <v>29.7</v>
      </c>
      <c r="AK32" s="114">
        <v>27.3</v>
      </c>
    </row>
    <row r="33" spans="1:37" ht="21.75" customHeight="1" x14ac:dyDescent="0.35">
      <c r="A33" s="24" t="s">
        <v>111</v>
      </c>
      <c r="B33" s="109" t="s">
        <v>109</v>
      </c>
      <c r="C33" s="115" t="s">
        <v>110</v>
      </c>
      <c r="D33" s="111">
        <v>26634</v>
      </c>
      <c r="E33" s="112">
        <v>28619</v>
      </c>
      <c r="F33" s="111">
        <v>29132</v>
      </c>
      <c r="G33" s="112">
        <v>27119</v>
      </c>
      <c r="H33" s="111">
        <v>23289</v>
      </c>
      <c r="I33" s="112">
        <v>23506</v>
      </c>
      <c r="J33" s="111">
        <v>24025</v>
      </c>
      <c r="K33" s="112">
        <v>25731</v>
      </c>
      <c r="L33" s="111">
        <v>29398</v>
      </c>
      <c r="M33" s="112">
        <v>28808</v>
      </c>
      <c r="N33" s="111">
        <v>27235</v>
      </c>
      <c r="O33" s="112">
        <v>22164</v>
      </c>
      <c r="P33" s="111">
        <v>23785</v>
      </c>
      <c r="Q33" s="112">
        <v>24298</v>
      </c>
      <c r="R33" s="111">
        <v>25061</v>
      </c>
      <c r="S33" s="112">
        <v>27059</v>
      </c>
      <c r="T33" s="111">
        <v>26153</v>
      </c>
      <c r="U33" s="112">
        <v>28155</v>
      </c>
      <c r="V33" s="111">
        <v>22598</v>
      </c>
      <c r="W33" s="112">
        <v>22669</v>
      </c>
      <c r="X33" s="111">
        <v>24217</v>
      </c>
      <c r="Y33" s="112">
        <v>24044</v>
      </c>
      <c r="Z33" s="111">
        <v>27074</v>
      </c>
      <c r="AA33" s="112">
        <v>27608</v>
      </c>
      <c r="AB33" s="111">
        <v>24464</v>
      </c>
      <c r="AC33" s="112">
        <v>28689</v>
      </c>
      <c r="AD33" s="111">
        <v>35456</v>
      </c>
      <c r="AE33" s="112">
        <v>26984</v>
      </c>
      <c r="AF33" s="111">
        <v>23821</v>
      </c>
      <c r="AG33" s="112">
        <v>28933</v>
      </c>
      <c r="AH33" s="42">
        <v>786728</v>
      </c>
      <c r="AI33" s="67">
        <v>26224</v>
      </c>
      <c r="AJ33" s="113">
        <v>46.9</v>
      </c>
      <c r="AK33" s="114">
        <v>46.2</v>
      </c>
    </row>
    <row r="34" spans="1:37" ht="21.75" customHeight="1" x14ac:dyDescent="0.35">
      <c r="A34" s="17" t="s">
        <v>114</v>
      </c>
      <c r="B34" s="109" t="s">
        <v>112</v>
      </c>
      <c r="C34" s="110" t="s">
        <v>113</v>
      </c>
      <c r="D34" s="111">
        <v>28935</v>
      </c>
      <c r="E34" s="112">
        <v>28051</v>
      </c>
      <c r="F34" s="111">
        <v>25194</v>
      </c>
      <c r="G34" s="112">
        <v>35614</v>
      </c>
      <c r="H34" s="111">
        <v>30695</v>
      </c>
      <c r="I34" s="112">
        <v>27089</v>
      </c>
      <c r="J34" s="111">
        <v>26952</v>
      </c>
      <c r="K34" s="112">
        <v>29729</v>
      </c>
      <c r="L34" s="111">
        <v>36632</v>
      </c>
      <c r="M34" s="112">
        <v>22000</v>
      </c>
      <c r="N34" s="111">
        <v>25049</v>
      </c>
      <c r="O34" s="112">
        <v>24080</v>
      </c>
      <c r="P34" s="111">
        <v>22625</v>
      </c>
      <c r="Q34" s="112">
        <v>26918</v>
      </c>
      <c r="R34" s="111">
        <v>38338</v>
      </c>
      <c r="S34" s="112">
        <v>30805</v>
      </c>
      <c r="T34" s="111">
        <v>27797</v>
      </c>
      <c r="U34" s="112">
        <v>35705</v>
      </c>
      <c r="V34" s="111">
        <v>32468</v>
      </c>
      <c r="W34" s="112">
        <v>36056</v>
      </c>
      <c r="X34" s="111">
        <v>38817</v>
      </c>
      <c r="Y34" s="112">
        <v>33673</v>
      </c>
      <c r="Z34" s="111">
        <v>34867</v>
      </c>
      <c r="AA34" s="112">
        <v>29511</v>
      </c>
      <c r="AB34" s="111">
        <v>30524</v>
      </c>
      <c r="AC34" s="112">
        <v>34180</v>
      </c>
      <c r="AD34" s="111">
        <v>46154</v>
      </c>
      <c r="AE34" s="112">
        <v>29097</v>
      </c>
      <c r="AF34" s="111">
        <v>28997</v>
      </c>
      <c r="AG34" s="112">
        <v>32879</v>
      </c>
      <c r="AH34" s="42">
        <v>929428</v>
      </c>
      <c r="AI34" s="61">
        <v>30981</v>
      </c>
      <c r="AJ34" s="113">
        <v>35.6</v>
      </c>
      <c r="AK34" s="114">
        <v>32</v>
      </c>
    </row>
    <row r="35" spans="1:37" ht="21.75" customHeight="1" x14ac:dyDescent="0.35">
      <c r="A35" s="24" t="s">
        <v>117</v>
      </c>
      <c r="B35" s="109" t="s">
        <v>115</v>
      </c>
      <c r="C35" s="115" t="s">
        <v>116</v>
      </c>
      <c r="D35" s="111">
        <v>63051</v>
      </c>
      <c r="E35" s="112">
        <v>51799</v>
      </c>
      <c r="F35" s="111">
        <v>44808</v>
      </c>
      <c r="G35" s="112">
        <v>53213</v>
      </c>
      <c r="H35" s="111">
        <v>48648</v>
      </c>
      <c r="I35" s="112">
        <v>47269</v>
      </c>
      <c r="J35" s="111">
        <v>50451</v>
      </c>
      <c r="K35" s="112">
        <v>51847</v>
      </c>
      <c r="L35" s="111">
        <v>45269</v>
      </c>
      <c r="M35" s="112">
        <v>38903</v>
      </c>
      <c r="N35" s="111">
        <v>44911</v>
      </c>
      <c r="O35" s="112">
        <v>46697</v>
      </c>
      <c r="P35" s="111">
        <v>43593</v>
      </c>
      <c r="Q35" s="112">
        <v>39201</v>
      </c>
      <c r="R35" s="111">
        <v>41685</v>
      </c>
      <c r="S35" s="112">
        <v>45185</v>
      </c>
      <c r="T35" s="111">
        <v>35300</v>
      </c>
      <c r="U35" s="112">
        <v>32769</v>
      </c>
      <c r="V35" s="111">
        <v>33079</v>
      </c>
      <c r="W35" s="112">
        <v>37012</v>
      </c>
      <c r="X35" s="111">
        <v>35735</v>
      </c>
      <c r="Y35" s="112">
        <v>42740</v>
      </c>
      <c r="Z35" s="111">
        <v>180656</v>
      </c>
      <c r="AA35" s="112">
        <v>41826</v>
      </c>
      <c r="AB35" s="111">
        <v>40990</v>
      </c>
      <c r="AC35" s="112">
        <v>41856</v>
      </c>
      <c r="AD35" s="111">
        <v>49229</v>
      </c>
      <c r="AE35" s="112">
        <v>39724</v>
      </c>
      <c r="AF35" s="111">
        <v>42254</v>
      </c>
      <c r="AG35" s="112">
        <v>48798</v>
      </c>
      <c r="AH35" s="42">
        <v>1458497</v>
      </c>
      <c r="AI35" s="67">
        <v>48617</v>
      </c>
      <c r="AJ35" s="113">
        <v>54.4</v>
      </c>
      <c r="AK35" s="114">
        <v>30.1</v>
      </c>
    </row>
    <row r="36" spans="1:37" ht="21.75" customHeight="1" x14ac:dyDescent="0.35">
      <c r="A36" s="17" t="s">
        <v>120</v>
      </c>
      <c r="B36" s="109" t="s">
        <v>118</v>
      </c>
      <c r="C36" s="110" t="s">
        <v>119</v>
      </c>
      <c r="D36" s="111">
        <v>45667</v>
      </c>
      <c r="E36" s="112">
        <v>43874</v>
      </c>
      <c r="F36" s="111">
        <v>33666</v>
      </c>
      <c r="G36" s="112">
        <v>33946</v>
      </c>
      <c r="H36" s="111">
        <v>42119</v>
      </c>
      <c r="I36" s="112">
        <v>43700</v>
      </c>
      <c r="J36" s="111">
        <v>43527</v>
      </c>
      <c r="K36" s="112">
        <v>43191</v>
      </c>
      <c r="L36" s="111">
        <v>44715</v>
      </c>
      <c r="M36" s="112">
        <v>37549</v>
      </c>
      <c r="N36" s="111">
        <v>37351</v>
      </c>
      <c r="O36" s="112">
        <v>46199</v>
      </c>
      <c r="P36" s="111">
        <v>48661</v>
      </c>
      <c r="Q36" s="112">
        <v>50196</v>
      </c>
      <c r="R36" s="111">
        <v>43121</v>
      </c>
      <c r="S36" s="112">
        <v>48642</v>
      </c>
      <c r="T36" s="111">
        <v>37925</v>
      </c>
      <c r="U36" s="112">
        <v>39284</v>
      </c>
      <c r="V36" s="111">
        <v>44160</v>
      </c>
      <c r="W36" s="112">
        <v>44406</v>
      </c>
      <c r="X36" s="111">
        <v>49678</v>
      </c>
      <c r="Y36" s="112">
        <v>47552</v>
      </c>
      <c r="Z36" s="111">
        <v>50404</v>
      </c>
      <c r="AA36" s="112">
        <v>37284</v>
      </c>
      <c r="AB36" s="111">
        <v>40188</v>
      </c>
      <c r="AC36" s="112">
        <v>41313</v>
      </c>
      <c r="AD36" s="111">
        <v>54376</v>
      </c>
      <c r="AE36" s="112">
        <v>49705</v>
      </c>
      <c r="AF36" s="111">
        <v>47686</v>
      </c>
      <c r="AG36" s="112">
        <v>53850</v>
      </c>
      <c r="AH36" s="42">
        <v>1323936</v>
      </c>
      <c r="AI36" s="61">
        <v>44131</v>
      </c>
      <c r="AJ36" s="113">
        <v>48.6</v>
      </c>
      <c r="AK36" s="114">
        <v>42.5</v>
      </c>
    </row>
    <row r="37" spans="1:37" ht="21.75" customHeight="1" x14ac:dyDescent="0.35">
      <c r="A37" s="24" t="s">
        <v>123</v>
      </c>
      <c r="B37" s="109" t="s">
        <v>121</v>
      </c>
      <c r="C37" s="115" t="s">
        <v>122</v>
      </c>
      <c r="D37" s="111">
        <v>14286</v>
      </c>
      <c r="E37" s="112">
        <v>18874</v>
      </c>
      <c r="F37" s="111">
        <v>23038</v>
      </c>
      <c r="G37" s="112">
        <v>22465</v>
      </c>
      <c r="H37" s="111">
        <v>12673</v>
      </c>
      <c r="I37" s="112">
        <v>12805</v>
      </c>
      <c r="J37" s="111">
        <v>13884</v>
      </c>
      <c r="K37" s="112">
        <v>15565</v>
      </c>
      <c r="L37" s="111">
        <v>19220</v>
      </c>
      <c r="M37" s="112">
        <v>20392</v>
      </c>
      <c r="N37" s="111">
        <v>23276</v>
      </c>
      <c r="O37" s="112">
        <v>13415</v>
      </c>
      <c r="P37" s="111">
        <v>12558</v>
      </c>
      <c r="Q37" s="112">
        <v>10587</v>
      </c>
      <c r="R37" s="111">
        <v>12429</v>
      </c>
      <c r="S37" s="112">
        <v>16743</v>
      </c>
      <c r="T37" s="111">
        <v>18033</v>
      </c>
      <c r="U37" s="112">
        <v>20597</v>
      </c>
      <c r="V37" s="111">
        <v>13180</v>
      </c>
      <c r="W37" s="112">
        <v>12181</v>
      </c>
      <c r="X37" s="111">
        <v>13452</v>
      </c>
      <c r="Y37" s="112">
        <v>16075</v>
      </c>
      <c r="Z37" s="111">
        <v>20426</v>
      </c>
      <c r="AA37" s="112">
        <v>18914</v>
      </c>
      <c r="AB37" s="111">
        <v>21102</v>
      </c>
      <c r="AC37" s="112">
        <v>16827</v>
      </c>
      <c r="AD37" s="111">
        <v>15080</v>
      </c>
      <c r="AE37" s="112">
        <v>11626</v>
      </c>
      <c r="AF37" s="111">
        <v>15405</v>
      </c>
      <c r="AG37" s="112">
        <v>17903</v>
      </c>
      <c r="AH37" s="42">
        <v>493011</v>
      </c>
      <c r="AI37" s="67">
        <v>16434</v>
      </c>
      <c r="AJ37" s="113">
        <v>45.5</v>
      </c>
      <c r="AK37" s="114">
        <v>42.4</v>
      </c>
    </row>
    <row r="38" spans="1:37" ht="21.75" customHeight="1" x14ac:dyDescent="0.35">
      <c r="A38" s="17" t="s">
        <v>126</v>
      </c>
      <c r="B38" s="109" t="s">
        <v>124</v>
      </c>
      <c r="C38" s="110" t="s">
        <v>125</v>
      </c>
      <c r="D38" s="111">
        <v>26399</v>
      </c>
      <c r="E38" s="112">
        <v>22119</v>
      </c>
      <c r="F38" s="111">
        <v>24986</v>
      </c>
      <c r="G38" s="112">
        <v>23325</v>
      </c>
      <c r="H38" s="111">
        <v>21576</v>
      </c>
      <c r="I38" s="112">
        <v>22833</v>
      </c>
      <c r="J38" s="111">
        <v>24269</v>
      </c>
      <c r="K38" s="112">
        <v>23341</v>
      </c>
      <c r="L38" s="111">
        <v>27037</v>
      </c>
      <c r="M38" s="112">
        <v>25948</v>
      </c>
      <c r="N38" s="111">
        <v>22042</v>
      </c>
      <c r="O38" s="112">
        <v>28563</v>
      </c>
      <c r="P38" s="111">
        <v>22659</v>
      </c>
      <c r="Q38" s="112">
        <v>16485</v>
      </c>
      <c r="R38" s="111">
        <v>24138</v>
      </c>
      <c r="S38" s="112">
        <v>24209</v>
      </c>
      <c r="T38" s="111">
        <v>22161</v>
      </c>
      <c r="U38" s="112">
        <v>21761</v>
      </c>
      <c r="V38" s="111">
        <v>20908</v>
      </c>
      <c r="W38" s="112">
        <v>20084</v>
      </c>
      <c r="X38" s="111">
        <v>22117</v>
      </c>
      <c r="Y38" s="112">
        <v>21044</v>
      </c>
      <c r="Z38" s="111">
        <v>27766</v>
      </c>
      <c r="AA38" s="112">
        <v>23068</v>
      </c>
      <c r="AB38" s="111">
        <v>21469</v>
      </c>
      <c r="AC38" s="112">
        <v>23923</v>
      </c>
      <c r="AD38" s="111">
        <v>28981</v>
      </c>
      <c r="AE38" s="112">
        <v>24333</v>
      </c>
      <c r="AF38" s="111">
        <v>27539</v>
      </c>
      <c r="AG38" s="112">
        <v>29477</v>
      </c>
      <c r="AH38" s="42">
        <v>714561</v>
      </c>
      <c r="AI38" s="61">
        <v>23819</v>
      </c>
      <c r="AJ38" s="113">
        <v>44.9</v>
      </c>
      <c r="AK38" s="114">
        <v>51.9</v>
      </c>
    </row>
    <row r="39" spans="1:37" ht="21.75" customHeight="1" x14ac:dyDescent="0.35">
      <c r="A39" s="24" t="s">
        <v>129</v>
      </c>
      <c r="B39" s="109" t="s">
        <v>127</v>
      </c>
      <c r="C39" s="115" t="s">
        <v>128</v>
      </c>
      <c r="D39" s="111">
        <v>17579</v>
      </c>
      <c r="E39" s="112">
        <v>19408</v>
      </c>
      <c r="F39" s="111">
        <v>17800</v>
      </c>
      <c r="G39" s="112">
        <v>17677</v>
      </c>
      <c r="H39" s="111">
        <v>18147</v>
      </c>
      <c r="I39" s="112">
        <v>21551</v>
      </c>
      <c r="J39" s="111">
        <v>21813</v>
      </c>
      <c r="K39" s="112">
        <v>17410</v>
      </c>
      <c r="L39" s="111">
        <v>20451</v>
      </c>
      <c r="M39" s="112">
        <v>16520</v>
      </c>
      <c r="N39" s="111">
        <v>16802</v>
      </c>
      <c r="O39" s="112">
        <v>22036</v>
      </c>
      <c r="P39" s="111">
        <v>16070</v>
      </c>
      <c r="Q39" s="112">
        <v>19157</v>
      </c>
      <c r="R39" s="111">
        <v>19538</v>
      </c>
      <c r="S39" s="112">
        <v>18192</v>
      </c>
      <c r="T39" s="111">
        <v>14812</v>
      </c>
      <c r="U39" s="112">
        <v>16564</v>
      </c>
      <c r="V39" s="111">
        <v>21192</v>
      </c>
      <c r="W39" s="112">
        <v>19460</v>
      </c>
      <c r="X39" s="111">
        <v>18878</v>
      </c>
      <c r="Y39" s="112">
        <v>18858</v>
      </c>
      <c r="Z39" s="111">
        <v>21875</v>
      </c>
      <c r="AA39" s="112">
        <v>16155</v>
      </c>
      <c r="AB39" s="111">
        <v>20944</v>
      </c>
      <c r="AC39" s="112">
        <v>21617</v>
      </c>
      <c r="AD39" s="111">
        <v>25036</v>
      </c>
      <c r="AE39" s="112">
        <v>23213</v>
      </c>
      <c r="AF39" s="111">
        <v>22254</v>
      </c>
      <c r="AG39" s="112">
        <v>24293</v>
      </c>
      <c r="AH39" s="42">
        <v>585302</v>
      </c>
      <c r="AI39" s="67">
        <v>19510</v>
      </c>
      <c r="AJ39" s="113">
        <v>20.8</v>
      </c>
      <c r="AK39" s="114">
        <v>18.3</v>
      </c>
    </row>
    <row r="40" spans="1:37" ht="21.75" customHeight="1" x14ac:dyDescent="0.35">
      <c r="A40" s="17" t="s">
        <v>132</v>
      </c>
      <c r="B40" s="109" t="s">
        <v>130</v>
      </c>
      <c r="C40" s="110" t="s">
        <v>131</v>
      </c>
      <c r="D40" s="111">
        <v>16936</v>
      </c>
      <c r="E40" s="112">
        <v>14447</v>
      </c>
      <c r="F40" s="111">
        <v>11281</v>
      </c>
      <c r="G40" s="112">
        <v>12276</v>
      </c>
      <c r="H40" s="111">
        <v>13848</v>
      </c>
      <c r="I40" s="112">
        <v>13087</v>
      </c>
      <c r="J40" s="111">
        <v>14529</v>
      </c>
      <c r="K40" s="112">
        <v>10988</v>
      </c>
      <c r="L40" s="111">
        <v>15654</v>
      </c>
      <c r="M40" s="112">
        <v>10944</v>
      </c>
      <c r="N40" s="111">
        <v>15063</v>
      </c>
      <c r="O40" s="112">
        <v>13011</v>
      </c>
      <c r="P40" s="111">
        <v>11538</v>
      </c>
      <c r="Q40" s="112">
        <v>15204</v>
      </c>
      <c r="R40" s="111">
        <v>13917</v>
      </c>
      <c r="S40" s="112">
        <v>15697</v>
      </c>
      <c r="T40" s="111">
        <v>10202</v>
      </c>
      <c r="U40" s="112">
        <v>11522</v>
      </c>
      <c r="V40" s="111">
        <v>13786</v>
      </c>
      <c r="W40" s="112">
        <v>12007</v>
      </c>
      <c r="X40" s="111">
        <v>14191</v>
      </c>
      <c r="Y40" s="112">
        <v>11275</v>
      </c>
      <c r="Z40" s="111">
        <v>13014</v>
      </c>
      <c r="AA40" s="112">
        <v>9863</v>
      </c>
      <c r="AB40" s="111">
        <v>12659</v>
      </c>
      <c r="AC40" s="112">
        <v>12726</v>
      </c>
      <c r="AD40" s="111">
        <v>20050</v>
      </c>
      <c r="AE40" s="112">
        <v>17166</v>
      </c>
      <c r="AF40" s="111">
        <v>13936</v>
      </c>
      <c r="AG40" s="112">
        <v>16386</v>
      </c>
      <c r="AH40" s="42">
        <v>407203</v>
      </c>
      <c r="AI40" s="61">
        <v>13573</v>
      </c>
      <c r="AJ40" s="113">
        <v>37.799999999999997</v>
      </c>
      <c r="AK40" s="114">
        <v>42.5</v>
      </c>
    </row>
    <row r="41" spans="1:37" ht="21.75" customHeight="1" x14ac:dyDescent="0.35">
      <c r="A41" s="24" t="s">
        <v>136</v>
      </c>
      <c r="B41" s="109" t="s">
        <v>133</v>
      </c>
      <c r="C41" s="115" t="s">
        <v>134</v>
      </c>
      <c r="D41" s="111">
        <v>13244</v>
      </c>
      <c r="E41" s="112">
        <v>14885</v>
      </c>
      <c r="F41" s="111">
        <v>11562</v>
      </c>
      <c r="G41" s="112">
        <v>9566</v>
      </c>
      <c r="H41" s="111">
        <v>13214</v>
      </c>
      <c r="I41" s="112">
        <v>12480</v>
      </c>
      <c r="J41" s="111">
        <v>14642</v>
      </c>
      <c r="K41" s="112">
        <v>14705</v>
      </c>
      <c r="L41" s="111">
        <v>16479</v>
      </c>
      <c r="M41" s="112">
        <v>11283</v>
      </c>
      <c r="N41" s="111">
        <v>12299</v>
      </c>
      <c r="O41" s="112">
        <v>11037</v>
      </c>
      <c r="P41" s="111">
        <v>12613</v>
      </c>
      <c r="Q41" s="112">
        <v>12773</v>
      </c>
      <c r="R41" s="111">
        <v>12748</v>
      </c>
      <c r="S41" s="112">
        <v>15804</v>
      </c>
      <c r="T41" s="111">
        <v>10694</v>
      </c>
      <c r="U41" s="112">
        <v>11561</v>
      </c>
      <c r="V41" s="111">
        <v>12047</v>
      </c>
      <c r="W41" s="112">
        <v>13045</v>
      </c>
      <c r="X41" s="111">
        <v>14705</v>
      </c>
      <c r="Y41" s="112">
        <v>13511</v>
      </c>
      <c r="Z41" s="111">
        <v>12766</v>
      </c>
      <c r="AA41" s="112">
        <v>12161</v>
      </c>
      <c r="AB41" s="111">
        <v>11624</v>
      </c>
      <c r="AC41" s="112">
        <v>12713</v>
      </c>
      <c r="AD41" s="111">
        <v>15268</v>
      </c>
      <c r="AE41" s="112">
        <v>13493</v>
      </c>
      <c r="AF41" s="111">
        <v>14187</v>
      </c>
      <c r="AG41" s="112">
        <v>17987</v>
      </c>
      <c r="AH41" s="42">
        <v>395098</v>
      </c>
      <c r="AI41" s="67">
        <v>13170</v>
      </c>
      <c r="AJ41" s="113">
        <v>38.9</v>
      </c>
      <c r="AK41" s="114">
        <v>38.4</v>
      </c>
    </row>
    <row r="42" spans="1:37" ht="21.75" customHeight="1" x14ac:dyDescent="0.35">
      <c r="A42" s="17" t="s">
        <v>139</v>
      </c>
      <c r="B42" s="109" t="s">
        <v>137</v>
      </c>
      <c r="C42" s="110" t="s">
        <v>138</v>
      </c>
      <c r="D42" s="111">
        <v>17211</v>
      </c>
      <c r="E42" s="112">
        <v>17287</v>
      </c>
      <c r="F42" s="111">
        <v>16463</v>
      </c>
      <c r="G42" s="112">
        <v>13519</v>
      </c>
      <c r="H42" s="111">
        <v>15849</v>
      </c>
      <c r="I42" s="112">
        <v>14450</v>
      </c>
      <c r="J42" s="111">
        <v>12758</v>
      </c>
      <c r="K42" s="112">
        <v>15483</v>
      </c>
      <c r="L42" s="111">
        <v>19022</v>
      </c>
      <c r="M42" s="112">
        <v>14335</v>
      </c>
      <c r="N42" s="111">
        <v>15319</v>
      </c>
      <c r="O42" s="112">
        <v>16033</v>
      </c>
      <c r="P42" s="111">
        <v>14616</v>
      </c>
      <c r="Q42" s="112">
        <v>13949</v>
      </c>
      <c r="R42" s="111">
        <v>13751</v>
      </c>
      <c r="S42" s="112">
        <v>15947</v>
      </c>
      <c r="T42" s="111">
        <v>13844</v>
      </c>
      <c r="U42" s="112">
        <v>15002</v>
      </c>
      <c r="V42" s="111">
        <v>15396</v>
      </c>
      <c r="W42" s="112">
        <v>15458</v>
      </c>
      <c r="X42" s="111">
        <v>11983</v>
      </c>
      <c r="Y42" s="112">
        <v>16584</v>
      </c>
      <c r="Z42" s="111">
        <v>17474</v>
      </c>
      <c r="AA42" s="112">
        <v>14984</v>
      </c>
      <c r="AB42" s="111">
        <v>14892</v>
      </c>
      <c r="AC42" s="112">
        <v>15399</v>
      </c>
      <c r="AD42" s="111">
        <v>25207</v>
      </c>
      <c r="AE42" s="112">
        <v>17188</v>
      </c>
      <c r="AF42" s="111">
        <v>15963</v>
      </c>
      <c r="AG42" s="112">
        <v>20575</v>
      </c>
      <c r="AH42" s="42">
        <v>475940</v>
      </c>
      <c r="AI42" s="61">
        <v>15865</v>
      </c>
      <c r="AJ42" s="113">
        <v>54.7</v>
      </c>
      <c r="AK42" s="114">
        <v>35.799999999999997</v>
      </c>
    </row>
    <row r="43" spans="1:37" ht="21.75" customHeight="1" x14ac:dyDescent="0.35">
      <c r="A43" s="24" t="s">
        <v>142</v>
      </c>
      <c r="B43" s="109" t="s">
        <v>140</v>
      </c>
      <c r="C43" s="115" t="s">
        <v>141</v>
      </c>
      <c r="D43" s="111">
        <v>20383</v>
      </c>
      <c r="E43" s="112">
        <v>17117</v>
      </c>
      <c r="F43" s="111">
        <v>17092</v>
      </c>
      <c r="G43" s="112">
        <v>18957</v>
      </c>
      <c r="H43" s="111">
        <v>19687</v>
      </c>
      <c r="I43" s="112">
        <v>20170</v>
      </c>
      <c r="J43" s="111">
        <v>19857</v>
      </c>
      <c r="K43" s="112">
        <v>21596</v>
      </c>
      <c r="L43" s="111">
        <v>19218</v>
      </c>
      <c r="M43" s="112">
        <v>17373</v>
      </c>
      <c r="N43" s="111">
        <v>20373</v>
      </c>
      <c r="O43" s="112">
        <v>18273</v>
      </c>
      <c r="P43" s="111">
        <v>19584</v>
      </c>
      <c r="Q43" s="112">
        <v>19480</v>
      </c>
      <c r="R43" s="111">
        <v>19158</v>
      </c>
      <c r="S43" s="112">
        <v>20162</v>
      </c>
      <c r="T43" s="111">
        <v>17392</v>
      </c>
      <c r="U43" s="112">
        <v>19614</v>
      </c>
      <c r="V43" s="111">
        <v>19416</v>
      </c>
      <c r="W43" s="112">
        <v>19513</v>
      </c>
      <c r="X43" s="111">
        <v>19301</v>
      </c>
      <c r="Y43" s="112">
        <v>18064</v>
      </c>
      <c r="Z43" s="111">
        <v>21293</v>
      </c>
      <c r="AA43" s="112">
        <v>17529</v>
      </c>
      <c r="AB43" s="111">
        <v>19293</v>
      </c>
      <c r="AC43" s="112">
        <v>19263</v>
      </c>
      <c r="AD43" s="111">
        <v>25730</v>
      </c>
      <c r="AE43" s="112">
        <v>20085</v>
      </c>
      <c r="AF43" s="111">
        <v>19600</v>
      </c>
      <c r="AG43" s="112">
        <v>22389</v>
      </c>
      <c r="AH43" s="42">
        <v>586961</v>
      </c>
      <c r="AI43" s="67">
        <v>19565</v>
      </c>
      <c r="AJ43" s="113">
        <v>51.3</v>
      </c>
      <c r="AK43" s="114">
        <v>28.5</v>
      </c>
    </row>
    <row r="44" spans="1:37" ht="21.75" customHeight="1" x14ac:dyDescent="0.35">
      <c r="A44" s="17" t="s">
        <v>145</v>
      </c>
      <c r="B44" s="109" t="s">
        <v>143</v>
      </c>
      <c r="C44" s="110" t="s">
        <v>144</v>
      </c>
      <c r="D44" s="111">
        <v>11515</v>
      </c>
      <c r="E44" s="112">
        <v>11238</v>
      </c>
      <c r="F44" s="111">
        <v>9258</v>
      </c>
      <c r="G44" s="112">
        <v>8264</v>
      </c>
      <c r="H44" s="111">
        <v>8652</v>
      </c>
      <c r="I44" s="112">
        <v>9558</v>
      </c>
      <c r="J44" s="111">
        <v>9972</v>
      </c>
      <c r="K44" s="112">
        <v>9514</v>
      </c>
      <c r="L44" s="111">
        <v>11867</v>
      </c>
      <c r="M44" s="112">
        <v>8221</v>
      </c>
      <c r="N44" s="111">
        <v>8969</v>
      </c>
      <c r="O44" s="112">
        <v>8969</v>
      </c>
      <c r="P44" s="111">
        <v>9402</v>
      </c>
      <c r="Q44" s="112">
        <v>9832</v>
      </c>
      <c r="R44" s="111">
        <v>8492</v>
      </c>
      <c r="S44" s="112">
        <v>10803</v>
      </c>
      <c r="T44" s="111">
        <v>8717</v>
      </c>
      <c r="U44" s="112">
        <v>8371</v>
      </c>
      <c r="V44" s="111">
        <v>9195</v>
      </c>
      <c r="W44" s="112">
        <v>9377</v>
      </c>
      <c r="X44" s="111">
        <v>9316</v>
      </c>
      <c r="Y44" s="112">
        <v>9621</v>
      </c>
      <c r="Z44" s="111">
        <v>11506</v>
      </c>
      <c r="AA44" s="112">
        <v>8592</v>
      </c>
      <c r="AB44" s="111">
        <v>7687</v>
      </c>
      <c r="AC44" s="112">
        <v>10282</v>
      </c>
      <c r="AD44" s="111">
        <v>14214</v>
      </c>
      <c r="AE44" s="112">
        <v>11481</v>
      </c>
      <c r="AF44" s="111">
        <v>9718</v>
      </c>
      <c r="AG44" s="112">
        <v>12060</v>
      </c>
      <c r="AH44" s="42">
        <v>294663</v>
      </c>
      <c r="AI44" s="61">
        <v>9822</v>
      </c>
      <c r="AJ44" s="113">
        <v>51.6</v>
      </c>
      <c r="AK44" s="114">
        <v>46.1</v>
      </c>
    </row>
    <row r="45" spans="1:37" ht="21.75" customHeight="1" x14ac:dyDescent="0.35">
      <c r="A45" s="24" t="s">
        <v>148</v>
      </c>
      <c r="B45" s="109" t="s">
        <v>146</v>
      </c>
      <c r="C45" s="115" t="s">
        <v>147</v>
      </c>
      <c r="D45" s="111">
        <v>136357</v>
      </c>
      <c r="E45" s="112">
        <v>146990</v>
      </c>
      <c r="F45" s="111">
        <v>125075</v>
      </c>
      <c r="G45" s="112">
        <v>131224</v>
      </c>
      <c r="H45" s="111">
        <v>127267</v>
      </c>
      <c r="I45" s="112">
        <v>128320</v>
      </c>
      <c r="J45" s="111">
        <v>116568</v>
      </c>
      <c r="K45" s="112">
        <v>124410</v>
      </c>
      <c r="L45" s="111">
        <v>131823</v>
      </c>
      <c r="M45" s="112">
        <v>111711</v>
      </c>
      <c r="N45" s="111">
        <v>117224</v>
      </c>
      <c r="O45" s="112">
        <v>114009</v>
      </c>
      <c r="P45" s="111">
        <v>106216</v>
      </c>
      <c r="Q45" s="112">
        <v>104109</v>
      </c>
      <c r="R45" s="111">
        <v>101972</v>
      </c>
      <c r="S45" s="112">
        <v>114722</v>
      </c>
      <c r="T45" s="111">
        <v>101841</v>
      </c>
      <c r="U45" s="112">
        <v>111770</v>
      </c>
      <c r="V45" s="111">
        <v>106611</v>
      </c>
      <c r="W45" s="112">
        <v>108088</v>
      </c>
      <c r="X45" s="111">
        <v>109707</v>
      </c>
      <c r="Y45" s="112">
        <v>114778</v>
      </c>
      <c r="Z45" s="111">
        <v>143643</v>
      </c>
      <c r="AA45" s="112">
        <v>113084</v>
      </c>
      <c r="AB45" s="111">
        <v>128762</v>
      </c>
      <c r="AC45" s="112">
        <v>110661</v>
      </c>
      <c r="AD45" s="111">
        <v>137005</v>
      </c>
      <c r="AE45" s="112">
        <v>118234</v>
      </c>
      <c r="AF45" s="111">
        <v>120466</v>
      </c>
      <c r="AG45" s="112">
        <v>139610</v>
      </c>
      <c r="AH45" s="42">
        <v>3602256</v>
      </c>
      <c r="AI45" s="67">
        <v>120075</v>
      </c>
      <c r="AJ45" s="113">
        <v>37.799999999999997</v>
      </c>
      <c r="AK45" s="114">
        <v>37.799999999999997</v>
      </c>
    </row>
    <row r="46" spans="1:37" ht="21.75" customHeight="1" x14ac:dyDescent="0.35">
      <c r="A46" s="17" t="s">
        <v>151</v>
      </c>
      <c r="B46" s="109" t="s">
        <v>149</v>
      </c>
      <c r="C46" s="110" t="s">
        <v>150</v>
      </c>
      <c r="D46" s="111">
        <v>24484</v>
      </c>
      <c r="E46" s="112">
        <v>22115</v>
      </c>
      <c r="F46" s="111">
        <v>16311</v>
      </c>
      <c r="G46" s="112">
        <v>19399</v>
      </c>
      <c r="H46" s="111">
        <v>20114</v>
      </c>
      <c r="I46" s="112">
        <v>17849</v>
      </c>
      <c r="J46" s="111">
        <v>20266</v>
      </c>
      <c r="K46" s="112">
        <v>19593</v>
      </c>
      <c r="L46" s="111">
        <v>22749</v>
      </c>
      <c r="M46" s="112">
        <v>16593</v>
      </c>
      <c r="N46" s="111">
        <v>16815</v>
      </c>
      <c r="O46" s="112">
        <v>19127</v>
      </c>
      <c r="P46" s="111">
        <v>19075</v>
      </c>
      <c r="Q46" s="112">
        <v>17877</v>
      </c>
      <c r="R46" s="111">
        <v>20193</v>
      </c>
      <c r="S46" s="112">
        <v>20872</v>
      </c>
      <c r="T46" s="111">
        <v>15500</v>
      </c>
      <c r="U46" s="112">
        <v>20338</v>
      </c>
      <c r="V46" s="111">
        <v>18726</v>
      </c>
      <c r="W46" s="112">
        <v>19414</v>
      </c>
      <c r="X46" s="111">
        <v>19607</v>
      </c>
      <c r="Y46" s="112">
        <v>18954</v>
      </c>
      <c r="Z46" s="111">
        <v>21741</v>
      </c>
      <c r="AA46" s="112">
        <v>18229</v>
      </c>
      <c r="AB46" s="111">
        <v>18816</v>
      </c>
      <c r="AC46" s="112">
        <v>18965</v>
      </c>
      <c r="AD46" s="111">
        <v>27522</v>
      </c>
      <c r="AE46" s="112">
        <v>20148</v>
      </c>
      <c r="AF46" s="111">
        <v>18939</v>
      </c>
      <c r="AG46" s="112">
        <v>20590</v>
      </c>
      <c r="AH46" s="42">
        <v>590920</v>
      </c>
      <c r="AI46" s="61">
        <v>19697</v>
      </c>
      <c r="AJ46" s="113">
        <v>41.8</v>
      </c>
      <c r="AK46" s="114">
        <v>43.6</v>
      </c>
    </row>
    <row r="47" spans="1:37" ht="21.75" customHeight="1" x14ac:dyDescent="0.35">
      <c r="A47" s="24" t="s">
        <v>154</v>
      </c>
      <c r="B47" s="109" t="s">
        <v>152</v>
      </c>
      <c r="C47" s="115" t="s">
        <v>153</v>
      </c>
      <c r="D47" s="111">
        <v>19125</v>
      </c>
      <c r="E47" s="112">
        <v>19468</v>
      </c>
      <c r="F47" s="111">
        <v>14935</v>
      </c>
      <c r="G47" s="112">
        <v>15737</v>
      </c>
      <c r="H47" s="111">
        <v>16872</v>
      </c>
      <c r="I47" s="112">
        <v>16630</v>
      </c>
      <c r="J47" s="111">
        <v>16380</v>
      </c>
      <c r="K47" s="112">
        <v>17145</v>
      </c>
      <c r="L47" s="111">
        <v>18224</v>
      </c>
      <c r="M47" s="112">
        <v>12757</v>
      </c>
      <c r="N47" s="111">
        <v>15050</v>
      </c>
      <c r="O47" s="112">
        <v>16668</v>
      </c>
      <c r="P47" s="111">
        <v>16833</v>
      </c>
      <c r="Q47" s="112">
        <v>16635</v>
      </c>
      <c r="R47" s="111">
        <v>15885</v>
      </c>
      <c r="S47" s="112">
        <v>15123</v>
      </c>
      <c r="T47" s="111">
        <v>14750</v>
      </c>
      <c r="U47" s="112">
        <v>17699</v>
      </c>
      <c r="V47" s="111">
        <v>16814</v>
      </c>
      <c r="W47" s="112">
        <v>17065</v>
      </c>
      <c r="X47" s="111">
        <v>17528</v>
      </c>
      <c r="Y47" s="112">
        <v>17027</v>
      </c>
      <c r="Z47" s="111">
        <v>19577</v>
      </c>
      <c r="AA47" s="112">
        <v>14941</v>
      </c>
      <c r="AB47" s="111">
        <v>16774</v>
      </c>
      <c r="AC47" s="112">
        <v>19973</v>
      </c>
      <c r="AD47" s="111">
        <v>19858</v>
      </c>
      <c r="AE47" s="112">
        <v>18329</v>
      </c>
      <c r="AF47" s="111">
        <v>17963</v>
      </c>
      <c r="AG47" s="112">
        <v>20604</v>
      </c>
      <c r="AH47" s="42">
        <v>512370</v>
      </c>
      <c r="AI47" s="67">
        <v>17079</v>
      </c>
      <c r="AJ47" s="113">
        <v>54.8</v>
      </c>
      <c r="AK47" s="114">
        <v>36.9</v>
      </c>
    </row>
    <row r="48" spans="1:37" ht="21.75" customHeight="1" x14ac:dyDescent="0.35">
      <c r="A48" s="17" t="s">
        <v>157</v>
      </c>
      <c r="B48" s="109" t="s">
        <v>155</v>
      </c>
      <c r="C48" s="110" t="s">
        <v>156</v>
      </c>
      <c r="D48" s="111">
        <v>9946</v>
      </c>
      <c r="E48" s="112">
        <v>11795</v>
      </c>
      <c r="F48" s="111">
        <v>8519</v>
      </c>
      <c r="G48" s="112">
        <v>7864</v>
      </c>
      <c r="H48" s="111">
        <v>8790</v>
      </c>
      <c r="I48" s="112">
        <v>8999</v>
      </c>
      <c r="J48" s="111">
        <v>10118</v>
      </c>
      <c r="K48" s="112">
        <v>8224</v>
      </c>
      <c r="L48" s="111">
        <v>14175</v>
      </c>
      <c r="M48" s="112">
        <v>6961</v>
      </c>
      <c r="N48" s="111">
        <v>7700</v>
      </c>
      <c r="O48" s="112">
        <v>8221</v>
      </c>
      <c r="P48" s="111">
        <v>8536</v>
      </c>
      <c r="Q48" s="112">
        <v>9739</v>
      </c>
      <c r="R48" s="111">
        <v>7507</v>
      </c>
      <c r="S48" s="112">
        <v>13270</v>
      </c>
      <c r="T48" s="111">
        <v>6713</v>
      </c>
      <c r="U48" s="112">
        <v>7609</v>
      </c>
      <c r="V48" s="111">
        <v>8269</v>
      </c>
      <c r="W48" s="112">
        <v>10084</v>
      </c>
      <c r="X48" s="111">
        <v>9273</v>
      </c>
      <c r="Y48" s="112">
        <v>9547</v>
      </c>
      <c r="Z48" s="111">
        <v>11764</v>
      </c>
      <c r="AA48" s="112">
        <v>7325</v>
      </c>
      <c r="AB48" s="111">
        <v>7736</v>
      </c>
      <c r="AC48" s="112">
        <v>7707</v>
      </c>
      <c r="AD48" s="111">
        <v>11891</v>
      </c>
      <c r="AE48" s="112">
        <v>10944</v>
      </c>
      <c r="AF48" s="111">
        <v>9624</v>
      </c>
      <c r="AG48" s="112">
        <v>14304</v>
      </c>
      <c r="AH48" s="42">
        <v>283153</v>
      </c>
      <c r="AI48" s="61">
        <v>9438</v>
      </c>
      <c r="AJ48" s="113">
        <v>42.6</v>
      </c>
      <c r="AK48" s="114">
        <v>23.4</v>
      </c>
    </row>
    <row r="49" spans="1:37" ht="21.75" customHeight="1" x14ac:dyDescent="0.35">
      <c r="A49" s="24" t="s">
        <v>160</v>
      </c>
      <c r="B49" s="109" t="s">
        <v>158</v>
      </c>
      <c r="C49" s="115" t="s">
        <v>159</v>
      </c>
      <c r="D49" s="111">
        <v>7341</v>
      </c>
      <c r="E49" s="112">
        <v>6367</v>
      </c>
      <c r="F49" s="111">
        <v>6017</v>
      </c>
      <c r="G49" s="112">
        <v>6406</v>
      </c>
      <c r="H49" s="111">
        <v>7504</v>
      </c>
      <c r="I49" s="112">
        <v>6441</v>
      </c>
      <c r="J49" s="111">
        <v>7093</v>
      </c>
      <c r="K49" s="112">
        <v>8313</v>
      </c>
      <c r="L49" s="111">
        <v>10354</v>
      </c>
      <c r="M49" s="112">
        <v>6261</v>
      </c>
      <c r="N49" s="111">
        <v>6459</v>
      </c>
      <c r="O49" s="112">
        <v>9505</v>
      </c>
      <c r="P49" s="111">
        <v>6833</v>
      </c>
      <c r="Q49" s="112">
        <v>7020</v>
      </c>
      <c r="R49" s="111">
        <v>7003</v>
      </c>
      <c r="S49" s="112">
        <v>7320</v>
      </c>
      <c r="T49" s="111">
        <v>5312</v>
      </c>
      <c r="U49" s="112">
        <v>5814</v>
      </c>
      <c r="V49" s="111">
        <v>7975</v>
      </c>
      <c r="W49" s="112">
        <v>7415</v>
      </c>
      <c r="X49" s="111">
        <v>7108</v>
      </c>
      <c r="Y49" s="112">
        <v>6493</v>
      </c>
      <c r="Z49" s="111">
        <v>7039</v>
      </c>
      <c r="AA49" s="112">
        <v>4829</v>
      </c>
      <c r="AB49" s="111">
        <v>4526</v>
      </c>
      <c r="AC49" s="112">
        <v>8197</v>
      </c>
      <c r="AD49" s="111">
        <v>10147</v>
      </c>
      <c r="AE49" s="112">
        <v>7815</v>
      </c>
      <c r="AF49" s="111">
        <v>10500</v>
      </c>
      <c r="AG49" s="112">
        <v>11112</v>
      </c>
      <c r="AH49" s="42">
        <v>220519</v>
      </c>
      <c r="AI49" s="67">
        <v>7351</v>
      </c>
      <c r="AJ49" s="113">
        <v>41.8</v>
      </c>
      <c r="AK49" s="114">
        <v>37.200000000000003</v>
      </c>
    </row>
    <row r="50" spans="1:37" ht="21.75" customHeight="1" x14ac:dyDescent="0.35">
      <c r="A50" s="17" t="s">
        <v>163</v>
      </c>
      <c r="B50" s="109" t="s">
        <v>161</v>
      </c>
      <c r="C50" s="110" t="s">
        <v>162</v>
      </c>
      <c r="D50" s="111">
        <v>15788</v>
      </c>
      <c r="E50" s="112">
        <v>17223</v>
      </c>
      <c r="F50" s="111">
        <v>16086</v>
      </c>
      <c r="G50" s="112">
        <v>17692</v>
      </c>
      <c r="H50" s="111">
        <v>16577</v>
      </c>
      <c r="I50" s="112">
        <v>13930</v>
      </c>
      <c r="J50" s="111">
        <v>16488</v>
      </c>
      <c r="K50" s="112">
        <v>13144</v>
      </c>
      <c r="L50" s="111">
        <v>19079</v>
      </c>
      <c r="M50" s="112">
        <v>13660</v>
      </c>
      <c r="N50" s="111">
        <v>12963</v>
      </c>
      <c r="O50" s="112">
        <v>15215</v>
      </c>
      <c r="P50" s="111">
        <v>15471</v>
      </c>
      <c r="Q50" s="112">
        <v>14520</v>
      </c>
      <c r="R50" s="111">
        <v>14985</v>
      </c>
      <c r="S50" s="112">
        <v>24270</v>
      </c>
      <c r="T50" s="111">
        <v>15097</v>
      </c>
      <c r="U50" s="112">
        <v>18114</v>
      </c>
      <c r="V50" s="111">
        <v>15757</v>
      </c>
      <c r="W50" s="112">
        <v>17891</v>
      </c>
      <c r="X50" s="111">
        <v>18483</v>
      </c>
      <c r="Y50" s="112">
        <v>14578</v>
      </c>
      <c r="Z50" s="111">
        <v>25731</v>
      </c>
      <c r="AA50" s="112">
        <v>19367</v>
      </c>
      <c r="AB50" s="111">
        <v>23516</v>
      </c>
      <c r="AC50" s="112">
        <v>17679</v>
      </c>
      <c r="AD50" s="111">
        <v>18733</v>
      </c>
      <c r="AE50" s="112">
        <v>15054</v>
      </c>
      <c r="AF50" s="111">
        <v>14385</v>
      </c>
      <c r="AG50" s="112">
        <v>19501</v>
      </c>
      <c r="AH50" s="42">
        <v>510977</v>
      </c>
      <c r="AI50" s="61">
        <v>17033</v>
      </c>
      <c r="AJ50" s="113">
        <v>32.9</v>
      </c>
      <c r="AK50" s="114">
        <v>22.8</v>
      </c>
    </row>
    <row r="51" spans="1:37" ht="21.75" customHeight="1" x14ac:dyDescent="0.35">
      <c r="A51" s="24" t="s">
        <v>166</v>
      </c>
      <c r="B51" s="109" t="s">
        <v>164</v>
      </c>
      <c r="C51" s="115" t="s">
        <v>165</v>
      </c>
      <c r="D51" s="111">
        <v>5910</v>
      </c>
      <c r="E51" s="112">
        <v>6245</v>
      </c>
      <c r="F51" s="111">
        <v>4328</v>
      </c>
      <c r="G51" s="112">
        <v>4636</v>
      </c>
      <c r="H51" s="111">
        <v>5925</v>
      </c>
      <c r="I51" s="112">
        <v>5644</v>
      </c>
      <c r="J51" s="111">
        <v>5219</v>
      </c>
      <c r="K51" s="112">
        <v>4579</v>
      </c>
      <c r="L51" s="111">
        <v>6784</v>
      </c>
      <c r="M51" s="112">
        <v>5688</v>
      </c>
      <c r="N51" s="111">
        <v>6410</v>
      </c>
      <c r="O51" s="112">
        <v>4576</v>
      </c>
      <c r="P51" s="111">
        <v>4911</v>
      </c>
      <c r="Q51" s="112">
        <v>5400</v>
      </c>
      <c r="R51" s="111">
        <v>5761</v>
      </c>
      <c r="S51" s="112">
        <v>6156</v>
      </c>
      <c r="T51" s="111">
        <v>5095</v>
      </c>
      <c r="U51" s="112">
        <v>6156</v>
      </c>
      <c r="V51" s="111">
        <v>5823</v>
      </c>
      <c r="W51" s="112">
        <v>5045</v>
      </c>
      <c r="X51" s="111">
        <v>5192</v>
      </c>
      <c r="Y51" s="112">
        <v>4393</v>
      </c>
      <c r="Z51" s="111">
        <v>7114</v>
      </c>
      <c r="AA51" s="112">
        <v>5069</v>
      </c>
      <c r="AB51" s="111">
        <v>5185</v>
      </c>
      <c r="AC51" s="112">
        <v>5332</v>
      </c>
      <c r="AD51" s="111">
        <v>7077</v>
      </c>
      <c r="AE51" s="112">
        <v>7357</v>
      </c>
      <c r="AF51" s="111">
        <v>5668</v>
      </c>
      <c r="AG51" s="112">
        <v>6761</v>
      </c>
      <c r="AH51" s="42">
        <v>169440</v>
      </c>
      <c r="AI51" s="67">
        <v>5648</v>
      </c>
      <c r="AJ51" s="113">
        <v>56.4</v>
      </c>
      <c r="AK51" s="114">
        <v>29.5</v>
      </c>
    </row>
    <row r="52" spans="1:37" ht="21.75" customHeight="1" x14ac:dyDescent="0.35">
      <c r="A52" s="17" t="s">
        <v>202</v>
      </c>
      <c r="B52" s="109" t="s">
        <v>167</v>
      </c>
      <c r="C52" s="110" t="s">
        <v>168</v>
      </c>
      <c r="D52" s="111"/>
      <c r="E52" s="112"/>
      <c r="F52" s="111"/>
      <c r="G52" s="112"/>
      <c r="H52" s="111"/>
      <c r="I52" s="112"/>
      <c r="J52" s="111"/>
      <c r="K52" s="112"/>
      <c r="L52" s="111"/>
      <c r="M52" s="112"/>
      <c r="N52" s="111"/>
      <c r="O52" s="112"/>
      <c r="P52" s="111"/>
      <c r="Q52" s="112"/>
      <c r="R52" s="111"/>
      <c r="S52" s="112"/>
      <c r="T52" s="111"/>
      <c r="U52" s="112"/>
      <c r="V52" s="111"/>
      <c r="W52" s="112"/>
      <c r="X52" s="111"/>
      <c r="Y52" s="112"/>
      <c r="Z52" s="111">
        <v>2813</v>
      </c>
      <c r="AA52" s="112">
        <v>8337</v>
      </c>
      <c r="AB52" s="111">
        <v>11367</v>
      </c>
      <c r="AC52" s="112">
        <v>17340</v>
      </c>
      <c r="AD52" s="111">
        <v>30671</v>
      </c>
      <c r="AE52" s="112">
        <v>24235</v>
      </c>
      <c r="AF52" s="111">
        <v>21936</v>
      </c>
      <c r="AG52" s="112">
        <v>28816</v>
      </c>
      <c r="AH52" s="42">
        <v>145515</v>
      </c>
      <c r="AI52" s="61">
        <v>18189</v>
      </c>
      <c r="AJ52" s="113">
        <v>53.6</v>
      </c>
      <c r="AK52" s="114">
        <v>38</v>
      </c>
    </row>
    <row r="53" spans="1:37" ht="21.75" customHeight="1" x14ac:dyDescent="0.35">
      <c r="A53" s="24" t="s">
        <v>169</v>
      </c>
      <c r="B53" s="109"/>
      <c r="C53" s="115"/>
      <c r="D53" s="111"/>
      <c r="E53" s="112"/>
      <c r="F53" s="111"/>
      <c r="G53" s="112"/>
      <c r="H53" s="111"/>
      <c r="I53" s="112"/>
      <c r="J53" s="111"/>
      <c r="K53" s="112"/>
      <c r="L53" s="111"/>
      <c r="M53" s="112"/>
      <c r="N53" s="111"/>
      <c r="O53" s="112"/>
      <c r="P53" s="111"/>
      <c r="Q53" s="112"/>
      <c r="R53" s="111"/>
      <c r="S53" s="112"/>
      <c r="T53" s="111"/>
      <c r="U53" s="112"/>
      <c r="V53" s="111"/>
      <c r="W53" s="112"/>
      <c r="X53" s="111"/>
      <c r="Y53" s="112"/>
      <c r="Z53" s="111"/>
      <c r="AA53" s="112"/>
      <c r="AB53" s="111"/>
      <c r="AC53" s="112"/>
      <c r="AD53" s="111"/>
      <c r="AE53" s="112"/>
      <c r="AF53" s="111"/>
      <c r="AG53" s="112"/>
      <c r="AH53" s="42"/>
      <c r="AI53" s="67"/>
      <c r="AJ53" s="113"/>
      <c r="AK53" s="114"/>
    </row>
    <row r="54" spans="1:37" ht="21.75" customHeight="1" x14ac:dyDescent="0.35">
      <c r="A54" s="17" t="s">
        <v>172</v>
      </c>
      <c r="B54" s="109" t="s">
        <v>170</v>
      </c>
      <c r="C54" s="110" t="s">
        <v>171</v>
      </c>
      <c r="D54" s="111">
        <v>23512</v>
      </c>
      <c r="E54" s="112">
        <v>26178</v>
      </c>
      <c r="F54" s="111">
        <v>26359</v>
      </c>
      <c r="G54" s="112">
        <v>30682</v>
      </c>
      <c r="H54" s="111">
        <v>26897</v>
      </c>
      <c r="I54" s="112">
        <v>20901</v>
      </c>
      <c r="J54" s="111">
        <v>29658</v>
      </c>
      <c r="K54" s="112">
        <v>26089</v>
      </c>
      <c r="L54" s="111">
        <v>33861</v>
      </c>
      <c r="M54" s="112">
        <v>24876</v>
      </c>
      <c r="N54" s="111">
        <v>26761</v>
      </c>
      <c r="O54" s="112">
        <v>26627</v>
      </c>
      <c r="P54" s="111">
        <v>17716</v>
      </c>
      <c r="Q54" s="112">
        <v>19656</v>
      </c>
      <c r="R54" s="111">
        <v>13952</v>
      </c>
      <c r="S54" s="112">
        <v>17640</v>
      </c>
      <c r="T54" s="111">
        <v>19944</v>
      </c>
      <c r="U54" s="112">
        <v>6002</v>
      </c>
      <c r="V54" s="111">
        <v>18920</v>
      </c>
      <c r="W54" s="112">
        <v>14805</v>
      </c>
      <c r="X54" s="111">
        <v>18575</v>
      </c>
      <c r="Y54" s="112">
        <v>17430</v>
      </c>
      <c r="Z54" s="111">
        <v>22185</v>
      </c>
      <c r="AA54" s="112">
        <v>28734</v>
      </c>
      <c r="AB54" s="111">
        <v>26993</v>
      </c>
      <c r="AC54" s="112">
        <v>21787</v>
      </c>
      <c r="AD54" s="111">
        <v>24988</v>
      </c>
      <c r="AE54" s="112">
        <v>20903</v>
      </c>
      <c r="AF54" s="111">
        <v>18352</v>
      </c>
      <c r="AG54" s="112">
        <v>30472</v>
      </c>
      <c r="AH54" s="42">
        <v>681456</v>
      </c>
      <c r="AI54" s="61">
        <v>22715</v>
      </c>
      <c r="AJ54" s="113">
        <v>35.6</v>
      </c>
      <c r="AK54" s="114">
        <v>29.6</v>
      </c>
    </row>
    <row r="55" spans="1:37" ht="21.75" customHeight="1" x14ac:dyDescent="0.35">
      <c r="A55" s="24" t="s">
        <v>174</v>
      </c>
      <c r="B55" s="109" t="s">
        <v>173</v>
      </c>
      <c r="C55" s="115"/>
      <c r="D55" s="111"/>
      <c r="E55" s="112"/>
      <c r="F55" s="111"/>
      <c r="G55" s="112"/>
      <c r="H55" s="111"/>
      <c r="I55" s="112"/>
      <c r="J55" s="111"/>
      <c r="K55" s="112"/>
      <c r="L55" s="111"/>
      <c r="M55" s="112"/>
      <c r="N55" s="111"/>
      <c r="O55" s="112"/>
      <c r="P55" s="111"/>
      <c r="Q55" s="112"/>
      <c r="R55" s="111"/>
      <c r="S55" s="112"/>
      <c r="T55" s="111"/>
      <c r="U55" s="112"/>
      <c r="V55" s="111"/>
      <c r="W55" s="112"/>
      <c r="X55" s="111"/>
      <c r="Y55" s="112"/>
      <c r="Z55" s="111"/>
      <c r="AA55" s="112"/>
      <c r="AB55" s="111"/>
      <c r="AC55" s="112"/>
      <c r="AD55" s="111"/>
      <c r="AE55" s="112"/>
      <c r="AF55" s="111"/>
      <c r="AG55" s="112"/>
      <c r="AH55" s="42"/>
      <c r="AI55" s="67"/>
      <c r="AJ55" s="113"/>
      <c r="AK55" s="114"/>
    </row>
    <row r="56" spans="1:37" ht="21.75" customHeight="1" x14ac:dyDescent="0.35">
      <c r="A56" s="17" t="s">
        <v>176</v>
      </c>
      <c r="B56" s="109" t="s">
        <v>175</v>
      </c>
      <c r="C56" s="110"/>
      <c r="D56" s="111"/>
      <c r="E56" s="112"/>
      <c r="F56" s="111"/>
      <c r="G56" s="112"/>
      <c r="H56" s="111"/>
      <c r="I56" s="112"/>
      <c r="J56" s="111"/>
      <c r="K56" s="112"/>
      <c r="L56" s="111"/>
      <c r="M56" s="112"/>
      <c r="N56" s="111"/>
      <c r="O56" s="112"/>
      <c r="P56" s="111"/>
      <c r="Q56" s="112"/>
      <c r="R56" s="111"/>
      <c r="S56" s="112"/>
      <c r="T56" s="111"/>
      <c r="U56" s="112"/>
      <c r="V56" s="111"/>
      <c r="W56" s="112"/>
      <c r="X56" s="111"/>
      <c r="Y56" s="112"/>
      <c r="Z56" s="111"/>
      <c r="AA56" s="112"/>
      <c r="AB56" s="111"/>
      <c r="AC56" s="112"/>
      <c r="AD56" s="111"/>
      <c r="AE56" s="112"/>
      <c r="AF56" s="111"/>
      <c r="AG56" s="112"/>
      <c r="AH56" s="42"/>
      <c r="AI56" s="61"/>
      <c r="AJ56" s="113"/>
      <c r="AK56" s="114"/>
    </row>
    <row r="57" spans="1:37" ht="21.75" customHeight="1" x14ac:dyDescent="0.35">
      <c r="A57" s="24" t="s">
        <v>178</v>
      </c>
      <c r="B57" s="109" t="s">
        <v>177</v>
      </c>
      <c r="C57" s="115"/>
      <c r="D57" s="111"/>
      <c r="E57" s="112"/>
      <c r="F57" s="111"/>
      <c r="G57" s="112"/>
      <c r="H57" s="111"/>
      <c r="I57" s="112"/>
      <c r="J57" s="111"/>
      <c r="K57" s="112"/>
      <c r="L57" s="111"/>
      <c r="M57" s="112"/>
      <c r="N57" s="111"/>
      <c r="O57" s="112"/>
      <c r="P57" s="111"/>
      <c r="Q57" s="112"/>
      <c r="R57" s="111"/>
      <c r="S57" s="112"/>
      <c r="T57" s="111"/>
      <c r="U57" s="112"/>
      <c r="V57" s="111"/>
      <c r="W57" s="112"/>
      <c r="X57" s="111"/>
      <c r="Y57" s="112"/>
      <c r="Z57" s="111"/>
      <c r="AA57" s="112"/>
      <c r="AB57" s="111"/>
      <c r="AC57" s="112"/>
      <c r="AD57" s="111"/>
      <c r="AE57" s="112"/>
      <c r="AF57" s="111"/>
      <c r="AG57" s="112"/>
      <c r="AH57" s="42"/>
      <c r="AI57" s="67"/>
      <c r="AJ57" s="113"/>
      <c r="AK57" s="114"/>
    </row>
    <row r="58" spans="1:37" ht="21.75" customHeight="1" x14ac:dyDescent="0.35">
      <c r="A58" s="17" t="s">
        <v>181</v>
      </c>
      <c r="B58" s="109" t="s">
        <v>179</v>
      </c>
      <c r="C58" s="110"/>
      <c r="D58" s="111"/>
      <c r="E58" s="112"/>
      <c r="F58" s="111"/>
      <c r="G58" s="112"/>
      <c r="H58" s="111"/>
      <c r="I58" s="112"/>
      <c r="J58" s="111"/>
      <c r="K58" s="112"/>
      <c r="L58" s="111"/>
      <c r="M58" s="112"/>
      <c r="N58" s="111"/>
      <c r="O58" s="112"/>
      <c r="P58" s="111"/>
      <c r="Q58" s="112"/>
      <c r="R58" s="111"/>
      <c r="S58" s="112"/>
      <c r="T58" s="111"/>
      <c r="U58" s="112"/>
      <c r="V58" s="111"/>
      <c r="W58" s="112"/>
      <c r="X58" s="111"/>
      <c r="Y58" s="112"/>
      <c r="Z58" s="111"/>
      <c r="AA58" s="112"/>
      <c r="AB58" s="111"/>
      <c r="AC58" s="112"/>
      <c r="AD58" s="111"/>
      <c r="AE58" s="112"/>
      <c r="AF58" s="111"/>
      <c r="AG58" s="112"/>
      <c r="AH58" s="42"/>
      <c r="AI58" s="61"/>
      <c r="AJ58" s="113"/>
      <c r="AK58" s="114"/>
    </row>
    <row r="59" spans="1:37" ht="21.75" customHeight="1" x14ac:dyDescent="0.35">
      <c r="A59" s="24" t="s">
        <v>183</v>
      </c>
      <c r="B59" s="109" t="s">
        <v>182</v>
      </c>
      <c r="C59" s="115"/>
      <c r="D59" s="111"/>
      <c r="E59" s="112"/>
      <c r="F59" s="111"/>
      <c r="G59" s="112"/>
      <c r="H59" s="111"/>
      <c r="I59" s="112"/>
      <c r="J59" s="111"/>
      <c r="K59" s="112"/>
      <c r="L59" s="111"/>
      <c r="M59" s="112"/>
      <c r="N59" s="111"/>
      <c r="O59" s="112"/>
      <c r="P59" s="111"/>
      <c r="Q59" s="112"/>
      <c r="R59" s="111"/>
      <c r="S59" s="112"/>
      <c r="T59" s="111"/>
      <c r="U59" s="112"/>
      <c r="V59" s="111"/>
      <c r="W59" s="112"/>
      <c r="X59" s="111"/>
      <c r="Y59" s="112"/>
      <c r="Z59" s="111"/>
      <c r="AA59" s="112"/>
      <c r="AB59" s="111"/>
      <c r="AC59" s="112"/>
      <c r="AD59" s="111"/>
      <c r="AE59" s="112"/>
      <c r="AF59" s="111"/>
      <c r="AG59" s="112"/>
      <c r="AH59" s="42"/>
      <c r="AI59" s="67"/>
      <c r="AJ59" s="113"/>
      <c r="AK59" s="114"/>
    </row>
    <row r="60" spans="1:37" ht="21.75" customHeight="1" x14ac:dyDescent="0.35">
      <c r="A60" s="17" t="s">
        <v>214</v>
      </c>
      <c r="B60" s="109" t="s">
        <v>184</v>
      </c>
      <c r="C60" s="110"/>
      <c r="D60" s="111"/>
      <c r="E60" s="112"/>
      <c r="F60" s="111"/>
      <c r="G60" s="112"/>
      <c r="H60" s="111"/>
      <c r="I60" s="112"/>
      <c r="J60" s="111"/>
      <c r="K60" s="112"/>
      <c r="L60" s="111"/>
      <c r="M60" s="112"/>
      <c r="N60" s="111"/>
      <c r="O60" s="112"/>
      <c r="P60" s="111"/>
      <c r="Q60" s="112"/>
      <c r="R60" s="111"/>
      <c r="S60" s="112"/>
      <c r="T60" s="111"/>
      <c r="U60" s="112"/>
      <c r="V60" s="111"/>
      <c r="W60" s="112"/>
      <c r="X60" s="111"/>
      <c r="Y60" s="112"/>
      <c r="Z60" s="111"/>
      <c r="AA60" s="112"/>
      <c r="AB60" s="111"/>
      <c r="AC60" s="112"/>
      <c r="AD60" s="111"/>
      <c r="AE60" s="112"/>
      <c r="AF60" s="111"/>
      <c r="AG60" s="112"/>
      <c r="AH60" s="42"/>
      <c r="AI60" s="61"/>
      <c r="AJ60" s="113"/>
      <c r="AK60" s="114"/>
    </row>
    <row r="61" spans="1:37" ht="30" customHeight="1" x14ac:dyDescent="0.35">
      <c r="A61" s="44"/>
      <c r="B61" s="116" t="s">
        <v>203</v>
      </c>
      <c r="C61" s="44"/>
      <c r="D61" s="117">
        <f t="shared" ref="D61:AG61" si="0">SUM(D6:D60)</f>
        <v>1567177</v>
      </c>
      <c r="E61" s="117">
        <f t="shared" si="0"/>
        <v>1595925</v>
      </c>
      <c r="F61" s="117">
        <f t="shared" si="0"/>
        <v>1323811</v>
      </c>
      <c r="G61" s="117">
        <f t="shared" si="0"/>
        <v>1428478</v>
      </c>
      <c r="H61" s="117">
        <f t="shared" si="0"/>
        <v>1447364</v>
      </c>
      <c r="I61" s="117">
        <f t="shared" si="0"/>
        <v>1419866</v>
      </c>
      <c r="J61" s="117">
        <f t="shared" si="0"/>
        <v>1416809</v>
      </c>
      <c r="K61" s="117">
        <f t="shared" si="0"/>
        <v>1450660</v>
      </c>
      <c r="L61" s="117">
        <f t="shared" si="0"/>
        <v>1660459</v>
      </c>
      <c r="M61" s="117">
        <f t="shared" si="0"/>
        <v>1315834</v>
      </c>
      <c r="N61" s="117">
        <f t="shared" si="0"/>
        <v>1422801</v>
      </c>
      <c r="O61" s="117">
        <f t="shared" si="0"/>
        <v>1384358</v>
      </c>
      <c r="P61" s="117">
        <f t="shared" si="0"/>
        <v>1348832</v>
      </c>
      <c r="Q61" s="117">
        <f t="shared" si="0"/>
        <v>1327447</v>
      </c>
      <c r="R61" s="117">
        <f t="shared" si="0"/>
        <v>1362247</v>
      </c>
      <c r="S61" s="117">
        <f t="shared" si="0"/>
        <v>1463807</v>
      </c>
      <c r="T61" s="117">
        <f t="shared" si="0"/>
        <v>1206642</v>
      </c>
      <c r="U61" s="117">
        <f t="shared" si="0"/>
        <v>1287770</v>
      </c>
      <c r="V61" s="117">
        <f t="shared" si="0"/>
        <v>1321728</v>
      </c>
      <c r="W61" s="117">
        <f t="shared" si="0"/>
        <v>1327472</v>
      </c>
      <c r="X61" s="117">
        <f t="shared" si="0"/>
        <v>1372116</v>
      </c>
      <c r="Y61" s="117">
        <f t="shared" si="0"/>
        <v>1364361</v>
      </c>
      <c r="Z61" s="117">
        <f t="shared" si="0"/>
        <v>1652912</v>
      </c>
      <c r="AA61" s="117">
        <f t="shared" si="0"/>
        <v>1274436</v>
      </c>
      <c r="AB61" s="117">
        <f t="shared" si="0"/>
        <v>1350255</v>
      </c>
      <c r="AC61" s="117">
        <f t="shared" si="0"/>
        <v>1416797</v>
      </c>
      <c r="AD61" s="117">
        <f t="shared" si="0"/>
        <v>1763491</v>
      </c>
      <c r="AE61" s="117">
        <f t="shared" si="0"/>
        <v>1469830</v>
      </c>
      <c r="AF61" s="117">
        <f t="shared" si="0"/>
        <v>1455767</v>
      </c>
      <c r="AG61" s="117">
        <f t="shared" si="0"/>
        <v>1716436</v>
      </c>
      <c r="AH61" s="76">
        <v>42915882</v>
      </c>
    </row>
  </sheetData>
  <mergeCells count="2">
    <mergeCell ref="A2:AK2"/>
    <mergeCell ref="A3:AK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30"/>
  <sheetViews>
    <sheetView rightToLeft="1" zoomScale="85" zoomScaleNormal="85" workbookViewId="0">
      <pane ySplit="5" topLeftCell="A24" activePane="bottomLeft" state="frozen"/>
      <selection pane="bottomLeft"/>
    </sheetView>
  </sheetViews>
  <sheetFormatPr defaultColWidth="8.6328125" defaultRowHeight="14.5" x14ac:dyDescent="0.35"/>
  <cols>
    <col min="1" max="1" width="28" customWidth="1"/>
    <col min="2" max="2" width="13" customWidth="1"/>
    <col min="3" max="3" width="9" customWidth="1"/>
    <col min="4" max="4" width="14" customWidth="1"/>
    <col min="5" max="16" width="8" customWidth="1"/>
    <col min="17" max="17" width="13" customWidth="1"/>
    <col min="18" max="18" width="11" customWidth="1"/>
    <col min="19" max="19" width="13" customWidth="1"/>
    <col min="20" max="20" width="10" customWidth="1"/>
    <col min="21" max="21" width="24" customWidth="1"/>
  </cols>
  <sheetData>
    <row r="1" spans="1:21" ht="4.5" customHeight="1" x14ac:dyDescent="0.35"/>
    <row r="2" spans="1:21" ht="54" customHeight="1" x14ac:dyDescent="0.35">
      <c r="A2" s="236" t="s">
        <v>308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  <c r="U2" s="236"/>
    </row>
    <row r="3" spans="1:21" ht="21.75" customHeight="1" x14ac:dyDescent="0.35">
      <c r="A3" s="10" t="s">
        <v>309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pans="1:21" ht="4.5" customHeight="1" x14ac:dyDescent="0.35"/>
    <row r="5" spans="1:21" ht="30" customHeight="1" x14ac:dyDescent="0.35">
      <c r="A5" s="25" t="s">
        <v>248</v>
      </c>
      <c r="B5" s="25" t="s">
        <v>250</v>
      </c>
      <c r="C5" s="25" t="s">
        <v>249</v>
      </c>
      <c r="D5" s="25" t="s">
        <v>310</v>
      </c>
      <c r="E5" s="29" t="s">
        <v>251</v>
      </c>
      <c r="F5" s="30" t="s">
        <v>252</v>
      </c>
      <c r="G5" s="29" t="s">
        <v>253</v>
      </c>
      <c r="H5" s="30" t="s">
        <v>311</v>
      </c>
      <c r="I5" s="29" t="s">
        <v>312</v>
      </c>
      <c r="J5" s="30" t="s">
        <v>313</v>
      </c>
      <c r="K5" s="29" t="s">
        <v>314</v>
      </c>
      <c r="L5" s="30" t="s">
        <v>315</v>
      </c>
      <c r="M5" s="29" t="s">
        <v>316</v>
      </c>
      <c r="N5" s="30" t="s">
        <v>317</v>
      </c>
      <c r="O5" s="29" t="s">
        <v>318</v>
      </c>
      <c r="P5" s="30" t="s">
        <v>319</v>
      </c>
      <c r="Q5" s="12" t="s">
        <v>320</v>
      </c>
      <c r="R5" s="25" t="s">
        <v>321</v>
      </c>
      <c r="S5" s="25" t="s">
        <v>12</v>
      </c>
      <c r="T5" s="25" t="s">
        <v>322</v>
      </c>
      <c r="U5" s="12" t="s">
        <v>323</v>
      </c>
    </row>
    <row r="6" spans="1:21" ht="24" customHeight="1" x14ac:dyDescent="0.35">
      <c r="A6" s="238" t="s">
        <v>324</v>
      </c>
      <c r="B6" s="238"/>
      <c r="C6" s="238"/>
      <c r="D6" s="238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</row>
    <row r="7" spans="1:21" ht="39.75" customHeight="1" x14ac:dyDescent="0.35">
      <c r="A7" s="118" t="s">
        <v>325</v>
      </c>
      <c r="B7" s="119" t="s">
        <v>326</v>
      </c>
      <c r="C7" s="24" t="s">
        <v>327</v>
      </c>
      <c r="D7" s="120" t="s">
        <v>328</v>
      </c>
      <c r="E7" s="121"/>
      <c r="F7" s="122"/>
      <c r="G7" s="121"/>
      <c r="H7" s="122"/>
      <c r="I7" s="121"/>
      <c r="J7" s="122"/>
      <c r="K7" s="121"/>
      <c r="L7" s="122"/>
      <c r="M7" s="121"/>
      <c r="N7" s="122"/>
      <c r="O7" s="121"/>
      <c r="P7" s="122"/>
      <c r="Q7" s="123" t="str">
        <f>IFERROR(AVERAGEIF(E7:P7,"&gt;-999"),"")</f>
        <v/>
      </c>
      <c r="R7" s="124" t="str">
        <f>IF(Q7="","—","يُحدد لاحقاً")</f>
        <v>—</v>
      </c>
      <c r="S7" s="125" t="str">
        <f>IF(Q7="","—",IF(Q7&gt;0,"✅ نمو إيجابي",IF(Q7=0,"🟡 ثابت","🔴 انخفاض")))</f>
        <v>—</v>
      </c>
      <c r="T7" s="126" t="str">
        <f>IFERROR(IF(LOOKUP(2,1/(E7:P7&lt;&gt;""),E7:P7)&gt;IFERROR(LARGE(IF(E7:P7&lt;&gt;"",E7:P7),2),0),"↑ ارتفع","↓ انخفض"),"")</f>
        <v/>
      </c>
      <c r="U7" s="127" t="s">
        <v>329</v>
      </c>
    </row>
    <row r="8" spans="1:21" ht="39.75" customHeight="1" x14ac:dyDescent="0.35">
      <c r="A8" s="128" t="s">
        <v>330</v>
      </c>
      <c r="B8" s="119" t="s">
        <v>326</v>
      </c>
      <c r="C8" s="24" t="s">
        <v>327</v>
      </c>
      <c r="D8" s="120" t="s">
        <v>328</v>
      </c>
      <c r="E8" s="129"/>
      <c r="F8" s="130"/>
      <c r="G8" s="129"/>
      <c r="H8" s="130"/>
      <c r="I8" s="129"/>
      <c r="J8" s="130"/>
      <c r="K8" s="129"/>
      <c r="L8" s="130"/>
      <c r="M8" s="129"/>
      <c r="N8" s="130"/>
      <c r="O8" s="129"/>
      <c r="P8" s="130"/>
      <c r="Q8" s="123" t="str">
        <f>IFERROR(AVERAGEIF(E8:P8,"&gt;-999"),"")</f>
        <v/>
      </c>
      <c r="R8" s="124" t="str">
        <f>IF(Q8="","—","يُحدد لاحقاً")</f>
        <v>—</v>
      </c>
      <c r="S8" s="131" t="str">
        <f>IF(Q8="","—",IF(Q8&gt;0,"✅ نمو إيجابي",IF(Q8=0,"🟡 ثابت","🔴 انخفاض")))</f>
        <v>—</v>
      </c>
      <c r="T8" s="126" t="str">
        <f>IFERROR(IF(LOOKUP(2,1/(E8:P8&lt;&gt;""),E8:P8)&gt;IFERROR(LARGE(IF(E8:P8&lt;&gt;"",E8:P8),2),0),"↑ ارتفع","↓ انخفض"),"")</f>
        <v/>
      </c>
      <c r="U8" s="127" t="s">
        <v>329</v>
      </c>
    </row>
    <row r="9" spans="1:21" ht="39.75" customHeight="1" x14ac:dyDescent="0.35">
      <c r="A9" s="132" t="s">
        <v>331</v>
      </c>
      <c r="B9" s="119" t="s">
        <v>326</v>
      </c>
      <c r="C9" s="24" t="s">
        <v>327</v>
      </c>
      <c r="D9" s="120" t="s">
        <v>328</v>
      </c>
      <c r="E9" s="133"/>
      <c r="F9" s="134"/>
      <c r="G9" s="133"/>
      <c r="H9" s="134"/>
      <c r="I9" s="133"/>
      <c r="J9" s="134"/>
      <c r="K9" s="133"/>
      <c r="L9" s="134"/>
      <c r="M9" s="133"/>
      <c r="N9" s="134"/>
      <c r="O9" s="133"/>
      <c r="P9" s="134"/>
      <c r="Q9" s="123" t="str">
        <f>IFERROR(AVERAGEIF(E9:P9,"&gt;-999"),"")</f>
        <v/>
      </c>
      <c r="R9" s="124" t="str">
        <f>IF(Q9="","—","يُحدد لاحقاً")</f>
        <v>—</v>
      </c>
      <c r="S9" s="135" t="str">
        <f>IF(Q9="","—",IF(Q9&gt;0,"✅ نمو إيجابي",IF(Q9=0,"🟡 ثابت","🔴 انخفاض")))</f>
        <v>—</v>
      </c>
      <c r="T9" s="126" t="str">
        <f>IFERROR(IF(LOOKUP(2,1/(E9:P9&lt;&gt;""),E9:P9)&gt;IFERROR(LARGE(IF(E9:P9&lt;&gt;"",E9:P9),2),0),"↑ ارتفع","↓ انخفض"),"")</f>
        <v/>
      </c>
      <c r="U9" s="127" t="s">
        <v>329</v>
      </c>
    </row>
    <row r="10" spans="1:21" ht="39.75" customHeight="1" x14ac:dyDescent="0.35">
      <c r="A10" s="136" t="s">
        <v>332</v>
      </c>
      <c r="B10" s="119" t="s">
        <v>326</v>
      </c>
      <c r="C10" s="24" t="s">
        <v>327</v>
      </c>
      <c r="D10" s="120" t="s">
        <v>328</v>
      </c>
      <c r="E10" s="137"/>
      <c r="F10" s="138"/>
      <c r="G10" s="137"/>
      <c r="H10" s="138"/>
      <c r="I10" s="137"/>
      <c r="J10" s="138"/>
      <c r="K10" s="137"/>
      <c r="L10" s="138"/>
      <c r="M10" s="137"/>
      <c r="N10" s="138"/>
      <c r="O10" s="137"/>
      <c r="P10" s="138"/>
      <c r="Q10" s="123" t="str">
        <f>IFERROR(AVERAGEIF(E10:P10,"&gt;-999"),"")</f>
        <v/>
      </c>
      <c r="R10" s="139" t="str">
        <f>IF(Q10="","—","يُحدد لاحقاً")</f>
        <v>—</v>
      </c>
      <c r="S10" s="140" t="str">
        <f>IF(Q10="","—",IF(Q10&gt;0,"✅ نمو إيجابي",IF(Q10=0,"🟡 ثابت","🔴 انخفاض")))</f>
        <v>—</v>
      </c>
      <c r="T10" s="126" t="str">
        <f>IFERROR(IF(LOOKUP(2,1/(E10:P10&lt;&gt;""),E10:P10)&gt;IFERROR(LARGE(IF(E10:P10&lt;&gt;"",E10:P10),2),0),"↑ ارتفع","↓ انخفض"),"")</f>
        <v/>
      </c>
      <c r="U10" s="127" t="s">
        <v>329</v>
      </c>
    </row>
    <row r="11" spans="1:21" ht="39.75" customHeight="1" x14ac:dyDescent="0.35">
      <c r="A11" s="141" t="s">
        <v>333</v>
      </c>
      <c r="B11" s="142"/>
      <c r="C11" s="142"/>
      <c r="D11" s="142"/>
      <c r="E11" s="142"/>
      <c r="F11" s="142"/>
      <c r="G11" s="142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</row>
    <row r="12" spans="1:21" ht="24" customHeight="1" x14ac:dyDescent="0.35">
      <c r="A12" s="239" t="s">
        <v>334</v>
      </c>
      <c r="B12" s="239"/>
      <c r="C12" s="239"/>
      <c r="D12" s="239"/>
      <c r="E12" s="239"/>
      <c r="F12" s="239"/>
      <c r="G12" s="239"/>
      <c r="H12" s="239"/>
      <c r="I12" s="239"/>
      <c r="J12" s="239"/>
      <c r="K12" s="239"/>
      <c r="L12" s="239"/>
      <c r="M12" s="239"/>
      <c r="N12" s="239"/>
      <c r="O12" s="239"/>
      <c r="P12" s="239"/>
      <c r="Q12" s="239"/>
      <c r="R12" s="239"/>
      <c r="S12" s="239"/>
      <c r="T12" s="239"/>
      <c r="U12" s="239"/>
    </row>
    <row r="13" spans="1:21" ht="39.75" customHeight="1" x14ac:dyDescent="0.35">
      <c r="A13" s="128" t="s">
        <v>335</v>
      </c>
      <c r="B13" s="143" t="s">
        <v>336</v>
      </c>
      <c r="C13" s="24" t="s">
        <v>337</v>
      </c>
      <c r="D13" s="120" t="s">
        <v>338</v>
      </c>
      <c r="E13" s="144"/>
      <c r="F13" s="145"/>
      <c r="G13" s="144"/>
      <c r="H13" s="145"/>
      <c r="I13" s="144"/>
      <c r="J13" s="145"/>
      <c r="K13" s="144"/>
      <c r="L13" s="145"/>
      <c r="M13" s="144"/>
      <c r="N13" s="145"/>
      <c r="O13" s="144"/>
      <c r="P13" s="145"/>
      <c r="Q13" s="146" t="str">
        <f>IFERROR(AVERAGEIF(E11:P11,"&gt;0"),"")</f>
        <v/>
      </c>
      <c r="R13" s="147">
        <f>IFERROR(Q11-(97),"")</f>
        <v>-97</v>
      </c>
      <c r="S13" s="148" t="str">
        <f>IF(Q11="","—",IF(Q11&gt;=97,"✅ محقق",IF(Q11&gt;=87.3,"🟡 قريب","🔴 تحت الهدف")))</f>
        <v>—</v>
      </c>
      <c r="T13" s="149" t="str">
        <f>IFERROR(IF(LOOKUP(2,1/(E11:P11&lt;&gt;""),E11:P11)&gt;IFERROR(LARGE(IF(E11:P11&lt;&gt;"",E11:P11),2),0),"↑ ارتفع","↓ انخفض"),"")</f>
        <v/>
      </c>
      <c r="U13" s="127" t="s">
        <v>339</v>
      </c>
    </row>
    <row r="14" spans="1:21" ht="24" customHeight="1" x14ac:dyDescent="0.35">
      <c r="A14" s="240" t="s">
        <v>340</v>
      </c>
      <c r="B14" s="240"/>
      <c r="C14" s="240"/>
      <c r="D14" s="240"/>
      <c r="E14" s="240"/>
      <c r="F14" s="240"/>
      <c r="G14" s="240"/>
      <c r="H14" s="240"/>
      <c r="I14" s="240"/>
      <c r="J14" s="240"/>
      <c r="K14" s="240"/>
      <c r="L14" s="240"/>
      <c r="M14" s="240"/>
      <c r="N14" s="240"/>
      <c r="O14" s="240"/>
      <c r="P14" s="240"/>
      <c r="Q14" s="240"/>
      <c r="R14" s="240"/>
      <c r="S14" s="240"/>
      <c r="T14" s="240"/>
      <c r="U14" s="240"/>
    </row>
    <row r="15" spans="1:21" ht="39.75" customHeight="1" x14ac:dyDescent="0.35">
      <c r="A15" s="150" t="s">
        <v>341</v>
      </c>
      <c r="B15" s="143" t="s">
        <v>342</v>
      </c>
      <c r="C15" s="24" t="s">
        <v>343</v>
      </c>
      <c r="D15" s="120" t="s">
        <v>344</v>
      </c>
      <c r="E15" s="144"/>
      <c r="F15" s="145"/>
      <c r="G15" s="144"/>
      <c r="H15" s="145"/>
      <c r="I15" s="144"/>
      <c r="J15" s="145"/>
      <c r="K15" s="144"/>
      <c r="L15" s="145"/>
      <c r="M15" s="144"/>
      <c r="N15" s="145"/>
      <c r="O15" s="144"/>
      <c r="P15" s="145"/>
      <c r="Q15" s="146" t="str">
        <f>IFERROR(AVERAGEIF(E13:P13,"&gt;0"),"")</f>
        <v/>
      </c>
      <c r="R15" s="151" t="s">
        <v>345</v>
      </c>
      <c r="S15" s="148" t="str">
        <f>IF(Q13="","—","📊 راجع")</f>
        <v>—</v>
      </c>
      <c r="T15" s="149" t="str">
        <f>IFERROR(IF(LOOKUP(2,1/(E13:P13&lt;&gt;""),E13:P13)&gt;IFERROR(LARGE(IF(E13:P13&lt;&gt;"",E13:P13),2),0),"↑ ارتفع","↓ انخفض"),"")</f>
        <v/>
      </c>
      <c r="U15" s="127" t="s">
        <v>346</v>
      </c>
    </row>
    <row r="16" spans="1:21" ht="24" customHeight="1" x14ac:dyDescent="0.35">
      <c r="A16" s="241" t="s">
        <v>347</v>
      </c>
      <c r="B16" s="241"/>
      <c r="C16" s="241"/>
      <c r="D16" s="241"/>
      <c r="E16" s="241"/>
      <c r="F16" s="241"/>
      <c r="G16" s="241"/>
      <c r="H16" s="241"/>
      <c r="I16" s="241"/>
      <c r="J16" s="241"/>
      <c r="K16" s="241"/>
      <c r="L16" s="241"/>
      <c r="M16" s="241"/>
      <c r="N16" s="241"/>
      <c r="O16" s="241"/>
      <c r="P16" s="241"/>
      <c r="Q16" s="241"/>
      <c r="R16" s="241"/>
      <c r="S16" s="241"/>
      <c r="T16" s="241"/>
      <c r="U16" s="241"/>
    </row>
    <row r="17" spans="1:21" ht="39.75" customHeight="1" x14ac:dyDescent="0.35">
      <c r="A17" s="152" t="s">
        <v>348</v>
      </c>
      <c r="B17" s="143" t="s">
        <v>349</v>
      </c>
      <c r="C17" s="24" t="s">
        <v>337</v>
      </c>
      <c r="D17" s="120" t="s">
        <v>338</v>
      </c>
      <c r="E17" s="144"/>
      <c r="F17" s="145"/>
      <c r="G17" s="144"/>
      <c r="H17" s="145"/>
      <c r="I17" s="144"/>
      <c r="J17" s="145"/>
      <c r="K17" s="144"/>
      <c r="L17" s="145"/>
      <c r="M17" s="144"/>
      <c r="N17" s="145"/>
      <c r="O17" s="144"/>
      <c r="P17" s="145"/>
      <c r="Q17" s="146" t="str">
        <f>IFERROR(AVERAGEIF(E15:P15,"&gt;0"),"")</f>
        <v/>
      </c>
      <c r="R17" s="147" t="str">
        <f>IFERROR(Q15-(95),"")</f>
        <v/>
      </c>
      <c r="S17" s="148" t="str">
        <f>IF(Q15="","—",IF(Q15&gt;=95,"✅ محقق",IF(Q15&gt;=85.5,"🟡 قريب","🔴 تحت الهدف")))</f>
        <v>—</v>
      </c>
      <c r="T17" s="149" t="str">
        <f>IFERROR(IF(LOOKUP(2,1/(E15:P15&lt;&gt;""),E15:P15)&gt;IFERROR(LARGE(IF(E15:P15&lt;&gt;"",E15:P15),2),0),"↑ ارتفع","↓ انخفض"),"")</f>
        <v/>
      </c>
      <c r="U17" s="127" t="s">
        <v>350</v>
      </c>
    </row>
    <row r="18" spans="1:21" ht="39.75" customHeight="1" x14ac:dyDescent="0.35">
      <c r="A18" s="153" t="s">
        <v>351</v>
      </c>
      <c r="B18" s="154"/>
      <c r="C18" s="154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</row>
    <row r="19" spans="1:21" ht="39.75" customHeight="1" x14ac:dyDescent="0.35">
      <c r="A19" s="118" t="s">
        <v>352</v>
      </c>
      <c r="B19" s="143" t="s">
        <v>353</v>
      </c>
      <c r="C19" s="24" t="s">
        <v>337</v>
      </c>
      <c r="D19" s="120" t="s">
        <v>354</v>
      </c>
      <c r="E19" s="144"/>
      <c r="F19" s="145"/>
      <c r="G19" s="144"/>
      <c r="H19" s="145"/>
      <c r="I19" s="144"/>
      <c r="J19" s="145"/>
      <c r="K19" s="144"/>
      <c r="L19" s="145"/>
      <c r="M19" s="144"/>
      <c r="N19" s="145"/>
      <c r="O19" s="144"/>
      <c r="P19" s="145"/>
      <c r="Q19" s="146" t="str">
        <f>IFERROR(LOOKUP(2,1/(E17:P17&lt;&gt;""),E17:P17),"")</f>
        <v/>
      </c>
      <c r="R19" s="147" t="str">
        <f>IFERROR(Q17-(-30),"")</f>
        <v/>
      </c>
      <c r="S19" s="148" t="str">
        <f>IF(Q17="","—",IF(Q17&lt;=-30,"✅ محقق",IF(Q17&lt;=34.5,"🟡 قريب","🔴 فوق الهدف")))</f>
        <v>—</v>
      </c>
      <c r="T19" s="149" t="str">
        <f>IFERROR(IF(LOOKUP(2,1/(E17:P17&lt;&gt;""),E17:P17)&gt;IFERROR(LARGE(IF(E17:P17&lt;&gt;"",E17:P17),2),0),"↑ ارتفع","↓ انخفض"),"")</f>
        <v/>
      </c>
      <c r="U19" s="127" t="s">
        <v>355</v>
      </c>
    </row>
    <row r="20" spans="1:21" ht="39.75" customHeight="1" x14ac:dyDescent="0.35">
      <c r="A20" s="118" t="s">
        <v>356</v>
      </c>
      <c r="B20" s="143" t="s">
        <v>357</v>
      </c>
      <c r="C20" s="24" t="s">
        <v>358</v>
      </c>
      <c r="D20" s="120" t="s">
        <v>359</v>
      </c>
      <c r="E20" s="144"/>
      <c r="F20" s="145"/>
      <c r="G20" s="144"/>
      <c r="H20" s="145"/>
      <c r="I20" s="144"/>
      <c r="J20" s="145"/>
      <c r="K20" s="144"/>
      <c r="L20" s="145"/>
      <c r="M20" s="144"/>
      <c r="N20" s="145"/>
      <c r="O20" s="144"/>
      <c r="P20" s="145"/>
      <c r="Q20" s="146" t="str">
        <f>IFERROR(AVERAGEIF(E18:P18,"&gt;0"),"")</f>
        <v/>
      </c>
      <c r="R20" s="147">
        <f>IFERROR(Q18-(4.5),"")</f>
        <v>-4.5</v>
      </c>
      <c r="S20" s="148" t="str">
        <f>IF(Q18="","—",IF(Q18&gt;=4.5,"✅ محقق",IF(Q18&gt;=4.05,"🟡 قريب","🔴 تحت الهدف")))</f>
        <v>—</v>
      </c>
      <c r="T20" s="149" t="str">
        <f>IFERROR(IF(LOOKUP(2,1/(E18:P18&lt;&gt;""),E18:P18)&gt;IFERROR(LARGE(IF(E18:P18&lt;&gt;"",E18:P18),2),0),"↑ ارتفع","↓ انخفض"),"")</f>
        <v/>
      </c>
      <c r="U20" s="127" t="s">
        <v>360</v>
      </c>
    </row>
    <row r="21" spans="1:21" ht="39.75" customHeight="1" x14ac:dyDescent="0.35">
      <c r="A21" s="118" t="s">
        <v>361</v>
      </c>
      <c r="B21" s="143" t="s">
        <v>362</v>
      </c>
      <c r="C21" s="24" t="s">
        <v>363</v>
      </c>
      <c r="D21" s="120" t="s">
        <v>364</v>
      </c>
      <c r="E21" s="144"/>
      <c r="F21" s="145"/>
      <c r="G21" s="144"/>
      <c r="H21" s="145"/>
      <c r="I21" s="144"/>
      <c r="J21" s="145"/>
      <c r="K21" s="144"/>
      <c r="L21" s="145"/>
      <c r="M21" s="144"/>
      <c r="N21" s="145"/>
      <c r="O21" s="144"/>
      <c r="P21" s="145"/>
      <c r="Q21" s="146" t="str">
        <f>IFERROR(AVERAGEIF(E19:P19,"&gt;0"),"")</f>
        <v/>
      </c>
      <c r="R21" s="147" t="str">
        <f>IFERROR(Q19-(3),"")</f>
        <v/>
      </c>
      <c r="S21" s="148" t="str">
        <f>IF(Q19="","—",IF(Q19&lt;=3,"✅ محقق",IF(Q19&lt;=3.45,"🟡 قريب","🔴 فوق الهدف")))</f>
        <v>—</v>
      </c>
      <c r="T21" s="149" t="str">
        <f>IFERROR(IF(LOOKUP(2,1/(E19:P19&lt;&gt;""),E19:P19)&gt;IFERROR(LARGE(IF(E19:P19&lt;&gt;"",E19:P19),2),0),"↑ ارتفع","↓ انخفض"),"")</f>
        <v/>
      </c>
      <c r="U21" s="127" t="s">
        <v>365</v>
      </c>
    </row>
    <row r="22" spans="1:21" ht="39.75" customHeight="1" x14ac:dyDescent="0.35">
      <c r="A22" s="118" t="s">
        <v>366</v>
      </c>
      <c r="B22" s="143" t="s">
        <v>367</v>
      </c>
      <c r="C22" s="24" t="s">
        <v>337</v>
      </c>
      <c r="D22" s="120" t="s">
        <v>368</v>
      </c>
      <c r="E22" s="144"/>
      <c r="F22" s="145"/>
      <c r="G22" s="144"/>
      <c r="H22" s="145"/>
      <c r="I22" s="144"/>
      <c r="J22" s="145"/>
      <c r="K22" s="144"/>
      <c r="L22" s="145"/>
      <c r="M22" s="144"/>
      <c r="N22" s="145"/>
      <c r="O22" s="144"/>
      <c r="P22" s="145"/>
      <c r="Q22" s="146" t="str">
        <f>IFERROR(AVERAGEIF(E20:P20,"&gt;0"),"")</f>
        <v/>
      </c>
      <c r="R22" s="147" t="str">
        <f>IFERROR(Q20-(99),"")</f>
        <v/>
      </c>
      <c r="S22" s="148" t="str">
        <f>IF(Q20="","—",IF(Q20&gt;=99,"✅ محقق",IF(Q20&gt;=89.1,"🟡 قريب","🔴 تحت الهدف")))</f>
        <v>—</v>
      </c>
      <c r="T22" s="149" t="str">
        <f>IFERROR(IF(LOOKUP(2,1/(E20:P20&lt;&gt;""),E20:P20)&gt;IFERROR(LARGE(IF(E20:P20&lt;&gt;"",E20:P20),2),0),"↑ ارتفع","↓ انخفض"),"")</f>
        <v/>
      </c>
      <c r="U22" s="127" t="s">
        <v>369</v>
      </c>
    </row>
    <row r="23" spans="1:21" ht="24" customHeight="1" x14ac:dyDescent="0.35">
      <c r="A23" s="242" t="s">
        <v>370</v>
      </c>
      <c r="B23" s="242"/>
      <c r="C23" s="242"/>
      <c r="D23" s="242"/>
      <c r="E23" s="242"/>
      <c r="F23" s="242"/>
      <c r="G23" s="242"/>
      <c r="H23" s="242"/>
      <c r="I23" s="242"/>
      <c r="J23" s="242"/>
      <c r="K23" s="242"/>
      <c r="L23" s="242"/>
      <c r="M23" s="242"/>
      <c r="N23" s="242"/>
      <c r="O23" s="242"/>
      <c r="P23" s="242"/>
      <c r="Q23" s="242"/>
      <c r="R23" s="242"/>
      <c r="S23" s="242"/>
      <c r="T23" s="242"/>
      <c r="U23" s="242"/>
    </row>
    <row r="24" spans="1:21" ht="39.75" customHeight="1" x14ac:dyDescent="0.35">
      <c r="A24" s="118" t="s">
        <v>371</v>
      </c>
      <c r="B24" s="143" t="s">
        <v>372</v>
      </c>
      <c r="C24" s="24" t="s">
        <v>337</v>
      </c>
      <c r="D24" s="120" t="s">
        <v>373</v>
      </c>
      <c r="E24" s="144"/>
      <c r="F24" s="145"/>
      <c r="G24" s="144"/>
      <c r="H24" s="145"/>
      <c r="I24" s="144"/>
      <c r="J24" s="145"/>
      <c r="K24" s="144"/>
      <c r="L24" s="145"/>
      <c r="M24" s="144"/>
      <c r="N24" s="145"/>
      <c r="O24" s="144"/>
      <c r="P24" s="145"/>
      <c r="Q24" s="146" t="str">
        <f>IFERROR(AVERAGEIF(E22:P22,"&gt;0"),"")</f>
        <v/>
      </c>
      <c r="R24" s="147" t="str">
        <f>IFERROR(Q22-(80),"")</f>
        <v/>
      </c>
      <c r="S24" s="148" t="str">
        <f>IF(Q22="","—",IF(Q22&gt;=80,"✅ محقق",IF(Q22&gt;=72,"🟡 قريب","🔴 تحت الهدف")))</f>
        <v>—</v>
      </c>
      <c r="T24" s="149" t="str">
        <f>IFERROR(IF(LOOKUP(2,1/(E22:P22&lt;&gt;""),E22:P22)&gt;IFERROR(LARGE(IF(E22:P22&lt;&gt;"",E22:P22),2),0),"↑ ارتفع","↓ انخفض"),"")</f>
        <v/>
      </c>
      <c r="U24" s="127" t="s">
        <v>374</v>
      </c>
    </row>
    <row r="25" spans="1:21" ht="24" customHeight="1" x14ac:dyDescent="0.35">
      <c r="A25" s="243" t="s">
        <v>375</v>
      </c>
      <c r="B25" s="243"/>
      <c r="C25" s="243"/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243"/>
      <c r="P25" s="243"/>
      <c r="Q25" s="243"/>
      <c r="R25" s="243"/>
      <c r="S25" s="243"/>
      <c r="T25" s="243"/>
      <c r="U25" s="243"/>
    </row>
    <row r="26" spans="1:21" ht="39.75" customHeight="1" x14ac:dyDescent="0.35">
      <c r="A26" s="155" t="s">
        <v>376</v>
      </c>
      <c r="B26" s="143" t="s">
        <v>377</v>
      </c>
      <c r="C26" s="24" t="s">
        <v>337</v>
      </c>
      <c r="D26" s="120" t="s">
        <v>378</v>
      </c>
      <c r="E26" s="144"/>
      <c r="F26" s="145"/>
      <c r="G26" s="144"/>
      <c r="H26" s="145"/>
      <c r="I26" s="144"/>
      <c r="J26" s="145"/>
      <c r="K26" s="144"/>
      <c r="L26" s="145"/>
      <c r="M26" s="144"/>
      <c r="N26" s="145"/>
      <c r="O26" s="144"/>
      <c r="P26" s="145"/>
      <c r="Q26" s="146" t="str">
        <f>IFERROR(AVERAGEIF(E24:P24,"&gt;0"),"")</f>
        <v/>
      </c>
      <c r="R26" s="147" t="str">
        <f>IFERROR(Q24-(100),"")</f>
        <v/>
      </c>
      <c r="S26" s="148" t="str">
        <f>IF(Q24="","—",IF(Q24&gt;=100,"✅ محقق",IF(Q24&gt;=90,"🟡 قريب","🔴 تحت الهدف")))</f>
        <v>—</v>
      </c>
      <c r="T26" s="149" t="str">
        <f>IFERROR(IF(LOOKUP(2,1/(E24:P24&lt;&gt;""),E24:P24)&gt;IFERROR(LARGE(IF(E24:P24&lt;&gt;"",E24:P24),2),0),"↑ ارتفع","↓ انخفض"),"")</f>
        <v/>
      </c>
      <c r="U26" s="127" t="s">
        <v>379</v>
      </c>
    </row>
    <row r="27" spans="1:21" ht="39.75" customHeight="1" x14ac:dyDescent="0.35">
      <c r="A27" s="156" t="s">
        <v>380</v>
      </c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</row>
    <row r="28" spans="1:21" ht="24" customHeight="1" x14ac:dyDescent="0.35">
      <c r="A28" s="244" t="s">
        <v>381</v>
      </c>
      <c r="B28" s="244"/>
      <c r="C28" s="244"/>
      <c r="D28" s="244"/>
      <c r="E28" s="244"/>
      <c r="F28" s="244"/>
      <c r="G28" s="244"/>
      <c r="H28" s="244"/>
      <c r="I28" s="244"/>
      <c r="J28" s="244"/>
      <c r="K28" s="244"/>
      <c r="L28" s="244"/>
      <c r="M28" s="244"/>
      <c r="N28" s="244"/>
      <c r="O28" s="244"/>
      <c r="P28" s="244"/>
      <c r="Q28" s="244"/>
      <c r="R28" s="244"/>
      <c r="S28" s="244"/>
      <c r="T28" s="244"/>
      <c r="U28" s="244"/>
    </row>
    <row r="29" spans="1:21" ht="15" customHeight="1" x14ac:dyDescent="0.35">
      <c r="A29" s="132" t="s">
        <v>382</v>
      </c>
      <c r="B29" s="143" t="s">
        <v>377</v>
      </c>
      <c r="C29" s="24" t="s">
        <v>337</v>
      </c>
      <c r="D29" s="120" t="s">
        <v>383</v>
      </c>
      <c r="E29" s="144"/>
      <c r="F29" s="145"/>
      <c r="G29" s="144"/>
      <c r="H29" s="145"/>
      <c r="I29" s="144"/>
      <c r="J29" s="145"/>
      <c r="K29" s="144"/>
      <c r="L29" s="145"/>
      <c r="M29" s="144"/>
      <c r="N29" s="145"/>
      <c r="O29" s="144"/>
      <c r="P29" s="145"/>
      <c r="Q29" s="146" t="str">
        <f>IFERROR(AVERAGEIF(E27:P27,"&gt;0"),"")</f>
        <v/>
      </c>
      <c r="R29" s="147">
        <f>IFERROR(Q27-(100),"")</f>
        <v>-100</v>
      </c>
      <c r="S29" s="148" t="str">
        <f>IF(Q27="","—",IF(Q27&gt;=100,"✅ محقق",IF(Q27&gt;=90,"🟡 قريب","🔴 تحت الهدف")))</f>
        <v>—</v>
      </c>
      <c r="T29" s="149" t="str">
        <f>IFERROR(IF(LOOKUP(2,1/(E27:P27&lt;&gt;""),E27:P27)&gt;IFERROR(LARGE(IF(E27:P27&lt;&gt;"",E27:P27),2),0),"↑ ارتفع","↓ انخفض"),"")</f>
        <v/>
      </c>
      <c r="U29" s="127" t="s">
        <v>384</v>
      </c>
    </row>
    <row r="30" spans="1:21" ht="15" customHeight="1" x14ac:dyDescent="0.35">
      <c r="A30" s="158" t="s">
        <v>385</v>
      </c>
    </row>
  </sheetData>
  <mergeCells count="9">
    <mergeCell ref="A16:U16"/>
    <mergeCell ref="A23:U23"/>
    <mergeCell ref="A25:U25"/>
    <mergeCell ref="A28:U28"/>
    <mergeCell ref="A2:U2"/>
    <mergeCell ref="A3:U3"/>
    <mergeCell ref="A6:U6"/>
    <mergeCell ref="A12:U12"/>
    <mergeCell ref="A14:U1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9"/>
  <sheetViews>
    <sheetView rightToLeft="1" zoomScale="88" zoomScaleNormal="88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0" customWidth="1"/>
    <col min="2" max="2" width="13" customWidth="1"/>
    <col min="3" max="3" width="26" customWidth="1"/>
    <col min="4" max="4" width="9" customWidth="1"/>
    <col min="5" max="5" width="10" customWidth="1"/>
    <col min="6" max="6" width="7" customWidth="1"/>
    <col min="19" max="19" width="12" customWidth="1"/>
    <col min="20" max="20" width="13" customWidth="1"/>
  </cols>
  <sheetData>
    <row r="1" spans="1:20" ht="4.5" customHeight="1" x14ac:dyDescent="0.35"/>
    <row r="2" spans="1:20" ht="54" customHeight="1" x14ac:dyDescent="0.35">
      <c r="A2" s="236" t="s">
        <v>409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</row>
    <row r="3" spans="1:20" ht="21.75" customHeight="1" x14ac:dyDescent="0.35">
      <c r="A3" s="10" t="s">
        <v>410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20" ht="4.5" customHeight="1" x14ac:dyDescent="0.35"/>
    <row r="5" spans="1:20" ht="30" customHeight="1" x14ac:dyDescent="0.35">
      <c r="A5" s="12" t="s">
        <v>248</v>
      </c>
      <c r="B5" s="12" t="s">
        <v>388</v>
      </c>
      <c r="C5" s="12" t="s">
        <v>411</v>
      </c>
      <c r="D5" s="12" t="s">
        <v>249</v>
      </c>
      <c r="E5" s="12" t="s">
        <v>250</v>
      </c>
      <c r="F5" s="12" t="s">
        <v>412</v>
      </c>
      <c r="G5" s="27" t="s">
        <v>251</v>
      </c>
      <c r="H5" s="108" t="s">
        <v>252</v>
      </c>
      <c r="I5" s="27" t="s">
        <v>253</v>
      </c>
      <c r="J5" s="108" t="s">
        <v>311</v>
      </c>
      <c r="K5" s="27" t="s">
        <v>312</v>
      </c>
      <c r="L5" s="108" t="s">
        <v>313</v>
      </c>
      <c r="M5" s="27" t="s">
        <v>314</v>
      </c>
      <c r="N5" s="108" t="s">
        <v>315</v>
      </c>
      <c r="O5" s="27" t="s">
        <v>316</v>
      </c>
      <c r="P5" s="108" t="s">
        <v>317</v>
      </c>
      <c r="Q5" s="27" t="s">
        <v>318</v>
      </c>
      <c r="R5" s="108" t="s">
        <v>319</v>
      </c>
      <c r="S5" s="12" t="s">
        <v>413</v>
      </c>
      <c r="T5" s="12" t="s">
        <v>12</v>
      </c>
    </row>
    <row r="6" spans="1:20" ht="21.75" customHeight="1" x14ac:dyDescent="0.35">
      <c r="A6" s="245" t="s">
        <v>414</v>
      </c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</row>
    <row r="7" spans="1:20" ht="37.5" customHeight="1" x14ac:dyDescent="0.35">
      <c r="A7" s="163" t="s">
        <v>415</v>
      </c>
      <c r="B7" s="120" t="s">
        <v>390</v>
      </c>
      <c r="C7" s="164" t="s">
        <v>416</v>
      </c>
      <c r="D7" s="24" t="s">
        <v>363</v>
      </c>
      <c r="E7" s="143" t="s">
        <v>389</v>
      </c>
      <c r="F7" s="165" t="s">
        <v>417</v>
      </c>
      <c r="G7" s="144"/>
      <c r="H7" s="145"/>
      <c r="I7" s="144"/>
      <c r="J7" s="145"/>
      <c r="K7" s="144"/>
      <c r="L7" s="145"/>
      <c r="M7" s="144"/>
      <c r="N7" s="145"/>
      <c r="O7" s="144"/>
      <c r="P7" s="145"/>
      <c r="Q7" s="144"/>
      <c r="R7" s="145"/>
      <c r="S7" s="166" t="str">
        <f>IFERROR(AVERAGEIF(G7:R7,"&gt;0"),"")</f>
        <v/>
      </c>
      <c r="T7" s="167" t="str">
        <f>IF(S7="","—",IF(S7&lt;=0,"✅ ضمن الهدف","🔴 فوق الحد"))</f>
        <v>—</v>
      </c>
    </row>
    <row r="8" spans="1:20" ht="37.5" customHeight="1" x14ac:dyDescent="0.35">
      <c r="A8" s="163" t="s">
        <v>418</v>
      </c>
      <c r="B8" s="120" t="s">
        <v>390</v>
      </c>
      <c r="C8" s="164" t="s">
        <v>419</v>
      </c>
      <c r="D8" s="24" t="s">
        <v>420</v>
      </c>
      <c r="E8" s="143" t="s">
        <v>377</v>
      </c>
      <c r="F8" s="168" t="s">
        <v>421</v>
      </c>
      <c r="G8" s="144"/>
      <c r="H8" s="145"/>
      <c r="I8" s="144"/>
      <c r="J8" s="145"/>
      <c r="K8" s="144"/>
      <c r="L8" s="145"/>
      <c r="M8" s="144"/>
      <c r="N8" s="145"/>
      <c r="O8" s="144"/>
      <c r="P8" s="145"/>
      <c r="Q8" s="144"/>
      <c r="R8" s="145"/>
      <c r="S8" s="169" t="str">
        <f>IFERROR(AVERAGEIF(G8:R8,"&gt;0")*100,"")</f>
        <v/>
      </c>
      <c r="T8" s="167" t="str">
        <f>IF(S8="","—",IF(S8&gt;=100,"✅ محقق",IF(S8&gt;=90,"🟡 قريب","🔴 تحت الهدف")))</f>
        <v>—</v>
      </c>
    </row>
    <row r="9" spans="1:20" ht="37.5" customHeight="1" x14ac:dyDescent="0.35">
      <c r="A9" s="163" t="s">
        <v>422</v>
      </c>
      <c r="B9" s="120" t="s">
        <v>390</v>
      </c>
      <c r="C9" s="164" t="s">
        <v>423</v>
      </c>
      <c r="D9" s="24" t="s">
        <v>420</v>
      </c>
      <c r="E9" s="143" t="s">
        <v>377</v>
      </c>
      <c r="F9" s="168" t="s">
        <v>421</v>
      </c>
      <c r="G9" s="144"/>
      <c r="H9" s="145"/>
      <c r="I9" s="144"/>
      <c r="J9" s="145"/>
      <c r="K9" s="144"/>
      <c r="L9" s="145"/>
      <c r="M9" s="144"/>
      <c r="N9" s="145"/>
      <c r="O9" s="144"/>
      <c r="P9" s="145"/>
      <c r="Q9" s="144"/>
      <c r="R9" s="145"/>
      <c r="S9" s="169" t="str">
        <f>IFERROR(AVERAGEIF(G9:R9,"&gt;0")*100,"")</f>
        <v/>
      </c>
      <c r="T9" s="167" t="str">
        <f>IF(S9="","—",IF(S9&gt;=100,"✅ محقق",IF(S9&gt;=90,"🟡 قريب","🔴 تحت الهدف")))</f>
        <v>—</v>
      </c>
    </row>
    <row r="10" spans="1:20" ht="37.5" customHeight="1" x14ac:dyDescent="0.35">
      <c r="A10" s="163" t="s">
        <v>424</v>
      </c>
      <c r="B10" s="120" t="s">
        <v>390</v>
      </c>
      <c r="C10" s="164" t="s">
        <v>425</v>
      </c>
      <c r="D10" s="24" t="s">
        <v>420</v>
      </c>
      <c r="E10" s="143" t="s">
        <v>377</v>
      </c>
      <c r="F10" s="168" t="s">
        <v>421</v>
      </c>
      <c r="G10" s="144"/>
      <c r="H10" s="145"/>
      <c r="I10" s="144"/>
      <c r="J10" s="145"/>
      <c r="K10" s="144"/>
      <c r="L10" s="145"/>
      <c r="M10" s="144"/>
      <c r="N10" s="145"/>
      <c r="O10" s="144"/>
      <c r="P10" s="145"/>
      <c r="Q10" s="144"/>
      <c r="R10" s="145"/>
      <c r="S10" s="169" t="str">
        <f>IFERROR(AVERAGEIF(G10:R10,"&gt;0")*100,"")</f>
        <v/>
      </c>
      <c r="T10" s="167" t="str">
        <f>IF(S10="","—",IF(S10&gt;=100,"✅ محقق",IF(S10&gt;=90,"🟡 قريب","🔴 تحت الهدف")))</f>
        <v>—</v>
      </c>
    </row>
    <row r="11" spans="1:20" ht="21.75" customHeight="1" x14ac:dyDescent="0.35">
      <c r="A11" s="246" t="s">
        <v>426</v>
      </c>
      <c r="B11" s="246"/>
      <c r="C11" s="246"/>
      <c r="D11" s="246"/>
      <c r="E11" s="246"/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6"/>
      <c r="T11" s="246"/>
    </row>
    <row r="12" spans="1:20" ht="37.5" customHeight="1" x14ac:dyDescent="0.35">
      <c r="A12" s="170" t="s">
        <v>427</v>
      </c>
      <c r="B12" s="120" t="s">
        <v>391</v>
      </c>
      <c r="C12" s="164" t="s">
        <v>428</v>
      </c>
      <c r="D12" s="24" t="s">
        <v>420</v>
      </c>
      <c r="E12" s="143" t="s">
        <v>377</v>
      </c>
      <c r="F12" s="168" t="s">
        <v>421</v>
      </c>
      <c r="G12" s="144"/>
      <c r="H12" s="145"/>
      <c r="I12" s="144"/>
      <c r="J12" s="145"/>
      <c r="K12" s="144"/>
      <c r="L12" s="145"/>
      <c r="M12" s="144"/>
      <c r="N12" s="145"/>
      <c r="O12" s="144"/>
      <c r="P12" s="145"/>
      <c r="Q12" s="144"/>
      <c r="R12" s="145"/>
      <c r="S12" s="169" t="str">
        <f>IFERROR(AVERAGEIF(G12:R12,"&gt;0")*100,"")</f>
        <v/>
      </c>
      <c r="T12" s="171" t="str">
        <f>IF(S12="","—",IF(S12&gt;=100,"✅ محقق",IF(S12&gt;=90,"🟡 قريب","🔴 تحت الهدف")))</f>
        <v>—</v>
      </c>
    </row>
    <row r="13" spans="1:20" ht="37.5" customHeight="1" x14ac:dyDescent="0.35">
      <c r="A13" s="170" t="s">
        <v>429</v>
      </c>
      <c r="B13" s="120" t="s">
        <v>390</v>
      </c>
      <c r="C13" s="164" t="s">
        <v>430</v>
      </c>
      <c r="D13" s="24" t="s">
        <v>420</v>
      </c>
      <c r="E13" s="143" t="s">
        <v>377</v>
      </c>
      <c r="F13" s="168" t="s">
        <v>421</v>
      </c>
      <c r="G13" s="144"/>
      <c r="H13" s="145"/>
      <c r="I13" s="144"/>
      <c r="J13" s="145"/>
      <c r="K13" s="144"/>
      <c r="L13" s="145"/>
      <c r="M13" s="144"/>
      <c r="N13" s="145"/>
      <c r="O13" s="144"/>
      <c r="P13" s="145"/>
      <c r="Q13" s="144"/>
      <c r="R13" s="145"/>
      <c r="S13" s="169" t="str">
        <f>IFERROR(AVERAGEIF(G13:R13,"&gt;0")*100,"")</f>
        <v/>
      </c>
      <c r="T13" s="171" t="str">
        <f>IF(S13="","—",IF(S13&gt;=100,"✅ محقق",IF(S13&gt;=90,"🟡 قريب","🔴 تحت الهدف")))</f>
        <v>—</v>
      </c>
    </row>
    <row r="14" spans="1:20" ht="37.5" customHeight="1" x14ac:dyDescent="0.35">
      <c r="A14" s="170" t="s">
        <v>431</v>
      </c>
      <c r="B14" s="120" t="s">
        <v>393</v>
      </c>
      <c r="C14" s="164" t="s">
        <v>432</v>
      </c>
      <c r="D14" s="24" t="s">
        <v>433</v>
      </c>
      <c r="E14" s="143" t="s">
        <v>392</v>
      </c>
      <c r="F14" s="165" t="s">
        <v>417</v>
      </c>
      <c r="G14" s="144"/>
      <c r="H14" s="145"/>
      <c r="I14" s="144"/>
      <c r="J14" s="145"/>
      <c r="K14" s="144"/>
      <c r="L14" s="145"/>
      <c r="M14" s="144"/>
      <c r="N14" s="145"/>
      <c r="O14" s="144"/>
      <c r="P14" s="145"/>
      <c r="Q14" s="144"/>
      <c r="R14" s="145"/>
      <c r="S14" s="166" t="str">
        <f>IFERROR(AVERAGEIF(G14:R14,"&gt;0"),"")</f>
        <v/>
      </c>
      <c r="T14" s="171" t="str">
        <f>IF(S14="","—",IF(S14&lt;=0,"✅ ضمن الهدف","🔴 فوق الحد"))</f>
        <v>—</v>
      </c>
    </row>
    <row r="15" spans="1:20" ht="21.75" customHeight="1" x14ac:dyDescent="0.35">
      <c r="A15" s="247" t="s">
        <v>434</v>
      </c>
      <c r="B15" s="247"/>
      <c r="C15" s="247"/>
      <c r="D15" s="247"/>
      <c r="E15" s="247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247"/>
    </row>
    <row r="16" spans="1:20" ht="37.5" customHeight="1" x14ac:dyDescent="0.35">
      <c r="A16" s="172" t="s">
        <v>435</v>
      </c>
      <c r="B16" s="120" t="s">
        <v>390</v>
      </c>
      <c r="C16" s="164" t="s">
        <v>436</v>
      </c>
      <c r="D16" s="24" t="s">
        <v>420</v>
      </c>
      <c r="E16" s="143" t="s">
        <v>377</v>
      </c>
      <c r="F16" s="168" t="s">
        <v>421</v>
      </c>
      <c r="G16" s="144"/>
      <c r="H16" s="145"/>
      <c r="I16" s="144"/>
      <c r="J16" s="145"/>
      <c r="K16" s="144"/>
      <c r="L16" s="145"/>
      <c r="M16" s="144"/>
      <c r="N16" s="145"/>
      <c r="O16" s="144"/>
      <c r="P16" s="145"/>
      <c r="Q16" s="144"/>
      <c r="R16" s="145"/>
      <c r="S16" s="169" t="str">
        <f>IFERROR(AVERAGEIF(G16:R16,"&gt;0")*100,"")</f>
        <v/>
      </c>
      <c r="T16" s="173" t="str">
        <f>IF(S16="","—",IF(S16&gt;=100,"✅ محقق",IF(S16&gt;=90,"🟡 قريب","🔴 تحت الهدف")))</f>
        <v>—</v>
      </c>
    </row>
    <row r="17" spans="1:20" ht="37.5" customHeight="1" x14ac:dyDescent="0.35">
      <c r="A17" s="172" t="s">
        <v>437</v>
      </c>
      <c r="B17" s="120" t="s">
        <v>390</v>
      </c>
      <c r="C17" s="164" t="s">
        <v>438</v>
      </c>
      <c r="D17" s="24" t="s">
        <v>420</v>
      </c>
      <c r="E17" s="143" t="s">
        <v>377</v>
      </c>
      <c r="F17" s="168" t="s">
        <v>421</v>
      </c>
      <c r="G17" s="144"/>
      <c r="H17" s="145"/>
      <c r="I17" s="144"/>
      <c r="J17" s="145"/>
      <c r="K17" s="144"/>
      <c r="L17" s="145"/>
      <c r="M17" s="144"/>
      <c r="N17" s="145"/>
      <c r="O17" s="144"/>
      <c r="P17" s="145"/>
      <c r="Q17" s="144"/>
      <c r="R17" s="145"/>
      <c r="S17" s="169" t="str">
        <f>IFERROR(AVERAGEIF(G17:R17,"&gt;0")*100,"")</f>
        <v/>
      </c>
      <c r="T17" s="173" t="str">
        <f>IF(S17="","—",IF(S17&gt;=100,"✅ محقق",IF(S17&gt;=90,"🟡 قريب","🔴 تحت الهدف")))</f>
        <v>—</v>
      </c>
    </row>
    <row r="18" spans="1:20" ht="37.5" customHeight="1" x14ac:dyDescent="0.35">
      <c r="A18" s="172" t="s">
        <v>439</v>
      </c>
      <c r="B18" s="120" t="s">
        <v>394</v>
      </c>
      <c r="C18" s="164" t="s">
        <v>440</v>
      </c>
      <c r="D18" s="24" t="s">
        <v>420</v>
      </c>
      <c r="E18" s="143" t="s">
        <v>377</v>
      </c>
      <c r="F18" s="168" t="s">
        <v>421</v>
      </c>
      <c r="G18" s="144"/>
      <c r="H18" s="145"/>
      <c r="I18" s="144"/>
      <c r="J18" s="145"/>
      <c r="K18" s="144"/>
      <c r="L18" s="145"/>
      <c r="M18" s="144"/>
      <c r="N18" s="145"/>
      <c r="O18" s="144"/>
      <c r="P18" s="145"/>
      <c r="Q18" s="144"/>
      <c r="R18" s="145"/>
      <c r="S18" s="169" t="str">
        <f>IFERROR(AVERAGEIF(G18:R18,"&gt;0")*100,"")</f>
        <v/>
      </c>
      <c r="T18" s="173" t="str">
        <f>IF(S18="","—",IF(S18&gt;=100,"✅ محقق",IF(S18&gt;=90,"🟡 قريب","🔴 تحت الهدف")))</f>
        <v>—</v>
      </c>
    </row>
    <row r="19" spans="1:20" ht="21.75" customHeight="1" x14ac:dyDescent="0.35">
      <c r="A19" s="248" t="s">
        <v>441</v>
      </c>
      <c r="B19" s="248"/>
      <c r="C19" s="248"/>
      <c r="D19" s="248"/>
      <c r="E19" s="248"/>
      <c r="F19" s="248"/>
      <c r="G19" s="248"/>
      <c r="H19" s="248"/>
      <c r="I19" s="248"/>
      <c r="J19" s="248"/>
      <c r="K19" s="248"/>
      <c r="L19" s="248"/>
      <c r="M19" s="248"/>
      <c r="N19" s="248"/>
      <c r="O19" s="248"/>
      <c r="P19" s="248"/>
      <c r="Q19" s="248"/>
      <c r="R19" s="248"/>
      <c r="S19" s="248"/>
      <c r="T19" s="248"/>
    </row>
  </sheetData>
  <mergeCells count="6">
    <mergeCell ref="A19:T19"/>
    <mergeCell ref="A2:T2"/>
    <mergeCell ref="A3:T3"/>
    <mergeCell ref="A6:T6"/>
    <mergeCell ref="A11:T11"/>
    <mergeCell ref="A15:T15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24"/>
  <sheetViews>
    <sheetView rightToLeft="1" zoomScale="88" zoomScaleNormal="88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0" customWidth="1"/>
    <col min="2" max="2" width="13" customWidth="1"/>
    <col min="3" max="3" width="26" customWidth="1"/>
    <col min="4" max="4" width="9" customWidth="1"/>
    <col min="5" max="5" width="10" customWidth="1"/>
    <col min="6" max="6" width="7" customWidth="1"/>
    <col min="19" max="19" width="12" customWidth="1"/>
    <col min="20" max="20" width="13" customWidth="1"/>
  </cols>
  <sheetData>
    <row r="1" spans="1:20" ht="4.5" customHeight="1" x14ac:dyDescent="0.35"/>
    <row r="2" spans="1:20" ht="54" customHeight="1" x14ac:dyDescent="0.35">
      <c r="A2" s="236" t="s">
        <v>442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</row>
    <row r="3" spans="1:20" ht="21.75" customHeight="1" x14ac:dyDescent="0.35">
      <c r="A3" s="249" t="s">
        <v>443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</row>
    <row r="4" spans="1:20" ht="4.5" customHeight="1" x14ac:dyDescent="0.35"/>
    <row r="5" spans="1:20" ht="30" customHeight="1" x14ac:dyDescent="0.35">
      <c r="A5" s="12" t="s">
        <v>248</v>
      </c>
      <c r="B5" s="12" t="s">
        <v>388</v>
      </c>
      <c r="C5" s="12" t="s">
        <v>411</v>
      </c>
      <c r="D5" s="12" t="s">
        <v>249</v>
      </c>
      <c r="E5" s="12" t="s">
        <v>250</v>
      </c>
      <c r="F5" s="12" t="s">
        <v>412</v>
      </c>
      <c r="G5" s="29" t="s">
        <v>251</v>
      </c>
      <c r="H5" s="108" t="s">
        <v>252</v>
      </c>
      <c r="I5" s="29" t="s">
        <v>253</v>
      </c>
      <c r="J5" s="108" t="s">
        <v>311</v>
      </c>
      <c r="K5" s="29" t="s">
        <v>312</v>
      </c>
      <c r="L5" s="108" t="s">
        <v>313</v>
      </c>
      <c r="M5" s="29" t="s">
        <v>314</v>
      </c>
      <c r="N5" s="108" t="s">
        <v>315</v>
      </c>
      <c r="O5" s="29" t="s">
        <v>316</v>
      </c>
      <c r="P5" s="108" t="s">
        <v>317</v>
      </c>
      <c r="Q5" s="29" t="s">
        <v>318</v>
      </c>
      <c r="R5" s="108" t="s">
        <v>319</v>
      </c>
      <c r="S5" s="12" t="s">
        <v>413</v>
      </c>
      <c r="T5" s="12" t="s">
        <v>12</v>
      </c>
    </row>
    <row r="6" spans="1:20" ht="21.75" customHeight="1" x14ac:dyDescent="0.35">
      <c r="A6" s="246" t="s">
        <v>444</v>
      </c>
      <c r="B6" s="246"/>
      <c r="C6" s="246"/>
      <c r="D6" s="246"/>
      <c r="E6" s="246"/>
      <c r="F6" s="246"/>
      <c r="G6" s="246"/>
      <c r="H6" s="246"/>
      <c r="I6" s="246"/>
      <c r="J6" s="246"/>
      <c r="K6" s="246"/>
      <c r="L6" s="246"/>
      <c r="M6" s="246"/>
      <c r="N6" s="246"/>
      <c r="O6" s="246"/>
      <c r="P6" s="246"/>
      <c r="Q6" s="246"/>
      <c r="R6" s="246"/>
      <c r="S6" s="246"/>
      <c r="T6" s="246"/>
    </row>
    <row r="7" spans="1:20" ht="37.5" customHeight="1" x14ac:dyDescent="0.35">
      <c r="A7" s="170" t="s">
        <v>445</v>
      </c>
      <c r="B7" s="120" t="s">
        <v>395</v>
      </c>
      <c r="C7" s="164" t="s">
        <v>446</v>
      </c>
      <c r="D7" s="24" t="s">
        <v>420</v>
      </c>
      <c r="E7" s="143" t="s">
        <v>377</v>
      </c>
      <c r="F7" s="168" t="s">
        <v>421</v>
      </c>
      <c r="G7" s="144"/>
      <c r="H7" s="145"/>
      <c r="I7" s="144"/>
      <c r="J7" s="145"/>
      <c r="K7" s="144"/>
      <c r="L7" s="145"/>
      <c r="M7" s="144"/>
      <c r="N7" s="145"/>
      <c r="O7" s="144"/>
      <c r="P7" s="145"/>
      <c r="Q7" s="144"/>
      <c r="R7" s="145"/>
      <c r="S7" s="169" t="str">
        <f>IFERROR(AVERAGEIF(G7:R7,"&gt;0")*100,"")</f>
        <v/>
      </c>
      <c r="T7" s="171" t="str">
        <f>IF(S7="","—",IF(S7&gt;=100,"✅ محقق",IF(S7&gt;=90,"🟡 قريب","🔴 تحت الهدف")))</f>
        <v>—</v>
      </c>
    </row>
    <row r="8" spans="1:20" ht="37.5" customHeight="1" x14ac:dyDescent="0.35">
      <c r="A8" s="170" t="s">
        <v>447</v>
      </c>
      <c r="B8" s="120" t="s">
        <v>396</v>
      </c>
      <c r="C8" s="164" t="s">
        <v>448</v>
      </c>
      <c r="D8" s="24" t="s">
        <v>420</v>
      </c>
      <c r="E8" s="143" t="s">
        <v>377</v>
      </c>
      <c r="F8" s="168" t="s">
        <v>421</v>
      </c>
      <c r="G8" s="144"/>
      <c r="H8" s="145"/>
      <c r="I8" s="144"/>
      <c r="J8" s="145"/>
      <c r="K8" s="144"/>
      <c r="L8" s="145"/>
      <c r="M8" s="144"/>
      <c r="N8" s="145"/>
      <c r="O8" s="144"/>
      <c r="P8" s="145"/>
      <c r="Q8" s="144"/>
      <c r="R8" s="145"/>
      <c r="S8" s="169" t="str">
        <f>IFERROR(AVERAGEIF(G8:R8,"&gt;0")*100,"")</f>
        <v/>
      </c>
      <c r="T8" s="171" t="str">
        <f>IF(S8="","—",IF(S8&gt;=100,"✅ محقق",IF(S8&gt;=90,"🟡 قريب","🔴 تحت الهدف")))</f>
        <v>—</v>
      </c>
    </row>
    <row r="9" spans="1:20" ht="37.5" customHeight="1" x14ac:dyDescent="0.35">
      <c r="A9" s="170" t="s">
        <v>449</v>
      </c>
      <c r="B9" s="120" t="s">
        <v>396</v>
      </c>
      <c r="C9" s="164" t="s">
        <v>450</v>
      </c>
      <c r="D9" s="24" t="s">
        <v>327</v>
      </c>
      <c r="E9" s="143" t="s">
        <v>377</v>
      </c>
      <c r="F9" s="168" t="s">
        <v>421</v>
      </c>
      <c r="G9" s="144"/>
      <c r="H9" s="145"/>
      <c r="I9" s="144"/>
      <c r="J9" s="145"/>
      <c r="K9" s="144"/>
      <c r="L9" s="145"/>
      <c r="M9" s="144"/>
      <c r="N9" s="145"/>
      <c r="O9" s="144"/>
      <c r="P9" s="145"/>
      <c r="Q9" s="144"/>
      <c r="R9" s="145"/>
      <c r="S9" s="166" t="str">
        <f>IFERROR(AVERAGEIF(G9:R9,"&gt;0"),"")</f>
        <v/>
      </c>
      <c r="T9" s="171" t="str">
        <f>IF(S9="","—",IF(S9&gt;=100,"✅ محقق",IF(S9&gt;=90,"🟡 قريب","🔴 تحت الهدف")))</f>
        <v>—</v>
      </c>
    </row>
    <row r="10" spans="1:20" ht="37.5" customHeight="1" x14ac:dyDescent="0.35">
      <c r="A10" s="170" t="s">
        <v>451</v>
      </c>
      <c r="B10" s="120" t="s">
        <v>396</v>
      </c>
      <c r="C10" s="164" t="s">
        <v>452</v>
      </c>
      <c r="D10" s="24" t="s">
        <v>433</v>
      </c>
      <c r="E10" s="143" t="s">
        <v>392</v>
      </c>
      <c r="F10" s="165" t="s">
        <v>417</v>
      </c>
      <c r="G10" s="144"/>
      <c r="H10" s="145"/>
      <c r="I10" s="144"/>
      <c r="J10" s="145"/>
      <c r="K10" s="144"/>
      <c r="L10" s="145"/>
      <c r="M10" s="144"/>
      <c r="N10" s="145"/>
      <c r="O10" s="144"/>
      <c r="P10" s="145"/>
      <c r="Q10" s="144"/>
      <c r="R10" s="145"/>
      <c r="S10" s="166" t="str">
        <f>IFERROR(AVERAGEIF(G10:R10,"&gt;0"),"")</f>
        <v/>
      </c>
      <c r="T10" s="171" t="str">
        <f>IF(S10="","—",IF(S10&lt;=0,"✅ ضمن الهدف","🔴 فوق الحد"))</f>
        <v>—</v>
      </c>
    </row>
    <row r="11" spans="1:20" ht="21.75" customHeight="1" x14ac:dyDescent="0.35">
      <c r="A11" s="247" t="s">
        <v>453</v>
      </c>
      <c r="B11" s="247"/>
      <c r="C11" s="247"/>
      <c r="D11" s="247"/>
      <c r="E11" s="247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247"/>
    </row>
    <row r="12" spans="1:20" ht="37.5" customHeight="1" x14ac:dyDescent="0.35">
      <c r="A12" s="172" t="s">
        <v>454</v>
      </c>
      <c r="B12" s="120" t="s">
        <v>397</v>
      </c>
      <c r="C12" s="164" t="s">
        <v>455</v>
      </c>
      <c r="D12" s="24" t="s">
        <v>327</v>
      </c>
      <c r="E12" s="143" t="s">
        <v>377</v>
      </c>
      <c r="F12" s="168" t="s">
        <v>421</v>
      </c>
      <c r="G12" s="144"/>
      <c r="H12" s="145"/>
      <c r="I12" s="144"/>
      <c r="J12" s="145"/>
      <c r="K12" s="144"/>
      <c r="L12" s="145"/>
      <c r="M12" s="144"/>
      <c r="N12" s="145"/>
      <c r="O12" s="144"/>
      <c r="P12" s="145"/>
      <c r="Q12" s="144"/>
      <c r="R12" s="145"/>
      <c r="S12" s="166" t="str">
        <f>IFERROR(AVERAGEIF(G12:R12,"&gt;0"),"")</f>
        <v/>
      </c>
      <c r="T12" s="173" t="str">
        <f>IF(S12="","—",IF(S12&gt;=100,"✅ محقق",IF(S12&gt;=90,"🟡 قريب","🔴 تحت الهدف")))</f>
        <v>—</v>
      </c>
    </row>
    <row r="13" spans="1:20" ht="37.5" customHeight="1" x14ac:dyDescent="0.35">
      <c r="A13" s="172" t="s">
        <v>456</v>
      </c>
      <c r="B13" s="120" t="s">
        <v>398</v>
      </c>
      <c r="C13" s="164" t="s">
        <v>457</v>
      </c>
      <c r="D13" s="24" t="s">
        <v>420</v>
      </c>
      <c r="E13" s="143" t="s">
        <v>377</v>
      </c>
      <c r="F13" s="168" t="s">
        <v>421</v>
      </c>
      <c r="G13" s="144"/>
      <c r="H13" s="145"/>
      <c r="I13" s="144"/>
      <c r="J13" s="145"/>
      <c r="K13" s="144"/>
      <c r="L13" s="145"/>
      <c r="M13" s="144"/>
      <c r="N13" s="145"/>
      <c r="O13" s="144"/>
      <c r="P13" s="145"/>
      <c r="Q13" s="144"/>
      <c r="R13" s="145"/>
      <c r="S13" s="169" t="str">
        <f>IFERROR(AVERAGEIF(G13:R13,"&gt;0")*100,"")</f>
        <v/>
      </c>
      <c r="T13" s="173" t="str">
        <f>IF(S13="","—",IF(S13&gt;=100,"✅ محقق",IF(S13&gt;=90,"🟡 قريب","🔴 تحت الهدف")))</f>
        <v>—</v>
      </c>
    </row>
    <row r="14" spans="1:20" ht="37.5" customHeight="1" x14ac:dyDescent="0.35">
      <c r="A14" s="172" t="s">
        <v>458</v>
      </c>
      <c r="B14" s="120" t="s">
        <v>398</v>
      </c>
      <c r="C14" s="164" t="s">
        <v>459</v>
      </c>
      <c r="D14" s="24" t="s">
        <v>433</v>
      </c>
      <c r="E14" s="143" t="s">
        <v>399</v>
      </c>
      <c r="F14" s="165" t="s">
        <v>417</v>
      </c>
      <c r="G14" s="144"/>
      <c r="H14" s="145"/>
      <c r="I14" s="144"/>
      <c r="J14" s="145"/>
      <c r="K14" s="144"/>
      <c r="L14" s="145"/>
      <c r="M14" s="144"/>
      <c r="N14" s="145"/>
      <c r="O14" s="144"/>
      <c r="P14" s="145"/>
      <c r="Q14" s="144"/>
      <c r="R14" s="145"/>
      <c r="S14" s="166" t="str">
        <f>IFERROR(AVERAGEIF(G14:R14,"&gt;0"),"")</f>
        <v/>
      </c>
      <c r="T14" s="173" t="str">
        <f>IF(S14="","—",IF(S14&lt;=0,"✅ ضمن الهدف","🔴 فوق الحد"))</f>
        <v>—</v>
      </c>
    </row>
    <row r="15" spans="1:20" ht="37.5" customHeight="1" x14ac:dyDescent="0.35">
      <c r="A15" s="172" t="s">
        <v>460</v>
      </c>
      <c r="B15" s="120" t="s">
        <v>400</v>
      </c>
      <c r="C15" s="164" t="s">
        <v>461</v>
      </c>
      <c r="D15" s="24" t="s">
        <v>420</v>
      </c>
      <c r="E15" s="143" t="s">
        <v>377</v>
      </c>
      <c r="F15" s="168" t="s">
        <v>421</v>
      </c>
      <c r="G15" s="144"/>
      <c r="H15" s="145"/>
      <c r="I15" s="144"/>
      <c r="J15" s="145"/>
      <c r="K15" s="144"/>
      <c r="L15" s="145"/>
      <c r="M15" s="144"/>
      <c r="N15" s="145"/>
      <c r="O15" s="144"/>
      <c r="P15" s="145"/>
      <c r="Q15" s="144"/>
      <c r="R15" s="145"/>
      <c r="S15" s="169" t="str">
        <f>IFERROR(AVERAGEIF(G15:R15,"&gt;0")*100,"")</f>
        <v/>
      </c>
      <c r="T15" s="173" t="str">
        <f>IF(S15="","—",IF(S15&gt;=100,"✅ محقق",IF(S15&gt;=90,"🟡 قريب","🔴 تحت الهدف")))</f>
        <v>—</v>
      </c>
    </row>
    <row r="16" spans="1:20" ht="21.75" customHeight="1" x14ac:dyDescent="0.35">
      <c r="A16" s="245" t="s">
        <v>462</v>
      </c>
      <c r="B16" s="245"/>
      <c r="C16" s="245"/>
      <c r="D16" s="245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</row>
    <row r="17" spans="1:20" ht="37.5" customHeight="1" x14ac:dyDescent="0.35">
      <c r="A17" s="163" t="s">
        <v>463</v>
      </c>
      <c r="B17" s="120" t="s">
        <v>391</v>
      </c>
      <c r="C17" s="164" t="s">
        <v>464</v>
      </c>
      <c r="D17" s="24" t="s">
        <v>327</v>
      </c>
      <c r="E17" s="143" t="s">
        <v>377</v>
      </c>
      <c r="F17" s="168" t="s">
        <v>421</v>
      </c>
      <c r="G17" s="144"/>
      <c r="H17" s="145"/>
      <c r="I17" s="144"/>
      <c r="J17" s="145"/>
      <c r="K17" s="144"/>
      <c r="L17" s="145"/>
      <c r="M17" s="144"/>
      <c r="N17" s="145"/>
      <c r="O17" s="144"/>
      <c r="P17" s="145"/>
      <c r="Q17" s="144"/>
      <c r="R17" s="145"/>
      <c r="S17" s="166" t="str">
        <f>IFERROR(AVERAGEIF(G17:R17,"&gt;0"),"")</f>
        <v/>
      </c>
      <c r="T17" s="167" t="str">
        <f>IF(S17="","—",IF(S17&gt;=100,"✅ محقق",IF(S17&gt;=90,"🟡 قريب","🔴 تحت الهدف")))</f>
        <v>—</v>
      </c>
    </row>
    <row r="18" spans="1:20" ht="37.5" customHeight="1" x14ac:dyDescent="0.35">
      <c r="A18" s="163" t="s">
        <v>465</v>
      </c>
      <c r="B18" s="120" t="s">
        <v>391</v>
      </c>
      <c r="C18" s="164" t="s">
        <v>466</v>
      </c>
      <c r="D18" s="24" t="s">
        <v>420</v>
      </c>
      <c r="E18" s="143" t="s">
        <v>377</v>
      </c>
      <c r="F18" s="168" t="s">
        <v>421</v>
      </c>
      <c r="G18" s="144"/>
      <c r="H18" s="145"/>
      <c r="I18" s="144"/>
      <c r="J18" s="145"/>
      <c r="K18" s="144"/>
      <c r="L18" s="145"/>
      <c r="M18" s="144"/>
      <c r="N18" s="145"/>
      <c r="O18" s="144"/>
      <c r="P18" s="145"/>
      <c r="Q18" s="144"/>
      <c r="R18" s="145"/>
      <c r="S18" s="169" t="str">
        <f>IFERROR(AVERAGEIF(G18:R18,"&gt;0")*100,"")</f>
        <v/>
      </c>
      <c r="T18" s="167" t="str">
        <f>IF(S18="","—",IF(S18&gt;=100,"✅ محقق",IF(S18&gt;=90,"🟡 قريب","🔴 تحت الهدف")))</f>
        <v>—</v>
      </c>
    </row>
    <row r="19" spans="1:20" ht="37.5" customHeight="1" x14ac:dyDescent="0.35">
      <c r="A19" s="163" t="s">
        <v>467</v>
      </c>
      <c r="B19" s="120" t="s">
        <v>401</v>
      </c>
      <c r="C19" s="164" t="s">
        <v>468</v>
      </c>
      <c r="D19" s="24" t="s">
        <v>420</v>
      </c>
      <c r="E19" s="143" t="s">
        <v>377</v>
      </c>
      <c r="F19" s="168" t="s">
        <v>421</v>
      </c>
      <c r="G19" s="144"/>
      <c r="H19" s="145"/>
      <c r="I19" s="144"/>
      <c r="J19" s="145"/>
      <c r="K19" s="144"/>
      <c r="L19" s="145"/>
      <c r="M19" s="144"/>
      <c r="N19" s="145"/>
      <c r="O19" s="144"/>
      <c r="P19" s="145"/>
      <c r="Q19" s="144"/>
      <c r="R19" s="145"/>
      <c r="S19" s="169" t="str">
        <f>IFERROR(AVERAGEIF(G19:R19,"&gt;0")*100,"")</f>
        <v/>
      </c>
      <c r="T19" s="167" t="str">
        <f>IF(S19="","—",IF(S19&gt;=100,"✅ محقق",IF(S19&gt;=90,"🟡 قريب","🔴 تحت الهدف")))</f>
        <v>—</v>
      </c>
    </row>
    <row r="20" spans="1:20" ht="37.5" customHeight="1" x14ac:dyDescent="0.35">
      <c r="A20" s="163" t="s">
        <v>469</v>
      </c>
      <c r="B20" s="120" t="s">
        <v>403</v>
      </c>
      <c r="C20" s="164" t="s">
        <v>470</v>
      </c>
      <c r="D20" s="24" t="s">
        <v>363</v>
      </c>
      <c r="E20" s="143" t="s">
        <v>402</v>
      </c>
      <c r="F20" s="165" t="s">
        <v>417</v>
      </c>
      <c r="G20" s="144"/>
      <c r="H20" s="145"/>
      <c r="I20" s="144"/>
      <c r="J20" s="145"/>
      <c r="K20" s="144"/>
      <c r="L20" s="145"/>
      <c r="M20" s="144"/>
      <c r="N20" s="145"/>
      <c r="O20" s="144"/>
      <c r="P20" s="145"/>
      <c r="Q20" s="144"/>
      <c r="R20" s="145"/>
      <c r="S20" s="166" t="str">
        <f>IFERROR(AVERAGEIF(G20:R20,"&gt;0"),"")</f>
        <v/>
      </c>
      <c r="T20" s="167" t="str">
        <f>IF(S20="","—",IF(S20&lt;=0,"✅ ضمن الهدف","🔴 فوق الحد"))</f>
        <v>—</v>
      </c>
    </row>
    <row r="21" spans="1:20" ht="21.75" customHeight="1" x14ac:dyDescent="0.35">
      <c r="A21" s="250" t="s">
        <v>471</v>
      </c>
      <c r="B21" s="250"/>
      <c r="C21" s="250"/>
      <c r="D21" s="250"/>
      <c r="E21" s="250"/>
      <c r="F21" s="250"/>
      <c r="G21" s="250"/>
      <c r="H21" s="250"/>
      <c r="I21" s="250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0"/>
    </row>
    <row r="22" spans="1:20" ht="37.5" customHeight="1" x14ac:dyDescent="0.35">
      <c r="A22" s="174" t="s">
        <v>472</v>
      </c>
      <c r="B22" s="120" t="s">
        <v>404</v>
      </c>
      <c r="C22" s="164" t="s">
        <v>473</v>
      </c>
      <c r="D22" s="24" t="s">
        <v>420</v>
      </c>
      <c r="E22" s="143" t="s">
        <v>377</v>
      </c>
      <c r="F22" s="168" t="s">
        <v>421</v>
      </c>
      <c r="G22" s="144"/>
      <c r="H22" s="145"/>
      <c r="I22" s="144"/>
      <c r="J22" s="145"/>
      <c r="K22" s="144"/>
      <c r="L22" s="145"/>
      <c r="M22" s="144"/>
      <c r="N22" s="145"/>
      <c r="O22" s="144"/>
      <c r="P22" s="145"/>
      <c r="Q22" s="144"/>
      <c r="R22" s="145"/>
      <c r="S22" s="169" t="str">
        <f>IFERROR(AVERAGEIF(G22:R22,"&gt;0")*100,"")</f>
        <v/>
      </c>
      <c r="T22" s="175" t="str">
        <f>IF(S22="","—",IF(S22&gt;=100,"✅ محقق",IF(S22&gt;=90,"🟡 قريب","🔴 تحت الهدف")))</f>
        <v>—</v>
      </c>
    </row>
    <row r="23" spans="1:20" ht="37.5" customHeight="1" x14ac:dyDescent="0.35">
      <c r="A23" s="174" t="s">
        <v>474</v>
      </c>
      <c r="B23" s="120" t="s">
        <v>406</v>
      </c>
      <c r="C23" s="164" t="s">
        <v>475</v>
      </c>
      <c r="D23" s="24" t="s">
        <v>327</v>
      </c>
      <c r="E23" s="143" t="s">
        <v>405</v>
      </c>
      <c r="F23" s="168" t="s">
        <v>421</v>
      </c>
      <c r="G23" s="144"/>
      <c r="H23" s="145"/>
      <c r="I23" s="144"/>
      <c r="J23" s="145"/>
      <c r="K23" s="144"/>
      <c r="L23" s="145"/>
      <c r="M23" s="144"/>
      <c r="N23" s="145"/>
      <c r="O23" s="144"/>
      <c r="P23" s="145"/>
      <c r="Q23" s="144"/>
      <c r="R23" s="145"/>
      <c r="S23" s="166" t="str">
        <f>IFERROR(AVERAGEIF(G23:R23,"&gt;0"),"")</f>
        <v/>
      </c>
      <c r="T23" s="175" t="str">
        <f>IF(S23="","—",IF(S23&gt;0,"✅ إيجابي","🔴 راجع"))</f>
        <v>—</v>
      </c>
    </row>
    <row r="24" spans="1:20" ht="21.75" customHeight="1" x14ac:dyDescent="0.35">
      <c r="A24" s="248" t="s">
        <v>476</v>
      </c>
      <c r="B24" s="248"/>
      <c r="C24" s="248"/>
      <c r="D24" s="248"/>
      <c r="E24" s="248"/>
      <c r="F24" s="248"/>
      <c r="G24" s="248"/>
      <c r="H24" s="248"/>
      <c r="I24" s="248"/>
      <c r="J24" s="248"/>
      <c r="K24" s="248"/>
      <c r="L24" s="248"/>
      <c r="M24" s="248"/>
      <c r="N24" s="248"/>
      <c r="O24" s="248"/>
      <c r="P24" s="248"/>
      <c r="Q24" s="248"/>
      <c r="R24" s="248"/>
      <c r="S24" s="248"/>
      <c r="T24" s="248"/>
    </row>
  </sheetData>
  <mergeCells count="7">
    <mergeCell ref="A21:T21"/>
    <mergeCell ref="A24:T24"/>
    <mergeCell ref="A2:T2"/>
    <mergeCell ref="A3:T3"/>
    <mergeCell ref="A6:T6"/>
    <mergeCell ref="A11:T11"/>
    <mergeCell ref="A16:T16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22"/>
  <sheetViews>
    <sheetView rightToLeft="1" zoomScale="88" zoomScaleNormal="88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30" customWidth="1"/>
    <col min="2" max="2" width="13" customWidth="1"/>
    <col min="3" max="3" width="26" customWidth="1"/>
    <col min="4" max="4" width="9" customWidth="1"/>
    <col min="5" max="5" width="10" customWidth="1"/>
    <col min="6" max="6" width="7" customWidth="1"/>
    <col min="19" max="19" width="12" customWidth="1"/>
    <col min="20" max="20" width="13" customWidth="1"/>
  </cols>
  <sheetData>
    <row r="1" spans="1:20" ht="4.5" customHeight="1" x14ac:dyDescent="0.35"/>
    <row r="2" spans="1:20" ht="54" customHeight="1" x14ac:dyDescent="0.35">
      <c r="A2" s="236" t="s">
        <v>477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</row>
    <row r="3" spans="1:20" ht="21.75" customHeight="1" x14ac:dyDescent="0.35">
      <c r="A3" s="251" t="s">
        <v>478</v>
      </c>
      <c r="B3" s="251"/>
      <c r="C3" s="251"/>
      <c r="D3" s="251"/>
      <c r="E3" s="251"/>
      <c r="F3" s="251"/>
      <c r="G3" s="251"/>
      <c r="H3" s="251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</row>
    <row r="4" spans="1:20" ht="4.5" customHeight="1" x14ac:dyDescent="0.35"/>
    <row r="5" spans="1:20" ht="30" customHeight="1" x14ac:dyDescent="0.35">
      <c r="A5" s="12" t="s">
        <v>248</v>
      </c>
      <c r="B5" s="12" t="s">
        <v>388</v>
      </c>
      <c r="C5" s="12" t="s">
        <v>411</v>
      </c>
      <c r="D5" s="12" t="s">
        <v>249</v>
      </c>
      <c r="E5" s="12" t="s">
        <v>250</v>
      </c>
      <c r="F5" s="12" t="s">
        <v>412</v>
      </c>
      <c r="G5" s="31" t="s">
        <v>251</v>
      </c>
      <c r="H5" s="108" t="s">
        <v>252</v>
      </c>
      <c r="I5" s="31" t="s">
        <v>253</v>
      </c>
      <c r="J5" s="108" t="s">
        <v>311</v>
      </c>
      <c r="K5" s="31" t="s">
        <v>312</v>
      </c>
      <c r="L5" s="108" t="s">
        <v>313</v>
      </c>
      <c r="M5" s="31" t="s">
        <v>314</v>
      </c>
      <c r="N5" s="108" t="s">
        <v>315</v>
      </c>
      <c r="O5" s="31" t="s">
        <v>316</v>
      </c>
      <c r="P5" s="108" t="s">
        <v>317</v>
      </c>
      <c r="Q5" s="31" t="s">
        <v>318</v>
      </c>
      <c r="R5" s="108" t="s">
        <v>319</v>
      </c>
      <c r="S5" s="12" t="s">
        <v>413</v>
      </c>
      <c r="T5" s="12" t="s">
        <v>12</v>
      </c>
    </row>
    <row r="6" spans="1:20" ht="21.75" customHeight="1" x14ac:dyDescent="0.35">
      <c r="A6" s="247" t="s">
        <v>479</v>
      </c>
      <c r="B6" s="247"/>
      <c r="C6" s="247"/>
      <c r="D6" s="247"/>
      <c r="E6" s="247"/>
      <c r="F6" s="247"/>
      <c r="G6" s="247"/>
      <c r="H6" s="247"/>
      <c r="I6" s="247"/>
      <c r="J6" s="247"/>
      <c r="K6" s="247"/>
      <c r="L6" s="247"/>
      <c r="M6" s="247"/>
      <c r="N6" s="247"/>
      <c r="O6" s="247"/>
      <c r="P6" s="247"/>
      <c r="Q6" s="247"/>
      <c r="R6" s="247"/>
      <c r="S6" s="247"/>
      <c r="T6" s="247"/>
    </row>
    <row r="7" spans="1:20" ht="37.5" customHeight="1" x14ac:dyDescent="0.35">
      <c r="A7" s="172" t="s">
        <v>480</v>
      </c>
      <c r="B7" s="120" t="s">
        <v>407</v>
      </c>
      <c r="C7" s="164" t="s">
        <v>481</v>
      </c>
      <c r="D7" s="24" t="s">
        <v>327</v>
      </c>
      <c r="E7" s="143" t="s">
        <v>377</v>
      </c>
      <c r="F7" s="168" t="s">
        <v>421</v>
      </c>
      <c r="G7" s="144"/>
      <c r="H7" s="145"/>
      <c r="I7" s="144"/>
      <c r="J7" s="145"/>
      <c r="K7" s="144"/>
      <c r="L7" s="145"/>
      <c r="M7" s="144"/>
      <c r="N7" s="145"/>
      <c r="O7" s="144"/>
      <c r="P7" s="145"/>
      <c r="Q7" s="144"/>
      <c r="R7" s="145"/>
      <c r="S7" s="166" t="str">
        <f>IFERROR(AVERAGEIF(G7:R7,"&gt;0"),"")</f>
        <v/>
      </c>
      <c r="T7" s="173" t="str">
        <f>IF(S7="","—",IF(S7&gt;=100,"✅ محقق",IF(S7&gt;=90,"🟡 قريب","🔴 تحت الهدف")))</f>
        <v>—</v>
      </c>
    </row>
    <row r="8" spans="1:20" ht="37.5" customHeight="1" x14ac:dyDescent="0.35">
      <c r="A8" s="172" t="s">
        <v>482</v>
      </c>
      <c r="B8" s="120" t="s">
        <v>407</v>
      </c>
      <c r="C8" s="164" t="s">
        <v>483</v>
      </c>
      <c r="D8" s="24" t="s">
        <v>420</v>
      </c>
      <c r="E8" s="143" t="s">
        <v>377</v>
      </c>
      <c r="F8" s="168" t="s">
        <v>421</v>
      </c>
      <c r="G8" s="144"/>
      <c r="H8" s="145"/>
      <c r="I8" s="144"/>
      <c r="J8" s="145"/>
      <c r="K8" s="144"/>
      <c r="L8" s="145"/>
      <c r="M8" s="144"/>
      <c r="N8" s="145"/>
      <c r="O8" s="144"/>
      <c r="P8" s="145"/>
      <c r="Q8" s="144"/>
      <c r="R8" s="145"/>
      <c r="S8" s="169" t="str">
        <f>IFERROR(AVERAGEIF(G8:R8,"&gt;0")*100,"")</f>
        <v/>
      </c>
      <c r="T8" s="173" t="str">
        <f>IF(S8="","—",IF(S8&gt;=100,"✅ محقق",IF(S8&gt;=90,"🟡 قريب","🔴 تحت الهدف")))</f>
        <v>—</v>
      </c>
    </row>
    <row r="9" spans="1:20" ht="37.5" customHeight="1" x14ac:dyDescent="0.35">
      <c r="A9" s="172" t="s">
        <v>484</v>
      </c>
      <c r="B9" s="120" t="s">
        <v>395</v>
      </c>
      <c r="C9" s="164" t="s">
        <v>485</v>
      </c>
      <c r="D9" s="24" t="s">
        <v>420</v>
      </c>
      <c r="E9" s="143" t="s">
        <v>377</v>
      </c>
      <c r="F9" s="168" t="s">
        <v>421</v>
      </c>
      <c r="G9" s="144"/>
      <c r="H9" s="145"/>
      <c r="I9" s="144"/>
      <c r="J9" s="145"/>
      <c r="K9" s="144"/>
      <c r="L9" s="145"/>
      <c r="M9" s="144"/>
      <c r="N9" s="145"/>
      <c r="O9" s="144"/>
      <c r="P9" s="145"/>
      <c r="Q9" s="144"/>
      <c r="R9" s="145"/>
      <c r="S9" s="169" t="str">
        <f>IFERROR(AVERAGEIF(G9:R9,"&gt;0")*100,"")</f>
        <v/>
      </c>
      <c r="T9" s="173" t="str">
        <f>IF(S9="","—",IF(S9&gt;=100,"✅ محقق",IF(S9&gt;=90,"🟡 قريب","🔴 تحت الهدف")))</f>
        <v>—</v>
      </c>
    </row>
    <row r="10" spans="1:20" ht="37.5" customHeight="1" x14ac:dyDescent="0.35">
      <c r="A10" s="172" t="s">
        <v>486</v>
      </c>
      <c r="B10" s="120" t="s">
        <v>407</v>
      </c>
      <c r="C10" s="164" t="s">
        <v>487</v>
      </c>
      <c r="D10" s="24" t="s">
        <v>327</v>
      </c>
      <c r="E10" s="143" t="s">
        <v>405</v>
      </c>
      <c r="F10" s="168" t="s">
        <v>421</v>
      </c>
      <c r="G10" s="144"/>
      <c r="H10" s="145"/>
      <c r="I10" s="144"/>
      <c r="J10" s="145"/>
      <c r="K10" s="144"/>
      <c r="L10" s="145"/>
      <c r="M10" s="144"/>
      <c r="N10" s="145"/>
      <c r="O10" s="144"/>
      <c r="P10" s="145"/>
      <c r="Q10" s="144"/>
      <c r="R10" s="145"/>
      <c r="S10" s="166" t="str">
        <f>IFERROR(AVERAGEIF(G10:R10,"&gt;0"),"")</f>
        <v/>
      </c>
      <c r="T10" s="173" t="str">
        <f>IF(S10="","—",IF(S10&gt;0,"✅ إيجابي","🔴 راجع"))</f>
        <v>—</v>
      </c>
    </row>
    <row r="11" spans="1:20" ht="21.75" customHeight="1" x14ac:dyDescent="0.35">
      <c r="A11" s="245" t="s">
        <v>488</v>
      </c>
      <c r="B11" s="245"/>
      <c r="C11" s="245"/>
      <c r="D11" s="245"/>
      <c r="E11" s="245"/>
      <c r="F11" s="245"/>
      <c r="G11" s="245"/>
      <c r="H11" s="245"/>
      <c r="I11" s="245"/>
      <c r="J11" s="245"/>
      <c r="K11" s="245"/>
      <c r="L11" s="245"/>
      <c r="M11" s="245"/>
      <c r="N11" s="245"/>
      <c r="O11" s="245"/>
      <c r="P11" s="245"/>
      <c r="Q11" s="245"/>
      <c r="R11" s="245"/>
      <c r="S11" s="245"/>
      <c r="T11" s="245"/>
    </row>
    <row r="12" spans="1:20" ht="37.5" customHeight="1" x14ac:dyDescent="0.35">
      <c r="A12" s="163" t="s">
        <v>489</v>
      </c>
      <c r="B12" s="120" t="s">
        <v>396</v>
      </c>
      <c r="C12" s="164" t="s">
        <v>490</v>
      </c>
      <c r="D12" s="24" t="s">
        <v>420</v>
      </c>
      <c r="E12" s="143" t="s">
        <v>377</v>
      </c>
      <c r="F12" s="168" t="s">
        <v>421</v>
      </c>
      <c r="G12" s="144"/>
      <c r="H12" s="145"/>
      <c r="I12" s="144"/>
      <c r="J12" s="145"/>
      <c r="K12" s="144"/>
      <c r="L12" s="145"/>
      <c r="M12" s="144"/>
      <c r="N12" s="145"/>
      <c r="O12" s="144"/>
      <c r="P12" s="145"/>
      <c r="Q12" s="144"/>
      <c r="R12" s="145"/>
      <c r="S12" s="169" t="str">
        <f>IFERROR(AVERAGEIF(G12:R12,"&gt;0")*100,"")</f>
        <v/>
      </c>
      <c r="T12" s="167" t="str">
        <f>IF(S12="","—",IF(S12&gt;=100,"✅ محقق",IF(S12&gt;=90,"🟡 قريب","🔴 تحت الهدف")))</f>
        <v>—</v>
      </c>
    </row>
    <row r="13" spans="1:20" ht="37.5" customHeight="1" x14ac:dyDescent="0.35">
      <c r="A13" s="163" t="s">
        <v>491</v>
      </c>
      <c r="B13" s="120" t="s">
        <v>400</v>
      </c>
      <c r="C13" s="164" t="s">
        <v>492</v>
      </c>
      <c r="D13" s="24" t="s">
        <v>420</v>
      </c>
      <c r="E13" s="143" t="s">
        <v>377</v>
      </c>
      <c r="F13" s="168" t="s">
        <v>421</v>
      </c>
      <c r="G13" s="144"/>
      <c r="H13" s="145"/>
      <c r="I13" s="144"/>
      <c r="J13" s="145"/>
      <c r="K13" s="144"/>
      <c r="L13" s="145"/>
      <c r="M13" s="144"/>
      <c r="N13" s="145"/>
      <c r="O13" s="144"/>
      <c r="P13" s="145"/>
      <c r="Q13" s="144"/>
      <c r="R13" s="145"/>
      <c r="S13" s="169" t="str">
        <f>IFERROR(AVERAGEIF(G13:R13,"&gt;0")*100,"")</f>
        <v/>
      </c>
      <c r="T13" s="167" t="str">
        <f>IF(S13="","—",IF(S13&gt;=100,"✅ محقق",IF(S13&gt;=90,"🟡 قريب","🔴 تحت الهدف")))</f>
        <v>—</v>
      </c>
    </row>
    <row r="14" spans="1:20" ht="37.5" customHeight="1" x14ac:dyDescent="0.35">
      <c r="A14" s="163" t="s">
        <v>493</v>
      </c>
      <c r="B14" s="120" t="s">
        <v>407</v>
      </c>
      <c r="C14" s="164" t="s">
        <v>494</v>
      </c>
      <c r="D14" s="24" t="s">
        <v>327</v>
      </c>
      <c r="E14" s="143" t="s">
        <v>336</v>
      </c>
      <c r="F14" s="168" t="s">
        <v>421</v>
      </c>
      <c r="G14" s="144"/>
      <c r="H14" s="145"/>
      <c r="I14" s="144"/>
      <c r="J14" s="145"/>
      <c r="K14" s="144"/>
      <c r="L14" s="145"/>
      <c r="M14" s="144"/>
      <c r="N14" s="145"/>
      <c r="O14" s="144"/>
      <c r="P14" s="145"/>
      <c r="Q14" s="144"/>
      <c r="R14" s="145"/>
      <c r="S14" s="166" t="str">
        <f>IFERROR(AVERAGEIF(G14:R14,"&gt;0"),"")</f>
        <v/>
      </c>
      <c r="T14" s="167" t="str">
        <f>IF(S14="","—",IF(S14&gt;0,"✅ إيجابي","🔴 راجع"))</f>
        <v>—</v>
      </c>
    </row>
    <row r="15" spans="1:20" ht="21.75" customHeight="1" x14ac:dyDescent="0.35">
      <c r="A15" s="246" t="s">
        <v>495</v>
      </c>
      <c r="B15" s="246"/>
      <c r="C15" s="246"/>
      <c r="D15" s="246"/>
      <c r="E15" s="246"/>
      <c r="F15" s="246"/>
      <c r="G15" s="246"/>
      <c r="H15" s="246"/>
      <c r="I15" s="246"/>
      <c r="J15" s="246"/>
      <c r="K15" s="246"/>
      <c r="L15" s="246"/>
      <c r="M15" s="246"/>
      <c r="N15" s="246"/>
      <c r="O15" s="246"/>
      <c r="P15" s="246"/>
      <c r="Q15" s="246"/>
      <c r="R15" s="246"/>
      <c r="S15" s="246"/>
      <c r="T15" s="246"/>
    </row>
    <row r="16" spans="1:20" ht="37.5" customHeight="1" x14ac:dyDescent="0.35">
      <c r="A16" s="170" t="s">
        <v>496</v>
      </c>
      <c r="B16" s="120" t="s">
        <v>408</v>
      </c>
      <c r="C16" s="164" t="s">
        <v>497</v>
      </c>
      <c r="D16" s="24" t="s">
        <v>420</v>
      </c>
      <c r="E16" s="143" t="s">
        <v>377</v>
      </c>
      <c r="F16" s="168" t="s">
        <v>421</v>
      </c>
      <c r="G16" s="144"/>
      <c r="H16" s="145"/>
      <c r="I16" s="144"/>
      <c r="J16" s="145"/>
      <c r="K16" s="144"/>
      <c r="L16" s="145"/>
      <c r="M16" s="144"/>
      <c r="N16" s="145"/>
      <c r="O16" s="144"/>
      <c r="P16" s="145"/>
      <c r="Q16" s="144"/>
      <c r="R16" s="145"/>
      <c r="S16" s="169" t="str">
        <f>IFERROR(AVERAGEIF(G16:R16,"&gt;0")*100,"")</f>
        <v/>
      </c>
      <c r="T16" s="171" t="str">
        <f>IF(S16="","—",IF(S16&gt;=100,"✅ محقق",IF(S16&gt;=90,"🟡 قريب","🔴 تحت الهدف")))</f>
        <v>—</v>
      </c>
    </row>
    <row r="17" spans="1:20" ht="37.5" customHeight="1" x14ac:dyDescent="0.35">
      <c r="A17" s="170" t="s">
        <v>498</v>
      </c>
      <c r="B17" s="120" t="s">
        <v>391</v>
      </c>
      <c r="C17" s="164" t="s">
        <v>499</v>
      </c>
      <c r="D17" s="24" t="s">
        <v>327</v>
      </c>
      <c r="E17" s="143" t="s">
        <v>377</v>
      </c>
      <c r="F17" s="168" t="s">
        <v>421</v>
      </c>
      <c r="G17" s="144"/>
      <c r="H17" s="145"/>
      <c r="I17" s="144"/>
      <c r="J17" s="145"/>
      <c r="K17" s="144"/>
      <c r="L17" s="145"/>
      <c r="M17" s="144"/>
      <c r="N17" s="145"/>
      <c r="O17" s="144"/>
      <c r="P17" s="145"/>
      <c r="Q17" s="144"/>
      <c r="R17" s="145"/>
      <c r="S17" s="166" t="str">
        <f>IFERROR(AVERAGEIF(G17:R17,"&gt;0"),"")</f>
        <v/>
      </c>
      <c r="T17" s="171" t="str">
        <f>IF(S17="","—",IF(S17&gt;=100,"✅ محقق",IF(S17&gt;=90,"🟡 قريب","🔴 تحت الهدف")))</f>
        <v>—</v>
      </c>
    </row>
    <row r="18" spans="1:20" ht="37.5" customHeight="1" x14ac:dyDescent="0.35">
      <c r="A18" s="170" t="s">
        <v>500</v>
      </c>
      <c r="B18" s="120" t="s">
        <v>394</v>
      </c>
      <c r="C18" s="164" t="s">
        <v>501</v>
      </c>
      <c r="D18" s="24" t="s">
        <v>433</v>
      </c>
      <c r="E18" s="143" t="s">
        <v>399</v>
      </c>
      <c r="F18" s="165" t="s">
        <v>417</v>
      </c>
      <c r="G18" s="144"/>
      <c r="H18" s="145"/>
      <c r="I18" s="144"/>
      <c r="J18" s="145"/>
      <c r="K18" s="144"/>
      <c r="L18" s="145"/>
      <c r="M18" s="144"/>
      <c r="N18" s="145"/>
      <c r="O18" s="144"/>
      <c r="P18" s="145"/>
      <c r="Q18" s="144"/>
      <c r="R18" s="145"/>
      <c r="S18" s="166" t="str">
        <f>IFERROR(AVERAGEIF(G18:R18,"&gt;0"),"")</f>
        <v/>
      </c>
      <c r="T18" s="171" t="str">
        <f>IF(S18="","—",IF(S18&lt;=0,"✅ ضمن الهدف","🔴 فوق الحد"))</f>
        <v>—</v>
      </c>
    </row>
    <row r="19" spans="1:20" ht="21.75" customHeight="1" x14ac:dyDescent="0.35">
      <c r="A19" s="252" t="s">
        <v>502</v>
      </c>
      <c r="B19" s="252"/>
      <c r="C19" s="252"/>
      <c r="D19" s="252"/>
      <c r="E19" s="252"/>
      <c r="F19" s="252"/>
      <c r="G19" s="252"/>
      <c r="H19" s="252"/>
      <c r="I19" s="252"/>
      <c r="J19" s="252"/>
      <c r="K19" s="252"/>
      <c r="L19" s="252"/>
      <c r="M19" s="252"/>
      <c r="N19" s="252"/>
      <c r="O19" s="252"/>
      <c r="P19" s="252"/>
      <c r="Q19" s="252"/>
      <c r="R19" s="252"/>
      <c r="S19" s="252"/>
      <c r="T19" s="252"/>
    </row>
    <row r="20" spans="1:20" ht="37.5" customHeight="1" x14ac:dyDescent="0.35">
      <c r="A20" s="136" t="s">
        <v>503</v>
      </c>
      <c r="B20" s="120" t="s">
        <v>407</v>
      </c>
      <c r="C20" s="164" t="s">
        <v>504</v>
      </c>
      <c r="D20" s="24" t="s">
        <v>420</v>
      </c>
      <c r="E20" s="143" t="s">
        <v>377</v>
      </c>
      <c r="F20" s="168" t="s">
        <v>421</v>
      </c>
      <c r="G20" s="144"/>
      <c r="H20" s="145"/>
      <c r="I20" s="144"/>
      <c r="J20" s="145"/>
      <c r="K20" s="144"/>
      <c r="L20" s="145"/>
      <c r="M20" s="144"/>
      <c r="N20" s="145"/>
      <c r="O20" s="144"/>
      <c r="P20" s="145"/>
      <c r="Q20" s="144"/>
      <c r="R20" s="145"/>
      <c r="S20" s="169" t="str">
        <f>IFERROR(AVERAGEIF(G20:R20,"&gt;0")*100,"")</f>
        <v/>
      </c>
      <c r="T20" s="176" t="str">
        <f>IF(S20="","—",IF(S20&gt;=100,"✅ محقق",IF(S20&gt;=90,"🟡 قريب","🔴 تحت الهدف")))</f>
        <v>—</v>
      </c>
    </row>
    <row r="21" spans="1:20" ht="37.5" customHeight="1" x14ac:dyDescent="0.35">
      <c r="A21" s="136" t="s">
        <v>505</v>
      </c>
      <c r="B21" s="120" t="s">
        <v>401</v>
      </c>
      <c r="C21" s="164" t="s">
        <v>506</v>
      </c>
      <c r="D21" s="24" t="s">
        <v>327</v>
      </c>
      <c r="E21" s="143" t="s">
        <v>377</v>
      </c>
      <c r="F21" s="168" t="s">
        <v>421</v>
      </c>
      <c r="G21" s="144"/>
      <c r="H21" s="145"/>
      <c r="I21" s="144"/>
      <c r="J21" s="145"/>
      <c r="K21" s="144"/>
      <c r="L21" s="145"/>
      <c r="M21" s="144"/>
      <c r="N21" s="145"/>
      <c r="O21" s="144"/>
      <c r="P21" s="145"/>
      <c r="Q21" s="144"/>
      <c r="R21" s="145"/>
      <c r="S21" s="166" t="str">
        <f>IFERROR(AVERAGEIF(G21:R21,"&gt;0"),"")</f>
        <v/>
      </c>
      <c r="T21" s="176" t="str">
        <f>IF(S21="","—",IF(S21&gt;=100,"✅ محقق",IF(S21&gt;=90,"🟡 قريب","🔴 تحت الهدف")))</f>
        <v>—</v>
      </c>
    </row>
    <row r="22" spans="1:20" ht="21.75" customHeight="1" x14ac:dyDescent="0.35">
      <c r="A22" s="248" t="s">
        <v>507</v>
      </c>
      <c r="B22" s="248"/>
      <c r="C22" s="248"/>
      <c r="D22" s="248"/>
      <c r="E22" s="248"/>
      <c r="F22" s="248"/>
      <c r="G22" s="248"/>
      <c r="H22" s="248"/>
      <c r="I22" s="248"/>
      <c r="J22" s="248"/>
      <c r="K22" s="248"/>
      <c r="L22" s="248"/>
      <c r="M22" s="248"/>
      <c r="N22" s="248"/>
      <c r="O22" s="248"/>
      <c r="P22" s="248"/>
      <c r="Q22" s="248"/>
      <c r="R22" s="248"/>
      <c r="S22" s="248"/>
      <c r="T22" s="248"/>
    </row>
  </sheetData>
  <mergeCells count="7">
    <mergeCell ref="A19:T19"/>
    <mergeCell ref="A22:T22"/>
    <mergeCell ref="A2:T2"/>
    <mergeCell ref="A3:T3"/>
    <mergeCell ref="A6:T6"/>
    <mergeCell ref="A11:T11"/>
    <mergeCell ref="A15:T15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02"/>
  <sheetViews>
    <sheetView rightToLeft="1" zoomScale="80" zoomScaleNormal="80" workbookViewId="0">
      <pane xSplit="1" ySplit="6" topLeftCell="B74" activePane="bottomRight" state="frozen"/>
      <selection pane="topRight" activeCell="B1" sqref="B1"/>
      <selection pane="bottomLeft" activeCell="A7" sqref="A7"/>
      <selection pane="bottomRight"/>
    </sheetView>
  </sheetViews>
  <sheetFormatPr defaultColWidth="8.6328125" defaultRowHeight="14.5" x14ac:dyDescent="0.35"/>
  <cols>
    <col min="1" max="1" width="4" customWidth="1"/>
    <col min="2" max="2" width="20" customWidth="1"/>
    <col min="3" max="3" width="10" customWidth="1"/>
    <col min="4" max="4" width="12" customWidth="1"/>
    <col min="5" max="5" width="14" customWidth="1"/>
    <col min="6" max="12" width="10" customWidth="1"/>
    <col min="13" max="13" width="8" customWidth="1"/>
    <col min="14" max="14" width="10" customWidth="1"/>
    <col min="15" max="15" width="14" customWidth="1"/>
    <col min="16" max="16" width="16" customWidth="1"/>
  </cols>
  <sheetData>
    <row r="1" spans="1:16" ht="4.5" customHeight="1" x14ac:dyDescent="0.35"/>
    <row r="2" spans="1:16" ht="54" customHeight="1" x14ac:dyDescent="0.35">
      <c r="A2" s="236" t="s">
        <v>508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</row>
    <row r="3" spans="1:16" ht="21.75" customHeight="1" x14ac:dyDescent="0.35">
      <c r="A3" s="10" t="s">
        <v>509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 ht="4.5" customHeight="1" x14ac:dyDescent="0.35"/>
    <row r="5" spans="1:16" ht="19.5" customHeight="1" x14ac:dyDescent="0.35">
      <c r="A5" s="177"/>
      <c r="B5" s="177"/>
      <c r="C5" s="177"/>
      <c r="D5" s="177"/>
      <c r="E5" s="177"/>
      <c r="F5" s="253" t="s">
        <v>510</v>
      </c>
      <c r="G5" s="253"/>
      <c r="H5" s="253"/>
      <c r="I5" s="253"/>
      <c r="J5" s="253"/>
      <c r="K5" s="253"/>
      <c r="L5" s="253"/>
      <c r="M5" s="177"/>
      <c r="N5" s="177"/>
      <c r="O5" s="177"/>
      <c r="P5" s="177"/>
    </row>
    <row r="6" spans="1:16" ht="21.75" customHeight="1" x14ac:dyDescent="0.35">
      <c r="A6" s="12" t="s">
        <v>8</v>
      </c>
      <c r="B6" s="12" t="s">
        <v>9</v>
      </c>
      <c r="C6" s="12" t="s">
        <v>12</v>
      </c>
      <c r="D6" s="12" t="s">
        <v>511</v>
      </c>
      <c r="E6" s="12" t="s">
        <v>22</v>
      </c>
      <c r="F6" s="53" t="s">
        <v>512</v>
      </c>
      <c r="G6" s="55" t="s">
        <v>513</v>
      </c>
      <c r="H6" s="56" t="s">
        <v>514</v>
      </c>
      <c r="I6" s="178" t="s">
        <v>515</v>
      </c>
      <c r="J6" s="57" t="s">
        <v>516</v>
      </c>
      <c r="K6" s="179" t="s">
        <v>517</v>
      </c>
      <c r="L6" s="180" t="s">
        <v>518</v>
      </c>
      <c r="M6" s="12" t="s">
        <v>519</v>
      </c>
      <c r="N6" s="12" t="s">
        <v>520</v>
      </c>
      <c r="O6" s="12" t="s">
        <v>521</v>
      </c>
      <c r="P6" s="12" t="s">
        <v>522</v>
      </c>
    </row>
    <row r="7" spans="1:16" ht="60" customHeight="1" x14ac:dyDescent="0.35">
      <c r="A7" s="17" t="s">
        <v>19</v>
      </c>
      <c r="B7" s="181" t="s">
        <v>523</v>
      </c>
      <c r="C7" s="167" t="str">
        <f t="shared" ref="C7:C38" si="0">IF(N7="","—",IF(N7=1,"🟢 جاهزة",IF(N7&gt;=0.71,"🟡 تكتمل","🔴 لم تبدأ")))</f>
        <v>🔴 لم تبدأ</v>
      </c>
      <c r="D7" s="17" t="s">
        <v>524</v>
      </c>
      <c r="E7" s="17" t="s">
        <v>31</v>
      </c>
      <c r="F7" s="182"/>
      <c r="G7" s="183"/>
      <c r="H7" s="184"/>
      <c r="I7" s="185"/>
      <c r="J7" s="186"/>
      <c r="K7" s="187"/>
      <c r="L7" s="188"/>
      <c r="M7" s="189">
        <f t="shared" ref="M7:M38" si="1">IFERROR(SUM(F7:L7),"")</f>
        <v>0</v>
      </c>
      <c r="N7" s="190">
        <f t="shared" ref="N7:N38" si="2">IFERROR(M7/7,"")</f>
        <v>0</v>
      </c>
      <c r="O7" s="191" t="str">
        <f t="shared" ref="O7:O38" si="3">IF(N7="","—",IF(N7=1,"✅ جاهزة للافتتاح",IF(N7&gt;=0.71,"🟡 تحتاج إكمال","🔴 لم تبدأ / مرفوضة")))</f>
        <v>🔴 لم تبدأ / مرفوضة</v>
      </c>
      <c r="P7" s="110" t="s">
        <v>525</v>
      </c>
    </row>
    <row r="8" spans="1:16" ht="24" customHeight="1" x14ac:dyDescent="0.35">
      <c r="A8" s="24" t="s">
        <v>32</v>
      </c>
      <c r="B8" s="181" t="s">
        <v>526</v>
      </c>
      <c r="C8" s="167" t="str">
        <f t="shared" si="0"/>
        <v>🔴 لم تبدأ</v>
      </c>
      <c r="D8" s="24" t="s">
        <v>524</v>
      </c>
      <c r="E8" s="24" t="s">
        <v>31</v>
      </c>
      <c r="F8" s="182"/>
      <c r="G8" s="183"/>
      <c r="H8" s="184"/>
      <c r="I8" s="185"/>
      <c r="J8" s="186"/>
      <c r="K8" s="187"/>
      <c r="L8" s="188"/>
      <c r="M8" s="189">
        <f t="shared" si="1"/>
        <v>0</v>
      </c>
      <c r="N8" s="190">
        <f t="shared" si="2"/>
        <v>0</v>
      </c>
      <c r="O8" s="191" t="str">
        <f t="shared" si="3"/>
        <v>🔴 لم تبدأ / مرفوضة</v>
      </c>
      <c r="P8" s="115" t="s">
        <v>525</v>
      </c>
    </row>
    <row r="9" spans="1:16" ht="24" customHeight="1" x14ac:dyDescent="0.35">
      <c r="A9" s="17" t="s">
        <v>35</v>
      </c>
      <c r="B9" s="181" t="s">
        <v>527</v>
      </c>
      <c r="C9" s="167" t="str">
        <f t="shared" si="0"/>
        <v>🔴 لم تبدأ</v>
      </c>
      <c r="D9" s="17" t="s">
        <v>524</v>
      </c>
      <c r="E9" s="17" t="s">
        <v>31</v>
      </c>
      <c r="F9" s="182"/>
      <c r="G9" s="183"/>
      <c r="H9" s="184"/>
      <c r="I9" s="185"/>
      <c r="J9" s="186"/>
      <c r="K9" s="187"/>
      <c r="L9" s="188"/>
      <c r="M9" s="189">
        <f t="shared" si="1"/>
        <v>0</v>
      </c>
      <c r="N9" s="190">
        <f t="shared" si="2"/>
        <v>0</v>
      </c>
      <c r="O9" s="191" t="str">
        <f t="shared" si="3"/>
        <v>🔴 لم تبدأ / مرفوضة</v>
      </c>
      <c r="P9" s="110" t="s">
        <v>525</v>
      </c>
    </row>
    <row r="10" spans="1:16" ht="24" customHeight="1" x14ac:dyDescent="0.35">
      <c r="A10" s="24" t="s">
        <v>38</v>
      </c>
      <c r="B10" s="181" t="s">
        <v>528</v>
      </c>
      <c r="C10" s="167" t="str">
        <f t="shared" si="0"/>
        <v>🔴 لم تبدأ</v>
      </c>
      <c r="D10" s="24" t="s">
        <v>524</v>
      </c>
      <c r="E10" s="24" t="s">
        <v>31</v>
      </c>
      <c r="F10" s="182"/>
      <c r="G10" s="183"/>
      <c r="H10" s="184"/>
      <c r="I10" s="185"/>
      <c r="J10" s="186"/>
      <c r="K10" s="187"/>
      <c r="L10" s="188"/>
      <c r="M10" s="189">
        <f t="shared" si="1"/>
        <v>0</v>
      </c>
      <c r="N10" s="190">
        <f t="shared" si="2"/>
        <v>0</v>
      </c>
      <c r="O10" s="191" t="str">
        <f t="shared" si="3"/>
        <v>🔴 لم تبدأ / مرفوضة</v>
      </c>
      <c r="P10" s="115" t="s">
        <v>525</v>
      </c>
    </row>
    <row r="11" spans="1:16" ht="24" customHeight="1" x14ac:dyDescent="0.35">
      <c r="A11" s="17" t="s">
        <v>41</v>
      </c>
      <c r="B11" s="181" t="s">
        <v>529</v>
      </c>
      <c r="C11" s="167" t="str">
        <f t="shared" si="0"/>
        <v>🔴 لم تبدأ</v>
      </c>
      <c r="D11" s="17" t="s">
        <v>524</v>
      </c>
      <c r="E11" s="17" t="s">
        <v>31</v>
      </c>
      <c r="F11" s="182"/>
      <c r="G11" s="183"/>
      <c r="H11" s="184"/>
      <c r="I11" s="185"/>
      <c r="J11" s="186"/>
      <c r="K11" s="187"/>
      <c r="L11" s="188"/>
      <c r="M11" s="189">
        <f t="shared" si="1"/>
        <v>0</v>
      </c>
      <c r="N11" s="190">
        <f t="shared" si="2"/>
        <v>0</v>
      </c>
      <c r="O11" s="191" t="str">
        <f t="shared" si="3"/>
        <v>🔴 لم تبدأ / مرفوضة</v>
      </c>
      <c r="P11" s="110" t="s">
        <v>525</v>
      </c>
    </row>
    <row r="12" spans="1:16" ht="24" customHeight="1" x14ac:dyDescent="0.35">
      <c r="A12" s="24" t="s">
        <v>44</v>
      </c>
      <c r="B12" s="181" t="s">
        <v>530</v>
      </c>
      <c r="C12" s="167" t="str">
        <f t="shared" si="0"/>
        <v>🔴 لم تبدأ</v>
      </c>
      <c r="D12" s="24" t="s">
        <v>524</v>
      </c>
      <c r="E12" s="24" t="s">
        <v>31</v>
      </c>
      <c r="F12" s="182"/>
      <c r="G12" s="183"/>
      <c r="H12" s="184"/>
      <c r="I12" s="185"/>
      <c r="J12" s="186"/>
      <c r="K12" s="187"/>
      <c r="L12" s="188"/>
      <c r="M12" s="189">
        <f t="shared" si="1"/>
        <v>0</v>
      </c>
      <c r="N12" s="190">
        <f t="shared" si="2"/>
        <v>0</v>
      </c>
      <c r="O12" s="191" t="str">
        <f t="shared" si="3"/>
        <v>🔴 لم تبدأ / مرفوضة</v>
      </c>
      <c r="P12" s="115" t="s">
        <v>525</v>
      </c>
    </row>
    <row r="13" spans="1:16" ht="24" customHeight="1" x14ac:dyDescent="0.35">
      <c r="A13" s="17" t="s">
        <v>47</v>
      </c>
      <c r="B13" s="181" t="s">
        <v>531</v>
      </c>
      <c r="C13" s="167" t="str">
        <f t="shared" si="0"/>
        <v>🔴 لم تبدأ</v>
      </c>
      <c r="D13" s="17" t="s">
        <v>524</v>
      </c>
      <c r="E13" s="17" t="s">
        <v>31</v>
      </c>
      <c r="F13" s="182"/>
      <c r="G13" s="183"/>
      <c r="H13" s="184"/>
      <c r="I13" s="185"/>
      <c r="J13" s="186"/>
      <c r="K13" s="187"/>
      <c r="L13" s="188"/>
      <c r="M13" s="189">
        <f t="shared" si="1"/>
        <v>0</v>
      </c>
      <c r="N13" s="190">
        <f t="shared" si="2"/>
        <v>0</v>
      </c>
      <c r="O13" s="191" t="str">
        <f t="shared" si="3"/>
        <v>🔴 لم تبدأ / مرفوضة</v>
      </c>
      <c r="P13" s="110" t="s">
        <v>525</v>
      </c>
    </row>
    <row r="14" spans="1:16" ht="24" customHeight="1" x14ac:dyDescent="0.35">
      <c r="A14" s="24" t="s">
        <v>50</v>
      </c>
      <c r="B14" s="181" t="s">
        <v>532</v>
      </c>
      <c r="C14" s="167" t="str">
        <f t="shared" si="0"/>
        <v>🔴 لم تبدأ</v>
      </c>
      <c r="D14" s="24" t="s">
        <v>524</v>
      </c>
      <c r="E14" s="24" t="s">
        <v>31</v>
      </c>
      <c r="F14" s="182"/>
      <c r="G14" s="183"/>
      <c r="H14" s="184"/>
      <c r="I14" s="185"/>
      <c r="J14" s="186"/>
      <c r="K14" s="187"/>
      <c r="L14" s="188"/>
      <c r="M14" s="189">
        <f t="shared" si="1"/>
        <v>0</v>
      </c>
      <c r="N14" s="190">
        <f t="shared" si="2"/>
        <v>0</v>
      </c>
      <c r="O14" s="191" t="str">
        <f t="shared" si="3"/>
        <v>🔴 لم تبدأ / مرفوضة</v>
      </c>
      <c r="P14" s="115" t="s">
        <v>525</v>
      </c>
    </row>
    <row r="15" spans="1:16" ht="24" customHeight="1" x14ac:dyDescent="0.35">
      <c r="A15" s="17" t="s">
        <v>53</v>
      </c>
      <c r="B15" s="181" t="s">
        <v>533</v>
      </c>
      <c r="C15" s="167" t="str">
        <f t="shared" si="0"/>
        <v>🔴 لم تبدأ</v>
      </c>
      <c r="D15" s="17" t="s">
        <v>524</v>
      </c>
      <c r="E15" s="17" t="s">
        <v>31</v>
      </c>
      <c r="F15" s="182"/>
      <c r="G15" s="183"/>
      <c r="H15" s="184"/>
      <c r="I15" s="185"/>
      <c r="J15" s="186"/>
      <c r="K15" s="187"/>
      <c r="L15" s="188"/>
      <c r="M15" s="189">
        <f t="shared" si="1"/>
        <v>0</v>
      </c>
      <c r="N15" s="190">
        <f t="shared" si="2"/>
        <v>0</v>
      </c>
      <c r="O15" s="191" t="str">
        <f t="shared" si="3"/>
        <v>🔴 لم تبدأ / مرفوضة</v>
      </c>
      <c r="P15" s="110" t="s">
        <v>525</v>
      </c>
    </row>
    <row r="16" spans="1:16" ht="24" customHeight="1" x14ac:dyDescent="0.35">
      <c r="A16" s="24" t="s">
        <v>56</v>
      </c>
      <c r="B16" s="181" t="s">
        <v>534</v>
      </c>
      <c r="C16" s="167" t="str">
        <f t="shared" si="0"/>
        <v>🔴 لم تبدأ</v>
      </c>
      <c r="D16" s="24" t="s">
        <v>524</v>
      </c>
      <c r="E16" s="24" t="s">
        <v>31</v>
      </c>
      <c r="F16" s="182"/>
      <c r="G16" s="183"/>
      <c r="H16" s="184"/>
      <c r="I16" s="185"/>
      <c r="J16" s="186"/>
      <c r="K16" s="187"/>
      <c r="L16" s="188"/>
      <c r="M16" s="189">
        <f t="shared" si="1"/>
        <v>0</v>
      </c>
      <c r="N16" s="190">
        <f t="shared" si="2"/>
        <v>0</v>
      </c>
      <c r="O16" s="191" t="str">
        <f t="shared" si="3"/>
        <v>🔴 لم تبدأ / مرفوضة</v>
      </c>
      <c r="P16" s="115" t="s">
        <v>525</v>
      </c>
    </row>
    <row r="17" spans="1:16" ht="24" customHeight="1" x14ac:dyDescent="0.35">
      <c r="A17" s="17" t="s">
        <v>59</v>
      </c>
      <c r="B17" s="181" t="s">
        <v>535</v>
      </c>
      <c r="C17" s="167" t="str">
        <f t="shared" si="0"/>
        <v>🔴 لم تبدأ</v>
      </c>
      <c r="D17" s="17" t="s">
        <v>524</v>
      </c>
      <c r="E17" s="17" t="s">
        <v>31</v>
      </c>
      <c r="F17" s="182"/>
      <c r="G17" s="183"/>
      <c r="H17" s="184"/>
      <c r="I17" s="185"/>
      <c r="J17" s="186"/>
      <c r="K17" s="187"/>
      <c r="L17" s="188"/>
      <c r="M17" s="189">
        <f t="shared" si="1"/>
        <v>0</v>
      </c>
      <c r="N17" s="190">
        <f t="shared" si="2"/>
        <v>0</v>
      </c>
      <c r="O17" s="191" t="str">
        <f t="shared" si="3"/>
        <v>🔴 لم تبدأ / مرفوضة</v>
      </c>
      <c r="P17" s="110" t="s">
        <v>525</v>
      </c>
    </row>
    <row r="18" spans="1:16" ht="24" customHeight="1" x14ac:dyDescent="0.35">
      <c r="A18" s="24" t="s">
        <v>62</v>
      </c>
      <c r="B18" s="181" t="s">
        <v>536</v>
      </c>
      <c r="C18" s="167" t="str">
        <f t="shared" si="0"/>
        <v>🔴 لم تبدأ</v>
      </c>
      <c r="D18" s="24" t="s">
        <v>524</v>
      </c>
      <c r="E18" s="24" t="s">
        <v>31</v>
      </c>
      <c r="F18" s="182"/>
      <c r="G18" s="183"/>
      <c r="H18" s="184"/>
      <c r="I18" s="185"/>
      <c r="J18" s="186"/>
      <c r="K18" s="187"/>
      <c r="L18" s="188"/>
      <c r="M18" s="189">
        <f t="shared" si="1"/>
        <v>0</v>
      </c>
      <c r="N18" s="190">
        <f t="shared" si="2"/>
        <v>0</v>
      </c>
      <c r="O18" s="191" t="str">
        <f t="shared" si="3"/>
        <v>🔴 لم تبدأ / مرفوضة</v>
      </c>
      <c r="P18" s="115" t="s">
        <v>525</v>
      </c>
    </row>
    <row r="19" spans="1:16" ht="24" customHeight="1" x14ac:dyDescent="0.35">
      <c r="A19" s="17" t="s">
        <v>65</v>
      </c>
      <c r="B19" s="181" t="s">
        <v>537</v>
      </c>
      <c r="C19" s="167" t="str">
        <f t="shared" si="0"/>
        <v>🔴 لم تبدأ</v>
      </c>
      <c r="D19" s="17" t="s">
        <v>524</v>
      </c>
      <c r="E19" s="17" t="s">
        <v>31</v>
      </c>
      <c r="F19" s="182"/>
      <c r="G19" s="183"/>
      <c r="H19" s="184"/>
      <c r="I19" s="185"/>
      <c r="J19" s="186"/>
      <c r="K19" s="187"/>
      <c r="L19" s="188"/>
      <c r="M19" s="189">
        <f t="shared" si="1"/>
        <v>0</v>
      </c>
      <c r="N19" s="190">
        <f t="shared" si="2"/>
        <v>0</v>
      </c>
      <c r="O19" s="191" t="str">
        <f t="shared" si="3"/>
        <v>🔴 لم تبدأ / مرفوضة</v>
      </c>
      <c r="P19" s="110" t="s">
        <v>525</v>
      </c>
    </row>
    <row r="20" spans="1:16" ht="24" customHeight="1" x14ac:dyDescent="0.35">
      <c r="A20" s="24" t="s">
        <v>68</v>
      </c>
      <c r="B20" s="181" t="s">
        <v>538</v>
      </c>
      <c r="C20" s="167" t="str">
        <f t="shared" si="0"/>
        <v>🔴 لم تبدأ</v>
      </c>
      <c r="D20" s="24" t="s">
        <v>524</v>
      </c>
      <c r="E20" s="24" t="s">
        <v>31</v>
      </c>
      <c r="F20" s="182"/>
      <c r="G20" s="183"/>
      <c r="H20" s="184"/>
      <c r="I20" s="185"/>
      <c r="J20" s="186"/>
      <c r="K20" s="187"/>
      <c r="L20" s="188"/>
      <c r="M20" s="189">
        <f t="shared" si="1"/>
        <v>0</v>
      </c>
      <c r="N20" s="190">
        <f t="shared" si="2"/>
        <v>0</v>
      </c>
      <c r="O20" s="191" t="str">
        <f t="shared" si="3"/>
        <v>🔴 لم تبدأ / مرفوضة</v>
      </c>
      <c r="P20" s="115" t="s">
        <v>525</v>
      </c>
    </row>
    <row r="21" spans="1:16" ht="24" customHeight="1" x14ac:dyDescent="0.35">
      <c r="A21" s="17" t="s">
        <v>71</v>
      </c>
      <c r="B21" s="181" t="s">
        <v>539</v>
      </c>
      <c r="C21" s="167" t="str">
        <f t="shared" si="0"/>
        <v>🔴 لم تبدأ</v>
      </c>
      <c r="D21" s="17" t="s">
        <v>524</v>
      </c>
      <c r="E21" s="17" t="s">
        <v>31</v>
      </c>
      <c r="F21" s="182"/>
      <c r="G21" s="183"/>
      <c r="H21" s="184"/>
      <c r="I21" s="185"/>
      <c r="J21" s="186"/>
      <c r="K21" s="187"/>
      <c r="L21" s="188"/>
      <c r="M21" s="189">
        <f t="shared" si="1"/>
        <v>0</v>
      </c>
      <c r="N21" s="190">
        <f t="shared" si="2"/>
        <v>0</v>
      </c>
      <c r="O21" s="191" t="str">
        <f t="shared" si="3"/>
        <v>🔴 لم تبدأ / مرفوضة</v>
      </c>
      <c r="P21" s="110" t="s">
        <v>525</v>
      </c>
    </row>
    <row r="22" spans="1:16" ht="24" customHeight="1" x14ac:dyDescent="0.35">
      <c r="A22" s="24" t="s">
        <v>74</v>
      </c>
      <c r="B22" s="181" t="s">
        <v>540</v>
      </c>
      <c r="C22" s="167" t="str">
        <f t="shared" si="0"/>
        <v>🔴 لم تبدأ</v>
      </c>
      <c r="D22" s="24" t="s">
        <v>524</v>
      </c>
      <c r="E22" s="24" t="s">
        <v>31</v>
      </c>
      <c r="F22" s="182"/>
      <c r="G22" s="183"/>
      <c r="H22" s="184"/>
      <c r="I22" s="185"/>
      <c r="J22" s="186"/>
      <c r="K22" s="187"/>
      <c r="L22" s="188"/>
      <c r="M22" s="189">
        <f t="shared" si="1"/>
        <v>0</v>
      </c>
      <c r="N22" s="190">
        <f t="shared" si="2"/>
        <v>0</v>
      </c>
      <c r="O22" s="191" t="str">
        <f t="shared" si="3"/>
        <v>🔴 لم تبدأ / مرفوضة</v>
      </c>
      <c r="P22" s="115" t="s">
        <v>525</v>
      </c>
    </row>
    <row r="23" spans="1:16" ht="24" customHeight="1" x14ac:dyDescent="0.35">
      <c r="A23" s="17" t="s">
        <v>77</v>
      </c>
      <c r="B23" s="181" t="s">
        <v>541</v>
      </c>
      <c r="C23" s="167" t="str">
        <f t="shared" si="0"/>
        <v>🔴 لم تبدأ</v>
      </c>
      <c r="D23" s="17" t="s">
        <v>524</v>
      </c>
      <c r="E23" s="17" t="s">
        <v>31</v>
      </c>
      <c r="F23" s="182"/>
      <c r="G23" s="183"/>
      <c r="H23" s="184"/>
      <c r="I23" s="185"/>
      <c r="J23" s="186"/>
      <c r="K23" s="187"/>
      <c r="L23" s="188"/>
      <c r="M23" s="189">
        <f t="shared" si="1"/>
        <v>0</v>
      </c>
      <c r="N23" s="190">
        <f t="shared" si="2"/>
        <v>0</v>
      </c>
      <c r="O23" s="191" t="str">
        <f t="shared" si="3"/>
        <v>🔴 لم تبدأ / مرفوضة</v>
      </c>
      <c r="P23" s="110" t="s">
        <v>525</v>
      </c>
    </row>
    <row r="24" spans="1:16" ht="24" customHeight="1" x14ac:dyDescent="0.35">
      <c r="A24" s="24" t="s">
        <v>80</v>
      </c>
      <c r="B24" s="181" t="s">
        <v>542</v>
      </c>
      <c r="C24" s="167" t="str">
        <f t="shared" si="0"/>
        <v>🔴 لم تبدأ</v>
      </c>
      <c r="D24" s="24" t="s">
        <v>543</v>
      </c>
      <c r="E24" s="24" t="s">
        <v>83</v>
      </c>
      <c r="F24" s="182"/>
      <c r="G24" s="183"/>
      <c r="H24" s="184"/>
      <c r="I24" s="185"/>
      <c r="J24" s="186"/>
      <c r="K24" s="187"/>
      <c r="L24" s="188"/>
      <c r="M24" s="189">
        <f t="shared" si="1"/>
        <v>0</v>
      </c>
      <c r="N24" s="190">
        <f t="shared" si="2"/>
        <v>0</v>
      </c>
      <c r="O24" s="191" t="str">
        <f t="shared" si="3"/>
        <v>🔴 لم تبدأ / مرفوضة</v>
      </c>
      <c r="P24" s="115" t="s">
        <v>525</v>
      </c>
    </row>
    <row r="25" spans="1:16" ht="24" customHeight="1" x14ac:dyDescent="0.35">
      <c r="A25" s="17" t="s">
        <v>84</v>
      </c>
      <c r="B25" s="181" t="s">
        <v>544</v>
      </c>
      <c r="C25" s="167" t="str">
        <f t="shared" si="0"/>
        <v>🔴 لم تبدأ</v>
      </c>
      <c r="D25" s="17" t="s">
        <v>543</v>
      </c>
      <c r="E25" s="17" t="s">
        <v>83</v>
      </c>
      <c r="F25" s="182"/>
      <c r="G25" s="183"/>
      <c r="H25" s="184"/>
      <c r="I25" s="185"/>
      <c r="J25" s="186"/>
      <c r="K25" s="187"/>
      <c r="L25" s="188"/>
      <c r="M25" s="189">
        <f t="shared" si="1"/>
        <v>0</v>
      </c>
      <c r="N25" s="190">
        <f t="shared" si="2"/>
        <v>0</v>
      </c>
      <c r="O25" s="191" t="str">
        <f t="shared" si="3"/>
        <v>🔴 لم تبدأ / مرفوضة</v>
      </c>
      <c r="P25" s="110" t="s">
        <v>525</v>
      </c>
    </row>
    <row r="26" spans="1:16" ht="24" customHeight="1" x14ac:dyDescent="0.35">
      <c r="A26" s="24" t="s">
        <v>87</v>
      </c>
      <c r="B26" s="181" t="s">
        <v>545</v>
      </c>
      <c r="C26" s="167" t="str">
        <f t="shared" si="0"/>
        <v>🔴 لم تبدأ</v>
      </c>
      <c r="D26" s="24" t="s">
        <v>543</v>
      </c>
      <c r="E26" s="24" t="s">
        <v>83</v>
      </c>
      <c r="F26" s="182"/>
      <c r="G26" s="183"/>
      <c r="H26" s="184"/>
      <c r="I26" s="185"/>
      <c r="J26" s="186"/>
      <c r="K26" s="187"/>
      <c r="L26" s="188"/>
      <c r="M26" s="189">
        <f t="shared" si="1"/>
        <v>0</v>
      </c>
      <c r="N26" s="190">
        <f t="shared" si="2"/>
        <v>0</v>
      </c>
      <c r="O26" s="191" t="str">
        <f t="shared" si="3"/>
        <v>🔴 لم تبدأ / مرفوضة</v>
      </c>
      <c r="P26" s="115" t="s">
        <v>525</v>
      </c>
    </row>
    <row r="27" spans="1:16" ht="24" customHeight="1" x14ac:dyDescent="0.35">
      <c r="A27" s="17" t="s">
        <v>90</v>
      </c>
      <c r="B27" s="181" t="s">
        <v>546</v>
      </c>
      <c r="C27" s="167" t="str">
        <f t="shared" si="0"/>
        <v>🔴 لم تبدأ</v>
      </c>
      <c r="D27" s="17" t="s">
        <v>543</v>
      </c>
      <c r="E27" s="17" t="s">
        <v>83</v>
      </c>
      <c r="F27" s="182"/>
      <c r="G27" s="183"/>
      <c r="H27" s="184"/>
      <c r="I27" s="185"/>
      <c r="J27" s="186"/>
      <c r="K27" s="187"/>
      <c r="L27" s="188"/>
      <c r="M27" s="189">
        <f t="shared" si="1"/>
        <v>0</v>
      </c>
      <c r="N27" s="190">
        <f t="shared" si="2"/>
        <v>0</v>
      </c>
      <c r="O27" s="191" t="str">
        <f t="shared" si="3"/>
        <v>🔴 لم تبدأ / مرفوضة</v>
      </c>
      <c r="P27" s="110" t="s">
        <v>525</v>
      </c>
    </row>
    <row r="28" spans="1:16" ht="24" customHeight="1" x14ac:dyDescent="0.35">
      <c r="A28" s="24" t="s">
        <v>93</v>
      </c>
      <c r="B28" s="181" t="s">
        <v>547</v>
      </c>
      <c r="C28" s="167" t="str">
        <f t="shared" si="0"/>
        <v>🔴 لم تبدأ</v>
      </c>
      <c r="D28" s="24" t="s">
        <v>543</v>
      </c>
      <c r="E28" s="24" t="s">
        <v>83</v>
      </c>
      <c r="F28" s="182"/>
      <c r="G28" s="183"/>
      <c r="H28" s="184"/>
      <c r="I28" s="185"/>
      <c r="J28" s="186"/>
      <c r="K28" s="187"/>
      <c r="L28" s="188"/>
      <c r="M28" s="189">
        <f t="shared" si="1"/>
        <v>0</v>
      </c>
      <c r="N28" s="190">
        <f t="shared" si="2"/>
        <v>0</v>
      </c>
      <c r="O28" s="191" t="str">
        <f t="shared" si="3"/>
        <v>🔴 لم تبدأ / مرفوضة</v>
      </c>
      <c r="P28" s="115" t="s">
        <v>525</v>
      </c>
    </row>
    <row r="29" spans="1:16" ht="24" customHeight="1" x14ac:dyDescent="0.35">
      <c r="A29" s="17" t="s">
        <v>96</v>
      </c>
      <c r="B29" s="181" t="s">
        <v>548</v>
      </c>
      <c r="C29" s="167" t="str">
        <f t="shared" si="0"/>
        <v>🔴 لم تبدأ</v>
      </c>
      <c r="D29" s="17" t="s">
        <v>543</v>
      </c>
      <c r="E29" s="17" t="s">
        <v>83</v>
      </c>
      <c r="F29" s="182"/>
      <c r="G29" s="183"/>
      <c r="H29" s="184"/>
      <c r="I29" s="185"/>
      <c r="J29" s="186"/>
      <c r="K29" s="187"/>
      <c r="L29" s="188"/>
      <c r="M29" s="189">
        <f t="shared" si="1"/>
        <v>0</v>
      </c>
      <c r="N29" s="190">
        <f t="shared" si="2"/>
        <v>0</v>
      </c>
      <c r="O29" s="191" t="str">
        <f t="shared" si="3"/>
        <v>🔴 لم تبدأ / مرفوضة</v>
      </c>
      <c r="P29" s="110" t="s">
        <v>525</v>
      </c>
    </row>
    <row r="30" spans="1:16" ht="24" customHeight="1" x14ac:dyDescent="0.35">
      <c r="A30" s="24" t="s">
        <v>99</v>
      </c>
      <c r="B30" s="181" t="s">
        <v>549</v>
      </c>
      <c r="C30" s="167" t="str">
        <f t="shared" si="0"/>
        <v>🔴 لم تبدأ</v>
      </c>
      <c r="D30" s="24" t="s">
        <v>543</v>
      </c>
      <c r="E30" s="24" t="s">
        <v>83</v>
      </c>
      <c r="F30" s="182"/>
      <c r="G30" s="183"/>
      <c r="H30" s="184"/>
      <c r="I30" s="185"/>
      <c r="J30" s="186"/>
      <c r="K30" s="187"/>
      <c r="L30" s="188"/>
      <c r="M30" s="189">
        <f t="shared" si="1"/>
        <v>0</v>
      </c>
      <c r="N30" s="190">
        <f t="shared" si="2"/>
        <v>0</v>
      </c>
      <c r="O30" s="191" t="str">
        <f t="shared" si="3"/>
        <v>🔴 لم تبدأ / مرفوضة</v>
      </c>
      <c r="P30" s="115" t="s">
        <v>525</v>
      </c>
    </row>
    <row r="31" spans="1:16" ht="24" customHeight="1" x14ac:dyDescent="0.35">
      <c r="A31" s="17" t="s">
        <v>102</v>
      </c>
      <c r="B31" s="181" t="s">
        <v>550</v>
      </c>
      <c r="C31" s="167" t="str">
        <f t="shared" si="0"/>
        <v>🔴 لم تبدأ</v>
      </c>
      <c r="D31" s="17" t="s">
        <v>543</v>
      </c>
      <c r="E31" s="17" t="s">
        <v>83</v>
      </c>
      <c r="F31" s="182"/>
      <c r="G31" s="183"/>
      <c r="H31" s="184"/>
      <c r="I31" s="185"/>
      <c r="J31" s="186"/>
      <c r="K31" s="187"/>
      <c r="L31" s="188"/>
      <c r="M31" s="189">
        <f t="shared" si="1"/>
        <v>0</v>
      </c>
      <c r="N31" s="190">
        <f t="shared" si="2"/>
        <v>0</v>
      </c>
      <c r="O31" s="191" t="str">
        <f t="shared" si="3"/>
        <v>🔴 لم تبدأ / مرفوضة</v>
      </c>
      <c r="P31" s="110" t="s">
        <v>525</v>
      </c>
    </row>
    <row r="32" spans="1:16" ht="24" customHeight="1" x14ac:dyDescent="0.35">
      <c r="A32" s="24" t="s">
        <v>105</v>
      </c>
      <c r="B32" s="181" t="s">
        <v>551</v>
      </c>
      <c r="C32" s="167" t="str">
        <f t="shared" si="0"/>
        <v>🔴 لم تبدأ</v>
      </c>
      <c r="D32" s="24" t="s">
        <v>543</v>
      </c>
      <c r="E32" s="24" t="s">
        <v>83</v>
      </c>
      <c r="F32" s="182"/>
      <c r="G32" s="183"/>
      <c r="H32" s="184"/>
      <c r="I32" s="185"/>
      <c r="J32" s="186"/>
      <c r="K32" s="187"/>
      <c r="L32" s="188"/>
      <c r="M32" s="189">
        <f t="shared" si="1"/>
        <v>0</v>
      </c>
      <c r="N32" s="190">
        <f t="shared" si="2"/>
        <v>0</v>
      </c>
      <c r="O32" s="191" t="str">
        <f t="shared" si="3"/>
        <v>🔴 لم تبدأ / مرفوضة</v>
      </c>
      <c r="P32" s="115" t="s">
        <v>525</v>
      </c>
    </row>
    <row r="33" spans="1:16" ht="24" customHeight="1" x14ac:dyDescent="0.35">
      <c r="A33" s="17" t="s">
        <v>108</v>
      </c>
      <c r="B33" s="181" t="s">
        <v>552</v>
      </c>
      <c r="C33" s="167" t="str">
        <f t="shared" si="0"/>
        <v>🔴 لم تبدأ</v>
      </c>
      <c r="D33" s="17" t="s">
        <v>543</v>
      </c>
      <c r="E33" s="17" t="s">
        <v>83</v>
      </c>
      <c r="F33" s="182"/>
      <c r="G33" s="183"/>
      <c r="H33" s="184"/>
      <c r="I33" s="185"/>
      <c r="J33" s="186"/>
      <c r="K33" s="187"/>
      <c r="L33" s="188"/>
      <c r="M33" s="189">
        <f t="shared" si="1"/>
        <v>0</v>
      </c>
      <c r="N33" s="190">
        <f t="shared" si="2"/>
        <v>0</v>
      </c>
      <c r="O33" s="191" t="str">
        <f t="shared" si="3"/>
        <v>🔴 لم تبدأ / مرفوضة</v>
      </c>
      <c r="P33" s="110" t="s">
        <v>525</v>
      </c>
    </row>
    <row r="34" spans="1:16" ht="24" customHeight="1" x14ac:dyDescent="0.35">
      <c r="A34" s="24" t="s">
        <v>111</v>
      </c>
      <c r="B34" s="181" t="s">
        <v>553</v>
      </c>
      <c r="C34" s="167" t="str">
        <f t="shared" si="0"/>
        <v>🔴 لم تبدأ</v>
      </c>
      <c r="D34" s="24" t="s">
        <v>543</v>
      </c>
      <c r="E34" s="24" t="s">
        <v>83</v>
      </c>
      <c r="F34" s="182"/>
      <c r="G34" s="183"/>
      <c r="H34" s="184"/>
      <c r="I34" s="185"/>
      <c r="J34" s="186"/>
      <c r="K34" s="187"/>
      <c r="L34" s="188"/>
      <c r="M34" s="189">
        <f t="shared" si="1"/>
        <v>0</v>
      </c>
      <c r="N34" s="190">
        <f t="shared" si="2"/>
        <v>0</v>
      </c>
      <c r="O34" s="191" t="str">
        <f t="shared" si="3"/>
        <v>🔴 لم تبدأ / مرفوضة</v>
      </c>
      <c r="P34" s="115" t="s">
        <v>525</v>
      </c>
    </row>
    <row r="35" spans="1:16" ht="24" customHeight="1" x14ac:dyDescent="0.35">
      <c r="A35" s="17" t="s">
        <v>114</v>
      </c>
      <c r="B35" s="181" t="s">
        <v>554</v>
      </c>
      <c r="C35" s="167" t="str">
        <f t="shared" si="0"/>
        <v>🔴 لم تبدأ</v>
      </c>
      <c r="D35" s="17" t="s">
        <v>543</v>
      </c>
      <c r="E35" s="17" t="s">
        <v>83</v>
      </c>
      <c r="F35" s="182"/>
      <c r="G35" s="183"/>
      <c r="H35" s="184"/>
      <c r="I35" s="185"/>
      <c r="J35" s="186"/>
      <c r="K35" s="187"/>
      <c r="L35" s="188"/>
      <c r="M35" s="189">
        <f t="shared" si="1"/>
        <v>0</v>
      </c>
      <c r="N35" s="190">
        <f t="shared" si="2"/>
        <v>0</v>
      </c>
      <c r="O35" s="191" t="str">
        <f t="shared" si="3"/>
        <v>🔴 لم تبدأ / مرفوضة</v>
      </c>
      <c r="P35" s="110" t="s">
        <v>525</v>
      </c>
    </row>
    <row r="36" spans="1:16" ht="24" customHeight="1" x14ac:dyDescent="0.35">
      <c r="A36" s="24" t="s">
        <v>117</v>
      </c>
      <c r="B36" s="181" t="s">
        <v>555</v>
      </c>
      <c r="C36" s="167" t="str">
        <f t="shared" si="0"/>
        <v>🔴 لم تبدأ</v>
      </c>
      <c r="D36" s="24" t="s">
        <v>543</v>
      </c>
      <c r="E36" s="24" t="s">
        <v>83</v>
      </c>
      <c r="F36" s="182"/>
      <c r="G36" s="183"/>
      <c r="H36" s="184"/>
      <c r="I36" s="185"/>
      <c r="J36" s="186"/>
      <c r="K36" s="187"/>
      <c r="L36" s="188"/>
      <c r="M36" s="189">
        <f t="shared" si="1"/>
        <v>0</v>
      </c>
      <c r="N36" s="190">
        <f t="shared" si="2"/>
        <v>0</v>
      </c>
      <c r="O36" s="191" t="str">
        <f t="shared" si="3"/>
        <v>🔴 لم تبدأ / مرفوضة</v>
      </c>
      <c r="P36" s="115" t="s">
        <v>525</v>
      </c>
    </row>
    <row r="37" spans="1:16" ht="24" customHeight="1" x14ac:dyDescent="0.35">
      <c r="A37" s="17" t="s">
        <v>120</v>
      </c>
      <c r="B37" s="181" t="s">
        <v>556</v>
      </c>
      <c r="C37" s="167" t="str">
        <f t="shared" si="0"/>
        <v>🔴 لم تبدأ</v>
      </c>
      <c r="D37" s="17" t="s">
        <v>543</v>
      </c>
      <c r="E37" s="17" t="s">
        <v>83</v>
      </c>
      <c r="F37" s="182"/>
      <c r="G37" s="183"/>
      <c r="H37" s="184"/>
      <c r="I37" s="185"/>
      <c r="J37" s="186"/>
      <c r="K37" s="187"/>
      <c r="L37" s="188"/>
      <c r="M37" s="189">
        <f t="shared" si="1"/>
        <v>0</v>
      </c>
      <c r="N37" s="190">
        <f t="shared" si="2"/>
        <v>0</v>
      </c>
      <c r="O37" s="191" t="str">
        <f t="shared" si="3"/>
        <v>🔴 لم تبدأ / مرفوضة</v>
      </c>
      <c r="P37" s="110" t="s">
        <v>525</v>
      </c>
    </row>
    <row r="38" spans="1:16" ht="24" customHeight="1" x14ac:dyDescent="0.35">
      <c r="A38" s="24" t="s">
        <v>123</v>
      </c>
      <c r="B38" s="181" t="s">
        <v>557</v>
      </c>
      <c r="C38" s="167" t="str">
        <f t="shared" si="0"/>
        <v>🔴 لم تبدأ</v>
      </c>
      <c r="D38" s="24" t="s">
        <v>543</v>
      </c>
      <c r="E38" s="24" t="s">
        <v>83</v>
      </c>
      <c r="F38" s="182"/>
      <c r="G38" s="183"/>
      <c r="H38" s="184"/>
      <c r="I38" s="185"/>
      <c r="J38" s="186"/>
      <c r="K38" s="187"/>
      <c r="L38" s="188"/>
      <c r="M38" s="189">
        <f t="shared" si="1"/>
        <v>0</v>
      </c>
      <c r="N38" s="190">
        <f t="shared" si="2"/>
        <v>0</v>
      </c>
      <c r="O38" s="191" t="str">
        <f t="shared" si="3"/>
        <v>🔴 لم تبدأ / مرفوضة</v>
      </c>
      <c r="P38" s="115" t="s">
        <v>525</v>
      </c>
    </row>
    <row r="39" spans="1:16" ht="24" customHeight="1" x14ac:dyDescent="0.35">
      <c r="A39" s="17" t="s">
        <v>126</v>
      </c>
      <c r="B39" s="181" t="s">
        <v>558</v>
      </c>
      <c r="C39" s="167" t="str">
        <f t="shared" ref="C39:C70" si="4">IF(N39="","—",IF(N39=1,"🟢 جاهزة",IF(N39&gt;=0.71,"🟡 تكتمل","🔴 لم تبدأ")))</f>
        <v>🔴 لم تبدأ</v>
      </c>
      <c r="D39" s="17" t="s">
        <v>543</v>
      </c>
      <c r="E39" s="17" t="s">
        <v>83</v>
      </c>
      <c r="F39" s="182"/>
      <c r="G39" s="183"/>
      <c r="H39" s="184"/>
      <c r="I39" s="185"/>
      <c r="J39" s="186"/>
      <c r="K39" s="187"/>
      <c r="L39" s="188"/>
      <c r="M39" s="189">
        <f t="shared" ref="M39:M70" si="5">IFERROR(SUM(F39:L39),"")</f>
        <v>0</v>
      </c>
      <c r="N39" s="190">
        <f t="shared" ref="N39:N70" si="6">IFERROR(M39/7,"")</f>
        <v>0</v>
      </c>
      <c r="O39" s="191" t="str">
        <f t="shared" ref="O39:O70" si="7">IF(N39="","—",IF(N39=1,"✅ جاهزة للافتتاح",IF(N39&gt;=0.71,"🟡 تحتاج إكمال","🔴 لم تبدأ / مرفوضة")))</f>
        <v>🔴 لم تبدأ / مرفوضة</v>
      </c>
      <c r="P39" s="110" t="s">
        <v>525</v>
      </c>
    </row>
    <row r="40" spans="1:16" ht="24" customHeight="1" x14ac:dyDescent="0.35">
      <c r="A40" s="24" t="s">
        <v>129</v>
      </c>
      <c r="B40" s="181" t="s">
        <v>559</v>
      </c>
      <c r="C40" s="167" t="str">
        <f t="shared" si="4"/>
        <v>🔴 لم تبدأ</v>
      </c>
      <c r="D40" s="24" t="s">
        <v>543</v>
      </c>
      <c r="E40" s="24" t="s">
        <v>83</v>
      </c>
      <c r="F40" s="182"/>
      <c r="G40" s="183"/>
      <c r="H40" s="184"/>
      <c r="I40" s="185"/>
      <c r="J40" s="186"/>
      <c r="K40" s="187"/>
      <c r="L40" s="188"/>
      <c r="M40" s="189">
        <f t="shared" si="5"/>
        <v>0</v>
      </c>
      <c r="N40" s="190">
        <f t="shared" si="6"/>
        <v>0</v>
      </c>
      <c r="O40" s="191" t="str">
        <f t="shared" si="7"/>
        <v>🔴 لم تبدأ / مرفوضة</v>
      </c>
      <c r="P40" s="115" t="s">
        <v>525</v>
      </c>
    </row>
    <row r="41" spans="1:16" ht="24" customHeight="1" x14ac:dyDescent="0.35">
      <c r="A41" s="17" t="s">
        <v>132</v>
      </c>
      <c r="B41" s="181" t="s">
        <v>560</v>
      </c>
      <c r="C41" s="167" t="str">
        <f t="shared" si="4"/>
        <v>🔴 لم تبدأ</v>
      </c>
      <c r="D41" s="17" t="s">
        <v>561</v>
      </c>
      <c r="E41" s="17" t="s">
        <v>135</v>
      </c>
      <c r="F41" s="182"/>
      <c r="G41" s="183"/>
      <c r="H41" s="184"/>
      <c r="I41" s="185"/>
      <c r="J41" s="186"/>
      <c r="K41" s="187"/>
      <c r="L41" s="188"/>
      <c r="M41" s="189">
        <f t="shared" si="5"/>
        <v>0</v>
      </c>
      <c r="N41" s="190">
        <f t="shared" si="6"/>
        <v>0</v>
      </c>
      <c r="O41" s="191" t="str">
        <f t="shared" si="7"/>
        <v>🔴 لم تبدأ / مرفوضة</v>
      </c>
      <c r="P41" s="110" t="s">
        <v>525</v>
      </c>
    </row>
    <row r="42" spans="1:16" ht="24" customHeight="1" x14ac:dyDescent="0.35">
      <c r="A42" s="24" t="s">
        <v>136</v>
      </c>
      <c r="B42" s="181" t="s">
        <v>562</v>
      </c>
      <c r="C42" s="167" t="str">
        <f t="shared" si="4"/>
        <v>🔴 لم تبدأ</v>
      </c>
      <c r="D42" s="24" t="s">
        <v>561</v>
      </c>
      <c r="E42" s="24" t="s">
        <v>135</v>
      </c>
      <c r="F42" s="182"/>
      <c r="G42" s="183"/>
      <c r="H42" s="184"/>
      <c r="I42" s="185"/>
      <c r="J42" s="186"/>
      <c r="K42" s="187"/>
      <c r="L42" s="188"/>
      <c r="M42" s="189">
        <f t="shared" si="5"/>
        <v>0</v>
      </c>
      <c r="N42" s="190">
        <f t="shared" si="6"/>
        <v>0</v>
      </c>
      <c r="O42" s="191" t="str">
        <f t="shared" si="7"/>
        <v>🔴 لم تبدأ / مرفوضة</v>
      </c>
      <c r="P42" s="115" t="s">
        <v>525</v>
      </c>
    </row>
    <row r="43" spans="1:16" ht="24" customHeight="1" x14ac:dyDescent="0.35">
      <c r="A43" s="17" t="s">
        <v>139</v>
      </c>
      <c r="B43" s="181" t="s">
        <v>563</v>
      </c>
      <c r="C43" s="167" t="str">
        <f t="shared" si="4"/>
        <v>🔴 لم تبدأ</v>
      </c>
      <c r="D43" s="17" t="s">
        <v>561</v>
      </c>
      <c r="E43" s="17" t="s">
        <v>135</v>
      </c>
      <c r="F43" s="182"/>
      <c r="G43" s="183"/>
      <c r="H43" s="184"/>
      <c r="I43" s="185"/>
      <c r="J43" s="186"/>
      <c r="K43" s="187"/>
      <c r="L43" s="188"/>
      <c r="M43" s="189">
        <f t="shared" si="5"/>
        <v>0</v>
      </c>
      <c r="N43" s="190">
        <f t="shared" si="6"/>
        <v>0</v>
      </c>
      <c r="O43" s="191" t="str">
        <f t="shared" si="7"/>
        <v>🔴 لم تبدأ / مرفوضة</v>
      </c>
      <c r="P43" s="110" t="s">
        <v>525</v>
      </c>
    </row>
    <row r="44" spans="1:16" ht="24" customHeight="1" x14ac:dyDescent="0.35">
      <c r="A44" s="24" t="s">
        <v>142</v>
      </c>
      <c r="B44" s="181" t="s">
        <v>564</v>
      </c>
      <c r="C44" s="167" t="str">
        <f t="shared" si="4"/>
        <v>🔴 لم تبدأ</v>
      </c>
      <c r="D44" s="24" t="s">
        <v>561</v>
      </c>
      <c r="E44" s="24" t="s">
        <v>135</v>
      </c>
      <c r="F44" s="182"/>
      <c r="G44" s="183"/>
      <c r="H44" s="184"/>
      <c r="I44" s="185"/>
      <c r="J44" s="186"/>
      <c r="K44" s="187"/>
      <c r="L44" s="188"/>
      <c r="M44" s="189">
        <f t="shared" si="5"/>
        <v>0</v>
      </c>
      <c r="N44" s="190">
        <f t="shared" si="6"/>
        <v>0</v>
      </c>
      <c r="O44" s="191" t="str">
        <f t="shared" si="7"/>
        <v>🔴 لم تبدأ / مرفوضة</v>
      </c>
      <c r="P44" s="115" t="s">
        <v>525</v>
      </c>
    </row>
    <row r="45" spans="1:16" ht="24" customHeight="1" x14ac:dyDescent="0.35">
      <c r="A45" s="17" t="s">
        <v>145</v>
      </c>
      <c r="B45" s="181" t="s">
        <v>565</v>
      </c>
      <c r="C45" s="167" t="str">
        <f t="shared" si="4"/>
        <v>🔴 لم تبدأ</v>
      </c>
      <c r="D45" s="17" t="s">
        <v>561</v>
      </c>
      <c r="E45" s="17" t="s">
        <v>135</v>
      </c>
      <c r="F45" s="182"/>
      <c r="G45" s="183"/>
      <c r="H45" s="184"/>
      <c r="I45" s="185"/>
      <c r="J45" s="186"/>
      <c r="K45" s="187"/>
      <c r="L45" s="188"/>
      <c r="M45" s="189">
        <f t="shared" si="5"/>
        <v>0</v>
      </c>
      <c r="N45" s="190">
        <f t="shared" si="6"/>
        <v>0</v>
      </c>
      <c r="O45" s="191" t="str">
        <f t="shared" si="7"/>
        <v>🔴 لم تبدأ / مرفوضة</v>
      </c>
      <c r="P45" s="110" t="s">
        <v>525</v>
      </c>
    </row>
    <row r="46" spans="1:16" ht="24" customHeight="1" x14ac:dyDescent="0.35">
      <c r="A46" s="24" t="s">
        <v>148</v>
      </c>
      <c r="B46" s="181" t="s">
        <v>566</v>
      </c>
      <c r="C46" s="167" t="str">
        <f t="shared" si="4"/>
        <v>🔴 لم تبدأ</v>
      </c>
      <c r="D46" s="24" t="s">
        <v>561</v>
      </c>
      <c r="E46" s="24" t="s">
        <v>135</v>
      </c>
      <c r="F46" s="182"/>
      <c r="G46" s="183"/>
      <c r="H46" s="184"/>
      <c r="I46" s="185"/>
      <c r="J46" s="186"/>
      <c r="K46" s="187"/>
      <c r="L46" s="188"/>
      <c r="M46" s="189">
        <f t="shared" si="5"/>
        <v>0</v>
      </c>
      <c r="N46" s="190">
        <f t="shared" si="6"/>
        <v>0</v>
      </c>
      <c r="O46" s="191" t="str">
        <f t="shared" si="7"/>
        <v>🔴 لم تبدأ / مرفوضة</v>
      </c>
      <c r="P46" s="115" t="s">
        <v>525</v>
      </c>
    </row>
    <row r="47" spans="1:16" ht="24" customHeight="1" x14ac:dyDescent="0.35">
      <c r="A47" s="17" t="s">
        <v>151</v>
      </c>
      <c r="B47" s="181" t="s">
        <v>567</v>
      </c>
      <c r="C47" s="167" t="str">
        <f t="shared" si="4"/>
        <v>🔴 لم تبدأ</v>
      </c>
      <c r="D47" s="17" t="s">
        <v>561</v>
      </c>
      <c r="E47" s="17" t="s">
        <v>135</v>
      </c>
      <c r="F47" s="182"/>
      <c r="G47" s="183"/>
      <c r="H47" s="184"/>
      <c r="I47" s="185"/>
      <c r="J47" s="186"/>
      <c r="K47" s="187"/>
      <c r="L47" s="188"/>
      <c r="M47" s="189">
        <f t="shared" si="5"/>
        <v>0</v>
      </c>
      <c r="N47" s="190">
        <f t="shared" si="6"/>
        <v>0</v>
      </c>
      <c r="O47" s="191" t="str">
        <f t="shared" si="7"/>
        <v>🔴 لم تبدأ / مرفوضة</v>
      </c>
      <c r="P47" s="110" t="s">
        <v>525</v>
      </c>
    </row>
    <row r="48" spans="1:16" ht="24" customHeight="1" x14ac:dyDescent="0.35">
      <c r="A48" s="24" t="s">
        <v>154</v>
      </c>
      <c r="B48" s="181" t="s">
        <v>568</v>
      </c>
      <c r="C48" s="167" t="str">
        <f t="shared" si="4"/>
        <v>🔴 لم تبدأ</v>
      </c>
      <c r="D48" s="24" t="s">
        <v>561</v>
      </c>
      <c r="E48" s="24" t="s">
        <v>135</v>
      </c>
      <c r="F48" s="182"/>
      <c r="G48" s="183"/>
      <c r="H48" s="184"/>
      <c r="I48" s="185"/>
      <c r="J48" s="186"/>
      <c r="K48" s="187"/>
      <c r="L48" s="188"/>
      <c r="M48" s="189">
        <f t="shared" si="5"/>
        <v>0</v>
      </c>
      <c r="N48" s="190">
        <f t="shared" si="6"/>
        <v>0</v>
      </c>
      <c r="O48" s="191" t="str">
        <f t="shared" si="7"/>
        <v>🔴 لم تبدأ / مرفوضة</v>
      </c>
      <c r="P48" s="115" t="s">
        <v>525</v>
      </c>
    </row>
    <row r="49" spans="1:16" ht="24" customHeight="1" x14ac:dyDescent="0.35">
      <c r="A49" s="17" t="s">
        <v>157</v>
      </c>
      <c r="B49" s="181" t="s">
        <v>569</v>
      </c>
      <c r="C49" s="167" t="str">
        <f t="shared" si="4"/>
        <v>🔴 لم تبدأ</v>
      </c>
      <c r="D49" s="17" t="s">
        <v>561</v>
      </c>
      <c r="E49" s="17" t="s">
        <v>135</v>
      </c>
      <c r="F49" s="182"/>
      <c r="G49" s="183"/>
      <c r="H49" s="184"/>
      <c r="I49" s="185"/>
      <c r="J49" s="186"/>
      <c r="K49" s="187"/>
      <c r="L49" s="188"/>
      <c r="M49" s="189">
        <f t="shared" si="5"/>
        <v>0</v>
      </c>
      <c r="N49" s="190">
        <f t="shared" si="6"/>
        <v>0</v>
      </c>
      <c r="O49" s="191" t="str">
        <f t="shared" si="7"/>
        <v>🔴 لم تبدأ / مرفوضة</v>
      </c>
      <c r="P49" s="110" t="s">
        <v>525</v>
      </c>
    </row>
    <row r="50" spans="1:16" ht="24" customHeight="1" x14ac:dyDescent="0.35">
      <c r="A50" s="24" t="s">
        <v>160</v>
      </c>
      <c r="B50" s="181" t="s">
        <v>570</v>
      </c>
      <c r="C50" s="167" t="str">
        <f t="shared" si="4"/>
        <v>🔴 لم تبدأ</v>
      </c>
      <c r="D50" s="24" t="s">
        <v>561</v>
      </c>
      <c r="E50" s="24" t="s">
        <v>135</v>
      </c>
      <c r="F50" s="182"/>
      <c r="G50" s="183"/>
      <c r="H50" s="184"/>
      <c r="I50" s="185"/>
      <c r="J50" s="186"/>
      <c r="K50" s="187"/>
      <c r="L50" s="188"/>
      <c r="M50" s="189">
        <f t="shared" si="5"/>
        <v>0</v>
      </c>
      <c r="N50" s="190">
        <f t="shared" si="6"/>
        <v>0</v>
      </c>
      <c r="O50" s="191" t="str">
        <f t="shared" si="7"/>
        <v>🔴 لم تبدأ / مرفوضة</v>
      </c>
      <c r="P50" s="115" t="s">
        <v>525</v>
      </c>
    </row>
    <row r="51" spans="1:16" ht="24" customHeight="1" x14ac:dyDescent="0.35">
      <c r="A51" s="17" t="s">
        <v>163</v>
      </c>
      <c r="B51" s="181" t="s">
        <v>571</v>
      </c>
      <c r="C51" s="167" t="str">
        <f t="shared" si="4"/>
        <v>🔴 لم تبدأ</v>
      </c>
      <c r="D51" s="17" t="s">
        <v>561</v>
      </c>
      <c r="E51" s="17" t="s">
        <v>135</v>
      </c>
      <c r="F51" s="182"/>
      <c r="G51" s="183"/>
      <c r="H51" s="184"/>
      <c r="I51" s="185"/>
      <c r="J51" s="186"/>
      <c r="K51" s="187"/>
      <c r="L51" s="188"/>
      <c r="M51" s="189">
        <f t="shared" si="5"/>
        <v>0</v>
      </c>
      <c r="N51" s="190">
        <f t="shared" si="6"/>
        <v>0</v>
      </c>
      <c r="O51" s="191" t="str">
        <f t="shared" si="7"/>
        <v>🔴 لم تبدأ / مرفوضة</v>
      </c>
      <c r="P51" s="110" t="s">
        <v>525</v>
      </c>
    </row>
    <row r="52" spans="1:16" ht="24" customHeight="1" x14ac:dyDescent="0.35">
      <c r="A52" s="24" t="s">
        <v>166</v>
      </c>
      <c r="B52" s="181" t="s">
        <v>572</v>
      </c>
      <c r="C52" s="167" t="str">
        <f t="shared" si="4"/>
        <v>🔴 لم تبدأ</v>
      </c>
      <c r="D52" s="24" t="s">
        <v>561</v>
      </c>
      <c r="E52" s="24" t="s">
        <v>135</v>
      </c>
      <c r="F52" s="182"/>
      <c r="G52" s="183"/>
      <c r="H52" s="184"/>
      <c r="I52" s="185"/>
      <c r="J52" s="186"/>
      <c r="K52" s="187"/>
      <c r="L52" s="188"/>
      <c r="M52" s="189">
        <f t="shared" si="5"/>
        <v>0</v>
      </c>
      <c r="N52" s="190">
        <f t="shared" si="6"/>
        <v>0</v>
      </c>
      <c r="O52" s="191" t="str">
        <f t="shared" si="7"/>
        <v>🔴 لم تبدأ / مرفوضة</v>
      </c>
      <c r="P52" s="115" t="s">
        <v>525</v>
      </c>
    </row>
    <row r="53" spans="1:16" ht="24" customHeight="1" x14ac:dyDescent="0.35">
      <c r="A53" s="17" t="s">
        <v>202</v>
      </c>
      <c r="B53" s="181" t="s">
        <v>573</v>
      </c>
      <c r="C53" s="167" t="str">
        <f t="shared" si="4"/>
        <v>🔴 لم تبدأ</v>
      </c>
      <c r="D53" s="17" t="s">
        <v>561</v>
      </c>
      <c r="E53" s="17" t="s">
        <v>135</v>
      </c>
      <c r="F53" s="182"/>
      <c r="G53" s="183"/>
      <c r="H53" s="184"/>
      <c r="I53" s="185"/>
      <c r="J53" s="186"/>
      <c r="K53" s="187"/>
      <c r="L53" s="188"/>
      <c r="M53" s="189">
        <f t="shared" si="5"/>
        <v>0</v>
      </c>
      <c r="N53" s="190">
        <f t="shared" si="6"/>
        <v>0</v>
      </c>
      <c r="O53" s="191" t="str">
        <f t="shared" si="7"/>
        <v>🔴 لم تبدأ / مرفوضة</v>
      </c>
      <c r="P53" s="110" t="s">
        <v>525</v>
      </c>
    </row>
    <row r="54" spans="1:16" ht="24" customHeight="1" x14ac:dyDescent="0.35">
      <c r="A54" s="24" t="s">
        <v>169</v>
      </c>
      <c r="B54" s="181" t="s">
        <v>574</v>
      </c>
      <c r="C54" s="167" t="str">
        <f t="shared" si="4"/>
        <v>🔴 لم تبدأ</v>
      </c>
      <c r="D54" s="24" t="s">
        <v>561</v>
      </c>
      <c r="E54" s="24" t="s">
        <v>135</v>
      </c>
      <c r="F54" s="182"/>
      <c r="G54" s="183"/>
      <c r="H54" s="184"/>
      <c r="I54" s="185"/>
      <c r="J54" s="186"/>
      <c r="K54" s="187"/>
      <c r="L54" s="188"/>
      <c r="M54" s="189">
        <f t="shared" si="5"/>
        <v>0</v>
      </c>
      <c r="N54" s="190">
        <f t="shared" si="6"/>
        <v>0</v>
      </c>
      <c r="O54" s="191" t="str">
        <f t="shared" si="7"/>
        <v>🔴 لم تبدأ / مرفوضة</v>
      </c>
      <c r="P54" s="115" t="s">
        <v>525</v>
      </c>
    </row>
    <row r="55" spans="1:16" ht="24" customHeight="1" x14ac:dyDescent="0.35">
      <c r="A55" s="17" t="s">
        <v>172</v>
      </c>
      <c r="B55" s="181" t="s">
        <v>575</v>
      </c>
      <c r="C55" s="167" t="str">
        <f t="shared" si="4"/>
        <v>🔴 لم تبدأ</v>
      </c>
      <c r="D55" s="17" t="s">
        <v>561</v>
      </c>
      <c r="E55" s="17" t="s">
        <v>135</v>
      </c>
      <c r="F55" s="182"/>
      <c r="G55" s="183"/>
      <c r="H55" s="184"/>
      <c r="I55" s="185"/>
      <c r="J55" s="186"/>
      <c r="K55" s="187"/>
      <c r="L55" s="188"/>
      <c r="M55" s="189">
        <f t="shared" si="5"/>
        <v>0</v>
      </c>
      <c r="N55" s="190">
        <f t="shared" si="6"/>
        <v>0</v>
      </c>
      <c r="O55" s="191" t="str">
        <f t="shared" si="7"/>
        <v>🔴 لم تبدأ / مرفوضة</v>
      </c>
      <c r="P55" s="110" t="s">
        <v>525</v>
      </c>
    </row>
    <row r="56" spans="1:16" ht="24" customHeight="1" x14ac:dyDescent="0.35">
      <c r="A56" s="24" t="s">
        <v>174</v>
      </c>
      <c r="B56" s="181" t="s">
        <v>576</v>
      </c>
      <c r="C56" s="167" t="str">
        <f t="shared" si="4"/>
        <v>🔴 لم تبدأ</v>
      </c>
      <c r="D56" s="24" t="s">
        <v>561</v>
      </c>
      <c r="E56" s="24" t="s">
        <v>135</v>
      </c>
      <c r="F56" s="182"/>
      <c r="G56" s="183"/>
      <c r="H56" s="184"/>
      <c r="I56" s="185"/>
      <c r="J56" s="186"/>
      <c r="K56" s="187"/>
      <c r="L56" s="188"/>
      <c r="M56" s="189">
        <f t="shared" si="5"/>
        <v>0</v>
      </c>
      <c r="N56" s="190">
        <f t="shared" si="6"/>
        <v>0</v>
      </c>
      <c r="O56" s="191" t="str">
        <f t="shared" si="7"/>
        <v>🔴 لم تبدأ / مرفوضة</v>
      </c>
      <c r="P56" s="115" t="s">
        <v>525</v>
      </c>
    </row>
    <row r="57" spans="1:16" ht="24" customHeight="1" x14ac:dyDescent="0.35">
      <c r="A57" s="17" t="s">
        <v>176</v>
      </c>
      <c r="B57" s="181" t="s">
        <v>577</v>
      </c>
      <c r="C57" s="167" t="str">
        <f t="shared" si="4"/>
        <v>🔴 لم تبدأ</v>
      </c>
      <c r="D57" s="17" t="s">
        <v>561</v>
      </c>
      <c r="E57" s="17" t="s">
        <v>135</v>
      </c>
      <c r="F57" s="182"/>
      <c r="G57" s="183"/>
      <c r="H57" s="184"/>
      <c r="I57" s="185"/>
      <c r="J57" s="186"/>
      <c r="K57" s="187"/>
      <c r="L57" s="188"/>
      <c r="M57" s="189">
        <f t="shared" si="5"/>
        <v>0</v>
      </c>
      <c r="N57" s="190">
        <f t="shared" si="6"/>
        <v>0</v>
      </c>
      <c r="O57" s="191" t="str">
        <f t="shared" si="7"/>
        <v>🔴 لم تبدأ / مرفوضة</v>
      </c>
      <c r="P57" s="110" t="s">
        <v>525</v>
      </c>
    </row>
    <row r="58" spans="1:16" ht="24" customHeight="1" x14ac:dyDescent="0.35">
      <c r="A58" s="24" t="s">
        <v>178</v>
      </c>
      <c r="B58" s="181" t="s">
        <v>578</v>
      </c>
      <c r="C58" s="167" t="str">
        <f t="shared" si="4"/>
        <v>🔴 لم تبدأ</v>
      </c>
      <c r="D58" s="24" t="s">
        <v>579</v>
      </c>
      <c r="E58" s="24" t="s">
        <v>180</v>
      </c>
      <c r="F58" s="182"/>
      <c r="G58" s="183"/>
      <c r="H58" s="184"/>
      <c r="I58" s="185"/>
      <c r="J58" s="186"/>
      <c r="K58" s="187"/>
      <c r="L58" s="188"/>
      <c r="M58" s="189">
        <f t="shared" si="5"/>
        <v>0</v>
      </c>
      <c r="N58" s="190">
        <f t="shared" si="6"/>
        <v>0</v>
      </c>
      <c r="O58" s="191" t="str">
        <f t="shared" si="7"/>
        <v>🔴 لم تبدأ / مرفوضة</v>
      </c>
      <c r="P58" s="115" t="s">
        <v>525</v>
      </c>
    </row>
    <row r="59" spans="1:16" ht="24" customHeight="1" x14ac:dyDescent="0.35">
      <c r="A59" s="17" t="s">
        <v>181</v>
      </c>
      <c r="B59" s="181" t="s">
        <v>580</v>
      </c>
      <c r="C59" s="167" t="str">
        <f t="shared" si="4"/>
        <v>🔴 لم تبدأ</v>
      </c>
      <c r="D59" s="17" t="s">
        <v>579</v>
      </c>
      <c r="E59" s="17" t="s">
        <v>180</v>
      </c>
      <c r="F59" s="182"/>
      <c r="G59" s="183"/>
      <c r="H59" s="184"/>
      <c r="I59" s="185"/>
      <c r="J59" s="186"/>
      <c r="K59" s="187"/>
      <c r="L59" s="188"/>
      <c r="M59" s="189">
        <f t="shared" si="5"/>
        <v>0</v>
      </c>
      <c r="N59" s="190">
        <f t="shared" si="6"/>
        <v>0</v>
      </c>
      <c r="O59" s="191" t="str">
        <f t="shared" si="7"/>
        <v>🔴 لم تبدأ / مرفوضة</v>
      </c>
      <c r="P59" s="110" t="s">
        <v>525</v>
      </c>
    </row>
    <row r="60" spans="1:16" ht="24" customHeight="1" x14ac:dyDescent="0.35">
      <c r="A60" s="24" t="s">
        <v>183</v>
      </c>
      <c r="B60" s="181" t="s">
        <v>581</v>
      </c>
      <c r="C60" s="167" t="str">
        <f t="shared" si="4"/>
        <v>🔴 لم تبدأ</v>
      </c>
      <c r="D60" s="24" t="s">
        <v>579</v>
      </c>
      <c r="E60" s="24" t="s">
        <v>180</v>
      </c>
      <c r="F60" s="182"/>
      <c r="G60" s="183"/>
      <c r="H60" s="184"/>
      <c r="I60" s="185"/>
      <c r="J60" s="186"/>
      <c r="K60" s="187"/>
      <c r="L60" s="188"/>
      <c r="M60" s="189">
        <f t="shared" si="5"/>
        <v>0</v>
      </c>
      <c r="N60" s="190">
        <f t="shared" si="6"/>
        <v>0</v>
      </c>
      <c r="O60" s="191" t="str">
        <f t="shared" si="7"/>
        <v>🔴 لم تبدأ / مرفوضة</v>
      </c>
      <c r="P60" s="115" t="s">
        <v>525</v>
      </c>
    </row>
    <row r="61" spans="1:16" ht="24" customHeight="1" x14ac:dyDescent="0.35">
      <c r="A61" s="17" t="s">
        <v>214</v>
      </c>
      <c r="B61" s="181" t="s">
        <v>582</v>
      </c>
      <c r="C61" s="167" t="str">
        <f t="shared" si="4"/>
        <v>🔴 لم تبدأ</v>
      </c>
      <c r="D61" s="17" t="s">
        <v>579</v>
      </c>
      <c r="E61" s="17" t="s">
        <v>180</v>
      </c>
      <c r="F61" s="182"/>
      <c r="G61" s="183"/>
      <c r="H61" s="184"/>
      <c r="I61" s="185"/>
      <c r="J61" s="186"/>
      <c r="K61" s="187"/>
      <c r="L61" s="188"/>
      <c r="M61" s="189">
        <f t="shared" si="5"/>
        <v>0</v>
      </c>
      <c r="N61" s="190">
        <f t="shared" si="6"/>
        <v>0</v>
      </c>
      <c r="O61" s="191" t="str">
        <f t="shared" si="7"/>
        <v>🔴 لم تبدأ / مرفوضة</v>
      </c>
      <c r="P61" s="110" t="s">
        <v>525</v>
      </c>
    </row>
    <row r="62" spans="1:16" ht="24" customHeight="1" x14ac:dyDescent="0.35">
      <c r="A62" s="192" t="s">
        <v>215</v>
      </c>
      <c r="B62" s="193" t="s">
        <v>583</v>
      </c>
      <c r="C62" s="167" t="str">
        <f t="shared" si="4"/>
        <v>🔴 لم تبدأ</v>
      </c>
      <c r="D62" s="192" t="s">
        <v>579</v>
      </c>
      <c r="E62" s="192" t="s">
        <v>180</v>
      </c>
      <c r="F62" s="182"/>
      <c r="G62" s="183"/>
      <c r="H62" s="184"/>
      <c r="I62" s="185"/>
      <c r="J62" s="186"/>
      <c r="K62" s="187"/>
      <c r="L62" s="188"/>
      <c r="M62" s="189">
        <f t="shared" si="5"/>
        <v>0</v>
      </c>
      <c r="N62" s="190">
        <f t="shared" si="6"/>
        <v>0</v>
      </c>
      <c r="O62" s="191" t="str">
        <f t="shared" si="7"/>
        <v>🔴 لم تبدأ / مرفوضة</v>
      </c>
      <c r="P62" s="194" t="s">
        <v>525</v>
      </c>
    </row>
    <row r="63" spans="1:16" ht="24" customHeight="1" x14ac:dyDescent="0.35">
      <c r="A63" s="192" t="s">
        <v>216</v>
      </c>
      <c r="B63" s="193" t="s">
        <v>584</v>
      </c>
      <c r="C63" s="167" t="str">
        <f t="shared" si="4"/>
        <v>🔴 لم تبدأ</v>
      </c>
      <c r="D63" s="192" t="s">
        <v>579</v>
      </c>
      <c r="E63" s="192" t="s">
        <v>180</v>
      </c>
      <c r="F63" s="182"/>
      <c r="G63" s="183"/>
      <c r="H63" s="184"/>
      <c r="I63" s="185"/>
      <c r="J63" s="186"/>
      <c r="K63" s="187"/>
      <c r="L63" s="188"/>
      <c r="M63" s="189">
        <f t="shared" si="5"/>
        <v>0</v>
      </c>
      <c r="N63" s="190">
        <f t="shared" si="6"/>
        <v>0</v>
      </c>
      <c r="O63" s="191" t="str">
        <f t="shared" si="7"/>
        <v>🔴 لم تبدأ / مرفوضة</v>
      </c>
      <c r="P63" s="194" t="s">
        <v>525</v>
      </c>
    </row>
    <row r="64" spans="1:16" ht="24" customHeight="1" x14ac:dyDescent="0.35">
      <c r="A64" s="192" t="s">
        <v>217</v>
      </c>
      <c r="B64" s="193" t="s">
        <v>585</v>
      </c>
      <c r="C64" s="167" t="str">
        <f t="shared" si="4"/>
        <v>🔴 لم تبدأ</v>
      </c>
      <c r="D64" s="192" t="s">
        <v>579</v>
      </c>
      <c r="E64" s="192" t="s">
        <v>180</v>
      </c>
      <c r="F64" s="182"/>
      <c r="G64" s="183"/>
      <c r="H64" s="184"/>
      <c r="I64" s="185"/>
      <c r="J64" s="186"/>
      <c r="K64" s="187"/>
      <c r="L64" s="188"/>
      <c r="M64" s="189">
        <f t="shared" si="5"/>
        <v>0</v>
      </c>
      <c r="N64" s="190">
        <f t="shared" si="6"/>
        <v>0</v>
      </c>
      <c r="O64" s="191" t="str">
        <f t="shared" si="7"/>
        <v>🔴 لم تبدأ / مرفوضة</v>
      </c>
      <c r="P64" s="194" t="s">
        <v>525</v>
      </c>
    </row>
    <row r="65" spans="1:16" ht="24" customHeight="1" x14ac:dyDescent="0.35">
      <c r="A65" s="192" t="s">
        <v>218</v>
      </c>
      <c r="B65" s="193" t="s">
        <v>586</v>
      </c>
      <c r="C65" s="167" t="str">
        <f t="shared" si="4"/>
        <v>🔴 لم تبدأ</v>
      </c>
      <c r="D65" s="192" t="s">
        <v>579</v>
      </c>
      <c r="E65" s="192" t="s">
        <v>180</v>
      </c>
      <c r="F65" s="182"/>
      <c r="G65" s="183"/>
      <c r="H65" s="184"/>
      <c r="I65" s="185"/>
      <c r="J65" s="186"/>
      <c r="K65" s="187"/>
      <c r="L65" s="188"/>
      <c r="M65" s="189">
        <f t="shared" si="5"/>
        <v>0</v>
      </c>
      <c r="N65" s="190">
        <f t="shared" si="6"/>
        <v>0</v>
      </c>
      <c r="O65" s="191" t="str">
        <f t="shared" si="7"/>
        <v>🔴 لم تبدأ / مرفوضة</v>
      </c>
      <c r="P65" s="194" t="s">
        <v>525</v>
      </c>
    </row>
    <row r="66" spans="1:16" ht="24" customHeight="1" x14ac:dyDescent="0.35">
      <c r="A66" s="192" t="s">
        <v>219</v>
      </c>
      <c r="B66" s="193" t="s">
        <v>587</v>
      </c>
      <c r="C66" s="167" t="str">
        <f t="shared" si="4"/>
        <v>🔴 لم تبدأ</v>
      </c>
      <c r="D66" s="192" t="s">
        <v>579</v>
      </c>
      <c r="E66" s="192" t="s">
        <v>180</v>
      </c>
      <c r="F66" s="182"/>
      <c r="G66" s="183"/>
      <c r="H66" s="184"/>
      <c r="I66" s="185"/>
      <c r="J66" s="186"/>
      <c r="K66" s="187"/>
      <c r="L66" s="188"/>
      <c r="M66" s="189">
        <f t="shared" si="5"/>
        <v>0</v>
      </c>
      <c r="N66" s="190">
        <f t="shared" si="6"/>
        <v>0</v>
      </c>
      <c r="O66" s="191" t="str">
        <f t="shared" si="7"/>
        <v>🔴 لم تبدأ / مرفوضة</v>
      </c>
      <c r="P66" s="194" t="s">
        <v>525</v>
      </c>
    </row>
    <row r="67" spans="1:16" ht="24" customHeight="1" x14ac:dyDescent="0.35">
      <c r="A67" s="192" t="s">
        <v>220</v>
      </c>
      <c r="B67" s="193" t="s">
        <v>588</v>
      </c>
      <c r="C67" s="167" t="str">
        <f t="shared" si="4"/>
        <v>🔴 لم تبدأ</v>
      </c>
      <c r="D67" s="192" t="s">
        <v>579</v>
      </c>
      <c r="E67" s="192" t="s">
        <v>180</v>
      </c>
      <c r="F67" s="182"/>
      <c r="G67" s="183"/>
      <c r="H67" s="184"/>
      <c r="I67" s="185"/>
      <c r="J67" s="186"/>
      <c r="K67" s="187"/>
      <c r="L67" s="188"/>
      <c r="M67" s="189">
        <f t="shared" si="5"/>
        <v>0</v>
      </c>
      <c r="N67" s="190">
        <f t="shared" si="6"/>
        <v>0</v>
      </c>
      <c r="O67" s="191" t="str">
        <f t="shared" si="7"/>
        <v>🔴 لم تبدأ / مرفوضة</v>
      </c>
      <c r="P67" s="194" t="s">
        <v>525</v>
      </c>
    </row>
    <row r="68" spans="1:16" ht="24" customHeight="1" x14ac:dyDescent="0.35">
      <c r="A68" s="192" t="s">
        <v>221</v>
      </c>
      <c r="B68" s="193" t="s">
        <v>589</v>
      </c>
      <c r="C68" s="167" t="str">
        <f t="shared" si="4"/>
        <v>🔴 لم تبدأ</v>
      </c>
      <c r="D68" s="192" t="s">
        <v>579</v>
      </c>
      <c r="E68" s="192" t="s">
        <v>180</v>
      </c>
      <c r="F68" s="182"/>
      <c r="G68" s="183"/>
      <c r="H68" s="184"/>
      <c r="I68" s="185"/>
      <c r="J68" s="186"/>
      <c r="K68" s="187"/>
      <c r="L68" s="188"/>
      <c r="M68" s="189">
        <f t="shared" si="5"/>
        <v>0</v>
      </c>
      <c r="N68" s="190">
        <f t="shared" si="6"/>
        <v>0</v>
      </c>
      <c r="O68" s="191" t="str">
        <f t="shared" si="7"/>
        <v>🔴 لم تبدأ / مرفوضة</v>
      </c>
      <c r="P68" s="194" t="s">
        <v>525</v>
      </c>
    </row>
    <row r="69" spans="1:16" ht="24" customHeight="1" x14ac:dyDescent="0.35">
      <c r="A69" s="192" t="s">
        <v>222</v>
      </c>
      <c r="B69" s="193" t="s">
        <v>590</v>
      </c>
      <c r="C69" s="167" t="str">
        <f t="shared" si="4"/>
        <v>🔴 لم تبدأ</v>
      </c>
      <c r="D69" s="192" t="s">
        <v>579</v>
      </c>
      <c r="E69" s="192" t="s">
        <v>180</v>
      </c>
      <c r="F69" s="182"/>
      <c r="G69" s="183"/>
      <c r="H69" s="184"/>
      <c r="I69" s="185"/>
      <c r="J69" s="186"/>
      <c r="K69" s="187"/>
      <c r="L69" s="188"/>
      <c r="M69" s="189">
        <f t="shared" si="5"/>
        <v>0</v>
      </c>
      <c r="N69" s="190">
        <f t="shared" si="6"/>
        <v>0</v>
      </c>
      <c r="O69" s="191" t="str">
        <f t="shared" si="7"/>
        <v>🔴 لم تبدأ / مرفوضة</v>
      </c>
      <c r="P69" s="194" t="s">
        <v>525</v>
      </c>
    </row>
    <row r="70" spans="1:16" ht="24" customHeight="1" x14ac:dyDescent="0.35">
      <c r="A70" s="192" t="s">
        <v>223</v>
      </c>
      <c r="B70" s="193" t="s">
        <v>591</v>
      </c>
      <c r="C70" s="167" t="str">
        <f t="shared" si="4"/>
        <v>🔴 لم تبدأ</v>
      </c>
      <c r="D70" s="192" t="s">
        <v>579</v>
      </c>
      <c r="E70" s="192" t="s">
        <v>180</v>
      </c>
      <c r="F70" s="182"/>
      <c r="G70" s="183"/>
      <c r="H70" s="184"/>
      <c r="I70" s="185"/>
      <c r="J70" s="186"/>
      <c r="K70" s="187"/>
      <c r="L70" s="188"/>
      <c r="M70" s="189">
        <f t="shared" si="5"/>
        <v>0</v>
      </c>
      <c r="N70" s="190">
        <f t="shared" si="6"/>
        <v>0</v>
      </c>
      <c r="O70" s="191" t="str">
        <f t="shared" si="7"/>
        <v>🔴 لم تبدأ / مرفوضة</v>
      </c>
      <c r="P70" s="194" t="s">
        <v>525</v>
      </c>
    </row>
    <row r="71" spans="1:16" ht="24" customHeight="1" x14ac:dyDescent="0.35">
      <c r="A71" s="192" t="s">
        <v>224</v>
      </c>
      <c r="B71" s="193" t="s">
        <v>592</v>
      </c>
      <c r="C71" s="167" t="str">
        <f t="shared" ref="C71:C91" si="8">IF(N71="","—",IF(N71=1,"🟢 جاهزة",IF(N71&gt;=0.71,"🟡 تكتمل","🔴 لم تبدأ")))</f>
        <v>🔴 لم تبدأ</v>
      </c>
      <c r="D71" s="192" t="s">
        <v>579</v>
      </c>
      <c r="E71" s="192" t="s">
        <v>180</v>
      </c>
      <c r="F71" s="182"/>
      <c r="G71" s="183"/>
      <c r="H71" s="184"/>
      <c r="I71" s="185"/>
      <c r="J71" s="186"/>
      <c r="K71" s="187"/>
      <c r="L71" s="188"/>
      <c r="M71" s="189">
        <f t="shared" ref="M71:M102" si="9">IFERROR(SUM(F71:L71),"")</f>
        <v>0</v>
      </c>
      <c r="N71" s="190">
        <f t="shared" ref="N71:N102" si="10">IFERROR(M71/7,"")</f>
        <v>0</v>
      </c>
      <c r="O71" s="191" t="str">
        <f t="shared" ref="O71:O102" si="11">IF(N71="","—",IF(N71=1,"✅ جاهزة للافتتاح",IF(N71&gt;=0.71,"🟡 تحتاج إكمال","🔴 لم تبدأ / مرفوضة")))</f>
        <v>🔴 لم تبدأ / مرفوضة</v>
      </c>
      <c r="P71" s="194" t="s">
        <v>525</v>
      </c>
    </row>
    <row r="72" spans="1:16" ht="24" customHeight="1" x14ac:dyDescent="0.35">
      <c r="A72" s="192" t="s">
        <v>225</v>
      </c>
      <c r="B72" s="193" t="s">
        <v>593</v>
      </c>
      <c r="C72" s="167" t="str">
        <f t="shared" si="8"/>
        <v>🔴 لم تبدأ</v>
      </c>
      <c r="D72" s="192" t="s">
        <v>579</v>
      </c>
      <c r="E72" s="192" t="s">
        <v>180</v>
      </c>
      <c r="F72" s="182"/>
      <c r="G72" s="183"/>
      <c r="H72" s="184"/>
      <c r="I72" s="185"/>
      <c r="J72" s="186"/>
      <c r="K72" s="187"/>
      <c r="L72" s="188"/>
      <c r="M72" s="189">
        <f t="shared" si="9"/>
        <v>0</v>
      </c>
      <c r="N72" s="190">
        <f t="shared" si="10"/>
        <v>0</v>
      </c>
      <c r="O72" s="191" t="str">
        <f t="shared" si="11"/>
        <v>🔴 لم تبدأ / مرفوضة</v>
      </c>
      <c r="P72" s="194" t="s">
        <v>525</v>
      </c>
    </row>
    <row r="73" spans="1:16" ht="24" customHeight="1" x14ac:dyDescent="0.35">
      <c r="A73" s="192" t="s">
        <v>226</v>
      </c>
      <c r="B73" s="193" t="s">
        <v>594</v>
      </c>
      <c r="C73" s="167" t="str">
        <f t="shared" si="8"/>
        <v>🔴 لم تبدأ</v>
      </c>
      <c r="D73" s="192" t="s">
        <v>579</v>
      </c>
      <c r="E73" s="192" t="s">
        <v>180</v>
      </c>
      <c r="F73" s="182"/>
      <c r="G73" s="183"/>
      <c r="H73" s="184"/>
      <c r="I73" s="185"/>
      <c r="J73" s="186"/>
      <c r="K73" s="187"/>
      <c r="L73" s="188"/>
      <c r="M73" s="189">
        <f t="shared" si="9"/>
        <v>0</v>
      </c>
      <c r="N73" s="190">
        <f t="shared" si="10"/>
        <v>0</v>
      </c>
      <c r="O73" s="191" t="str">
        <f t="shared" si="11"/>
        <v>🔴 لم تبدأ / مرفوضة</v>
      </c>
      <c r="P73" s="194" t="s">
        <v>525</v>
      </c>
    </row>
    <row r="74" spans="1:16" ht="24" customHeight="1" x14ac:dyDescent="0.35">
      <c r="A74" s="192" t="s">
        <v>227</v>
      </c>
      <c r="B74" s="193" t="s">
        <v>595</v>
      </c>
      <c r="C74" s="167" t="str">
        <f t="shared" si="8"/>
        <v>🔴 لم تبدأ</v>
      </c>
      <c r="D74" s="192" t="s">
        <v>579</v>
      </c>
      <c r="E74" s="192" t="s">
        <v>180</v>
      </c>
      <c r="F74" s="182"/>
      <c r="G74" s="183"/>
      <c r="H74" s="184"/>
      <c r="I74" s="185"/>
      <c r="J74" s="186"/>
      <c r="K74" s="187"/>
      <c r="L74" s="188"/>
      <c r="M74" s="189">
        <f t="shared" si="9"/>
        <v>0</v>
      </c>
      <c r="N74" s="190">
        <f t="shared" si="10"/>
        <v>0</v>
      </c>
      <c r="O74" s="191" t="str">
        <f t="shared" si="11"/>
        <v>🔴 لم تبدأ / مرفوضة</v>
      </c>
      <c r="P74" s="194" t="s">
        <v>525</v>
      </c>
    </row>
    <row r="75" spans="1:16" ht="24" customHeight="1" x14ac:dyDescent="0.35">
      <c r="A75" s="192" t="s">
        <v>228</v>
      </c>
      <c r="B75" s="193" t="s">
        <v>596</v>
      </c>
      <c r="C75" s="167" t="str">
        <f t="shared" si="8"/>
        <v>🔴 لم تبدأ</v>
      </c>
      <c r="D75" s="192" t="s">
        <v>597</v>
      </c>
      <c r="E75" s="192" t="s">
        <v>598</v>
      </c>
      <c r="F75" s="182"/>
      <c r="G75" s="183"/>
      <c r="H75" s="184"/>
      <c r="I75" s="185"/>
      <c r="J75" s="186"/>
      <c r="K75" s="187"/>
      <c r="L75" s="188"/>
      <c r="M75" s="189">
        <f t="shared" si="9"/>
        <v>0</v>
      </c>
      <c r="N75" s="190">
        <f t="shared" si="10"/>
        <v>0</v>
      </c>
      <c r="O75" s="191" t="str">
        <f t="shared" si="11"/>
        <v>🔴 لم تبدأ / مرفوضة</v>
      </c>
      <c r="P75" s="194" t="s">
        <v>525</v>
      </c>
    </row>
    <row r="76" spans="1:16" ht="24" customHeight="1" x14ac:dyDescent="0.35">
      <c r="A76" s="192" t="s">
        <v>229</v>
      </c>
      <c r="B76" s="193" t="s">
        <v>599</v>
      </c>
      <c r="C76" s="167" t="str">
        <f t="shared" si="8"/>
        <v>🔴 لم تبدأ</v>
      </c>
      <c r="D76" s="192" t="s">
        <v>597</v>
      </c>
      <c r="E76" s="192" t="s">
        <v>598</v>
      </c>
      <c r="F76" s="182"/>
      <c r="G76" s="183"/>
      <c r="H76" s="184"/>
      <c r="I76" s="185"/>
      <c r="J76" s="186"/>
      <c r="K76" s="187"/>
      <c r="L76" s="188"/>
      <c r="M76" s="189">
        <f t="shared" si="9"/>
        <v>0</v>
      </c>
      <c r="N76" s="190">
        <f t="shared" si="10"/>
        <v>0</v>
      </c>
      <c r="O76" s="191" t="str">
        <f t="shared" si="11"/>
        <v>🔴 لم تبدأ / مرفوضة</v>
      </c>
      <c r="P76" s="194" t="s">
        <v>525</v>
      </c>
    </row>
    <row r="77" spans="1:16" ht="24" customHeight="1" x14ac:dyDescent="0.35">
      <c r="A77" s="192" t="s">
        <v>230</v>
      </c>
      <c r="B77" s="193" t="s">
        <v>600</v>
      </c>
      <c r="C77" s="167" t="str">
        <f t="shared" si="8"/>
        <v>🔴 لم تبدأ</v>
      </c>
      <c r="D77" s="192" t="s">
        <v>597</v>
      </c>
      <c r="E77" s="192" t="s">
        <v>598</v>
      </c>
      <c r="F77" s="182"/>
      <c r="G77" s="183"/>
      <c r="H77" s="184"/>
      <c r="I77" s="185"/>
      <c r="J77" s="186"/>
      <c r="K77" s="187"/>
      <c r="L77" s="188"/>
      <c r="M77" s="189">
        <f t="shared" si="9"/>
        <v>0</v>
      </c>
      <c r="N77" s="190">
        <f t="shared" si="10"/>
        <v>0</v>
      </c>
      <c r="O77" s="191" t="str">
        <f t="shared" si="11"/>
        <v>🔴 لم تبدأ / مرفوضة</v>
      </c>
      <c r="P77" s="194" t="s">
        <v>525</v>
      </c>
    </row>
    <row r="78" spans="1:16" ht="24" customHeight="1" x14ac:dyDescent="0.35">
      <c r="A78" s="192" t="s">
        <v>231</v>
      </c>
      <c r="B78" s="193" t="s">
        <v>601</v>
      </c>
      <c r="C78" s="167" t="str">
        <f t="shared" si="8"/>
        <v>🔴 لم تبدأ</v>
      </c>
      <c r="D78" s="192" t="s">
        <v>597</v>
      </c>
      <c r="E78" s="192" t="s">
        <v>598</v>
      </c>
      <c r="F78" s="182"/>
      <c r="G78" s="183"/>
      <c r="H78" s="184"/>
      <c r="I78" s="185"/>
      <c r="J78" s="186"/>
      <c r="K78" s="187"/>
      <c r="L78" s="188"/>
      <c r="M78" s="189">
        <f t="shared" si="9"/>
        <v>0</v>
      </c>
      <c r="N78" s="190">
        <f t="shared" si="10"/>
        <v>0</v>
      </c>
      <c r="O78" s="191" t="str">
        <f t="shared" si="11"/>
        <v>🔴 لم تبدأ / مرفوضة</v>
      </c>
      <c r="P78" s="194" t="s">
        <v>525</v>
      </c>
    </row>
    <row r="79" spans="1:16" ht="24" customHeight="1" x14ac:dyDescent="0.35">
      <c r="A79" s="192" t="s">
        <v>232</v>
      </c>
      <c r="B79" s="193" t="s">
        <v>602</v>
      </c>
      <c r="C79" s="167" t="str">
        <f t="shared" si="8"/>
        <v>🔴 لم تبدأ</v>
      </c>
      <c r="D79" s="192" t="s">
        <v>597</v>
      </c>
      <c r="E79" s="192" t="s">
        <v>598</v>
      </c>
      <c r="F79" s="182"/>
      <c r="G79" s="183"/>
      <c r="H79" s="184"/>
      <c r="I79" s="185"/>
      <c r="J79" s="186"/>
      <c r="K79" s="187"/>
      <c r="L79" s="188"/>
      <c r="M79" s="189">
        <f t="shared" si="9"/>
        <v>0</v>
      </c>
      <c r="N79" s="190">
        <f t="shared" si="10"/>
        <v>0</v>
      </c>
      <c r="O79" s="191" t="str">
        <f t="shared" si="11"/>
        <v>🔴 لم تبدأ / مرفوضة</v>
      </c>
      <c r="P79" s="194" t="s">
        <v>525</v>
      </c>
    </row>
    <row r="80" spans="1:16" ht="24" customHeight="1" x14ac:dyDescent="0.35">
      <c r="A80" s="192" t="s">
        <v>233</v>
      </c>
      <c r="B80" s="193" t="s">
        <v>603</v>
      </c>
      <c r="C80" s="167" t="str">
        <f t="shared" si="8"/>
        <v>🔴 لم تبدأ</v>
      </c>
      <c r="D80" s="192" t="s">
        <v>597</v>
      </c>
      <c r="E80" s="192" t="s">
        <v>598</v>
      </c>
      <c r="F80" s="182"/>
      <c r="G80" s="183"/>
      <c r="H80" s="184"/>
      <c r="I80" s="185"/>
      <c r="J80" s="186"/>
      <c r="K80" s="187"/>
      <c r="L80" s="188"/>
      <c r="M80" s="189">
        <f t="shared" si="9"/>
        <v>0</v>
      </c>
      <c r="N80" s="190">
        <f t="shared" si="10"/>
        <v>0</v>
      </c>
      <c r="O80" s="191" t="str">
        <f t="shared" si="11"/>
        <v>🔴 لم تبدأ / مرفوضة</v>
      </c>
      <c r="P80" s="194" t="s">
        <v>525</v>
      </c>
    </row>
    <row r="81" spans="1:16" ht="24" customHeight="1" x14ac:dyDescent="0.35">
      <c r="A81" s="192" t="s">
        <v>234</v>
      </c>
      <c r="B81" s="193" t="s">
        <v>604</v>
      </c>
      <c r="C81" s="167" t="str">
        <f t="shared" si="8"/>
        <v>🔴 لم تبدأ</v>
      </c>
      <c r="D81" s="192" t="s">
        <v>597</v>
      </c>
      <c r="E81" s="192" t="s">
        <v>598</v>
      </c>
      <c r="F81" s="182"/>
      <c r="G81" s="183"/>
      <c r="H81" s="184"/>
      <c r="I81" s="185"/>
      <c r="J81" s="186"/>
      <c r="K81" s="187"/>
      <c r="L81" s="188"/>
      <c r="M81" s="189">
        <f t="shared" si="9"/>
        <v>0</v>
      </c>
      <c r="N81" s="190">
        <f t="shared" si="10"/>
        <v>0</v>
      </c>
      <c r="O81" s="191" t="str">
        <f t="shared" si="11"/>
        <v>🔴 لم تبدأ / مرفوضة</v>
      </c>
      <c r="P81" s="194" t="s">
        <v>525</v>
      </c>
    </row>
    <row r="82" spans="1:16" ht="24" customHeight="1" x14ac:dyDescent="0.35">
      <c r="A82" s="192" t="s">
        <v>235</v>
      </c>
      <c r="B82" s="193" t="s">
        <v>605</v>
      </c>
      <c r="C82" s="167" t="str">
        <f t="shared" si="8"/>
        <v>🔴 لم تبدأ</v>
      </c>
      <c r="D82" s="192" t="s">
        <v>597</v>
      </c>
      <c r="E82" s="192" t="s">
        <v>598</v>
      </c>
      <c r="F82" s="182"/>
      <c r="G82" s="183"/>
      <c r="H82" s="184"/>
      <c r="I82" s="185"/>
      <c r="J82" s="186"/>
      <c r="K82" s="187"/>
      <c r="L82" s="188"/>
      <c r="M82" s="189">
        <f t="shared" si="9"/>
        <v>0</v>
      </c>
      <c r="N82" s="190">
        <f t="shared" si="10"/>
        <v>0</v>
      </c>
      <c r="O82" s="191" t="str">
        <f t="shared" si="11"/>
        <v>🔴 لم تبدأ / مرفوضة</v>
      </c>
      <c r="P82" s="194" t="s">
        <v>525</v>
      </c>
    </row>
    <row r="83" spans="1:16" ht="24" customHeight="1" x14ac:dyDescent="0.35">
      <c r="A83" s="192" t="s">
        <v>236</v>
      </c>
      <c r="B83" s="193" t="s">
        <v>606</v>
      </c>
      <c r="C83" s="167" t="str">
        <f t="shared" si="8"/>
        <v>🔴 لم تبدأ</v>
      </c>
      <c r="D83" s="192" t="s">
        <v>597</v>
      </c>
      <c r="E83" s="192" t="s">
        <v>598</v>
      </c>
      <c r="F83" s="182"/>
      <c r="G83" s="183"/>
      <c r="H83" s="184"/>
      <c r="I83" s="185"/>
      <c r="J83" s="186"/>
      <c r="K83" s="187"/>
      <c r="L83" s="188"/>
      <c r="M83" s="189">
        <f t="shared" si="9"/>
        <v>0</v>
      </c>
      <c r="N83" s="190">
        <f t="shared" si="10"/>
        <v>0</v>
      </c>
      <c r="O83" s="191" t="str">
        <f t="shared" si="11"/>
        <v>🔴 لم تبدأ / مرفوضة</v>
      </c>
      <c r="P83" s="194" t="s">
        <v>525</v>
      </c>
    </row>
    <row r="84" spans="1:16" ht="24" customHeight="1" x14ac:dyDescent="0.35">
      <c r="A84" s="192" t="s">
        <v>237</v>
      </c>
      <c r="B84" s="193" t="s">
        <v>607</v>
      </c>
      <c r="C84" s="167" t="str">
        <f t="shared" si="8"/>
        <v>🔴 لم تبدأ</v>
      </c>
      <c r="D84" s="192" t="s">
        <v>597</v>
      </c>
      <c r="E84" s="192" t="s">
        <v>598</v>
      </c>
      <c r="F84" s="182"/>
      <c r="G84" s="183"/>
      <c r="H84" s="184"/>
      <c r="I84" s="185"/>
      <c r="J84" s="186"/>
      <c r="K84" s="187"/>
      <c r="L84" s="188"/>
      <c r="M84" s="189">
        <f t="shared" si="9"/>
        <v>0</v>
      </c>
      <c r="N84" s="190">
        <f t="shared" si="10"/>
        <v>0</v>
      </c>
      <c r="O84" s="191" t="str">
        <f t="shared" si="11"/>
        <v>🔴 لم تبدأ / مرفوضة</v>
      </c>
      <c r="P84" s="194" t="s">
        <v>525</v>
      </c>
    </row>
    <row r="85" spans="1:16" ht="24" customHeight="1" x14ac:dyDescent="0.35">
      <c r="A85" s="192" t="s">
        <v>238</v>
      </c>
      <c r="B85" s="193" t="s">
        <v>608</v>
      </c>
      <c r="C85" s="167" t="str">
        <f t="shared" si="8"/>
        <v>🔴 لم تبدأ</v>
      </c>
      <c r="D85" s="192" t="s">
        <v>597</v>
      </c>
      <c r="E85" s="192" t="s">
        <v>598</v>
      </c>
      <c r="F85" s="182"/>
      <c r="G85" s="183"/>
      <c r="H85" s="184"/>
      <c r="I85" s="185"/>
      <c r="J85" s="186"/>
      <c r="K85" s="187"/>
      <c r="L85" s="188"/>
      <c r="M85" s="189">
        <f t="shared" si="9"/>
        <v>0</v>
      </c>
      <c r="N85" s="190">
        <f t="shared" si="10"/>
        <v>0</v>
      </c>
      <c r="O85" s="191" t="str">
        <f t="shared" si="11"/>
        <v>🔴 لم تبدأ / مرفوضة</v>
      </c>
      <c r="P85" s="194" t="s">
        <v>525</v>
      </c>
    </row>
    <row r="86" spans="1:16" ht="24" customHeight="1" x14ac:dyDescent="0.35">
      <c r="A86" s="192" t="s">
        <v>239</v>
      </c>
      <c r="B86" s="193" t="s">
        <v>609</v>
      </c>
      <c r="C86" s="167" t="str">
        <f t="shared" si="8"/>
        <v>🔴 لم تبدأ</v>
      </c>
      <c r="D86" s="192" t="s">
        <v>597</v>
      </c>
      <c r="E86" s="192" t="s">
        <v>598</v>
      </c>
      <c r="F86" s="182"/>
      <c r="G86" s="183"/>
      <c r="H86" s="184"/>
      <c r="I86" s="185"/>
      <c r="J86" s="186"/>
      <c r="K86" s="187"/>
      <c r="L86" s="188"/>
      <c r="M86" s="189">
        <f t="shared" si="9"/>
        <v>0</v>
      </c>
      <c r="N86" s="190">
        <f t="shared" si="10"/>
        <v>0</v>
      </c>
      <c r="O86" s="191" t="str">
        <f t="shared" si="11"/>
        <v>🔴 لم تبدأ / مرفوضة</v>
      </c>
      <c r="P86" s="194" t="s">
        <v>525</v>
      </c>
    </row>
    <row r="87" spans="1:16" ht="24" customHeight="1" x14ac:dyDescent="0.35">
      <c r="A87" s="192" t="s">
        <v>240</v>
      </c>
      <c r="B87" s="193" t="s">
        <v>610</v>
      </c>
      <c r="C87" s="167" t="str">
        <f t="shared" si="8"/>
        <v>🔴 لم تبدأ</v>
      </c>
      <c r="D87" s="192" t="s">
        <v>597</v>
      </c>
      <c r="E87" s="192" t="s">
        <v>598</v>
      </c>
      <c r="F87" s="182"/>
      <c r="G87" s="183"/>
      <c r="H87" s="184"/>
      <c r="I87" s="185"/>
      <c r="J87" s="186"/>
      <c r="K87" s="187"/>
      <c r="L87" s="188"/>
      <c r="M87" s="189">
        <f t="shared" si="9"/>
        <v>0</v>
      </c>
      <c r="N87" s="190">
        <f t="shared" si="10"/>
        <v>0</v>
      </c>
      <c r="O87" s="191" t="str">
        <f t="shared" si="11"/>
        <v>🔴 لم تبدأ / مرفوضة</v>
      </c>
      <c r="P87" s="194" t="s">
        <v>525</v>
      </c>
    </row>
    <row r="88" spans="1:16" ht="24" customHeight="1" x14ac:dyDescent="0.35">
      <c r="A88" s="192" t="s">
        <v>241</v>
      </c>
      <c r="B88" s="193" t="s">
        <v>611</v>
      </c>
      <c r="C88" s="167" t="str">
        <f t="shared" si="8"/>
        <v>🔴 لم تبدأ</v>
      </c>
      <c r="D88" s="192" t="s">
        <v>597</v>
      </c>
      <c r="E88" s="192" t="s">
        <v>598</v>
      </c>
      <c r="F88" s="182"/>
      <c r="G88" s="183"/>
      <c r="H88" s="184"/>
      <c r="I88" s="185"/>
      <c r="J88" s="186"/>
      <c r="K88" s="187"/>
      <c r="L88" s="188"/>
      <c r="M88" s="189">
        <f t="shared" si="9"/>
        <v>0</v>
      </c>
      <c r="N88" s="190">
        <f t="shared" si="10"/>
        <v>0</v>
      </c>
      <c r="O88" s="191" t="str">
        <f t="shared" si="11"/>
        <v>🔴 لم تبدأ / مرفوضة</v>
      </c>
      <c r="P88" s="194" t="s">
        <v>525</v>
      </c>
    </row>
    <row r="89" spans="1:16" ht="24" customHeight="1" x14ac:dyDescent="0.35">
      <c r="A89" s="192" t="s">
        <v>242</v>
      </c>
      <c r="B89" s="193" t="s">
        <v>612</v>
      </c>
      <c r="C89" s="167" t="str">
        <f t="shared" si="8"/>
        <v>🔴 لم تبدأ</v>
      </c>
      <c r="D89" s="192" t="s">
        <v>597</v>
      </c>
      <c r="E89" s="192" t="s">
        <v>598</v>
      </c>
      <c r="F89" s="182"/>
      <c r="G89" s="183"/>
      <c r="H89" s="184"/>
      <c r="I89" s="185"/>
      <c r="J89" s="186"/>
      <c r="K89" s="187"/>
      <c r="L89" s="188"/>
      <c r="M89" s="189">
        <f t="shared" si="9"/>
        <v>0</v>
      </c>
      <c r="N89" s="190">
        <f t="shared" si="10"/>
        <v>0</v>
      </c>
      <c r="O89" s="191" t="str">
        <f t="shared" si="11"/>
        <v>🔴 لم تبدأ / مرفوضة</v>
      </c>
      <c r="P89" s="194" t="s">
        <v>525</v>
      </c>
    </row>
    <row r="90" spans="1:16" ht="24" customHeight="1" x14ac:dyDescent="0.35">
      <c r="A90" s="192" t="s">
        <v>243</v>
      </c>
      <c r="B90" s="193" t="s">
        <v>613</v>
      </c>
      <c r="C90" s="167" t="str">
        <f t="shared" si="8"/>
        <v>🔴 لم تبدأ</v>
      </c>
      <c r="D90" s="192" t="s">
        <v>597</v>
      </c>
      <c r="E90" s="192" t="s">
        <v>598</v>
      </c>
      <c r="F90" s="182"/>
      <c r="G90" s="183"/>
      <c r="H90" s="184"/>
      <c r="I90" s="185"/>
      <c r="J90" s="186"/>
      <c r="K90" s="187"/>
      <c r="L90" s="188"/>
      <c r="M90" s="189">
        <f t="shared" si="9"/>
        <v>0</v>
      </c>
      <c r="N90" s="190">
        <f t="shared" si="10"/>
        <v>0</v>
      </c>
      <c r="O90" s="191" t="str">
        <f t="shared" si="11"/>
        <v>🔴 لم تبدأ / مرفوضة</v>
      </c>
      <c r="P90" s="194" t="s">
        <v>525</v>
      </c>
    </row>
    <row r="91" spans="1:16" ht="24" customHeight="1" x14ac:dyDescent="0.35">
      <c r="A91" s="192" t="s">
        <v>244</v>
      </c>
      <c r="B91" s="193" t="s">
        <v>614</v>
      </c>
      <c r="C91" s="167" t="str">
        <f t="shared" si="8"/>
        <v>🔴 لم تبدأ</v>
      </c>
      <c r="D91" s="192" t="s">
        <v>597</v>
      </c>
      <c r="E91" s="192" t="s">
        <v>598</v>
      </c>
      <c r="F91" s="182"/>
      <c r="G91" s="183"/>
      <c r="H91" s="184"/>
      <c r="I91" s="185"/>
      <c r="J91" s="186"/>
      <c r="K91" s="187"/>
      <c r="L91" s="188"/>
      <c r="M91" s="189">
        <f t="shared" si="9"/>
        <v>0</v>
      </c>
      <c r="N91" s="190">
        <f t="shared" si="10"/>
        <v>0</v>
      </c>
      <c r="O91" s="191" t="str">
        <f t="shared" si="11"/>
        <v>🔴 لم تبدأ / مرفوضة</v>
      </c>
      <c r="P91" s="194" t="s">
        <v>525</v>
      </c>
    </row>
    <row r="92" spans="1:16" ht="30" customHeight="1" x14ac:dyDescent="0.35">
      <c r="A92" s="44"/>
      <c r="B92" s="45" t="s">
        <v>203</v>
      </c>
      <c r="C92" s="195"/>
      <c r="D92" s="195"/>
      <c r="E92" s="195"/>
      <c r="F92" s="196">
        <f t="shared" ref="F92:L92" si="12">IFERROR(COUNTIF(F7:F91,1),"")</f>
        <v>0</v>
      </c>
      <c r="G92" s="197">
        <f t="shared" si="12"/>
        <v>0</v>
      </c>
      <c r="H92" s="198">
        <f t="shared" si="12"/>
        <v>0</v>
      </c>
      <c r="I92" s="199">
        <f t="shared" si="12"/>
        <v>0</v>
      </c>
      <c r="J92" s="200">
        <f t="shared" si="12"/>
        <v>0</v>
      </c>
      <c r="K92" s="201">
        <f t="shared" si="12"/>
        <v>0</v>
      </c>
      <c r="L92" s="202">
        <f t="shared" si="12"/>
        <v>0</v>
      </c>
      <c r="M92" s="203">
        <f>IFERROR(SUM(M7:M91),"")</f>
        <v>0</v>
      </c>
      <c r="N92" s="204">
        <f>IFERROR(COUNTIF(O7:O91,"✅ جاهزة للافتتاح")/85,"")</f>
        <v>0</v>
      </c>
    </row>
    <row r="94" spans="1:16" ht="21.75" customHeight="1" x14ac:dyDescent="0.35">
      <c r="A94" s="254" t="s">
        <v>615</v>
      </c>
      <c r="B94" s="254"/>
      <c r="C94" s="254"/>
      <c r="D94" s="254"/>
      <c r="E94" s="254"/>
      <c r="F94" s="254"/>
      <c r="G94" s="254"/>
      <c r="H94" s="254"/>
      <c r="I94" s="254"/>
      <c r="J94" s="254"/>
      <c r="K94" s="254"/>
      <c r="L94" s="254"/>
      <c r="M94" s="254"/>
      <c r="N94" s="254"/>
      <c r="O94" s="254"/>
      <c r="P94" s="254"/>
    </row>
    <row r="95" spans="1:16" ht="25.5" customHeight="1" x14ac:dyDescent="0.35">
      <c r="A95" s="25" t="s">
        <v>10</v>
      </c>
      <c r="B95" s="25" t="s">
        <v>616</v>
      </c>
      <c r="C95" s="25" t="s">
        <v>617</v>
      </c>
      <c r="D95" s="25" t="s">
        <v>618</v>
      </c>
      <c r="E95" s="25" t="s">
        <v>619</v>
      </c>
      <c r="F95" s="25" t="s">
        <v>620</v>
      </c>
    </row>
    <row r="96" spans="1:16" ht="27.75" customHeight="1" x14ac:dyDescent="0.35">
      <c r="A96" s="205" t="s">
        <v>621</v>
      </c>
      <c r="B96" s="206" t="s">
        <v>622</v>
      </c>
      <c r="C96" s="164" t="s">
        <v>623</v>
      </c>
      <c r="D96" s="162" t="s">
        <v>386</v>
      </c>
      <c r="E96" s="207" t="s">
        <v>387</v>
      </c>
      <c r="F96" s="208" t="s">
        <v>624</v>
      </c>
    </row>
    <row r="97" spans="1:6" ht="27.75" customHeight="1" x14ac:dyDescent="0.35">
      <c r="A97" s="209" t="s">
        <v>625</v>
      </c>
      <c r="B97" s="210" t="s">
        <v>626</v>
      </c>
      <c r="C97" s="164" t="s">
        <v>627</v>
      </c>
      <c r="D97" s="162" t="s">
        <v>386</v>
      </c>
      <c r="E97" s="207" t="s">
        <v>387</v>
      </c>
      <c r="F97" s="208" t="s">
        <v>624</v>
      </c>
    </row>
    <row r="98" spans="1:6" ht="27.75" customHeight="1" x14ac:dyDescent="0.35">
      <c r="A98" s="211" t="s">
        <v>628</v>
      </c>
      <c r="B98" s="212" t="s">
        <v>629</v>
      </c>
      <c r="C98" s="164" t="s">
        <v>630</v>
      </c>
      <c r="D98" s="162" t="s">
        <v>386</v>
      </c>
      <c r="E98" s="207" t="s">
        <v>387</v>
      </c>
      <c r="F98" s="208" t="s">
        <v>624</v>
      </c>
    </row>
    <row r="99" spans="1:6" ht="27.75" customHeight="1" x14ac:dyDescent="0.35">
      <c r="A99" s="213" t="s">
        <v>631</v>
      </c>
      <c r="B99" s="214" t="s">
        <v>632</v>
      </c>
      <c r="C99" s="164" t="s">
        <v>633</v>
      </c>
      <c r="D99" s="162" t="s">
        <v>386</v>
      </c>
      <c r="E99" s="207" t="s">
        <v>387</v>
      </c>
      <c r="F99" s="208" t="s">
        <v>624</v>
      </c>
    </row>
    <row r="100" spans="1:6" ht="27.75" customHeight="1" x14ac:dyDescent="0.35">
      <c r="A100" s="215" t="s">
        <v>634</v>
      </c>
      <c r="B100" s="216" t="s">
        <v>635</v>
      </c>
      <c r="C100" s="164" t="s">
        <v>636</v>
      </c>
      <c r="D100" s="162" t="s">
        <v>637</v>
      </c>
      <c r="E100" s="207" t="s">
        <v>387</v>
      </c>
      <c r="F100" s="208" t="s">
        <v>624</v>
      </c>
    </row>
    <row r="101" spans="1:6" ht="27.75" customHeight="1" x14ac:dyDescent="0.35">
      <c r="A101" s="217" t="s">
        <v>638</v>
      </c>
      <c r="B101" s="218" t="s">
        <v>639</v>
      </c>
      <c r="C101" s="164" t="s">
        <v>640</v>
      </c>
      <c r="D101" s="162" t="s">
        <v>386</v>
      </c>
      <c r="E101" s="207" t="s">
        <v>641</v>
      </c>
      <c r="F101" s="208" t="s">
        <v>624</v>
      </c>
    </row>
    <row r="102" spans="1:6" ht="27.75" customHeight="1" x14ac:dyDescent="0.35">
      <c r="A102" s="219" t="s">
        <v>642</v>
      </c>
      <c r="B102" s="216" t="s">
        <v>643</v>
      </c>
      <c r="C102" s="164" t="s">
        <v>644</v>
      </c>
      <c r="D102" s="162" t="s">
        <v>645</v>
      </c>
      <c r="E102" s="207" t="s">
        <v>387</v>
      </c>
      <c r="F102" s="208" t="s">
        <v>624</v>
      </c>
    </row>
  </sheetData>
  <mergeCells count="4">
    <mergeCell ref="A2:P2"/>
    <mergeCell ref="A3:P3"/>
    <mergeCell ref="F5:L5"/>
    <mergeCell ref="A94:P94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02"/>
  <sheetViews>
    <sheetView rightToLeft="1" zoomScale="80" zoomScaleNormal="8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ColWidth="8.6328125" defaultRowHeight="14.5" x14ac:dyDescent="0.35"/>
  <cols>
    <col min="1" max="1" width="4" customWidth="1"/>
    <col min="2" max="2" width="20" customWidth="1"/>
    <col min="3" max="3" width="10" customWidth="1"/>
    <col min="4" max="4" width="12" customWidth="1"/>
    <col min="5" max="5" width="14" customWidth="1"/>
    <col min="6" max="12" width="10" customWidth="1"/>
    <col min="13" max="13" width="8" customWidth="1"/>
    <col min="14" max="14" width="10" customWidth="1"/>
    <col min="15" max="15" width="14" customWidth="1"/>
    <col min="16" max="16" width="16" customWidth="1"/>
  </cols>
  <sheetData>
    <row r="1" spans="1:16" ht="4.5" customHeight="1" x14ac:dyDescent="0.35"/>
    <row r="2" spans="1:16" ht="54" customHeight="1" x14ac:dyDescent="0.35">
      <c r="A2" s="236" t="s">
        <v>646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</row>
    <row r="3" spans="1:16" ht="21.75" customHeight="1" x14ac:dyDescent="0.35">
      <c r="A3" s="10" t="s">
        <v>647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 ht="4.5" customHeight="1" x14ac:dyDescent="0.35"/>
    <row r="5" spans="1:16" ht="19.5" customHeight="1" x14ac:dyDescent="0.35">
      <c r="A5" s="177"/>
      <c r="B5" s="177"/>
      <c r="C5" s="177"/>
      <c r="D5" s="177"/>
      <c r="E5" s="177"/>
      <c r="F5" s="253" t="s">
        <v>510</v>
      </c>
      <c r="G5" s="253"/>
      <c r="H5" s="253"/>
      <c r="I5" s="253"/>
      <c r="J5" s="253"/>
      <c r="K5" s="253"/>
      <c r="L5" s="253"/>
      <c r="M5" s="177"/>
      <c r="N5" s="177"/>
      <c r="O5" s="177"/>
      <c r="P5" s="177"/>
    </row>
    <row r="6" spans="1:16" ht="21.75" customHeight="1" x14ac:dyDescent="0.35">
      <c r="A6" s="12" t="s">
        <v>8</v>
      </c>
      <c r="B6" s="12" t="s">
        <v>9</v>
      </c>
      <c r="C6" s="12" t="s">
        <v>12</v>
      </c>
      <c r="D6" s="12" t="s">
        <v>511</v>
      </c>
      <c r="E6" s="12" t="s">
        <v>22</v>
      </c>
      <c r="F6" s="179" t="s">
        <v>648</v>
      </c>
      <c r="G6" s="179" t="s">
        <v>649</v>
      </c>
      <c r="H6" s="179" t="s">
        <v>650</v>
      </c>
      <c r="I6" s="179" t="s">
        <v>651</v>
      </c>
      <c r="J6" s="179" t="s">
        <v>652</v>
      </c>
      <c r="K6" s="179" t="s">
        <v>653</v>
      </c>
      <c r="L6" s="179" t="s">
        <v>654</v>
      </c>
      <c r="M6" s="12" t="s">
        <v>519</v>
      </c>
      <c r="N6" s="12" t="s">
        <v>520</v>
      </c>
      <c r="O6" s="12" t="s">
        <v>521</v>
      </c>
      <c r="P6" s="12" t="s">
        <v>522</v>
      </c>
    </row>
    <row r="7" spans="1:16" ht="60" customHeight="1" x14ac:dyDescent="0.35">
      <c r="A7" s="17" t="s">
        <v>19</v>
      </c>
      <c r="B7" s="181" t="s">
        <v>523</v>
      </c>
      <c r="C7" s="167" t="str">
        <f t="shared" ref="C7:C38" si="0">IF(N7="","—",IF(N7=1,"🟢 جاهزة",IF(N7&gt;=0.71,"🟡 تكتمل","🔴 لم تبدأ")))</f>
        <v>🔴 لم تبدأ</v>
      </c>
      <c r="D7" s="17" t="s">
        <v>524</v>
      </c>
      <c r="E7" s="17" t="s">
        <v>31</v>
      </c>
      <c r="F7" s="187"/>
      <c r="G7" s="187"/>
      <c r="H7" s="187"/>
      <c r="I7" s="187"/>
      <c r="J7" s="187"/>
      <c r="K7" s="187"/>
      <c r="L7" s="187"/>
      <c r="M7" s="189">
        <f t="shared" ref="M7:M38" si="1">IFERROR(SUM(F7:L7),"")</f>
        <v>0</v>
      </c>
      <c r="N7" s="190">
        <f t="shared" ref="N7:N38" si="2">IFERROR(M7/7,"")</f>
        <v>0</v>
      </c>
      <c r="O7" s="191" t="str">
        <f t="shared" ref="O7:O38" si="3">IF(N7="","—",IF(N7=1,"✅ جاهزة للافتتاح",IF(N7&gt;=0.71,"🟡 تحتاج إكمال","🔴 لم تبدأ / مرفوضة")))</f>
        <v>🔴 لم تبدأ / مرفوضة</v>
      </c>
      <c r="P7" s="110" t="s">
        <v>525</v>
      </c>
    </row>
    <row r="8" spans="1:16" ht="24" customHeight="1" x14ac:dyDescent="0.35">
      <c r="A8" s="24" t="s">
        <v>32</v>
      </c>
      <c r="B8" s="181" t="s">
        <v>526</v>
      </c>
      <c r="C8" s="167" t="str">
        <f t="shared" si="0"/>
        <v>🔴 لم تبدأ</v>
      </c>
      <c r="D8" s="24" t="s">
        <v>524</v>
      </c>
      <c r="E8" s="24" t="s">
        <v>31</v>
      </c>
      <c r="F8" s="187"/>
      <c r="G8" s="187"/>
      <c r="H8" s="187"/>
      <c r="I8" s="187"/>
      <c r="J8" s="187"/>
      <c r="K8" s="187"/>
      <c r="L8" s="187"/>
      <c r="M8" s="189">
        <f t="shared" si="1"/>
        <v>0</v>
      </c>
      <c r="N8" s="190">
        <f t="shared" si="2"/>
        <v>0</v>
      </c>
      <c r="O8" s="191" t="str">
        <f t="shared" si="3"/>
        <v>🔴 لم تبدأ / مرفوضة</v>
      </c>
      <c r="P8" s="115" t="s">
        <v>525</v>
      </c>
    </row>
    <row r="9" spans="1:16" ht="24" customHeight="1" x14ac:dyDescent="0.35">
      <c r="A9" s="17" t="s">
        <v>35</v>
      </c>
      <c r="B9" s="181" t="s">
        <v>527</v>
      </c>
      <c r="C9" s="167" t="str">
        <f t="shared" si="0"/>
        <v>🔴 لم تبدأ</v>
      </c>
      <c r="D9" s="17" t="s">
        <v>524</v>
      </c>
      <c r="E9" s="17" t="s">
        <v>31</v>
      </c>
      <c r="F9" s="187"/>
      <c r="G9" s="187"/>
      <c r="H9" s="187"/>
      <c r="I9" s="187"/>
      <c r="J9" s="187"/>
      <c r="K9" s="187"/>
      <c r="L9" s="187"/>
      <c r="M9" s="189">
        <f t="shared" si="1"/>
        <v>0</v>
      </c>
      <c r="N9" s="190">
        <f t="shared" si="2"/>
        <v>0</v>
      </c>
      <c r="O9" s="191" t="str">
        <f t="shared" si="3"/>
        <v>🔴 لم تبدأ / مرفوضة</v>
      </c>
      <c r="P9" s="110" t="s">
        <v>525</v>
      </c>
    </row>
    <row r="10" spans="1:16" ht="24" customHeight="1" x14ac:dyDescent="0.35">
      <c r="A10" s="24" t="s">
        <v>38</v>
      </c>
      <c r="B10" s="181" t="s">
        <v>528</v>
      </c>
      <c r="C10" s="167" t="str">
        <f t="shared" si="0"/>
        <v>🔴 لم تبدأ</v>
      </c>
      <c r="D10" s="24" t="s">
        <v>524</v>
      </c>
      <c r="E10" s="24" t="s">
        <v>31</v>
      </c>
      <c r="F10" s="187"/>
      <c r="G10" s="187"/>
      <c r="H10" s="187"/>
      <c r="I10" s="187"/>
      <c r="J10" s="187"/>
      <c r="K10" s="187"/>
      <c r="L10" s="187"/>
      <c r="M10" s="189">
        <f t="shared" si="1"/>
        <v>0</v>
      </c>
      <c r="N10" s="190">
        <f t="shared" si="2"/>
        <v>0</v>
      </c>
      <c r="O10" s="191" t="str">
        <f t="shared" si="3"/>
        <v>🔴 لم تبدأ / مرفوضة</v>
      </c>
      <c r="P10" s="115" t="s">
        <v>525</v>
      </c>
    </row>
    <row r="11" spans="1:16" ht="24" customHeight="1" x14ac:dyDescent="0.35">
      <c r="A11" s="17" t="s">
        <v>41</v>
      </c>
      <c r="B11" s="181" t="s">
        <v>529</v>
      </c>
      <c r="C11" s="167" t="str">
        <f t="shared" si="0"/>
        <v>🔴 لم تبدأ</v>
      </c>
      <c r="D11" s="17" t="s">
        <v>524</v>
      </c>
      <c r="E11" s="17" t="s">
        <v>31</v>
      </c>
      <c r="F11" s="187"/>
      <c r="G11" s="187"/>
      <c r="H11" s="187"/>
      <c r="I11" s="187"/>
      <c r="J11" s="187"/>
      <c r="K11" s="187"/>
      <c r="L11" s="187"/>
      <c r="M11" s="189">
        <f t="shared" si="1"/>
        <v>0</v>
      </c>
      <c r="N11" s="190">
        <f t="shared" si="2"/>
        <v>0</v>
      </c>
      <c r="O11" s="191" t="str">
        <f t="shared" si="3"/>
        <v>🔴 لم تبدأ / مرفوضة</v>
      </c>
      <c r="P11" s="110" t="s">
        <v>525</v>
      </c>
    </row>
    <row r="12" spans="1:16" ht="24" customHeight="1" x14ac:dyDescent="0.35">
      <c r="A12" s="24" t="s">
        <v>44</v>
      </c>
      <c r="B12" s="181" t="s">
        <v>530</v>
      </c>
      <c r="C12" s="167" t="str">
        <f t="shared" si="0"/>
        <v>🔴 لم تبدأ</v>
      </c>
      <c r="D12" s="24" t="s">
        <v>524</v>
      </c>
      <c r="E12" s="24" t="s">
        <v>31</v>
      </c>
      <c r="F12" s="187"/>
      <c r="G12" s="187"/>
      <c r="H12" s="187"/>
      <c r="I12" s="187"/>
      <c r="J12" s="187"/>
      <c r="K12" s="187"/>
      <c r="L12" s="187"/>
      <c r="M12" s="189">
        <f t="shared" si="1"/>
        <v>0</v>
      </c>
      <c r="N12" s="190">
        <f t="shared" si="2"/>
        <v>0</v>
      </c>
      <c r="O12" s="191" t="str">
        <f t="shared" si="3"/>
        <v>🔴 لم تبدأ / مرفوضة</v>
      </c>
      <c r="P12" s="115" t="s">
        <v>525</v>
      </c>
    </row>
    <row r="13" spans="1:16" ht="24" customHeight="1" x14ac:dyDescent="0.35">
      <c r="A13" s="17" t="s">
        <v>47</v>
      </c>
      <c r="B13" s="181" t="s">
        <v>531</v>
      </c>
      <c r="C13" s="167" t="str">
        <f t="shared" si="0"/>
        <v>🔴 لم تبدأ</v>
      </c>
      <c r="D13" s="17" t="s">
        <v>524</v>
      </c>
      <c r="E13" s="17" t="s">
        <v>31</v>
      </c>
      <c r="F13" s="187"/>
      <c r="G13" s="187"/>
      <c r="H13" s="187"/>
      <c r="I13" s="187"/>
      <c r="J13" s="187"/>
      <c r="K13" s="187"/>
      <c r="L13" s="187"/>
      <c r="M13" s="189">
        <f t="shared" si="1"/>
        <v>0</v>
      </c>
      <c r="N13" s="190">
        <f t="shared" si="2"/>
        <v>0</v>
      </c>
      <c r="O13" s="191" t="str">
        <f t="shared" si="3"/>
        <v>🔴 لم تبدأ / مرفوضة</v>
      </c>
      <c r="P13" s="110" t="s">
        <v>525</v>
      </c>
    </row>
    <row r="14" spans="1:16" ht="24" customHeight="1" x14ac:dyDescent="0.35">
      <c r="A14" s="24" t="s">
        <v>50</v>
      </c>
      <c r="B14" s="181" t="s">
        <v>532</v>
      </c>
      <c r="C14" s="167" t="str">
        <f t="shared" si="0"/>
        <v>🔴 لم تبدأ</v>
      </c>
      <c r="D14" s="24" t="s">
        <v>524</v>
      </c>
      <c r="E14" s="24" t="s">
        <v>31</v>
      </c>
      <c r="F14" s="187"/>
      <c r="G14" s="187"/>
      <c r="H14" s="187"/>
      <c r="I14" s="187"/>
      <c r="J14" s="187"/>
      <c r="K14" s="187"/>
      <c r="L14" s="187"/>
      <c r="M14" s="189">
        <f t="shared" si="1"/>
        <v>0</v>
      </c>
      <c r="N14" s="190">
        <f t="shared" si="2"/>
        <v>0</v>
      </c>
      <c r="O14" s="191" t="str">
        <f t="shared" si="3"/>
        <v>🔴 لم تبدأ / مرفوضة</v>
      </c>
      <c r="P14" s="115" t="s">
        <v>525</v>
      </c>
    </row>
    <row r="15" spans="1:16" ht="24" customHeight="1" x14ac:dyDescent="0.35">
      <c r="A15" s="17" t="s">
        <v>53</v>
      </c>
      <c r="B15" s="181" t="s">
        <v>533</v>
      </c>
      <c r="C15" s="167" t="str">
        <f t="shared" si="0"/>
        <v>🔴 لم تبدأ</v>
      </c>
      <c r="D15" s="17" t="s">
        <v>524</v>
      </c>
      <c r="E15" s="17" t="s">
        <v>31</v>
      </c>
      <c r="F15" s="187"/>
      <c r="G15" s="187"/>
      <c r="H15" s="187"/>
      <c r="I15" s="187"/>
      <c r="J15" s="187"/>
      <c r="K15" s="187"/>
      <c r="L15" s="187"/>
      <c r="M15" s="189">
        <f t="shared" si="1"/>
        <v>0</v>
      </c>
      <c r="N15" s="190">
        <f t="shared" si="2"/>
        <v>0</v>
      </c>
      <c r="O15" s="191" t="str">
        <f t="shared" si="3"/>
        <v>🔴 لم تبدأ / مرفوضة</v>
      </c>
      <c r="P15" s="110" t="s">
        <v>525</v>
      </c>
    </row>
    <row r="16" spans="1:16" ht="24" customHeight="1" x14ac:dyDescent="0.35">
      <c r="A16" s="24" t="s">
        <v>56</v>
      </c>
      <c r="B16" s="181" t="s">
        <v>534</v>
      </c>
      <c r="C16" s="167" t="str">
        <f t="shared" si="0"/>
        <v>🔴 لم تبدأ</v>
      </c>
      <c r="D16" s="24" t="s">
        <v>524</v>
      </c>
      <c r="E16" s="24" t="s">
        <v>31</v>
      </c>
      <c r="F16" s="187"/>
      <c r="G16" s="187"/>
      <c r="H16" s="187"/>
      <c r="I16" s="187"/>
      <c r="J16" s="187"/>
      <c r="K16" s="187"/>
      <c r="L16" s="187"/>
      <c r="M16" s="189">
        <f t="shared" si="1"/>
        <v>0</v>
      </c>
      <c r="N16" s="190">
        <f t="shared" si="2"/>
        <v>0</v>
      </c>
      <c r="O16" s="191" t="str">
        <f t="shared" si="3"/>
        <v>🔴 لم تبدأ / مرفوضة</v>
      </c>
      <c r="P16" s="115" t="s">
        <v>525</v>
      </c>
    </row>
    <row r="17" spans="1:16" ht="24" customHeight="1" x14ac:dyDescent="0.35">
      <c r="A17" s="17" t="s">
        <v>59</v>
      </c>
      <c r="B17" s="181" t="s">
        <v>535</v>
      </c>
      <c r="C17" s="167" t="str">
        <f t="shared" si="0"/>
        <v>🔴 لم تبدأ</v>
      </c>
      <c r="D17" s="17" t="s">
        <v>524</v>
      </c>
      <c r="E17" s="17" t="s">
        <v>31</v>
      </c>
      <c r="F17" s="187"/>
      <c r="G17" s="187"/>
      <c r="H17" s="187"/>
      <c r="I17" s="187"/>
      <c r="J17" s="187"/>
      <c r="K17" s="187"/>
      <c r="L17" s="187"/>
      <c r="M17" s="189">
        <f t="shared" si="1"/>
        <v>0</v>
      </c>
      <c r="N17" s="190">
        <f t="shared" si="2"/>
        <v>0</v>
      </c>
      <c r="O17" s="191" t="str">
        <f t="shared" si="3"/>
        <v>🔴 لم تبدأ / مرفوضة</v>
      </c>
      <c r="P17" s="110" t="s">
        <v>525</v>
      </c>
    </row>
    <row r="18" spans="1:16" ht="24" customHeight="1" x14ac:dyDescent="0.35">
      <c r="A18" s="24" t="s">
        <v>62</v>
      </c>
      <c r="B18" s="181" t="s">
        <v>536</v>
      </c>
      <c r="C18" s="167" t="str">
        <f t="shared" si="0"/>
        <v>🔴 لم تبدأ</v>
      </c>
      <c r="D18" s="24" t="s">
        <v>524</v>
      </c>
      <c r="E18" s="24" t="s">
        <v>31</v>
      </c>
      <c r="F18" s="187"/>
      <c r="G18" s="187"/>
      <c r="H18" s="187"/>
      <c r="I18" s="187"/>
      <c r="J18" s="187"/>
      <c r="K18" s="187"/>
      <c r="L18" s="187"/>
      <c r="M18" s="189">
        <f t="shared" si="1"/>
        <v>0</v>
      </c>
      <c r="N18" s="190">
        <f t="shared" si="2"/>
        <v>0</v>
      </c>
      <c r="O18" s="191" t="str">
        <f t="shared" si="3"/>
        <v>🔴 لم تبدأ / مرفوضة</v>
      </c>
      <c r="P18" s="115" t="s">
        <v>525</v>
      </c>
    </row>
    <row r="19" spans="1:16" ht="24" customHeight="1" x14ac:dyDescent="0.35">
      <c r="A19" s="17" t="s">
        <v>65</v>
      </c>
      <c r="B19" s="181" t="s">
        <v>537</v>
      </c>
      <c r="C19" s="167" t="str">
        <f t="shared" si="0"/>
        <v>🔴 لم تبدأ</v>
      </c>
      <c r="D19" s="17" t="s">
        <v>524</v>
      </c>
      <c r="E19" s="17" t="s">
        <v>31</v>
      </c>
      <c r="F19" s="187"/>
      <c r="G19" s="187"/>
      <c r="H19" s="187"/>
      <c r="I19" s="187"/>
      <c r="J19" s="187"/>
      <c r="K19" s="187"/>
      <c r="L19" s="187"/>
      <c r="M19" s="189">
        <f t="shared" si="1"/>
        <v>0</v>
      </c>
      <c r="N19" s="190">
        <f t="shared" si="2"/>
        <v>0</v>
      </c>
      <c r="O19" s="191" t="str">
        <f t="shared" si="3"/>
        <v>🔴 لم تبدأ / مرفوضة</v>
      </c>
      <c r="P19" s="110" t="s">
        <v>525</v>
      </c>
    </row>
    <row r="20" spans="1:16" ht="24" customHeight="1" x14ac:dyDescent="0.35">
      <c r="A20" s="24" t="s">
        <v>68</v>
      </c>
      <c r="B20" s="181" t="s">
        <v>538</v>
      </c>
      <c r="C20" s="167" t="str">
        <f t="shared" si="0"/>
        <v>🔴 لم تبدأ</v>
      </c>
      <c r="D20" s="24" t="s">
        <v>524</v>
      </c>
      <c r="E20" s="24" t="s">
        <v>31</v>
      </c>
      <c r="F20" s="187"/>
      <c r="G20" s="187"/>
      <c r="H20" s="187"/>
      <c r="I20" s="187"/>
      <c r="J20" s="187"/>
      <c r="K20" s="187"/>
      <c r="L20" s="187"/>
      <c r="M20" s="189">
        <f t="shared" si="1"/>
        <v>0</v>
      </c>
      <c r="N20" s="190">
        <f t="shared" si="2"/>
        <v>0</v>
      </c>
      <c r="O20" s="191" t="str">
        <f t="shared" si="3"/>
        <v>🔴 لم تبدأ / مرفوضة</v>
      </c>
      <c r="P20" s="115" t="s">
        <v>525</v>
      </c>
    </row>
    <row r="21" spans="1:16" ht="24" customHeight="1" x14ac:dyDescent="0.35">
      <c r="A21" s="17" t="s">
        <v>71</v>
      </c>
      <c r="B21" s="181" t="s">
        <v>539</v>
      </c>
      <c r="C21" s="167" t="str">
        <f t="shared" si="0"/>
        <v>🔴 لم تبدأ</v>
      </c>
      <c r="D21" s="17" t="s">
        <v>524</v>
      </c>
      <c r="E21" s="17" t="s">
        <v>31</v>
      </c>
      <c r="F21" s="187"/>
      <c r="G21" s="187"/>
      <c r="H21" s="187"/>
      <c r="I21" s="187"/>
      <c r="J21" s="187"/>
      <c r="K21" s="187"/>
      <c r="L21" s="187"/>
      <c r="M21" s="189">
        <f t="shared" si="1"/>
        <v>0</v>
      </c>
      <c r="N21" s="190">
        <f t="shared" si="2"/>
        <v>0</v>
      </c>
      <c r="O21" s="191" t="str">
        <f t="shared" si="3"/>
        <v>🔴 لم تبدأ / مرفوضة</v>
      </c>
      <c r="P21" s="110" t="s">
        <v>525</v>
      </c>
    </row>
    <row r="22" spans="1:16" ht="24" customHeight="1" x14ac:dyDescent="0.35">
      <c r="A22" s="24" t="s">
        <v>74</v>
      </c>
      <c r="B22" s="181" t="s">
        <v>540</v>
      </c>
      <c r="C22" s="167" t="str">
        <f t="shared" si="0"/>
        <v>🔴 لم تبدأ</v>
      </c>
      <c r="D22" s="24" t="s">
        <v>524</v>
      </c>
      <c r="E22" s="24" t="s">
        <v>31</v>
      </c>
      <c r="F22" s="187"/>
      <c r="G22" s="187"/>
      <c r="H22" s="187"/>
      <c r="I22" s="187"/>
      <c r="J22" s="187"/>
      <c r="K22" s="187"/>
      <c r="L22" s="187"/>
      <c r="M22" s="189">
        <f t="shared" si="1"/>
        <v>0</v>
      </c>
      <c r="N22" s="190">
        <f t="shared" si="2"/>
        <v>0</v>
      </c>
      <c r="O22" s="191" t="str">
        <f t="shared" si="3"/>
        <v>🔴 لم تبدأ / مرفوضة</v>
      </c>
      <c r="P22" s="115" t="s">
        <v>525</v>
      </c>
    </row>
    <row r="23" spans="1:16" ht="24" customHeight="1" x14ac:dyDescent="0.35">
      <c r="A23" s="17" t="s">
        <v>77</v>
      </c>
      <c r="B23" s="181" t="s">
        <v>541</v>
      </c>
      <c r="C23" s="167" t="str">
        <f t="shared" si="0"/>
        <v>🔴 لم تبدأ</v>
      </c>
      <c r="D23" s="17" t="s">
        <v>524</v>
      </c>
      <c r="E23" s="17" t="s">
        <v>31</v>
      </c>
      <c r="F23" s="187"/>
      <c r="G23" s="187"/>
      <c r="H23" s="187"/>
      <c r="I23" s="187"/>
      <c r="J23" s="187"/>
      <c r="K23" s="187"/>
      <c r="L23" s="187"/>
      <c r="M23" s="189">
        <f t="shared" si="1"/>
        <v>0</v>
      </c>
      <c r="N23" s="190">
        <f t="shared" si="2"/>
        <v>0</v>
      </c>
      <c r="O23" s="191" t="str">
        <f t="shared" si="3"/>
        <v>🔴 لم تبدأ / مرفوضة</v>
      </c>
      <c r="P23" s="110" t="s">
        <v>525</v>
      </c>
    </row>
    <row r="24" spans="1:16" ht="24" customHeight="1" x14ac:dyDescent="0.35">
      <c r="A24" s="24" t="s">
        <v>80</v>
      </c>
      <c r="B24" s="181" t="s">
        <v>542</v>
      </c>
      <c r="C24" s="167" t="str">
        <f t="shared" si="0"/>
        <v>🔴 لم تبدأ</v>
      </c>
      <c r="D24" s="24" t="s">
        <v>543</v>
      </c>
      <c r="E24" s="24" t="s">
        <v>83</v>
      </c>
      <c r="F24" s="187"/>
      <c r="G24" s="187"/>
      <c r="H24" s="187"/>
      <c r="I24" s="187"/>
      <c r="J24" s="187"/>
      <c r="K24" s="187"/>
      <c r="L24" s="187"/>
      <c r="M24" s="189">
        <f t="shared" si="1"/>
        <v>0</v>
      </c>
      <c r="N24" s="190">
        <f t="shared" si="2"/>
        <v>0</v>
      </c>
      <c r="O24" s="191" t="str">
        <f t="shared" si="3"/>
        <v>🔴 لم تبدأ / مرفوضة</v>
      </c>
      <c r="P24" s="115" t="s">
        <v>525</v>
      </c>
    </row>
    <row r="25" spans="1:16" ht="24" customHeight="1" x14ac:dyDescent="0.35">
      <c r="A25" s="17" t="s">
        <v>84</v>
      </c>
      <c r="B25" s="181" t="s">
        <v>544</v>
      </c>
      <c r="C25" s="167" t="str">
        <f t="shared" si="0"/>
        <v>🔴 لم تبدأ</v>
      </c>
      <c r="D25" s="17" t="s">
        <v>543</v>
      </c>
      <c r="E25" s="17" t="s">
        <v>83</v>
      </c>
      <c r="F25" s="187"/>
      <c r="G25" s="187"/>
      <c r="H25" s="187"/>
      <c r="I25" s="187"/>
      <c r="J25" s="187"/>
      <c r="K25" s="187"/>
      <c r="L25" s="187"/>
      <c r="M25" s="189">
        <f t="shared" si="1"/>
        <v>0</v>
      </c>
      <c r="N25" s="190">
        <f t="shared" si="2"/>
        <v>0</v>
      </c>
      <c r="O25" s="191" t="str">
        <f t="shared" si="3"/>
        <v>🔴 لم تبدأ / مرفوضة</v>
      </c>
      <c r="P25" s="110" t="s">
        <v>525</v>
      </c>
    </row>
    <row r="26" spans="1:16" ht="24" customHeight="1" x14ac:dyDescent="0.35">
      <c r="A26" s="24" t="s">
        <v>87</v>
      </c>
      <c r="B26" s="181" t="s">
        <v>545</v>
      </c>
      <c r="C26" s="167" t="str">
        <f t="shared" si="0"/>
        <v>🔴 لم تبدأ</v>
      </c>
      <c r="D26" s="24" t="s">
        <v>543</v>
      </c>
      <c r="E26" s="24" t="s">
        <v>83</v>
      </c>
      <c r="F26" s="187"/>
      <c r="G26" s="187"/>
      <c r="H26" s="187"/>
      <c r="I26" s="187"/>
      <c r="J26" s="187"/>
      <c r="K26" s="187"/>
      <c r="L26" s="187"/>
      <c r="M26" s="189">
        <f t="shared" si="1"/>
        <v>0</v>
      </c>
      <c r="N26" s="190">
        <f t="shared" si="2"/>
        <v>0</v>
      </c>
      <c r="O26" s="191" t="str">
        <f t="shared" si="3"/>
        <v>🔴 لم تبدأ / مرفوضة</v>
      </c>
      <c r="P26" s="115" t="s">
        <v>525</v>
      </c>
    </row>
    <row r="27" spans="1:16" ht="24" customHeight="1" x14ac:dyDescent="0.35">
      <c r="A27" s="17" t="s">
        <v>90</v>
      </c>
      <c r="B27" s="181" t="s">
        <v>546</v>
      </c>
      <c r="C27" s="167" t="str">
        <f t="shared" si="0"/>
        <v>🔴 لم تبدأ</v>
      </c>
      <c r="D27" s="17" t="s">
        <v>543</v>
      </c>
      <c r="E27" s="17" t="s">
        <v>83</v>
      </c>
      <c r="F27" s="187"/>
      <c r="G27" s="187"/>
      <c r="H27" s="187"/>
      <c r="I27" s="187"/>
      <c r="J27" s="187"/>
      <c r="K27" s="187"/>
      <c r="L27" s="187"/>
      <c r="M27" s="189">
        <f t="shared" si="1"/>
        <v>0</v>
      </c>
      <c r="N27" s="190">
        <f t="shared" si="2"/>
        <v>0</v>
      </c>
      <c r="O27" s="191" t="str">
        <f t="shared" si="3"/>
        <v>🔴 لم تبدأ / مرفوضة</v>
      </c>
      <c r="P27" s="110" t="s">
        <v>525</v>
      </c>
    </row>
    <row r="28" spans="1:16" ht="24" customHeight="1" x14ac:dyDescent="0.35">
      <c r="A28" s="24" t="s">
        <v>93</v>
      </c>
      <c r="B28" s="181" t="s">
        <v>547</v>
      </c>
      <c r="C28" s="167" t="str">
        <f t="shared" si="0"/>
        <v>🔴 لم تبدأ</v>
      </c>
      <c r="D28" s="24" t="s">
        <v>543</v>
      </c>
      <c r="E28" s="24" t="s">
        <v>83</v>
      </c>
      <c r="F28" s="187"/>
      <c r="G28" s="187"/>
      <c r="H28" s="187"/>
      <c r="I28" s="187"/>
      <c r="J28" s="187"/>
      <c r="K28" s="187"/>
      <c r="L28" s="187"/>
      <c r="M28" s="189">
        <f t="shared" si="1"/>
        <v>0</v>
      </c>
      <c r="N28" s="190">
        <f t="shared" si="2"/>
        <v>0</v>
      </c>
      <c r="O28" s="191" t="str">
        <f t="shared" si="3"/>
        <v>🔴 لم تبدأ / مرفوضة</v>
      </c>
      <c r="P28" s="115" t="s">
        <v>525</v>
      </c>
    </row>
    <row r="29" spans="1:16" ht="24" customHeight="1" x14ac:dyDescent="0.35">
      <c r="A29" s="17" t="s">
        <v>96</v>
      </c>
      <c r="B29" s="181" t="s">
        <v>548</v>
      </c>
      <c r="C29" s="167" t="str">
        <f t="shared" si="0"/>
        <v>🔴 لم تبدأ</v>
      </c>
      <c r="D29" s="17" t="s">
        <v>543</v>
      </c>
      <c r="E29" s="17" t="s">
        <v>83</v>
      </c>
      <c r="F29" s="187"/>
      <c r="G29" s="187"/>
      <c r="H29" s="187"/>
      <c r="I29" s="187"/>
      <c r="J29" s="187"/>
      <c r="K29" s="187"/>
      <c r="L29" s="187"/>
      <c r="M29" s="189">
        <f t="shared" si="1"/>
        <v>0</v>
      </c>
      <c r="N29" s="190">
        <f t="shared" si="2"/>
        <v>0</v>
      </c>
      <c r="O29" s="191" t="str">
        <f t="shared" si="3"/>
        <v>🔴 لم تبدأ / مرفوضة</v>
      </c>
      <c r="P29" s="110" t="s">
        <v>525</v>
      </c>
    </row>
    <row r="30" spans="1:16" ht="24" customHeight="1" x14ac:dyDescent="0.35">
      <c r="A30" s="24" t="s">
        <v>99</v>
      </c>
      <c r="B30" s="181" t="s">
        <v>549</v>
      </c>
      <c r="C30" s="167" t="str">
        <f t="shared" si="0"/>
        <v>🔴 لم تبدأ</v>
      </c>
      <c r="D30" s="24" t="s">
        <v>543</v>
      </c>
      <c r="E30" s="24" t="s">
        <v>83</v>
      </c>
      <c r="F30" s="187"/>
      <c r="G30" s="187"/>
      <c r="H30" s="187"/>
      <c r="I30" s="187"/>
      <c r="J30" s="187"/>
      <c r="K30" s="187"/>
      <c r="L30" s="187"/>
      <c r="M30" s="189">
        <f t="shared" si="1"/>
        <v>0</v>
      </c>
      <c r="N30" s="190">
        <f t="shared" si="2"/>
        <v>0</v>
      </c>
      <c r="O30" s="191" t="str">
        <f t="shared" si="3"/>
        <v>🔴 لم تبدأ / مرفوضة</v>
      </c>
      <c r="P30" s="115" t="s">
        <v>525</v>
      </c>
    </row>
    <row r="31" spans="1:16" ht="24" customHeight="1" x14ac:dyDescent="0.35">
      <c r="A31" s="17" t="s">
        <v>102</v>
      </c>
      <c r="B31" s="181" t="s">
        <v>550</v>
      </c>
      <c r="C31" s="167" t="str">
        <f t="shared" si="0"/>
        <v>🔴 لم تبدأ</v>
      </c>
      <c r="D31" s="17" t="s">
        <v>543</v>
      </c>
      <c r="E31" s="17" t="s">
        <v>83</v>
      </c>
      <c r="F31" s="187"/>
      <c r="G31" s="187"/>
      <c r="H31" s="187"/>
      <c r="I31" s="187"/>
      <c r="J31" s="187"/>
      <c r="K31" s="187"/>
      <c r="L31" s="187"/>
      <c r="M31" s="189">
        <f t="shared" si="1"/>
        <v>0</v>
      </c>
      <c r="N31" s="190">
        <f t="shared" si="2"/>
        <v>0</v>
      </c>
      <c r="O31" s="191" t="str">
        <f t="shared" si="3"/>
        <v>🔴 لم تبدأ / مرفوضة</v>
      </c>
      <c r="P31" s="110" t="s">
        <v>525</v>
      </c>
    </row>
    <row r="32" spans="1:16" ht="24" customHeight="1" x14ac:dyDescent="0.35">
      <c r="A32" s="24" t="s">
        <v>105</v>
      </c>
      <c r="B32" s="181" t="s">
        <v>551</v>
      </c>
      <c r="C32" s="167" t="str">
        <f t="shared" si="0"/>
        <v>🔴 لم تبدأ</v>
      </c>
      <c r="D32" s="24" t="s">
        <v>543</v>
      </c>
      <c r="E32" s="24" t="s">
        <v>83</v>
      </c>
      <c r="F32" s="187"/>
      <c r="G32" s="187"/>
      <c r="H32" s="187"/>
      <c r="I32" s="187"/>
      <c r="J32" s="187"/>
      <c r="K32" s="187"/>
      <c r="L32" s="187"/>
      <c r="M32" s="189">
        <f t="shared" si="1"/>
        <v>0</v>
      </c>
      <c r="N32" s="190">
        <f t="shared" si="2"/>
        <v>0</v>
      </c>
      <c r="O32" s="191" t="str">
        <f t="shared" si="3"/>
        <v>🔴 لم تبدأ / مرفوضة</v>
      </c>
      <c r="P32" s="115" t="s">
        <v>525</v>
      </c>
    </row>
    <row r="33" spans="1:16" ht="24" customHeight="1" x14ac:dyDescent="0.35">
      <c r="A33" s="17" t="s">
        <v>108</v>
      </c>
      <c r="B33" s="181" t="s">
        <v>552</v>
      </c>
      <c r="C33" s="167" t="str">
        <f t="shared" si="0"/>
        <v>🔴 لم تبدأ</v>
      </c>
      <c r="D33" s="17" t="s">
        <v>543</v>
      </c>
      <c r="E33" s="17" t="s">
        <v>83</v>
      </c>
      <c r="F33" s="187"/>
      <c r="G33" s="187"/>
      <c r="H33" s="187"/>
      <c r="I33" s="187"/>
      <c r="J33" s="187"/>
      <c r="K33" s="187"/>
      <c r="L33" s="187"/>
      <c r="M33" s="189">
        <f t="shared" si="1"/>
        <v>0</v>
      </c>
      <c r="N33" s="190">
        <f t="shared" si="2"/>
        <v>0</v>
      </c>
      <c r="O33" s="191" t="str">
        <f t="shared" si="3"/>
        <v>🔴 لم تبدأ / مرفوضة</v>
      </c>
      <c r="P33" s="110" t="s">
        <v>525</v>
      </c>
    </row>
    <row r="34" spans="1:16" ht="24" customHeight="1" x14ac:dyDescent="0.35">
      <c r="A34" s="24" t="s">
        <v>111</v>
      </c>
      <c r="B34" s="181" t="s">
        <v>553</v>
      </c>
      <c r="C34" s="167" t="str">
        <f t="shared" si="0"/>
        <v>🔴 لم تبدأ</v>
      </c>
      <c r="D34" s="24" t="s">
        <v>543</v>
      </c>
      <c r="E34" s="24" t="s">
        <v>83</v>
      </c>
      <c r="F34" s="187"/>
      <c r="G34" s="187"/>
      <c r="H34" s="187"/>
      <c r="I34" s="187"/>
      <c r="J34" s="187"/>
      <c r="K34" s="187"/>
      <c r="L34" s="187"/>
      <c r="M34" s="189">
        <f t="shared" si="1"/>
        <v>0</v>
      </c>
      <c r="N34" s="190">
        <f t="shared" si="2"/>
        <v>0</v>
      </c>
      <c r="O34" s="191" t="str">
        <f t="shared" si="3"/>
        <v>🔴 لم تبدأ / مرفوضة</v>
      </c>
      <c r="P34" s="115" t="s">
        <v>525</v>
      </c>
    </row>
    <row r="35" spans="1:16" ht="24" customHeight="1" x14ac:dyDescent="0.35">
      <c r="A35" s="17" t="s">
        <v>114</v>
      </c>
      <c r="B35" s="181" t="s">
        <v>554</v>
      </c>
      <c r="C35" s="167" t="str">
        <f t="shared" si="0"/>
        <v>🔴 لم تبدأ</v>
      </c>
      <c r="D35" s="17" t="s">
        <v>543</v>
      </c>
      <c r="E35" s="17" t="s">
        <v>83</v>
      </c>
      <c r="F35" s="187"/>
      <c r="G35" s="187"/>
      <c r="H35" s="187"/>
      <c r="I35" s="187"/>
      <c r="J35" s="187"/>
      <c r="K35" s="187"/>
      <c r="L35" s="187"/>
      <c r="M35" s="189">
        <f t="shared" si="1"/>
        <v>0</v>
      </c>
      <c r="N35" s="190">
        <f t="shared" si="2"/>
        <v>0</v>
      </c>
      <c r="O35" s="191" t="str">
        <f t="shared" si="3"/>
        <v>🔴 لم تبدأ / مرفوضة</v>
      </c>
      <c r="P35" s="110" t="s">
        <v>525</v>
      </c>
    </row>
    <row r="36" spans="1:16" ht="24" customHeight="1" x14ac:dyDescent="0.35">
      <c r="A36" s="24" t="s">
        <v>117</v>
      </c>
      <c r="B36" s="181" t="s">
        <v>555</v>
      </c>
      <c r="C36" s="167" t="str">
        <f t="shared" si="0"/>
        <v>🔴 لم تبدأ</v>
      </c>
      <c r="D36" s="24" t="s">
        <v>543</v>
      </c>
      <c r="E36" s="24" t="s">
        <v>83</v>
      </c>
      <c r="F36" s="187"/>
      <c r="G36" s="187"/>
      <c r="H36" s="187"/>
      <c r="I36" s="187"/>
      <c r="J36" s="187"/>
      <c r="K36" s="187"/>
      <c r="L36" s="187"/>
      <c r="M36" s="189">
        <f t="shared" si="1"/>
        <v>0</v>
      </c>
      <c r="N36" s="190">
        <f t="shared" si="2"/>
        <v>0</v>
      </c>
      <c r="O36" s="191" t="str">
        <f t="shared" si="3"/>
        <v>🔴 لم تبدأ / مرفوضة</v>
      </c>
      <c r="P36" s="115" t="s">
        <v>525</v>
      </c>
    </row>
    <row r="37" spans="1:16" ht="24" customHeight="1" x14ac:dyDescent="0.35">
      <c r="A37" s="17" t="s">
        <v>120</v>
      </c>
      <c r="B37" s="181" t="s">
        <v>556</v>
      </c>
      <c r="C37" s="167" t="str">
        <f t="shared" si="0"/>
        <v>🔴 لم تبدأ</v>
      </c>
      <c r="D37" s="17" t="s">
        <v>543</v>
      </c>
      <c r="E37" s="17" t="s">
        <v>83</v>
      </c>
      <c r="F37" s="187"/>
      <c r="G37" s="187"/>
      <c r="H37" s="187"/>
      <c r="I37" s="187"/>
      <c r="J37" s="187"/>
      <c r="K37" s="187"/>
      <c r="L37" s="187"/>
      <c r="M37" s="189">
        <f t="shared" si="1"/>
        <v>0</v>
      </c>
      <c r="N37" s="190">
        <f t="shared" si="2"/>
        <v>0</v>
      </c>
      <c r="O37" s="191" t="str">
        <f t="shared" si="3"/>
        <v>🔴 لم تبدأ / مرفوضة</v>
      </c>
      <c r="P37" s="110" t="s">
        <v>525</v>
      </c>
    </row>
    <row r="38" spans="1:16" ht="24" customHeight="1" x14ac:dyDescent="0.35">
      <c r="A38" s="24" t="s">
        <v>123</v>
      </c>
      <c r="B38" s="181" t="s">
        <v>557</v>
      </c>
      <c r="C38" s="167" t="str">
        <f t="shared" si="0"/>
        <v>🔴 لم تبدأ</v>
      </c>
      <c r="D38" s="24" t="s">
        <v>543</v>
      </c>
      <c r="E38" s="24" t="s">
        <v>83</v>
      </c>
      <c r="F38" s="187"/>
      <c r="G38" s="187"/>
      <c r="H38" s="187"/>
      <c r="I38" s="187"/>
      <c r="J38" s="187"/>
      <c r="K38" s="187"/>
      <c r="L38" s="187"/>
      <c r="M38" s="189">
        <f t="shared" si="1"/>
        <v>0</v>
      </c>
      <c r="N38" s="190">
        <f t="shared" si="2"/>
        <v>0</v>
      </c>
      <c r="O38" s="191" t="str">
        <f t="shared" si="3"/>
        <v>🔴 لم تبدأ / مرفوضة</v>
      </c>
      <c r="P38" s="115" t="s">
        <v>525</v>
      </c>
    </row>
    <row r="39" spans="1:16" ht="24" customHeight="1" x14ac:dyDescent="0.35">
      <c r="A39" s="17" t="s">
        <v>126</v>
      </c>
      <c r="B39" s="181" t="s">
        <v>558</v>
      </c>
      <c r="C39" s="167" t="str">
        <f t="shared" ref="C39:C70" si="4">IF(N39="","—",IF(N39=1,"🟢 جاهزة",IF(N39&gt;=0.71,"🟡 تكتمل","🔴 لم تبدأ")))</f>
        <v>🔴 لم تبدأ</v>
      </c>
      <c r="D39" s="17" t="s">
        <v>543</v>
      </c>
      <c r="E39" s="17" t="s">
        <v>83</v>
      </c>
      <c r="F39" s="187"/>
      <c r="G39" s="187"/>
      <c r="H39" s="187"/>
      <c r="I39" s="187"/>
      <c r="J39" s="187"/>
      <c r="K39" s="187"/>
      <c r="L39" s="187"/>
      <c r="M39" s="189">
        <f t="shared" ref="M39:M70" si="5">IFERROR(SUM(F39:L39),"")</f>
        <v>0</v>
      </c>
      <c r="N39" s="190">
        <f t="shared" ref="N39:N70" si="6">IFERROR(M39/7,"")</f>
        <v>0</v>
      </c>
      <c r="O39" s="191" t="str">
        <f t="shared" ref="O39:O70" si="7">IF(N39="","—",IF(N39=1,"✅ جاهزة للافتتاح",IF(N39&gt;=0.71,"🟡 تحتاج إكمال","🔴 لم تبدأ / مرفوضة")))</f>
        <v>🔴 لم تبدأ / مرفوضة</v>
      </c>
      <c r="P39" s="110" t="s">
        <v>525</v>
      </c>
    </row>
    <row r="40" spans="1:16" ht="24" customHeight="1" x14ac:dyDescent="0.35">
      <c r="A40" s="24" t="s">
        <v>129</v>
      </c>
      <c r="B40" s="181" t="s">
        <v>559</v>
      </c>
      <c r="C40" s="167" t="str">
        <f t="shared" si="4"/>
        <v>🔴 لم تبدأ</v>
      </c>
      <c r="D40" s="24" t="s">
        <v>543</v>
      </c>
      <c r="E40" s="24" t="s">
        <v>83</v>
      </c>
      <c r="F40" s="187"/>
      <c r="G40" s="187"/>
      <c r="H40" s="187"/>
      <c r="I40" s="187"/>
      <c r="J40" s="187"/>
      <c r="K40" s="187"/>
      <c r="L40" s="187"/>
      <c r="M40" s="189">
        <f t="shared" si="5"/>
        <v>0</v>
      </c>
      <c r="N40" s="190">
        <f t="shared" si="6"/>
        <v>0</v>
      </c>
      <c r="O40" s="191" t="str">
        <f t="shared" si="7"/>
        <v>🔴 لم تبدأ / مرفوضة</v>
      </c>
      <c r="P40" s="115" t="s">
        <v>525</v>
      </c>
    </row>
    <row r="41" spans="1:16" ht="24" customHeight="1" x14ac:dyDescent="0.35">
      <c r="A41" s="17" t="s">
        <v>132</v>
      </c>
      <c r="B41" s="181" t="s">
        <v>560</v>
      </c>
      <c r="C41" s="167" t="str">
        <f t="shared" si="4"/>
        <v>🔴 لم تبدأ</v>
      </c>
      <c r="D41" s="17" t="s">
        <v>561</v>
      </c>
      <c r="E41" s="17" t="s">
        <v>135</v>
      </c>
      <c r="F41" s="187"/>
      <c r="G41" s="187"/>
      <c r="H41" s="187"/>
      <c r="I41" s="187"/>
      <c r="J41" s="187"/>
      <c r="K41" s="187"/>
      <c r="L41" s="187"/>
      <c r="M41" s="189">
        <f t="shared" si="5"/>
        <v>0</v>
      </c>
      <c r="N41" s="190">
        <f t="shared" si="6"/>
        <v>0</v>
      </c>
      <c r="O41" s="191" t="str">
        <f t="shared" si="7"/>
        <v>🔴 لم تبدأ / مرفوضة</v>
      </c>
      <c r="P41" s="110" t="s">
        <v>525</v>
      </c>
    </row>
    <row r="42" spans="1:16" ht="24" customHeight="1" x14ac:dyDescent="0.35">
      <c r="A42" s="24" t="s">
        <v>136</v>
      </c>
      <c r="B42" s="181" t="s">
        <v>562</v>
      </c>
      <c r="C42" s="167" t="str">
        <f t="shared" si="4"/>
        <v>🔴 لم تبدأ</v>
      </c>
      <c r="D42" s="24" t="s">
        <v>561</v>
      </c>
      <c r="E42" s="24" t="s">
        <v>135</v>
      </c>
      <c r="F42" s="187"/>
      <c r="G42" s="187"/>
      <c r="H42" s="187"/>
      <c r="I42" s="187"/>
      <c r="J42" s="187"/>
      <c r="K42" s="187"/>
      <c r="L42" s="187"/>
      <c r="M42" s="189">
        <f t="shared" si="5"/>
        <v>0</v>
      </c>
      <c r="N42" s="190">
        <f t="shared" si="6"/>
        <v>0</v>
      </c>
      <c r="O42" s="191" t="str">
        <f t="shared" si="7"/>
        <v>🔴 لم تبدأ / مرفوضة</v>
      </c>
      <c r="P42" s="115" t="s">
        <v>525</v>
      </c>
    </row>
    <row r="43" spans="1:16" ht="24" customHeight="1" x14ac:dyDescent="0.35">
      <c r="A43" s="17" t="s">
        <v>139</v>
      </c>
      <c r="B43" s="181" t="s">
        <v>563</v>
      </c>
      <c r="C43" s="167" t="str">
        <f t="shared" si="4"/>
        <v>🔴 لم تبدأ</v>
      </c>
      <c r="D43" s="17" t="s">
        <v>561</v>
      </c>
      <c r="E43" s="17" t="s">
        <v>135</v>
      </c>
      <c r="F43" s="187"/>
      <c r="G43" s="187"/>
      <c r="H43" s="187"/>
      <c r="I43" s="187"/>
      <c r="J43" s="187"/>
      <c r="K43" s="187"/>
      <c r="L43" s="187"/>
      <c r="M43" s="189">
        <f t="shared" si="5"/>
        <v>0</v>
      </c>
      <c r="N43" s="190">
        <f t="shared" si="6"/>
        <v>0</v>
      </c>
      <c r="O43" s="191" t="str">
        <f t="shared" si="7"/>
        <v>🔴 لم تبدأ / مرفوضة</v>
      </c>
      <c r="P43" s="110" t="s">
        <v>525</v>
      </c>
    </row>
    <row r="44" spans="1:16" ht="24" customHeight="1" x14ac:dyDescent="0.35">
      <c r="A44" s="24" t="s">
        <v>142</v>
      </c>
      <c r="B44" s="181" t="s">
        <v>564</v>
      </c>
      <c r="C44" s="167" t="str">
        <f t="shared" si="4"/>
        <v>🔴 لم تبدأ</v>
      </c>
      <c r="D44" s="24" t="s">
        <v>561</v>
      </c>
      <c r="E44" s="24" t="s">
        <v>135</v>
      </c>
      <c r="F44" s="187"/>
      <c r="G44" s="187"/>
      <c r="H44" s="187"/>
      <c r="I44" s="187"/>
      <c r="J44" s="187"/>
      <c r="K44" s="187"/>
      <c r="L44" s="187"/>
      <c r="M44" s="189">
        <f t="shared" si="5"/>
        <v>0</v>
      </c>
      <c r="N44" s="190">
        <f t="shared" si="6"/>
        <v>0</v>
      </c>
      <c r="O44" s="191" t="str">
        <f t="shared" si="7"/>
        <v>🔴 لم تبدأ / مرفوضة</v>
      </c>
      <c r="P44" s="115" t="s">
        <v>525</v>
      </c>
    </row>
    <row r="45" spans="1:16" ht="24" customHeight="1" x14ac:dyDescent="0.35">
      <c r="A45" s="17" t="s">
        <v>145</v>
      </c>
      <c r="B45" s="181" t="s">
        <v>565</v>
      </c>
      <c r="C45" s="167" t="str">
        <f t="shared" si="4"/>
        <v>🔴 لم تبدأ</v>
      </c>
      <c r="D45" s="17" t="s">
        <v>561</v>
      </c>
      <c r="E45" s="17" t="s">
        <v>135</v>
      </c>
      <c r="F45" s="187"/>
      <c r="G45" s="187"/>
      <c r="H45" s="187"/>
      <c r="I45" s="187"/>
      <c r="J45" s="187"/>
      <c r="K45" s="187"/>
      <c r="L45" s="187"/>
      <c r="M45" s="189">
        <f t="shared" si="5"/>
        <v>0</v>
      </c>
      <c r="N45" s="190">
        <f t="shared" si="6"/>
        <v>0</v>
      </c>
      <c r="O45" s="191" t="str">
        <f t="shared" si="7"/>
        <v>🔴 لم تبدأ / مرفوضة</v>
      </c>
      <c r="P45" s="110" t="s">
        <v>525</v>
      </c>
    </row>
    <row r="46" spans="1:16" ht="24" customHeight="1" x14ac:dyDescent="0.35">
      <c r="A46" s="24" t="s">
        <v>148</v>
      </c>
      <c r="B46" s="181" t="s">
        <v>566</v>
      </c>
      <c r="C46" s="167" t="str">
        <f t="shared" si="4"/>
        <v>🔴 لم تبدأ</v>
      </c>
      <c r="D46" s="24" t="s">
        <v>561</v>
      </c>
      <c r="E46" s="24" t="s">
        <v>135</v>
      </c>
      <c r="F46" s="187"/>
      <c r="G46" s="187"/>
      <c r="H46" s="187"/>
      <c r="I46" s="187"/>
      <c r="J46" s="187"/>
      <c r="K46" s="187"/>
      <c r="L46" s="187"/>
      <c r="M46" s="189">
        <f t="shared" si="5"/>
        <v>0</v>
      </c>
      <c r="N46" s="190">
        <f t="shared" si="6"/>
        <v>0</v>
      </c>
      <c r="O46" s="191" t="str">
        <f t="shared" si="7"/>
        <v>🔴 لم تبدأ / مرفوضة</v>
      </c>
      <c r="P46" s="115" t="s">
        <v>525</v>
      </c>
    </row>
    <row r="47" spans="1:16" ht="24" customHeight="1" x14ac:dyDescent="0.35">
      <c r="A47" s="17" t="s">
        <v>151</v>
      </c>
      <c r="B47" s="181" t="s">
        <v>567</v>
      </c>
      <c r="C47" s="167" t="str">
        <f t="shared" si="4"/>
        <v>🔴 لم تبدأ</v>
      </c>
      <c r="D47" s="17" t="s">
        <v>561</v>
      </c>
      <c r="E47" s="17" t="s">
        <v>135</v>
      </c>
      <c r="F47" s="187"/>
      <c r="G47" s="187"/>
      <c r="H47" s="187"/>
      <c r="I47" s="187"/>
      <c r="J47" s="187"/>
      <c r="K47" s="187"/>
      <c r="L47" s="187"/>
      <c r="M47" s="189">
        <f t="shared" si="5"/>
        <v>0</v>
      </c>
      <c r="N47" s="190">
        <f t="shared" si="6"/>
        <v>0</v>
      </c>
      <c r="O47" s="191" t="str">
        <f t="shared" si="7"/>
        <v>🔴 لم تبدأ / مرفوضة</v>
      </c>
      <c r="P47" s="110" t="s">
        <v>525</v>
      </c>
    </row>
    <row r="48" spans="1:16" ht="24" customHeight="1" x14ac:dyDescent="0.35">
      <c r="A48" s="24" t="s">
        <v>154</v>
      </c>
      <c r="B48" s="181" t="s">
        <v>568</v>
      </c>
      <c r="C48" s="167" t="str">
        <f t="shared" si="4"/>
        <v>🔴 لم تبدأ</v>
      </c>
      <c r="D48" s="24" t="s">
        <v>561</v>
      </c>
      <c r="E48" s="24" t="s">
        <v>135</v>
      </c>
      <c r="F48" s="187"/>
      <c r="G48" s="187"/>
      <c r="H48" s="187"/>
      <c r="I48" s="187"/>
      <c r="J48" s="187"/>
      <c r="K48" s="187"/>
      <c r="L48" s="187"/>
      <c r="M48" s="189">
        <f t="shared" si="5"/>
        <v>0</v>
      </c>
      <c r="N48" s="190">
        <f t="shared" si="6"/>
        <v>0</v>
      </c>
      <c r="O48" s="191" t="str">
        <f t="shared" si="7"/>
        <v>🔴 لم تبدأ / مرفوضة</v>
      </c>
      <c r="P48" s="115" t="s">
        <v>525</v>
      </c>
    </row>
    <row r="49" spans="1:16" ht="24" customHeight="1" x14ac:dyDescent="0.35">
      <c r="A49" s="17" t="s">
        <v>157</v>
      </c>
      <c r="B49" s="181" t="s">
        <v>569</v>
      </c>
      <c r="C49" s="167" t="str">
        <f t="shared" si="4"/>
        <v>🔴 لم تبدأ</v>
      </c>
      <c r="D49" s="17" t="s">
        <v>561</v>
      </c>
      <c r="E49" s="17" t="s">
        <v>135</v>
      </c>
      <c r="F49" s="187"/>
      <c r="G49" s="187"/>
      <c r="H49" s="187"/>
      <c r="I49" s="187"/>
      <c r="J49" s="187"/>
      <c r="K49" s="187"/>
      <c r="L49" s="187"/>
      <c r="M49" s="189">
        <f t="shared" si="5"/>
        <v>0</v>
      </c>
      <c r="N49" s="190">
        <f t="shared" si="6"/>
        <v>0</v>
      </c>
      <c r="O49" s="191" t="str">
        <f t="shared" si="7"/>
        <v>🔴 لم تبدأ / مرفوضة</v>
      </c>
      <c r="P49" s="110" t="s">
        <v>525</v>
      </c>
    </row>
    <row r="50" spans="1:16" ht="24" customHeight="1" x14ac:dyDescent="0.35">
      <c r="A50" s="24" t="s">
        <v>160</v>
      </c>
      <c r="B50" s="181" t="s">
        <v>570</v>
      </c>
      <c r="C50" s="167" t="str">
        <f t="shared" si="4"/>
        <v>🔴 لم تبدأ</v>
      </c>
      <c r="D50" s="24" t="s">
        <v>561</v>
      </c>
      <c r="E50" s="24" t="s">
        <v>135</v>
      </c>
      <c r="F50" s="187"/>
      <c r="G50" s="187"/>
      <c r="H50" s="187"/>
      <c r="I50" s="187"/>
      <c r="J50" s="187"/>
      <c r="K50" s="187"/>
      <c r="L50" s="187"/>
      <c r="M50" s="189">
        <f t="shared" si="5"/>
        <v>0</v>
      </c>
      <c r="N50" s="190">
        <f t="shared" si="6"/>
        <v>0</v>
      </c>
      <c r="O50" s="191" t="str">
        <f t="shared" si="7"/>
        <v>🔴 لم تبدأ / مرفوضة</v>
      </c>
      <c r="P50" s="115" t="s">
        <v>525</v>
      </c>
    </row>
    <row r="51" spans="1:16" ht="24" customHeight="1" x14ac:dyDescent="0.35">
      <c r="A51" s="17" t="s">
        <v>163</v>
      </c>
      <c r="B51" s="181" t="s">
        <v>571</v>
      </c>
      <c r="C51" s="167" t="str">
        <f t="shared" si="4"/>
        <v>🔴 لم تبدأ</v>
      </c>
      <c r="D51" s="17" t="s">
        <v>561</v>
      </c>
      <c r="E51" s="17" t="s">
        <v>135</v>
      </c>
      <c r="F51" s="187"/>
      <c r="G51" s="187"/>
      <c r="H51" s="187"/>
      <c r="I51" s="187"/>
      <c r="J51" s="187"/>
      <c r="K51" s="187"/>
      <c r="L51" s="187"/>
      <c r="M51" s="189">
        <f t="shared" si="5"/>
        <v>0</v>
      </c>
      <c r="N51" s="190">
        <f t="shared" si="6"/>
        <v>0</v>
      </c>
      <c r="O51" s="191" t="str">
        <f t="shared" si="7"/>
        <v>🔴 لم تبدأ / مرفوضة</v>
      </c>
      <c r="P51" s="110" t="s">
        <v>525</v>
      </c>
    </row>
    <row r="52" spans="1:16" ht="24" customHeight="1" x14ac:dyDescent="0.35">
      <c r="A52" s="24" t="s">
        <v>166</v>
      </c>
      <c r="B52" s="181" t="s">
        <v>572</v>
      </c>
      <c r="C52" s="167" t="str">
        <f t="shared" si="4"/>
        <v>🔴 لم تبدأ</v>
      </c>
      <c r="D52" s="24" t="s">
        <v>561</v>
      </c>
      <c r="E52" s="24" t="s">
        <v>135</v>
      </c>
      <c r="F52" s="187"/>
      <c r="G52" s="187"/>
      <c r="H52" s="187"/>
      <c r="I52" s="187"/>
      <c r="J52" s="187"/>
      <c r="K52" s="187"/>
      <c r="L52" s="187"/>
      <c r="M52" s="189">
        <f t="shared" si="5"/>
        <v>0</v>
      </c>
      <c r="N52" s="190">
        <f t="shared" si="6"/>
        <v>0</v>
      </c>
      <c r="O52" s="191" t="str">
        <f t="shared" si="7"/>
        <v>🔴 لم تبدأ / مرفوضة</v>
      </c>
      <c r="P52" s="115" t="s">
        <v>525</v>
      </c>
    </row>
    <row r="53" spans="1:16" ht="24" customHeight="1" x14ac:dyDescent="0.35">
      <c r="A53" s="17" t="s">
        <v>202</v>
      </c>
      <c r="B53" s="181" t="s">
        <v>573</v>
      </c>
      <c r="C53" s="167" t="str">
        <f t="shared" si="4"/>
        <v>🔴 لم تبدأ</v>
      </c>
      <c r="D53" s="17" t="s">
        <v>561</v>
      </c>
      <c r="E53" s="17" t="s">
        <v>135</v>
      </c>
      <c r="F53" s="187"/>
      <c r="G53" s="187"/>
      <c r="H53" s="187"/>
      <c r="I53" s="187"/>
      <c r="J53" s="187"/>
      <c r="K53" s="187"/>
      <c r="L53" s="187"/>
      <c r="M53" s="189">
        <f t="shared" si="5"/>
        <v>0</v>
      </c>
      <c r="N53" s="190">
        <f t="shared" si="6"/>
        <v>0</v>
      </c>
      <c r="O53" s="191" t="str">
        <f t="shared" si="7"/>
        <v>🔴 لم تبدأ / مرفوضة</v>
      </c>
      <c r="P53" s="110" t="s">
        <v>525</v>
      </c>
    </row>
    <row r="54" spans="1:16" ht="24" customHeight="1" x14ac:dyDescent="0.35">
      <c r="A54" s="24" t="s">
        <v>169</v>
      </c>
      <c r="B54" s="181" t="s">
        <v>574</v>
      </c>
      <c r="C54" s="167" t="str">
        <f t="shared" si="4"/>
        <v>🔴 لم تبدأ</v>
      </c>
      <c r="D54" s="24" t="s">
        <v>561</v>
      </c>
      <c r="E54" s="24" t="s">
        <v>135</v>
      </c>
      <c r="F54" s="187"/>
      <c r="G54" s="187"/>
      <c r="H54" s="187"/>
      <c r="I54" s="187"/>
      <c r="J54" s="187"/>
      <c r="K54" s="187"/>
      <c r="L54" s="187"/>
      <c r="M54" s="189">
        <f t="shared" si="5"/>
        <v>0</v>
      </c>
      <c r="N54" s="190">
        <f t="shared" si="6"/>
        <v>0</v>
      </c>
      <c r="O54" s="191" t="str">
        <f t="shared" si="7"/>
        <v>🔴 لم تبدأ / مرفوضة</v>
      </c>
      <c r="P54" s="115" t="s">
        <v>525</v>
      </c>
    </row>
    <row r="55" spans="1:16" ht="24" customHeight="1" x14ac:dyDescent="0.35">
      <c r="A55" s="17" t="s">
        <v>172</v>
      </c>
      <c r="B55" s="181" t="s">
        <v>575</v>
      </c>
      <c r="C55" s="167" t="str">
        <f t="shared" si="4"/>
        <v>🔴 لم تبدأ</v>
      </c>
      <c r="D55" s="17" t="s">
        <v>561</v>
      </c>
      <c r="E55" s="17" t="s">
        <v>135</v>
      </c>
      <c r="F55" s="187"/>
      <c r="G55" s="187"/>
      <c r="H55" s="187"/>
      <c r="I55" s="187"/>
      <c r="J55" s="187"/>
      <c r="K55" s="187"/>
      <c r="L55" s="187"/>
      <c r="M55" s="189">
        <f t="shared" si="5"/>
        <v>0</v>
      </c>
      <c r="N55" s="190">
        <f t="shared" si="6"/>
        <v>0</v>
      </c>
      <c r="O55" s="191" t="str">
        <f t="shared" si="7"/>
        <v>🔴 لم تبدأ / مرفوضة</v>
      </c>
      <c r="P55" s="110" t="s">
        <v>525</v>
      </c>
    </row>
    <row r="56" spans="1:16" ht="24" customHeight="1" x14ac:dyDescent="0.35">
      <c r="A56" s="24" t="s">
        <v>174</v>
      </c>
      <c r="B56" s="181" t="s">
        <v>576</v>
      </c>
      <c r="C56" s="167" t="str">
        <f t="shared" si="4"/>
        <v>🔴 لم تبدأ</v>
      </c>
      <c r="D56" s="24" t="s">
        <v>561</v>
      </c>
      <c r="E56" s="24" t="s">
        <v>135</v>
      </c>
      <c r="F56" s="187"/>
      <c r="G56" s="187"/>
      <c r="H56" s="187"/>
      <c r="I56" s="187"/>
      <c r="J56" s="187"/>
      <c r="K56" s="187"/>
      <c r="L56" s="187"/>
      <c r="M56" s="189">
        <f t="shared" si="5"/>
        <v>0</v>
      </c>
      <c r="N56" s="190">
        <f t="shared" si="6"/>
        <v>0</v>
      </c>
      <c r="O56" s="191" t="str">
        <f t="shared" si="7"/>
        <v>🔴 لم تبدأ / مرفوضة</v>
      </c>
      <c r="P56" s="115" t="s">
        <v>525</v>
      </c>
    </row>
    <row r="57" spans="1:16" ht="24" customHeight="1" x14ac:dyDescent="0.35">
      <c r="A57" s="17" t="s">
        <v>176</v>
      </c>
      <c r="B57" s="181" t="s">
        <v>577</v>
      </c>
      <c r="C57" s="167" t="str">
        <f t="shared" si="4"/>
        <v>🔴 لم تبدأ</v>
      </c>
      <c r="D57" s="17" t="s">
        <v>561</v>
      </c>
      <c r="E57" s="17" t="s">
        <v>135</v>
      </c>
      <c r="F57" s="187"/>
      <c r="G57" s="187"/>
      <c r="H57" s="187"/>
      <c r="I57" s="187"/>
      <c r="J57" s="187"/>
      <c r="K57" s="187"/>
      <c r="L57" s="187"/>
      <c r="M57" s="189">
        <f t="shared" si="5"/>
        <v>0</v>
      </c>
      <c r="N57" s="190">
        <f t="shared" si="6"/>
        <v>0</v>
      </c>
      <c r="O57" s="191" t="str">
        <f t="shared" si="7"/>
        <v>🔴 لم تبدأ / مرفوضة</v>
      </c>
      <c r="P57" s="110" t="s">
        <v>525</v>
      </c>
    </row>
    <row r="58" spans="1:16" ht="24" customHeight="1" x14ac:dyDescent="0.35">
      <c r="A58" s="24" t="s">
        <v>178</v>
      </c>
      <c r="B58" s="181" t="s">
        <v>578</v>
      </c>
      <c r="C58" s="167" t="str">
        <f t="shared" si="4"/>
        <v>🔴 لم تبدأ</v>
      </c>
      <c r="D58" s="24" t="s">
        <v>579</v>
      </c>
      <c r="E58" s="24" t="s">
        <v>180</v>
      </c>
      <c r="F58" s="187"/>
      <c r="G58" s="187"/>
      <c r="H58" s="187"/>
      <c r="I58" s="187"/>
      <c r="J58" s="187"/>
      <c r="K58" s="187"/>
      <c r="L58" s="187"/>
      <c r="M58" s="189">
        <f t="shared" si="5"/>
        <v>0</v>
      </c>
      <c r="N58" s="190">
        <f t="shared" si="6"/>
        <v>0</v>
      </c>
      <c r="O58" s="191" t="str">
        <f t="shared" si="7"/>
        <v>🔴 لم تبدأ / مرفوضة</v>
      </c>
      <c r="P58" s="115" t="s">
        <v>525</v>
      </c>
    </row>
    <row r="59" spans="1:16" ht="24" customHeight="1" x14ac:dyDescent="0.35">
      <c r="A59" s="17" t="s">
        <v>181</v>
      </c>
      <c r="B59" s="181" t="s">
        <v>580</v>
      </c>
      <c r="C59" s="167" t="str">
        <f t="shared" si="4"/>
        <v>🔴 لم تبدأ</v>
      </c>
      <c r="D59" s="17" t="s">
        <v>579</v>
      </c>
      <c r="E59" s="17" t="s">
        <v>180</v>
      </c>
      <c r="F59" s="187"/>
      <c r="G59" s="187"/>
      <c r="H59" s="187"/>
      <c r="I59" s="187"/>
      <c r="J59" s="187"/>
      <c r="K59" s="187"/>
      <c r="L59" s="187"/>
      <c r="M59" s="189">
        <f t="shared" si="5"/>
        <v>0</v>
      </c>
      <c r="N59" s="190">
        <f t="shared" si="6"/>
        <v>0</v>
      </c>
      <c r="O59" s="191" t="str">
        <f t="shared" si="7"/>
        <v>🔴 لم تبدأ / مرفوضة</v>
      </c>
      <c r="P59" s="110" t="s">
        <v>525</v>
      </c>
    </row>
    <row r="60" spans="1:16" ht="24" customHeight="1" x14ac:dyDescent="0.35">
      <c r="A60" s="24" t="s">
        <v>183</v>
      </c>
      <c r="B60" s="181" t="s">
        <v>581</v>
      </c>
      <c r="C60" s="167" t="str">
        <f t="shared" si="4"/>
        <v>🔴 لم تبدأ</v>
      </c>
      <c r="D60" s="24" t="s">
        <v>579</v>
      </c>
      <c r="E60" s="24" t="s">
        <v>180</v>
      </c>
      <c r="F60" s="187"/>
      <c r="G60" s="187"/>
      <c r="H60" s="187"/>
      <c r="I60" s="187"/>
      <c r="J60" s="187"/>
      <c r="K60" s="187"/>
      <c r="L60" s="187"/>
      <c r="M60" s="189">
        <f t="shared" si="5"/>
        <v>0</v>
      </c>
      <c r="N60" s="190">
        <f t="shared" si="6"/>
        <v>0</v>
      </c>
      <c r="O60" s="191" t="str">
        <f t="shared" si="7"/>
        <v>🔴 لم تبدأ / مرفوضة</v>
      </c>
      <c r="P60" s="115" t="s">
        <v>525</v>
      </c>
    </row>
    <row r="61" spans="1:16" ht="24" customHeight="1" x14ac:dyDescent="0.35">
      <c r="A61" s="17" t="s">
        <v>214</v>
      </c>
      <c r="B61" s="181" t="s">
        <v>582</v>
      </c>
      <c r="C61" s="167" t="str">
        <f t="shared" si="4"/>
        <v>🔴 لم تبدأ</v>
      </c>
      <c r="D61" s="17" t="s">
        <v>579</v>
      </c>
      <c r="E61" s="17" t="s">
        <v>180</v>
      </c>
      <c r="F61" s="187"/>
      <c r="G61" s="187"/>
      <c r="H61" s="187"/>
      <c r="I61" s="187"/>
      <c r="J61" s="187"/>
      <c r="K61" s="187"/>
      <c r="L61" s="187"/>
      <c r="M61" s="189">
        <f t="shared" si="5"/>
        <v>0</v>
      </c>
      <c r="N61" s="190">
        <f t="shared" si="6"/>
        <v>0</v>
      </c>
      <c r="O61" s="191" t="str">
        <f t="shared" si="7"/>
        <v>🔴 لم تبدأ / مرفوضة</v>
      </c>
      <c r="P61" s="110" t="s">
        <v>525</v>
      </c>
    </row>
    <row r="62" spans="1:16" ht="24" customHeight="1" x14ac:dyDescent="0.35">
      <c r="A62" s="192" t="s">
        <v>215</v>
      </c>
      <c r="B62" s="193" t="s">
        <v>583</v>
      </c>
      <c r="C62" s="167" t="str">
        <f t="shared" si="4"/>
        <v>🔴 لم تبدأ</v>
      </c>
      <c r="D62" s="192" t="s">
        <v>579</v>
      </c>
      <c r="E62" s="192" t="s">
        <v>180</v>
      </c>
      <c r="F62" s="187"/>
      <c r="G62" s="187"/>
      <c r="H62" s="187"/>
      <c r="I62" s="187"/>
      <c r="J62" s="187"/>
      <c r="K62" s="187"/>
      <c r="L62" s="187"/>
      <c r="M62" s="189">
        <f t="shared" si="5"/>
        <v>0</v>
      </c>
      <c r="N62" s="190">
        <f t="shared" si="6"/>
        <v>0</v>
      </c>
      <c r="O62" s="191" t="str">
        <f t="shared" si="7"/>
        <v>🔴 لم تبدأ / مرفوضة</v>
      </c>
      <c r="P62" s="194" t="s">
        <v>525</v>
      </c>
    </row>
    <row r="63" spans="1:16" ht="24" customHeight="1" x14ac:dyDescent="0.35">
      <c r="A63" s="192" t="s">
        <v>216</v>
      </c>
      <c r="B63" s="193" t="s">
        <v>584</v>
      </c>
      <c r="C63" s="167" t="str">
        <f t="shared" si="4"/>
        <v>🔴 لم تبدأ</v>
      </c>
      <c r="D63" s="192" t="s">
        <v>579</v>
      </c>
      <c r="E63" s="192" t="s">
        <v>180</v>
      </c>
      <c r="F63" s="187"/>
      <c r="G63" s="187"/>
      <c r="H63" s="187"/>
      <c r="I63" s="187"/>
      <c r="J63" s="187"/>
      <c r="K63" s="187"/>
      <c r="L63" s="187"/>
      <c r="M63" s="189">
        <f t="shared" si="5"/>
        <v>0</v>
      </c>
      <c r="N63" s="190">
        <f t="shared" si="6"/>
        <v>0</v>
      </c>
      <c r="O63" s="191" t="str">
        <f t="shared" si="7"/>
        <v>🔴 لم تبدأ / مرفوضة</v>
      </c>
      <c r="P63" s="194" t="s">
        <v>525</v>
      </c>
    </row>
    <row r="64" spans="1:16" ht="24" customHeight="1" x14ac:dyDescent="0.35">
      <c r="A64" s="192" t="s">
        <v>217</v>
      </c>
      <c r="B64" s="193" t="s">
        <v>585</v>
      </c>
      <c r="C64" s="167" t="str">
        <f t="shared" si="4"/>
        <v>🔴 لم تبدأ</v>
      </c>
      <c r="D64" s="192" t="s">
        <v>579</v>
      </c>
      <c r="E64" s="192" t="s">
        <v>180</v>
      </c>
      <c r="F64" s="187"/>
      <c r="G64" s="187"/>
      <c r="H64" s="187"/>
      <c r="I64" s="187"/>
      <c r="J64" s="187"/>
      <c r="K64" s="187"/>
      <c r="L64" s="187"/>
      <c r="M64" s="189">
        <f t="shared" si="5"/>
        <v>0</v>
      </c>
      <c r="N64" s="190">
        <f t="shared" si="6"/>
        <v>0</v>
      </c>
      <c r="O64" s="191" t="str">
        <f t="shared" si="7"/>
        <v>🔴 لم تبدأ / مرفوضة</v>
      </c>
      <c r="P64" s="194" t="s">
        <v>525</v>
      </c>
    </row>
    <row r="65" spans="1:16" ht="24" customHeight="1" x14ac:dyDescent="0.35">
      <c r="A65" s="192" t="s">
        <v>218</v>
      </c>
      <c r="B65" s="193" t="s">
        <v>586</v>
      </c>
      <c r="C65" s="167" t="str">
        <f t="shared" si="4"/>
        <v>🔴 لم تبدأ</v>
      </c>
      <c r="D65" s="192" t="s">
        <v>579</v>
      </c>
      <c r="E65" s="192" t="s">
        <v>180</v>
      </c>
      <c r="F65" s="187"/>
      <c r="G65" s="187"/>
      <c r="H65" s="187"/>
      <c r="I65" s="187"/>
      <c r="J65" s="187"/>
      <c r="K65" s="187"/>
      <c r="L65" s="187"/>
      <c r="M65" s="189">
        <f t="shared" si="5"/>
        <v>0</v>
      </c>
      <c r="N65" s="190">
        <f t="shared" si="6"/>
        <v>0</v>
      </c>
      <c r="O65" s="191" t="str">
        <f t="shared" si="7"/>
        <v>🔴 لم تبدأ / مرفوضة</v>
      </c>
      <c r="P65" s="194" t="s">
        <v>525</v>
      </c>
    </row>
    <row r="66" spans="1:16" ht="24" customHeight="1" x14ac:dyDescent="0.35">
      <c r="A66" s="192" t="s">
        <v>219</v>
      </c>
      <c r="B66" s="193" t="s">
        <v>587</v>
      </c>
      <c r="C66" s="167" t="str">
        <f t="shared" si="4"/>
        <v>🔴 لم تبدأ</v>
      </c>
      <c r="D66" s="192" t="s">
        <v>579</v>
      </c>
      <c r="E66" s="192" t="s">
        <v>180</v>
      </c>
      <c r="F66" s="187"/>
      <c r="G66" s="187"/>
      <c r="H66" s="187"/>
      <c r="I66" s="187"/>
      <c r="J66" s="187"/>
      <c r="K66" s="187"/>
      <c r="L66" s="187"/>
      <c r="M66" s="189">
        <f t="shared" si="5"/>
        <v>0</v>
      </c>
      <c r="N66" s="190">
        <f t="shared" si="6"/>
        <v>0</v>
      </c>
      <c r="O66" s="191" t="str">
        <f t="shared" si="7"/>
        <v>🔴 لم تبدأ / مرفوضة</v>
      </c>
      <c r="P66" s="194" t="s">
        <v>525</v>
      </c>
    </row>
    <row r="67" spans="1:16" ht="24" customHeight="1" x14ac:dyDescent="0.35">
      <c r="A67" s="192" t="s">
        <v>220</v>
      </c>
      <c r="B67" s="193" t="s">
        <v>588</v>
      </c>
      <c r="C67" s="167" t="str">
        <f t="shared" si="4"/>
        <v>🔴 لم تبدأ</v>
      </c>
      <c r="D67" s="192" t="s">
        <v>579</v>
      </c>
      <c r="E67" s="192" t="s">
        <v>180</v>
      </c>
      <c r="F67" s="187"/>
      <c r="G67" s="187"/>
      <c r="H67" s="187"/>
      <c r="I67" s="187"/>
      <c r="J67" s="187"/>
      <c r="K67" s="187"/>
      <c r="L67" s="187"/>
      <c r="M67" s="189">
        <f t="shared" si="5"/>
        <v>0</v>
      </c>
      <c r="N67" s="190">
        <f t="shared" si="6"/>
        <v>0</v>
      </c>
      <c r="O67" s="191" t="str">
        <f t="shared" si="7"/>
        <v>🔴 لم تبدأ / مرفوضة</v>
      </c>
      <c r="P67" s="194" t="s">
        <v>525</v>
      </c>
    </row>
    <row r="68" spans="1:16" ht="24" customHeight="1" x14ac:dyDescent="0.35">
      <c r="A68" s="192" t="s">
        <v>221</v>
      </c>
      <c r="B68" s="193" t="s">
        <v>589</v>
      </c>
      <c r="C68" s="167" t="str">
        <f t="shared" si="4"/>
        <v>🔴 لم تبدأ</v>
      </c>
      <c r="D68" s="192" t="s">
        <v>579</v>
      </c>
      <c r="E68" s="192" t="s">
        <v>180</v>
      </c>
      <c r="F68" s="187"/>
      <c r="G68" s="187"/>
      <c r="H68" s="187"/>
      <c r="I68" s="187"/>
      <c r="J68" s="187"/>
      <c r="K68" s="187"/>
      <c r="L68" s="187"/>
      <c r="M68" s="189">
        <f t="shared" si="5"/>
        <v>0</v>
      </c>
      <c r="N68" s="190">
        <f t="shared" si="6"/>
        <v>0</v>
      </c>
      <c r="O68" s="191" t="str">
        <f t="shared" si="7"/>
        <v>🔴 لم تبدأ / مرفوضة</v>
      </c>
      <c r="P68" s="194" t="s">
        <v>525</v>
      </c>
    </row>
    <row r="69" spans="1:16" ht="24" customHeight="1" x14ac:dyDescent="0.35">
      <c r="A69" s="192" t="s">
        <v>222</v>
      </c>
      <c r="B69" s="193" t="s">
        <v>590</v>
      </c>
      <c r="C69" s="167" t="str">
        <f t="shared" si="4"/>
        <v>🔴 لم تبدأ</v>
      </c>
      <c r="D69" s="192" t="s">
        <v>579</v>
      </c>
      <c r="E69" s="192" t="s">
        <v>180</v>
      </c>
      <c r="F69" s="187"/>
      <c r="G69" s="187"/>
      <c r="H69" s="187"/>
      <c r="I69" s="187"/>
      <c r="J69" s="187"/>
      <c r="K69" s="187"/>
      <c r="L69" s="187"/>
      <c r="M69" s="189">
        <f t="shared" si="5"/>
        <v>0</v>
      </c>
      <c r="N69" s="190">
        <f t="shared" si="6"/>
        <v>0</v>
      </c>
      <c r="O69" s="191" t="str">
        <f t="shared" si="7"/>
        <v>🔴 لم تبدأ / مرفوضة</v>
      </c>
      <c r="P69" s="194" t="s">
        <v>525</v>
      </c>
    </row>
    <row r="70" spans="1:16" ht="24" customHeight="1" x14ac:dyDescent="0.35">
      <c r="A70" s="192" t="s">
        <v>223</v>
      </c>
      <c r="B70" s="193" t="s">
        <v>591</v>
      </c>
      <c r="C70" s="167" t="str">
        <f t="shared" si="4"/>
        <v>🔴 لم تبدأ</v>
      </c>
      <c r="D70" s="192" t="s">
        <v>579</v>
      </c>
      <c r="E70" s="192" t="s">
        <v>180</v>
      </c>
      <c r="F70" s="187"/>
      <c r="G70" s="187"/>
      <c r="H70" s="187"/>
      <c r="I70" s="187"/>
      <c r="J70" s="187"/>
      <c r="K70" s="187"/>
      <c r="L70" s="187"/>
      <c r="M70" s="189">
        <f t="shared" si="5"/>
        <v>0</v>
      </c>
      <c r="N70" s="190">
        <f t="shared" si="6"/>
        <v>0</v>
      </c>
      <c r="O70" s="191" t="str">
        <f t="shared" si="7"/>
        <v>🔴 لم تبدأ / مرفوضة</v>
      </c>
      <c r="P70" s="194" t="s">
        <v>525</v>
      </c>
    </row>
    <row r="71" spans="1:16" ht="24" customHeight="1" x14ac:dyDescent="0.35">
      <c r="A71" s="192" t="s">
        <v>224</v>
      </c>
      <c r="B71" s="193" t="s">
        <v>592</v>
      </c>
      <c r="C71" s="167" t="str">
        <f t="shared" ref="C71:C91" si="8">IF(N71="","—",IF(N71=1,"🟢 جاهزة",IF(N71&gt;=0.71,"🟡 تكتمل","🔴 لم تبدأ")))</f>
        <v>🔴 لم تبدأ</v>
      </c>
      <c r="D71" s="192" t="s">
        <v>579</v>
      </c>
      <c r="E71" s="192" t="s">
        <v>180</v>
      </c>
      <c r="F71" s="187"/>
      <c r="G71" s="187"/>
      <c r="H71" s="187"/>
      <c r="I71" s="187"/>
      <c r="J71" s="187"/>
      <c r="K71" s="187"/>
      <c r="L71" s="187"/>
      <c r="M71" s="189">
        <f t="shared" ref="M71:M102" si="9">IFERROR(SUM(F71:L71),"")</f>
        <v>0</v>
      </c>
      <c r="N71" s="190">
        <f t="shared" ref="N71:N102" si="10">IFERROR(M71/7,"")</f>
        <v>0</v>
      </c>
      <c r="O71" s="191" t="str">
        <f t="shared" ref="O71:O102" si="11">IF(N71="","—",IF(N71=1,"✅ جاهزة للافتتاح",IF(N71&gt;=0.71,"🟡 تحتاج إكمال","🔴 لم تبدأ / مرفوضة")))</f>
        <v>🔴 لم تبدأ / مرفوضة</v>
      </c>
      <c r="P71" s="194" t="s">
        <v>525</v>
      </c>
    </row>
    <row r="72" spans="1:16" ht="24" customHeight="1" x14ac:dyDescent="0.35">
      <c r="A72" s="192" t="s">
        <v>225</v>
      </c>
      <c r="B72" s="193" t="s">
        <v>593</v>
      </c>
      <c r="C72" s="167" t="str">
        <f t="shared" si="8"/>
        <v>🔴 لم تبدأ</v>
      </c>
      <c r="D72" s="192" t="s">
        <v>579</v>
      </c>
      <c r="E72" s="192" t="s">
        <v>180</v>
      </c>
      <c r="F72" s="187"/>
      <c r="G72" s="187"/>
      <c r="H72" s="187"/>
      <c r="I72" s="187"/>
      <c r="J72" s="187"/>
      <c r="K72" s="187"/>
      <c r="L72" s="187"/>
      <c r="M72" s="189">
        <f t="shared" si="9"/>
        <v>0</v>
      </c>
      <c r="N72" s="190">
        <f t="shared" si="10"/>
        <v>0</v>
      </c>
      <c r="O72" s="191" t="str">
        <f t="shared" si="11"/>
        <v>🔴 لم تبدأ / مرفوضة</v>
      </c>
      <c r="P72" s="194" t="s">
        <v>525</v>
      </c>
    </row>
    <row r="73" spans="1:16" ht="24" customHeight="1" x14ac:dyDescent="0.35">
      <c r="A73" s="192" t="s">
        <v>226</v>
      </c>
      <c r="B73" s="193" t="s">
        <v>594</v>
      </c>
      <c r="C73" s="167" t="str">
        <f t="shared" si="8"/>
        <v>🔴 لم تبدأ</v>
      </c>
      <c r="D73" s="192" t="s">
        <v>579</v>
      </c>
      <c r="E73" s="192" t="s">
        <v>180</v>
      </c>
      <c r="F73" s="187"/>
      <c r="G73" s="187"/>
      <c r="H73" s="187"/>
      <c r="I73" s="187"/>
      <c r="J73" s="187"/>
      <c r="K73" s="187"/>
      <c r="L73" s="187"/>
      <c r="M73" s="189">
        <f t="shared" si="9"/>
        <v>0</v>
      </c>
      <c r="N73" s="190">
        <f t="shared" si="10"/>
        <v>0</v>
      </c>
      <c r="O73" s="191" t="str">
        <f t="shared" si="11"/>
        <v>🔴 لم تبدأ / مرفوضة</v>
      </c>
      <c r="P73" s="194" t="s">
        <v>525</v>
      </c>
    </row>
    <row r="74" spans="1:16" ht="24" customHeight="1" x14ac:dyDescent="0.35">
      <c r="A74" s="192" t="s">
        <v>227</v>
      </c>
      <c r="B74" s="193" t="s">
        <v>595</v>
      </c>
      <c r="C74" s="167" t="str">
        <f t="shared" si="8"/>
        <v>🔴 لم تبدأ</v>
      </c>
      <c r="D74" s="192" t="s">
        <v>579</v>
      </c>
      <c r="E74" s="192" t="s">
        <v>180</v>
      </c>
      <c r="F74" s="187"/>
      <c r="G74" s="187"/>
      <c r="H74" s="187"/>
      <c r="I74" s="187"/>
      <c r="J74" s="187"/>
      <c r="K74" s="187"/>
      <c r="L74" s="187"/>
      <c r="M74" s="189">
        <f t="shared" si="9"/>
        <v>0</v>
      </c>
      <c r="N74" s="190">
        <f t="shared" si="10"/>
        <v>0</v>
      </c>
      <c r="O74" s="191" t="str">
        <f t="shared" si="11"/>
        <v>🔴 لم تبدأ / مرفوضة</v>
      </c>
      <c r="P74" s="194" t="s">
        <v>525</v>
      </c>
    </row>
    <row r="75" spans="1:16" ht="24" customHeight="1" x14ac:dyDescent="0.35">
      <c r="A75" s="192" t="s">
        <v>228</v>
      </c>
      <c r="B75" s="193" t="s">
        <v>596</v>
      </c>
      <c r="C75" s="167" t="str">
        <f t="shared" si="8"/>
        <v>🔴 لم تبدأ</v>
      </c>
      <c r="D75" s="192" t="s">
        <v>597</v>
      </c>
      <c r="E75" s="192" t="s">
        <v>598</v>
      </c>
      <c r="F75" s="187"/>
      <c r="G75" s="187"/>
      <c r="H75" s="187"/>
      <c r="I75" s="187"/>
      <c r="J75" s="187"/>
      <c r="K75" s="187"/>
      <c r="L75" s="187"/>
      <c r="M75" s="189">
        <f t="shared" si="9"/>
        <v>0</v>
      </c>
      <c r="N75" s="190">
        <f t="shared" si="10"/>
        <v>0</v>
      </c>
      <c r="O75" s="191" t="str">
        <f t="shared" si="11"/>
        <v>🔴 لم تبدأ / مرفوضة</v>
      </c>
      <c r="P75" s="194" t="s">
        <v>525</v>
      </c>
    </row>
    <row r="76" spans="1:16" ht="24" customHeight="1" x14ac:dyDescent="0.35">
      <c r="A76" s="192" t="s">
        <v>229</v>
      </c>
      <c r="B76" s="193" t="s">
        <v>599</v>
      </c>
      <c r="C76" s="167" t="str">
        <f t="shared" si="8"/>
        <v>🔴 لم تبدأ</v>
      </c>
      <c r="D76" s="192" t="s">
        <v>597</v>
      </c>
      <c r="E76" s="192" t="s">
        <v>598</v>
      </c>
      <c r="F76" s="187"/>
      <c r="G76" s="187"/>
      <c r="H76" s="187"/>
      <c r="I76" s="187"/>
      <c r="J76" s="187"/>
      <c r="K76" s="187"/>
      <c r="L76" s="187"/>
      <c r="M76" s="189">
        <f t="shared" si="9"/>
        <v>0</v>
      </c>
      <c r="N76" s="190">
        <f t="shared" si="10"/>
        <v>0</v>
      </c>
      <c r="O76" s="191" t="str">
        <f t="shared" si="11"/>
        <v>🔴 لم تبدأ / مرفوضة</v>
      </c>
      <c r="P76" s="194" t="s">
        <v>525</v>
      </c>
    </row>
    <row r="77" spans="1:16" ht="24" customHeight="1" x14ac:dyDescent="0.35">
      <c r="A77" s="192" t="s">
        <v>230</v>
      </c>
      <c r="B77" s="193" t="s">
        <v>600</v>
      </c>
      <c r="C77" s="167" t="str">
        <f t="shared" si="8"/>
        <v>🔴 لم تبدأ</v>
      </c>
      <c r="D77" s="192" t="s">
        <v>597</v>
      </c>
      <c r="E77" s="192" t="s">
        <v>598</v>
      </c>
      <c r="F77" s="187"/>
      <c r="G77" s="187"/>
      <c r="H77" s="187"/>
      <c r="I77" s="187"/>
      <c r="J77" s="187"/>
      <c r="K77" s="187"/>
      <c r="L77" s="187"/>
      <c r="M77" s="189">
        <f t="shared" si="9"/>
        <v>0</v>
      </c>
      <c r="N77" s="190">
        <f t="shared" si="10"/>
        <v>0</v>
      </c>
      <c r="O77" s="191" t="str">
        <f t="shared" si="11"/>
        <v>🔴 لم تبدأ / مرفوضة</v>
      </c>
      <c r="P77" s="194" t="s">
        <v>525</v>
      </c>
    </row>
    <row r="78" spans="1:16" ht="24" customHeight="1" x14ac:dyDescent="0.35">
      <c r="A78" s="192" t="s">
        <v>231</v>
      </c>
      <c r="B78" s="193" t="s">
        <v>601</v>
      </c>
      <c r="C78" s="167" t="str">
        <f t="shared" si="8"/>
        <v>🔴 لم تبدأ</v>
      </c>
      <c r="D78" s="192" t="s">
        <v>597</v>
      </c>
      <c r="E78" s="192" t="s">
        <v>598</v>
      </c>
      <c r="F78" s="187"/>
      <c r="G78" s="187"/>
      <c r="H78" s="187"/>
      <c r="I78" s="187"/>
      <c r="J78" s="187"/>
      <c r="K78" s="187"/>
      <c r="L78" s="187"/>
      <c r="M78" s="189">
        <f t="shared" si="9"/>
        <v>0</v>
      </c>
      <c r="N78" s="190">
        <f t="shared" si="10"/>
        <v>0</v>
      </c>
      <c r="O78" s="191" t="str">
        <f t="shared" si="11"/>
        <v>🔴 لم تبدأ / مرفوضة</v>
      </c>
      <c r="P78" s="194" t="s">
        <v>525</v>
      </c>
    </row>
    <row r="79" spans="1:16" ht="24" customHeight="1" x14ac:dyDescent="0.35">
      <c r="A79" s="192" t="s">
        <v>232</v>
      </c>
      <c r="B79" s="193" t="s">
        <v>602</v>
      </c>
      <c r="C79" s="167" t="str">
        <f t="shared" si="8"/>
        <v>🔴 لم تبدأ</v>
      </c>
      <c r="D79" s="192" t="s">
        <v>597</v>
      </c>
      <c r="E79" s="192" t="s">
        <v>598</v>
      </c>
      <c r="F79" s="187"/>
      <c r="G79" s="187"/>
      <c r="H79" s="187"/>
      <c r="I79" s="187"/>
      <c r="J79" s="187"/>
      <c r="K79" s="187"/>
      <c r="L79" s="187"/>
      <c r="M79" s="189">
        <f t="shared" si="9"/>
        <v>0</v>
      </c>
      <c r="N79" s="190">
        <f t="shared" si="10"/>
        <v>0</v>
      </c>
      <c r="O79" s="191" t="str">
        <f t="shared" si="11"/>
        <v>🔴 لم تبدأ / مرفوضة</v>
      </c>
      <c r="P79" s="194" t="s">
        <v>525</v>
      </c>
    </row>
    <row r="80" spans="1:16" ht="24" customHeight="1" x14ac:dyDescent="0.35">
      <c r="A80" s="192" t="s">
        <v>233</v>
      </c>
      <c r="B80" s="193" t="s">
        <v>603</v>
      </c>
      <c r="C80" s="167" t="str">
        <f t="shared" si="8"/>
        <v>🔴 لم تبدأ</v>
      </c>
      <c r="D80" s="192" t="s">
        <v>597</v>
      </c>
      <c r="E80" s="192" t="s">
        <v>598</v>
      </c>
      <c r="F80" s="187"/>
      <c r="G80" s="187"/>
      <c r="H80" s="187"/>
      <c r="I80" s="187"/>
      <c r="J80" s="187"/>
      <c r="K80" s="187"/>
      <c r="L80" s="187"/>
      <c r="M80" s="189">
        <f t="shared" si="9"/>
        <v>0</v>
      </c>
      <c r="N80" s="190">
        <f t="shared" si="10"/>
        <v>0</v>
      </c>
      <c r="O80" s="191" t="str">
        <f t="shared" si="11"/>
        <v>🔴 لم تبدأ / مرفوضة</v>
      </c>
      <c r="P80" s="194" t="s">
        <v>525</v>
      </c>
    </row>
    <row r="81" spans="1:16" ht="24" customHeight="1" x14ac:dyDescent="0.35">
      <c r="A81" s="192" t="s">
        <v>234</v>
      </c>
      <c r="B81" s="193" t="s">
        <v>604</v>
      </c>
      <c r="C81" s="167" t="str">
        <f t="shared" si="8"/>
        <v>🔴 لم تبدأ</v>
      </c>
      <c r="D81" s="192" t="s">
        <v>597</v>
      </c>
      <c r="E81" s="192" t="s">
        <v>598</v>
      </c>
      <c r="F81" s="187"/>
      <c r="G81" s="187"/>
      <c r="H81" s="187"/>
      <c r="I81" s="187"/>
      <c r="J81" s="187"/>
      <c r="K81" s="187"/>
      <c r="L81" s="187"/>
      <c r="M81" s="189">
        <f t="shared" si="9"/>
        <v>0</v>
      </c>
      <c r="N81" s="190">
        <f t="shared" si="10"/>
        <v>0</v>
      </c>
      <c r="O81" s="191" t="str">
        <f t="shared" si="11"/>
        <v>🔴 لم تبدأ / مرفوضة</v>
      </c>
      <c r="P81" s="194" t="s">
        <v>525</v>
      </c>
    </row>
    <row r="82" spans="1:16" ht="24" customHeight="1" x14ac:dyDescent="0.35">
      <c r="A82" s="192" t="s">
        <v>235</v>
      </c>
      <c r="B82" s="193" t="s">
        <v>605</v>
      </c>
      <c r="C82" s="167" t="str">
        <f t="shared" si="8"/>
        <v>🔴 لم تبدأ</v>
      </c>
      <c r="D82" s="192" t="s">
        <v>597</v>
      </c>
      <c r="E82" s="192" t="s">
        <v>598</v>
      </c>
      <c r="F82" s="187"/>
      <c r="G82" s="187"/>
      <c r="H82" s="187"/>
      <c r="I82" s="187"/>
      <c r="J82" s="187"/>
      <c r="K82" s="187"/>
      <c r="L82" s="187"/>
      <c r="M82" s="189">
        <f t="shared" si="9"/>
        <v>0</v>
      </c>
      <c r="N82" s="190">
        <f t="shared" si="10"/>
        <v>0</v>
      </c>
      <c r="O82" s="191" t="str">
        <f t="shared" si="11"/>
        <v>🔴 لم تبدأ / مرفوضة</v>
      </c>
      <c r="P82" s="194" t="s">
        <v>525</v>
      </c>
    </row>
    <row r="83" spans="1:16" ht="24" customHeight="1" x14ac:dyDescent="0.35">
      <c r="A83" s="192" t="s">
        <v>236</v>
      </c>
      <c r="B83" s="193" t="s">
        <v>606</v>
      </c>
      <c r="C83" s="167" t="str">
        <f t="shared" si="8"/>
        <v>🔴 لم تبدأ</v>
      </c>
      <c r="D83" s="192" t="s">
        <v>597</v>
      </c>
      <c r="E83" s="192" t="s">
        <v>598</v>
      </c>
      <c r="F83" s="187"/>
      <c r="G83" s="187"/>
      <c r="H83" s="187"/>
      <c r="I83" s="187"/>
      <c r="J83" s="187"/>
      <c r="K83" s="187"/>
      <c r="L83" s="187"/>
      <c r="M83" s="189">
        <f t="shared" si="9"/>
        <v>0</v>
      </c>
      <c r="N83" s="190">
        <f t="shared" si="10"/>
        <v>0</v>
      </c>
      <c r="O83" s="191" t="str">
        <f t="shared" si="11"/>
        <v>🔴 لم تبدأ / مرفوضة</v>
      </c>
      <c r="P83" s="194" t="s">
        <v>525</v>
      </c>
    </row>
    <row r="84" spans="1:16" ht="24" customHeight="1" x14ac:dyDescent="0.35">
      <c r="A84" s="192" t="s">
        <v>237</v>
      </c>
      <c r="B84" s="193" t="s">
        <v>607</v>
      </c>
      <c r="C84" s="167" t="str">
        <f t="shared" si="8"/>
        <v>🔴 لم تبدأ</v>
      </c>
      <c r="D84" s="192" t="s">
        <v>597</v>
      </c>
      <c r="E84" s="192" t="s">
        <v>598</v>
      </c>
      <c r="F84" s="187"/>
      <c r="G84" s="187"/>
      <c r="H84" s="187"/>
      <c r="I84" s="187"/>
      <c r="J84" s="187"/>
      <c r="K84" s="187"/>
      <c r="L84" s="187"/>
      <c r="M84" s="189">
        <f t="shared" si="9"/>
        <v>0</v>
      </c>
      <c r="N84" s="190">
        <f t="shared" si="10"/>
        <v>0</v>
      </c>
      <c r="O84" s="191" t="str">
        <f t="shared" si="11"/>
        <v>🔴 لم تبدأ / مرفوضة</v>
      </c>
      <c r="P84" s="194" t="s">
        <v>525</v>
      </c>
    </row>
    <row r="85" spans="1:16" ht="24" customHeight="1" x14ac:dyDescent="0.35">
      <c r="A85" s="192" t="s">
        <v>238</v>
      </c>
      <c r="B85" s="193" t="s">
        <v>608</v>
      </c>
      <c r="C85" s="167" t="str">
        <f t="shared" si="8"/>
        <v>🔴 لم تبدأ</v>
      </c>
      <c r="D85" s="192" t="s">
        <v>597</v>
      </c>
      <c r="E85" s="192" t="s">
        <v>598</v>
      </c>
      <c r="F85" s="187"/>
      <c r="G85" s="187"/>
      <c r="H85" s="187"/>
      <c r="I85" s="187"/>
      <c r="J85" s="187"/>
      <c r="K85" s="187"/>
      <c r="L85" s="187"/>
      <c r="M85" s="189">
        <f t="shared" si="9"/>
        <v>0</v>
      </c>
      <c r="N85" s="190">
        <f t="shared" si="10"/>
        <v>0</v>
      </c>
      <c r="O85" s="191" t="str">
        <f t="shared" si="11"/>
        <v>🔴 لم تبدأ / مرفوضة</v>
      </c>
      <c r="P85" s="194" t="s">
        <v>525</v>
      </c>
    </row>
    <row r="86" spans="1:16" ht="24" customHeight="1" x14ac:dyDescent="0.35">
      <c r="A86" s="192" t="s">
        <v>239</v>
      </c>
      <c r="B86" s="193" t="s">
        <v>609</v>
      </c>
      <c r="C86" s="167" t="str">
        <f t="shared" si="8"/>
        <v>🔴 لم تبدأ</v>
      </c>
      <c r="D86" s="192" t="s">
        <v>597</v>
      </c>
      <c r="E86" s="192" t="s">
        <v>598</v>
      </c>
      <c r="F86" s="187"/>
      <c r="G86" s="187"/>
      <c r="H86" s="187"/>
      <c r="I86" s="187"/>
      <c r="J86" s="187"/>
      <c r="K86" s="187"/>
      <c r="L86" s="187"/>
      <c r="M86" s="189">
        <f t="shared" si="9"/>
        <v>0</v>
      </c>
      <c r="N86" s="190">
        <f t="shared" si="10"/>
        <v>0</v>
      </c>
      <c r="O86" s="191" t="str">
        <f t="shared" si="11"/>
        <v>🔴 لم تبدأ / مرفوضة</v>
      </c>
      <c r="P86" s="194" t="s">
        <v>525</v>
      </c>
    </row>
    <row r="87" spans="1:16" ht="24" customHeight="1" x14ac:dyDescent="0.35">
      <c r="A87" s="192" t="s">
        <v>240</v>
      </c>
      <c r="B87" s="193" t="s">
        <v>610</v>
      </c>
      <c r="C87" s="167" t="str">
        <f t="shared" si="8"/>
        <v>🔴 لم تبدأ</v>
      </c>
      <c r="D87" s="192" t="s">
        <v>597</v>
      </c>
      <c r="E87" s="192" t="s">
        <v>598</v>
      </c>
      <c r="F87" s="187"/>
      <c r="G87" s="187"/>
      <c r="H87" s="187"/>
      <c r="I87" s="187"/>
      <c r="J87" s="187"/>
      <c r="K87" s="187"/>
      <c r="L87" s="187"/>
      <c r="M87" s="189">
        <f t="shared" si="9"/>
        <v>0</v>
      </c>
      <c r="N87" s="190">
        <f t="shared" si="10"/>
        <v>0</v>
      </c>
      <c r="O87" s="191" t="str">
        <f t="shared" si="11"/>
        <v>🔴 لم تبدأ / مرفوضة</v>
      </c>
      <c r="P87" s="194" t="s">
        <v>525</v>
      </c>
    </row>
    <row r="88" spans="1:16" ht="24" customHeight="1" x14ac:dyDescent="0.35">
      <c r="A88" s="192" t="s">
        <v>241</v>
      </c>
      <c r="B88" s="193" t="s">
        <v>611</v>
      </c>
      <c r="C88" s="167" t="str">
        <f t="shared" si="8"/>
        <v>🔴 لم تبدأ</v>
      </c>
      <c r="D88" s="192" t="s">
        <v>597</v>
      </c>
      <c r="E88" s="192" t="s">
        <v>598</v>
      </c>
      <c r="F88" s="187"/>
      <c r="G88" s="187"/>
      <c r="H88" s="187"/>
      <c r="I88" s="187"/>
      <c r="J88" s="187"/>
      <c r="K88" s="187"/>
      <c r="L88" s="187"/>
      <c r="M88" s="189">
        <f t="shared" si="9"/>
        <v>0</v>
      </c>
      <c r="N88" s="190">
        <f t="shared" si="10"/>
        <v>0</v>
      </c>
      <c r="O88" s="191" t="str">
        <f t="shared" si="11"/>
        <v>🔴 لم تبدأ / مرفوضة</v>
      </c>
      <c r="P88" s="194" t="s">
        <v>525</v>
      </c>
    </row>
    <row r="89" spans="1:16" ht="24" customHeight="1" x14ac:dyDescent="0.35">
      <c r="A89" s="192" t="s">
        <v>242</v>
      </c>
      <c r="B89" s="193" t="s">
        <v>612</v>
      </c>
      <c r="C89" s="167" t="str">
        <f t="shared" si="8"/>
        <v>🔴 لم تبدأ</v>
      </c>
      <c r="D89" s="192" t="s">
        <v>597</v>
      </c>
      <c r="E89" s="192" t="s">
        <v>598</v>
      </c>
      <c r="F89" s="187"/>
      <c r="G89" s="187"/>
      <c r="H89" s="187"/>
      <c r="I89" s="187"/>
      <c r="J89" s="187"/>
      <c r="K89" s="187"/>
      <c r="L89" s="187"/>
      <c r="M89" s="189">
        <f t="shared" si="9"/>
        <v>0</v>
      </c>
      <c r="N89" s="190">
        <f t="shared" si="10"/>
        <v>0</v>
      </c>
      <c r="O89" s="191" t="str">
        <f t="shared" si="11"/>
        <v>🔴 لم تبدأ / مرفوضة</v>
      </c>
      <c r="P89" s="194" t="s">
        <v>525</v>
      </c>
    </row>
    <row r="90" spans="1:16" ht="24" customHeight="1" x14ac:dyDescent="0.35">
      <c r="A90" s="192" t="s">
        <v>243</v>
      </c>
      <c r="B90" s="193" t="s">
        <v>613</v>
      </c>
      <c r="C90" s="167" t="str">
        <f t="shared" si="8"/>
        <v>🔴 لم تبدأ</v>
      </c>
      <c r="D90" s="192" t="s">
        <v>597</v>
      </c>
      <c r="E90" s="192" t="s">
        <v>598</v>
      </c>
      <c r="F90" s="187"/>
      <c r="G90" s="187"/>
      <c r="H90" s="187"/>
      <c r="I90" s="187"/>
      <c r="J90" s="187"/>
      <c r="K90" s="187"/>
      <c r="L90" s="187"/>
      <c r="M90" s="189">
        <f t="shared" si="9"/>
        <v>0</v>
      </c>
      <c r="N90" s="190">
        <f t="shared" si="10"/>
        <v>0</v>
      </c>
      <c r="O90" s="191" t="str">
        <f t="shared" si="11"/>
        <v>🔴 لم تبدأ / مرفوضة</v>
      </c>
      <c r="P90" s="194" t="s">
        <v>525</v>
      </c>
    </row>
    <row r="91" spans="1:16" ht="24" customHeight="1" x14ac:dyDescent="0.35">
      <c r="A91" s="192" t="s">
        <v>244</v>
      </c>
      <c r="B91" s="193" t="s">
        <v>614</v>
      </c>
      <c r="C91" s="167" t="str">
        <f t="shared" si="8"/>
        <v>🔴 لم تبدأ</v>
      </c>
      <c r="D91" s="192" t="s">
        <v>597</v>
      </c>
      <c r="E91" s="192" t="s">
        <v>598</v>
      </c>
      <c r="F91" s="187"/>
      <c r="G91" s="187"/>
      <c r="H91" s="187"/>
      <c r="I91" s="187"/>
      <c r="J91" s="187"/>
      <c r="K91" s="187"/>
      <c r="L91" s="187"/>
      <c r="M91" s="189">
        <f t="shared" si="9"/>
        <v>0</v>
      </c>
      <c r="N91" s="190">
        <f t="shared" si="10"/>
        <v>0</v>
      </c>
      <c r="O91" s="191" t="str">
        <f t="shared" si="11"/>
        <v>🔴 لم تبدأ / مرفوضة</v>
      </c>
      <c r="P91" s="194" t="s">
        <v>525</v>
      </c>
    </row>
    <row r="92" spans="1:16" ht="30" customHeight="1" x14ac:dyDescent="0.35">
      <c r="A92" s="44"/>
      <c r="B92" s="45" t="s">
        <v>203</v>
      </c>
      <c r="C92" s="195"/>
      <c r="D92" s="195"/>
      <c r="E92" s="195"/>
      <c r="F92" s="201">
        <f t="shared" ref="F92:L92" si="12">IFERROR(COUNTIF(F7:F91,1),"")</f>
        <v>0</v>
      </c>
      <c r="G92" s="201">
        <f t="shared" si="12"/>
        <v>0</v>
      </c>
      <c r="H92" s="201">
        <f t="shared" si="12"/>
        <v>0</v>
      </c>
      <c r="I92" s="201">
        <f t="shared" si="12"/>
        <v>0</v>
      </c>
      <c r="J92" s="201">
        <f t="shared" si="12"/>
        <v>0</v>
      </c>
      <c r="K92" s="201">
        <f t="shared" si="12"/>
        <v>0</v>
      </c>
      <c r="L92" s="201">
        <f t="shared" si="12"/>
        <v>0</v>
      </c>
      <c r="M92" s="203">
        <f>IFERROR(SUM(M7:M91),"")</f>
        <v>0</v>
      </c>
      <c r="N92" s="204">
        <f>IFERROR(COUNTIF(O7:O91,"✅ جاهزة للافتتاح")/85,"")</f>
        <v>0</v>
      </c>
    </row>
    <row r="94" spans="1:16" ht="21.75" customHeight="1" x14ac:dyDescent="0.35">
      <c r="A94" s="254" t="s">
        <v>615</v>
      </c>
      <c r="B94" s="254"/>
      <c r="C94" s="254"/>
      <c r="D94" s="254"/>
      <c r="E94" s="254"/>
      <c r="F94" s="254"/>
      <c r="G94" s="254"/>
      <c r="H94" s="254"/>
      <c r="I94" s="254"/>
      <c r="J94" s="254"/>
      <c r="K94" s="254"/>
      <c r="L94" s="254"/>
      <c r="M94" s="254"/>
      <c r="N94" s="254"/>
      <c r="O94" s="254"/>
      <c r="P94" s="254"/>
    </row>
    <row r="95" spans="1:16" ht="25.5" customHeight="1" x14ac:dyDescent="0.35">
      <c r="A95" s="25" t="s">
        <v>10</v>
      </c>
      <c r="B95" s="25" t="s">
        <v>616</v>
      </c>
      <c r="C95" s="25" t="s">
        <v>617</v>
      </c>
      <c r="D95" s="25" t="s">
        <v>618</v>
      </c>
      <c r="E95" s="25" t="s">
        <v>619</v>
      </c>
      <c r="F95" s="25" t="s">
        <v>620</v>
      </c>
    </row>
    <row r="96" spans="1:16" ht="27.75" customHeight="1" x14ac:dyDescent="0.35">
      <c r="A96" s="217" t="s">
        <v>655</v>
      </c>
      <c r="B96" s="218" t="s">
        <v>656</v>
      </c>
      <c r="C96" s="164" t="s">
        <v>657</v>
      </c>
      <c r="D96" s="162" t="s">
        <v>386</v>
      </c>
      <c r="E96" s="207" t="s">
        <v>394</v>
      </c>
      <c r="F96" s="208" t="s">
        <v>624</v>
      </c>
    </row>
    <row r="97" spans="1:6" ht="27.75" customHeight="1" x14ac:dyDescent="0.35">
      <c r="A97" s="217" t="s">
        <v>658</v>
      </c>
      <c r="B97" s="218" t="s">
        <v>659</v>
      </c>
      <c r="C97" s="164" t="s">
        <v>660</v>
      </c>
      <c r="D97" s="162" t="s">
        <v>386</v>
      </c>
      <c r="E97" s="207" t="s">
        <v>394</v>
      </c>
      <c r="F97" s="208" t="s">
        <v>624</v>
      </c>
    </row>
    <row r="98" spans="1:6" ht="27.75" customHeight="1" x14ac:dyDescent="0.35">
      <c r="A98" s="217" t="s">
        <v>661</v>
      </c>
      <c r="B98" s="218" t="s">
        <v>662</v>
      </c>
      <c r="C98" s="164" t="s">
        <v>663</v>
      </c>
      <c r="D98" s="162" t="s">
        <v>386</v>
      </c>
      <c r="E98" s="207" t="s">
        <v>394</v>
      </c>
      <c r="F98" s="208" t="s">
        <v>624</v>
      </c>
    </row>
    <row r="99" spans="1:6" ht="27.75" customHeight="1" x14ac:dyDescent="0.35">
      <c r="A99" s="217" t="s">
        <v>664</v>
      </c>
      <c r="B99" s="218" t="s">
        <v>665</v>
      </c>
      <c r="C99" s="164" t="s">
        <v>666</v>
      </c>
      <c r="D99" s="162" t="s">
        <v>386</v>
      </c>
      <c r="E99" s="207" t="s">
        <v>394</v>
      </c>
      <c r="F99" s="208" t="s">
        <v>624</v>
      </c>
    </row>
    <row r="100" spans="1:6" ht="27.75" customHeight="1" x14ac:dyDescent="0.35">
      <c r="A100" s="217" t="s">
        <v>667</v>
      </c>
      <c r="B100" s="218" t="s">
        <v>668</v>
      </c>
      <c r="C100" s="164" t="s">
        <v>669</v>
      </c>
      <c r="D100" s="162" t="s">
        <v>386</v>
      </c>
      <c r="E100" s="207" t="s">
        <v>394</v>
      </c>
      <c r="F100" s="208" t="s">
        <v>624</v>
      </c>
    </row>
    <row r="101" spans="1:6" ht="27.75" customHeight="1" x14ac:dyDescent="0.35">
      <c r="A101" s="217" t="s">
        <v>670</v>
      </c>
      <c r="B101" s="218" t="s">
        <v>671</v>
      </c>
      <c r="C101" s="164" t="s">
        <v>672</v>
      </c>
      <c r="D101" s="162" t="s">
        <v>386</v>
      </c>
      <c r="E101" s="207" t="s">
        <v>394</v>
      </c>
      <c r="F101" s="208" t="s">
        <v>624</v>
      </c>
    </row>
    <row r="102" spans="1:6" ht="27.75" customHeight="1" x14ac:dyDescent="0.35">
      <c r="A102" s="217" t="s">
        <v>673</v>
      </c>
      <c r="B102" s="218" t="s">
        <v>674</v>
      </c>
      <c r="C102" s="164" t="s">
        <v>675</v>
      </c>
      <c r="D102" s="162" t="s">
        <v>386</v>
      </c>
      <c r="E102" s="207" t="s">
        <v>394</v>
      </c>
      <c r="F102" s="208" t="s">
        <v>624</v>
      </c>
    </row>
  </sheetData>
  <mergeCells count="4">
    <mergeCell ref="A2:P2"/>
    <mergeCell ref="A3:P3"/>
    <mergeCell ref="F5:L5"/>
    <mergeCell ref="A94:P94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97"/>
  <sheetViews>
    <sheetView rightToLeft="1" tabSelected="1" zoomScale="90" zoomScaleNormal="90" workbookViewId="0">
      <pane xSplit="2" ySplit="11" topLeftCell="C12" activePane="bottomRight" state="frozen"/>
      <selection pane="topRight" activeCell="C1" sqref="C1"/>
      <selection pane="bottomLeft" activeCell="A12" sqref="A12"/>
      <selection pane="bottomRight"/>
    </sheetView>
  </sheetViews>
  <sheetFormatPr defaultColWidth="8.6328125" defaultRowHeight="14.5" x14ac:dyDescent="0.35"/>
  <cols>
    <col min="1" max="1" width="3" customWidth="1"/>
    <col min="2" max="2" width="22" customWidth="1"/>
    <col min="3" max="8" width="14" customWidth="1"/>
    <col min="9" max="9" width="3" customWidth="1"/>
  </cols>
  <sheetData>
    <row r="1" spans="1:9" ht="4.5" customHeight="1" x14ac:dyDescent="0.35"/>
    <row r="2" spans="1:9" ht="54" customHeight="1" x14ac:dyDescent="0.35">
      <c r="A2" s="255" t="s">
        <v>676</v>
      </c>
      <c r="B2" s="255"/>
      <c r="C2" s="255"/>
      <c r="D2" s="255"/>
      <c r="E2" s="255"/>
      <c r="F2" s="255"/>
      <c r="G2" s="255"/>
      <c r="H2" s="255"/>
      <c r="I2" s="255"/>
    </row>
    <row r="3" spans="1:9" ht="21.75" customHeight="1" x14ac:dyDescent="0.35">
      <c r="A3" s="10" t="s">
        <v>677</v>
      </c>
      <c r="B3" s="10"/>
      <c r="C3" s="10"/>
      <c r="D3" s="10"/>
      <c r="E3" s="10"/>
      <c r="F3" s="10"/>
      <c r="G3" s="10"/>
      <c r="H3" s="10"/>
      <c r="I3" s="10"/>
    </row>
    <row r="4" spans="1:9" ht="6" customHeight="1" x14ac:dyDescent="0.35"/>
    <row r="5" spans="1:9" ht="30" customHeight="1" x14ac:dyDescent="0.35">
      <c r="B5" s="220" t="s">
        <v>678</v>
      </c>
      <c r="C5" s="221" t="s">
        <v>679</v>
      </c>
      <c r="D5" s="222" t="s">
        <v>680</v>
      </c>
      <c r="E5" s="223" t="s">
        <v>681</v>
      </c>
      <c r="F5" s="224" t="s">
        <v>682</v>
      </c>
      <c r="G5" s="225" t="s">
        <v>683</v>
      </c>
    </row>
    <row r="6" spans="1:9" ht="33.75" customHeight="1" x14ac:dyDescent="0.35">
      <c r="B6" s="226" t="s">
        <v>684</v>
      </c>
      <c r="C6" s="227">
        <f>COUNTA('📋 بيانات المحطات'!B6:B60)</f>
        <v>55</v>
      </c>
      <c r="D6" s="159" t="s">
        <v>685</v>
      </c>
      <c r="E6" s="228">
        <f>IFERROR(COUNTIF('🏗️ جاهزية المحطة — 7 بنود'!O8:O92,"✅ جاهزة للافتتاح"),"—")</f>
        <v>0</v>
      </c>
      <c r="F6" s="229">
        <f>IFERROR(COUNTIF('🔴 معايير السلامة — 7 بنود'!O8:O92,"✅ جاهزة للافتتاح"),"—")</f>
        <v>0</v>
      </c>
      <c r="G6" s="230">
        <f>IFERROR(COUNTA('📋 بيانات المحطات'!B6:B60)/85,"—")</f>
        <v>0.6470588235294118</v>
      </c>
    </row>
    <row r="7" spans="1:9" ht="19.5" customHeight="1" x14ac:dyDescent="0.35">
      <c r="B7" s="160" t="s">
        <v>686</v>
      </c>
      <c r="C7" s="160" t="s">
        <v>687</v>
      </c>
      <c r="D7" s="160" t="s">
        <v>688</v>
      </c>
      <c r="E7" s="160" t="s">
        <v>689</v>
      </c>
      <c r="F7" s="160" t="s">
        <v>690</v>
      </c>
      <c r="G7" s="160" t="s">
        <v>691</v>
      </c>
    </row>
    <row r="8" spans="1:9" ht="6" customHeight="1" x14ac:dyDescent="0.35"/>
    <row r="9" spans="1:9" ht="6" customHeight="1" x14ac:dyDescent="0.35"/>
    <row r="10" spans="1:9" ht="19.5" customHeight="1" x14ac:dyDescent="0.35">
      <c r="B10" s="256" t="s">
        <v>692</v>
      </c>
      <c r="C10" s="256"/>
      <c r="D10" s="256"/>
      <c r="E10" s="256"/>
      <c r="F10" s="256"/>
      <c r="G10" s="256"/>
      <c r="H10" s="256"/>
    </row>
    <row r="11" spans="1:9" ht="25.5" customHeight="1" x14ac:dyDescent="0.35">
      <c r="B11" s="161" t="s">
        <v>8</v>
      </c>
      <c r="C11" s="161" t="s">
        <v>9</v>
      </c>
      <c r="D11" s="161" t="s">
        <v>693</v>
      </c>
      <c r="E11" s="161" t="s">
        <v>694</v>
      </c>
      <c r="F11" s="161" t="s">
        <v>695</v>
      </c>
      <c r="G11" s="161" t="s">
        <v>696</v>
      </c>
      <c r="H11" s="161" t="s">
        <v>697</v>
      </c>
    </row>
    <row r="12" spans="1:9" ht="21.75" customHeight="1" x14ac:dyDescent="0.35">
      <c r="B12" s="17" t="s">
        <v>19</v>
      </c>
      <c r="C12" s="181" t="s">
        <v>523</v>
      </c>
      <c r="D12" s="231">
        <f>IFERROR('🏗️ جاهزية المحطة — 7 بنود'!N8,"")</f>
        <v>0</v>
      </c>
      <c r="E12" s="232">
        <f>IFERROR('🔴 معايير السلامة — 7 بنود'!N8,"")</f>
        <v>0</v>
      </c>
      <c r="F12" s="149" t="str">
        <f t="shared" ref="F12:F43" si="0">IF(D12="","—",IF(D12=1,"✅ جاهزة",IF(D12&gt;=0.71,"🟡 تكتمل","🔴 لم تبدأ")))</f>
        <v>🔴 لم تبدأ</v>
      </c>
      <c r="G12" s="149" t="str">
        <f t="shared" ref="G12:G43" si="1">IF(E12="","—",IF(E12=1,"✅ آمنة",IF(E12&gt;=0.71,"🟡 تكتمل","🔴 ناقص")))</f>
        <v>🔴 ناقص</v>
      </c>
      <c r="H12" s="167" t="str">
        <f t="shared" ref="H12:H43" si="2">IF(AND(D12=1,E12=1),"🟢 مُوصى بالافتتاح",IF(OR(D12="",E12=""),"⚪ لم يُقيَّم",IF(AND(D12&gt;=0.71,E12&gt;=0.71),"🟡 قريب من الجاهزية","🔴 غير جاهزة")))</f>
        <v>🔴 غير جاهزة</v>
      </c>
    </row>
    <row r="13" spans="1:9" ht="21.75" customHeight="1" x14ac:dyDescent="0.35">
      <c r="B13" s="24" t="s">
        <v>32</v>
      </c>
      <c r="C13" s="181" t="s">
        <v>526</v>
      </c>
      <c r="D13" s="231">
        <f>IFERROR('🏗️ جاهزية المحطة — 7 بنود'!N9,"")</f>
        <v>0</v>
      </c>
      <c r="E13" s="232">
        <f>IFERROR('🔴 معايير السلامة — 7 بنود'!N9,"")</f>
        <v>0</v>
      </c>
      <c r="F13" s="149" t="str">
        <f t="shared" si="0"/>
        <v>🔴 لم تبدأ</v>
      </c>
      <c r="G13" s="149" t="str">
        <f t="shared" si="1"/>
        <v>🔴 ناقص</v>
      </c>
      <c r="H13" s="167" t="str">
        <f t="shared" si="2"/>
        <v>🔴 غير جاهزة</v>
      </c>
    </row>
    <row r="14" spans="1:9" ht="21.75" customHeight="1" x14ac:dyDescent="0.35">
      <c r="B14" s="17" t="s">
        <v>35</v>
      </c>
      <c r="C14" s="181" t="s">
        <v>527</v>
      </c>
      <c r="D14" s="231">
        <f>IFERROR('🏗️ جاهزية المحطة — 7 بنود'!N10,"")</f>
        <v>0</v>
      </c>
      <c r="E14" s="232">
        <f>IFERROR('🔴 معايير السلامة — 7 بنود'!N10,"")</f>
        <v>0</v>
      </c>
      <c r="F14" s="149" t="str">
        <f t="shared" si="0"/>
        <v>🔴 لم تبدأ</v>
      </c>
      <c r="G14" s="149" t="str">
        <f t="shared" si="1"/>
        <v>🔴 ناقص</v>
      </c>
      <c r="H14" s="167" t="str">
        <f t="shared" si="2"/>
        <v>🔴 غير جاهزة</v>
      </c>
    </row>
    <row r="15" spans="1:9" ht="21.75" customHeight="1" x14ac:dyDescent="0.35">
      <c r="B15" s="24" t="s">
        <v>38</v>
      </c>
      <c r="C15" s="181" t="s">
        <v>528</v>
      </c>
      <c r="D15" s="231">
        <f>IFERROR('🏗️ جاهزية المحطة — 7 بنود'!N11,"")</f>
        <v>0</v>
      </c>
      <c r="E15" s="232">
        <f>IFERROR('🔴 معايير السلامة — 7 بنود'!N11,"")</f>
        <v>0</v>
      </c>
      <c r="F15" s="149" t="str">
        <f t="shared" si="0"/>
        <v>🔴 لم تبدأ</v>
      </c>
      <c r="G15" s="149" t="str">
        <f t="shared" si="1"/>
        <v>🔴 ناقص</v>
      </c>
      <c r="H15" s="167" t="str">
        <f t="shared" si="2"/>
        <v>🔴 غير جاهزة</v>
      </c>
    </row>
    <row r="16" spans="1:9" ht="21.75" customHeight="1" x14ac:dyDescent="0.35">
      <c r="B16" s="17" t="s">
        <v>41</v>
      </c>
      <c r="C16" s="181" t="s">
        <v>529</v>
      </c>
      <c r="D16" s="231">
        <f>IFERROR('🏗️ جاهزية المحطة — 7 بنود'!N12,"")</f>
        <v>0</v>
      </c>
      <c r="E16" s="232">
        <f>IFERROR('🔴 معايير السلامة — 7 بنود'!N12,"")</f>
        <v>0</v>
      </c>
      <c r="F16" s="149" t="str">
        <f t="shared" si="0"/>
        <v>🔴 لم تبدأ</v>
      </c>
      <c r="G16" s="149" t="str">
        <f t="shared" si="1"/>
        <v>🔴 ناقص</v>
      </c>
      <c r="H16" s="167" t="str">
        <f t="shared" si="2"/>
        <v>🔴 غير جاهزة</v>
      </c>
    </row>
    <row r="17" spans="2:8" ht="21.75" customHeight="1" x14ac:dyDescent="0.35">
      <c r="B17" s="24" t="s">
        <v>44</v>
      </c>
      <c r="C17" s="181" t="s">
        <v>530</v>
      </c>
      <c r="D17" s="231">
        <f>IFERROR('🏗️ جاهزية المحطة — 7 بنود'!N13,"")</f>
        <v>0</v>
      </c>
      <c r="E17" s="232">
        <f>IFERROR('🔴 معايير السلامة — 7 بنود'!N13,"")</f>
        <v>0</v>
      </c>
      <c r="F17" s="149" t="str">
        <f t="shared" si="0"/>
        <v>🔴 لم تبدأ</v>
      </c>
      <c r="G17" s="149" t="str">
        <f t="shared" si="1"/>
        <v>🔴 ناقص</v>
      </c>
      <c r="H17" s="167" t="str">
        <f t="shared" si="2"/>
        <v>🔴 غير جاهزة</v>
      </c>
    </row>
    <row r="18" spans="2:8" ht="21.75" customHeight="1" x14ac:dyDescent="0.35">
      <c r="B18" s="17" t="s">
        <v>47</v>
      </c>
      <c r="C18" s="181" t="s">
        <v>531</v>
      </c>
      <c r="D18" s="231">
        <f>IFERROR('🏗️ جاهزية المحطة — 7 بنود'!N14,"")</f>
        <v>0</v>
      </c>
      <c r="E18" s="232">
        <f>IFERROR('🔴 معايير السلامة — 7 بنود'!N14,"")</f>
        <v>0</v>
      </c>
      <c r="F18" s="149" t="str">
        <f t="shared" si="0"/>
        <v>🔴 لم تبدأ</v>
      </c>
      <c r="G18" s="149" t="str">
        <f t="shared" si="1"/>
        <v>🔴 ناقص</v>
      </c>
      <c r="H18" s="167" t="str">
        <f t="shared" si="2"/>
        <v>🔴 غير جاهزة</v>
      </c>
    </row>
    <row r="19" spans="2:8" ht="21.75" customHeight="1" x14ac:dyDescent="0.35">
      <c r="B19" s="24" t="s">
        <v>50</v>
      </c>
      <c r="C19" s="181" t="s">
        <v>532</v>
      </c>
      <c r="D19" s="231">
        <f>IFERROR('🏗️ جاهزية المحطة — 7 بنود'!N15,"")</f>
        <v>0</v>
      </c>
      <c r="E19" s="232">
        <f>IFERROR('🔴 معايير السلامة — 7 بنود'!N15,"")</f>
        <v>0</v>
      </c>
      <c r="F19" s="149" t="str">
        <f t="shared" si="0"/>
        <v>🔴 لم تبدأ</v>
      </c>
      <c r="G19" s="149" t="str">
        <f t="shared" si="1"/>
        <v>🔴 ناقص</v>
      </c>
      <c r="H19" s="167" t="str">
        <f t="shared" si="2"/>
        <v>🔴 غير جاهزة</v>
      </c>
    </row>
    <row r="20" spans="2:8" ht="21.75" customHeight="1" x14ac:dyDescent="0.35">
      <c r="B20" s="17" t="s">
        <v>53</v>
      </c>
      <c r="C20" s="181" t="s">
        <v>533</v>
      </c>
      <c r="D20" s="231">
        <f>IFERROR('🏗️ جاهزية المحطة — 7 بنود'!N16,"")</f>
        <v>0</v>
      </c>
      <c r="E20" s="232">
        <f>IFERROR('🔴 معايير السلامة — 7 بنود'!N16,"")</f>
        <v>0</v>
      </c>
      <c r="F20" s="149" t="str">
        <f t="shared" si="0"/>
        <v>🔴 لم تبدأ</v>
      </c>
      <c r="G20" s="149" t="str">
        <f t="shared" si="1"/>
        <v>🔴 ناقص</v>
      </c>
      <c r="H20" s="167" t="str">
        <f t="shared" si="2"/>
        <v>🔴 غير جاهزة</v>
      </c>
    </row>
    <row r="21" spans="2:8" ht="21.75" customHeight="1" x14ac:dyDescent="0.35">
      <c r="B21" s="24" t="s">
        <v>56</v>
      </c>
      <c r="C21" s="181" t="s">
        <v>534</v>
      </c>
      <c r="D21" s="231">
        <f>IFERROR('🏗️ جاهزية المحطة — 7 بنود'!N17,"")</f>
        <v>0</v>
      </c>
      <c r="E21" s="232">
        <f>IFERROR('🔴 معايير السلامة — 7 بنود'!N17,"")</f>
        <v>0</v>
      </c>
      <c r="F21" s="149" t="str">
        <f t="shared" si="0"/>
        <v>🔴 لم تبدأ</v>
      </c>
      <c r="G21" s="149" t="str">
        <f t="shared" si="1"/>
        <v>🔴 ناقص</v>
      </c>
      <c r="H21" s="167" t="str">
        <f t="shared" si="2"/>
        <v>🔴 غير جاهزة</v>
      </c>
    </row>
    <row r="22" spans="2:8" ht="21.75" customHeight="1" x14ac:dyDescent="0.35">
      <c r="B22" s="17" t="s">
        <v>59</v>
      </c>
      <c r="C22" s="181" t="s">
        <v>535</v>
      </c>
      <c r="D22" s="231">
        <f>IFERROR('🏗️ جاهزية المحطة — 7 بنود'!N18,"")</f>
        <v>0</v>
      </c>
      <c r="E22" s="232">
        <f>IFERROR('🔴 معايير السلامة — 7 بنود'!N18,"")</f>
        <v>0</v>
      </c>
      <c r="F22" s="149" t="str">
        <f t="shared" si="0"/>
        <v>🔴 لم تبدأ</v>
      </c>
      <c r="G22" s="149" t="str">
        <f t="shared" si="1"/>
        <v>🔴 ناقص</v>
      </c>
      <c r="H22" s="167" t="str">
        <f t="shared" si="2"/>
        <v>🔴 غير جاهزة</v>
      </c>
    </row>
    <row r="23" spans="2:8" ht="21.75" customHeight="1" x14ac:dyDescent="0.35">
      <c r="B23" s="24" t="s">
        <v>62</v>
      </c>
      <c r="C23" s="181" t="s">
        <v>536</v>
      </c>
      <c r="D23" s="231">
        <f>IFERROR('🏗️ جاهزية المحطة — 7 بنود'!N19,"")</f>
        <v>0</v>
      </c>
      <c r="E23" s="232">
        <f>IFERROR('🔴 معايير السلامة — 7 بنود'!N19,"")</f>
        <v>0</v>
      </c>
      <c r="F23" s="149" t="str">
        <f t="shared" si="0"/>
        <v>🔴 لم تبدأ</v>
      </c>
      <c r="G23" s="149" t="str">
        <f t="shared" si="1"/>
        <v>🔴 ناقص</v>
      </c>
      <c r="H23" s="167" t="str">
        <f t="shared" si="2"/>
        <v>🔴 غير جاهزة</v>
      </c>
    </row>
    <row r="24" spans="2:8" ht="21.75" customHeight="1" x14ac:dyDescent="0.35">
      <c r="B24" s="17" t="s">
        <v>65</v>
      </c>
      <c r="C24" s="181" t="s">
        <v>537</v>
      </c>
      <c r="D24" s="231">
        <f>IFERROR('🏗️ جاهزية المحطة — 7 بنود'!N20,"")</f>
        <v>0</v>
      </c>
      <c r="E24" s="232">
        <f>IFERROR('🔴 معايير السلامة — 7 بنود'!N20,"")</f>
        <v>0</v>
      </c>
      <c r="F24" s="149" t="str">
        <f t="shared" si="0"/>
        <v>🔴 لم تبدأ</v>
      </c>
      <c r="G24" s="149" t="str">
        <f t="shared" si="1"/>
        <v>🔴 ناقص</v>
      </c>
      <c r="H24" s="167" t="str">
        <f t="shared" si="2"/>
        <v>🔴 غير جاهزة</v>
      </c>
    </row>
    <row r="25" spans="2:8" ht="21.75" customHeight="1" x14ac:dyDescent="0.35">
      <c r="B25" s="24" t="s">
        <v>68</v>
      </c>
      <c r="C25" s="181" t="s">
        <v>538</v>
      </c>
      <c r="D25" s="231">
        <f>IFERROR('🏗️ جاهزية المحطة — 7 بنود'!N21,"")</f>
        <v>0</v>
      </c>
      <c r="E25" s="232">
        <f>IFERROR('🔴 معايير السلامة — 7 بنود'!N21,"")</f>
        <v>0</v>
      </c>
      <c r="F25" s="149" t="str">
        <f t="shared" si="0"/>
        <v>🔴 لم تبدأ</v>
      </c>
      <c r="G25" s="149" t="str">
        <f t="shared" si="1"/>
        <v>🔴 ناقص</v>
      </c>
      <c r="H25" s="167" t="str">
        <f t="shared" si="2"/>
        <v>🔴 غير جاهزة</v>
      </c>
    </row>
    <row r="26" spans="2:8" ht="21.75" customHeight="1" x14ac:dyDescent="0.35">
      <c r="B26" s="17" t="s">
        <v>71</v>
      </c>
      <c r="C26" s="181" t="s">
        <v>539</v>
      </c>
      <c r="D26" s="231">
        <f>IFERROR('🏗️ جاهزية المحطة — 7 بنود'!N22,"")</f>
        <v>0</v>
      </c>
      <c r="E26" s="232">
        <f>IFERROR('🔴 معايير السلامة — 7 بنود'!N22,"")</f>
        <v>0</v>
      </c>
      <c r="F26" s="149" t="str">
        <f t="shared" si="0"/>
        <v>🔴 لم تبدأ</v>
      </c>
      <c r="G26" s="149" t="str">
        <f t="shared" si="1"/>
        <v>🔴 ناقص</v>
      </c>
      <c r="H26" s="167" t="str">
        <f t="shared" si="2"/>
        <v>🔴 غير جاهزة</v>
      </c>
    </row>
    <row r="27" spans="2:8" ht="21.75" customHeight="1" x14ac:dyDescent="0.35">
      <c r="B27" s="24" t="s">
        <v>74</v>
      </c>
      <c r="C27" s="181" t="s">
        <v>540</v>
      </c>
      <c r="D27" s="231">
        <f>IFERROR('🏗️ جاهزية المحطة — 7 بنود'!N23,"")</f>
        <v>0</v>
      </c>
      <c r="E27" s="232">
        <f>IFERROR('🔴 معايير السلامة — 7 بنود'!N23,"")</f>
        <v>0</v>
      </c>
      <c r="F27" s="149" t="str">
        <f t="shared" si="0"/>
        <v>🔴 لم تبدأ</v>
      </c>
      <c r="G27" s="149" t="str">
        <f t="shared" si="1"/>
        <v>🔴 ناقص</v>
      </c>
      <c r="H27" s="167" t="str">
        <f t="shared" si="2"/>
        <v>🔴 غير جاهزة</v>
      </c>
    </row>
    <row r="28" spans="2:8" ht="21.75" customHeight="1" x14ac:dyDescent="0.35">
      <c r="B28" s="17" t="s">
        <v>77</v>
      </c>
      <c r="C28" s="181" t="s">
        <v>541</v>
      </c>
      <c r="D28" s="231">
        <f>IFERROR('🏗️ جاهزية المحطة — 7 بنود'!N24,"")</f>
        <v>0</v>
      </c>
      <c r="E28" s="232">
        <f>IFERROR('🔴 معايير السلامة — 7 بنود'!N24,"")</f>
        <v>0</v>
      </c>
      <c r="F28" s="149" t="str">
        <f t="shared" si="0"/>
        <v>🔴 لم تبدأ</v>
      </c>
      <c r="G28" s="149" t="str">
        <f t="shared" si="1"/>
        <v>🔴 ناقص</v>
      </c>
      <c r="H28" s="167" t="str">
        <f t="shared" si="2"/>
        <v>🔴 غير جاهزة</v>
      </c>
    </row>
    <row r="29" spans="2:8" ht="21.75" customHeight="1" x14ac:dyDescent="0.35">
      <c r="B29" s="24" t="s">
        <v>80</v>
      </c>
      <c r="C29" s="181" t="s">
        <v>542</v>
      </c>
      <c r="D29" s="231">
        <f>IFERROR('🏗️ جاهزية المحطة — 7 بنود'!N25,"")</f>
        <v>0</v>
      </c>
      <c r="E29" s="232">
        <f>IFERROR('🔴 معايير السلامة — 7 بنود'!N25,"")</f>
        <v>0</v>
      </c>
      <c r="F29" s="149" t="str">
        <f t="shared" si="0"/>
        <v>🔴 لم تبدأ</v>
      </c>
      <c r="G29" s="149" t="str">
        <f t="shared" si="1"/>
        <v>🔴 ناقص</v>
      </c>
      <c r="H29" s="167" t="str">
        <f t="shared" si="2"/>
        <v>🔴 غير جاهزة</v>
      </c>
    </row>
    <row r="30" spans="2:8" ht="21.75" customHeight="1" x14ac:dyDescent="0.35">
      <c r="B30" s="17" t="s">
        <v>84</v>
      </c>
      <c r="C30" s="181" t="s">
        <v>544</v>
      </c>
      <c r="D30" s="231">
        <f>IFERROR('🏗️ جاهزية المحطة — 7 بنود'!N26,"")</f>
        <v>0</v>
      </c>
      <c r="E30" s="232">
        <f>IFERROR('🔴 معايير السلامة — 7 بنود'!N26,"")</f>
        <v>0</v>
      </c>
      <c r="F30" s="149" t="str">
        <f t="shared" si="0"/>
        <v>🔴 لم تبدأ</v>
      </c>
      <c r="G30" s="149" t="str">
        <f t="shared" si="1"/>
        <v>🔴 ناقص</v>
      </c>
      <c r="H30" s="167" t="str">
        <f t="shared" si="2"/>
        <v>🔴 غير جاهزة</v>
      </c>
    </row>
    <row r="31" spans="2:8" ht="21.75" customHeight="1" x14ac:dyDescent="0.35">
      <c r="B31" s="24" t="s">
        <v>87</v>
      </c>
      <c r="C31" s="181" t="s">
        <v>545</v>
      </c>
      <c r="D31" s="231">
        <f>IFERROR('🏗️ جاهزية المحطة — 7 بنود'!N27,"")</f>
        <v>0</v>
      </c>
      <c r="E31" s="232">
        <f>IFERROR('🔴 معايير السلامة — 7 بنود'!N27,"")</f>
        <v>0</v>
      </c>
      <c r="F31" s="149" t="str">
        <f t="shared" si="0"/>
        <v>🔴 لم تبدأ</v>
      </c>
      <c r="G31" s="149" t="str">
        <f t="shared" si="1"/>
        <v>🔴 ناقص</v>
      </c>
      <c r="H31" s="167" t="str">
        <f t="shared" si="2"/>
        <v>🔴 غير جاهزة</v>
      </c>
    </row>
    <row r="32" spans="2:8" ht="21.75" customHeight="1" x14ac:dyDescent="0.35">
      <c r="B32" s="17" t="s">
        <v>90</v>
      </c>
      <c r="C32" s="181" t="s">
        <v>546</v>
      </c>
      <c r="D32" s="231">
        <f>IFERROR('🏗️ جاهزية المحطة — 7 بنود'!N28,"")</f>
        <v>0</v>
      </c>
      <c r="E32" s="232">
        <f>IFERROR('🔴 معايير السلامة — 7 بنود'!N28,"")</f>
        <v>0</v>
      </c>
      <c r="F32" s="149" t="str">
        <f t="shared" si="0"/>
        <v>🔴 لم تبدأ</v>
      </c>
      <c r="G32" s="149" t="str">
        <f t="shared" si="1"/>
        <v>🔴 ناقص</v>
      </c>
      <c r="H32" s="167" t="str">
        <f t="shared" si="2"/>
        <v>🔴 غير جاهزة</v>
      </c>
    </row>
    <row r="33" spans="2:8" ht="21.75" customHeight="1" x14ac:dyDescent="0.35">
      <c r="B33" s="24" t="s">
        <v>93</v>
      </c>
      <c r="C33" s="181" t="s">
        <v>547</v>
      </c>
      <c r="D33" s="231">
        <f>IFERROR('🏗️ جاهزية المحطة — 7 بنود'!N29,"")</f>
        <v>0</v>
      </c>
      <c r="E33" s="232">
        <f>IFERROR('🔴 معايير السلامة — 7 بنود'!N29,"")</f>
        <v>0</v>
      </c>
      <c r="F33" s="149" t="str">
        <f t="shared" si="0"/>
        <v>🔴 لم تبدأ</v>
      </c>
      <c r="G33" s="149" t="str">
        <f t="shared" si="1"/>
        <v>🔴 ناقص</v>
      </c>
      <c r="H33" s="167" t="str">
        <f t="shared" si="2"/>
        <v>🔴 غير جاهزة</v>
      </c>
    </row>
    <row r="34" spans="2:8" ht="21.75" customHeight="1" x14ac:dyDescent="0.35">
      <c r="B34" s="17" t="s">
        <v>96</v>
      </c>
      <c r="C34" s="181" t="s">
        <v>548</v>
      </c>
      <c r="D34" s="231">
        <f>IFERROR('🏗️ جاهزية المحطة — 7 بنود'!N30,"")</f>
        <v>0</v>
      </c>
      <c r="E34" s="232">
        <f>IFERROR('🔴 معايير السلامة — 7 بنود'!N30,"")</f>
        <v>0</v>
      </c>
      <c r="F34" s="149" t="str">
        <f t="shared" si="0"/>
        <v>🔴 لم تبدأ</v>
      </c>
      <c r="G34" s="149" t="str">
        <f t="shared" si="1"/>
        <v>🔴 ناقص</v>
      </c>
      <c r="H34" s="167" t="str">
        <f t="shared" si="2"/>
        <v>🔴 غير جاهزة</v>
      </c>
    </row>
    <row r="35" spans="2:8" ht="21.75" customHeight="1" x14ac:dyDescent="0.35">
      <c r="B35" s="24" t="s">
        <v>99</v>
      </c>
      <c r="C35" s="181" t="s">
        <v>549</v>
      </c>
      <c r="D35" s="231">
        <f>IFERROR('🏗️ جاهزية المحطة — 7 بنود'!N31,"")</f>
        <v>0</v>
      </c>
      <c r="E35" s="232">
        <f>IFERROR('🔴 معايير السلامة — 7 بنود'!N31,"")</f>
        <v>0</v>
      </c>
      <c r="F35" s="149" t="str">
        <f t="shared" si="0"/>
        <v>🔴 لم تبدأ</v>
      </c>
      <c r="G35" s="149" t="str">
        <f t="shared" si="1"/>
        <v>🔴 ناقص</v>
      </c>
      <c r="H35" s="167" t="str">
        <f t="shared" si="2"/>
        <v>🔴 غير جاهزة</v>
      </c>
    </row>
    <row r="36" spans="2:8" ht="21.75" customHeight="1" x14ac:dyDescent="0.35">
      <c r="B36" s="17" t="s">
        <v>102</v>
      </c>
      <c r="C36" s="181" t="s">
        <v>550</v>
      </c>
      <c r="D36" s="231">
        <f>IFERROR('🏗️ جاهزية المحطة — 7 بنود'!N32,"")</f>
        <v>0</v>
      </c>
      <c r="E36" s="232">
        <f>IFERROR('🔴 معايير السلامة — 7 بنود'!N32,"")</f>
        <v>0</v>
      </c>
      <c r="F36" s="149" t="str">
        <f t="shared" si="0"/>
        <v>🔴 لم تبدأ</v>
      </c>
      <c r="G36" s="149" t="str">
        <f t="shared" si="1"/>
        <v>🔴 ناقص</v>
      </c>
      <c r="H36" s="167" t="str">
        <f t="shared" si="2"/>
        <v>🔴 غير جاهزة</v>
      </c>
    </row>
    <row r="37" spans="2:8" ht="21.75" customHeight="1" x14ac:dyDescent="0.35">
      <c r="B37" s="24" t="s">
        <v>105</v>
      </c>
      <c r="C37" s="181" t="s">
        <v>551</v>
      </c>
      <c r="D37" s="231">
        <f>IFERROR('🏗️ جاهزية المحطة — 7 بنود'!N33,"")</f>
        <v>0</v>
      </c>
      <c r="E37" s="232">
        <f>IFERROR('🔴 معايير السلامة — 7 بنود'!N33,"")</f>
        <v>0</v>
      </c>
      <c r="F37" s="149" t="str">
        <f t="shared" si="0"/>
        <v>🔴 لم تبدأ</v>
      </c>
      <c r="G37" s="149" t="str">
        <f t="shared" si="1"/>
        <v>🔴 ناقص</v>
      </c>
      <c r="H37" s="167" t="str">
        <f t="shared" si="2"/>
        <v>🔴 غير جاهزة</v>
      </c>
    </row>
    <row r="38" spans="2:8" ht="21.75" customHeight="1" x14ac:dyDescent="0.35">
      <c r="B38" s="17" t="s">
        <v>108</v>
      </c>
      <c r="C38" s="181" t="s">
        <v>552</v>
      </c>
      <c r="D38" s="231">
        <f>IFERROR('🏗️ جاهزية المحطة — 7 بنود'!N34,"")</f>
        <v>0</v>
      </c>
      <c r="E38" s="232">
        <f>IFERROR('🔴 معايير السلامة — 7 بنود'!N34,"")</f>
        <v>0</v>
      </c>
      <c r="F38" s="149" t="str">
        <f t="shared" si="0"/>
        <v>🔴 لم تبدأ</v>
      </c>
      <c r="G38" s="149" t="str">
        <f t="shared" si="1"/>
        <v>🔴 ناقص</v>
      </c>
      <c r="H38" s="167" t="str">
        <f t="shared" si="2"/>
        <v>🔴 غير جاهزة</v>
      </c>
    </row>
    <row r="39" spans="2:8" ht="21.75" customHeight="1" x14ac:dyDescent="0.35">
      <c r="B39" s="24" t="s">
        <v>111</v>
      </c>
      <c r="C39" s="181" t="s">
        <v>553</v>
      </c>
      <c r="D39" s="231">
        <f>IFERROR('🏗️ جاهزية المحطة — 7 بنود'!N35,"")</f>
        <v>0</v>
      </c>
      <c r="E39" s="232">
        <f>IFERROR('🔴 معايير السلامة — 7 بنود'!N35,"")</f>
        <v>0</v>
      </c>
      <c r="F39" s="149" t="str">
        <f t="shared" si="0"/>
        <v>🔴 لم تبدأ</v>
      </c>
      <c r="G39" s="149" t="str">
        <f t="shared" si="1"/>
        <v>🔴 ناقص</v>
      </c>
      <c r="H39" s="167" t="str">
        <f t="shared" si="2"/>
        <v>🔴 غير جاهزة</v>
      </c>
    </row>
    <row r="40" spans="2:8" ht="21.75" customHeight="1" x14ac:dyDescent="0.35">
      <c r="B40" s="17" t="s">
        <v>114</v>
      </c>
      <c r="C40" s="181" t="s">
        <v>554</v>
      </c>
      <c r="D40" s="231">
        <f>IFERROR('🏗️ جاهزية المحطة — 7 بنود'!N36,"")</f>
        <v>0</v>
      </c>
      <c r="E40" s="232">
        <f>IFERROR('🔴 معايير السلامة — 7 بنود'!N36,"")</f>
        <v>0</v>
      </c>
      <c r="F40" s="149" t="str">
        <f t="shared" si="0"/>
        <v>🔴 لم تبدأ</v>
      </c>
      <c r="G40" s="149" t="str">
        <f t="shared" si="1"/>
        <v>🔴 ناقص</v>
      </c>
      <c r="H40" s="167" t="str">
        <f t="shared" si="2"/>
        <v>🔴 غير جاهزة</v>
      </c>
    </row>
    <row r="41" spans="2:8" ht="21.75" customHeight="1" x14ac:dyDescent="0.35">
      <c r="B41" s="24" t="s">
        <v>117</v>
      </c>
      <c r="C41" s="181" t="s">
        <v>555</v>
      </c>
      <c r="D41" s="231">
        <f>IFERROR('🏗️ جاهزية المحطة — 7 بنود'!N37,"")</f>
        <v>0</v>
      </c>
      <c r="E41" s="232">
        <f>IFERROR('🔴 معايير السلامة — 7 بنود'!N37,"")</f>
        <v>0</v>
      </c>
      <c r="F41" s="149" t="str">
        <f t="shared" si="0"/>
        <v>🔴 لم تبدأ</v>
      </c>
      <c r="G41" s="149" t="str">
        <f t="shared" si="1"/>
        <v>🔴 ناقص</v>
      </c>
      <c r="H41" s="167" t="str">
        <f t="shared" si="2"/>
        <v>🔴 غير جاهزة</v>
      </c>
    </row>
    <row r="42" spans="2:8" ht="21.75" customHeight="1" x14ac:dyDescent="0.35">
      <c r="B42" s="17" t="s">
        <v>120</v>
      </c>
      <c r="C42" s="181" t="s">
        <v>556</v>
      </c>
      <c r="D42" s="231">
        <f>IFERROR('🏗️ جاهزية المحطة — 7 بنود'!N38,"")</f>
        <v>0</v>
      </c>
      <c r="E42" s="232">
        <f>IFERROR('🔴 معايير السلامة — 7 بنود'!N38,"")</f>
        <v>0</v>
      </c>
      <c r="F42" s="149" t="str">
        <f t="shared" si="0"/>
        <v>🔴 لم تبدأ</v>
      </c>
      <c r="G42" s="149" t="str">
        <f t="shared" si="1"/>
        <v>🔴 ناقص</v>
      </c>
      <c r="H42" s="167" t="str">
        <f t="shared" si="2"/>
        <v>🔴 غير جاهزة</v>
      </c>
    </row>
    <row r="43" spans="2:8" ht="21.75" customHeight="1" x14ac:dyDescent="0.35">
      <c r="B43" s="24" t="s">
        <v>123</v>
      </c>
      <c r="C43" s="181" t="s">
        <v>557</v>
      </c>
      <c r="D43" s="231">
        <f>IFERROR('🏗️ جاهزية المحطة — 7 بنود'!N39,"")</f>
        <v>0</v>
      </c>
      <c r="E43" s="232">
        <f>IFERROR('🔴 معايير السلامة — 7 بنود'!N39,"")</f>
        <v>0</v>
      </c>
      <c r="F43" s="149" t="str">
        <f t="shared" si="0"/>
        <v>🔴 لم تبدأ</v>
      </c>
      <c r="G43" s="149" t="str">
        <f t="shared" si="1"/>
        <v>🔴 ناقص</v>
      </c>
      <c r="H43" s="167" t="str">
        <f t="shared" si="2"/>
        <v>🔴 غير جاهزة</v>
      </c>
    </row>
    <row r="44" spans="2:8" ht="21.75" customHeight="1" x14ac:dyDescent="0.35">
      <c r="B44" s="17" t="s">
        <v>126</v>
      </c>
      <c r="C44" s="181" t="s">
        <v>558</v>
      </c>
      <c r="D44" s="231">
        <f>IFERROR('🏗️ جاهزية المحطة — 7 بنود'!N40,"")</f>
        <v>0</v>
      </c>
      <c r="E44" s="232">
        <f>IFERROR('🔴 معايير السلامة — 7 بنود'!N40,"")</f>
        <v>0</v>
      </c>
      <c r="F44" s="149" t="str">
        <f t="shared" ref="F44:F75" si="3">IF(D44="","—",IF(D44=1,"✅ جاهزة",IF(D44&gt;=0.71,"🟡 تكتمل","🔴 لم تبدأ")))</f>
        <v>🔴 لم تبدأ</v>
      </c>
      <c r="G44" s="149" t="str">
        <f t="shared" ref="G44:G75" si="4">IF(E44="","—",IF(E44=1,"✅ آمنة",IF(E44&gt;=0.71,"🟡 تكتمل","🔴 ناقص")))</f>
        <v>🔴 ناقص</v>
      </c>
      <c r="H44" s="167" t="str">
        <f t="shared" ref="H44:H75" si="5">IF(AND(D44=1,E44=1),"🟢 مُوصى بالافتتاح",IF(OR(D44="",E44=""),"⚪ لم يُقيَّم",IF(AND(D44&gt;=0.71,E44&gt;=0.71),"🟡 قريب من الجاهزية","🔴 غير جاهزة")))</f>
        <v>🔴 غير جاهزة</v>
      </c>
    </row>
    <row r="45" spans="2:8" ht="21.75" customHeight="1" x14ac:dyDescent="0.35">
      <c r="B45" s="24" t="s">
        <v>129</v>
      </c>
      <c r="C45" s="181" t="s">
        <v>559</v>
      </c>
      <c r="D45" s="231">
        <f>IFERROR('🏗️ جاهزية المحطة — 7 بنود'!N41,"")</f>
        <v>0</v>
      </c>
      <c r="E45" s="232">
        <f>IFERROR('🔴 معايير السلامة — 7 بنود'!N41,"")</f>
        <v>0</v>
      </c>
      <c r="F45" s="149" t="str">
        <f t="shared" si="3"/>
        <v>🔴 لم تبدأ</v>
      </c>
      <c r="G45" s="149" t="str">
        <f t="shared" si="4"/>
        <v>🔴 ناقص</v>
      </c>
      <c r="H45" s="167" t="str">
        <f t="shared" si="5"/>
        <v>🔴 غير جاهزة</v>
      </c>
    </row>
    <row r="46" spans="2:8" ht="21.75" customHeight="1" x14ac:dyDescent="0.35">
      <c r="B46" s="17" t="s">
        <v>132</v>
      </c>
      <c r="C46" s="181" t="s">
        <v>560</v>
      </c>
      <c r="D46" s="231">
        <f>IFERROR('🏗️ جاهزية المحطة — 7 بنود'!N42,"")</f>
        <v>0</v>
      </c>
      <c r="E46" s="232">
        <f>IFERROR('🔴 معايير السلامة — 7 بنود'!N42,"")</f>
        <v>0</v>
      </c>
      <c r="F46" s="149" t="str">
        <f t="shared" si="3"/>
        <v>🔴 لم تبدأ</v>
      </c>
      <c r="G46" s="149" t="str">
        <f t="shared" si="4"/>
        <v>🔴 ناقص</v>
      </c>
      <c r="H46" s="167" t="str">
        <f t="shared" si="5"/>
        <v>🔴 غير جاهزة</v>
      </c>
    </row>
    <row r="47" spans="2:8" ht="21.75" customHeight="1" x14ac:dyDescent="0.35">
      <c r="B47" s="24" t="s">
        <v>136</v>
      </c>
      <c r="C47" s="181" t="s">
        <v>562</v>
      </c>
      <c r="D47" s="231">
        <f>IFERROR('🏗️ جاهزية المحطة — 7 بنود'!N43,"")</f>
        <v>0</v>
      </c>
      <c r="E47" s="232">
        <f>IFERROR('🔴 معايير السلامة — 7 بنود'!N43,"")</f>
        <v>0</v>
      </c>
      <c r="F47" s="149" t="str">
        <f t="shared" si="3"/>
        <v>🔴 لم تبدأ</v>
      </c>
      <c r="G47" s="149" t="str">
        <f t="shared" si="4"/>
        <v>🔴 ناقص</v>
      </c>
      <c r="H47" s="167" t="str">
        <f t="shared" si="5"/>
        <v>🔴 غير جاهزة</v>
      </c>
    </row>
    <row r="48" spans="2:8" ht="21.75" customHeight="1" x14ac:dyDescent="0.35">
      <c r="B48" s="17" t="s">
        <v>139</v>
      </c>
      <c r="C48" s="181" t="s">
        <v>563</v>
      </c>
      <c r="D48" s="231">
        <f>IFERROR('🏗️ جاهزية المحطة — 7 بنود'!N44,"")</f>
        <v>0</v>
      </c>
      <c r="E48" s="232">
        <f>IFERROR('🔴 معايير السلامة — 7 بنود'!N44,"")</f>
        <v>0</v>
      </c>
      <c r="F48" s="149" t="str">
        <f t="shared" si="3"/>
        <v>🔴 لم تبدأ</v>
      </c>
      <c r="G48" s="149" t="str">
        <f t="shared" si="4"/>
        <v>🔴 ناقص</v>
      </c>
      <c r="H48" s="167" t="str">
        <f t="shared" si="5"/>
        <v>🔴 غير جاهزة</v>
      </c>
    </row>
    <row r="49" spans="2:8" ht="21.75" customHeight="1" x14ac:dyDescent="0.35">
      <c r="B49" s="24" t="s">
        <v>142</v>
      </c>
      <c r="C49" s="181" t="s">
        <v>564</v>
      </c>
      <c r="D49" s="231">
        <f>IFERROR('🏗️ جاهزية المحطة — 7 بنود'!N45,"")</f>
        <v>0</v>
      </c>
      <c r="E49" s="232">
        <f>IFERROR('🔴 معايير السلامة — 7 بنود'!N45,"")</f>
        <v>0</v>
      </c>
      <c r="F49" s="149" t="str">
        <f t="shared" si="3"/>
        <v>🔴 لم تبدأ</v>
      </c>
      <c r="G49" s="149" t="str">
        <f t="shared" si="4"/>
        <v>🔴 ناقص</v>
      </c>
      <c r="H49" s="167" t="str">
        <f t="shared" si="5"/>
        <v>🔴 غير جاهزة</v>
      </c>
    </row>
    <row r="50" spans="2:8" ht="21.75" customHeight="1" x14ac:dyDescent="0.35">
      <c r="B50" s="17" t="s">
        <v>145</v>
      </c>
      <c r="C50" s="181" t="s">
        <v>565</v>
      </c>
      <c r="D50" s="231">
        <f>IFERROR('🏗️ جاهزية المحطة — 7 بنود'!N46,"")</f>
        <v>0</v>
      </c>
      <c r="E50" s="232">
        <f>IFERROR('🔴 معايير السلامة — 7 بنود'!N46,"")</f>
        <v>0</v>
      </c>
      <c r="F50" s="149" t="str">
        <f t="shared" si="3"/>
        <v>🔴 لم تبدأ</v>
      </c>
      <c r="G50" s="149" t="str">
        <f t="shared" si="4"/>
        <v>🔴 ناقص</v>
      </c>
      <c r="H50" s="167" t="str">
        <f t="shared" si="5"/>
        <v>🔴 غير جاهزة</v>
      </c>
    </row>
    <row r="51" spans="2:8" ht="21.75" customHeight="1" x14ac:dyDescent="0.35">
      <c r="B51" s="24" t="s">
        <v>148</v>
      </c>
      <c r="C51" s="181" t="s">
        <v>566</v>
      </c>
      <c r="D51" s="231">
        <f>IFERROR('🏗️ جاهزية المحطة — 7 بنود'!N47,"")</f>
        <v>0</v>
      </c>
      <c r="E51" s="232">
        <f>IFERROR('🔴 معايير السلامة — 7 بنود'!N47,"")</f>
        <v>0</v>
      </c>
      <c r="F51" s="149" t="str">
        <f t="shared" si="3"/>
        <v>🔴 لم تبدأ</v>
      </c>
      <c r="G51" s="149" t="str">
        <f t="shared" si="4"/>
        <v>🔴 ناقص</v>
      </c>
      <c r="H51" s="167" t="str">
        <f t="shared" si="5"/>
        <v>🔴 غير جاهزة</v>
      </c>
    </row>
    <row r="52" spans="2:8" ht="21.75" customHeight="1" x14ac:dyDescent="0.35">
      <c r="B52" s="17" t="s">
        <v>151</v>
      </c>
      <c r="C52" s="181" t="s">
        <v>567</v>
      </c>
      <c r="D52" s="231">
        <f>IFERROR('🏗️ جاهزية المحطة — 7 بنود'!N48,"")</f>
        <v>0</v>
      </c>
      <c r="E52" s="232">
        <f>IFERROR('🔴 معايير السلامة — 7 بنود'!N48,"")</f>
        <v>0</v>
      </c>
      <c r="F52" s="149" t="str">
        <f t="shared" si="3"/>
        <v>🔴 لم تبدأ</v>
      </c>
      <c r="G52" s="149" t="str">
        <f t="shared" si="4"/>
        <v>🔴 ناقص</v>
      </c>
      <c r="H52" s="167" t="str">
        <f t="shared" si="5"/>
        <v>🔴 غير جاهزة</v>
      </c>
    </row>
    <row r="53" spans="2:8" ht="21.75" customHeight="1" x14ac:dyDescent="0.35">
      <c r="B53" s="24" t="s">
        <v>154</v>
      </c>
      <c r="C53" s="181" t="s">
        <v>568</v>
      </c>
      <c r="D53" s="231">
        <f>IFERROR('🏗️ جاهزية المحطة — 7 بنود'!N49,"")</f>
        <v>0</v>
      </c>
      <c r="E53" s="232">
        <f>IFERROR('🔴 معايير السلامة — 7 بنود'!N49,"")</f>
        <v>0</v>
      </c>
      <c r="F53" s="149" t="str">
        <f t="shared" si="3"/>
        <v>🔴 لم تبدأ</v>
      </c>
      <c r="G53" s="149" t="str">
        <f t="shared" si="4"/>
        <v>🔴 ناقص</v>
      </c>
      <c r="H53" s="167" t="str">
        <f t="shared" si="5"/>
        <v>🔴 غير جاهزة</v>
      </c>
    </row>
    <row r="54" spans="2:8" ht="21.75" customHeight="1" x14ac:dyDescent="0.35">
      <c r="B54" s="17" t="s">
        <v>157</v>
      </c>
      <c r="C54" s="181" t="s">
        <v>569</v>
      </c>
      <c r="D54" s="231">
        <f>IFERROR('🏗️ جاهزية المحطة — 7 بنود'!N50,"")</f>
        <v>0</v>
      </c>
      <c r="E54" s="232">
        <f>IFERROR('🔴 معايير السلامة — 7 بنود'!N50,"")</f>
        <v>0</v>
      </c>
      <c r="F54" s="149" t="str">
        <f t="shared" si="3"/>
        <v>🔴 لم تبدأ</v>
      </c>
      <c r="G54" s="149" t="str">
        <f t="shared" si="4"/>
        <v>🔴 ناقص</v>
      </c>
      <c r="H54" s="167" t="str">
        <f t="shared" si="5"/>
        <v>🔴 غير جاهزة</v>
      </c>
    </row>
    <row r="55" spans="2:8" ht="21.75" customHeight="1" x14ac:dyDescent="0.35">
      <c r="B55" s="24" t="s">
        <v>160</v>
      </c>
      <c r="C55" s="181" t="s">
        <v>570</v>
      </c>
      <c r="D55" s="231">
        <f>IFERROR('🏗️ جاهزية المحطة — 7 بنود'!N51,"")</f>
        <v>0</v>
      </c>
      <c r="E55" s="232">
        <f>IFERROR('🔴 معايير السلامة — 7 بنود'!N51,"")</f>
        <v>0</v>
      </c>
      <c r="F55" s="149" t="str">
        <f t="shared" si="3"/>
        <v>🔴 لم تبدأ</v>
      </c>
      <c r="G55" s="149" t="str">
        <f t="shared" si="4"/>
        <v>🔴 ناقص</v>
      </c>
      <c r="H55" s="167" t="str">
        <f t="shared" si="5"/>
        <v>🔴 غير جاهزة</v>
      </c>
    </row>
    <row r="56" spans="2:8" ht="21.75" customHeight="1" x14ac:dyDescent="0.35">
      <c r="B56" s="17" t="s">
        <v>163</v>
      </c>
      <c r="C56" s="181" t="s">
        <v>571</v>
      </c>
      <c r="D56" s="231">
        <f>IFERROR('🏗️ جاهزية المحطة — 7 بنود'!N52,"")</f>
        <v>0</v>
      </c>
      <c r="E56" s="232">
        <f>IFERROR('🔴 معايير السلامة — 7 بنود'!N52,"")</f>
        <v>0</v>
      </c>
      <c r="F56" s="149" t="str">
        <f t="shared" si="3"/>
        <v>🔴 لم تبدأ</v>
      </c>
      <c r="G56" s="149" t="str">
        <f t="shared" si="4"/>
        <v>🔴 ناقص</v>
      </c>
      <c r="H56" s="167" t="str">
        <f t="shared" si="5"/>
        <v>🔴 غير جاهزة</v>
      </c>
    </row>
    <row r="57" spans="2:8" ht="21.75" customHeight="1" x14ac:dyDescent="0.35">
      <c r="B57" s="24" t="s">
        <v>166</v>
      </c>
      <c r="C57" s="181" t="s">
        <v>572</v>
      </c>
      <c r="D57" s="231">
        <f>IFERROR('🏗️ جاهزية المحطة — 7 بنود'!N53,"")</f>
        <v>0</v>
      </c>
      <c r="E57" s="232">
        <f>IFERROR('🔴 معايير السلامة — 7 بنود'!N53,"")</f>
        <v>0</v>
      </c>
      <c r="F57" s="149" t="str">
        <f t="shared" si="3"/>
        <v>🔴 لم تبدأ</v>
      </c>
      <c r="G57" s="149" t="str">
        <f t="shared" si="4"/>
        <v>🔴 ناقص</v>
      </c>
      <c r="H57" s="167" t="str">
        <f t="shared" si="5"/>
        <v>🔴 غير جاهزة</v>
      </c>
    </row>
    <row r="58" spans="2:8" ht="21.75" customHeight="1" x14ac:dyDescent="0.35">
      <c r="B58" s="17" t="s">
        <v>202</v>
      </c>
      <c r="C58" s="181" t="s">
        <v>573</v>
      </c>
      <c r="D58" s="231">
        <f>IFERROR('🏗️ جاهزية المحطة — 7 بنود'!N54,"")</f>
        <v>0</v>
      </c>
      <c r="E58" s="232">
        <f>IFERROR('🔴 معايير السلامة — 7 بنود'!N54,"")</f>
        <v>0</v>
      </c>
      <c r="F58" s="149" t="str">
        <f t="shared" si="3"/>
        <v>🔴 لم تبدأ</v>
      </c>
      <c r="G58" s="149" t="str">
        <f t="shared" si="4"/>
        <v>🔴 ناقص</v>
      </c>
      <c r="H58" s="167" t="str">
        <f t="shared" si="5"/>
        <v>🔴 غير جاهزة</v>
      </c>
    </row>
    <row r="59" spans="2:8" ht="21.75" customHeight="1" x14ac:dyDescent="0.35">
      <c r="B59" s="24" t="s">
        <v>169</v>
      </c>
      <c r="C59" s="181" t="s">
        <v>574</v>
      </c>
      <c r="D59" s="231">
        <f>IFERROR('🏗️ جاهزية المحطة — 7 بنود'!N55,"")</f>
        <v>0</v>
      </c>
      <c r="E59" s="232">
        <f>IFERROR('🔴 معايير السلامة — 7 بنود'!N55,"")</f>
        <v>0</v>
      </c>
      <c r="F59" s="149" t="str">
        <f t="shared" si="3"/>
        <v>🔴 لم تبدأ</v>
      </c>
      <c r="G59" s="149" t="str">
        <f t="shared" si="4"/>
        <v>🔴 ناقص</v>
      </c>
      <c r="H59" s="167" t="str">
        <f t="shared" si="5"/>
        <v>🔴 غير جاهزة</v>
      </c>
    </row>
    <row r="60" spans="2:8" ht="21.75" customHeight="1" x14ac:dyDescent="0.35">
      <c r="B60" s="17" t="s">
        <v>172</v>
      </c>
      <c r="C60" s="181" t="s">
        <v>575</v>
      </c>
      <c r="D60" s="231">
        <f>IFERROR('🏗️ جاهزية المحطة — 7 بنود'!N56,"")</f>
        <v>0</v>
      </c>
      <c r="E60" s="232">
        <f>IFERROR('🔴 معايير السلامة — 7 بنود'!N56,"")</f>
        <v>0</v>
      </c>
      <c r="F60" s="149" t="str">
        <f t="shared" si="3"/>
        <v>🔴 لم تبدأ</v>
      </c>
      <c r="G60" s="149" t="str">
        <f t="shared" si="4"/>
        <v>🔴 ناقص</v>
      </c>
      <c r="H60" s="167" t="str">
        <f t="shared" si="5"/>
        <v>🔴 غير جاهزة</v>
      </c>
    </row>
    <row r="61" spans="2:8" ht="21.75" customHeight="1" x14ac:dyDescent="0.35">
      <c r="B61" s="24" t="s">
        <v>174</v>
      </c>
      <c r="C61" s="181" t="s">
        <v>576</v>
      </c>
      <c r="D61" s="231">
        <f>IFERROR('🏗️ جاهزية المحطة — 7 بنود'!N57,"")</f>
        <v>0</v>
      </c>
      <c r="E61" s="232">
        <f>IFERROR('🔴 معايير السلامة — 7 بنود'!N57,"")</f>
        <v>0</v>
      </c>
      <c r="F61" s="149" t="str">
        <f t="shared" si="3"/>
        <v>🔴 لم تبدأ</v>
      </c>
      <c r="G61" s="149" t="str">
        <f t="shared" si="4"/>
        <v>🔴 ناقص</v>
      </c>
      <c r="H61" s="167" t="str">
        <f t="shared" si="5"/>
        <v>🔴 غير جاهزة</v>
      </c>
    </row>
    <row r="62" spans="2:8" ht="21.75" customHeight="1" x14ac:dyDescent="0.35">
      <c r="B62" s="17" t="s">
        <v>176</v>
      </c>
      <c r="C62" s="181" t="s">
        <v>577</v>
      </c>
      <c r="D62" s="231">
        <f>IFERROR('🏗️ جاهزية المحطة — 7 بنود'!N58,"")</f>
        <v>0</v>
      </c>
      <c r="E62" s="232">
        <f>IFERROR('🔴 معايير السلامة — 7 بنود'!N58,"")</f>
        <v>0</v>
      </c>
      <c r="F62" s="149" t="str">
        <f t="shared" si="3"/>
        <v>🔴 لم تبدأ</v>
      </c>
      <c r="G62" s="149" t="str">
        <f t="shared" si="4"/>
        <v>🔴 ناقص</v>
      </c>
      <c r="H62" s="167" t="str">
        <f t="shared" si="5"/>
        <v>🔴 غير جاهزة</v>
      </c>
    </row>
    <row r="63" spans="2:8" ht="21.75" customHeight="1" x14ac:dyDescent="0.35">
      <c r="B63" s="24" t="s">
        <v>178</v>
      </c>
      <c r="C63" s="181" t="s">
        <v>578</v>
      </c>
      <c r="D63" s="231">
        <f>IFERROR('🏗️ جاهزية المحطة — 7 بنود'!N59,"")</f>
        <v>0</v>
      </c>
      <c r="E63" s="232">
        <f>IFERROR('🔴 معايير السلامة — 7 بنود'!N59,"")</f>
        <v>0</v>
      </c>
      <c r="F63" s="149" t="str">
        <f t="shared" si="3"/>
        <v>🔴 لم تبدأ</v>
      </c>
      <c r="G63" s="149" t="str">
        <f t="shared" si="4"/>
        <v>🔴 ناقص</v>
      </c>
      <c r="H63" s="167" t="str">
        <f t="shared" si="5"/>
        <v>🔴 غير جاهزة</v>
      </c>
    </row>
    <row r="64" spans="2:8" ht="21.75" customHeight="1" x14ac:dyDescent="0.35">
      <c r="B64" s="17" t="s">
        <v>181</v>
      </c>
      <c r="C64" s="181" t="s">
        <v>580</v>
      </c>
      <c r="D64" s="231">
        <f>IFERROR('🏗️ جاهزية المحطة — 7 بنود'!N60,"")</f>
        <v>0</v>
      </c>
      <c r="E64" s="232">
        <f>IFERROR('🔴 معايير السلامة — 7 بنود'!N60,"")</f>
        <v>0</v>
      </c>
      <c r="F64" s="149" t="str">
        <f t="shared" si="3"/>
        <v>🔴 لم تبدأ</v>
      </c>
      <c r="G64" s="149" t="str">
        <f t="shared" si="4"/>
        <v>🔴 ناقص</v>
      </c>
      <c r="H64" s="167" t="str">
        <f t="shared" si="5"/>
        <v>🔴 غير جاهزة</v>
      </c>
    </row>
    <row r="65" spans="2:8" ht="21.75" customHeight="1" x14ac:dyDescent="0.35">
      <c r="B65" s="24" t="s">
        <v>183</v>
      </c>
      <c r="C65" s="181" t="s">
        <v>581</v>
      </c>
      <c r="D65" s="231">
        <f>IFERROR('🏗️ جاهزية المحطة — 7 بنود'!N61,"")</f>
        <v>0</v>
      </c>
      <c r="E65" s="232">
        <f>IFERROR('🔴 معايير السلامة — 7 بنود'!N61,"")</f>
        <v>0</v>
      </c>
      <c r="F65" s="149" t="str">
        <f t="shared" si="3"/>
        <v>🔴 لم تبدأ</v>
      </c>
      <c r="G65" s="149" t="str">
        <f t="shared" si="4"/>
        <v>🔴 ناقص</v>
      </c>
      <c r="H65" s="167" t="str">
        <f t="shared" si="5"/>
        <v>🔴 غير جاهزة</v>
      </c>
    </row>
    <row r="66" spans="2:8" ht="21.75" customHeight="1" x14ac:dyDescent="0.35">
      <c r="B66" s="17" t="s">
        <v>214</v>
      </c>
      <c r="C66" s="181" t="s">
        <v>582</v>
      </c>
      <c r="D66" s="231">
        <f>IFERROR('🏗️ جاهزية المحطة — 7 بنود'!N62,"")</f>
        <v>0</v>
      </c>
      <c r="E66" s="232">
        <f>IFERROR('🔴 معايير السلامة — 7 بنود'!N62,"")</f>
        <v>0</v>
      </c>
      <c r="F66" s="149" t="str">
        <f t="shared" si="3"/>
        <v>🔴 لم تبدأ</v>
      </c>
      <c r="G66" s="149" t="str">
        <f t="shared" si="4"/>
        <v>🔴 ناقص</v>
      </c>
      <c r="H66" s="167" t="str">
        <f t="shared" si="5"/>
        <v>🔴 غير جاهزة</v>
      </c>
    </row>
    <row r="67" spans="2:8" ht="21.75" customHeight="1" x14ac:dyDescent="0.35">
      <c r="B67" s="192" t="s">
        <v>215</v>
      </c>
      <c r="C67" s="193" t="s">
        <v>583</v>
      </c>
      <c r="D67" s="231">
        <f>IFERROR('🏗️ جاهزية المحطة — 7 بنود'!N63,"")</f>
        <v>0</v>
      </c>
      <c r="E67" s="232">
        <f>IFERROR('🔴 معايير السلامة — 7 بنود'!N63,"")</f>
        <v>0</v>
      </c>
      <c r="F67" s="149" t="str">
        <f t="shared" si="3"/>
        <v>🔴 لم تبدأ</v>
      </c>
      <c r="G67" s="149" t="str">
        <f t="shared" si="4"/>
        <v>🔴 ناقص</v>
      </c>
      <c r="H67" s="167" t="str">
        <f t="shared" si="5"/>
        <v>🔴 غير جاهزة</v>
      </c>
    </row>
    <row r="68" spans="2:8" ht="21.75" customHeight="1" x14ac:dyDescent="0.35">
      <c r="B68" s="192" t="s">
        <v>216</v>
      </c>
      <c r="C68" s="193" t="s">
        <v>584</v>
      </c>
      <c r="D68" s="231">
        <f>IFERROR('🏗️ جاهزية المحطة — 7 بنود'!N64,"")</f>
        <v>0</v>
      </c>
      <c r="E68" s="232">
        <f>IFERROR('🔴 معايير السلامة — 7 بنود'!N64,"")</f>
        <v>0</v>
      </c>
      <c r="F68" s="149" t="str">
        <f t="shared" si="3"/>
        <v>🔴 لم تبدأ</v>
      </c>
      <c r="G68" s="149" t="str">
        <f t="shared" si="4"/>
        <v>🔴 ناقص</v>
      </c>
      <c r="H68" s="167" t="str">
        <f t="shared" si="5"/>
        <v>🔴 غير جاهزة</v>
      </c>
    </row>
    <row r="69" spans="2:8" ht="21.75" customHeight="1" x14ac:dyDescent="0.35">
      <c r="B69" s="192" t="s">
        <v>217</v>
      </c>
      <c r="C69" s="193" t="s">
        <v>585</v>
      </c>
      <c r="D69" s="231">
        <f>IFERROR('🏗️ جاهزية المحطة — 7 بنود'!N65,"")</f>
        <v>0</v>
      </c>
      <c r="E69" s="232">
        <f>IFERROR('🔴 معايير السلامة — 7 بنود'!N65,"")</f>
        <v>0</v>
      </c>
      <c r="F69" s="149" t="str">
        <f t="shared" si="3"/>
        <v>🔴 لم تبدأ</v>
      </c>
      <c r="G69" s="149" t="str">
        <f t="shared" si="4"/>
        <v>🔴 ناقص</v>
      </c>
      <c r="H69" s="167" t="str">
        <f t="shared" si="5"/>
        <v>🔴 غير جاهزة</v>
      </c>
    </row>
    <row r="70" spans="2:8" ht="21.75" customHeight="1" x14ac:dyDescent="0.35">
      <c r="B70" s="192" t="s">
        <v>218</v>
      </c>
      <c r="C70" s="193" t="s">
        <v>586</v>
      </c>
      <c r="D70" s="231">
        <f>IFERROR('🏗️ جاهزية المحطة — 7 بنود'!N66,"")</f>
        <v>0</v>
      </c>
      <c r="E70" s="232">
        <f>IFERROR('🔴 معايير السلامة — 7 بنود'!N66,"")</f>
        <v>0</v>
      </c>
      <c r="F70" s="149" t="str">
        <f t="shared" si="3"/>
        <v>🔴 لم تبدأ</v>
      </c>
      <c r="G70" s="149" t="str">
        <f t="shared" si="4"/>
        <v>🔴 ناقص</v>
      </c>
      <c r="H70" s="167" t="str">
        <f t="shared" si="5"/>
        <v>🔴 غير جاهزة</v>
      </c>
    </row>
    <row r="71" spans="2:8" ht="21.75" customHeight="1" x14ac:dyDescent="0.35">
      <c r="B71" s="192" t="s">
        <v>219</v>
      </c>
      <c r="C71" s="193" t="s">
        <v>587</v>
      </c>
      <c r="D71" s="231">
        <f>IFERROR('🏗️ جاهزية المحطة — 7 بنود'!N67,"")</f>
        <v>0</v>
      </c>
      <c r="E71" s="232">
        <f>IFERROR('🔴 معايير السلامة — 7 بنود'!N67,"")</f>
        <v>0</v>
      </c>
      <c r="F71" s="149" t="str">
        <f t="shared" si="3"/>
        <v>🔴 لم تبدأ</v>
      </c>
      <c r="G71" s="149" t="str">
        <f t="shared" si="4"/>
        <v>🔴 ناقص</v>
      </c>
      <c r="H71" s="167" t="str">
        <f t="shared" si="5"/>
        <v>🔴 غير جاهزة</v>
      </c>
    </row>
    <row r="72" spans="2:8" ht="21.75" customHeight="1" x14ac:dyDescent="0.35">
      <c r="B72" s="192" t="s">
        <v>220</v>
      </c>
      <c r="C72" s="193" t="s">
        <v>588</v>
      </c>
      <c r="D72" s="231">
        <f>IFERROR('🏗️ جاهزية المحطة — 7 بنود'!N68,"")</f>
        <v>0</v>
      </c>
      <c r="E72" s="232">
        <f>IFERROR('🔴 معايير السلامة — 7 بنود'!N68,"")</f>
        <v>0</v>
      </c>
      <c r="F72" s="149" t="str">
        <f t="shared" si="3"/>
        <v>🔴 لم تبدأ</v>
      </c>
      <c r="G72" s="149" t="str">
        <f t="shared" si="4"/>
        <v>🔴 ناقص</v>
      </c>
      <c r="H72" s="167" t="str">
        <f t="shared" si="5"/>
        <v>🔴 غير جاهزة</v>
      </c>
    </row>
    <row r="73" spans="2:8" ht="21.75" customHeight="1" x14ac:dyDescent="0.35">
      <c r="B73" s="192" t="s">
        <v>221</v>
      </c>
      <c r="C73" s="193" t="s">
        <v>589</v>
      </c>
      <c r="D73" s="231">
        <f>IFERROR('🏗️ جاهزية المحطة — 7 بنود'!N69,"")</f>
        <v>0</v>
      </c>
      <c r="E73" s="232">
        <f>IFERROR('🔴 معايير السلامة — 7 بنود'!N69,"")</f>
        <v>0</v>
      </c>
      <c r="F73" s="149" t="str">
        <f t="shared" si="3"/>
        <v>🔴 لم تبدأ</v>
      </c>
      <c r="G73" s="149" t="str">
        <f t="shared" si="4"/>
        <v>🔴 ناقص</v>
      </c>
      <c r="H73" s="167" t="str">
        <f t="shared" si="5"/>
        <v>🔴 غير جاهزة</v>
      </c>
    </row>
    <row r="74" spans="2:8" ht="21.75" customHeight="1" x14ac:dyDescent="0.35">
      <c r="B74" s="192" t="s">
        <v>222</v>
      </c>
      <c r="C74" s="193" t="s">
        <v>590</v>
      </c>
      <c r="D74" s="231">
        <f>IFERROR('🏗️ جاهزية المحطة — 7 بنود'!N70,"")</f>
        <v>0</v>
      </c>
      <c r="E74" s="232">
        <f>IFERROR('🔴 معايير السلامة — 7 بنود'!N70,"")</f>
        <v>0</v>
      </c>
      <c r="F74" s="149" t="str">
        <f t="shared" si="3"/>
        <v>🔴 لم تبدأ</v>
      </c>
      <c r="G74" s="149" t="str">
        <f t="shared" si="4"/>
        <v>🔴 ناقص</v>
      </c>
      <c r="H74" s="167" t="str">
        <f t="shared" si="5"/>
        <v>🔴 غير جاهزة</v>
      </c>
    </row>
    <row r="75" spans="2:8" ht="21.75" customHeight="1" x14ac:dyDescent="0.35">
      <c r="B75" s="192" t="s">
        <v>223</v>
      </c>
      <c r="C75" s="193" t="s">
        <v>591</v>
      </c>
      <c r="D75" s="231">
        <f>IFERROR('🏗️ جاهزية المحطة — 7 بنود'!N71,"")</f>
        <v>0</v>
      </c>
      <c r="E75" s="232">
        <f>IFERROR('🔴 معايير السلامة — 7 بنود'!N71,"")</f>
        <v>0</v>
      </c>
      <c r="F75" s="149" t="str">
        <f t="shared" si="3"/>
        <v>🔴 لم تبدأ</v>
      </c>
      <c r="G75" s="149" t="str">
        <f t="shared" si="4"/>
        <v>🔴 ناقص</v>
      </c>
      <c r="H75" s="167" t="str">
        <f t="shared" si="5"/>
        <v>🔴 غير جاهزة</v>
      </c>
    </row>
    <row r="76" spans="2:8" ht="21.75" customHeight="1" x14ac:dyDescent="0.35">
      <c r="B76" s="192" t="s">
        <v>224</v>
      </c>
      <c r="C76" s="193" t="s">
        <v>592</v>
      </c>
      <c r="D76" s="231">
        <f>IFERROR('🏗️ جاهزية المحطة — 7 بنود'!N72,"")</f>
        <v>0</v>
      </c>
      <c r="E76" s="232">
        <f>IFERROR('🔴 معايير السلامة — 7 بنود'!N72,"")</f>
        <v>0</v>
      </c>
      <c r="F76" s="149" t="str">
        <f t="shared" ref="F76:F96" si="6">IF(D76="","—",IF(D76=1,"✅ جاهزة",IF(D76&gt;=0.71,"🟡 تكتمل","🔴 لم تبدأ")))</f>
        <v>🔴 لم تبدأ</v>
      </c>
      <c r="G76" s="149" t="str">
        <f t="shared" ref="G76:G96" si="7">IF(E76="","—",IF(E76=1,"✅ آمنة",IF(E76&gt;=0.71,"🟡 تكتمل","🔴 ناقص")))</f>
        <v>🔴 ناقص</v>
      </c>
      <c r="H76" s="167" t="str">
        <f t="shared" ref="H76:H96" si="8">IF(AND(D76=1,E76=1),"🟢 مُوصى بالافتتاح",IF(OR(D76="",E76=""),"⚪ لم يُقيَّم",IF(AND(D76&gt;=0.71,E76&gt;=0.71),"🟡 قريب من الجاهزية","🔴 غير جاهزة")))</f>
        <v>🔴 غير جاهزة</v>
      </c>
    </row>
    <row r="77" spans="2:8" ht="21.75" customHeight="1" x14ac:dyDescent="0.35">
      <c r="B77" s="192" t="s">
        <v>225</v>
      </c>
      <c r="C77" s="193" t="s">
        <v>593</v>
      </c>
      <c r="D77" s="231">
        <f>IFERROR('🏗️ جاهزية المحطة — 7 بنود'!N73,"")</f>
        <v>0</v>
      </c>
      <c r="E77" s="232">
        <f>IFERROR('🔴 معايير السلامة — 7 بنود'!N73,"")</f>
        <v>0</v>
      </c>
      <c r="F77" s="149" t="str">
        <f t="shared" si="6"/>
        <v>🔴 لم تبدأ</v>
      </c>
      <c r="G77" s="149" t="str">
        <f t="shared" si="7"/>
        <v>🔴 ناقص</v>
      </c>
      <c r="H77" s="167" t="str">
        <f t="shared" si="8"/>
        <v>🔴 غير جاهزة</v>
      </c>
    </row>
    <row r="78" spans="2:8" ht="21.75" customHeight="1" x14ac:dyDescent="0.35">
      <c r="B78" s="192" t="s">
        <v>226</v>
      </c>
      <c r="C78" s="193" t="s">
        <v>594</v>
      </c>
      <c r="D78" s="231">
        <f>IFERROR('🏗️ جاهزية المحطة — 7 بنود'!N74,"")</f>
        <v>0</v>
      </c>
      <c r="E78" s="232">
        <f>IFERROR('🔴 معايير السلامة — 7 بنود'!N74,"")</f>
        <v>0</v>
      </c>
      <c r="F78" s="149" t="str">
        <f t="shared" si="6"/>
        <v>🔴 لم تبدأ</v>
      </c>
      <c r="G78" s="149" t="str">
        <f t="shared" si="7"/>
        <v>🔴 ناقص</v>
      </c>
      <c r="H78" s="167" t="str">
        <f t="shared" si="8"/>
        <v>🔴 غير جاهزة</v>
      </c>
    </row>
    <row r="79" spans="2:8" ht="21.75" customHeight="1" x14ac:dyDescent="0.35">
      <c r="B79" s="192" t="s">
        <v>227</v>
      </c>
      <c r="C79" s="193" t="s">
        <v>595</v>
      </c>
      <c r="D79" s="231">
        <f>IFERROR('🏗️ جاهزية المحطة — 7 بنود'!N75,"")</f>
        <v>0</v>
      </c>
      <c r="E79" s="232">
        <f>IFERROR('🔴 معايير السلامة — 7 بنود'!N75,"")</f>
        <v>0</v>
      </c>
      <c r="F79" s="149" t="str">
        <f t="shared" si="6"/>
        <v>🔴 لم تبدأ</v>
      </c>
      <c r="G79" s="149" t="str">
        <f t="shared" si="7"/>
        <v>🔴 ناقص</v>
      </c>
      <c r="H79" s="167" t="str">
        <f t="shared" si="8"/>
        <v>🔴 غير جاهزة</v>
      </c>
    </row>
    <row r="80" spans="2:8" ht="21.75" customHeight="1" x14ac:dyDescent="0.35">
      <c r="B80" s="192" t="s">
        <v>228</v>
      </c>
      <c r="C80" s="193" t="s">
        <v>596</v>
      </c>
      <c r="D80" s="231">
        <f>IFERROR('🏗️ جاهزية المحطة — 7 بنود'!N76,"")</f>
        <v>0</v>
      </c>
      <c r="E80" s="232">
        <f>IFERROR('🔴 معايير السلامة — 7 بنود'!N76,"")</f>
        <v>0</v>
      </c>
      <c r="F80" s="149" t="str">
        <f t="shared" si="6"/>
        <v>🔴 لم تبدأ</v>
      </c>
      <c r="G80" s="149" t="str">
        <f t="shared" si="7"/>
        <v>🔴 ناقص</v>
      </c>
      <c r="H80" s="167" t="str">
        <f t="shared" si="8"/>
        <v>🔴 غير جاهزة</v>
      </c>
    </row>
    <row r="81" spans="2:8" ht="21.75" customHeight="1" x14ac:dyDescent="0.35">
      <c r="B81" s="192" t="s">
        <v>229</v>
      </c>
      <c r="C81" s="193" t="s">
        <v>599</v>
      </c>
      <c r="D81" s="231">
        <f>IFERROR('🏗️ جاهزية المحطة — 7 بنود'!N77,"")</f>
        <v>0</v>
      </c>
      <c r="E81" s="232">
        <f>IFERROR('🔴 معايير السلامة — 7 بنود'!N77,"")</f>
        <v>0</v>
      </c>
      <c r="F81" s="149" t="str">
        <f t="shared" si="6"/>
        <v>🔴 لم تبدأ</v>
      </c>
      <c r="G81" s="149" t="str">
        <f t="shared" si="7"/>
        <v>🔴 ناقص</v>
      </c>
      <c r="H81" s="167" t="str">
        <f t="shared" si="8"/>
        <v>🔴 غير جاهزة</v>
      </c>
    </row>
    <row r="82" spans="2:8" ht="21.75" customHeight="1" x14ac:dyDescent="0.35">
      <c r="B82" s="192" t="s">
        <v>230</v>
      </c>
      <c r="C82" s="193" t="s">
        <v>600</v>
      </c>
      <c r="D82" s="231">
        <f>IFERROR('🏗️ جاهزية المحطة — 7 بنود'!N78,"")</f>
        <v>0</v>
      </c>
      <c r="E82" s="232">
        <f>IFERROR('🔴 معايير السلامة — 7 بنود'!N78,"")</f>
        <v>0</v>
      </c>
      <c r="F82" s="149" t="str">
        <f t="shared" si="6"/>
        <v>🔴 لم تبدأ</v>
      </c>
      <c r="G82" s="149" t="str">
        <f t="shared" si="7"/>
        <v>🔴 ناقص</v>
      </c>
      <c r="H82" s="167" t="str">
        <f t="shared" si="8"/>
        <v>🔴 غير جاهزة</v>
      </c>
    </row>
    <row r="83" spans="2:8" ht="21.75" customHeight="1" x14ac:dyDescent="0.35">
      <c r="B83" s="192" t="s">
        <v>231</v>
      </c>
      <c r="C83" s="193" t="s">
        <v>601</v>
      </c>
      <c r="D83" s="231">
        <f>IFERROR('🏗️ جاهزية المحطة — 7 بنود'!N79,"")</f>
        <v>0</v>
      </c>
      <c r="E83" s="232">
        <f>IFERROR('🔴 معايير السلامة — 7 بنود'!N79,"")</f>
        <v>0</v>
      </c>
      <c r="F83" s="149" t="str">
        <f t="shared" si="6"/>
        <v>🔴 لم تبدأ</v>
      </c>
      <c r="G83" s="149" t="str">
        <f t="shared" si="7"/>
        <v>🔴 ناقص</v>
      </c>
      <c r="H83" s="167" t="str">
        <f t="shared" si="8"/>
        <v>🔴 غير جاهزة</v>
      </c>
    </row>
    <row r="84" spans="2:8" ht="21.75" customHeight="1" x14ac:dyDescent="0.35">
      <c r="B84" s="192" t="s">
        <v>232</v>
      </c>
      <c r="C84" s="193" t="s">
        <v>602</v>
      </c>
      <c r="D84" s="231">
        <f>IFERROR('🏗️ جاهزية المحطة — 7 بنود'!N80,"")</f>
        <v>0</v>
      </c>
      <c r="E84" s="232">
        <f>IFERROR('🔴 معايير السلامة — 7 بنود'!N80,"")</f>
        <v>0</v>
      </c>
      <c r="F84" s="149" t="str">
        <f t="shared" si="6"/>
        <v>🔴 لم تبدأ</v>
      </c>
      <c r="G84" s="149" t="str">
        <f t="shared" si="7"/>
        <v>🔴 ناقص</v>
      </c>
      <c r="H84" s="167" t="str">
        <f t="shared" si="8"/>
        <v>🔴 غير جاهزة</v>
      </c>
    </row>
    <row r="85" spans="2:8" ht="21.75" customHeight="1" x14ac:dyDescent="0.35">
      <c r="B85" s="192" t="s">
        <v>233</v>
      </c>
      <c r="C85" s="193" t="s">
        <v>603</v>
      </c>
      <c r="D85" s="231">
        <f>IFERROR('🏗️ جاهزية المحطة — 7 بنود'!N81,"")</f>
        <v>0</v>
      </c>
      <c r="E85" s="232">
        <f>IFERROR('🔴 معايير السلامة — 7 بنود'!N81,"")</f>
        <v>0</v>
      </c>
      <c r="F85" s="149" t="str">
        <f t="shared" si="6"/>
        <v>🔴 لم تبدأ</v>
      </c>
      <c r="G85" s="149" t="str">
        <f t="shared" si="7"/>
        <v>🔴 ناقص</v>
      </c>
      <c r="H85" s="167" t="str">
        <f t="shared" si="8"/>
        <v>🔴 غير جاهزة</v>
      </c>
    </row>
    <row r="86" spans="2:8" ht="21.75" customHeight="1" x14ac:dyDescent="0.35">
      <c r="B86" s="192" t="s">
        <v>234</v>
      </c>
      <c r="C86" s="193" t="s">
        <v>604</v>
      </c>
      <c r="D86" s="231">
        <f>IFERROR('🏗️ جاهزية المحطة — 7 بنود'!N82,"")</f>
        <v>0</v>
      </c>
      <c r="E86" s="232">
        <f>IFERROR('🔴 معايير السلامة — 7 بنود'!N82,"")</f>
        <v>0</v>
      </c>
      <c r="F86" s="149" t="str">
        <f t="shared" si="6"/>
        <v>🔴 لم تبدأ</v>
      </c>
      <c r="G86" s="149" t="str">
        <f t="shared" si="7"/>
        <v>🔴 ناقص</v>
      </c>
      <c r="H86" s="167" t="str">
        <f t="shared" si="8"/>
        <v>🔴 غير جاهزة</v>
      </c>
    </row>
    <row r="87" spans="2:8" ht="21.75" customHeight="1" x14ac:dyDescent="0.35">
      <c r="B87" s="192" t="s">
        <v>235</v>
      </c>
      <c r="C87" s="193" t="s">
        <v>605</v>
      </c>
      <c r="D87" s="231">
        <f>IFERROR('🏗️ جاهزية المحطة — 7 بنود'!N83,"")</f>
        <v>0</v>
      </c>
      <c r="E87" s="232">
        <f>IFERROR('🔴 معايير السلامة — 7 بنود'!N83,"")</f>
        <v>0</v>
      </c>
      <c r="F87" s="149" t="str">
        <f t="shared" si="6"/>
        <v>🔴 لم تبدأ</v>
      </c>
      <c r="G87" s="149" t="str">
        <f t="shared" si="7"/>
        <v>🔴 ناقص</v>
      </c>
      <c r="H87" s="167" t="str">
        <f t="shared" si="8"/>
        <v>🔴 غير جاهزة</v>
      </c>
    </row>
    <row r="88" spans="2:8" ht="21.75" customHeight="1" x14ac:dyDescent="0.35">
      <c r="B88" s="192" t="s">
        <v>236</v>
      </c>
      <c r="C88" s="193" t="s">
        <v>606</v>
      </c>
      <c r="D88" s="231">
        <f>IFERROR('🏗️ جاهزية المحطة — 7 بنود'!N84,"")</f>
        <v>0</v>
      </c>
      <c r="E88" s="232">
        <f>IFERROR('🔴 معايير السلامة — 7 بنود'!N84,"")</f>
        <v>0</v>
      </c>
      <c r="F88" s="149" t="str">
        <f t="shared" si="6"/>
        <v>🔴 لم تبدأ</v>
      </c>
      <c r="G88" s="149" t="str">
        <f t="shared" si="7"/>
        <v>🔴 ناقص</v>
      </c>
      <c r="H88" s="167" t="str">
        <f t="shared" si="8"/>
        <v>🔴 غير جاهزة</v>
      </c>
    </row>
    <row r="89" spans="2:8" ht="21.75" customHeight="1" x14ac:dyDescent="0.35">
      <c r="B89" s="192" t="s">
        <v>237</v>
      </c>
      <c r="C89" s="193" t="s">
        <v>607</v>
      </c>
      <c r="D89" s="231">
        <f>IFERROR('🏗️ جاهزية المحطة — 7 بنود'!N85,"")</f>
        <v>0</v>
      </c>
      <c r="E89" s="232">
        <f>IFERROR('🔴 معايير السلامة — 7 بنود'!N85,"")</f>
        <v>0</v>
      </c>
      <c r="F89" s="149" t="str">
        <f t="shared" si="6"/>
        <v>🔴 لم تبدأ</v>
      </c>
      <c r="G89" s="149" t="str">
        <f t="shared" si="7"/>
        <v>🔴 ناقص</v>
      </c>
      <c r="H89" s="167" t="str">
        <f t="shared" si="8"/>
        <v>🔴 غير جاهزة</v>
      </c>
    </row>
    <row r="90" spans="2:8" ht="21.75" customHeight="1" x14ac:dyDescent="0.35">
      <c r="B90" s="192" t="s">
        <v>238</v>
      </c>
      <c r="C90" s="193" t="s">
        <v>608</v>
      </c>
      <c r="D90" s="231">
        <f>IFERROR('🏗️ جاهزية المحطة — 7 بنود'!N86,"")</f>
        <v>0</v>
      </c>
      <c r="E90" s="232">
        <f>IFERROR('🔴 معايير السلامة — 7 بنود'!N86,"")</f>
        <v>0</v>
      </c>
      <c r="F90" s="149" t="str">
        <f t="shared" si="6"/>
        <v>🔴 لم تبدأ</v>
      </c>
      <c r="G90" s="149" t="str">
        <f t="shared" si="7"/>
        <v>🔴 ناقص</v>
      </c>
      <c r="H90" s="167" t="str">
        <f t="shared" si="8"/>
        <v>🔴 غير جاهزة</v>
      </c>
    </row>
    <row r="91" spans="2:8" ht="21.75" customHeight="1" x14ac:dyDescent="0.35">
      <c r="B91" s="192" t="s">
        <v>239</v>
      </c>
      <c r="C91" s="193" t="s">
        <v>609</v>
      </c>
      <c r="D91" s="231">
        <f>IFERROR('🏗️ جاهزية المحطة — 7 بنود'!N87,"")</f>
        <v>0</v>
      </c>
      <c r="E91" s="232">
        <f>IFERROR('🔴 معايير السلامة — 7 بنود'!N87,"")</f>
        <v>0</v>
      </c>
      <c r="F91" s="149" t="str">
        <f t="shared" si="6"/>
        <v>🔴 لم تبدأ</v>
      </c>
      <c r="G91" s="149" t="str">
        <f t="shared" si="7"/>
        <v>🔴 ناقص</v>
      </c>
      <c r="H91" s="167" t="str">
        <f t="shared" si="8"/>
        <v>🔴 غير جاهزة</v>
      </c>
    </row>
    <row r="92" spans="2:8" ht="21.75" customHeight="1" x14ac:dyDescent="0.35">
      <c r="B92" s="192" t="s">
        <v>240</v>
      </c>
      <c r="C92" s="193" t="s">
        <v>610</v>
      </c>
      <c r="D92" s="231">
        <f>IFERROR('🏗️ جاهزية المحطة — 7 بنود'!N88,"")</f>
        <v>0</v>
      </c>
      <c r="E92" s="232">
        <f>IFERROR('🔴 معايير السلامة — 7 بنود'!N88,"")</f>
        <v>0</v>
      </c>
      <c r="F92" s="149" t="str">
        <f t="shared" si="6"/>
        <v>🔴 لم تبدأ</v>
      </c>
      <c r="G92" s="149" t="str">
        <f t="shared" si="7"/>
        <v>🔴 ناقص</v>
      </c>
      <c r="H92" s="167" t="str">
        <f t="shared" si="8"/>
        <v>🔴 غير جاهزة</v>
      </c>
    </row>
    <row r="93" spans="2:8" ht="21.75" customHeight="1" x14ac:dyDescent="0.35">
      <c r="B93" s="192" t="s">
        <v>241</v>
      </c>
      <c r="C93" s="193" t="s">
        <v>611</v>
      </c>
      <c r="D93" s="231">
        <f>IFERROR('🏗️ جاهزية المحطة — 7 بنود'!N89,"")</f>
        <v>0</v>
      </c>
      <c r="E93" s="232">
        <f>IFERROR('🔴 معايير السلامة — 7 بنود'!N89,"")</f>
        <v>0</v>
      </c>
      <c r="F93" s="149" t="str">
        <f t="shared" si="6"/>
        <v>🔴 لم تبدأ</v>
      </c>
      <c r="G93" s="149" t="str">
        <f t="shared" si="7"/>
        <v>🔴 ناقص</v>
      </c>
      <c r="H93" s="167" t="str">
        <f t="shared" si="8"/>
        <v>🔴 غير جاهزة</v>
      </c>
    </row>
    <row r="94" spans="2:8" ht="21.75" customHeight="1" x14ac:dyDescent="0.35">
      <c r="B94" s="192" t="s">
        <v>242</v>
      </c>
      <c r="C94" s="193" t="s">
        <v>612</v>
      </c>
      <c r="D94" s="231">
        <f>IFERROR('🏗️ جاهزية المحطة — 7 بنود'!N90,"")</f>
        <v>0</v>
      </c>
      <c r="E94" s="232">
        <f>IFERROR('🔴 معايير السلامة — 7 بنود'!N90,"")</f>
        <v>0</v>
      </c>
      <c r="F94" s="149" t="str">
        <f t="shared" si="6"/>
        <v>🔴 لم تبدأ</v>
      </c>
      <c r="G94" s="149" t="str">
        <f t="shared" si="7"/>
        <v>🔴 ناقص</v>
      </c>
      <c r="H94" s="167" t="str">
        <f t="shared" si="8"/>
        <v>🔴 غير جاهزة</v>
      </c>
    </row>
    <row r="95" spans="2:8" ht="21.75" customHeight="1" x14ac:dyDescent="0.35">
      <c r="B95" s="192" t="s">
        <v>243</v>
      </c>
      <c r="C95" s="193" t="s">
        <v>613</v>
      </c>
      <c r="D95" s="231">
        <f>IFERROR('🏗️ جاهزية المحطة — 7 بنود'!N91,"")</f>
        <v>0</v>
      </c>
      <c r="E95" s="232">
        <f>IFERROR('🔴 معايير السلامة — 7 بنود'!N91,"")</f>
        <v>0</v>
      </c>
      <c r="F95" s="149" t="str">
        <f t="shared" si="6"/>
        <v>🔴 لم تبدأ</v>
      </c>
      <c r="G95" s="149" t="str">
        <f t="shared" si="7"/>
        <v>🔴 ناقص</v>
      </c>
      <c r="H95" s="167" t="str">
        <f t="shared" si="8"/>
        <v>🔴 غير جاهزة</v>
      </c>
    </row>
    <row r="96" spans="2:8" ht="21.75" customHeight="1" x14ac:dyDescent="0.35">
      <c r="B96" s="192" t="s">
        <v>244</v>
      </c>
      <c r="C96" s="193" t="s">
        <v>614</v>
      </c>
      <c r="D96" s="231">
        <f>IFERROR('🏗️ جاهزية المحطة — 7 بنود'!N92,"")</f>
        <v>0</v>
      </c>
      <c r="E96" s="232">
        <f>IFERROR('🔴 معايير السلامة — 7 بنود'!N92,"")</f>
        <v>0</v>
      </c>
      <c r="F96" s="149" t="str">
        <f t="shared" si="6"/>
        <v>🔴 لم تبدأ</v>
      </c>
      <c r="G96" s="149" t="str">
        <f t="shared" si="7"/>
        <v>🔴 ناقص</v>
      </c>
      <c r="H96" s="167" t="str">
        <f t="shared" si="8"/>
        <v>🔴 غير جاهزة</v>
      </c>
    </row>
    <row r="97" spans="2:8" ht="30" customHeight="1" x14ac:dyDescent="0.35">
      <c r="B97" s="44"/>
      <c r="C97" s="45" t="s">
        <v>698</v>
      </c>
      <c r="D97" s="233" t="str">
        <f>IFERROR(AVERAGEIF(D12:D96,"&gt;0"),"")</f>
        <v/>
      </c>
      <c r="E97" s="234" t="str">
        <f>IFERROR(AVERAGEIF(E12:E96,"&gt;0"),"")</f>
        <v/>
      </c>
      <c r="H97" s="235" t="str">
        <f>IFERROR(COUNTIF(H12:H96,"🟢 مُوصى بالافتتاح")&amp;" محطة جاهزة من 85","")</f>
        <v>0 محطة جاهزة من 85</v>
      </c>
    </row>
  </sheetData>
  <mergeCells count="3">
    <mergeCell ref="A2:I2"/>
    <mergeCell ref="A3:I3"/>
    <mergeCell ref="B10:H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📋 بيانات المحطات</vt:lpstr>
      <vt:lpstr>⛽ المبيعات الشهرية</vt:lpstr>
      <vt:lpstr>💰 الربحية — محسوبة</vt:lpstr>
      <vt:lpstr>📊 مؤشرات KPI</vt:lpstr>
      <vt:lpstr>أبريل 2026 — يومي</vt:lpstr>
      <vt:lpstr>مؤشرات الأداء KPI</vt:lpstr>
      <vt:lpstr>⛽ عامل تعبئة الوقود</vt:lpstr>
      <vt:lpstr>🏪 مدير المحطة</vt:lpstr>
      <vt:lpstr>🔍 مشرف ميداني</vt:lpstr>
      <vt:lpstr>🏗️ جاهزية المحطة — 7 بنود</vt:lpstr>
      <vt:lpstr>🔴 معايير السلامة — 7 بنود</vt:lpstr>
      <vt:lpstr>📈 تقدم تشغيل 85 محطة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Hugh Damon</cp:lastModifiedBy>
  <cp:revision>0</cp:revision>
  <dcterms:created xsi:type="dcterms:W3CDTF">2026-05-14T07:30:29Z</dcterms:created>
  <dcterms:modified xsi:type="dcterms:W3CDTF">2026-05-17T08:25:32Z</dcterms:modified>
  <dc:language>en-US</dc:language>
</cp:coreProperties>
</file>