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A9948134-95EC-49A0-A9E2-C4FC5102DDF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📊 ملخص آلي + KPI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Q45" i="1"/>
  <c r="P45" i="1"/>
  <c r="O45" i="1"/>
  <c r="N45" i="1"/>
  <c r="M45" i="1"/>
  <c r="L45" i="1"/>
  <c r="K45" i="1"/>
  <c r="J45" i="1"/>
  <c r="I45" i="1"/>
  <c r="H45" i="1"/>
  <c r="G45" i="1"/>
  <c r="F45" i="1"/>
  <c r="R43" i="1"/>
  <c r="Q43" i="1"/>
  <c r="P43" i="1"/>
  <c r="O43" i="1"/>
  <c r="N43" i="1"/>
  <c r="M43" i="1"/>
  <c r="L43" i="1"/>
  <c r="K43" i="1"/>
  <c r="J43" i="1"/>
  <c r="I43" i="1"/>
  <c r="H43" i="1"/>
  <c r="G43" i="1"/>
  <c r="R40" i="1"/>
  <c r="Q40" i="1"/>
  <c r="P40" i="1"/>
  <c r="O40" i="1"/>
  <c r="N40" i="1"/>
  <c r="M40" i="1"/>
  <c r="L40" i="1"/>
  <c r="K40" i="1"/>
  <c r="J40" i="1"/>
  <c r="I40" i="1"/>
  <c r="H40" i="1"/>
  <c r="G40" i="1"/>
  <c r="R38" i="1"/>
  <c r="Q38" i="1"/>
  <c r="P38" i="1"/>
  <c r="O38" i="1"/>
  <c r="N38" i="1"/>
  <c r="M38" i="1"/>
  <c r="L38" i="1"/>
  <c r="K38" i="1"/>
  <c r="J38" i="1"/>
  <c r="I38" i="1"/>
  <c r="H38" i="1"/>
  <c r="G38" i="1"/>
  <c r="R35" i="1"/>
  <c r="Q35" i="1"/>
  <c r="P35" i="1"/>
  <c r="O35" i="1"/>
  <c r="N35" i="1"/>
  <c r="M35" i="1"/>
  <c r="L35" i="1"/>
  <c r="K35" i="1"/>
  <c r="J35" i="1"/>
  <c r="I35" i="1"/>
  <c r="H35" i="1"/>
  <c r="G35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R30" i="1"/>
  <c r="F30" i="1" s="1"/>
  <c r="Q30" i="1"/>
  <c r="P30" i="1"/>
  <c r="O30" i="1"/>
  <c r="N30" i="1"/>
  <c r="M30" i="1"/>
  <c r="L30" i="1"/>
  <c r="K30" i="1"/>
  <c r="J30" i="1"/>
  <c r="I30" i="1"/>
  <c r="H30" i="1"/>
  <c r="G30" i="1"/>
  <c r="R28" i="1"/>
  <c r="Q28" i="1"/>
  <c r="P28" i="1"/>
  <c r="O28" i="1"/>
  <c r="R25" i="1"/>
  <c r="Q25" i="1"/>
  <c r="P25" i="1"/>
  <c r="O25" i="1"/>
  <c r="N25" i="1"/>
  <c r="M25" i="1"/>
  <c r="L25" i="1"/>
  <c r="K25" i="1"/>
  <c r="J25" i="1"/>
  <c r="I25" i="1"/>
  <c r="H25" i="1"/>
  <c r="G25" i="1"/>
  <c r="R23" i="1"/>
  <c r="Q23" i="1"/>
  <c r="P23" i="1"/>
  <c r="O23" i="1"/>
  <c r="N23" i="1"/>
  <c r="M23" i="1"/>
  <c r="L23" i="1"/>
  <c r="K23" i="1"/>
  <c r="J23" i="1"/>
  <c r="I23" i="1"/>
  <c r="H23" i="1"/>
  <c r="G23" i="1"/>
  <c r="R21" i="1"/>
  <c r="Q21" i="1"/>
  <c r="P21" i="1"/>
  <c r="O21" i="1"/>
  <c r="N21" i="1"/>
  <c r="M21" i="1"/>
  <c r="L21" i="1"/>
  <c r="K21" i="1"/>
  <c r="J21" i="1"/>
  <c r="I21" i="1"/>
  <c r="H21" i="1"/>
  <c r="G21" i="1"/>
  <c r="R19" i="1"/>
  <c r="Q19" i="1"/>
  <c r="P19" i="1"/>
  <c r="O19" i="1"/>
  <c r="N19" i="1"/>
  <c r="M19" i="1"/>
  <c r="L19" i="1"/>
  <c r="K19" i="1"/>
  <c r="J19" i="1"/>
  <c r="I19" i="1"/>
  <c r="H19" i="1"/>
  <c r="G19" i="1"/>
  <c r="R17" i="1"/>
  <c r="P17" i="1"/>
  <c r="R14" i="1"/>
  <c r="Q14" i="1"/>
  <c r="P14" i="1"/>
  <c r="O14" i="1"/>
  <c r="N14" i="1"/>
  <c r="M14" i="1"/>
  <c r="L14" i="1"/>
  <c r="K14" i="1"/>
  <c r="J14" i="1"/>
  <c r="I14" i="1"/>
  <c r="H14" i="1"/>
  <c r="G14" i="1"/>
  <c r="R12" i="1"/>
  <c r="Q12" i="1"/>
  <c r="P12" i="1"/>
  <c r="O12" i="1"/>
  <c r="N12" i="1"/>
  <c r="M12" i="1"/>
  <c r="L12" i="1"/>
  <c r="K12" i="1"/>
  <c r="J12" i="1"/>
  <c r="I12" i="1"/>
  <c r="H12" i="1"/>
  <c r="G12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F19" i="1" l="1"/>
  <c r="F21" i="1"/>
  <c r="F43" i="1"/>
  <c r="F35" i="1"/>
  <c r="F12" i="1"/>
  <c r="F25" i="1"/>
  <c r="F14" i="1"/>
  <c r="F23" i="1"/>
  <c r="F38" i="1"/>
  <c r="N28" i="1"/>
  <c r="O17" i="1"/>
  <c r="M28" i="1"/>
  <c r="N17" i="1"/>
  <c r="H28" i="1"/>
  <c r="I17" i="1"/>
  <c r="G17" i="1"/>
  <c r="L28" i="1"/>
  <c r="M17" i="1"/>
  <c r="K28" i="1"/>
  <c r="L17" i="1"/>
  <c r="J28" i="1"/>
  <c r="K17" i="1"/>
  <c r="G28" i="1"/>
  <c r="H17" i="1"/>
  <c r="I28" i="1"/>
  <c r="J17" i="1"/>
  <c r="Q17" i="1"/>
  <c r="F40" i="1"/>
  <c r="F17" i="1" l="1"/>
  <c r="F28" i="1"/>
</calcChain>
</file>

<file path=xl/sharedStrings.xml><?xml version="1.0" encoding="utf-8"?>
<sst xmlns="http://schemas.openxmlformats.org/spreadsheetml/2006/main" count="115" uniqueCount="74">
  <si>
    <t>📊 مؤشرات أداء قسم العقار 2026</t>
  </si>
  <si>
    <t>🎯 خطة (يدوي) vs فعلي (آلي) · الانحراف يقارن المتوسطين</t>
  </si>
  <si>
    <t>✏️  إدخال يدوي</t>
  </si>
  <si>
    <t>🤝 الشراكات الموقعة</t>
  </si>
  <si>
    <t>الهدف: 5</t>
  </si>
  <si>
    <t>🌟 علامات تجارية جديدة</t>
  </si>
  <si>
    <t>الهدف: 6</t>
  </si>
  <si>
    <t>💼 إجمالي العلامات</t>
  </si>
  <si>
    <t>الهدف: 246</t>
  </si>
  <si>
    <t>📌 المؤشر</t>
  </si>
  <si>
    <t>📅 الأشهر — خطة (يدوي) مقابل فعلي (آلي)</t>
  </si>
  <si>
    <t>#</t>
  </si>
  <si>
    <t>المؤشر</t>
  </si>
  <si>
    <t>الوحدة</t>
  </si>
  <si>
    <t>الهدف 2026</t>
  </si>
  <si>
    <t>النوع</t>
  </si>
  <si>
    <t>الانحراف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</si>
  <si>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</si>
  <si>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</si>
  <si>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</si>
  <si>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</si>
  <si>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</si>
  <si>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</si>
  <si>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</si>
  <si>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</si>
  <si>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</si>
  <si>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</si>
  <si>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</si>
  <si>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</si>
  <si>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 xml:space="preserve">  ◀ 🏛️ جدول الإدارة</t>
  </si>
  <si>
    <t>نمو الإيرادات الإيجارية</t>
  </si>
  <si>
    <t>ر.س</t>
  </si>
  <si>
    <t>&gt; 8% سنوياً</t>
  </si>
  <si>
    <t>خطة</t>
  </si>
  <si>
    <t>فعلي</t>
  </si>
  <si>
    <t>نسبة الالتزام بالعقود</t>
  </si>
  <si>
    <t>%</t>
  </si>
  <si>
    <t>100%</t>
  </si>
  <si>
    <t>نسبة التحصيل</t>
  </si>
  <si>
    <t>&gt; 95%</t>
  </si>
  <si>
    <t xml:space="preserve">  ◀ 🤝 جدول التأجير</t>
  </si>
  <si>
    <t>نسبة الإشغال</t>
  </si>
  <si>
    <t>≥ 60%</t>
  </si>
  <si>
    <t>الوحدات المؤجَّرة شهرياً</t>
  </si>
  <si>
    <t>وحدة</t>
  </si>
  <si>
    <t>68 شهرياً</t>
  </si>
  <si>
    <t>العملاء المحتملين (LEADS)</t>
  </si>
  <si>
    <t>عميل</t>
  </si>
  <si>
    <t>544-680</t>
  </si>
  <si>
    <t>معدل التحويل</t>
  </si>
  <si>
    <t>15-25%</t>
  </si>
  <si>
    <t>زيادة عدد العلامات التجارية</t>
  </si>
  <si>
    <t>علامة</t>
  </si>
  <si>
    <t>246</t>
  </si>
  <si>
    <t xml:space="preserve">  ◀ 🌟 الإبداع والتكامل</t>
  </si>
  <si>
    <t>نسبة تأجير ساحة درب</t>
  </si>
  <si>
    <t>≥ 80%</t>
  </si>
  <si>
    <t>علامات تجارية جديدة (ساحة درب)</t>
  </si>
  <si>
    <t>6</t>
  </si>
  <si>
    <t>الشراكات الاستراتيجية</t>
  </si>
  <si>
    <t>شراكة</t>
  </si>
  <si>
    <t>5</t>
  </si>
  <si>
    <t xml:space="preserve">  ◀ 📋 إدارة الأملاك — العقود</t>
  </si>
  <si>
    <t>نسبة تجديد العقود</t>
  </si>
  <si>
    <t xml:space="preserve">  ◀ 🔧 تنسيق المشاريع</t>
  </si>
  <si>
    <t>متوسط زمن تسليم الوحدة</t>
  </si>
  <si>
    <t>يوم</t>
  </si>
  <si>
    <t>≤ 7 أيام</t>
  </si>
  <si>
    <t>نسبة إغلاق الطلبات خلال 3 أسابيع</t>
  </si>
  <si>
    <t>&gt; 90%</t>
  </si>
  <si>
    <t xml:space="preserve">  ◀ 🎖️ الجودة والاستدامة — رضا واستدامة المستأجرين</t>
  </si>
  <si>
    <t>استدامة المستأجرين (لم يُنهَ مبكراً)</t>
  </si>
  <si>
    <t>معدل رضا المستأجرين (استبيان ربعي)</t>
  </si>
  <si>
    <t>≥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</si>
</sst>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\-"/>
    <numFmt numFmtId="165" formatCode="0.0%"/>
    <numFmt numFmtId="166" formatCode="0.0"/>
  </numFmts>
  <fonts count="14">
    <font>
      <sz val="11"/>
      <color theme="1"/>
      <name val="Calibri"/>
      <family val="2"/>
      <charset val="1"/>
    </font>
    <font>
      <b/>
      <sz val="16"/>
      <color rgb="FFFFFFFF"/>
      <name val="DIN Next LT Arabic"/>
      <charset val="1"/>
    </font>
    <font>
      <sz val="9"/>
      <color rgb="FF3D3D3D"/>
      <name val="DIN Next LT Arabic"/>
      <charset val="1"/>
    </font>
    <font>
      <b/>
      <sz val="10"/>
      <color rgb="FFFFFFFF"/>
      <name val="DIN Next LT Arabic"/>
      <charset val="1"/>
    </font>
    <font>
      <b/>
      <sz val="9"/>
      <color rgb="FF3D3D3D"/>
      <name val="DIN Next LT Arabic"/>
      <charset val="1"/>
    </font>
    <font>
      <b/>
      <sz val="12"/>
      <color rgb="FFC04E0E"/>
      <name val="DIN Next LT Arabic"/>
      <charset val="1"/>
    </font>
    <font>
      <sz val="9"/>
      <color rgb="FF6E6F73"/>
      <name val="DIN Next LT Arabic"/>
      <charset val="1"/>
    </font>
    <font>
      <b/>
      <sz val="11"/>
      <color rgb="FFFFFFFF"/>
      <name val="DIN Next LT Arabic"/>
      <charset val="1"/>
    </font>
    <font>
      <b/>
      <sz val="9"/>
      <color rgb="FFFFFFFF"/>
      <name val="DIN Next LT Arabic"/>
      <charset val="1"/>
    </font>
    <font>
      <b/>
      <sz val="10"/>
      <color rgb="FF3D3D3D"/>
      <name val="DIN Next LT Arabic"/>
      <charset val="1"/>
    </font>
    <font>
      <b/>
      <sz val="10"/>
      <color rgb="FFC04E0E"/>
      <name val="DIN Next LT Arabic"/>
      <charset val="1"/>
    </font>
    <font>
      <b/>
      <sz val="9"/>
      <color rgb="FF1565C0"/>
      <name val="DIN Next LT Arabic"/>
      <charset val="1"/>
    </font>
    <font>
      <sz val="9"/>
      <color rgb="FF1565C0"/>
      <name val="DIN Next LT Arabic"/>
      <charset val="1"/>
    </font>
    <font>
      <b/>
      <sz val="9"/>
      <color rgb="FFC04E0E"/>
      <name val="DIN Next LT Arabic"/>
      <charset val="1"/>
    </font>
  </fonts>
  <fills count="12">
    <fill>
      <patternFill patternType="none"/>
    </fill>
    <fill>
      <patternFill patternType="gray125"/>
    </fill>
    <fill>
      <patternFill patternType="solid">
        <fgColor rgb="FFC04E0E"/>
        <bgColor rgb="FFC62828"/>
      </patternFill>
    </fill>
    <fill>
      <patternFill patternType="solid">
        <fgColor rgb="FFFEF0E6"/>
        <bgColor rgb="FFFFEBEE"/>
      </patternFill>
    </fill>
    <fill>
      <patternFill patternType="solid">
        <fgColor rgb="FF3D3D3D"/>
        <bgColor rgb="FF333300"/>
      </patternFill>
    </fill>
    <fill>
      <patternFill patternType="solid">
        <fgColor rgb="FFFFF9D6"/>
        <bgColor rgb="FFFFF8E1"/>
      </patternFill>
    </fill>
    <fill>
      <patternFill patternType="solid">
        <fgColor rgb="FFF2F2F2"/>
        <bgColor rgb="FFE8F5E9"/>
      </patternFill>
    </fill>
    <fill>
      <patternFill patternType="solid">
        <fgColor rgb="FFF3741F"/>
        <bgColor rgb="FFFF8080"/>
      </patternFill>
    </fill>
    <fill>
      <patternFill patternType="solid">
        <fgColor rgb="FFDCEBFA"/>
        <bgColor rgb="FFE4F2FD"/>
      </patternFill>
    </fill>
    <fill>
      <patternFill patternType="solid">
        <fgColor rgb="FF1565C0"/>
        <bgColor rgb="FF3366FF"/>
      </patternFill>
    </fill>
    <fill>
      <patternFill patternType="solid">
        <fgColor rgb="FF6E6F73"/>
        <bgColor rgb="FF808080"/>
      </patternFill>
    </fill>
    <fill>
      <patternFill patternType="solid">
        <fgColor rgb="FF6A1B9A"/>
        <bgColor rgb="FF800080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164" fontId="12" fillId="5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64" fontId="2" fillId="6" borderId="2" xfId="0" applyNumberFormat="1" applyFont="1" applyFill="1" applyBorder="1" applyAlignment="1">
      <alignment horizontal="center" vertical="center" wrapText="1"/>
    </xf>
    <xf numFmtId="165" fontId="12" fillId="5" borderId="2" xfId="0" applyNumberFormat="1" applyFont="1" applyFill="1" applyBorder="1" applyAlignment="1">
      <alignment horizontal="center" vertical="center" wrapText="1"/>
    </xf>
    <xf numFmtId="165" fontId="2" fillId="6" borderId="2" xfId="0" applyNumberFormat="1" applyFont="1" applyFill="1" applyBorder="1" applyAlignment="1">
      <alignment horizontal="center" vertical="center" wrapText="1"/>
    </xf>
    <xf numFmtId="3" fontId="12" fillId="5" borderId="2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166" fontId="12" fillId="5" borderId="2" xfId="0" applyNumberFormat="1" applyFont="1" applyFill="1" applyBorder="1" applyAlignment="1">
      <alignment horizontal="center" vertical="center" wrapText="1"/>
    </xf>
    <xf numFmtId="166" fontId="2" fillId="6" borderId="2" xfId="0" applyNumberFormat="1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right" vertical="center" indent="1"/>
    </xf>
    <xf numFmtId="0" fontId="0" fillId="0" borderId="0" xfId="0"/>
    <xf numFmtId="0" fontId="6" fillId="3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9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 vertical="center" wrapText="1" indent="1"/>
    </xf>
    <xf numFmtId="0" fontId="2" fillId="3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right" vertical="center" indent="1"/>
    </xf>
    <xf numFmtId="0" fontId="10" fillId="3" borderId="3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right" vertical="center" indent="1"/>
    </xf>
    <xf numFmtId="0" fontId="7" fillId="2" borderId="0" xfId="0" applyFont="1" applyFill="1" applyAlignment="1">
      <alignment horizontal="right" vertical="center" indent="1"/>
    </xf>
    <xf numFmtId="0" fontId="4" fillId="3" borderId="1" xfId="0" applyFont="1" applyFill="1" applyBorder="1" applyAlignment="1">
      <alignment horizontal="right" vertical="center" indent="1"/>
    </xf>
    <xf numFmtId="0" fontId="0" fillId="0" borderId="4" xfId="0" applyBorder="1"/>
    <xf numFmtId="0" fontId="1" fillId="2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right" vertical="center" indent="1"/>
    </xf>
    <xf numFmtId="0" fontId="7" fillId="7" borderId="0" xfId="0" applyFont="1" applyFill="1" applyAlignment="1">
      <alignment horizontal="right" vertical="center" inden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b/>
        <sz val="9"/>
        <color rgb="FFC62828"/>
        <name val="DIN Next LT Arabic"/>
        <charset val="1"/>
      </font>
      <fill>
        <patternFill>
          <bgColor rgb="FFFFEBEE"/>
        </patternFill>
      </fill>
    </dxf>
    <dxf>
      <font>
        <b/>
        <sz val="9"/>
        <color rgb="FFF9A825"/>
        <name val="DIN Next LT Arabic"/>
        <charset val="1"/>
      </font>
      <fill>
        <patternFill>
          <bgColor rgb="FFFFF8E1"/>
        </patternFill>
      </fill>
    </dxf>
    <dxf>
      <font>
        <b/>
        <sz val="9"/>
        <color rgb="FF2E7D32"/>
        <name val="DIN Next LT Arabic"/>
        <charset val="1"/>
      </font>
      <fill>
        <patternFill>
          <bgColor rgb="FFE8F5E9"/>
        </patternFill>
      </fill>
    </dxf>
    <dxf>
      <font>
        <b/>
        <sz val="9"/>
        <color rgb="FFC62828"/>
        <name val="DIN Next LT Arabic"/>
        <charset val="1"/>
      </font>
      <fill>
        <patternFill>
          <bgColor rgb="FFFFEBEE"/>
        </patternFill>
      </fill>
    </dxf>
    <dxf>
      <font>
        <b/>
        <sz val="9"/>
        <color rgb="FFF9A825"/>
        <name val="DIN Next LT Arabic"/>
        <charset val="1"/>
      </font>
      <fill>
        <patternFill>
          <bgColor rgb="FFFFF8E1"/>
        </patternFill>
      </fill>
    </dxf>
    <dxf>
      <font>
        <b/>
        <sz val="9"/>
        <color rgb="FF2E7D32"/>
        <name val="DIN Next LT Arabic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FBFBF"/>
      <rgbColor rgb="FF808080"/>
      <rgbColor rgb="FF9999FF"/>
      <rgbColor rgb="FFC04E0E"/>
      <rgbColor rgb="FFFFF9D6"/>
      <rgbColor rgb="FFE4F2FD"/>
      <rgbColor rgb="FF660066"/>
      <rgbColor rgb="FFFF8080"/>
      <rgbColor rgb="FF1565C0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BFA"/>
      <rgbColor rgb="FFE8F5E9"/>
      <rgbColor rgb="FFFFF8E1"/>
      <rgbColor rgb="FFFEF0E6"/>
      <rgbColor rgb="FFFF99CC"/>
      <rgbColor rgb="FFCC99FF"/>
      <rgbColor rgb="FFFFEBEE"/>
      <rgbColor rgb="FF3366FF"/>
      <rgbColor rgb="FF33CCCC"/>
      <rgbColor rgb="FF99CC00"/>
      <rgbColor rgb="FFFFCC00"/>
      <rgbColor rgb="FFF9A825"/>
      <rgbColor rgb="FFF3741F"/>
      <rgbColor rgb="FF6E6F73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rightToLeft="1" tabSelected="1"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sqref="A1:R1"/>
    </sheetView>
  </sheetViews>
  <sheetFormatPr defaultColWidth="8.6328125" defaultRowHeight="14.5"/>
  <cols>
    <col min="1" max="1" width="4" customWidth="1"/>
    <col min="2" max="2" width="32" customWidth="1"/>
    <col min="3" max="3" width="9" customWidth="1"/>
    <col min="4" max="4" width="13" customWidth="1"/>
    <col min="5" max="5" width="8" customWidth="1"/>
    <col min="6" max="6" width="14" customWidth="1"/>
    <col min="7" max="18" width="9" customWidth="1"/>
  </cols>
  <sheetData>
    <row r="1" spans="1:18" ht="31.5" customHeight="1">
      <c r="A1" s="2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27.75" customHeight="1">
      <c r="A2" s="22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21.75" customHeight="1">
      <c r="A3" s="31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27.75" customHeight="1">
      <c r="A4" s="27" t="s">
        <v>3</v>
      </c>
      <c r="B4" s="28"/>
      <c r="C4" s="28"/>
      <c r="D4" s="1">
        <v>0</v>
      </c>
      <c r="E4" s="2" t="s">
        <v>4</v>
      </c>
      <c r="F4" s="27" t="s">
        <v>5</v>
      </c>
      <c r="G4" s="28"/>
      <c r="H4" s="28"/>
      <c r="I4" s="1">
        <v>0</v>
      </c>
      <c r="J4" s="2" t="s">
        <v>6</v>
      </c>
      <c r="K4" s="27" t="s">
        <v>7</v>
      </c>
      <c r="L4" s="28"/>
      <c r="M4" s="28"/>
      <c r="N4" s="1">
        <v>176</v>
      </c>
      <c r="O4" s="2" t="s">
        <v>8</v>
      </c>
    </row>
    <row r="5" spans="1:18" ht="7.5" customHeight="1"/>
    <row r="6" spans="1:18" ht="24" customHeight="1">
      <c r="A6" s="33" t="s">
        <v>9</v>
      </c>
      <c r="B6" s="17"/>
      <c r="C6" s="17"/>
      <c r="D6" s="17"/>
      <c r="E6" s="17"/>
      <c r="F6" s="17"/>
      <c r="G6" s="30" t="s">
        <v>10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30" customHeight="1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  <c r="L7" s="3" t="s">
        <v>22</v>
      </c>
      <c r="M7" s="3" t="s">
        <v>23</v>
      </c>
      <c r="N7" s="3" t="s">
        <v>24</v>
      </c>
      <c r="O7" s="3" t="s">
        <v>25</v>
      </c>
      <c r="P7" s="3" t="s">
        <v>26</v>
      </c>
      <c r="Q7" s="3" t="s">
        <v>27</v>
      </c>
      <c r="R7" s="3" t="s">
        <v>28</v>
      </c>
    </row>
    <row r="8" spans="1:18" ht="25.5" customHeight="1">
      <c r="A8" s="26" t="s">
        <v>29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21.75" customHeight="1">
      <c r="A9" s="20">
        <v>1</v>
      </c>
      <c r="B9" s="21" t="s">
        <v>30</v>
      </c>
      <c r="C9" s="18" t="s">
        <v>31</v>
      </c>
      <c r="D9" s="24" t="s">
        <v>32</v>
      </c>
      <c r="E9" s="4" t="s">
        <v>33</v>
      </c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21.75" customHeight="1">
      <c r="A10" s="19"/>
      <c r="B10" s="19"/>
      <c r="C10" s="19"/>
      <c r="D10" s="19"/>
      <c r="E10" s="7" t="s">
        <v>34</v>
      </c>
      <c r="F10" s="8" t="str">
        <f>IFERROR(IF(AVERAGE(G9:R9)=0,"",IF(IFERROR(AVERAGEIF(G10:R10,"&gt;0",G10:R10),0)&gt;=AVERAGE(G9:R9),"✅ ",IF(IFERROR(AVERAGEIF(G10:R10,"&gt;0",G10:R10),0)&gt;=AVERAGE(G9:R9)*0.85,"🟡 ","🔴 "))&amp;TEXT((IFERROR(AVERAGEIF(G10:R10,"&gt;0",G10:R10),0)-AVERAGE(G9:R9))/AVERAGE(G9:R9),"+0.0%;-0.0%")),"")</f>
        <v/>
      </c>
      <c r="G10" s="9" t="e">
        <f>SUMIF(#REF!,"نشط",#REF!)</f>
        <v>#REF!</v>
      </c>
      <c r="H10" s="9" t="e">
        <f>SUMIF(#REF!,"نشط",#REF!)</f>
        <v>#REF!</v>
      </c>
      <c r="I10" s="9" t="e">
        <f>SUMIF(#REF!,"نشط",#REF!)</f>
        <v>#REF!</v>
      </c>
      <c r="J10" s="9" t="e">
        <f>SUMIF(#REF!,"نشط",#REF!)</f>
        <v>#REF!</v>
      </c>
      <c r="K10" s="9" t="e">
        <f>SUMIF(#REF!,"نشط",#REF!)</f>
        <v>#REF!</v>
      </c>
      <c r="L10" s="9" t="e">
        <f>SUMIF(#REF!,"نشط",#REF!)</f>
        <v>#REF!</v>
      </c>
      <c r="M10" s="9" t="e">
        <f>SUMIF(#REF!,"نشط",#REF!)</f>
        <v>#REF!</v>
      </c>
      <c r="N10" s="9" t="e">
        <f>SUMIF(#REF!,"نشط",#REF!)</f>
        <v>#REF!</v>
      </c>
      <c r="O10" s="9" t="e">
        <f>SUMIF(#REF!,"نشط",#REF!)</f>
        <v>#REF!</v>
      </c>
      <c r="P10" s="9" t="e">
        <f>SUMIF(#REF!,"نشط",#REF!)</f>
        <v>#REF!</v>
      </c>
      <c r="Q10" s="9" t="e">
        <f>SUMIF(#REF!,"نشط",#REF!)</f>
        <v>#REF!</v>
      </c>
      <c r="R10" s="9" t="e">
        <f>SUMIF(#REF!,"نشط",#REF!)</f>
        <v>#REF!</v>
      </c>
    </row>
    <row r="11" spans="1:18" ht="21.75" customHeight="1">
      <c r="A11" s="20">
        <v>2</v>
      </c>
      <c r="B11" s="21" t="s">
        <v>35</v>
      </c>
      <c r="C11" s="18" t="s">
        <v>36</v>
      </c>
      <c r="D11" s="24" t="s">
        <v>37</v>
      </c>
      <c r="E11" s="4" t="s">
        <v>33</v>
      </c>
      <c r="F11" s="5"/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  <c r="Q11" s="10">
        <v>1</v>
      </c>
      <c r="R11" s="10">
        <v>1</v>
      </c>
    </row>
    <row r="12" spans="1:18" ht="21.75" customHeight="1">
      <c r="A12" s="19"/>
      <c r="B12" s="19"/>
      <c r="C12" s="19"/>
      <c r="D12" s="19"/>
      <c r="E12" s="7" t="s">
        <v>34</v>
      </c>
      <c r="F12" s="8" t="str">
        <f>IFERROR(IF(AVERAGE(G11:R11)=0,"",IF(IFERROR(AVERAGEIF(G12:R12,"&gt;0",G12:R12),0)&gt;=AVERAGE(G11:R11),"✅ ",IF(IFERROR(AVERAGEIF(G12:R12,"&gt;0",G12:R12),0)&gt;=AVERAGE(G11:R11)*0.85,"🟡 ","🔴 "))&amp;TEXT((IFERROR(AVERAGEIF(G12:R12,"&gt;0",G12:R12),0)-AVERAGE(G11:R11))/AVERAGE(G11:R11),"+0.0%;-0.0%")),"")</f>
        <v>🔴 -100.0%</v>
      </c>
      <c r="G12" s="11">
        <f>IFERROR(COUNTIF(#REF!,"نشط")/MAX(1,COUNTIF(#REF!,"&lt;&gt;")),0)</f>
        <v>0</v>
      </c>
      <c r="H12" s="11">
        <f>IFERROR(COUNTIF(#REF!,"نشط")/MAX(1,COUNTIF(#REF!,"&lt;&gt;")),0)</f>
        <v>0</v>
      </c>
      <c r="I12" s="11">
        <f>IFERROR(COUNTIF(#REF!,"نشط")/MAX(1,COUNTIF(#REF!,"&lt;&gt;")),0)</f>
        <v>0</v>
      </c>
      <c r="J12" s="11">
        <f>IFERROR(COUNTIF(#REF!,"نشط")/MAX(1,COUNTIF(#REF!,"&lt;&gt;")),0)</f>
        <v>0</v>
      </c>
      <c r="K12" s="11">
        <f>IFERROR(COUNTIF(#REF!,"نشط")/MAX(1,COUNTIF(#REF!,"&lt;&gt;")),0)</f>
        <v>0</v>
      </c>
      <c r="L12" s="11">
        <f>IFERROR(COUNTIF(#REF!,"نشط")/MAX(1,COUNTIF(#REF!,"&lt;&gt;")),0)</f>
        <v>0</v>
      </c>
      <c r="M12" s="11">
        <f>IFERROR(COUNTIF(#REF!,"نشط")/MAX(1,COUNTIF(#REF!,"&lt;&gt;")),0)</f>
        <v>0</v>
      </c>
      <c r="N12" s="11">
        <f>IFERROR(COUNTIF(#REF!,"نشط")/MAX(1,COUNTIF(#REF!,"&lt;&gt;")),0)</f>
        <v>0</v>
      </c>
      <c r="O12" s="11">
        <f>IFERROR(COUNTIF(#REF!,"نشط")/MAX(1,COUNTIF(#REF!,"&lt;&gt;")),0)</f>
        <v>0</v>
      </c>
      <c r="P12" s="11">
        <f>IFERROR(COUNTIF(#REF!,"نشط")/MAX(1,COUNTIF(#REF!,"&lt;&gt;")),0)</f>
        <v>0</v>
      </c>
      <c r="Q12" s="11">
        <f>IFERROR(COUNTIF(#REF!,"نشط")/MAX(1,COUNTIF(#REF!,"&lt;&gt;")),0)</f>
        <v>0</v>
      </c>
      <c r="R12" s="11">
        <f>IFERROR(COUNTIF(#REF!,"نشط")/MAX(1,COUNTIF(#REF!,"&lt;&gt;")),0)</f>
        <v>0</v>
      </c>
    </row>
    <row r="13" spans="1:18" ht="21.75" customHeight="1">
      <c r="A13" s="20">
        <v>3</v>
      </c>
      <c r="B13" s="21" t="s">
        <v>38</v>
      </c>
      <c r="C13" s="18" t="s">
        <v>36</v>
      </c>
      <c r="D13" s="24" t="s">
        <v>39</v>
      </c>
      <c r="E13" s="4" t="s">
        <v>33</v>
      </c>
      <c r="F13" s="5"/>
      <c r="G13" s="10">
        <v>0.95</v>
      </c>
      <c r="H13" s="10">
        <v>0.95</v>
      </c>
      <c r="I13" s="10">
        <v>0.95</v>
      </c>
      <c r="J13" s="10">
        <v>0.95</v>
      </c>
      <c r="K13" s="10">
        <v>0.95</v>
      </c>
      <c r="L13" s="10">
        <v>0.95</v>
      </c>
      <c r="M13" s="10">
        <v>0.95</v>
      </c>
      <c r="N13" s="10">
        <v>0.95</v>
      </c>
      <c r="O13" s="10">
        <v>0.95</v>
      </c>
      <c r="P13" s="10">
        <v>0.95</v>
      </c>
      <c r="Q13" s="10">
        <v>0.95</v>
      </c>
      <c r="R13" s="10">
        <v>0.95</v>
      </c>
    </row>
    <row r="14" spans="1:18" ht="21.75" customHeight="1">
      <c r="A14" s="19"/>
      <c r="B14" s="19"/>
      <c r="C14" s="19"/>
      <c r="D14" s="19"/>
      <c r="E14" s="7" t="s">
        <v>34</v>
      </c>
      <c r="F14" s="8" t="str">
        <f>IFERROR(IF(AVERAGE(G13:R13)=0,"",IF(IFERROR(AVERAGEIF(G14:R14,"&gt;0",G14:R14),0)&gt;=AVERAGE(G13:R13),"✅ ",IF(IFERROR(AVERAGEIF(G14:R14,"&gt;0",G14:R14),0)&gt;=AVERAGE(G13:R13)*0.85,"🟡 ","🔴 "))&amp;TEXT((IFERROR(AVERAGEIF(G14:R14,"&gt;0",G14:R14),0)-AVERAGE(G13:R13))/AVERAGE(G13:R13),"+0.0%;-0.0%")),"")</f>
        <v>🔴 -100.0%</v>
      </c>
      <c r="G14" s="11">
        <f>IFERROR(SUMIFS(#REF!,#REF!,"&gt;="&amp;DATE(2026,1,1),#REF!,"&lt;"&amp;DATE(2026,1+1,1))/SUMIFS(#REF!,#REF!,"&gt;="&amp;DATE(2026,1,1),#REF!,"&lt;"&amp;DATE(2026,1+1,1)),0)</f>
        <v>0</v>
      </c>
      <c r="H14" s="11">
        <f>IFERROR(SUMIFS(#REF!,#REF!,"&gt;="&amp;DATE(2026,2,1),#REF!,"&lt;"&amp;DATE(2026,2+1,1))/SUMIFS(#REF!,#REF!,"&gt;="&amp;DATE(2026,2,1),#REF!,"&lt;"&amp;DATE(2026,2+1,1)),0)</f>
        <v>0</v>
      </c>
      <c r="I14" s="11">
        <f>IFERROR(SUMIFS(#REF!,#REF!,"&gt;="&amp;DATE(2026,3,1),#REF!,"&lt;"&amp;DATE(2026,3+1,1))/SUMIFS(#REF!,#REF!,"&gt;="&amp;DATE(2026,3,1),#REF!,"&lt;"&amp;DATE(2026,3+1,1)),0)</f>
        <v>0</v>
      </c>
      <c r="J14" s="11">
        <f>IFERROR(SUMIFS(#REF!,#REF!,"&gt;="&amp;DATE(2026,4,1),#REF!,"&lt;"&amp;DATE(2026,4+1,1))/SUMIFS(#REF!,#REF!,"&gt;="&amp;DATE(2026,4,1),#REF!,"&lt;"&amp;DATE(2026,4+1,1)),0)</f>
        <v>0</v>
      </c>
      <c r="K14" s="11">
        <f>IFERROR(SUMIFS(#REF!,#REF!,"&gt;="&amp;DATE(2026,5,1),#REF!,"&lt;"&amp;DATE(2026,5+1,1))/SUMIFS(#REF!,#REF!,"&gt;="&amp;DATE(2026,5,1),#REF!,"&lt;"&amp;DATE(2026,5+1,1)),0)</f>
        <v>0</v>
      </c>
      <c r="L14" s="11">
        <f>IFERROR(SUMIFS(#REF!,#REF!,"&gt;="&amp;DATE(2026,6,1),#REF!,"&lt;"&amp;DATE(2026,6+1,1))/SUMIFS(#REF!,#REF!,"&gt;="&amp;DATE(2026,6,1),#REF!,"&lt;"&amp;DATE(2026,6+1,1)),0)</f>
        <v>0</v>
      </c>
      <c r="M14" s="11">
        <f>IFERROR(SUMIFS(#REF!,#REF!,"&gt;="&amp;DATE(2026,7,1),#REF!,"&lt;"&amp;DATE(2026,7+1,1))/SUMIFS(#REF!,#REF!,"&gt;="&amp;DATE(2026,7,1),#REF!,"&lt;"&amp;DATE(2026,7+1,1)),0)</f>
        <v>0</v>
      </c>
      <c r="N14" s="11">
        <f>IFERROR(SUMIFS(#REF!,#REF!,"&gt;="&amp;DATE(2026,8,1),#REF!,"&lt;"&amp;DATE(2026,8+1,1))/SUMIFS(#REF!,#REF!,"&gt;="&amp;DATE(2026,8,1),#REF!,"&lt;"&amp;DATE(2026,8+1,1)),0)</f>
        <v>0</v>
      </c>
      <c r="O14" s="11">
        <f>IFERROR(SUMIFS(#REF!,#REF!,"&gt;="&amp;DATE(2026,9,1),#REF!,"&lt;"&amp;DATE(2026,9+1,1))/SUMIFS(#REF!,#REF!,"&gt;="&amp;DATE(2026,9,1),#REF!,"&lt;"&amp;DATE(2026,9+1,1)),0)</f>
        <v>0</v>
      </c>
      <c r="P14" s="11">
        <f>IFERROR(SUMIFS(#REF!,#REF!,"&gt;="&amp;DATE(2026,10,1),#REF!,"&lt;"&amp;DATE(2026,10+1,1))/SUMIFS(#REF!,#REF!,"&gt;="&amp;DATE(2026,10,1),#REF!,"&lt;"&amp;DATE(2026,10+1,1)),0)</f>
        <v>0</v>
      </c>
      <c r="Q14" s="11">
        <f>IFERROR(SUMIFS(#REF!,#REF!,"&gt;="&amp;DATE(2026,11,1),#REF!,"&lt;"&amp;DATE(2026,11+1,1))/SUMIFS(#REF!,#REF!,"&gt;="&amp;DATE(2026,11,1),#REF!,"&lt;"&amp;DATE(2026,11+1,1)),0)</f>
        <v>0</v>
      </c>
      <c r="R14" s="11">
        <f>IFERROR(SUMIFS(#REF!,#REF!,"&gt;="&amp;DATE(2026,12,1),#REF!,"&lt;"&amp;DATE(2026,12+1,1))/SUMIFS(#REF!,#REF!,"&gt;="&amp;DATE(2026,12,1),#REF!,"&lt;"&amp;DATE(2026,12+1,1)),0)</f>
        <v>0</v>
      </c>
    </row>
    <row r="15" spans="1:18" ht="25.5" customHeight="1">
      <c r="A15" s="32" t="s">
        <v>40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21.75" customHeight="1">
      <c r="A16" s="20">
        <v>4</v>
      </c>
      <c r="B16" s="21" t="s">
        <v>41</v>
      </c>
      <c r="C16" s="18" t="s">
        <v>36</v>
      </c>
      <c r="D16" s="24" t="s">
        <v>42</v>
      </c>
      <c r="E16" s="4" t="s">
        <v>33</v>
      </c>
      <c r="F16" s="5"/>
      <c r="G16" s="10">
        <v>0.6</v>
      </c>
      <c r="H16" s="10">
        <v>0.6</v>
      </c>
      <c r="I16" s="10">
        <v>0.6</v>
      </c>
      <c r="J16" s="10">
        <v>0.6</v>
      </c>
      <c r="K16" s="10">
        <v>0.6</v>
      </c>
      <c r="L16" s="10">
        <v>0.6</v>
      </c>
      <c r="M16" s="10">
        <v>0.6</v>
      </c>
      <c r="N16" s="10">
        <v>0.6</v>
      </c>
      <c r="O16" s="10">
        <v>0.6</v>
      </c>
      <c r="P16" s="10">
        <v>0.6</v>
      </c>
      <c r="Q16" s="10">
        <v>0.6</v>
      </c>
      <c r="R16" s="10">
        <v>0.6</v>
      </c>
    </row>
    <row r="17" spans="1:18" ht="21.75" customHeight="1">
      <c r="A17" s="19"/>
      <c r="B17" s="19"/>
      <c r="C17" s="19"/>
      <c r="D17" s="19"/>
      <c r="E17" s="7" t="s">
        <v>34</v>
      </c>
      <c r="F17" s="8" t="str">
        <f>IFERROR(IF(AVERAGE(G16:R16)=0,"",IF(IFERROR(AVERAGEIF(G17:R17,"&gt;0",G17:R17),0)&gt;=AVERAGE(G16:R16),"✅ ",IF(IFERROR(AVERAGEIF(G17:R17,"&gt;0",G17:R17),0)&gt;=AVERAGE(G16:R16)*0.85,"🟡 ","🔴 "))&amp;TEXT((IFERROR(AVERAGEIF(G17:R17,"&gt;0",G17:R17),0)-AVERAGE(G16:R16))/AVERAGE(G16:R16),"+0.0%;-0.0%")),"")</f>
        <v>🔴 -100.0%</v>
      </c>
      <c r="G17" s="11">
        <f>IFERROR(COUNTIF(#REF!,"🟢 مؤجَّر")/MAX(1,COUNTA(#REF!)),0)</f>
        <v>0</v>
      </c>
      <c r="H17" s="11">
        <f>IFERROR(COUNTIF(#REF!,"🟢 مؤجَّر")/MAX(1,COUNTA(#REF!)),0)</f>
        <v>0</v>
      </c>
      <c r="I17" s="11">
        <f>IFERROR(COUNTIF(#REF!,"🟢 مؤجَّر")/MAX(1,COUNTA(#REF!)),0)</f>
        <v>0</v>
      </c>
      <c r="J17" s="11">
        <f>IFERROR(COUNTIF(#REF!,"🟢 مؤجَّر")/MAX(1,COUNTA(#REF!)),0)</f>
        <v>0</v>
      </c>
      <c r="K17" s="11">
        <f>IFERROR(COUNTIF(#REF!,"🟢 مؤجَّر")/MAX(1,COUNTA(#REF!)),0)</f>
        <v>0</v>
      </c>
      <c r="L17" s="11">
        <f>IFERROR(COUNTIF(#REF!,"🟢 مؤجَّر")/MAX(1,COUNTA(#REF!)),0)</f>
        <v>0</v>
      </c>
      <c r="M17" s="11">
        <f>IFERROR(COUNTIF(#REF!,"🟢 مؤجَّر")/MAX(1,COUNTA(#REF!)),0)</f>
        <v>0</v>
      </c>
      <c r="N17" s="11">
        <f>IFERROR(COUNTIF(#REF!,"🟢 مؤجَّر")/MAX(1,COUNTA(#REF!)),0)</f>
        <v>0</v>
      </c>
      <c r="O17" s="11">
        <f>IFERROR(COUNTIF(#REF!,"🟢 مؤجَّر")/MAX(1,COUNTA(#REF!)),0)</f>
        <v>0</v>
      </c>
      <c r="P17" s="11">
        <f>IFERROR(COUNTIF(#REF!,"🟢 مؤجَّر")/MAX(1,COUNTA(#REF!)),0)</f>
        <v>0</v>
      </c>
      <c r="Q17" s="11">
        <f>IFERROR(COUNTIF(#REF!,"🟢 مؤجَّر")/MAX(1,COUNTA(#REF!)),0)</f>
        <v>0</v>
      </c>
      <c r="R17" s="11">
        <f>IFERROR(COUNTIF(#REF!,"🟢 مؤجَّر")/MAX(1,COUNTA(#REF!)),0)</f>
        <v>0</v>
      </c>
    </row>
    <row r="18" spans="1:18" ht="21.75" customHeight="1">
      <c r="A18" s="20">
        <v>5</v>
      </c>
      <c r="B18" s="21" t="s">
        <v>43</v>
      </c>
      <c r="C18" s="18" t="s">
        <v>44</v>
      </c>
      <c r="D18" s="24" t="s">
        <v>45</v>
      </c>
      <c r="E18" s="4" t="s">
        <v>33</v>
      </c>
      <c r="F18" s="5"/>
      <c r="G18" s="12">
        <v>68</v>
      </c>
      <c r="H18" s="12">
        <v>68</v>
      </c>
      <c r="I18" s="12">
        <v>68</v>
      </c>
      <c r="J18" s="12">
        <v>68</v>
      </c>
      <c r="K18" s="12">
        <v>68</v>
      </c>
      <c r="L18" s="12">
        <v>68</v>
      </c>
      <c r="M18" s="12">
        <v>68</v>
      </c>
      <c r="N18" s="12">
        <v>68</v>
      </c>
      <c r="O18" s="12">
        <v>68</v>
      </c>
      <c r="P18" s="12">
        <v>68</v>
      </c>
      <c r="Q18" s="12">
        <v>68</v>
      </c>
      <c r="R18" s="12">
        <v>68</v>
      </c>
    </row>
    <row r="19" spans="1:18" ht="21.75" customHeight="1">
      <c r="A19" s="19"/>
      <c r="B19" s="19"/>
      <c r="C19" s="19"/>
      <c r="D19" s="19"/>
      <c r="E19" s="7" t="s">
        <v>34</v>
      </c>
      <c r="F19" s="8" t="str">
        <f>IFERROR(IF(AVERAGE(G18:R18)=0,"",IF(IFERROR(AVERAGEIF(G19:R19,"&gt;0",G19:R19),0)&gt;=AVERAGE(G18:R18),"✅ ",IF(IFERROR(AVERAGEIF(G19:R19,"&gt;0",G19:R19),0)&gt;=AVERAGE(G18:R18)*0.85,"🟡 ","🔴 "))&amp;TEXT((IFERROR(AVERAGEIF(G19:R19,"&gt;0",G19:R19),0)-AVERAGE(G18:R18))/AVERAGE(G18:R18),"+0.0%;-0.0%")),"")</f>
        <v>🔴 -100.0%</v>
      </c>
      <c r="G19" s="13" t="e">
        <f>COUNTIFS(#REF!,"&gt;="&amp;DATE(2026,1,1),#REF!,"&lt;"&amp;DATE(2026,1+1,1))</f>
        <v>#REF!</v>
      </c>
      <c r="H19" s="13" t="e">
        <f>COUNTIFS(#REF!,"&gt;="&amp;DATE(2026,2,1),#REF!,"&lt;"&amp;DATE(2026,2+1,1))</f>
        <v>#REF!</v>
      </c>
      <c r="I19" s="13" t="e">
        <f>COUNTIFS(#REF!,"&gt;="&amp;DATE(2026,3,1),#REF!,"&lt;"&amp;DATE(2026,3+1,1))</f>
        <v>#REF!</v>
      </c>
      <c r="J19" s="13" t="e">
        <f>COUNTIFS(#REF!,"&gt;="&amp;DATE(2026,4,1),#REF!,"&lt;"&amp;DATE(2026,4+1,1))</f>
        <v>#REF!</v>
      </c>
      <c r="K19" s="13" t="e">
        <f>COUNTIFS(#REF!,"&gt;="&amp;DATE(2026,5,1),#REF!,"&lt;"&amp;DATE(2026,5+1,1))</f>
        <v>#REF!</v>
      </c>
      <c r="L19" s="13" t="e">
        <f>COUNTIFS(#REF!,"&gt;="&amp;DATE(2026,6,1),#REF!,"&lt;"&amp;DATE(2026,6+1,1))</f>
        <v>#REF!</v>
      </c>
      <c r="M19" s="13" t="e">
        <f>COUNTIFS(#REF!,"&gt;="&amp;DATE(2026,7,1),#REF!,"&lt;"&amp;DATE(2026,7+1,1))</f>
        <v>#REF!</v>
      </c>
      <c r="N19" s="13" t="e">
        <f>COUNTIFS(#REF!,"&gt;="&amp;DATE(2026,8,1),#REF!,"&lt;"&amp;DATE(2026,8+1,1))</f>
        <v>#REF!</v>
      </c>
      <c r="O19" s="13" t="e">
        <f>COUNTIFS(#REF!,"&gt;="&amp;DATE(2026,9,1),#REF!,"&lt;"&amp;DATE(2026,9+1,1))</f>
        <v>#REF!</v>
      </c>
      <c r="P19" s="13" t="e">
        <f>COUNTIFS(#REF!,"&gt;="&amp;DATE(2026,10,1),#REF!,"&lt;"&amp;DATE(2026,10+1,1))</f>
        <v>#REF!</v>
      </c>
      <c r="Q19" s="13" t="e">
        <f>COUNTIFS(#REF!,"&gt;="&amp;DATE(2026,11,1),#REF!,"&lt;"&amp;DATE(2026,11+1,1))</f>
        <v>#REF!</v>
      </c>
      <c r="R19" s="13" t="e">
        <f>COUNTIFS(#REF!,"&gt;="&amp;DATE(2026,12,1),#REF!,"&lt;"&amp;DATE(2026,12+1,1))</f>
        <v>#REF!</v>
      </c>
    </row>
    <row r="20" spans="1:18" ht="21.75" customHeight="1">
      <c r="A20" s="20">
        <v>6</v>
      </c>
      <c r="B20" s="21" t="s">
        <v>46</v>
      </c>
      <c r="C20" s="18" t="s">
        <v>47</v>
      </c>
      <c r="D20" s="24" t="s">
        <v>48</v>
      </c>
      <c r="E20" s="4" t="s">
        <v>33</v>
      </c>
      <c r="F20" s="5"/>
      <c r="G20" s="12">
        <v>700</v>
      </c>
      <c r="H20" s="12">
        <v>700</v>
      </c>
      <c r="I20" s="12">
        <v>700</v>
      </c>
      <c r="J20" s="12">
        <v>700</v>
      </c>
      <c r="K20" s="12">
        <v>700</v>
      </c>
      <c r="L20" s="12">
        <v>700</v>
      </c>
      <c r="M20" s="12">
        <v>700</v>
      </c>
      <c r="N20" s="12">
        <v>700</v>
      </c>
      <c r="O20" s="12">
        <v>700</v>
      </c>
      <c r="P20" s="12">
        <v>700</v>
      </c>
      <c r="Q20" s="12">
        <v>700</v>
      </c>
      <c r="R20" s="12">
        <v>700</v>
      </c>
    </row>
    <row r="21" spans="1:18" ht="21.75" customHeight="1">
      <c r="A21" s="19"/>
      <c r="B21" s="19"/>
      <c r="C21" s="19"/>
      <c r="D21" s="19"/>
      <c r="E21" s="7" t="s">
        <v>34</v>
      </c>
      <c r="F21" s="8" t="str">
        <f>IFERROR(IF(AVERAGE(G20:R20)=0,"",IF(IFERROR(AVERAGEIF(G21:R21,"&gt;0",G21:R21),0)&gt;=AVERAGE(G20:R20),"✅ ",IF(IFERROR(AVERAGEIF(G21:R21,"&gt;0",G21:R21),0)&gt;=AVERAGE(G20:R20)*0.85,"🟡 ","🔴 "))&amp;TEXT((IFERROR(AVERAGEIF(G21:R21,"&gt;0",G21:R21),0)-AVERAGE(G20:R20))/AVERAGE(G20:R20),"+0.0%;-0.0%")),"")</f>
        <v>🔴 -100.0%</v>
      </c>
      <c r="G21" s="13" t="e">
        <f>COUNTIFS(#REF!,"&gt;="&amp;DATE(2026,1,1),#REF!,"&lt;"&amp;DATE(2026,1+1,1))</f>
        <v>#REF!</v>
      </c>
      <c r="H21" s="13" t="e">
        <f>COUNTIFS(#REF!,"&gt;="&amp;DATE(2026,2,1),#REF!,"&lt;"&amp;DATE(2026,2+1,1))</f>
        <v>#REF!</v>
      </c>
      <c r="I21" s="13" t="e">
        <f>COUNTIFS(#REF!,"&gt;="&amp;DATE(2026,3,1),#REF!,"&lt;"&amp;DATE(2026,3+1,1))</f>
        <v>#REF!</v>
      </c>
      <c r="J21" s="13" t="e">
        <f>COUNTIFS(#REF!,"&gt;="&amp;DATE(2026,4,1),#REF!,"&lt;"&amp;DATE(2026,4+1,1))</f>
        <v>#REF!</v>
      </c>
      <c r="K21" s="13" t="e">
        <f>COUNTIFS(#REF!,"&gt;="&amp;DATE(2026,5,1),#REF!,"&lt;"&amp;DATE(2026,5+1,1))</f>
        <v>#REF!</v>
      </c>
      <c r="L21" s="13" t="e">
        <f>COUNTIFS(#REF!,"&gt;="&amp;DATE(2026,6,1),#REF!,"&lt;"&amp;DATE(2026,6+1,1))</f>
        <v>#REF!</v>
      </c>
      <c r="M21" s="13" t="e">
        <f>COUNTIFS(#REF!,"&gt;="&amp;DATE(2026,7,1),#REF!,"&lt;"&amp;DATE(2026,7+1,1))</f>
        <v>#REF!</v>
      </c>
      <c r="N21" s="13" t="e">
        <f>COUNTIFS(#REF!,"&gt;="&amp;DATE(2026,8,1),#REF!,"&lt;"&amp;DATE(2026,8+1,1))</f>
        <v>#REF!</v>
      </c>
      <c r="O21" s="13" t="e">
        <f>COUNTIFS(#REF!,"&gt;="&amp;DATE(2026,9,1),#REF!,"&lt;"&amp;DATE(2026,9+1,1))</f>
        <v>#REF!</v>
      </c>
      <c r="P21" s="13" t="e">
        <f>COUNTIFS(#REF!,"&gt;="&amp;DATE(2026,10,1),#REF!,"&lt;"&amp;DATE(2026,10+1,1))</f>
        <v>#REF!</v>
      </c>
      <c r="Q21" s="13" t="e">
        <f>COUNTIFS(#REF!,"&gt;="&amp;DATE(2026,11,1),#REF!,"&lt;"&amp;DATE(2026,11+1,1))</f>
        <v>#REF!</v>
      </c>
      <c r="R21" s="13" t="e">
        <f>COUNTIFS(#REF!,"&gt;="&amp;DATE(2026,12,1),#REF!,"&lt;"&amp;DATE(2026,12+1,1))</f>
        <v>#REF!</v>
      </c>
    </row>
    <row r="22" spans="1:18" ht="21.75" customHeight="1">
      <c r="A22" s="20">
        <v>7</v>
      </c>
      <c r="B22" s="21" t="s">
        <v>49</v>
      </c>
      <c r="C22" s="18" t="s">
        <v>36</v>
      </c>
      <c r="D22" s="24" t="s">
        <v>50</v>
      </c>
      <c r="E22" s="4" t="s">
        <v>33</v>
      </c>
      <c r="F22" s="5"/>
      <c r="G22" s="10">
        <v>0.15</v>
      </c>
      <c r="H22" s="10">
        <v>0.15</v>
      </c>
      <c r="I22" s="10">
        <v>0.15</v>
      </c>
      <c r="J22" s="10">
        <v>0.15</v>
      </c>
      <c r="K22" s="10">
        <v>0.15</v>
      </c>
      <c r="L22" s="10">
        <v>0.15</v>
      </c>
      <c r="M22" s="10">
        <v>0.15</v>
      </c>
      <c r="N22" s="10">
        <v>0.15</v>
      </c>
      <c r="O22" s="10">
        <v>0.15</v>
      </c>
      <c r="P22" s="10">
        <v>0.15</v>
      </c>
      <c r="Q22" s="10">
        <v>0.15</v>
      </c>
      <c r="R22" s="10">
        <v>0.15</v>
      </c>
    </row>
    <row r="23" spans="1:18" ht="21.75" customHeight="1">
      <c r="A23" s="19"/>
      <c r="B23" s="19"/>
      <c r="C23" s="19"/>
      <c r="D23" s="19"/>
      <c r="E23" s="7" t="s">
        <v>34</v>
      </c>
      <c r="F23" s="8" t="str">
        <f>IFERROR(IF(AVERAGE(G22:R22)=0,"",IF(IFERROR(AVERAGEIF(G23:R23,"&gt;0",G23:R23),0)&gt;=AVERAGE(G22:R22),"✅ ",IF(IFERROR(AVERAGEIF(G23:R23,"&gt;0",G23:R23),0)&gt;=AVERAGE(G22:R22)*0.85,"🟡 ","🔴 "))&amp;TEXT((IFERROR(AVERAGEIF(G23:R23,"&gt;0",G23:R23),0)-AVERAGE(G22:R22))/AVERAGE(G22:R22),"+0.0%;-0.0%")),"")</f>
        <v>🔴 -100.0%</v>
      </c>
      <c r="G23" s="11">
        <f>IFERROR(COUNTIFS(#REF!,"&gt;="&amp;DATE(2026,1,1),#REF!,"&lt;"&amp;DATE(2026,1+1,1),#REF!,"توقيع عقد")/MAX(1,COUNTIFS(#REF!,"&gt;="&amp;DATE(2026,1,1),#REF!,"&lt;"&amp;DATE(2026,1+1,1))),0)</f>
        <v>0</v>
      </c>
      <c r="H23" s="11">
        <f>IFERROR(COUNTIFS(#REF!,"&gt;="&amp;DATE(2026,2,1),#REF!,"&lt;"&amp;DATE(2026,2+1,1),#REF!,"توقيع عقد")/MAX(1,COUNTIFS(#REF!,"&gt;="&amp;DATE(2026,2,1),#REF!,"&lt;"&amp;DATE(2026,2+1,1))),0)</f>
        <v>0</v>
      </c>
      <c r="I23" s="11">
        <f>IFERROR(COUNTIFS(#REF!,"&gt;="&amp;DATE(2026,3,1),#REF!,"&lt;"&amp;DATE(2026,3+1,1),#REF!,"توقيع عقد")/MAX(1,COUNTIFS(#REF!,"&gt;="&amp;DATE(2026,3,1),#REF!,"&lt;"&amp;DATE(2026,3+1,1))),0)</f>
        <v>0</v>
      </c>
      <c r="J23" s="11">
        <f>IFERROR(COUNTIFS(#REF!,"&gt;="&amp;DATE(2026,4,1),#REF!,"&lt;"&amp;DATE(2026,4+1,1),#REF!,"توقيع عقد")/MAX(1,COUNTIFS(#REF!,"&gt;="&amp;DATE(2026,4,1),#REF!,"&lt;"&amp;DATE(2026,4+1,1))),0)</f>
        <v>0</v>
      </c>
      <c r="K23" s="11">
        <f>IFERROR(COUNTIFS(#REF!,"&gt;="&amp;DATE(2026,5,1),#REF!,"&lt;"&amp;DATE(2026,5+1,1),#REF!,"توقيع عقد")/MAX(1,COUNTIFS(#REF!,"&gt;="&amp;DATE(2026,5,1),#REF!,"&lt;"&amp;DATE(2026,5+1,1))),0)</f>
        <v>0</v>
      </c>
      <c r="L23" s="11">
        <f>IFERROR(COUNTIFS(#REF!,"&gt;="&amp;DATE(2026,6,1),#REF!,"&lt;"&amp;DATE(2026,6+1,1),#REF!,"توقيع عقد")/MAX(1,COUNTIFS(#REF!,"&gt;="&amp;DATE(2026,6,1),#REF!,"&lt;"&amp;DATE(2026,6+1,1))),0)</f>
        <v>0</v>
      </c>
      <c r="M23" s="11">
        <f>IFERROR(COUNTIFS(#REF!,"&gt;="&amp;DATE(2026,7,1),#REF!,"&lt;"&amp;DATE(2026,7+1,1),#REF!,"توقيع عقد")/MAX(1,COUNTIFS(#REF!,"&gt;="&amp;DATE(2026,7,1),#REF!,"&lt;"&amp;DATE(2026,7+1,1))),0)</f>
        <v>0</v>
      </c>
      <c r="N23" s="11">
        <f>IFERROR(COUNTIFS(#REF!,"&gt;="&amp;DATE(2026,8,1),#REF!,"&lt;"&amp;DATE(2026,8+1,1),#REF!,"توقيع عقد")/MAX(1,COUNTIFS(#REF!,"&gt;="&amp;DATE(2026,8,1),#REF!,"&lt;"&amp;DATE(2026,8+1,1))),0)</f>
        <v>0</v>
      </c>
      <c r="O23" s="11">
        <f>IFERROR(COUNTIFS(#REF!,"&gt;="&amp;DATE(2026,9,1),#REF!,"&lt;"&amp;DATE(2026,9+1,1),#REF!,"توقيع عقد")/MAX(1,COUNTIFS(#REF!,"&gt;="&amp;DATE(2026,9,1),#REF!,"&lt;"&amp;DATE(2026,9+1,1))),0)</f>
        <v>0</v>
      </c>
      <c r="P23" s="11">
        <f>IFERROR(COUNTIFS(#REF!,"&gt;="&amp;DATE(2026,10,1),#REF!,"&lt;"&amp;DATE(2026,10+1,1),#REF!,"توقيع عقد")/MAX(1,COUNTIFS(#REF!,"&gt;="&amp;DATE(2026,10,1),#REF!,"&lt;"&amp;DATE(2026,10+1,1))),0)</f>
        <v>0</v>
      </c>
      <c r="Q23" s="11">
        <f>IFERROR(COUNTIFS(#REF!,"&gt;="&amp;DATE(2026,11,1),#REF!,"&lt;"&amp;DATE(2026,11+1,1),#REF!,"توقيع عقد")/MAX(1,COUNTIFS(#REF!,"&gt;="&amp;DATE(2026,11,1),#REF!,"&lt;"&amp;DATE(2026,11+1,1))),0)</f>
        <v>0</v>
      </c>
      <c r="R23" s="11">
        <f>IFERROR(COUNTIFS(#REF!,"&gt;="&amp;DATE(2026,12,1),#REF!,"&lt;"&amp;DATE(2026,12+1,1),#REF!,"توقيع عقد")/MAX(1,COUNTIFS(#REF!,"&gt;="&amp;DATE(2026,12,1),#REF!,"&lt;"&amp;DATE(2026,12+1,1))),0)</f>
        <v>0</v>
      </c>
    </row>
    <row r="24" spans="1:18" ht="21.75" customHeight="1">
      <c r="A24" s="20">
        <v>8</v>
      </c>
      <c r="B24" s="21" t="s">
        <v>51</v>
      </c>
      <c r="C24" s="18" t="s">
        <v>52</v>
      </c>
      <c r="D24" s="24" t="s">
        <v>53</v>
      </c>
      <c r="E24" s="4" t="s">
        <v>33</v>
      </c>
      <c r="F24" s="5"/>
      <c r="G24" s="12">
        <v>182</v>
      </c>
      <c r="H24" s="12">
        <v>188</v>
      </c>
      <c r="I24" s="12">
        <v>193</v>
      </c>
      <c r="J24" s="12">
        <v>199</v>
      </c>
      <c r="K24" s="12">
        <v>205</v>
      </c>
      <c r="L24" s="12">
        <v>211</v>
      </c>
      <c r="M24" s="12">
        <v>217</v>
      </c>
      <c r="N24" s="12">
        <v>223</v>
      </c>
      <c r="O24" s="12">
        <v>229</v>
      </c>
      <c r="P24" s="12">
        <v>234</v>
      </c>
      <c r="Q24" s="12">
        <v>240</v>
      </c>
      <c r="R24" s="12">
        <v>246</v>
      </c>
    </row>
    <row r="25" spans="1:18" ht="21.75" customHeight="1">
      <c r="A25" s="19"/>
      <c r="B25" s="19"/>
      <c r="C25" s="19"/>
      <c r="D25" s="19"/>
      <c r="E25" s="7" t="s">
        <v>34</v>
      </c>
      <c r="F25" s="8" t="str">
        <f>IFERROR(IF(AVERAGE(G24:R24)=0,"",IF(IFERROR(AVERAGEIF(G25:R25,"&gt;0",G25:R25),0)&gt;=AVERAGE(G24:R24),"✅ ",IF(IFERROR(AVERAGEIF(G25:R25,"&gt;0",G25:R25),0)&gt;=AVERAGE(G24:R24)*0.85,"🟡 ","🔴 "))&amp;TEXT((IFERROR(AVERAGEIF(G25:R25,"&gt;0",G25:R25),0)-AVERAGE(G24:R24))/AVERAGE(G24:R24),"+0.0%;-0.0%")),"")</f>
        <v>🔴 -17.7%</v>
      </c>
      <c r="G25" s="13">
        <f t="shared" ref="G25:R25" si="0">$N$4</f>
        <v>176</v>
      </c>
      <c r="H25" s="13">
        <f t="shared" si="0"/>
        <v>176</v>
      </c>
      <c r="I25" s="13">
        <f t="shared" si="0"/>
        <v>176</v>
      </c>
      <c r="J25" s="13">
        <f t="shared" si="0"/>
        <v>176</v>
      </c>
      <c r="K25" s="13">
        <f t="shared" si="0"/>
        <v>176</v>
      </c>
      <c r="L25" s="13">
        <f t="shared" si="0"/>
        <v>176</v>
      </c>
      <c r="M25" s="13">
        <f t="shared" si="0"/>
        <v>176</v>
      </c>
      <c r="N25" s="13">
        <f t="shared" si="0"/>
        <v>176</v>
      </c>
      <c r="O25" s="13">
        <f t="shared" si="0"/>
        <v>176</v>
      </c>
      <c r="P25" s="13">
        <f t="shared" si="0"/>
        <v>176</v>
      </c>
      <c r="Q25" s="13">
        <f t="shared" si="0"/>
        <v>176</v>
      </c>
      <c r="R25" s="13">
        <f t="shared" si="0"/>
        <v>176</v>
      </c>
    </row>
    <row r="26" spans="1:18" ht="25.5" customHeight="1">
      <c r="A26" s="25" t="s">
        <v>54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spans="1:18" ht="21.75" customHeight="1">
      <c r="A27" s="20">
        <v>9</v>
      </c>
      <c r="B27" s="21" t="s">
        <v>55</v>
      </c>
      <c r="C27" s="18" t="s">
        <v>36</v>
      </c>
      <c r="D27" s="24" t="s">
        <v>56</v>
      </c>
      <c r="E27" s="4" t="s">
        <v>33</v>
      </c>
      <c r="F27" s="5"/>
      <c r="G27" s="10">
        <v>0.3</v>
      </c>
      <c r="H27" s="10">
        <v>0.35</v>
      </c>
      <c r="I27" s="10">
        <v>0.4</v>
      </c>
      <c r="J27" s="10">
        <v>0.45</v>
      </c>
      <c r="K27" s="10">
        <v>0.5</v>
      </c>
      <c r="L27" s="10">
        <v>0.55000000000000004</v>
      </c>
      <c r="M27" s="10">
        <v>0.6</v>
      </c>
      <c r="N27" s="10">
        <v>0.65</v>
      </c>
      <c r="O27" s="10">
        <v>0.7</v>
      </c>
      <c r="P27" s="10">
        <v>0.75</v>
      </c>
      <c r="Q27" s="10">
        <v>0.8</v>
      </c>
      <c r="R27" s="10">
        <v>0.85</v>
      </c>
    </row>
    <row r="28" spans="1:18" ht="21.75" customHeight="1">
      <c r="A28" s="19"/>
      <c r="B28" s="19"/>
      <c r="C28" s="19"/>
      <c r="D28" s="19"/>
      <c r="E28" s="7" t="s">
        <v>34</v>
      </c>
      <c r="F28" s="8" t="str">
        <f>IFERROR(IF(AVERAGE(G27:R27)=0,"",IF(IFERROR(AVERAGEIF(G28:R28,"&gt;0",G28:R28),0)&gt;=AVERAGE(G27:R27),"✅ ",IF(IFERROR(AVERAGEIF(G28:R28,"&gt;0",G28:R28),0)&gt;=AVERAGE(G27:R27)*0.85,"🟡 ","🔴 "))&amp;TEXT((IFERROR(AVERAGEIF(G28:R28,"&gt;0",G28:R28),0)-AVERAGE(G27:R27))/AVERAGE(G27:R27),"+0.0%;-0.0%")),"")</f>
        <v>🔴 -100.0%</v>
      </c>
      <c r="G28" s="11">
        <f>IFERROR(COUNTIFS(#REF!,"🟢 مؤجَّر",#REF!,"ساحة درب")/MAX(1,COUNTIF(#REF!,"ساحة درب")),0)</f>
        <v>0</v>
      </c>
      <c r="H28" s="11">
        <f>IFERROR(COUNTIFS(#REF!,"🟢 مؤجَّر",#REF!,"ساحة درب")/MAX(1,COUNTIF(#REF!,"ساحة درب")),0)</f>
        <v>0</v>
      </c>
      <c r="I28" s="11">
        <f>IFERROR(COUNTIFS(#REF!,"🟢 مؤجَّر",#REF!,"ساحة درب")/MAX(1,COUNTIF(#REF!,"ساحة درب")),0)</f>
        <v>0</v>
      </c>
      <c r="J28" s="11">
        <f>IFERROR(COUNTIFS(#REF!,"🟢 مؤجَّر",#REF!,"ساحة درب")/MAX(1,COUNTIF(#REF!,"ساحة درب")),0)</f>
        <v>0</v>
      </c>
      <c r="K28" s="11">
        <f>IFERROR(COUNTIFS(#REF!,"🟢 مؤجَّر",#REF!,"ساحة درب")/MAX(1,COUNTIF(#REF!,"ساحة درب")),0)</f>
        <v>0</v>
      </c>
      <c r="L28" s="11">
        <f>IFERROR(COUNTIFS(#REF!,"🟢 مؤجَّر",#REF!,"ساحة درب")/MAX(1,COUNTIF(#REF!,"ساحة درب")),0)</f>
        <v>0</v>
      </c>
      <c r="M28" s="11">
        <f>IFERROR(COUNTIFS(#REF!,"🟢 مؤجَّر",#REF!,"ساحة درب")/MAX(1,COUNTIF(#REF!,"ساحة درب")),0)</f>
        <v>0</v>
      </c>
      <c r="N28" s="11">
        <f>IFERROR(COUNTIFS(#REF!,"🟢 مؤجَّر",#REF!,"ساحة درب")/MAX(1,COUNTIF(#REF!,"ساحة درب")),0)</f>
        <v>0</v>
      </c>
      <c r="O28" s="11">
        <f>IFERROR(COUNTIFS(#REF!,"🟢 مؤجَّر",#REF!,"ساحة درب")/MAX(1,COUNTIF(#REF!,"ساحة درب")),0)</f>
        <v>0</v>
      </c>
      <c r="P28" s="11">
        <f>IFERROR(COUNTIFS(#REF!,"🟢 مؤجَّر",#REF!,"ساحة درب")/MAX(1,COUNTIF(#REF!,"ساحة درب")),0)</f>
        <v>0</v>
      </c>
      <c r="Q28" s="11">
        <f>IFERROR(COUNTIFS(#REF!,"🟢 مؤجَّر",#REF!,"ساحة درب")/MAX(1,COUNTIF(#REF!,"ساحة درب")),0)</f>
        <v>0</v>
      </c>
      <c r="R28" s="11">
        <f>IFERROR(COUNTIFS(#REF!,"🟢 مؤجَّر",#REF!,"ساحة درب")/MAX(1,COUNTIF(#REF!,"ساحة درب")),0)</f>
        <v>0</v>
      </c>
    </row>
    <row r="29" spans="1:18" ht="21.75" customHeight="1">
      <c r="A29" s="20">
        <v>10</v>
      </c>
      <c r="B29" s="21" t="s">
        <v>57</v>
      </c>
      <c r="C29" s="18" t="s">
        <v>52</v>
      </c>
      <c r="D29" s="24" t="s">
        <v>58</v>
      </c>
      <c r="E29" s="4" t="s">
        <v>33</v>
      </c>
      <c r="F29" s="5"/>
      <c r="G29" s="12">
        <v>6</v>
      </c>
      <c r="H29" s="12">
        <v>6</v>
      </c>
      <c r="I29" s="12">
        <v>6</v>
      </c>
      <c r="J29" s="12">
        <v>6</v>
      </c>
      <c r="K29" s="12">
        <v>6</v>
      </c>
      <c r="L29" s="12">
        <v>6</v>
      </c>
      <c r="M29" s="12">
        <v>6</v>
      </c>
      <c r="N29" s="12">
        <v>6</v>
      </c>
      <c r="O29" s="12">
        <v>6</v>
      </c>
      <c r="P29" s="12">
        <v>6</v>
      </c>
      <c r="Q29" s="12">
        <v>6</v>
      </c>
      <c r="R29" s="12">
        <v>6</v>
      </c>
    </row>
    <row r="30" spans="1:18" ht="21.75" customHeight="1">
      <c r="A30" s="19"/>
      <c r="B30" s="19"/>
      <c r="C30" s="19"/>
      <c r="D30" s="19"/>
      <c r="E30" s="7" t="s">
        <v>34</v>
      </c>
      <c r="F30" s="8" t="str">
        <f>IFERROR(IF(AVERAGE(G29:R29)=0,"",IF(IFERROR(AVERAGEIF(G30:R30,"&gt;0",G30:R30),0)&gt;=AVERAGE(G29:R29),"✅ ",IF(IFERROR(AVERAGEIF(G30:R30,"&gt;0",G30:R30),0)&gt;=AVERAGE(G29:R29)*0.85,"🟡 ","🔴 "))&amp;TEXT((IFERROR(AVERAGEIF(G30:R30,"&gt;0",G30:R30),0)-AVERAGE(G29:R29))/AVERAGE(G29:R29),"+0.0%;-0.0%")),"")</f>
        <v>🔴 -100.0%</v>
      </c>
      <c r="G30" s="13">
        <f t="shared" ref="G30:R30" si="1">$I$4</f>
        <v>0</v>
      </c>
      <c r="H30" s="13">
        <f t="shared" si="1"/>
        <v>0</v>
      </c>
      <c r="I30" s="13">
        <f t="shared" si="1"/>
        <v>0</v>
      </c>
      <c r="J30" s="13">
        <f t="shared" si="1"/>
        <v>0</v>
      </c>
      <c r="K30" s="13">
        <f t="shared" si="1"/>
        <v>0</v>
      </c>
      <c r="L30" s="13">
        <f t="shared" si="1"/>
        <v>0</v>
      </c>
      <c r="M30" s="13">
        <f t="shared" si="1"/>
        <v>0</v>
      </c>
      <c r="N30" s="13">
        <f t="shared" si="1"/>
        <v>0</v>
      </c>
      <c r="O30" s="13">
        <f t="shared" si="1"/>
        <v>0</v>
      </c>
      <c r="P30" s="13">
        <f t="shared" si="1"/>
        <v>0</v>
      </c>
      <c r="Q30" s="13">
        <f t="shared" si="1"/>
        <v>0</v>
      </c>
      <c r="R30" s="13">
        <f t="shared" si="1"/>
        <v>0</v>
      </c>
    </row>
    <row r="31" spans="1:18" ht="21.75" customHeight="1">
      <c r="A31" s="20">
        <v>11</v>
      </c>
      <c r="B31" s="21" t="s">
        <v>59</v>
      </c>
      <c r="C31" s="18" t="s">
        <v>60</v>
      </c>
      <c r="D31" s="24" t="s">
        <v>61</v>
      </c>
      <c r="E31" s="4" t="s">
        <v>33</v>
      </c>
      <c r="F31" s="5"/>
      <c r="G31" s="12">
        <v>5</v>
      </c>
      <c r="H31" s="12">
        <v>5</v>
      </c>
      <c r="I31" s="12">
        <v>5</v>
      </c>
      <c r="J31" s="12">
        <v>5</v>
      </c>
      <c r="K31" s="12">
        <v>5</v>
      </c>
      <c r="L31" s="12">
        <v>5</v>
      </c>
      <c r="M31" s="12">
        <v>5</v>
      </c>
      <c r="N31" s="12">
        <v>5</v>
      </c>
      <c r="O31" s="12">
        <v>5</v>
      </c>
      <c r="P31" s="12">
        <v>5</v>
      </c>
      <c r="Q31" s="12">
        <v>5</v>
      </c>
      <c r="R31" s="12">
        <v>5</v>
      </c>
    </row>
    <row r="32" spans="1:18" ht="21.75" customHeight="1">
      <c r="A32" s="19"/>
      <c r="B32" s="19"/>
      <c r="C32" s="19"/>
      <c r="D32" s="19"/>
      <c r="E32" s="7" t="s">
        <v>34</v>
      </c>
      <c r="F32" s="8" t="str">
        <f>IFERROR(IF(AVERAGE(G31:R31)=0,"",IF(IFERROR(AVERAGEIF(G32:R32,"&gt;0",G32:R32),0)&gt;=AVERAGE(G31:R31),"✅ ",IF(IFERROR(AVERAGEIF(G32:R32,"&gt;0",G32:R32),0)&gt;=AVERAGE(G31:R31)*0.85,"🟡 ","🔴 "))&amp;TEXT((IFERROR(AVERAGEIF(G32:R32,"&gt;0",G32:R32),0)-AVERAGE(G31:R31))/AVERAGE(G31:R31),"+0.0%;-0.0%")),"")</f>
        <v>🔴 -100.0%</v>
      </c>
      <c r="G32" s="13">
        <f t="shared" ref="G32:R32" si="2">$D$4</f>
        <v>0</v>
      </c>
      <c r="H32" s="13">
        <f t="shared" si="2"/>
        <v>0</v>
      </c>
      <c r="I32" s="13">
        <f t="shared" si="2"/>
        <v>0</v>
      </c>
      <c r="J32" s="13">
        <f t="shared" si="2"/>
        <v>0</v>
      </c>
      <c r="K32" s="13">
        <f t="shared" si="2"/>
        <v>0</v>
      </c>
      <c r="L32" s="13">
        <f t="shared" si="2"/>
        <v>0</v>
      </c>
      <c r="M32" s="13">
        <f t="shared" si="2"/>
        <v>0</v>
      </c>
      <c r="N32" s="13">
        <f t="shared" si="2"/>
        <v>0</v>
      </c>
      <c r="O32" s="13">
        <f t="shared" si="2"/>
        <v>0</v>
      </c>
      <c r="P32" s="13">
        <f t="shared" si="2"/>
        <v>0</v>
      </c>
      <c r="Q32" s="13">
        <f t="shared" si="2"/>
        <v>0</v>
      </c>
      <c r="R32" s="13">
        <f t="shared" si="2"/>
        <v>0</v>
      </c>
    </row>
    <row r="33" spans="1:18" ht="25.5" customHeight="1">
      <c r="A33" s="23" t="s">
        <v>62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18" ht="21.75" customHeight="1">
      <c r="A34" s="20">
        <v>12</v>
      </c>
      <c r="B34" s="21" t="s">
        <v>63</v>
      </c>
      <c r="C34" s="18" t="s">
        <v>36</v>
      </c>
      <c r="D34" s="24" t="s">
        <v>37</v>
      </c>
      <c r="E34" s="4" t="s">
        <v>33</v>
      </c>
      <c r="F34" s="5"/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</row>
    <row r="35" spans="1:18" ht="21.75" customHeight="1">
      <c r="A35" s="19"/>
      <c r="B35" s="19"/>
      <c r="C35" s="19"/>
      <c r="D35" s="19"/>
      <c r="E35" s="7" t="s">
        <v>34</v>
      </c>
      <c r="F35" s="8" t="str">
        <f>IFERROR(IF(AVERAGE(G34:R34)=0,"",IF(IFERROR(AVERAGEIF(G35:R35,"&gt;0",G35:R35),0)&gt;=AVERAGE(G34:R34),"✅ ",IF(IFERROR(AVERAGEIF(G35:R35,"&gt;0",G35:R35),0)&gt;=AVERAGE(G34:R34)*0.85,"🟡 ","🔴 "))&amp;TEXT((IFERROR(AVERAGEIF(G35:R35,"&gt;0",G35:R35),0)-AVERAGE(G34:R34))/AVERAGE(G34:R34),"+0.0%;-0.0%")),"")</f>
        <v>🔴 -100.0%</v>
      </c>
      <c r="G35" s="11">
        <f>IFERROR(COUNTIFS(#REF!,"&gt;="&amp;DATE(2026,1,1),#REF!,"&lt;"&amp;DATE(2026,1+1,1),#REF!,"نشط")/MAX(1,COUNTIFS(#REF!,"&gt;="&amp;DATE(2026,1,1),#REF!,"&lt;"&amp;DATE(2026,1+1,1))),0)</f>
        <v>0</v>
      </c>
      <c r="H35" s="11">
        <f>IFERROR(COUNTIFS(#REF!,"&gt;="&amp;DATE(2026,2,1),#REF!,"&lt;"&amp;DATE(2026,2+1,1),#REF!,"نشط")/MAX(1,COUNTIFS(#REF!,"&gt;="&amp;DATE(2026,2,1),#REF!,"&lt;"&amp;DATE(2026,2+1,1))),0)</f>
        <v>0</v>
      </c>
      <c r="I35" s="11">
        <f>IFERROR(COUNTIFS(#REF!,"&gt;="&amp;DATE(2026,3,1),#REF!,"&lt;"&amp;DATE(2026,3+1,1),#REF!,"نشط")/MAX(1,COUNTIFS(#REF!,"&gt;="&amp;DATE(2026,3,1),#REF!,"&lt;"&amp;DATE(2026,3+1,1))),0)</f>
        <v>0</v>
      </c>
      <c r="J35" s="11">
        <f>IFERROR(COUNTIFS(#REF!,"&gt;="&amp;DATE(2026,4,1),#REF!,"&lt;"&amp;DATE(2026,4+1,1),#REF!,"نشط")/MAX(1,COUNTIFS(#REF!,"&gt;="&amp;DATE(2026,4,1),#REF!,"&lt;"&amp;DATE(2026,4+1,1))),0)</f>
        <v>0</v>
      </c>
      <c r="K35" s="11">
        <f>IFERROR(COUNTIFS(#REF!,"&gt;="&amp;DATE(2026,5,1),#REF!,"&lt;"&amp;DATE(2026,5+1,1),#REF!,"نشط")/MAX(1,COUNTIFS(#REF!,"&gt;="&amp;DATE(2026,5,1),#REF!,"&lt;"&amp;DATE(2026,5+1,1))),0)</f>
        <v>0</v>
      </c>
      <c r="L35" s="11">
        <f>IFERROR(COUNTIFS(#REF!,"&gt;="&amp;DATE(2026,6,1),#REF!,"&lt;"&amp;DATE(2026,6+1,1),#REF!,"نشط")/MAX(1,COUNTIFS(#REF!,"&gt;="&amp;DATE(2026,6,1),#REF!,"&lt;"&amp;DATE(2026,6+1,1))),0)</f>
        <v>0</v>
      </c>
      <c r="M35" s="11">
        <f>IFERROR(COUNTIFS(#REF!,"&gt;="&amp;DATE(2026,7,1),#REF!,"&lt;"&amp;DATE(2026,7+1,1),#REF!,"نشط")/MAX(1,COUNTIFS(#REF!,"&gt;="&amp;DATE(2026,7,1),#REF!,"&lt;"&amp;DATE(2026,7+1,1))),0)</f>
        <v>0</v>
      </c>
      <c r="N35" s="11">
        <f>IFERROR(COUNTIFS(#REF!,"&gt;="&amp;DATE(2026,8,1),#REF!,"&lt;"&amp;DATE(2026,8+1,1),#REF!,"نشط")/MAX(1,COUNTIFS(#REF!,"&gt;="&amp;DATE(2026,8,1),#REF!,"&lt;"&amp;DATE(2026,8+1,1))),0)</f>
        <v>0</v>
      </c>
      <c r="O35" s="11">
        <f>IFERROR(COUNTIFS(#REF!,"&gt;="&amp;DATE(2026,9,1),#REF!,"&lt;"&amp;DATE(2026,9+1,1),#REF!,"نشط")/MAX(1,COUNTIFS(#REF!,"&gt;="&amp;DATE(2026,9,1),#REF!,"&lt;"&amp;DATE(2026,9+1,1))),0)</f>
        <v>0</v>
      </c>
      <c r="P35" s="11">
        <f>IFERROR(COUNTIFS(#REF!,"&gt;="&amp;DATE(2026,10,1),#REF!,"&lt;"&amp;DATE(2026,10+1,1),#REF!,"نشط")/MAX(1,COUNTIFS(#REF!,"&gt;="&amp;DATE(2026,10,1),#REF!,"&lt;"&amp;DATE(2026,10+1,1))),0)</f>
        <v>0</v>
      </c>
      <c r="Q35" s="11">
        <f>IFERROR(COUNTIFS(#REF!,"&gt;="&amp;DATE(2026,11,1),#REF!,"&lt;"&amp;DATE(2026,11+1,1),#REF!,"نشط")/MAX(1,COUNTIFS(#REF!,"&gt;="&amp;DATE(2026,11,1),#REF!,"&lt;"&amp;DATE(2026,11+1,1))),0)</f>
        <v>0</v>
      </c>
      <c r="R35" s="11">
        <f>IFERROR(COUNTIFS(#REF!,"&gt;="&amp;DATE(2026,12,1),#REF!,"&lt;"&amp;DATE(2026,12+1,1),#REF!,"نشط")/MAX(1,COUNTIFS(#REF!,"&gt;="&amp;DATE(2026,12,1),#REF!,"&lt;"&amp;DATE(2026,12+1,1))),0)</f>
        <v>0</v>
      </c>
    </row>
    <row r="36" spans="1:18" ht="25.5" customHeight="1">
      <c r="A36" s="26" t="s">
        <v>64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21.75" customHeight="1">
      <c r="A37" s="20">
        <v>13</v>
      </c>
      <c r="B37" s="21" t="s">
        <v>65</v>
      </c>
      <c r="C37" s="18" t="s">
        <v>66</v>
      </c>
      <c r="D37" s="24" t="s">
        <v>67</v>
      </c>
      <c r="E37" s="4" t="s">
        <v>33</v>
      </c>
      <c r="F37" s="5"/>
      <c r="G37" s="14">
        <v>7</v>
      </c>
      <c r="H37" s="14">
        <v>7</v>
      </c>
      <c r="I37" s="14">
        <v>7</v>
      </c>
      <c r="J37" s="14">
        <v>7</v>
      </c>
      <c r="K37" s="14">
        <v>7</v>
      </c>
      <c r="L37" s="14">
        <v>7</v>
      </c>
      <c r="M37" s="14">
        <v>7</v>
      </c>
      <c r="N37" s="14">
        <v>7</v>
      </c>
      <c r="O37" s="14">
        <v>7</v>
      </c>
      <c r="P37" s="14">
        <v>7</v>
      </c>
      <c r="Q37" s="14">
        <v>7</v>
      </c>
      <c r="R37" s="14">
        <v>7</v>
      </c>
    </row>
    <row r="38" spans="1:18" ht="21.75" customHeight="1">
      <c r="A38" s="19"/>
      <c r="B38" s="19"/>
      <c r="C38" s="19"/>
      <c r="D38" s="19"/>
      <c r="E38" s="7" t="s">
        <v>34</v>
      </c>
      <c r="F38" s="8" t="str">
        <f>IFERROR(IF(AVERAGE(G37:R37)=0,"",IF(IFERROR(AVERAGEIF(G38:R38,"&gt;0",G38:R38),0)&lt;=AVERAGE(G37:R37),"✅ ",IF(IFERROR(AVERAGEIF(G38:R38,"&gt;0",G38:R38),0)&lt;=AVERAGE(G37:R37)*1.3,"🟡 ","🔴 "))&amp;TEXT((IFERROR(AVERAGEIF(G38:R38,"&gt;0",G38:R38),0)-AVERAGE(G37:R37))/AVERAGE(G37:R37),"+0.0%;-0.0%")),"")</f>
        <v>✅ -100.0%</v>
      </c>
      <c r="G38" s="15">
        <f>IFERROR(AVERAGEIFS(#REF!,#REF!,"&gt;="&amp;DATE(2026,1,1),#REF!,"&lt;"&amp;DATE(2026,1+1,1)),0)</f>
        <v>0</v>
      </c>
      <c r="H38" s="15">
        <f>IFERROR(AVERAGEIFS(#REF!,#REF!,"&gt;="&amp;DATE(2026,2,1),#REF!,"&lt;"&amp;DATE(2026,2+1,1)),0)</f>
        <v>0</v>
      </c>
      <c r="I38" s="15">
        <f>IFERROR(AVERAGEIFS(#REF!,#REF!,"&gt;="&amp;DATE(2026,3,1),#REF!,"&lt;"&amp;DATE(2026,3+1,1)),0)</f>
        <v>0</v>
      </c>
      <c r="J38" s="15">
        <f>IFERROR(AVERAGEIFS(#REF!,#REF!,"&gt;="&amp;DATE(2026,4,1),#REF!,"&lt;"&amp;DATE(2026,4+1,1)),0)</f>
        <v>0</v>
      </c>
      <c r="K38" s="15">
        <f>IFERROR(AVERAGEIFS(#REF!,#REF!,"&gt;="&amp;DATE(2026,5,1),#REF!,"&lt;"&amp;DATE(2026,5+1,1)),0)</f>
        <v>0</v>
      </c>
      <c r="L38" s="15">
        <f>IFERROR(AVERAGEIFS(#REF!,#REF!,"&gt;="&amp;DATE(2026,6,1),#REF!,"&lt;"&amp;DATE(2026,6+1,1)),0)</f>
        <v>0</v>
      </c>
      <c r="M38" s="15">
        <f>IFERROR(AVERAGEIFS(#REF!,#REF!,"&gt;="&amp;DATE(2026,7,1),#REF!,"&lt;"&amp;DATE(2026,7+1,1)),0)</f>
        <v>0</v>
      </c>
      <c r="N38" s="15">
        <f>IFERROR(AVERAGEIFS(#REF!,#REF!,"&gt;="&amp;DATE(2026,8,1),#REF!,"&lt;"&amp;DATE(2026,8+1,1)),0)</f>
        <v>0</v>
      </c>
      <c r="O38" s="15">
        <f>IFERROR(AVERAGEIFS(#REF!,#REF!,"&gt;="&amp;DATE(2026,9,1),#REF!,"&lt;"&amp;DATE(2026,9+1,1)),0)</f>
        <v>0</v>
      </c>
      <c r="P38" s="15">
        <f>IFERROR(AVERAGEIFS(#REF!,#REF!,"&gt;="&amp;DATE(2026,10,1),#REF!,"&lt;"&amp;DATE(2026,10+1,1)),0)</f>
        <v>0</v>
      </c>
      <c r="Q38" s="15">
        <f>IFERROR(AVERAGEIFS(#REF!,#REF!,"&gt;="&amp;DATE(2026,11,1),#REF!,"&lt;"&amp;DATE(2026,11+1,1)),0)</f>
        <v>0</v>
      </c>
      <c r="R38" s="15">
        <f>IFERROR(AVERAGEIFS(#REF!,#REF!,"&gt;="&amp;DATE(2026,12,1),#REF!,"&lt;"&amp;DATE(2026,12+1,1)),0)</f>
        <v>0</v>
      </c>
    </row>
    <row r="39" spans="1:18" ht="21.75" customHeight="1">
      <c r="A39" s="20">
        <v>14</v>
      </c>
      <c r="B39" s="21" t="s">
        <v>68</v>
      </c>
      <c r="C39" s="18" t="s">
        <v>36</v>
      </c>
      <c r="D39" s="24" t="s">
        <v>69</v>
      </c>
      <c r="E39" s="4" t="s">
        <v>33</v>
      </c>
      <c r="F39" s="5"/>
      <c r="G39" s="10">
        <v>0.9</v>
      </c>
      <c r="H39" s="10">
        <v>0.9</v>
      </c>
      <c r="I39" s="10">
        <v>0.9</v>
      </c>
      <c r="J39" s="10">
        <v>0.9</v>
      </c>
      <c r="K39" s="10">
        <v>0.9</v>
      </c>
      <c r="L39" s="10">
        <v>0.9</v>
      </c>
      <c r="M39" s="10">
        <v>0.9</v>
      </c>
      <c r="N39" s="10">
        <v>0.9</v>
      </c>
      <c r="O39" s="10">
        <v>0.9</v>
      </c>
      <c r="P39" s="10">
        <v>0.9</v>
      </c>
      <c r="Q39" s="10">
        <v>0.9</v>
      </c>
      <c r="R39" s="10">
        <v>0.9</v>
      </c>
    </row>
    <row r="40" spans="1:18" ht="21.75" customHeight="1">
      <c r="A40" s="19"/>
      <c r="B40" s="19"/>
      <c r="C40" s="19"/>
      <c r="D40" s="19"/>
      <c r="E40" s="7" t="s">
        <v>34</v>
      </c>
      <c r="F40" s="8" t="str">
        <f>IFERROR(IF(AVERAGE(G39:R39)=0,"",IF(IFERROR(AVERAGEIF(G40:R40,"&gt;0",G40:R40),0)&gt;=AVERAGE(G39:R39),"✅ ",IF(IFERROR(AVERAGEIF(G40:R40,"&gt;0",G40:R40),0)&gt;=AVERAGE(G39:R39)*0.85,"🟡 ","🔴 "))&amp;TEXT((IFERROR(AVERAGEIF(G40:R40,"&gt;0",G40:R40),0)-AVERAGE(G39:R39))/AVERAGE(G39:R39),"+0.0%;-0.0%")),"")</f>
        <v>🔴 -100.0%</v>
      </c>
      <c r="G40" s="11">
        <f>IFERROR(COUNTIFS(#REF!,"&gt;="&amp;DATE(2026,1,1),#REF!,"&lt;"&amp;DATE(2026,1+1,1),#REF!,"*سريع*")/MAX(1,COUNTIFS(#REF!,"&gt;="&amp;DATE(2026,1,1),#REF!,"&lt;"&amp;DATE(2026,1+1,1))),0)</f>
        <v>0</v>
      </c>
      <c r="H40" s="11">
        <f>IFERROR(COUNTIFS(#REF!,"&gt;="&amp;DATE(2026,2,1),#REF!,"&lt;"&amp;DATE(2026,2+1,1),#REF!,"*سريع*")/MAX(1,COUNTIFS(#REF!,"&gt;="&amp;DATE(2026,2,1),#REF!,"&lt;"&amp;DATE(2026,2+1,1))),0)</f>
        <v>0</v>
      </c>
      <c r="I40" s="11">
        <f>IFERROR(COUNTIFS(#REF!,"&gt;="&amp;DATE(2026,3,1),#REF!,"&lt;"&amp;DATE(2026,3+1,1),#REF!,"*سريع*")/MAX(1,COUNTIFS(#REF!,"&gt;="&amp;DATE(2026,3,1),#REF!,"&lt;"&amp;DATE(2026,3+1,1))),0)</f>
        <v>0</v>
      </c>
      <c r="J40" s="11">
        <f>IFERROR(COUNTIFS(#REF!,"&gt;="&amp;DATE(2026,4,1),#REF!,"&lt;"&amp;DATE(2026,4+1,1),#REF!,"*سريع*")/MAX(1,COUNTIFS(#REF!,"&gt;="&amp;DATE(2026,4,1),#REF!,"&lt;"&amp;DATE(2026,4+1,1))),0)</f>
        <v>0</v>
      </c>
      <c r="K40" s="11">
        <f>IFERROR(COUNTIFS(#REF!,"&gt;="&amp;DATE(2026,5,1),#REF!,"&lt;"&amp;DATE(2026,5+1,1),#REF!,"*سريع*")/MAX(1,COUNTIFS(#REF!,"&gt;="&amp;DATE(2026,5,1),#REF!,"&lt;"&amp;DATE(2026,5+1,1))),0)</f>
        <v>0</v>
      </c>
      <c r="L40" s="11">
        <f>IFERROR(COUNTIFS(#REF!,"&gt;="&amp;DATE(2026,6,1),#REF!,"&lt;"&amp;DATE(2026,6+1,1),#REF!,"*سريع*")/MAX(1,COUNTIFS(#REF!,"&gt;="&amp;DATE(2026,6,1),#REF!,"&lt;"&amp;DATE(2026,6+1,1))),0)</f>
        <v>0</v>
      </c>
      <c r="M40" s="11">
        <f>IFERROR(COUNTIFS(#REF!,"&gt;="&amp;DATE(2026,7,1),#REF!,"&lt;"&amp;DATE(2026,7+1,1),#REF!,"*سريع*")/MAX(1,COUNTIFS(#REF!,"&gt;="&amp;DATE(2026,7,1),#REF!,"&lt;"&amp;DATE(2026,7+1,1))),0)</f>
        <v>0</v>
      </c>
      <c r="N40" s="11">
        <f>IFERROR(COUNTIFS(#REF!,"&gt;="&amp;DATE(2026,8,1),#REF!,"&lt;"&amp;DATE(2026,8+1,1),#REF!,"*سريع*")/MAX(1,COUNTIFS(#REF!,"&gt;="&amp;DATE(2026,8,1),#REF!,"&lt;"&amp;DATE(2026,8+1,1))),0)</f>
        <v>0</v>
      </c>
      <c r="O40" s="11">
        <f>IFERROR(COUNTIFS(#REF!,"&gt;="&amp;DATE(2026,9,1),#REF!,"&lt;"&amp;DATE(2026,9+1,1),#REF!,"*سريع*")/MAX(1,COUNTIFS(#REF!,"&gt;="&amp;DATE(2026,9,1),#REF!,"&lt;"&amp;DATE(2026,9+1,1))),0)</f>
        <v>0</v>
      </c>
      <c r="P40" s="11">
        <f>IFERROR(COUNTIFS(#REF!,"&gt;="&amp;DATE(2026,10,1),#REF!,"&lt;"&amp;DATE(2026,10+1,1),#REF!,"*سريع*")/MAX(1,COUNTIFS(#REF!,"&gt;="&amp;DATE(2026,10,1),#REF!,"&lt;"&amp;DATE(2026,10+1,1))),0)</f>
        <v>0</v>
      </c>
      <c r="Q40" s="11">
        <f>IFERROR(COUNTIFS(#REF!,"&gt;="&amp;DATE(2026,11,1),#REF!,"&lt;"&amp;DATE(2026,11+1,1),#REF!,"*سريع*")/MAX(1,COUNTIFS(#REF!,"&gt;="&amp;DATE(2026,11,1),#REF!,"&lt;"&amp;DATE(2026,11+1,1))),0)</f>
        <v>0</v>
      </c>
      <c r="R40" s="11">
        <f>IFERROR(COUNTIFS(#REF!,"&gt;="&amp;DATE(2026,12,1),#REF!,"&lt;"&amp;DATE(2026,12+1,1),#REF!,"*سريع*")/MAX(1,COUNTIFS(#REF!,"&gt;="&amp;DATE(2026,12,1),#REF!,"&lt;"&amp;DATE(2026,12+1,1))),0)</f>
        <v>0</v>
      </c>
    </row>
    <row r="41" spans="1:18" ht="25.5" customHeight="1">
      <c r="A41" s="16" t="s">
        <v>70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spans="1:18" ht="21.75" customHeight="1">
      <c r="A42" s="20">
        <v>15</v>
      </c>
      <c r="B42" s="21" t="s">
        <v>71</v>
      </c>
      <c r="C42" s="18" t="s">
        <v>36</v>
      </c>
      <c r="D42" s="24" t="s">
        <v>56</v>
      </c>
      <c r="E42" s="4" t="s">
        <v>33</v>
      </c>
      <c r="F42" s="5"/>
      <c r="G42" s="10">
        <v>0.8</v>
      </c>
      <c r="H42" s="10">
        <v>0.8</v>
      </c>
      <c r="I42" s="10">
        <v>0.8</v>
      </c>
      <c r="J42" s="10">
        <v>0.8</v>
      </c>
      <c r="K42" s="10">
        <v>0.8</v>
      </c>
      <c r="L42" s="10">
        <v>0.8</v>
      </c>
      <c r="M42" s="10">
        <v>0.8</v>
      </c>
      <c r="N42" s="10">
        <v>0.8</v>
      </c>
      <c r="O42" s="10">
        <v>0.8</v>
      </c>
      <c r="P42" s="10">
        <v>0.8</v>
      </c>
      <c r="Q42" s="10">
        <v>0.8</v>
      </c>
      <c r="R42" s="10">
        <v>0.8</v>
      </c>
    </row>
    <row r="43" spans="1:18" ht="21.75" customHeight="1">
      <c r="A43" s="19"/>
      <c r="B43" s="19"/>
      <c r="C43" s="19"/>
      <c r="D43" s="19"/>
      <c r="E43" s="7" t="s">
        <v>34</v>
      </c>
      <c r="F43" s="8" t="str">
        <f>IFERROR(IF(AVERAGE(G42:R42)=0,"",IF(IFERROR(AVERAGEIF(G43:R43,"&gt;0",G43:R43),0)&gt;=AVERAGE(G42:R42),"✅ ",IF(IFERROR(AVERAGEIF(G43:R43,"&gt;0",G43:R43),0)&gt;=AVERAGE(G42:R42)*0.85,"🟡 ","🔴 "))&amp;TEXT((IFERROR(AVERAGEIF(G43:R43,"&gt;0",G43:R43),0)-AVERAGE(G42:R42))/AVERAGE(G42:R42),"+0.0%;-0.0%")),"")</f>
        <v>🔴 -100.0%</v>
      </c>
      <c r="G43" s="11">
        <f>IFERROR((COUNTIF(#REF!,"نشط")+COUNTIF(#REF!,"منتهي")+COUNTIF(#REF!,"تحت التجديد"))/MAX(1,COUNTIF(#REF!,"&lt;&gt;")),0)</f>
        <v>0</v>
      </c>
      <c r="H43" s="11">
        <f>IFERROR((COUNTIF(#REF!,"نشط")+COUNTIF(#REF!,"منتهي")+COUNTIF(#REF!,"تحت التجديد"))/MAX(1,COUNTIF(#REF!,"&lt;&gt;")),0)</f>
        <v>0</v>
      </c>
      <c r="I43" s="11">
        <f>IFERROR((COUNTIF(#REF!,"نشط")+COUNTIF(#REF!,"منتهي")+COUNTIF(#REF!,"تحت التجديد"))/MAX(1,COUNTIF(#REF!,"&lt;&gt;")),0)</f>
        <v>0</v>
      </c>
      <c r="J43" s="11">
        <f>IFERROR((COUNTIF(#REF!,"نشط")+COUNTIF(#REF!,"منتهي")+COUNTIF(#REF!,"تحت التجديد"))/MAX(1,COUNTIF(#REF!,"&lt;&gt;")),0)</f>
        <v>0</v>
      </c>
      <c r="K43" s="11">
        <f>IFERROR((COUNTIF(#REF!,"نشط")+COUNTIF(#REF!,"منتهي")+COUNTIF(#REF!,"تحت التجديد"))/MAX(1,COUNTIF(#REF!,"&lt;&gt;")),0)</f>
        <v>0</v>
      </c>
      <c r="L43" s="11">
        <f>IFERROR((COUNTIF(#REF!,"نشط")+COUNTIF(#REF!,"منتهي")+COUNTIF(#REF!,"تحت التجديد"))/MAX(1,COUNTIF(#REF!,"&lt;&gt;")),0)</f>
        <v>0</v>
      </c>
      <c r="M43" s="11">
        <f>IFERROR((COUNTIF(#REF!,"نشط")+COUNTIF(#REF!,"منتهي")+COUNTIF(#REF!,"تحت التجديد"))/MAX(1,COUNTIF(#REF!,"&lt;&gt;")),0)</f>
        <v>0</v>
      </c>
      <c r="N43" s="11">
        <f>IFERROR((COUNTIF(#REF!,"نشط")+COUNTIF(#REF!,"منتهي")+COUNTIF(#REF!,"تحت التجديد"))/MAX(1,COUNTIF(#REF!,"&lt;&gt;")),0)</f>
        <v>0</v>
      </c>
      <c r="O43" s="11">
        <f>IFERROR((COUNTIF(#REF!,"نشط")+COUNTIF(#REF!,"منتهي")+COUNTIF(#REF!,"تحت التجديد"))/MAX(1,COUNTIF(#REF!,"&lt;&gt;")),0)</f>
        <v>0</v>
      </c>
      <c r="P43" s="11">
        <f>IFERROR((COUNTIF(#REF!,"نشط")+COUNTIF(#REF!,"منتهي")+COUNTIF(#REF!,"تحت التجديد"))/MAX(1,COUNTIF(#REF!,"&lt;&gt;")),0)</f>
        <v>0</v>
      </c>
      <c r="Q43" s="11">
        <f>IFERROR((COUNTIF(#REF!,"نشط")+COUNTIF(#REF!,"منتهي")+COUNTIF(#REF!,"تحت التجديد"))/MAX(1,COUNTIF(#REF!,"&lt;&gt;")),0)</f>
        <v>0</v>
      </c>
      <c r="R43" s="11">
        <f>IFERROR((COUNTIF(#REF!,"نشط")+COUNTIF(#REF!,"منتهي")+COUNTIF(#REF!,"تحت التجديد"))/MAX(1,COUNTIF(#REF!,"&lt;&gt;")),0)</f>
        <v>0</v>
      </c>
    </row>
    <row r="44" spans="1:18" ht="21.75" customHeight="1">
      <c r="A44" s="20">
        <v>16</v>
      </c>
      <c r="B44" s="21" t="s">
        <v>72</v>
      </c>
      <c r="C44" s="18" t="s">
        <v>36</v>
      </c>
      <c r="D44" s="24" t="s">
        <v>73</v>
      </c>
      <c r="E44" s="4" t="s">
        <v>33</v>
      </c>
      <c r="F44" s="5"/>
      <c r="G44" s="10">
        <v>0.9</v>
      </c>
      <c r="H44" s="10">
        <v>0.9</v>
      </c>
      <c r="I44" s="10">
        <v>0.9</v>
      </c>
      <c r="J44" s="10">
        <v>0.9</v>
      </c>
      <c r="K44" s="10">
        <v>0.9</v>
      </c>
      <c r="L44" s="10">
        <v>0.9</v>
      </c>
      <c r="M44" s="10">
        <v>0.9</v>
      </c>
      <c r="N44" s="10">
        <v>0.9</v>
      </c>
      <c r="O44" s="10">
        <v>0.9</v>
      </c>
      <c r="P44" s="10">
        <v>0.9</v>
      </c>
      <c r="Q44" s="10">
        <v>0.9</v>
      </c>
      <c r="R44" s="10">
        <v>0.9</v>
      </c>
    </row>
    <row r="45" spans="1:18" ht="21.75" customHeight="1">
      <c r="A45" s="19"/>
      <c r="B45" s="19"/>
      <c r="C45" s="19"/>
      <c r="D45" s="19"/>
      <c r="E45" s="7" t="s">
        <v>34</v>
      </c>
      <c r="F45" s="8" t="str">
        <f>IFERROR(IF(AVERAGE(G44:R44)=0,"",IF(IFERROR(AVERAGEIF(G45:R45,"&gt;0",G45:R45),0)&gt;=AVERAGE(G44:R44),"✅ ",IF(IFERROR(AVERAGEIF(G45:R45,"&gt;0",G45:R45),0)&gt;=AVERAGE(G44:R44)*0.85,"🟡 ","🔴 "))&amp;TEXT((IFERROR(AVERAGEIF(G45:R45,"&gt;0",G45:R45),0)-AVERAGE(G44:R44))/AVERAGE(G44:R44),"+0.0%;-0.0%")),"")</f>
        <v>🔴 -100.0%</v>
      </c>
      <c r="G45" s="11">
        <f>IFERROR(#REF!,0)</f>
        <v>0</v>
      </c>
      <c r="H45" s="11">
        <f>IFERROR(#REF!,0)</f>
        <v>0</v>
      </c>
      <c r="I45" s="11">
        <f>IFERROR(#REF!,0)</f>
        <v>0</v>
      </c>
      <c r="J45" s="11">
        <f>IFERROR(#REF!,0)</f>
        <v>0</v>
      </c>
      <c r="K45" s="11">
        <f>IFERROR(#REF!,0)</f>
        <v>0</v>
      </c>
      <c r="L45" s="11">
        <f>IFERROR(#REF!,0)</f>
        <v>0</v>
      </c>
      <c r="M45" s="11">
        <f>IFERROR(#REF!,0)</f>
        <v>0</v>
      </c>
      <c r="N45" s="11">
        <f>IFERROR(#REF!,0)</f>
        <v>0</v>
      </c>
      <c r="O45" s="11">
        <f>IFERROR(#REF!,0)</f>
        <v>0</v>
      </c>
      <c r="P45" s="11">
        <f>IFERROR(#REF!,0)</f>
        <v>0</v>
      </c>
      <c r="Q45" s="11">
        <f>IFERROR(#REF!,0)</f>
        <v>0</v>
      </c>
      <c r="R45" s="11">
        <f>IFERROR(#REF!,0)</f>
        <v>0</v>
      </c>
    </row>
  </sheetData>
  <mergeCells count="78">
    <mergeCell ref="A44:A45"/>
    <mergeCell ref="C13:C14"/>
    <mergeCell ref="A15:R15"/>
    <mergeCell ref="A34:A35"/>
    <mergeCell ref="C37:C38"/>
    <mergeCell ref="C24:C25"/>
    <mergeCell ref="D44:D45"/>
    <mergeCell ref="D22:D23"/>
    <mergeCell ref="A3:R3"/>
    <mergeCell ref="C9:C10"/>
    <mergeCell ref="B39:B40"/>
    <mergeCell ref="C11:C12"/>
    <mergeCell ref="A18:A19"/>
    <mergeCell ref="B24:B25"/>
    <mergeCell ref="D24:D25"/>
    <mergeCell ref="A29:A30"/>
    <mergeCell ref="F4:H4"/>
    <mergeCell ref="A6:F6"/>
    <mergeCell ref="A1:R1"/>
    <mergeCell ref="B16:B17"/>
    <mergeCell ref="C18:C19"/>
    <mergeCell ref="A11:A12"/>
    <mergeCell ref="B31:B32"/>
    <mergeCell ref="B18:B19"/>
    <mergeCell ref="C20:C21"/>
    <mergeCell ref="G6:R6"/>
    <mergeCell ref="C22:C23"/>
    <mergeCell ref="B9:B10"/>
    <mergeCell ref="A13:A14"/>
    <mergeCell ref="B20:B21"/>
    <mergeCell ref="D20:D21"/>
    <mergeCell ref="D29:D30"/>
    <mergeCell ref="B22:B23"/>
    <mergeCell ref="D31:D32"/>
    <mergeCell ref="A4:C4"/>
    <mergeCell ref="B44:B45"/>
    <mergeCell ref="D9:D10"/>
    <mergeCell ref="K4:M4"/>
    <mergeCell ref="D37:D38"/>
    <mergeCell ref="D39:D40"/>
    <mergeCell ref="A9:A10"/>
    <mergeCell ref="C34:C35"/>
    <mergeCell ref="A39:A40"/>
    <mergeCell ref="A36:R36"/>
    <mergeCell ref="C42:C43"/>
    <mergeCell ref="C44:C45"/>
    <mergeCell ref="B34:B35"/>
    <mergeCell ref="C39:C40"/>
    <mergeCell ref="D42:D43"/>
    <mergeCell ref="A31:A32"/>
    <mergeCell ref="A2:R2"/>
    <mergeCell ref="B13:B14"/>
    <mergeCell ref="A33:R33"/>
    <mergeCell ref="D13:D14"/>
    <mergeCell ref="D16:D17"/>
    <mergeCell ref="A22:A23"/>
    <mergeCell ref="D18:D19"/>
    <mergeCell ref="C27:C28"/>
    <mergeCell ref="A20:A21"/>
    <mergeCell ref="B27:B28"/>
    <mergeCell ref="D27:D28"/>
    <mergeCell ref="B11:B12"/>
    <mergeCell ref="D11:D12"/>
    <mergeCell ref="A26:R26"/>
    <mergeCell ref="C31:C32"/>
    <mergeCell ref="A8:R8"/>
    <mergeCell ref="A41:R41"/>
    <mergeCell ref="C29:C30"/>
    <mergeCell ref="A16:A17"/>
    <mergeCell ref="C16:C17"/>
    <mergeCell ref="B42:B43"/>
    <mergeCell ref="B29:B30"/>
    <mergeCell ref="A27:A28"/>
    <mergeCell ref="B37:B38"/>
    <mergeCell ref="D34:D35"/>
    <mergeCell ref="A37:A38"/>
    <mergeCell ref="A24:A25"/>
    <mergeCell ref="A42:A43"/>
  </mergeCells>
  <conditionalFormatting sqref="F8:F41">
    <cfRule type="expression" dxfId="5" priority="2">
      <formula>ISNUMBER(SEARCH("✅",F8))</formula>
    </cfRule>
    <cfRule type="expression" dxfId="4" priority="3">
      <formula>ISNUMBER(SEARCH("🟡",F8))</formula>
    </cfRule>
    <cfRule type="expression" dxfId="3" priority="4">
      <formula>ISNUMBER(SEARCH("🔴",F8))</formula>
    </cfRule>
  </conditionalFormatting>
  <conditionalFormatting sqref="F40:F45">
    <cfRule type="expression" dxfId="2" priority="5">
      <formula>ISNUMBER(SEARCH("✅",F40))</formula>
    </cfRule>
    <cfRule type="expression" dxfId="1" priority="6">
      <formula>ISNUMBER(SEARCH("🟡",F40))</formula>
    </cfRule>
    <cfRule type="expression" dxfId="0" priority="7">
      <formula>ISNUMBER(SEARCH("🔴",F40))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📊 ملخص آلي +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Hugh Damon</cp:lastModifiedBy>
  <cp:revision>0</cp:revision>
  <dcterms:created xsi:type="dcterms:W3CDTF">2026-06-03T10:01:03Z</dcterms:created>
  <dcterms:modified xsi:type="dcterms:W3CDTF">2026-06-03T10:59:20Z</dcterms:modified>
  <dc:language>en-US</dc:language>
</cp:coreProperties>
</file>