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workbookPassword="EFFF" lockStructure="1"/>
  <bookViews>
    <workbookView visibility="visible" minimized="0" showHorizontalScroll="1" showVerticalScroll="1" showSheetTabs="1" tabRatio="600" firstSheet="0" activeTab="0" autoFilterDateGrouping="1"/>
  </bookViews>
  <sheets>
    <sheet name="دليل الاستخدام" sheetId="1" state="visible" r:id="rId1"/>
    <sheet name="الاستراتيجية" sheetId="2" state="visible" r:id="rId2"/>
    <sheet name="المؤشرات الحيوية" sheetId="3" state="visible" r:id="rId3"/>
    <sheet name="الخارطة التنفيذية" sheetId="4" state="visible" r:id="rId4"/>
    <sheet name="لوحة الإدارة التنفيذية" sheetId="5" state="visible" r:id="rId5"/>
    <sheet name="الحوكمة" sheetId="6" state="visible" r:id="rId6"/>
    <sheet name="الامتياز · المؤشرات" sheetId="7" state="visible" r:id="rId7"/>
    <sheet name="الامتياز · الموظفون" sheetId="8" state="visible" r:id="rId8"/>
    <sheet name="الامتياز · مدير الإدارة" sheetId="9" state="visible" r:id="rId9"/>
    <sheet name="الامتياز · مسؤول الامتياز" sheetId="10" state="visible" r:id="rId10"/>
    <sheet name="الامتياز · المراقب الميداني" sheetId="11" state="visible" r:id="rId11"/>
    <sheet name="الامتياز · مسؤول التعاقدات" sheetId="12" state="visible" r:id="rId12"/>
    <sheet name="الامتياز · الموظف الإداري" sheetId="13" state="visible" r:id="rId13"/>
    <sheet name="التشغيل · المؤشرات" sheetId="14" state="visible" r:id="rId14"/>
    <sheet name="التشغيل · مدير المحطة" sheetId="15" state="visible" r:id="rId15"/>
    <sheet name="التشغيل · مشرف ميداني" sheetId="16" state="visible" r:id="rId16"/>
    <sheet name="التشغيل · عامل التعبئة" sheetId="17" state="visible" r:id="rId17"/>
    <sheet name="الاستثمار · المؤشرات" sheetId="18" state="visible" r:id="rId18"/>
    <sheet name="العقار · المؤشرات" sheetId="19" state="visible" r:id="rId19"/>
    <sheet name="التقنية الرقمية · المؤشرات" sheetId="20" state="visible" r:id="rId20"/>
    <sheet name="الموارد البشرية · المؤشرات" sheetId="21" state="visible" r:id="rId21"/>
    <sheet name="قاعدة المؤشرات" sheetId="22" state="visible" r:id="rId22"/>
  </sheets>
  <definedNames/>
  <calcPr calcId="124519" fullCalcOnLoad="1"/>
</workbook>
</file>

<file path=xl/styles.xml><?xml version="1.0" encoding="utf-8"?>
<styleSheet xmlns="http://schemas.openxmlformats.org/spreadsheetml/2006/main">
  <numFmts count="2">
    <numFmt numFmtId="164" formatCode="#,##0 &quot;ر.س&quot;"/>
    <numFmt numFmtId="165" formatCode="0.0"/>
  </numFmts>
  <fonts count="33">
    <font>
      <name val="Calibri"/>
      <family val="2"/>
      <color theme="1"/>
      <sz val="11"/>
      <scheme val="minor"/>
    </font>
    <font>
      <name val="Arial"/>
      <b val="1"/>
      <color rgb="0058595B"/>
      <sz val="17"/>
    </font>
    <font>
      <name val="Arial"/>
      <color rgb="00000000"/>
      <sz val="11"/>
    </font>
    <font>
      <name val="Arial"/>
      <b val="1"/>
      <color rgb="00000000"/>
      <sz val="11"/>
    </font>
    <font>
      <name val="Arial"/>
      <b val="1"/>
      <color rgb="00FFFFFF"/>
      <sz val="16"/>
    </font>
    <font>
      <name val="Arial"/>
      <b val="1"/>
      <color rgb="00FFFFFF"/>
      <sz val="11"/>
    </font>
    <font>
      <name val="Arial"/>
      <b val="1"/>
      <color rgb="00FFFFFF"/>
      <sz val="12"/>
    </font>
    <font>
      <name val="Arial"/>
      <color rgb="00FFFFFF"/>
      <sz val="11"/>
    </font>
    <font>
      <name val="Arial"/>
      <b val="1"/>
      <color rgb="0058595B"/>
      <sz val="12"/>
    </font>
    <font>
      <name val="Arial"/>
      <b val="1"/>
      <color rgb="00808285"/>
      <sz val="11"/>
    </font>
    <font>
      <name val="Arial"/>
      <b val="1"/>
      <color rgb="00FFFFFF"/>
      <sz val="15"/>
    </font>
    <font>
      <name val="Arial"/>
      <color rgb="0058595B"/>
      <sz val="10"/>
    </font>
    <font>
      <name val="Arial"/>
      <b val="1"/>
      <color rgb="00FFFFFF"/>
      <sz val="10"/>
    </font>
    <font>
      <name val="Arial"/>
      <b val="1"/>
      <color rgb="00000000"/>
      <sz val="10"/>
    </font>
    <font>
      <name val="Arial"/>
      <color rgb="00000000"/>
      <sz val="10"/>
    </font>
    <font>
      <name val="Arial"/>
      <color rgb="00595959"/>
      <sz val="9"/>
    </font>
    <font>
      <name val="Arial"/>
      <b val="1"/>
      <color rgb="0058595B"/>
      <sz val="10"/>
    </font>
    <font>
      <name val="Arial"/>
      <b val="1"/>
      <color rgb="00808285"/>
      <sz val="10"/>
    </font>
    <font>
      <name val="Arial"/>
      <b val="1"/>
      <color rgb="00F47A21"/>
      <sz val="11"/>
    </font>
    <font>
      <name val="Arial"/>
      <b val="1"/>
      <color rgb="00F47A21"/>
      <sz val="12"/>
    </font>
    <font>
      <name val="Arial"/>
      <b val="1"/>
      <color rgb="00FFFFFF"/>
      <sz val="14"/>
    </font>
    <font>
      <name val="Arial"/>
      <color rgb="00000000"/>
      <sz val="9"/>
    </font>
    <font>
      <name val="Arial"/>
      <b val="1"/>
      <color rgb="0058595B"/>
      <sz val="9"/>
    </font>
    <font>
      <name val="Arial"/>
      <b val="1"/>
      <color rgb="00FFFFFF"/>
      <sz val="18"/>
    </font>
    <font>
      <name val="Arial"/>
      <b val="1"/>
      <color rgb="0058595B"/>
      <sz val="30"/>
    </font>
    <font>
      <name val="Arial"/>
      <b val="1"/>
      <color rgb="0058595B"/>
      <sz val="22"/>
    </font>
    <font>
      <name val="Arial"/>
      <b val="1"/>
      <color rgb="0058595B"/>
      <sz val="11"/>
    </font>
    <font>
      <name val="Arial"/>
      <color rgb="0058595B"/>
      <sz val="9"/>
    </font>
    <font>
      <name val="Arial"/>
      <b val="1"/>
      <color rgb="00F47A21"/>
      <sz val="13"/>
    </font>
    <font>
      <name val="Arial"/>
      <b val="1"/>
      <color rgb="00FFFFFF"/>
      <sz val="17"/>
    </font>
    <font>
      <name val="Arial"/>
      <b val="1"/>
      <color rgb="00F47A21"/>
      <sz val="26"/>
    </font>
    <font>
      <name val="Arial"/>
      <b val="1"/>
      <color rgb="0058595B"/>
      <sz val="28"/>
    </font>
    <font>
      <name val="Arial"/>
      <color rgb="00808080"/>
      <sz val="9"/>
    </font>
  </fonts>
  <fills count="10">
    <fill>
      <patternFill/>
    </fill>
    <fill>
      <patternFill patternType="gray125"/>
    </fill>
    <fill>
      <patternFill patternType="solid">
        <fgColor rgb="0058595B"/>
      </patternFill>
    </fill>
    <fill>
      <patternFill patternType="solid">
        <fgColor rgb="00808285"/>
      </patternFill>
    </fill>
    <fill>
      <patternFill patternType="solid">
        <fgColor rgb="00FDE3D1"/>
      </patternFill>
    </fill>
    <fill>
      <patternFill patternType="solid">
        <fgColor rgb="00C6EFCE"/>
      </patternFill>
    </fill>
    <fill>
      <patternFill patternType="solid">
        <fgColor rgb="00F8CBAD"/>
      </patternFill>
    </fill>
    <fill>
      <patternFill patternType="solid">
        <fgColor rgb="00A7A9AC"/>
      </patternFill>
    </fill>
    <fill>
      <patternFill patternType="solid">
        <fgColor rgb="00538135"/>
      </patternFill>
    </fill>
    <fill>
      <patternFill patternType="solid">
        <fgColor rgb="00F47A21"/>
      </patternFill>
    </fill>
  </fills>
  <borders count="9">
    <border>
      <left/>
      <right/>
      <top/>
      <bottom/>
      <diagonal/>
    </border>
    <border>
      <left style="thin">
        <color rgb="00BFBFBF"/>
      </left>
      <right style="thin">
        <color rgb="00BFBFBF"/>
      </right>
      <top style="thin">
        <color rgb="00BFBFBF"/>
      </top>
      <bottom style="thin">
        <color rgb="00BFBFBF"/>
      </bottom>
    </border>
    <border>
      <left style="thin">
        <color rgb="00BFBFBF"/>
      </left>
      <right/>
      <top/>
      <bottom/>
      <diagonal/>
    </border>
    <border>
      <left style="thin">
        <color rgb="00BFBFBF"/>
      </left>
      <right style="thin">
        <color rgb="00BFBFBF"/>
      </right>
      <top/>
      <bottom/>
      <diagonal/>
    </border>
    <border>
      <left style="thin">
        <color rgb="00BFBFBF"/>
      </left>
      <right style="thin">
        <color rgb="00BFBFBF"/>
      </right>
      <top/>
      <bottom style="thin">
        <color rgb="00BFBFBF"/>
      </bottom>
      <diagonal/>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83">
    <xf numFmtId="0" fontId="0" fillId="0" borderId="0" pivotButton="0" quotePrefix="0" xfId="0"/>
    <xf numFmtId="0" fontId="1" fillId="0" borderId="0" applyAlignment="1" pivotButton="0" quotePrefix="0" xfId="0">
      <alignment horizontal="right" vertical="center"/>
    </xf>
    <xf numFmtId="0" fontId="2" fillId="0" borderId="0" applyAlignment="1" pivotButton="0" quotePrefix="0" xfId="0">
      <alignment horizontal="right" vertical="center" wrapText="1"/>
    </xf>
    <xf numFmtId="0" fontId="3" fillId="0" borderId="0" applyAlignment="1" pivotButton="0" quotePrefix="0" xfId="0">
      <alignment horizontal="right" vertical="center" wrapText="1"/>
    </xf>
    <xf numFmtId="0" fontId="4" fillId="2" borderId="0" applyAlignment="1" pivotButton="0" quotePrefix="0" xfId="0">
      <alignment horizontal="center" vertical="center"/>
    </xf>
    <xf numFmtId="0" fontId="5" fillId="3" borderId="1" applyAlignment="1" pivotButton="0" quotePrefix="0" xfId="0">
      <alignment horizontal="center" vertical="center" wrapText="1"/>
    </xf>
    <xf numFmtId="0" fontId="2" fillId="3" borderId="1" applyAlignment="1" pivotButton="0" quotePrefix="0" xfId="0">
      <alignment horizontal="right" vertical="center" wrapText="1"/>
    </xf>
    <xf numFmtId="0" fontId="6" fillId="3" borderId="1" applyAlignment="1" pivotButton="0" quotePrefix="0" xfId="0">
      <alignment horizontal="right" vertical="center" wrapText="1"/>
    </xf>
    <xf numFmtId="0" fontId="7" fillId="3" borderId="1" applyAlignment="1" pivotButton="0" quotePrefix="0" xfId="0">
      <alignment horizontal="right" vertical="center" wrapText="1"/>
    </xf>
    <xf numFmtId="0" fontId="5" fillId="3" borderId="1" applyAlignment="1" pivotButton="0" quotePrefix="0" xfId="0">
      <alignment horizontal="right" vertical="center" wrapText="1"/>
    </xf>
    <xf numFmtId="0" fontId="2" fillId="0" borderId="1" applyAlignment="1" pivotButton="0" quotePrefix="0" xfId="0">
      <alignment horizontal="right" vertical="center" wrapText="1"/>
    </xf>
    <xf numFmtId="0" fontId="8" fillId="0" borderId="1" applyAlignment="1" pivotButton="0" quotePrefix="0" xfId="0">
      <alignment horizontal="right" vertical="center" wrapText="1"/>
    </xf>
    <xf numFmtId="0" fontId="9" fillId="0" borderId="1" applyAlignment="1" pivotButton="0" quotePrefix="0" xfId="0">
      <alignment horizontal="right" vertical="center" wrapText="1"/>
    </xf>
    <xf numFmtId="0" fontId="29" fillId="2" borderId="0" applyAlignment="1" pivotButton="0" quotePrefix="0" xfId="0">
      <alignment horizontal="center" vertical="center"/>
    </xf>
    <xf numFmtId="0" fontId="6" fillId="9" borderId="1" applyAlignment="1" pivotButton="0" quotePrefix="0" xfId="0">
      <alignment horizontal="center" vertical="center" wrapText="1"/>
    </xf>
    <xf numFmtId="0" fontId="6" fillId="3" borderId="1" applyAlignment="1" pivotButton="0" quotePrefix="0" xfId="0">
      <alignment horizontal="center" vertical="center" wrapText="1"/>
    </xf>
    <xf numFmtId="3" fontId="30" fillId="0" borderId="1" applyAlignment="1" pivotButton="0" quotePrefix="0" xfId="0">
      <alignment horizontal="center" vertical="center" wrapText="1"/>
    </xf>
    <xf numFmtId="0" fontId="13" fillId="0" borderId="1" applyAlignment="1" pivotButton="0" quotePrefix="0" xfId="0">
      <alignment horizontal="center" vertical="center" wrapText="1"/>
    </xf>
    <xf numFmtId="9" fontId="31" fillId="0" borderId="1" applyAlignment="1" pivotButton="0" quotePrefix="0" xfId="0">
      <alignment horizontal="center" vertical="center" wrapText="1"/>
    </xf>
    <xf numFmtId="0" fontId="8" fillId="0" borderId="1" applyAlignment="1" pivotButton="0" quotePrefix="0" xfId="0">
      <alignment horizontal="center" vertical="center" wrapText="1"/>
    </xf>
    <xf numFmtId="0" fontId="6" fillId="7" borderId="1" applyAlignment="1" pivotButton="0" quotePrefix="0" xfId="0">
      <alignment horizontal="center" vertical="center" wrapText="1"/>
    </xf>
    <xf numFmtId="0" fontId="14" fillId="0" borderId="1" applyAlignment="1" pivotButton="0" quotePrefix="0" xfId="0">
      <alignment horizontal="center" vertical="center" wrapText="1"/>
    </xf>
    <xf numFmtId="0" fontId="14" fillId="0" borderId="1" applyAlignment="1" pivotButton="0" quotePrefix="0" xfId="0">
      <alignment horizontal="right" vertical="center" wrapText="1"/>
    </xf>
    <xf numFmtId="9" fontId="16" fillId="0" borderId="1" applyAlignment="1" pivotButton="0" quotePrefix="0" xfId="0">
      <alignment horizontal="center" vertical="center" wrapText="1"/>
    </xf>
    <xf numFmtId="0" fontId="10" fillId="2" borderId="0" applyAlignment="1" pivotButton="0" quotePrefix="0" xfId="0">
      <alignment horizontal="center" vertical="center"/>
    </xf>
    <xf numFmtId="0" fontId="27" fillId="4" borderId="0" applyAlignment="1" pivotButton="0" quotePrefix="0" xfId="0">
      <alignment horizontal="center" vertical="center"/>
    </xf>
    <xf numFmtId="0" fontId="12" fillId="3" borderId="1" applyAlignment="1" pivotButton="0" quotePrefix="0" xfId="0">
      <alignment horizontal="center" vertical="center" wrapText="1"/>
    </xf>
    <xf numFmtId="0" fontId="26" fillId="0" borderId="1" applyAlignment="1" pivotButton="0" quotePrefix="0" xfId="0">
      <alignment horizontal="right" vertical="center" wrapText="1"/>
    </xf>
    <xf numFmtId="0" fontId="3" fillId="5" borderId="1" applyAlignment="1" pivotButton="0" quotePrefix="0" xfId="0">
      <alignment horizontal="center" vertical="center" wrapText="1"/>
    </xf>
    <xf numFmtId="9" fontId="26" fillId="0" borderId="1" applyAlignment="1" pivotButton="0" quotePrefix="0" xfId="0">
      <alignment horizontal="center" vertical="center" wrapText="1"/>
    </xf>
    <xf numFmtId="0" fontId="3" fillId="4" borderId="1" applyAlignment="1" pivotButton="0" quotePrefix="0" xfId="0">
      <alignment horizontal="center" vertical="center" wrapText="1"/>
    </xf>
    <xf numFmtId="0" fontId="14" fillId="6" borderId="1" applyAlignment="1" pivotButton="0" quotePrefix="0" xfId="0">
      <alignment horizontal="right" vertical="center" wrapText="1"/>
    </xf>
    <xf numFmtId="0" fontId="5" fillId="8" borderId="1" applyAlignment="1" pivotButton="0" quotePrefix="0" xfId="0">
      <alignment horizontal="right" vertical="center" wrapText="1"/>
    </xf>
    <xf numFmtId="0" fontId="23" fillId="2" borderId="0" applyAlignment="1" pivotButton="0" quotePrefix="0" xfId="0">
      <alignment horizontal="center" vertical="center"/>
    </xf>
    <xf numFmtId="0" fontId="3" fillId="6" borderId="1" applyAlignment="1" pivotButton="0" quotePrefix="0" xfId="0">
      <alignment horizontal="center" vertical="center" wrapText="1"/>
    </xf>
    <xf numFmtId="0" fontId="6" fillId="2" borderId="1" applyAlignment="1" pivotButton="0" quotePrefix="0" xfId="0">
      <alignment horizontal="center" vertical="center" wrapText="1"/>
    </xf>
    <xf numFmtId="0" fontId="0" fillId="0" borderId="7" pivotButton="0" quotePrefix="0" xfId="0"/>
    <xf numFmtId="0" fontId="0" fillId="0" borderId="8" pivotButton="0" quotePrefix="0" xfId="0"/>
    <xf numFmtId="9" fontId="24" fillId="0" borderId="1" applyAlignment="1" pivotButton="0" quotePrefix="0" xfId="0">
      <alignment horizontal="center" vertical="center" wrapText="1"/>
    </xf>
    <xf numFmtId="0" fontId="25" fillId="0" borderId="1" applyAlignment="1" pivotButton="0" quotePrefix="0" xfId="0">
      <alignment horizontal="center" vertical="center" wrapText="1"/>
    </xf>
    <xf numFmtId="0" fontId="5" fillId="7" borderId="1" applyAlignment="1" pivotButton="0" quotePrefix="0" xfId="0">
      <alignment horizontal="center" vertical="center" wrapText="1"/>
    </xf>
    <xf numFmtId="0" fontId="0" fillId="0" borderId="4" pivotButton="0" quotePrefix="0" xfId="0"/>
    <xf numFmtId="0" fontId="3" fillId="0" borderId="1" applyAlignment="1" pivotButton="0" quotePrefix="0" xfId="0">
      <alignment horizontal="right" vertical="center" wrapText="1"/>
    </xf>
    <xf numFmtId="0" fontId="3" fillId="0" borderId="1" applyAlignment="1" pivotButton="0" quotePrefix="0" xfId="0">
      <alignment horizontal="center" vertical="center" wrapText="1"/>
    </xf>
    <xf numFmtId="0" fontId="12" fillId="7" borderId="1" applyAlignment="1" pivotButton="0" quotePrefix="0" xfId="0">
      <alignment horizontal="center" vertical="center" wrapText="1"/>
    </xf>
    <xf numFmtId="0" fontId="11" fillId="4" borderId="1" applyAlignment="1" pivotButton="0" quotePrefix="0" xfId="0">
      <alignment horizontal="right" vertical="center" wrapText="1"/>
    </xf>
    <xf numFmtId="0" fontId="14" fillId="0" borderId="1" applyAlignment="1" pivotButton="0" quotePrefix="0" xfId="0">
      <alignment horizontal="right" vertical="center"/>
    </xf>
    <xf numFmtId="0" fontId="32" fillId="0" borderId="1" applyAlignment="1" pivotButton="0" quotePrefix="0" xfId="0">
      <alignment horizontal="right" vertical="center" wrapText="1"/>
    </xf>
    <xf numFmtId="0" fontId="11" fillId="4" borderId="0" applyAlignment="1" pivotButton="0" quotePrefix="0" xfId="0">
      <alignment horizontal="center" vertical="center"/>
    </xf>
    <xf numFmtId="0" fontId="2" fillId="0" borderId="1" applyAlignment="1" pivotButton="0" quotePrefix="0" xfId="0">
      <alignment horizontal="center" vertical="center" wrapText="1"/>
    </xf>
    <xf numFmtId="3" fontId="2" fillId="0" borderId="1" applyAlignment="1" pivotButton="0" quotePrefix="0" xfId="0">
      <alignment horizontal="center" vertical="center" wrapText="1"/>
    </xf>
    <xf numFmtId="0" fontId="15" fillId="0" borderId="1" applyAlignment="1" pivotButton="0" quotePrefix="0" xfId="0">
      <alignment horizontal="center" vertical="center" wrapText="1"/>
    </xf>
    <xf numFmtId="3" fontId="2" fillId="5" borderId="1" applyAlignment="1" applyProtection="1" pivotButton="0" quotePrefix="0" xfId="0">
      <alignment horizontal="center" vertical="center"/>
      <protection locked="0" hidden="0"/>
    </xf>
    <xf numFmtId="3" fontId="13" fillId="0" borderId="1" applyAlignment="1" pivotButton="0" quotePrefix="0" xfId="0">
      <alignment horizontal="center" vertical="center" wrapText="1"/>
    </xf>
    <xf numFmtId="0" fontId="17" fillId="0" borderId="1" applyAlignment="1" pivotButton="0" quotePrefix="0" xfId="0">
      <alignment horizontal="center" vertical="center" wrapText="1"/>
    </xf>
    <xf numFmtId="3" fontId="2" fillId="5" borderId="1" applyAlignment="1" applyProtection="1" pivotButton="0" quotePrefix="0" xfId="0">
      <alignment horizontal="center" vertical="center" wrapText="1"/>
      <protection locked="0" hidden="0"/>
    </xf>
    <xf numFmtId="9" fontId="2" fillId="5" borderId="1" applyAlignment="1" applyProtection="1" pivotButton="0" quotePrefix="0" xfId="0">
      <alignment horizontal="center" vertical="center" wrapText="1"/>
      <protection locked="0" hidden="0"/>
    </xf>
    <xf numFmtId="9" fontId="2" fillId="0" borderId="1" applyAlignment="1" pivotButton="0" quotePrefix="0" xfId="0">
      <alignment horizontal="center" vertical="center" wrapText="1"/>
    </xf>
    <xf numFmtId="9" fontId="2" fillId="5" borderId="1" applyAlignment="1" applyProtection="1" pivotButton="0" quotePrefix="0" xfId="0">
      <alignment horizontal="center" vertical="center"/>
      <protection locked="0" hidden="0"/>
    </xf>
    <xf numFmtId="9" fontId="13" fillId="0" borderId="1" applyAlignment="1" pivotButton="0" quotePrefix="0" xfId="0">
      <alignment horizontal="center" vertical="center" wrapText="1"/>
    </xf>
    <xf numFmtId="164" fontId="2" fillId="5" borderId="1" applyAlignment="1" applyProtection="1" pivotButton="0" quotePrefix="0" xfId="0">
      <alignment horizontal="center" vertical="center"/>
      <protection locked="0" hidden="0"/>
    </xf>
    <xf numFmtId="164" fontId="13" fillId="0" borderId="1" applyAlignment="1" pivotButton="0" quotePrefix="0" xfId="0">
      <alignment horizontal="center" vertical="center" wrapText="1"/>
    </xf>
    <xf numFmtId="164" fontId="2" fillId="5" borderId="1" applyAlignment="1" applyProtection="1" pivotButton="0" quotePrefix="0" xfId="0">
      <alignment horizontal="center" vertical="center" wrapText="1"/>
      <protection locked="0" hidden="0"/>
    </xf>
    <xf numFmtId="165" fontId="2" fillId="0" borderId="1" applyAlignment="1" pivotButton="0" quotePrefix="0" xfId="0">
      <alignment horizontal="center" vertical="center" wrapText="1"/>
    </xf>
    <xf numFmtId="165" fontId="2" fillId="5" borderId="1" applyAlignment="1" applyProtection="1" pivotButton="0" quotePrefix="0" xfId="0">
      <alignment horizontal="center" vertical="center"/>
      <protection locked="0" hidden="0"/>
    </xf>
    <xf numFmtId="165" fontId="13" fillId="0" borderId="1" applyAlignment="1" pivotButton="0" quotePrefix="0" xfId="0">
      <alignment horizontal="center" vertical="center" wrapText="1"/>
    </xf>
    <xf numFmtId="165" fontId="2" fillId="5" borderId="1" applyAlignment="1" applyProtection="1" pivotButton="0" quotePrefix="0" xfId="0">
      <alignment horizontal="center" vertical="center" wrapText="1"/>
      <protection locked="0" hidden="0"/>
    </xf>
    <xf numFmtId="0" fontId="2" fillId="2" borderId="1" applyAlignment="1" pivotButton="0" quotePrefix="0" xfId="0">
      <alignment horizontal="right" vertical="center" wrapText="1"/>
    </xf>
    <xf numFmtId="0" fontId="5" fillId="2" borderId="1" applyAlignment="1" pivotButton="0" quotePrefix="0" xfId="0">
      <alignment horizontal="center" vertical="center" wrapText="1"/>
    </xf>
    <xf numFmtId="9" fontId="18" fillId="2" borderId="1" applyAlignment="1" pivotButton="0" quotePrefix="0" xfId="0">
      <alignment horizontal="center" vertical="center" wrapText="1"/>
    </xf>
    <xf numFmtId="9" fontId="19" fillId="2" borderId="1" applyAlignment="1" pivotButton="0" quotePrefix="0" xfId="0">
      <alignment horizontal="center" vertical="center" wrapText="1"/>
    </xf>
    <xf numFmtId="0" fontId="20" fillId="2" borderId="0" applyAlignment="1" pivotButton="0" quotePrefix="0" xfId="0">
      <alignment horizontal="center" vertical="center"/>
    </xf>
    <xf numFmtId="0" fontId="13" fillId="0" borderId="1" applyAlignment="1" pivotButton="0" quotePrefix="0" xfId="0">
      <alignment horizontal="right" vertical="center" wrapText="1"/>
    </xf>
    <xf numFmtId="0" fontId="2" fillId="5" borderId="1" applyAlignment="1" applyProtection="1" pivotButton="0" quotePrefix="0" xfId="0">
      <alignment horizontal="right" vertical="center" wrapText="1"/>
      <protection locked="0" hidden="0"/>
    </xf>
    <xf numFmtId="0" fontId="0" fillId="0" borderId="8" applyProtection="1" pivotButton="0" quotePrefix="0" xfId="0">
      <protection locked="0" hidden="0"/>
    </xf>
    <xf numFmtId="0" fontId="0" fillId="0" borderId="7" applyProtection="1" pivotButton="0" quotePrefix="0" xfId="0">
      <protection locked="0" hidden="0"/>
    </xf>
    <xf numFmtId="0" fontId="15" fillId="0" borderId="1" applyAlignment="1" pivotButton="0" quotePrefix="0" xfId="0">
      <alignment horizontal="right" vertical="center" wrapText="1"/>
    </xf>
    <xf numFmtId="9" fontId="5" fillId="2" borderId="1" applyAlignment="1" pivotButton="0" quotePrefix="0" xfId="0">
      <alignment horizontal="center" vertical="center" wrapText="1"/>
    </xf>
    <xf numFmtId="9" fontId="28" fillId="2" borderId="1" applyAlignment="1" pivotButton="0" quotePrefix="0" xfId="0">
      <alignment horizontal="center" vertical="center" wrapText="1"/>
    </xf>
    <xf numFmtId="0" fontId="26" fillId="0" borderId="1" applyAlignment="1" pivotButton="0" quotePrefix="0" xfId="0">
      <alignment horizontal="center" vertical="center" wrapText="1"/>
    </xf>
    <xf numFmtId="0" fontId="21" fillId="0" borderId="1" applyAlignment="1" pivotButton="0" quotePrefix="0" xfId="0">
      <alignment horizontal="center" vertical="center" wrapText="1"/>
    </xf>
    <xf numFmtId="0" fontId="21" fillId="0" borderId="1" applyAlignment="1" pivotButton="0" quotePrefix="0" xfId="0">
      <alignment horizontal="right" vertical="center" wrapText="1"/>
    </xf>
    <xf numFmtId="9" fontId="22" fillId="0"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styles" Target="styles.xml" Id="rId23" /><Relationship Type="http://schemas.openxmlformats.org/officeDocument/2006/relationships/theme" Target="theme/theme1.xml" Id="rId24"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image" Target="/xl/media/image3.png" Id="rId1" /></Relationships>
</file>

<file path=xl/drawings/_rels/drawing4.xml.rels><Relationships xmlns="http://schemas.openxmlformats.org/package/2006/relationships"><Relationship Type="http://schemas.openxmlformats.org/officeDocument/2006/relationships/image" Target="/xl/media/image4.png" Id="rId1" /></Relationships>
</file>

<file path=xl/drawings/_rels/drawing5.xml.rels><Relationships xmlns="http://schemas.openxmlformats.org/package/2006/relationships"><Relationship Type="http://schemas.openxmlformats.org/officeDocument/2006/relationships/image" Target="/xl/media/image5.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col>
      <colOff>0</colOff>
      <row>0</row>
      <rowOff>0</rowOff>
    </from>
    <ext cx="2381250" cy="619125"/>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1</col>
      <colOff>0</colOff>
      <row>0</row>
      <rowOff>0</rowOff>
    </from>
    <ext cx="1905000" cy="495300"/>
    <pic>
      <nvPicPr>
        <cNvPr id="1" name="Image 1" descr="Picture"/>
        <cNvPicPr/>
      </nvPicPr>
      <blipFill>
        <a:blip cstate="print" r:embed="rId1"/>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1</col>
      <colOff>0</colOff>
      <row>0</row>
      <rowOff>0</rowOff>
    </from>
    <ext cx="2000250" cy="514350"/>
    <pic>
      <nvPicPr>
        <cNvPr id="1" name="Image 1" descr="Picture"/>
        <cNvPicPr/>
      </nvPicPr>
      <blipFill>
        <a:blip cstate="print" r:embed="rId1"/>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1</col>
      <colOff>0</colOff>
      <row>0</row>
      <rowOff>0</rowOff>
    </from>
    <ext cx="2000250" cy="514350"/>
    <pic>
      <nvPicPr>
        <cNvPr id="1" name="Image 1" descr="Picture"/>
        <cNvPicPr/>
      </nvPicPr>
      <blipFill>
        <a:blip cstate="print" r:embed="rId1"/>
        <a:stretch>
          <a:fillRect/>
        </a:stretch>
      </blipFill>
      <spPr>
        <a:prstGeom prst="rect"/>
      </spPr>
    </pic>
    <clientData/>
  </oneCellAnchor>
</wsDr>
</file>

<file path=xl/drawings/drawing5.xml><?xml version="1.0" encoding="utf-8"?>
<wsDr xmlns:a="http://schemas.openxmlformats.org/drawingml/2006/main" xmlns:r="http://schemas.openxmlformats.org/officeDocument/2006/relationships" xmlns="http://schemas.openxmlformats.org/drawingml/2006/spreadsheetDrawing">
  <oneCellAnchor>
    <from>
      <col>1</col>
      <colOff>0</colOff>
      <row>0</row>
      <rowOff>0</rowOff>
    </from>
    <ext cx="1905000" cy="495300"/>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_rels/sheet6.xml.rels><Relationships xmlns="http://schemas.openxmlformats.org/package/2006/relationships"><Relationship Type="http://schemas.openxmlformats.org/officeDocument/2006/relationships/drawing" Target="/xl/drawings/drawing5.xml" Id="rId1" /></Relationships>
</file>

<file path=xl/worksheets/sheet1.xml><?xml version="1.0" encoding="utf-8"?>
<worksheet xmlns="http://schemas.openxmlformats.org/spreadsheetml/2006/main">
  <sheetPr>
    <outlinePr summaryBelow="1" summaryRight="1"/>
    <pageSetUpPr/>
  </sheetPr>
  <dimension ref="B2:B10"/>
  <sheetViews>
    <sheetView showGridLines="0" rightToLeft="1" workbookViewId="0">
      <selection activeCell="A1" sqref="A1"/>
    </sheetView>
  </sheetViews>
  <sheetFormatPr baseColWidth="8" defaultRowHeight="15"/>
  <cols>
    <col width="3" customWidth="1" min="1" max="1"/>
    <col width="110" customWidth="1" min="2" max="2"/>
  </cols>
  <sheetData>
    <row r="1" ht="56" customHeight="1"/>
    <row r="2">
      <c r="B2" s="1" t="inlineStr">
        <is>
          <t>درب · المنظومة الاستراتيجية لمؤشرات الأداء 2026 — قطاع المحطات والعقار</t>
        </is>
      </c>
    </row>
    <row r="3" ht="8" customHeight="1">
      <c r="B3" s="2" t="inlineStr"/>
    </row>
    <row r="4" ht="30" customHeight="1">
      <c r="B4" s="3" t="inlineStr">
        <is>
          <t>🧭 الفكرة  —  ملف واحد يتدرّج من فوق لتحت: الركائز الخمسية ← مستهدفات 2026 ← الخارطة التنفيذية ← مؤشرات كل إدارة ← تقييم كل موظف. كل المؤشرات تغذّي نفس اللوحة عبر «قاعدة المؤشرات».</t>
        </is>
      </c>
    </row>
    <row r="5" ht="30" customHeight="1">
      <c r="B5" s="3" t="inlineStr">
        <is>
          <t>🟩 خلايا الإدخال  —  الخلايا الخضراء فقط قابلة للتعديل — يدخل فيها المسؤول أرقامه الشهرية. باقي الخلايا (المؤشر/المستهدف/المعادلة) مقفولة ومحمية.</t>
        </is>
      </c>
    </row>
    <row r="6" ht="30" customHeight="1">
      <c r="B6" s="3" t="inlineStr">
        <is>
          <t>🔢 المعادلات  —  نسبة التحقيق وYTD والحالة والدرجات تُحسب آلياً بمعادلات حقيقية، وتصعد تلقائياً للمشروع والركيزة.</t>
        </is>
      </c>
    </row>
    <row r="7" ht="30" customHeight="1">
      <c r="B7" s="3" t="inlineStr">
        <is>
          <t>🔒 الحماية  —  كل شيت محمي بكلمة مرور: darb2026  — لفك الحماية مؤقتاً: مراجعة ← حماية الورقة ← أدخل كلمة المرور.</t>
        </is>
      </c>
    </row>
    <row r="8" ht="30" customHeight="1">
      <c r="B8" s="3" t="inlineStr">
        <is>
          <t>👤 الصلاحيات  —  عند التوزيع: كل مسؤول يُمنح صلاحية الإدخال على نطاق خلاياه الخضراء فقط (Allow Edit Ranges / صلاحيات SharePoint). الهيكل والمستهدفات مقفولة للجميع.</t>
        </is>
      </c>
    </row>
    <row r="9" ht="30" customHeight="1">
      <c r="B9" s="3" t="inlineStr">
        <is>
          <t>📊 الحالة  —  ✅ محقق = 100%+   |   🟡 قريب = 85%–99%   |   🔴 تحت الهدف = أقل من 85%   |   — = بانتظار إدخال / مستهدف وصفي.</t>
        </is>
      </c>
    </row>
    <row r="10" ht="30" customHeight="1">
      <c r="B10" s="3" t="inlineStr">
        <is>
          <t>🏢 الإدارات  —  الامتياز التجاري · التشغيل والمحطات · الاستثمار · العقار — كلها في نفس الملف وتغذّي نفس اللوحة التنفيذية.</t>
        </is>
      </c>
    </row>
  </sheetData>
  <sheetProtection selectLockedCells="1" selectUnlockedCells="1" sheet="1" objects="0" insertRows="1" insertHyperlinks="1" autoFilter="1" scenarios="0" formatColumns="1" deleteColumns="1" insertColumns="1" pivotTables="1" deleteRows="1" formatCells="0" formatRows="1" sort="1" password="EFFF"/>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2:D16"/>
  <sheetViews>
    <sheetView showGridLines="0" rightToLeft="1" workbookViewId="0">
      <selection activeCell="A1" sqref="A1"/>
    </sheetView>
  </sheetViews>
  <sheetFormatPr baseColWidth="8" defaultRowHeight="15"/>
  <cols>
    <col width="3" customWidth="1" min="1" max="1"/>
    <col width="26" customWidth="1" min="2" max="2"/>
    <col width="42" customWidth="1" min="3" max="3"/>
    <col width="30" customWidth="1" min="4" max="4"/>
  </cols>
  <sheetData>
    <row r="1" ht="46" customHeight="1"/>
    <row r="2" ht="32" customHeight="1">
      <c r="B2" s="4" t="inlineStr">
        <is>
          <t>ركائز واستراتيجية درب 2026 — قطاع المحطات والعقار</t>
        </is>
      </c>
    </row>
    <row r="4">
      <c r="A4" s="5" t="inlineStr"/>
      <c r="B4" s="5" t="inlineStr">
        <is>
          <t>الركيزة (5 سنوات) / الهدف</t>
        </is>
      </c>
      <c r="C4" s="5" t="inlineStr">
        <is>
          <t>الوصف</t>
        </is>
      </c>
      <c r="D4" s="5" t="inlineStr">
        <is>
          <t>مستهدف 2026</t>
        </is>
      </c>
    </row>
    <row r="5" ht="26" customHeight="1">
      <c r="A5" s="6" t="inlineStr"/>
      <c r="B5" s="7" t="inlineStr">
        <is>
          <t>النمو</t>
        </is>
      </c>
      <c r="C5" s="8" t="inlineStr">
        <is>
          <t>التوسع في المواقع وزيادة الوصول للعملاء وتنمية الإيرادات.</t>
        </is>
      </c>
      <c r="D5" s="9" t="inlineStr"/>
    </row>
    <row r="6" ht="26" customHeight="1">
      <c r="A6" s="10" t="inlineStr"/>
      <c r="B6" s="11" t="inlineStr">
        <is>
          <t>التوسع في المواقع</t>
        </is>
      </c>
      <c r="C6" s="10" t="inlineStr">
        <is>
          <t>افتتاح وتشغيل محطات جديدة.</t>
        </is>
      </c>
      <c r="D6" s="12" t="inlineStr">
        <is>
          <t>التشغيل: 85 محطة · الامتياز: 150 محطة</t>
        </is>
      </c>
    </row>
    <row r="7" ht="26" customHeight="1">
      <c r="A7" s="10" t="inlineStr"/>
      <c r="B7" s="11" t="inlineStr">
        <is>
          <t>الامتياز والعقود</t>
        </is>
      </c>
      <c r="C7" s="10" t="inlineStr">
        <is>
          <t>تنمية الإيرادات عبر الامتياز والاستثمار.</t>
        </is>
      </c>
      <c r="D7" s="12" t="inlineStr">
        <is>
          <t>الامتياز: 167 عقد · الاستثمار: 190 عقد</t>
        </is>
      </c>
    </row>
    <row r="8" ht="26" customHeight="1">
      <c r="A8" s="10" t="inlineStr"/>
      <c r="B8" s="11" t="inlineStr">
        <is>
          <t>زيادة وصول العملاء</t>
        </is>
      </c>
      <c r="C8" s="10" t="inlineStr">
        <is>
          <t>رفع المبيعات والتغطية الجغرافية.</t>
        </is>
      </c>
      <c r="D8" s="12" t="inlineStr">
        <is>
          <t>718.8M لتر · 13 منطقة · 59 مدينة</t>
        </is>
      </c>
    </row>
    <row r="9" ht="26" customHeight="1">
      <c r="A9" s="6" t="inlineStr"/>
      <c r="B9" s="7" t="inlineStr">
        <is>
          <t>الابتكار</t>
        </is>
      </c>
      <c r="C9" s="8" t="inlineStr">
        <is>
          <t>مشاريع جديدة وتحول تقني وتطوير الهوية.</t>
        </is>
      </c>
      <c r="D9" s="9" t="inlineStr"/>
    </row>
    <row r="10" ht="26" customHeight="1">
      <c r="A10" s="10" t="inlineStr"/>
      <c r="B10" s="11" t="inlineStr">
        <is>
          <t>الهوية والتصاميم</t>
        </is>
      </c>
      <c r="C10" s="10" t="inlineStr">
        <is>
          <t>تطبيق الهوية المؤسسية في المحطات.</t>
        </is>
      </c>
      <c r="D10" s="12" t="inlineStr">
        <is>
          <t>التزام 55% بالهوية</t>
        </is>
      </c>
    </row>
    <row r="11" ht="26" customHeight="1">
      <c r="A11" s="10" t="inlineStr"/>
      <c r="B11" s="11" t="inlineStr">
        <is>
          <t>التحول التقني وساحات درب</t>
        </is>
      </c>
      <c r="C11" s="10" t="inlineStr">
        <is>
          <t>أتمتة المحطات وتطوير ساحات درب وتطبيق تانكي.</t>
        </is>
      </c>
      <c r="D11" s="12" t="inlineStr">
        <is>
          <t>أتمتة 90% · تأجير ساحة درب ≥80%</t>
        </is>
      </c>
    </row>
    <row r="12" ht="26" customHeight="1">
      <c r="A12" s="6" t="inlineStr"/>
      <c r="B12" s="7" t="inlineStr">
        <is>
          <t>الاستدامة</t>
        </is>
      </c>
      <c r="C12" s="8" t="inlineStr">
        <is>
          <t>جودة التشغيل وتجربة العميل والاستثمار في الموظفين.</t>
        </is>
      </c>
      <c r="D12" s="9" t="inlineStr"/>
    </row>
    <row r="13" ht="26" customHeight="1">
      <c r="A13" s="10" t="inlineStr"/>
      <c r="B13" s="11" t="inlineStr">
        <is>
          <t>تجربة العملاء</t>
        </is>
      </c>
      <c r="C13" s="10" t="inlineStr">
        <is>
          <t>رفع الرضا وجودة التجربة.</t>
        </is>
      </c>
      <c r="D13" s="12" t="inlineStr">
        <is>
          <t>قوقل ≥4.5–4.7 · CSAT ≥90%</t>
        </is>
      </c>
    </row>
    <row r="14" ht="26" customHeight="1">
      <c r="A14" s="10" t="inlineStr"/>
      <c r="B14" s="11" t="inlineStr">
        <is>
          <t>جودة التشغيل</t>
        </is>
      </c>
      <c r="C14" s="10" t="inlineStr">
        <is>
          <t>كفاءة وجودة عمليات المحطات.</t>
        </is>
      </c>
      <c r="D14" s="12" t="inlineStr">
        <is>
          <t>جاهزية 99% · سلامة 100%</t>
        </is>
      </c>
    </row>
    <row r="15" ht="26" customHeight="1">
      <c r="A15" s="10" t="inlineStr"/>
      <c r="B15" s="11" t="inlineStr">
        <is>
          <t>منظومة التأجير (العقار)</t>
        </is>
      </c>
      <c r="C15" s="10" t="inlineStr">
        <is>
          <t>الإشغال والتحصيل واستدامة المستأجرين.</t>
        </is>
      </c>
      <c r="D15" s="12" t="inlineStr">
        <is>
          <t>إشغال ≥60% · 246 علامة · تحصيل 95%+</t>
        </is>
      </c>
    </row>
    <row r="16" ht="26" customHeight="1">
      <c r="A16" s="10" t="inlineStr"/>
      <c r="B16" s="11" t="inlineStr">
        <is>
          <t>الاستثمار في الموظفين</t>
        </is>
      </c>
      <c r="C16" s="10" t="inlineStr">
        <is>
          <t>التطوير والاستبقاء.</t>
        </is>
      </c>
      <c r="D16" s="12" t="inlineStr">
        <is>
          <t>استبقاء الشركاء 90%+</t>
        </is>
      </c>
    </row>
  </sheetData>
  <sheetProtection selectLockedCells="1" selectUnlockedCells="1" sheet="1" objects="0" insertRows="1" insertHyperlinks="1" autoFilter="1" scenarios="0" formatColumns="1" deleteColumns="1" insertColumns="1" pivotTables="1" deleteRows="1" formatCells="0" formatRows="1" sort="1" password="EFFF"/>
  <mergeCells count="1">
    <mergeCell ref="B2:D2"/>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B2:H22"/>
  <sheetViews>
    <sheetView showGridLines="0" rightToLeft="1" workbookViewId="0">
      <selection activeCell="A1" sqref="A1"/>
    </sheetView>
  </sheetViews>
  <sheetFormatPr baseColWidth="8" defaultRowHeight="15"/>
  <cols>
    <col width="3" customWidth="1" min="1" max="1"/>
    <col width="16" customWidth="1" min="2" max="2"/>
    <col width="18" customWidth="1" min="3" max="3"/>
    <col width="40" customWidth="1" min="4" max="4"/>
    <col width="16" customWidth="1" min="5" max="5"/>
    <col width="14" customWidth="1" min="6" max="6"/>
    <col width="12" customWidth="1" min="7" max="7"/>
    <col width="14" customWidth="1" min="8" max="8"/>
  </cols>
  <sheetData>
    <row r="1" ht="48" customHeight="1"/>
    <row r="2" ht="34" customHeight="1">
      <c r="B2" s="13" t="inlineStr">
        <is>
          <t>المؤشرات الحيوية — النجمة الشمالية والمؤشرات الاستراتيجية القليلة</t>
        </is>
      </c>
    </row>
    <row r="4">
      <c r="B4" s="14" t="inlineStr">
        <is>
          <t>🌟 النجمة الشمالية — إجمالي مبيعات الوقود (لتر)</t>
        </is>
      </c>
      <c r="E4" s="15" t="inlineStr">
        <is>
          <t>نسبة تحقيق النجمة الشمالية</t>
        </is>
      </c>
    </row>
    <row r="5" ht="28" customHeight="1">
      <c r="B5" s="16">
        <f>'الامتياز · المؤشرات'!U6</f>
        <v/>
      </c>
      <c r="D5" s="17" t="inlineStr">
        <is>
          <t>المستهدف 2026</t>
        </is>
      </c>
      <c r="E5" s="18">
        <f>'الامتياز · المؤشرات'!V6</f>
        <v/>
      </c>
    </row>
    <row r="6">
      <c r="D6" s="19">
        <f>'الامتياز · المؤشرات'!H6</f>
        <v/>
      </c>
    </row>
    <row r="8" ht="26" customHeight="1">
      <c r="B8" s="5" t="inlineStr">
        <is>
          <t>الركيزة</t>
        </is>
      </c>
      <c r="C8" s="5" t="inlineStr">
        <is>
          <t>الإدارة</t>
        </is>
      </c>
      <c r="D8" s="5" t="inlineStr">
        <is>
          <t>المؤشر</t>
        </is>
      </c>
      <c r="E8" s="5" t="inlineStr">
        <is>
          <t>المستهدف</t>
        </is>
      </c>
      <c r="F8" s="5" t="inlineStr">
        <is>
          <t>YTD</t>
        </is>
      </c>
      <c r="G8" s="5" t="inlineStr">
        <is>
          <t>الإنجاز</t>
        </is>
      </c>
      <c r="H8" s="5" t="inlineStr">
        <is>
          <t>الحالة</t>
        </is>
      </c>
    </row>
    <row r="9" ht="24" customHeight="1">
      <c r="B9" s="20" t="inlineStr">
        <is>
          <t>النمو</t>
        </is>
      </c>
      <c r="C9" s="21" t="inlineStr">
        <is>
          <t>الامتياز</t>
        </is>
      </c>
      <c r="D9" s="22">
        <f>'الامتياز · المؤشرات'!C6</f>
        <v/>
      </c>
      <c r="E9" s="21">
        <f>'الامتياز · المؤشرات'!H6</f>
        <v/>
      </c>
      <c r="F9" s="17">
        <f>'الامتياز · المؤشرات'!U6</f>
        <v/>
      </c>
      <c r="G9" s="23">
        <f>'الامتياز · المؤشرات'!V6</f>
        <v/>
      </c>
      <c r="H9" s="17">
        <f>'الامتياز · المؤشرات'!W6</f>
        <v/>
      </c>
    </row>
    <row r="10" ht="24" customHeight="1">
      <c r="C10" s="21" t="inlineStr">
        <is>
          <t>الامتياز</t>
        </is>
      </c>
      <c r="D10" s="22">
        <f>'الامتياز · المؤشرات'!C4</f>
        <v/>
      </c>
      <c r="E10" s="21">
        <f>'الامتياز · المؤشرات'!H4</f>
        <v/>
      </c>
      <c r="F10" s="17">
        <f>'الامتياز · المؤشرات'!U4</f>
        <v/>
      </c>
      <c r="G10" s="23">
        <f>'الامتياز · المؤشرات'!V4</f>
        <v/>
      </c>
      <c r="H10" s="17">
        <f>'الامتياز · المؤشرات'!W4</f>
        <v/>
      </c>
    </row>
    <row r="11" ht="24" customHeight="1">
      <c r="C11" s="21" t="inlineStr">
        <is>
          <t>الامتياز</t>
        </is>
      </c>
      <c r="D11" s="22">
        <f>'الامتياز · المؤشرات'!C5</f>
        <v/>
      </c>
      <c r="E11" s="21">
        <f>'الامتياز · المؤشرات'!H5</f>
        <v/>
      </c>
      <c r="F11" s="17">
        <f>'الامتياز · المؤشرات'!U5</f>
        <v/>
      </c>
      <c r="G11" s="23">
        <f>'الامتياز · المؤشرات'!V5</f>
        <v/>
      </c>
      <c r="H11" s="17">
        <f>'الامتياز · المؤشرات'!W5</f>
        <v/>
      </c>
    </row>
    <row r="12" ht="24" customHeight="1">
      <c r="C12" s="21" t="inlineStr">
        <is>
          <t>الاستثمار</t>
        </is>
      </c>
      <c r="D12" s="22">
        <f>'الاستثمار · المؤشرات'!C4</f>
        <v/>
      </c>
      <c r="E12" s="21">
        <f>'الاستثمار · المؤشرات'!H4</f>
        <v/>
      </c>
      <c r="F12" s="17">
        <f>'الاستثمار · المؤشرات'!U4</f>
        <v/>
      </c>
      <c r="G12" s="23">
        <f>'الاستثمار · المؤشرات'!V4</f>
        <v/>
      </c>
      <c r="H12" s="17">
        <f>'الاستثمار · المؤشرات'!W4</f>
        <v/>
      </c>
    </row>
    <row r="13" ht="24" customHeight="1">
      <c r="B13" s="20" t="inlineStr">
        <is>
          <t>الابتكار</t>
        </is>
      </c>
      <c r="C13" s="21" t="inlineStr">
        <is>
          <t>الامتياز</t>
        </is>
      </c>
      <c r="D13" s="22">
        <f>'الامتياز · المؤشرات'!C24</f>
        <v/>
      </c>
      <c r="E13" s="21">
        <f>'الامتياز · المؤشرات'!H24</f>
        <v/>
      </c>
      <c r="F13" s="17">
        <f>'الامتياز · المؤشرات'!U24</f>
        <v/>
      </c>
      <c r="G13" s="23">
        <f>'الامتياز · المؤشرات'!V24</f>
        <v/>
      </c>
      <c r="H13" s="17">
        <f>'الامتياز · المؤشرات'!W24</f>
        <v/>
      </c>
    </row>
    <row r="14" ht="24" customHeight="1">
      <c r="C14" s="21" t="inlineStr">
        <is>
          <t>العقار</t>
        </is>
      </c>
      <c r="D14" s="22">
        <f>'العقار · المؤشرات'!C12</f>
        <v/>
      </c>
      <c r="E14" s="21">
        <f>'العقار · المؤشرات'!H12</f>
        <v/>
      </c>
      <c r="F14" s="17">
        <f>'العقار · المؤشرات'!U12</f>
        <v/>
      </c>
      <c r="G14" s="23">
        <f>'العقار · المؤشرات'!V12</f>
        <v/>
      </c>
      <c r="H14" s="17">
        <f>'العقار · المؤشرات'!W12</f>
        <v/>
      </c>
    </row>
    <row r="15" ht="24" customHeight="1">
      <c r="C15" s="21" t="inlineStr">
        <is>
          <t>التقنية الرقمية</t>
        </is>
      </c>
      <c r="D15" s="22">
        <f>'التقنية الرقمية · المؤشرات'!C4</f>
        <v/>
      </c>
      <c r="E15" s="21">
        <f>'التقنية الرقمية · المؤشرات'!H4</f>
        <v/>
      </c>
      <c r="F15" s="17">
        <f>'التقنية الرقمية · المؤشرات'!U4</f>
        <v/>
      </c>
      <c r="G15" s="23">
        <f>'التقنية الرقمية · المؤشرات'!V4</f>
        <v/>
      </c>
      <c r="H15" s="17">
        <f>'التقنية الرقمية · المؤشرات'!W4</f>
        <v/>
      </c>
    </row>
    <row r="16" ht="24" customHeight="1">
      <c r="B16" s="20" t="inlineStr">
        <is>
          <t>الاستدامة</t>
        </is>
      </c>
      <c r="C16" s="21" t="inlineStr">
        <is>
          <t>الامتياز</t>
        </is>
      </c>
      <c r="D16" s="22">
        <f>'الامتياز · المؤشرات'!C12</f>
        <v/>
      </c>
      <c r="E16" s="21">
        <f>'الامتياز · المؤشرات'!H12</f>
        <v/>
      </c>
      <c r="F16" s="17">
        <f>'الامتياز · المؤشرات'!U12</f>
        <v/>
      </c>
      <c r="G16" s="23">
        <f>'الامتياز · المؤشرات'!V12</f>
        <v/>
      </c>
      <c r="H16" s="17">
        <f>'الامتياز · المؤشرات'!W12</f>
        <v/>
      </c>
    </row>
    <row r="17" ht="24" customHeight="1">
      <c r="C17" s="21" t="inlineStr">
        <is>
          <t>الامتياز</t>
        </is>
      </c>
      <c r="D17" s="22">
        <f>'الامتياز · المؤشرات'!C17</f>
        <v/>
      </c>
      <c r="E17" s="21">
        <f>'الامتياز · المؤشرات'!H17</f>
        <v/>
      </c>
      <c r="F17" s="17">
        <f>'الامتياز · المؤشرات'!U17</f>
        <v/>
      </c>
      <c r="G17" s="23">
        <f>'الامتياز · المؤشرات'!V17</f>
        <v/>
      </c>
      <c r="H17" s="17">
        <f>'الامتياز · المؤشرات'!W17</f>
        <v/>
      </c>
    </row>
    <row r="18" ht="24" customHeight="1">
      <c r="C18" s="21" t="inlineStr">
        <is>
          <t>الامتياز</t>
        </is>
      </c>
      <c r="D18" s="22">
        <f>'الامتياز · المؤشرات'!C32</f>
        <v/>
      </c>
      <c r="E18" s="21">
        <f>'الامتياز · المؤشرات'!H32</f>
        <v/>
      </c>
      <c r="F18" s="17">
        <f>'الامتياز · المؤشرات'!U32</f>
        <v/>
      </c>
      <c r="G18" s="23">
        <f>'الامتياز · المؤشرات'!V32</f>
        <v/>
      </c>
      <c r="H18" s="17">
        <f>'الامتياز · المؤشرات'!W32</f>
        <v/>
      </c>
    </row>
    <row r="19" ht="24" customHeight="1">
      <c r="C19" s="21" t="inlineStr">
        <is>
          <t>العقار</t>
        </is>
      </c>
      <c r="D19" s="22">
        <f>'العقار · المؤشرات'!C7</f>
        <v/>
      </c>
      <c r="E19" s="21">
        <f>'العقار · المؤشرات'!H7</f>
        <v/>
      </c>
      <c r="F19" s="17">
        <f>'العقار · المؤشرات'!U7</f>
        <v/>
      </c>
      <c r="G19" s="23">
        <f>'العقار · المؤشرات'!V7</f>
        <v/>
      </c>
      <c r="H19" s="17">
        <f>'العقار · المؤشرات'!W7</f>
        <v/>
      </c>
    </row>
    <row r="20" ht="24" customHeight="1">
      <c r="C20" s="21" t="inlineStr">
        <is>
          <t>العقار</t>
        </is>
      </c>
      <c r="D20" s="22">
        <f>'العقار · المؤشرات'!C19</f>
        <v/>
      </c>
      <c r="E20" s="21">
        <f>'العقار · المؤشرات'!H19</f>
        <v/>
      </c>
      <c r="F20" s="17">
        <f>'العقار · المؤشرات'!U19</f>
        <v/>
      </c>
      <c r="G20" s="23">
        <f>'العقار · المؤشرات'!V19</f>
        <v/>
      </c>
      <c r="H20" s="17">
        <f>'العقار · المؤشرات'!W19</f>
        <v/>
      </c>
    </row>
    <row r="21" ht="24" customHeight="1">
      <c r="C21" s="21" t="inlineStr">
        <is>
          <t>الاستثمار</t>
        </is>
      </c>
      <c r="D21" s="22">
        <f>'الاستثمار · المؤشرات'!C11</f>
        <v/>
      </c>
      <c r="E21" s="21">
        <f>'الاستثمار · المؤشرات'!H11</f>
        <v/>
      </c>
      <c r="F21" s="17">
        <f>'الاستثمار · المؤشرات'!U11</f>
        <v/>
      </c>
      <c r="G21" s="23">
        <f>'الاستثمار · المؤشرات'!V11</f>
        <v/>
      </c>
      <c r="H21" s="17">
        <f>'الاستثمار · المؤشرات'!W11</f>
        <v/>
      </c>
    </row>
    <row r="22" ht="24" customHeight="1">
      <c r="C22" s="21" t="inlineStr">
        <is>
          <t>الموارد البشرية</t>
        </is>
      </c>
      <c r="D22" s="22">
        <f>'الموارد البشرية · المؤشرات'!C4</f>
        <v/>
      </c>
      <c r="E22" s="21">
        <f>'الموارد البشرية · المؤشرات'!H4</f>
        <v/>
      </c>
      <c r="F22" s="17">
        <f>'الموارد البشرية · المؤشرات'!U4</f>
        <v/>
      </c>
      <c r="G22" s="23">
        <f>'الموارد البشرية · المؤشرات'!V4</f>
        <v/>
      </c>
      <c r="H22" s="17">
        <f>'الموارد البشرية · المؤشرات'!W4</f>
        <v/>
      </c>
    </row>
  </sheetData>
  <sheetProtection selectLockedCells="1" selectUnlockedCells="1" sheet="1" objects="0" insertRows="1" insertHyperlinks="1" autoFilter="1" scenarios="0" formatColumns="1" deleteColumns="1" insertColumns="1" pivotTables="1" deleteRows="1" formatCells="0" formatRows="1" sort="1" password="EFFF"/>
  <mergeCells count="8">
    <mergeCell ref="B9:B12"/>
    <mergeCell ref="E4:H4"/>
    <mergeCell ref="B5:C6"/>
    <mergeCell ref="B4:D4"/>
    <mergeCell ref="B13:B15"/>
    <mergeCell ref="B2:H2"/>
    <mergeCell ref="B16:B22"/>
    <mergeCell ref="E5:H6"/>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G20"/>
  <sheetViews>
    <sheetView showGridLines="0" rightToLeft="1" workbookViewId="0">
      <selection activeCell="A1" sqref="A1"/>
    </sheetView>
  </sheetViews>
  <sheetFormatPr baseColWidth="8" defaultRowHeight="15"/>
  <cols>
    <col width="4" customWidth="1" min="1" max="1"/>
    <col width="15" customWidth="1" min="2" max="2"/>
    <col width="26" customWidth="1" min="3" max="3"/>
    <col width="30" customWidth="1" min="4" max="4"/>
    <col width="40" customWidth="1" min="5" max="5"/>
    <col width="14" customWidth="1" min="6" max="6"/>
    <col width="18" customWidth="1" min="7" max="7"/>
  </cols>
  <sheetData>
    <row r="1" ht="30" customHeight="1">
      <c r="A1" s="24" t="inlineStr">
        <is>
          <t>الخارطة التنفيذية 2026 — مشاريع الشركة وربطها بالمؤشرات (المحطات والعقار)</t>
        </is>
      </c>
    </row>
    <row r="2">
      <c r="A2" s="25" t="inlineStr">
        <is>
          <t>المصدر: «رؤية وأهداف 2026» — سحور درب  ·  التغطية: ✅ مرتبط 🟡 جزئي 🔴 فجوة  ·  أداء المؤشرات آلي من قاعدة المؤشرات</t>
        </is>
      </c>
    </row>
    <row r="3" ht="30" customHeight="1">
      <c r="A3" s="26" t="inlineStr">
        <is>
          <t>#</t>
        </is>
      </c>
      <c r="B3" s="26" t="inlineStr">
        <is>
          <t>الركيزة</t>
        </is>
      </c>
      <c r="C3" s="26" t="inlineStr">
        <is>
          <t>المشروع</t>
        </is>
      </c>
      <c r="D3" s="26" t="inlineStr">
        <is>
          <t>الإدارة المسؤولة</t>
        </is>
      </c>
      <c r="E3" s="26" t="inlineStr">
        <is>
          <t>المؤشرات المرتبطة</t>
        </is>
      </c>
      <c r="F3" s="26" t="inlineStr">
        <is>
          <t>التغطية</t>
        </is>
      </c>
      <c r="G3" s="26" t="inlineStr">
        <is>
          <t>أداء المؤشرات (مباشر)</t>
        </is>
      </c>
    </row>
    <row r="4" ht="30" customHeight="1">
      <c r="A4" s="17" t="n">
        <v>1</v>
      </c>
      <c r="B4" s="15" t="inlineStr">
        <is>
          <t>النمو</t>
        </is>
      </c>
      <c r="C4" s="27" t="inlineStr">
        <is>
          <t>التوسع في المواقع</t>
        </is>
      </c>
      <c r="D4" s="22" t="inlineStr">
        <is>
          <t>التشغيل + الامتياز + الاستثمار</t>
        </is>
      </c>
      <c r="E4" s="22" t="inlineStr">
        <is>
          <t>محطات مشغّلة (85+150) · 190 عقد استثماري</t>
        </is>
      </c>
      <c r="F4" s="28" t="inlineStr">
        <is>
          <t>✅ مرتبط</t>
        </is>
      </c>
      <c r="G4" s="29">
        <f>IF(COUNTIFS('قاعدة المؤشرات'!$E$4:$E$111,"التوسع في المواقع")=0,"—",IFERROR(AVERAGEIFS('قاعدة المؤشرات'!$F$4:$F$111,'قاعدة المؤشرات'!$E$4:$E$111,"التوسع في المواقع"),"—"))</f>
        <v/>
      </c>
    </row>
    <row r="5" ht="30" customHeight="1">
      <c r="A5" s="17" t="n">
        <v>2</v>
      </c>
      <c r="C5" s="27" t="inlineStr">
        <is>
          <t>الامتياز التجاري</t>
        </is>
      </c>
      <c r="D5" s="22" t="inlineStr">
        <is>
          <t>الامتياز التجاري</t>
        </is>
      </c>
      <c r="E5" s="22" t="inlineStr">
        <is>
          <t>عقود الامتياز (167) · الإيرادات والهامش</t>
        </is>
      </c>
      <c r="F5" s="28" t="inlineStr">
        <is>
          <t>✅ مرتبط</t>
        </is>
      </c>
      <c r="G5" s="29">
        <f>IF(COUNTIFS('قاعدة المؤشرات'!$E$4:$E$111,"الامتياز التجاري")=0,"—",IFERROR(AVERAGEIFS('قاعدة المؤشرات'!$F$4:$F$111,'قاعدة المؤشرات'!$E$4:$E$111,"الامتياز التجاري"),"—"))</f>
        <v/>
      </c>
    </row>
    <row r="6" ht="30" customHeight="1">
      <c r="A6" s="17" t="n">
        <v>3</v>
      </c>
      <c r="C6" s="27" t="inlineStr">
        <is>
          <t>زيادة وصول العملاء</t>
        </is>
      </c>
      <c r="D6" s="22" t="inlineStr">
        <is>
          <t>الامتياز + التشغيل + العقار</t>
        </is>
      </c>
      <c r="E6" s="22" t="inlineStr">
        <is>
          <t>مبيعات الوقود · نمو المبيعات · LEADS</t>
        </is>
      </c>
      <c r="F6" s="28" t="inlineStr">
        <is>
          <t>✅ مرتبط</t>
        </is>
      </c>
      <c r="G6" s="29">
        <f>IF(COUNTIFS('قاعدة المؤشرات'!$E$4:$E$111,"زيادة وصول العملاء")=0,"—",IFERROR(AVERAGEIFS('قاعدة المؤشرات'!$F$4:$F$111,'قاعدة المؤشرات'!$E$4:$E$111,"زيادة وصول العملاء"),"—"))</f>
        <v/>
      </c>
    </row>
    <row r="7" ht="30" customHeight="1">
      <c r="A7" s="17" t="n">
        <v>4</v>
      </c>
      <c r="B7" s="15" t="inlineStr">
        <is>
          <t>الابتكار</t>
        </is>
      </c>
      <c r="C7" s="27" t="inlineStr">
        <is>
          <t>إطلاق مشاريع جديدة</t>
        </is>
      </c>
      <c r="D7" s="22" t="inlineStr">
        <is>
          <t>العقار (جزئي) — مقترح: إدارة تطوير</t>
        </is>
      </c>
      <c r="E7" s="22" t="inlineStr">
        <is>
          <t>الشراكات الاستراتيجية (5) فقط</t>
        </is>
      </c>
      <c r="F7" s="30" t="inlineStr">
        <is>
          <t>🟡 جزئي</t>
        </is>
      </c>
      <c r="G7" s="29">
        <f>IF(COUNTIFS('قاعدة المؤشرات'!$E$4:$E$111,"إطلاق مشاريع جديدة")=0,"—",IFERROR(AVERAGEIFS('قاعدة المؤشرات'!$F$4:$F$111,'قاعدة المؤشرات'!$E$4:$E$111,"إطلاق مشاريع جديدة"),"—"))</f>
        <v/>
      </c>
    </row>
    <row r="8" ht="30" customHeight="1">
      <c r="A8" s="17" t="n">
        <v>5</v>
      </c>
      <c r="C8" s="27" t="inlineStr">
        <is>
          <t>تطوير التصاميم والهوية</t>
        </is>
      </c>
      <c r="D8" s="31" t="inlineStr">
        <is>
          <t>غير محددة — مقترح: التسويق والعلامة</t>
        </is>
      </c>
      <c r="E8" s="22" t="inlineStr">
        <is>
          <t>نسبة التزام المحطات بالهوية (55%) فقط</t>
        </is>
      </c>
      <c r="F8" s="30" t="inlineStr">
        <is>
          <t>🟡 جزئي</t>
        </is>
      </c>
      <c r="G8" s="29">
        <f>IF(COUNTIFS('قاعدة المؤشرات'!$E$4:$E$111,"تطوير التصاميم والهوية")=0,"—",IFERROR(AVERAGEIFS('قاعدة المؤشرات'!$F$4:$F$111,'قاعدة المؤشرات'!$E$4:$E$111,"تطوير التصاميم والهوية"),"—"))</f>
        <v/>
      </c>
    </row>
    <row r="9" ht="30" customHeight="1">
      <c r="A9" s="17" t="n">
        <v>6</v>
      </c>
      <c r="C9" s="27" t="inlineStr">
        <is>
          <t>التحول التقني</t>
        </is>
      </c>
      <c r="D9" s="22" t="inlineStr">
        <is>
          <t>التقنية الرقمية + التشغيل</t>
        </is>
      </c>
      <c r="E9" s="22" t="inlineStr">
        <is>
          <t>أتمتة العمليات · جاهزية الأنظمة · المعيار الشامل</t>
        </is>
      </c>
      <c r="F9" s="28" t="inlineStr">
        <is>
          <t>✅ مرتبط</t>
        </is>
      </c>
      <c r="G9" s="29">
        <f>IF(COUNTIFS('قاعدة المؤشرات'!$E$4:$E$111,"التحول التقني")=0,"—",IFERROR(AVERAGEIFS('قاعدة المؤشرات'!$F$4:$F$111,'قاعدة المؤشرات'!$E$4:$E$111,"التحول التقني"),"—"))</f>
        <v/>
      </c>
    </row>
    <row r="10" ht="30" customHeight="1">
      <c r="A10" s="17" t="n">
        <v>7</v>
      </c>
      <c r="C10" s="27" t="inlineStr">
        <is>
          <t>ساحات درب</t>
        </is>
      </c>
      <c r="D10" s="22" t="inlineStr">
        <is>
          <t>العقار</t>
        </is>
      </c>
      <c r="E10" s="22" t="inlineStr">
        <is>
          <t>تأجير ساحة درب (≥80%) · 6 علامات جديدة</t>
        </is>
      </c>
      <c r="F10" s="28" t="inlineStr">
        <is>
          <t>✅ مرتبط</t>
        </is>
      </c>
      <c r="G10" s="29">
        <f>IF(COUNTIFS('قاعدة المؤشرات'!$E$4:$E$111,"ساحات درب")=0,"—",IFERROR(AVERAGEIFS('قاعدة المؤشرات'!$F$4:$F$111,'قاعدة المؤشرات'!$E$4:$E$111,"ساحات درب"),"—"))</f>
        <v/>
      </c>
    </row>
    <row r="11" ht="30" customHeight="1">
      <c r="A11" s="17" t="n">
        <v>8</v>
      </c>
      <c r="C11" s="27" t="inlineStr">
        <is>
          <t>تطبيق «تانكي»</t>
        </is>
      </c>
      <c r="D11" s="22" t="inlineStr">
        <is>
          <t>التقنية الرقمية</t>
        </is>
      </c>
      <c r="E11" s="22" t="inlineStr">
        <is>
          <t>MAU · التنزيلات · المعاملات الرقمية · الرضا</t>
        </is>
      </c>
      <c r="F11" s="28" t="inlineStr">
        <is>
          <t>✅ مرتبط</t>
        </is>
      </c>
      <c r="G11" s="29">
        <f>IF(COUNTIFS('قاعدة المؤشرات'!$E$4:$E$111,"تطبيق «تانكي»")=0,"—",IFERROR(AVERAGEIFS('قاعدة المؤشرات'!$F$4:$F$111,'قاعدة المؤشرات'!$E$4:$E$111,"تطبيق «تانكي»"),"—"))</f>
        <v/>
      </c>
    </row>
    <row r="12" ht="30" customHeight="1">
      <c r="A12" s="17" t="n">
        <v>9</v>
      </c>
      <c r="B12" s="15" t="inlineStr">
        <is>
          <t>الاستدامة</t>
        </is>
      </c>
      <c r="C12" s="27" t="inlineStr">
        <is>
          <t>تعزيز تجربة العملاء</t>
        </is>
      </c>
      <c r="D12" s="22" t="inlineStr">
        <is>
          <t>الامتياز + التشغيل + العقار + الاستثمار</t>
        </is>
      </c>
      <c r="E12" s="22" t="inlineStr">
        <is>
          <t>CSAT · قوقل · الشكاوى · رضا المستأجرين</t>
        </is>
      </c>
      <c r="F12" s="28" t="inlineStr">
        <is>
          <t>✅ مرتبط</t>
        </is>
      </c>
      <c r="G12" s="29">
        <f>IF(COUNTIFS('قاعدة المؤشرات'!$E$4:$E$111,"تعزيز تجربة العملاء")=0,"—",IFERROR(AVERAGEIFS('قاعدة المؤشرات'!$F$4:$F$111,'قاعدة المؤشرات'!$E$4:$E$111,"تعزيز تجربة العملاء"),"—"))</f>
        <v/>
      </c>
    </row>
    <row r="13" ht="30" customHeight="1">
      <c r="A13" s="17" t="n">
        <v>10</v>
      </c>
      <c r="C13" s="27" t="inlineStr">
        <is>
          <t>جودة التشغيل</t>
        </is>
      </c>
      <c r="D13" s="22" t="inlineStr">
        <is>
          <t>التشغيل + الامتياز + الاستثمار</t>
        </is>
      </c>
      <c r="E13" s="22" t="inlineStr">
        <is>
          <t>جاهزية 99% · السلامة 100% · الصيانة</t>
        </is>
      </c>
      <c r="F13" s="28" t="inlineStr">
        <is>
          <t>✅ مرتبط</t>
        </is>
      </c>
      <c r="G13" s="29">
        <f>IF(COUNTIFS('قاعدة المؤشرات'!$E$4:$E$111,"جودة التشغيل")=0,"—",IFERROR(AVERAGEIFS('قاعدة المؤشرات'!$F$4:$F$111,'قاعدة المؤشرات'!$E$4:$E$111,"جودة التشغيل"),"—"))</f>
        <v/>
      </c>
    </row>
    <row r="14" ht="30" customHeight="1">
      <c r="A14" s="17" t="n">
        <v>11</v>
      </c>
      <c r="C14" s="27" t="inlineStr">
        <is>
          <t>منظومة التأجير</t>
        </is>
      </c>
      <c r="D14" s="22" t="inlineStr">
        <is>
          <t>العقار</t>
        </is>
      </c>
      <c r="E14" s="22" t="inlineStr">
        <is>
          <t>الإشغال (≥60%) · 68 وحدة/شهر · التحصيل</t>
        </is>
      </c>
      <c r="F14" s="28" t="inlineStr">
        <is>
          <t>✅ مرتبط</t>
        </is>
      </c>
      <c r="G14" s="29">
        <f>IF(COUNTIFS('قاعدة المؤشرات'!$E$4:$E$111,"منظومة التأجير")=0,"—",IFERROR(AVERAGEIFS('قاعدة المؤشرات'!$F$4:$F$111,'قاعدة المؤشرات'!$E$4:$E$111,"منظومة التأجير"),"—"))</f>
        <v/>
      </c>
    </row>
    <row r="15" ht="30" customHeight="1">
      <c r="A15" s="17" t="n">
        <v>12</v>
      </c>
      <c r="C15" s="27" t="inlineStr">
        <is>
          <t>الاستثمار في الموظفين</t>
        </is>
      </c>
      <c r="D15" s="22" t="inlineStr">
        <is>
          <t>الموارد البشرية</t>
        </is>
      </c>
      <c r="E15" s="22" t="inlineStr">
        <is>
          <t>الاستبقاء · التدريب · eNPS · السعودة</t>
        </is>
      </c>
      <c r="F15" s="28" t="inlineStr">
        <is>
          <t>✅ مرتبط</t>
        </is>
      </c>
      <c r="G15" s="29">
        <f>IF(COUNTIFS('قاعدة المؤشرات'!$E$4:$E$111,"الاستثمار في الموظفين")=0,"—",IFERROR(AVERAGEIFS('قاعدة المؤشرات'!$F$4:$F$111,'قاعدة المؤشرات'!$E$4:$E$111,"الاستثمار في الموظفين"),"—"))</f>
        <v/>
      </c>
    </row>
    <row r="17">
      <c r="B17" s="32" t="inlineStr">
        <is>
          <t>✅ أُغلقت فجوات تانكي/التحول التقني/الموظفين بإضافة إدارتَي التقنية الرقمية والموارد البشرية · المتبقّي:</t>
        </is>
      </c>
    </row>
    <row r="18" ht="24" customHeight="1">
      <c r="B18" s="22" t="inlineStr">
        <is>
          <t>🟡 إطلاق مشاريع جديدة — يغذّيه مؤشر الشراكات الاستراتيجية فقط؛ يحتاج مالكاً (إدارة تطوير/PMO) ومؤشرات أوضح.</t>
        </is>
      </c>
    </row>
    <row r="19" ht="24" customHeight="1">
      <c r="B19" s="22" t="inlineStr">
        <is>
          <t>🟡 تطوير التصاميم والهوية — مغطّى بمؤشر التزام الهوية فقط؛ يحتاج إدارة تسويق/علامة مالكة.</t>
        </is>
      </c>
    </row>
    <row r="20" ht="24" customHeight="1">
      <c r="B20" s="22" t="inlineStr">
        <is>
          <t>📌 توصية: تثبيت خطوط الأساس 2025 والأوزان (الأعمدة الجديدة) لكل مؤشر لتدقيق المستهدفات.</t>
        </is>
      </c>
    </row>
  </sheetData>
  <sheetProtection selectLockedCells="1" selectUnlockedCells="1" sheet="1" objects="0" insertRows="1" insertHyperlinks="1" autoFilter="1" scenarios="0" formatColumns="1" deleteColumns="1" insertColumns="1" pivotTables="1" deleteRows="1" formatCells="0" formatRows="1" sort="1" password="EFFF"/>
  <mergeCells count="9">
    <mergeCell ref="B19:G19"/>
    <mergeCell ref="B20:G20"/>
    <mergeCell ref="A1:G1"/>
    <mergeCell ref="B4:B6"/>
    <mergeCell ref="B17:G17"/>
    <mergeCell ref="B12:B15"/>
    <mergeCell ref="A2:G2"/>
    <mergeCell ref="B18:G18"/>
    <mergeCell ref="B7:B1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J16"/>
  <sheetViews>
    <sheetView showGridLines="0" rightToLeft="1" workbookViewId="0">
      <selection activeCell="A1" sqref="A1"/>
    </sheetView>
  </sheetViews>
  <sheetFormatPr baseColWidth="8" defaultRowHeight="15"/>
  <cols>
    <col width="3" customWidth="1" min="1" max="1"/>
    <col width="30" customWidth="1" min="2" max="2"/>
    <col width="16" customWidth="1" min="3" max="3"/>
    <col width="16" customWidth="1" min="4" max="4"/>
    <col width="16" customWidth="1" min="5" max="5"/>
    <col width="16" customWidth="1" min="6" max="6"/>
    <col width="26" customWidth="1" min="8" max="8"/>
    <col width="14" customWidth="1" min="9" max="9"/>
    <col width="14" customWidth="1" min="10" max="10"/>
  </cols>
  <sheetData>
    <row r="1" ht="48" customHeight="1"/>
    <row r="2" ht="38" customHeight="1">
      <c r="B2" s="33" t="inlineStr">
        <is>
          <t>درب · لوحة الإدارة التنفيذية 2026 — المحطات والعقار</t>
        </is>
      </c>
    </row>
    <row r="4" ht="22" customHeight="1">
      <c r="B4" s="5" t="inlineStr">
        <is>
          <t>مؤشر الإنجاز العام للشركة</t>
        </is>
      </c>
      <c r="D4" s="28" t="inlineStr">
        <is>
          <t>✅ محقق</t>
        </is>
      </c>
      <c r="E4" s="30" t="inlineStr">
        <is>
          <t>🟡 قريب</t>
        </is>
      </c>
      <c r="F4" s="34" t="inlineStr">
        <is>
          <t>🔴 تحت الهدف</t>
        </is>
      </c>
      <c r="H4" s="35" t="inlineStr">
        <is>
          <t>الأداء حسب الركائز (5 سنوات)</t>
        </is>
      </c>
      <c r="I4" s="36" t="n"/>
      <c r="J4" s="37" t="n"/>
    </row>
    <row r="5" ht="30" customHeight="1">
      <c r="B5" s="38">
        <f>IFERROR(AVERAGE('قاعدة المؤشرات'!$F$4:$F$111),0)</f>
        <v/>
      </c>
      <c r="D5" s="39">
        <f>COUNTIF('قاعدة المؤشرات'!$G$4:$G$111,"✅ محقق")</f>
        <v/>
      </c>
      <c r="E5" s="39">
        <f>COUNTIF('قاعدة المؤشرات'!$G$4:$G$111,"🟡 قريب")</f>
        <v/>
      </c>
      <c r="F5" s="39">
        <f>COUNTIF('قاعدة المؤشرات'!$G$4:$G$111,"🔴 تحت الهدف")</f>
        <v/>
      </c>
      <c r="H5" s="40" t="inlineStr">
        <is>
          <t>الركيزة</t>
        </is>
      </c>
      <c r="I5" s="40" t="inlineStr">
        <is>
          <t>الإنجاز</t>
        </is>
      </c>
      <c r="J5" s="40" t="inlineStr">
        <is>
          <t>الحالة</t>
        </is>
      </c>
    </row>
    <row r="6">
      <c r="D6" s="41" t="n"/>
      <c r="E6" s="41" t="n"/>
      <c r="F6" s="41" t="n"/>
      <c r="H6" s="42" t="inlineStr">
        <is>
          <t>النمو</t>
        </is>
      </c>
      <c r="I6" s="29">
        <f>IFERROR(AVERAGEIFS('قاعدة المؤشرات'!$F$4:$F$111,'قاعدة المؤشرات'!$D$4:$D$111,"النمو"),"—")</f>
        <v/>
      </c>
      <c r="J6" s="43">
        <f>IF(ISNUMBER(I6),IF(I6&gt;=1,"✅",IF(I6&gt;=0.85,"🟡","🔴")),"—")</f>
        <v/>
      </c>
    </row>
    <row r="7">
      <c r="H7" s="42" t="inlineStr">
        <is>
          <t>الابتكار</t>
        </is>
      </c>
      <c r="I7" s="29">
        <f>IFERROR(AVERAGEIFS('قاعدة المؤشرات'!$F$4:$F$111,'قاعدة المؤشرات'!$D$4:$D$111,"الابتكار"),"—")</f>
        <v/>
      </c>
      <c r="J7" s="43">
        <f>IF(ISNUMBER(I7),IF(I7&gt;=1,"✅",IF(I7&gt;=0.85,"🟡","🔴")),"—")</f>
        <v/>
      </c>
    </row>
    <row r="8">
      <c r="H8" s="42" t="inlineStr">
        <is>
          <t>الاستدامة</t>
        </is>
      </c>
      <c r="I8" s="29">
        <f>IFERROR(AVERAGEIFS('قاعدة المؤشرات'!$F$4:$F$111,'قاعدة المؤشرات'!$D$4:$D$111,"الاستدامة"),"—")</f>
        <v/>
      </c>
      <c r="J8" s="43">
        <f>IF(ISNUMBER(I8),IF(I8&gt;=1,"✅",IF(I8&gt;=0.85,"🟡","🔴")),"—")</f>
        <v/>
      </c>
    </row>
    <row r="9">
      <c r="B9" s="15" t="inlineStr">
        <is>
          <t>الأداء حسب الإدارة (تغذّي نفس اللوحة)</t>
        </is>
      </c>
      <c r="C9" s="36" t="n"/>
      <c r="D9" s="37" t="n"/>
    </row>
    <row r="10">
      <c r="B10" s="40" t="inlineStr">
        <is>
          <t>الإدارة</t>
        </is>
      </c>
      <c r="C10" s="40" t="inlineStr">
        <is>
          <t>الإنجاز</t>
        </is>
      </c>
      <c r="D10" s="40" t="inlineStr">
        <is>
          <t>الحالة</t>
        </is>
      </c>
    </row>
    <row r="11">
      <c r="B11" s="22" t="inlineStr">
        <is>
          <t>الامتياز التجاري</t>
        </is>
      </c>
      <c r="C11" s="23">
        <f>IFERROR(AVERAGEIFS('قاعدة المؤشرات'!$F$4:$F$111,'قاعدة المؤشرات'!$B$4:$B$111,"الامتياز التجاري"),"—")</f>
        <v/>
      </c>
      <c r="D11" s="17">
        <f>IF(ISNUMBER(C11),IF(C11&gt;=1,"✅ محقق",IF(C11&gt;=0.85,"🟡 قريب","🔴 تحت الهدف")),"—")</f>
        <v/>
      </c>
    </row>
    <row r="12">
      <c r="B12" s="22" t="inlineStr">
        <is>
          <t>التشغيل والمحطات</t>
        </is>
      </c>
      <c r="C12" s="23">
        <f>IFERROR(AVERAGEIFS('قاعدة المؤشرات'!$F$4:$F$111,'قاعدة المؤشرات'!$B$4:$B$111,"التشغيل والمحطات"),"—")</f>
        <v/>
      </c>
      <c r="D12" s="17">
        <f>IF(ISNUMBER(C12),IF(C12&gt;=1,"✅ محقق",IF(C12&gt;=0.85,"🟡 قريب","🔴 تحت الهدف")),"—")</f>
        <v/>
      </c>
    </row>
    <row r="13">
      <c r="B13" s="22" t="inlineStr">
        <is>
          <t>الاستثمار</t>
        </is>
      </c>
      <c r="C13" s="23">
        <f>IFERROR(AVERAGEIFS('قاعدة المؤشرات'!$F$4:$F$111,'قاعدة المؤشرات'!$B$4:$B$111,"الاستثمار"),"—")</f>
        <v/>
      </c>
      <c r="D13" s="17">
        <f>IF(ISNUMBER(C13),IF(C13&gt;=1,"✅ محقق",IF(C13&gt;=0.85,"🟡 قريب","🔴 تحت الهدف")),"—")</f>
        <v/>
      </c>
    </row>
    <row r="14">
      <c r="B14" s="22" t="inlineStr">
        <is>
          <t>العقار</t>
        </is>
      </c>
      <c r="C14" s="23">
        <f>IFERROR(AVERAGEIFS('قاعدة المؤشرات'!$F$4:$F$111,'قاعدة المؤشرات'!$B$4:$B$111,"العقار"),"—")</f>
        <v/>
      </c>
      <c r="D14" s="17">
        <f>IF(ISNUMBER(C14),IF(C14&gt;=1,"✅ محقق",IF(C14&gt;=0.85,"🟡 قريب","🔴 تحت الهدف")),"—")</f>
        <v/>
      </c>
    </row>
    <row r="15">
      <c r="B15" s="22" t="inlineStr">
        <is>
          <t>التقنية الرقمية</t>
        </is>
      </c>
      <c r="C15" s="23">
        <f>IFERROR(AVERAGEIFS('قاعدة المؤشرات'!$F$4:$F$111,'قاعدة المؤشرات'!$B$4:$B$111,"التقنية الرقمية"),"—")</f>
        <v/>
      </c>
      <c r="D15" s="17">
        <f>IF(ISNUMBER(C15),IF(C15&gt;=1,"✅ محقق",IF(C15&gt;=0.85,"🟡 قريب","🔴 تحت الهدف")),"—")</f>
        <v/>
      </c>
    </row>
    <row r="16">
      <c r="B16" s="22" t="inlineStr">
        <is>
          <t>الموارد البشرية</t>
        </is>
      </c>
      <c r="C16" s="23">
        <f>IFERROR(AVERAGEIFS('قاعدة المؤشرات'!$F$4:$F$111,'قاعدة المؤشرات'!$B$4:$B$111,"الموارد البشرية"),"—")</f>
        <v/>
      </c>
      <c r="D16" s="17">
        <f>IF(ISNUMBER(C16),IF(C16&gt;=1,"✅ محقق",IF(C16&gt;=0.85,"🟡 قريب","🔴 تحت الهدف")),"—")</f>
        <v/>
      </c>
    </row>
  </sheetData>
  <sheetProtection selectLockedCells="1" selectUnlockedCells="1" sheet="1" objects="0" insertRows="1" insertHyperlinks="1" autoFilter="1" scenarios="0" formatColumns="1" deleteColumns="1" insertColumns="1" pivotTables="1" deleteRows="1" formatCells="0" formatRows="1" sort="1" password="EFFF"/>
  <mergeCells count="8">
    <mergeCell ref="E5:E6"/>
    <mergeCell ref="B2:F2"/>
    <mergeCell ref="B5:C6"/>
    <mergeCell ref="H4:J4"/>
    <mergeCell ref="B9:D9"/>
    <mergeCell ref="F5:F6"/>
    <mergeCell ref="B4:C4"/>
    <mergeCell ref="D5:D6"/>
  </mergeCells>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B2:E26"/>
  <sheetViews>
    <sheetView showGridLines="0" rightToLeft="1" workbookViewId="0">
      <selection activeCell="A1" sqref="A1"/>
    </sheetView>
  </sheetViews>
  <sheetFormatPr baseColWidth="8" defaultRowHeight="15"/>
  <cols>
    <col width="3" customWidth="1" min="1" max="1"/>
    <col width="26" customWidth="1" min="2" max="2"/>
    <col width="26" customWidth="1" min="3" max="3"/>
    <col width="26" customWidth="1" min="4" max="4"/>
    <col width="30" customWidth="1" min="5" max="5"/>
  </cols>
  <sheetData>
    <row r="1" ht="46" customHeight="1"/>
    <row r="2" ht="30" customHeight="1">
      <c r="B2" s="4" t="inlineStr">
        <is>
          <t>حوكمة الأداء — الإيقاع والمسؤوليات وطموحات النمو</t>
        </is>
      </c>
    </row>
    <row r="4">
      <c r="B4" s="7" t="inlineStr">
        <is>
          <t>⏱️ إيقاع المراجعة (Cadence)</t>
        </is>
      </c>
      <c r="C4" s="36" t="n"/>
      <c r="D4" s="36" t="n"/>
      <c r="E4" s="37" t="n"/>
    </row>
    <row r="5">
      <c r="B5" s="44" t="inlineStr">
        <is>
          <t>الدورية</t>
        </is>
      </c>
      <c r="C5" s="44" t="inlineStr">
        <is>
          <t>النشاط</t>
        </is>
      </c>
      <c r="D5" s="44" t="inlineStr">
        <is>
          <t>المسؤول</t>
        </is>
      </c>
      <c r="E5" s="44" t="inlineStr">
        <is>
          <t>المخرج</t>
        </is>
      </c>
    </row>
    <row r="6" ht="30" customHeight="1">
      <c r="B6" s="22" t="inlineStr">
        <is>
          <t>شهري</t>
        </is>
      </c>
      <c r="C6" s="22" t="inlineStr">
        <is>
          <t>مراجعة تشغيلية لمؤشرات كل إدارة</t>
        </is>
      </c>
      <c r="D6" s="22" t="inlineStr">
        <is>
          <t>مدير الإدارة</t>
        </is>
      </c>
      <c r="E6" s="22" t="inlineStr">
        <is>
          <t>إغلاق الأرقام + خطة تصحيح</t>
        </is>
      </c>
    </row>
    <row r="7" ht="30" customHeight="1">
      <c r="B7" s="22" t="inlineStr">
        <is>
          <t>ربع سنوي (QBR)</t>
        </is>
      </c>
      <c r="C7" s="22" t="inlineStr">
        <is>
          <t>مراجعة استراتيجية + تقييم الأفراد + معايرة المستهدفات</t>
        </is>
      </c>
      <c r="D7" s="22" t="inlineStr">
        <is>
          <t>الإدارة التنفيذية</t>
        </is>
      </c>
      <c r="E7" s="22" t="inlineStr">
        <is>
          <t>قرارات + تحديث الأوزان</t>
        </is>
      </c>
    </row>
    <row r="8" ht="30" customHeight="1">
      <c r="B8" s="22" t="inlineStr">
        <is>
          <t>نصف سنوي</t>
        </is>
      </c>
      <c r="C8" s="22" t="inlineStr">
        <is>
          <t>مراجعة الخارطة التنفيذية والمشاريع</t>
        </is>
      </c>
      <c r="D8" s="22" t="inlineStr">
        <is>
          <t>مكتب الاستراتيجية</t>
        </is>
      </c>
      <c r="E8" s="22" t="inlineStr">
        <is>
          <t>تقدّم المشاريع + المخاطر</t>
        </is>
      </c>
    </row>
    <row r="9" ht="30" customHeight="1">
      <c r="B9" s="22" t="inlineStr">
        <is>
          <t>سنوي</t>
        </is>
      </c>
      <c r="C9" s="22" t="inlineStr">
        <is>
          <t>إعادة ضبط OKR وربطها بالركائز الخمسية</t>
        </is>
      </c>
      <c r="D9" s="22" t="inlineStr">
        <is>
          <t>الرئيس التنفيذي</t>
        </is>
      </c>
      <c r="E9" s="22" t="inlineStr">
        <is>
          <t>خطة العام القادم</t>
        </is>
      </c>
    </row>
    <row r="11">
      <c r="B11" s="7" t="inlineStr">
        <is>
          <t>👥 مصفوفة RACI</t>
        </is>
      </c>
      <c r="C11" s="36" t="n"/>
      <c r="D11" s="36" t="n"/>
      <c r="E11" s="37" t="n"/>
    </row>
    <row r="12">
      <c r="B12" s="45" t="inlineStr">
        <is>
          <t>R = منفّذ · A = مُساءل · C = مُستشار · I = مُطّلع</t>
        </is>
      </c>
      <c r="C12" s="36" t="n"/>
      <c r="D12" s="36" t="n"/>
      <c r="E12" s="37" t="n"/>
    </row>
    <row r="13">
      <c r="B13" s="44" t="inlineStr">
        <is>
          <t>المهمة</t>
        </is>
      </c>
      <c r="C13" s="44" t="inlineStr">
        <is>
          <t>المسؤول (A)</t>
        </is>
      </c>
      <c r="D13" s="44" t="inlineStr">
        <is>
          <t>المنفّذ (R)</t>
        </is>
      </c>
      <c r="E13" s="44" t="inlineStr">
        <is>
          <t>يُستشار/يُطّلع</t>
        </is>
      </c>
    </row>
    <row r="14" ht="26" customHeight="1">
      <c r="B14" s="22" t="inlineStr">
        <is>
          <t>إدخال الأرقام الشهرية</t>
        </is>
      </c>
      <c r="C14" s="22" t="inlineStr">
        <is>
          <t>مدير الإدارة</t>
        </is>
      </c>
      <c r="D14" s="22" t="inlineStr">
        <is>
          <t>المسؤول عن المؤشر</t>
        </is>
      </c>
      <c r="E14" s="22" t="inlineStr">
        <is>
          <t>المشرف الميداني (C)</t>
        </is>
      </c>
    </row>
    <row r="15" ht="26" customHeight="1">
      <c r="B15" s="22" t="inlineStr">
        <is>
          <t>اعتماد المستهدفات والأوزان</t>
        </is>
      </c>
      <c r="C15" s="22" t="inlineStr">
        <is>
          <t>الإدارة التنفيذية</t>
        </is>
      </c>
      <c r="D15" s="22" t="inlineStr">
        <is>
          <t>مكتب الاستراتيجية</t>
        </is>
      </c>
      <c r="E15" s="22" t="inlineStr">
        <is>
          <t>مدراء الإدارات (C)</t>
        </is>
      </c>
    </row>
    <row r="16" ht="26" customHeight="1">
      <c r="B16" s="22" t="inlineStr">
        <is>
          <t>تقييم أداء الموظف</t>
        </is>
      </c>
      <c r="C16" s="22" t="inlineStr">
        <is>
          <t>المدير المباشر</t>
        </is>
      </c>
      <c r="D16" s="22" t="inlineStr">
        <is>
          <t>المدير المباشر</t>
        </is>
      </c>
      <c r="E16" s="22" t="inlineStr">
        <is>
          <t>الموارد البشرية (I)</t>
        </is>
      </c>
    </row>
    <row r="17" ht="26" customHeight="1">
      <c r="B17" s="22" t="inlineStr">
        <is>
          <t>تجميع لوحة التنفيذيين</t>
        </is>
      </c>
      <c r="C17" s="22" t="inlineStr">
        <is>
          <t>مكتب الاستراتيجية</t>
        </is>
      </c>
      <c r="D17" s="22" t="inlineStr">
        <is>
          <t>محلل الأداء</t>
        </is>
      </c>
      <c r="E17" s="22" t="inlineStr">
        <is>
          <t>الإدارة التنفيذية (I)</t>
        </is>
      </c>
    </row>
    <row r="19">
      <c r="B19" s="7" t="inlineStr">
        <is>
          <t>🚀 طموحات 3 سنوات (2026 → 2028) — الجسر بين الرؤية الخمسية والسنة</t>
        </is>
      </c>
      <c r="C19" s="36" t="n"/>
      <c r="D19" s="36" t="n"/>
      <c r="E19" s="37" t="n"/>
    </row>
    <row r="20">
      <c r="B20" s="44" t="inlineStr">
        <is>
          <t>الركيزة</t>
        </is>
      </c>
      <c r="C20" s="44" t="inlineStr">
        <is>
          <t>2026</t>
        </is>
      </c>
      <c r="D20" s="44" t="inlineStr">
        <is>
          <t>2027</t>
        </is>
      </c>
      <c r="E20" s="44" t="inlineStr">
        <is>
          <t>2028</t>
        </is>
      </c>
    </row>
    <row r="21" ht="26" customHeight="1">
      <c r="B21" s="22" t="inlineStr">
        <is>
          <t>النمو — المحطات المشغّلة</t>
        </is>
      </c>
      <c r="C21" s="46" t="inlineStr">
        <is>
          <t>85 + 150</t>
        </is>
      </c>
      <c r="D21" s="46" t="inlineStr">
        <is>
          <t>≈ 320</t>
        </is>
      </c>
      <c r="E21" s="46" t="inlineStr">
        <is>
          <t>≈ 450</t>
        </is>
      </c>
    </row>
    <row r="22" ht="26" customHeight="1">
      <c r="B22" s="22" t="inlineStr">
        <is>
          <t>النمو — العقود الجديدة</t>
        </is>
      </c>
      <c r="C22" s="46" t="inlineStr">
        <is>
          <t>167 + 190</t>
        </is>
      </c>
      <c r="D22" s="46" t="inlineStr">
        <is>
          <t>تصاعدي</t>
        </is>
      </c>
      <c r="E22" s="46" t="inlineStr">
        <is>
          <t>تصاعدي</t>
        </is>
      </c>
    </row>
    <row r="23" ht="26" customHeight="1">
      <c r="B23" s="22" t="inlineStr">
        <is>
          <t>الابتكار — أتمتة/تانكي</t>
        </is>
      </c>
      <c r="C23" s="46" t="inlineStr">
        <is>
          <t>إطلاق وتثبيت</t>
        </is>
      </c>
      <c r="D23" s="46" t="inlineStr">
        <is>
          <t>توسّع</t>
        </is>
      </c>
      <c r="E23" s="46" t="inlineStr">
        <is>
          <t>نضج رقمي</t>
        </is>
      </c>
    </row>
    <row r="24" ht="26" customHeight="1">
      <c r="B24" s="22" t="inlineStr">
        <is>
          <t>الاستدامة — رضا وجودة</t>
        </is>
      </c>
      <c r="C24" s="46" t="inlineStr">
        <is>
          <t>CSAT 90% · جاهزية 99%</t>
        </is>
      </c>
      <c r="D24" s="46" t="inlineStr">
        <is>
          <t>الحفاظ والتحسين</t>
        </is>
      </c>
      <c r="E24" s="46" t="inlineStr">
        <is>
          <t>تميّز تشغيلي</t>
        </is>
      </c>
    </row>
    <row r="26">
      <c r="B26" s="47" t="inlineStr">
        <is>
          <t>📌 الأرقام التقديرية للطموحات الثلاثية تحتاج اعتماد الإدارة التنفيذية وربطها بخطوط الأساس 2025.</t>
        </is>
      </c>
      <c r="C26" s="36" t="n"/>
      <c r="D26" s="36" t="n"/>
      <c r="E26" s="37" t="n"/>
    </row>
  </sheetData>
  <sheetProtection selectLockedCells="1" selectUnlockedCells="1" sheet="1" objects="0" insertRows="1" insertHyperlinks="1" autoFilter="1" scenarios="0" formatColumns="1" deleteColumns="1" insertColumns="1" pivotTables="1" deleteRows="1" formatCells="0" formatRows="1" sort="1" password="EFFF"/>
  <mergeCells count="6">
    <mergeCell ref="B26:E26"/>
    <mergeCell ref="B4:E4"/>
    <mergeCell ref="B12:E12"/>
    <mergeCell ref="B11:E11"/>
    <mergeCell ref="B19:E19"/>
    <mergeCell ref="B2:E2"/>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AC40"/>
  <sheetViews>
    <sheetView showGridLines="0" rightToLeft="1" workbookViewId="0">
      <pane xSplit="8" ySplit="3" topLeftCell="I4" activePane="bottomRight" state="frozen"/>
      <selection pane="topRight"/>
      <selection pane="bottomLeft"/>
      <selection pane="bottomRight" activeCell="A1" sqref="A1"/>
    </sheetView>
  </sheetViews>
  <sheetFormatPr baseColWidth="8" defaultRowHeight="15"/>
  <cols>
    <col width="4" customWidth="1" min="1" max="1"/>
    <col width="20" customWidth="1" min="2" max="2"/>
    <col width="40" customWidth="1" min="3" max="3"/>
    <col width="10" customWidth="1" min="4" max="4"/>
    <col width="8" customWidth="1" min="5" max="5"/>
    <col width="9" customWidth="1" min="6" max="6"/>
    <col width="12" customWidth="1" min="7" max="7"/>
    <col width="16"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12" customWidth="1" min="21" max="21"/>
    <col width="12" customWidth="1" min="22" max="22"/>
    <col width="14" customWidth="1" min="23" max="23"/>
    <col width="16" customWidth="1" min="24" max="24"/>
    <col width="22" customWidth="1" min="25" max="25"/>
    <col width="12" customWidth="1" min="26" max="26"/>
    <col width="10" customWidth="1" min="27" max="27"/>
    <col width="9" customWidth="1" min="28" max="28"/>
    <col width="14" customWidth="1" min="29" max="29"/>
  </cols>
  <sheetData>
    <row r="1" ht="30" customHeight="1">
      <c r="A1" s="24" t="inlineStr">
        <is>
          <t>إدارة الامتياز التجاري والمبيعات · مؤشرات الأداء 2026  (36 مؤشر / 8 محاور)</t>
        </is>
      </c>
    </row>
    <row r="2">
      <c r="A2" s="48" t="inlineStr">
        <is>
          <t>🟩 الأخضر = إدخال (الأرقام الشهرية + خط الأساس + الوزن)  ·  🔵 قائد/🟣 لاحق  ·  الدرجة الموزونة والحالة تلقائية</t>
        </is>
      </c>
    </row>
    <row r="3" ht="34" customHeight="1">
      <c r="A3" s="26" t="inlineStr">
        <is>
          <t>#</t>
        </is>
      </c>
      <c r="B3" s="26" t="inlineStr">
        <is>
          <t>المحور</t>
        </is>
      </c>
      <c r="C3" s="26" t="inlineStr">
        <is>
          <t>المؤشر</t>
        </is>
      </c>
      <c r="D3" s="26" t="inlineStr">
        <is>
          <t>الوحدة</t>
        </is>
      </c>
      <c r="E3" s="26" t="inlineStr">
        <is>
          <t>القطبية</t>
        </is>
      </c>
      <c r="F3" s="26" t="inlineStr">
        <is>
          <t>التجميع</t>
        </is>
      </c>
      <c r="G3" s="26" t="inlineStr">
        <is>
          <t>المستهدف</t>
        </is>
      </c>
      <c r="H3" s="26" t="inlineStr">
        <is>
          <t>نص المستهدف</t>
        </is>
      </c>
      <c r="I3" s="26" t="inlineStr">
        <is>
          <t>يناير</t>
        </is>
      </c>
      <c r="J3" s="26" t="inlineStr">
        <is>
          <t>فبراير</t>
        </is>
      </c>
      <c r="K3" s="26" t="inlineStr">
        <is>
          <t>مارس</t>
        </is>
      </c>
      <c r="L3" s="26" t="inlineStr">
        <is>
          <t>أبريل</t>
        </is>
      </c>
      <c r="M3" s="26" t="inlineStr">
        <is>
          <t>مايو</t>
        </is>
      </c>
      <c r="N3" s="26" t="inlineStr">
        <is>
          <t>يونيو</t>
        </is>
      </c>
      <c r="O3" s="26" t="inlineStr">
        <is>
          <t>يوليو</t>
        </is>
      </c>
      <c r="P3" s="26" t="inlineStr">
        <is>
          <t>أغسطس</t>
        </is>
      </c>
      <c r="Q3" s="26" t="inlineStr">
        <is>
          <t>سبتمبر</t>
        </is>
      </c>
      <c r="R3" s="26" t="inlineStr">
        <is>
          <t>أكتوبر</t>
        </is>
      </c>
      <c r="S3" s="26" t="inlineStr">
        <is>
          <t>نوفمبر</t>
        </is>
      </c>
      <c r="T3" s="26" t="inlineStr">
        <is>
          <t>ديسمبر</t>
        </is>
      </c>
      <c r="U3" s="26" t="inlineStr">
        <is>
          <t>YTD</t>
        </is>
      </c>
      <c r="V3" s="26" t="inlineStr">
        <is>
          <t>نسبة التحقيق</t>
        </is>
      </c>
      <c r="W3" s="26" t="inlineStr">
        <is>
          <t>الحالة</t>
        </is>
      </c>
      <c r="X3" s="26" t="inlineStr">
        <is>
          <t>الركيزة (5س)</t>
        </is>
      </c>
      <c r="Y3" s="26" t="inlineStr">
        <is>
          <t>المشروع (الخارطة)</t>
        </is>
      </c>
      <c r="Z3" s="26" t="inlineStr">
        <is>
          <t>خط الأساس 2025</t>
        </is>
      </c>
      <c r="AA3" s="26" t="inlineStr">
        <is>
          <t>النوع</t>
        </is>
      </c>
      <c r="AB3" s="26" t="inlineStr">
        <is>
          <t>الوزن %</t>
        </is>
      </c>
      <c r="AC3" s="26" t="inlineStr">
        <is>
          <t>الدرجة الموزونة</t>
        </is>
      </c>
    </row>
    <row r="4" ht="26" customHeight="1">
      <c r="A4" s="17" t="n">
        <v>1</v>
      </c>
      <c r="B4" s="22" t="inlineStr">
        <is>
          <t>النمو والتوسع</t>
        </is>
      </c>
      <c r="C4" s="22" t="inlineStr">
        <is>
          <t>عدد محطات الامتياز المشغّلة (تراكمي)</t>
        </is>
      </c>
      <c r="D4" s="49" t="inlineStr">
        <is>
          <t>محطة</t>
        </is>
      </c>
      <c r="E4" s="49" t="inlineStr">
        <is>
          <t>↑</t>
        </is>
      </c>
      <c r="F4" s="49" t="inlineStr">
        <is>
          <t>LAST</t>
        </is>
      </c>
      <c r="G4" s="50" t="n">
        <v>150</v>
      </c>
      <c r="H4" s="51" t="inlineStr">
        <is>
          <t>150 محطة</t>
        </is>
      </c>
      <c r="I4" s="52" t="n"/>
      <c r="J4" s="52" t="n"/>
      <c r="K4" s="52" t="n"/>
      <c r="L4" s="52" t="n"/>
      <c r="M4" s="52" t="n"/>
      <c r="N4" s="52" t="n"/>
      <c r="O4" s="52" t="n"/>
      <c r="P4" s="52" t="n"/>
      <c r="Q4" s="52" t="n"/>
      <c r="R4" s="52" t="n"/>
      <c r="S4" s="52" t="n"/>
      <c r="T4" s="52" t="n"/>
      <c r="U4" s="53">
        <f>IF($F4="SUM",IF(COUNT($I4:$T4)=0,"",SUM($I4:$T4)),IF($F4="AVG",IFERROR(AVERAGE($I4:$T4),""),IF($F4="LAST",IFERROR(LOOKUP(2,1/($I4:$T4&lt;&gt;""),$I4:$T4),""),"")))</f>
        <v/>
      </c>
      <c r="V4" s="23">
        <f>IF($G4="","",IF($U4="","",IF($G4=0,IF($U4&lt;=0,1,0),IF($E4="↓",IFERROR($G4/$U4,0),IFERROR($U4/$G4,0)))))</f>
        <v/>
      </c>
      <c r="W4" s="17">
        <f>IF($V4="","—",IF($V4&gt;=1,"✅ محقق",IF($V4&gt;=0.85,"🟡 قريب","🔴 تحت الهدف")))</f>
        <v/>
      </c>
      <c r="X4" s="54" t="inlineStr">
        <is>
          <t>النمو</t>
        </is>
      </c>
      <c r="Y4" s="22" t="inlineStr">
        <is>
          <t>التوسع في المواقع</t>
        </is>
      </c>
      <c r="Z4" s="55" t="n"/>
      <c r="AA4" s="21" t="inlineStr">
        <is>
          <t>🔵 قائد</t>
        </is>
      </c>
      <c r="AB4" s="56" t="n">
        <v>0.0278</v>
      </c>
      <c r="AC4" s="23">
        <f>IF($V4="","",$AB4*MIN($V4,1))</f>
        <v/>
      </c>
    </row>
    <row r="5" ht="26" customHeight="1">
      <c r="A5" s="17" t="n">
        <v>2</v>
      </c>
      <c r="B5" s="22" t="inlineStr">
        <is>
          <t>النمو والتوسع</t>
        </is>
      </c>
      <c r="C5" s="22" t="inlineStr">
        <is>
          <t>عدد عقود الامتياز الجديدة الموقّعة</t>
        </is>
      </c>
      <c r="D5" s="49" t="inlineStr">
        <is>
          <t>عقد</t>
        </is>
      </c>
      <c r="E5" s="49" t="inlineStr">
        <is>
          <t>↑</t>
        </is>
      </c>
      <c r="F5" s="49" t="inlineStr">
        <is>
          <t>SUM</t>
        </is>
      </c>
      <c r="G5" s="50" t="n">
        <v>167</v>
      </c>
      <c r="H5" s="51" t="inlineStr">
        <is>
          <t>167 عقد</t>
        </is>
      </c>
      <c r="I5" s="52" t="n"/>
      <c r="J5" s="52" t="n"/>
      <c r="K5" s="52" t="n"/>
      <c r="L5" s="52" t="n"/>
      <c r="M5" s="52" t="n"/>
      <c r="N5" s="52" t="n"/>
      <c r="O5" s="52" t="n"/>
      <c r="P5" s="52" t="n"/>
      <c r="Q5" s="52" t="n"/>
      <c r="R5" s="52" t="n"/>
      <c r="S5" s="52" t="n"/>
      <c r="T5" s="52" t="n"/>
      <c r="U5" s="53">
        <f>IF($F5="SUM",IF(COUNT($I5:$T5)=0,"",SUM($I5:$T5)),IF($F5="AVG",IFERROR(AVERAGE($I5:$T5),""),IF($F5="LAST",IFERROR(LOOKUP(2,1/($I5:$T5&lt;&gt;""),$I5:$T5),""),"")))</f>
        <v/>
      </c>
      <c r="V5" s="23">
        <f>IF($G5="","",IF($U5="","",IF($G5=0,IF($U5&lt;=0,1,0),IF($E5="↓",IFERROR($G5/$U5,0),IFERROR($U5/$G5,0)))))</f>
        <v/>
      </c>
      <c r="W5" s="17">
        <f>IF($V5="","—",IF($V5&gt;=1,"✅ محقق",IF($V5&gt;=0.85,"🟡 قريب","🔴 تحت الهدف")))</f>
        <v/>
      </c>
      <c r="X5" s="54" t="inlineStr">
        <is>
          <t>النمو</t>
        </is>
      </c>
      <c r="Y5" s="22" t="inlineStr">
        <is>
          <t>الامتياز التجاري</t>
        </is>
      </c>
      <c r="Z5" s="55" t="n"/>
      <c r="AA5" s="21" t="inlineStr">
        <is>
          <t>🔵 قائد</t>
        </is>
      </c>
      <c r="AB5" s="56" t="n">
        <v>0.0278</v>
      </c>
      <c r="AC5" s="23">
        <f>IF($V5="","",$AB5*MIN($V5,1))</f>
        <v/>
      </c>
    </row>
    <row r="6" ht="26" customHeight="1">
      <c r="A6" s="17" t="n">
        <v>3</v>
      </c>
      <c r="B6" s="22" t="inlineStr">
        <is>
          <t>المبيعات والأداء التجاري</t>
        </is>
      </c>
      <c r="C6" s="22" t="inlineStr">
        <is>
          <t>إجمالي مبيعات وقود محطات الامتياز</t>
        </is>
      </c>
      <c r="D6" s="49" t="inlineStr">
        <is>
          <t>لتر</t>
        </is>
      </c>
      <c r="E6" s="49" t="inlineStr">
        <is>
          <t>↑</t>
        </is>
      </c>
      <c r="F6" s="49" t="inlineStr">
        <is>
          <t>SUM</t>
        </is>
      </c>
      <c r="G6" s="50" t="n">
        <v>718838077</v>
      </c>
      <c r="H6" s="51" t="inlineStr">
        <is>
          <t>718.8M لتر</t>
        </is>
      </c>
      <c r="I6" s="52" t="n"/>
      <c r="J6" s="52" t="n"/>
      <c r="K6" s="52" t="n"/>
      <c r="L6" s="52" t="n"/>
      <c r="M6" s="52" t="n"/>
      <c r="N6" s="52" t="n"/>
      <c r="O6" s="52" t="n"/>
      <c r="P6" s="52" t="n"/>
      <c r="Q6" s="52" t="n"/>
      <c r="R6" s="52" t="n"/>
      <c r="S6" s="52" t="n"/>
      <c r="T6" s="52" t="n"/>
      <c r="U6" s="53">
        <f>IF($F6="SUM",IF(COUNT($I6:$T6)=0,"",SUM($I6:$T6)),IF($F6="AVG",IFERROR(AVERAGE($I6:$T6),""),IF($F6="LAST",IFERROR(LOOKUP(2,1/($I6:$T6&lt;&gt;""),$I6:$T6),""),"")))</f>
        <v/>
      </c>
      <c r="V6" s="23">
        <f>IF($G6="","",IF($U6="","",IF($G6=0,IF($U6&lt;=0,1,0),IF($E6="↓",IFERROR($G6/$U6,0),IFERROR($U6/$G6,0)))))</f>
        <v/>
      </c>
      <c r="W6" s="17">
        <f>IF($V6="","—",IF($V6&gt;=1,"✅ محقق",IF($V6&gt;=0.85,"🟡 قريب","🔴 تحت الهدف")))</f>
        <v/>
      </c>
      <c r="X6" s="54" t="inlineStr">
        <is>
          <t>النمو</t>
        </is>
      </c>
      <c r="Y6" s="22" t="inlineStr">
        <is>
          <t>زيادة وصول العملاء</t>
        </is>
      </c>
      <c r="Z6" s="55" t="n"/>
      <c r="AA6" s="21" t="inlineStr">
        <is>
          <t>🔵 قائد</t>
        </is>
      </c>
      <c r="AB6" s="56" t="n">
        <v>0.0278</v>
      </c>
      <c r="AC6" s="23">
        <f>IF($V6="","",$AB6*MIN($V6,1))</f>
        <v/>
      </c>
    </row>
    <row r="7" ht="26" customHeight="1">
      <c r="A7" s="17" t="n">
        <v>4</v>
      </c>
      <c r="B7" s="22" t="inlineStr">
        <is>
          <t>المبيعات والأداء التجاري</t>
        </is>
      </c>
      <c r="C7" s="22" t="inlineStr">
        <is>
          <t>نسبة المحطات التي حققت مستهدف المبيعات</t>
        </is>
      </c>
      <c r="D7" s="49" t="inlineStr">
        <is>
          <t>%</t>
        </is>
      </c>
      <c r="E7" s="49" t="inlineStr">
        <is>
          <t>↑</t>
        </is>
      </c>
      <c r="F7" s="49" t="inlineStr">
        <is>
          <t>AVG</t>
        </is>
      </c>
      <c r="G7" s="57" t="n">
        <v>0.9</v>
      </c>
      <c r="H7" s="51" t="inlineStr">
        <is>
          <t>90%+</t>
        </is>
      </c>
      <c r="I7" s="58" t="n"/>
      <c r="J7" s="58" t="n"/>
      <c r="K7" s="58" t="n"/>
      <c r="L7" s="58" t="n"/>
      <c r="M7" s="58" t="n"/>
      <c r="N7" s="58" t="n"/>
      <c r="O7" s="58" t="n"/>
      <c r="P7" s="58" t="n"/>
      <c r="Q7" s="58" t="n"/>
      <c r="R7" s="58" t="n"/>
      <c r="S7" s="58" t="n"/>
      <c r="T7" s="58" t="n"/>
      <c r="U7" s="59">
        <f>IF($F7="SUM",IF(COUNT($I7:$T7)=0,"",SUM($I7:$T7)),IF($F7="AVG",IFERROR(AVERAGE($I7:$T7),""),IF($F7="LAST",IFERROR(LOOKUP(2,1/($I7:$T7&lt;&gt;""),$I7:$T7),""),"")))</f>
        <v/>
      </c>
      <c r="V7" s="23">
        <f>IF($G7="","",IF($U7="","",IF($G7=0,IF($U7&lt;=0,1,0),IF($E7="↓",IFERROR($G7/$U7,0),IFERROR($U7/$G7,0)))))</f>
        <v/>
      </c>
      <c r="W7" s="17">
        <f>IF($V7="","—",IF($V7&gt;=1,"✅ محقق",IF($V7&gt;=0.85,"🟡 قريب","🔴 تحت الهدف")))</f>
        <v/>
      </c>
      <c r="X7" s="54" t="inlineStr">
        <is>
          <t>النمو</t>
        </is>
      </c>
      <c r="Y7" s="22" t="inlineStr">
        <is>
          <t>زيادة وصول العملاء</t>
        </is>
      </c>
      <c r="Z7" s="56" t="n"/>
      <c r="AA7" s="21" t="inlineStr">
        <is>
          <t>🔵 قائد</t>
        </is>
      </c>
      <c r="AB7" s="56" t="n">
        <v>0.0278</v>
      </c>
      <c r="AC7" s="23">
        <f>IF($V7="","",$AB7*MIN($V7,1))</f>
        <v/>
      </c>
    </row>
    <row r="8" ht="26" customHeight="1">
      <c r="A8" s="17" t="n">
        <v>5</v>
      </c>
      <c r="B8" s="22" t="inlineStr">
        <is>
          <t>المبيعات والأداء التجاري</t>
        </is>
      </c>
      <c r="C8" s="22" t="inlineStr">
        <is>
          <t>متوسط مبيعات المحطة الواحدة شهرياً</t>
        </is>
      </c>
      <c r="D8" s="49" t="inlineStr">
        <is>
          <t>لتر/محطة</t>
        </is>
      </c>
      <c r="E8" s="49" t="inlineStr">
        <is>
          <t>↑</t>
        </is>
      </c>
      <c r="F8" s="49" t="inlineStr">
        <is>
          <t>AVG</t>
        </is>
      </c>
      <c r="G8" s="49" t="inlineStr"/>
      <c r="H8" s="51" t="inlineStr">
        <is>
          <t>+10% نمو شهري</t>
        </is>
      </c>
      <c r="I8" s="52" t="n"/>
      <c r="J8" s="52" t="n"/>
      <c r="K8" s="52" t="n"/>
      <c r="L8" s="52" t="n"/>
      <c r="M8" s="52" t="n"/>
      <c r="N8" s="52" t="n"/>
      <c r="O8" s="52" t="n"/>
      <c r="P8" s="52" t="n"/>
      <c r="Q8" s="52" t="n"/>
      <c r="R8" s="52" t="n"/>
      <c r="S8" s="52" t="n"/>
      <c r="T8" s="52" t="n"/>
      <c r="U8" s="53">
        <f>IF($F8="SUM",IF(COUNT($I8:$T8)=0,"",SUM($I8:$T8)),IF($F8="AVG",IFERROR(AVERAGE($I8:$T8),""),IF($F8="LAST",IFERROR(LOOKUP(2,1/($I8:$T8&lt;&gt;""),$I8:$T8),""),"")))</f>
        <v/>
      </c>
      <c r="V8" s="23">
        <f>IF($G8="","",IF($U8="","",IF($G8=0,IF($U8&lt;=0,1,0),IF($E8="↓",IFERROR($G8/$U8,0),IFERROR($U8/$G8,0)))))</f>
        <v/>
      </c>
      <c r="W8" s="17">
        <f>IF($V8="","—",IF($V8&gt;=1,"✅ محقق",IF($V8&gt;=0.85,"🟡 قريب","🔴 تحت الهدف")))</f>
        <v/>
      </c>
      <c r="X8" s="54" t="inlineStr">
        <is>
          <t>النمو</t>
        </is>
      </c>
      <c r="Y8" s="22" t="inlineStr">
        <is>
          <t>زيادة وصول العملاء</t>
        </is>
      </c>
      <c r="Z8" s="55" t="n"/>
      <c r="AA8" s="21" t="inlineStr">
        <is>
          <t>🔵 قائد</t>
        </is>
      </c>
      <c r="AB8" s="56" t="n">
        <v>0.0278</v>
      </c>
      <c r="AC8" s="23">
        <f>IF($V8="","",$AB8*MIN($V8,1))</f>
        <v/>
      </c>
    </row>
    <row r="9" ht="26" customHeight="1">
      <c r="A9" s="17" t="n">
        <v>6</v>
      </c>
      <c r="B9" s="22" t="inlineStr">
        <is>
          <t>المبيعات والأداء التجاري</t>
        </is>
      </c>
      <c r="C9" s="22" t="inlineStr">
        <is>
          <t>نسبة تأجير وحدات الامتياز</t>
        </is>
      </c>
      <c r="D9" s="49" t="inlineStr">
        <is>
          <t>%</t>
        </is>
      </c>
      <c r="E9" s="49" t="inlineStr">
        <is>
          <t>↑</t>
        </is>
      </c>
      <c r="F9" s="49" t="inlineStr">
        <is>
          <t>AVG</t>
        </is>
      </c>
      <c r="G9" s="57" t="n">
        <v>0.7</v>
      </c>
      <c r="H9" s="51" t="inlineStr">
        <is>
          <t>70%</t>
        </is>
      </c>
      <c r="I9" s="58" t="n"/>
      <c r="J9" s="58" t="n"/>
      <c r="K9" s="58" t="n"/>
      <c r="L9" s="58" t="n"/>
      <c r="M9" s="58" t="n"/>
      <c r="N9" s="58" t="n"/>
      <c r="O9" s="58" t="n"/>
      <c r="P9" s="58" t="n"/>
      <c r="Q9" s="58" t="n"/>
      <c r="R9" s="58" t="n"/>
      <c r="S9" s="58" t="n"/>
      <c r="T9" s="58" t="n"/>
      <c r="U9" s="59">
        <f>IF($F9="SUM",IF(COUNT($I9:$T9)=0,"",SUM($I9:$T9)),IF($F9="AVG",IFERROR(AVERAGE($I9:$T9),""),IF($F9="LAST",IFERROR(LOOKUP(2,1/($I9:$T9&lt;&gt;""),$I9:$T9),""),"")))</f>
        <v/>
      </c>
      <c r="V9" s="23">
        <f>IF($G9="","",IF($U9="","",IF($G9=0,IF($U9&lt;=0,1,0),IF($E9="↓",IFERROR($G9/$U9,0),IFERROR($U9/$G9,0)))))</f>
        <v/>
      </c>
      <c r="W9" s="17">
        <f>IF($V9="","—",IF($V9&gt;=1,"✅ محقق",IF($V9&gt;=0.85,"🟡 قريب","🔴 تحت الهدف")))</f>
        <v/>
      </c>
      <c r="X9" s="54" t="inlineStr">
        <is>
          <t>الاستدامة</t>
        </is>
      </c>
      <c r="Y9" s="22" t="inlineStr">
        <is>
          <t>منظومة التأجير</t>
        </is>
      </c>
      <c r="Z9" s="56" t="n"/>
      <c r="AA9" s="21" t="inlineStr">
        <is>
          <t>🟣 لاحق</t>
        </is>
      </c>
      <c r="AB9" s="56" t="n">
        <v>0.0278</v>
      </c>
      <c r="AC9" s="23">
        <f>IF($V9="","",$AB9*MIN($V9,1))</f>
        <v/>
      </c>
    </row>
    <row r="10" ht="26" customHeight="1">
      <c r="A10" s="17" t="n">
        <v>7</v>
      </c>
      <c r="B10" s="22" t="inlineStr">
        <is>
          <t>الأداء المالي</t>
        </is>
      </c>
      <c r="C10" s="22" t="inlineStr">
        <is>
          <t>إجمالي إيرادات إدارة الامتياز</t>
        </is>
      </c>
      <c r="D10" s="49" t="inlineStr">
        <is>
          <t>ر.س</t>
        </is>
      </c>
      <c r="E10" s="49" t="inlineStr">
        <is>
          <t>↑</t>
        </is>
      </c>
      <c r="F10" s="49" t="inlineStr">
        <is>
          <t>SUM</t>
        </is>
      </c>
      <c r="G10" s="49" t="inlineStr"/>
      <c r="H10" s="51" t="inlineStr">
        <is>
          <t>تصاعدي مستمر</t>
        </is>
      </c>
      <c r="I10" s="60" t="n"/>
      <c r="J10" s="60" t="n"/>
      <c r="K10" s="60" t="n"/>
      <c r="L10" s="60" t="n"/>
      <c r="M10" s="60" t="n"/>
      <c r="N10" s="60" t="n"/>
      <c r="O10" s="60" t="n"/>
      <c r="P10" s="60" t="n"/>
      <c r="Q10" s="60" t="n"/>
      <c r="R10" s="60" t="n"/>
      <c r="S10" s="60" t="n"/>
      <c r="T10" s="60" t="n"/>
      <c r="U10" s="61">
        <f>IF($F10="SUM",IF(COUNT($I10:$T10)=0,"",SUM($I10:$T10)),IF($F10="AVG",IFERROR(AVERAGE($I10:$T10),""),IF($F10="LAST",IFERROR(LOOKUP(2,1/($I10:$T10&lt;&gt;""),$I10:$T10),""),"")))</f>
        <v/>
      </c>
      <c r="V10" s="23">
        <f>IF($G10="","",IF($U10="","",IF($G10=0,IF($U10&lt;=0,1,0),IF($E10="↓",IFERROR($G10/$U10,0),IFERROR($U10/$G10,0)))))</f>
        <v/>
      </c>
      <c r="W10" s="17">
        <f>IF($V10="","—",IF($V10&gt;=1,"✅ محقق",IF($V10&gt;=0.85,"🟡 قريب","🔴 تحت الهدف")))</f>
        <v/>
      </c>
      <c r="X10" s="54" t="inlineStr">
        <is>
          <t>النمو</t>
        </is>
      </c>
      <c r="Y10" s="22" t="inlineStr">
        <is>
          <t>الامتياز التجاري</t>
        </is>
      </c>
      <c r="Z10" s="62" t="n"/>
      <c r="AA10" s="21" t="inlineStr">
        <is>
          <t>🟣 لاحق</t>
        </is>
      </c>
      <c r="AB10" s="56" t="n">
        <v>0.0278</v>
      </c>
      <c r="AC10" s="23">
        <f>IF($V10="","",$AB10*MIN($V10,1))</f>
        <v/>
      </c>
    </row>
    <row r="11" ht="26" customHeight="1">
      <c r="A11" s="17" t="n">
        <v>8</v>
      </c>
      <c r="B11" s="22" t="inlineStr">
        <is>
          <t>الأداء المالي</t>
        </is>
      </c>
      <c r="C11" s="22" t="inlineStr">
        <is>
          <t>رفع هامش الربحية للامتياز</t>
        </is>
      </c>
      <c r="D11" s="49" t="inlineStr">
        <is>
          <t>هللة/لتر</t>
        </is>
      </c>
      <c r="E11" s="49" t="inlineStr">
        <is>
          <t>↑</t>
        </is>
      </c>
      <c r="F11" s="49" t="inlineStr">
        <is>
          <t>AVG</t>
        </is>
      </c>
      <c r="G11" s="63" t="n">
        <v>1.8</v>
      </c>
      <c r="H11" s="51" t="inlineStr">
        <is>
          <t>+1.8 هللة/لتر</t>
        </is>
      </c>
      <c r="I11" s="64" t="n"/>
      <c r="J11" s="64" t="n"/>
      <c r="K11" s="64" t="n"/>
      <c r="L11" s="64" t="n"/>
      <c r="M11" s="64" t="n"/>
      <c r="N11" s="64" t="n"/>
      <c r="O11" s="64" t="n"/>
      <c r="P11" s="64" t="n"/>
      <c r="Q11" s="64" t="n"/>
      <c r="R11" s="64" t="n"/>
      <c r="S11" s="64" t="n"/>
      <c r="T11" s="64" t="n"/>
      <c r="U11" s="65">
        <f>IF($F11="SUM",IF(COUNT($I11:$T11)=0,"",SUM($I11:$T11)),IF($F11="AVG",IFERROR(AVERAGE($I11:$T11),""),IF($F11="LAST",IFERROR(LOOKUP(2,1/($I11:$T11&lt;&gt;""),$I11:$T11),""),"")))</f>
        <v/>
      </c>
      <c r="V11" s="23">
        <f>IF($G11="","",IF($U11="","",IF($G11=0,IF($U11&lt;=0,1,0),IF($E11="↓",IFERROR($G11/$U11,0),IFERROR($U11/$G11,0)))))</f>
        <v/>
      </c>
      <c r="W11" s="17">
        <f>IF($V11="","—",IF($V11&gt;=1,"✅ محقق",IF($V11&gt;=0.85,"🟡 قريب","🔴 تحت الهدف")))</f>
        <v/>
      </c>
      <c r="X11" s="54" t="inlineStr">
        <is>
          <t>النمو</t>
        </is>
      </c>
      <c r="Y11" s="22" t="inlineStr">
        <is>
          <t>الامتياز التجاري</t>
        </is>
      </c>
      <c r="Z11" s="66" t="n"/>
      <c r="AA11" s="21" t="inlineStr">
        <is>
          <t>🟣 لاحق</t>
        </is>
      </c>
      <c r="AB11" s="56" t="n">
        <v>0.0278</v>
      </c>
      <c r="AC11" s="23">
        <f>IF($V11="","",$AB11*MIN($V11,1))</f>
        <v/>
      </c>
    </row>
    <row r="12" ht="26" customHeight="1">
      <c r="A12" s="17" t="n">
        <v>9</v>
      </c>
      <c r="B12" s="22" t="inlineStr">
        <is>
          <t>الأداء المالي</t>
        </is>
      </c>
      <c r="C12" s="22" t="inlineStr">
        <is>
          <t>نسبة التحصيل المالي من شركاء الامتياز</t>
        </is>
      </c>
      <c r="D12" s="49" t="inlineStr">
        <is>
          <t>%</t>
        </is>
      </c>
      <c r="E12" s="49" t="inlineStr">
        <is>
          <t>↑</t>
        </is>
      </c>
      <c r="F12" s="49" t="inlineStr">
        <is>
          <t>AVG</t>
        </is>
      </c>
      <c r="G12" s="57" t="n">
        <v>0.95</v>
      </c>
      <c r="H12" s="51" t="inlineStr">
        <is>
          <t>95%+</t>
        </is>
      </c>
      <c r="I12" s="58" t="n"/>
      <c r="J12" s="58" t="n"/>
      <c r="K12" s="58" t="n"/>
      <c r="L12" s="58" t="n"/>
      <c r="M12" s="58" t="n"/>
      <c r="N12" s="58" t="n"/>
      <c r="O12" s="58" t="n"/>
      <c r="P12" s="58" t="n"/>
      <c r="Q12" s="58" t="n"/>
      <c r="R12" s="58" t="n"/>
      <c r="S12" s="58" t="n"/>
      <c r="T12" s="58" t="n"/>
      <c r="U12" s="59">
        <f>IF($F12="SUM",IF(COUNT($I12:$T12)=0,"",SUM($I12:$T12)),IF($F12="AVG",IFERROR(AVERAGE($I12:$T12),""),IF($F12="LAST",IFERROR(LOOKUP(2,1/($I12:$T12&lt;&gt;""),$I12:$T12),""),"")))</f>
        <v/>
      </c>
      <c r="V12" s="23">
        <f>IF($G12="","",IF($U12="","",IF($G12=0,IF($U12&lt;=0,1,0),IF($E12="↓",IFERROR($G12/$U12,0),IFERROR($U12/$G12,0)))))</f>
        <v/>
      </c>
      <c r="W12" s="17">
        <f>IF($V12="","—",IF($V12&gt;=1,"✅ محقق",IF($V12&gt;=0.85,"🟡 قريب","🔴 تحت الهدف")))</f>
        <v/>
      </c>
      <c r="X12" s="54" t="inlineStr">
        <is>
          <t>الاستدامة</t>
        </is>
      </c>
      <c r="Y12" s="22" t="inlineStr">
        <is>
          <t>جودة التشغيل</t>
        </is>
      </c>
      <c r="Z12" s="56" t="n"/>
      <c r="AA12" s="21" t="inlineStr">
        <is>
          <t>🟣 لاحق</t>
        </is>
      </c>
      <c r="AB12" s="56" t="n">
        <v>0.0278</v>
      </c>
      <c r="AC12" s="23">
        <f>IF($V12="","",$AB12*MIN($V12,1))</f>
        <v/>
      </c>
    </row>
    <row r="13" ht="26" customHeight="1">
      <c r="A13" s="17" t="n">
        <v>10</v>
      </c>
      <c r="B13" s="22" t="inlineStr">
        <is>
          <t>الأداء المالي</t>
        </is>
      </c>
      <c r="C13" s="22" t="inlineStr">
        <is>
          <t>متوسط أيام التحصيل (DSO)</t>
        </is>
      </c>
      <c r="D13" s="49" t="inlineStr">
        <is>
          <t>يوم</t>
        </is>
      </c>
      <c r="E13" s="49" t="inlineStr">
        <is>
          <t>↓</t>
        </is>
      </c>
      <c r="F13" s="49" t="inlineStr">
        <is>
          <t>AVG</t>
        </is>
      </c>
      <c r="G13" s="63" t="n">
        <v>30</v>
      </c>
      <c r="H13" s="51" t="inlineStr">
        <is>
          <t>≤ 30 يوم</t>
        </is>
      </c>
      <c r="I13" s="64" t="n"/>
      <c r="J13" s="64" t="n"/>
      <c r="K13" s="64" t="n"/>
      <c r="L13" s="64" t="n"/>
      <c r="M13" s="64" t="n"/>
      <c r="N13" s="64" t="n"/>
      <c r="O13" s="64" t="n"/>
      <c r="P13" s="64" t="n"/>
      <c r="Q13" s="64" t="n"/>
      <c r="R13" s="64" t="n"/>
      <c r="S13" s="64" t="n"/>
      <c r="T13" s="64" t="n"/>
      <c r="U13" s="65">
        <f>IF($F13="SUM",IF(COUNT($I13:$T13)=0,"",SUM($I13:$T13)),IF($F13="AVG",IFERROR(AVERAGE($I13:$T13),""),IF($F13="LAST",IFERROR(LOOKUP(2,1/($I13:$T13&lt;&gt;""),$I13:$T13),""),"")))</f>
        <v/>
      </c>
      <c r="V13" s="23">
        <f>IF($G13="","",IF($U13="","",IF($G13=0,IF($U13&lt;=0,1,0),IF($E13="↓",IFERROR($G13/$U13,0),IFERROR($U13/$G13,0)))))</f>
        <v/>
      </c>
      <c r="W13" s="17">
        <f>IF($V13="","—",IF($V13&gt;=1,"✅ محقق",IF($V13&gt;=0.85,"🟡 قريب","🔴 تحت الهدف")))</f>
        <v/>
      </c>
      <c r="X13" s="54" t="inlineStr">
        <is>
          <t>الاستدامة</t>
        </is>
      </c>
      <c r="Y13" s="22" t="inlineStr">
        <is>
          <t>جودة التشغيل</t>
        </is>
      </c>
      <c r="Z13" s="66" t="n"/>
      <c r="AA13" s="21" t="inlineStr">
        <is>
          <t>🟣 لاحق</t>
        </is>
      </c>
      <c r="AB13" s="56" t="n">
        <v>0.0278</v>
      </c>
      <c r="AC13" s="23">
        <f>IF($V13="","",$AB13*MIN($V13,1))</f>
        <v/>
      </c>
    </row>
    <row r="14" ht="26" customHeight="1">
      <c r="A14" s="17" t="n">
        <v>11</v>
      </c>
      <c r="B14" s="22" t="inlineStr">
        <is>
          <t>الأداء المالي</t>
        </is>
      </c>
      <c r="C14" s="22" t="inlineStr">
        <is>
          <t>إجمالي المستحقات المتأخرة (+30 يوم)</t>
        </is>
      </c>
      <c r="D14" s="49" t="inlineStr">
        <is>
          <t>ر.س</t>
        </is>
      </c>
      <c r="E14" s="49" t="inlineStr">
        <is>
          <t>↓</t>
        </is>
      </c>
      <c r="F14" s="49" t="inlineStr">
        <is>
          <t>LAST</t>
        </is>
      </c>
      <c r="G14" s="49" t="inlineStr"/>
      <c r="H14" s="51" t="inlineStr">
        <is>
          <t>تراجع مستمر</t>
        </is>
      </c>
      <c r="I14" s="60" t="n"/>
      <c r="J14" s="60" t="n"/>
      <c r="K14" s="60" t="n"/>
      <c r="L14" s="60" t="n"/>
      <c r="M14" s="60" t="n"/>
      <c r="N14" s="60" t="n"/>
      <c r="O14" s="60" t="n"/>
      <c r="P14" s="60" t="n"/>
      <c r="Q14" s="60" t="n"/>
      <c r="R14" s="60" t="n"/>
      <c r="S14" s="60" t="n"/>
      <c r="T14" s="60" t="n"/>
      <c r="U14" s="61">
        <f>IF($F14="SUM",IF(COUNT($I14:$T14)=0,"",SUM($I14:$T14)),IF($F14="AVG",IFERROR(AVERAGE($I14:$T14),""),IF($F14="LAST",IFERROR(LOOKUP(2,1/($I14:$T14&lt;&gt;""),$I14:$T14),""),"")))</f>
        <v/>
      </c>
      <c r="V14" s="23">
        <f>IF($G14="","",IF($U14="","",IF($G14=0,IF($U14&lt;=0,1,0),IF($E14="↓",IFERROR($G14/$U14,0),IFERROR($U14/$G14,0)))))</f>
        <v/>
      </c>
      <c r="W14" s="17">
        <f>IF($V14="","—",IF($V14&gt;=1,"✅ محقق",IF($V14&gt;=0.85,"🟡 قريب","🔴 تحت الهدف")))</f>
        <v/>
      </c>
      <c r="X14" s="54" t="inlineStr">
        <is>
          <t>الاستدامة</t>
        </is>
      </c>
      <c r="Y14" s="22" t="inlineStr">
        <is>
          <t>جودة التشغيل</t>
        </is>
      </c>
      <c r="Z14" s="62" t="n"/>
      <c r="AA14" s="21" t="inlineStr">
        <is>
          <t>🟣 لاحق</t>
        </is>
      </c>
      <c r="AB14" s="56" t="n">
        <v>0.0278</v>
      </c>
      <c r="AC14" s="23">
        <f>IF($V14="","",$AB14*MIN($V14,1))</f>
        <v/>
      </c>
    </row>
    <row r="15" ht="26" customHeight="1">
      <c r="A15" s="17" t="n">
        <v>12</v>
      </c>
      <c r="B15" s="22" t="inlineStr">
        <is>
          <t>الأداء المالي</t>
        </is>
      </c>
      <c r="C15" s="22" t="inlineStr">
        <is>
          <t>نسبة الشركاء الملتزمين بمواعيد السداد</t>
        </is>
      </c>
      <c r="D15" s="49" t="inlineStr">
        <is>
          <t>%</t>
        </is>
      </c>
      <c r="E15" s="49" t="inlineStr">
        <is>
          <t>↑</t>
        </is>
      </c>
      <c r="F15" s="49" t="inlineStr">
        <is>
          <t>AVG</t>
        </is>
      </c>
      <c r="G15" s="57" t="n">
        <v>0.9</v>
      </c>
      <c r="H15" s="51" t="inlineStr">
        <is>
          <t>90%+</t>
        </is>
      </c>
      <c r="I15" s="58" t="n"/>
      <c r="J15" s="58" t="n"/>
      <c r="K15" s="58" t="n"/>
      <c r="L15" s="58" t="n"/>
      <c r="M15" s="58" t="n"/>
      <c r="N15" s="58" t="n"/>
      <c r="O15" s="58" t="n"/>
      <c r="P15" s="58" t="n"/>
      <c r="Q15" s="58" t="n"/>
      <c r="R15" s="58" t="n"/>
      <c r="S15" s="58" t="n"/>
      <c r="T15" s="58" t="n"/>
      <c r="U15" s="59">
        <f>IF($F15="SUM",IF(COUNT($I15:$T15)=0,"",SUM($I15:$T15)),IF($F15="AVG",IFERROR(AVERAGE($I15:$T15),""),IF($F15="LAST",IFERROR(LOOKUP(2,1/($I15:$T15&lt;&gt;""),$I15:$T15),""),"")))</f>
        <v/>
      </c>
      <c r="V15" s="23">
        <f>IF($G15="","",IF($U15="","",IF($G15=0,IF($U15&lt;=0,1,0),IF($E15="↓",IFERROR($G15/$U15,0),IFERROR($U15/$G15,0)))))</f>
        <v/>
      </c>
      <c r="W15" s="17">
        <f>IF($V15="","—",IF($V15&gt;=1,"✅ محقق",IF($V15&gt;=0.85,"🟡 قريب","🔴 تحت الهدف")))</f>
        <v/>
      </c>
      <c r="X15" s="54" t="inlineStr">
        <is>
          <t>الاستدامة</t>
        </is>
      </c>
      <c r="Y15" s="22" t="inlineStr">
        <is>
          <t>جودة التشغيل</t>
        </is>
      </c>
      <c r="Z15" s="56" t="n"/>
      <c r="AA15" s="21" t="inlineStr">
        <is>
          <t>🟣 لاحق</t>
        </is>
      </c>
      <c r="AB15" s="56" t="n">
        <v>0.0278</v>
      </c>
      <c r="AC15" s="23">
        <f>IF($V15="","",$AB15*MIN($V15,1))</f>
        <v/>
      </c>
    </row>
    <row r="16" ht="26" customHeight="1">
      <c r="A16" s="17" t="n">
        <v>13</v>
      </c>
      <c r="B16" s="22" t="inlineStr">
        <is>
          <t>الأداء المالي</t>
        </is>
      </c>
      <c r="C16" s="22" t="inlineStr">
        <is>
          <t>معدل دوران رأس المال (أيام الدورة)</t>
        </is>
      </c>
      <c r="D16" s="49" t="inlineStr">
        <is>
          <t>يوم</t>
        </is>
      </c>
      <c r="E16" s="49" t="inlineStr">
        <is>
          <t>↓</t>
        </is>
      </c>
      <c r="F16" s="49" t="inlineStr">
        <is>
          <t>AVG</t>
        </is>
      </c>
      <c r="G16" s="63" t="n">
        <v>5</v>
      </c>
      <c r="H16" s="51" t="inlineStr">
        <is>
          <t>≤ 5 أيام</t>
        </is>
      </c>
      <c r="I16" s="64" t="n"/>
      <c r="J16" s="64" t="n"/>
      <c r="K16" s="64" t="n"/>
      <c r="L16" s="64" t="n"/>
      <c r="M16" s="64" t="n"/>
      <c r="N16" s="64" t="n"/>
      <c r="O16" s="64" t="n"/>
      <c r="P16" s="64" t="n"/>
      <c r="Q16" s="64" t="n"/>
      <c r="R16" s="64" t="n"/>
      <c r="S16" s="64" t="n"/>
      <c r="T16" s="64" t="n"/>
      <c r="U16" s="65">
        <f>IF($F16="SUM",IF(COUNT($I16:$T16)=0,"",SUM($I16:$T16)),IF($F16="AVG",IFERROR(AVERAGE($I16:$T16),""),IF($F16="LAST",IFERROR(LOOKUP(2,1/($I16:$T16&lt;&gt;""),$I16:$T16),""),"")))</f>
        <v/>
      </c>
      <c r="V16" s="23">
        <f>IF($G16="","",IF($U16="","",IF($G16=0,IF($U16&lt;=0,1,0),IF($E16="↓",IFERROR($G16/$U16,0),IFERROR($U16/$G16,0)))))</f>
        <v/>
      </c>
      <c r="W16" s="17">
        <f>IF($V16="","—",IF($V16&gt;=1,"✅ محقق",IF($V16&gt;=0.85,"🟡 قريب","🔴 تحت الهدف")))</f>
        <v/>
      </c>
      <c r="X16" s="54" t="inlineStr">
        <is>
          <t>الاستدامة</t>
        </is>
      </c>
      <c r="Y16" s="22" t="inlineStr">
        <is>
          <t>جودة التشغيل</t>
        </is>
      </c>
      <c r="Z16" s="66" t="n"/>
      <c r="AA16" s="21" t="inlineStr">
        <is>
          <t>🟣 لاحق</t>
        </is>
      </c>
      <c r="AB16" s="56" t="n">
        <v>0.0278</v>
      </c>
      <c r="AC16" s="23">
        <f>IF($V16="","",$AB16*MIN($V16,1))</f>
        <v/>
      </c>
    </row>
    <row r="17" ht="26" customHeight="1">
      <c r="A17" s="17" t="n">
        <v>14</v>
      </c>
      <c r="B17" s="22" t="inlineStr">
        <is>
          <t>التشغيل والجودة</t>
        </is>
      </c>
      <c r="C17" s="22" t="inlineStr">
        <is>
          <t>نسبة جاهزية محطات الامتياز (صفر انقطاع)</t>
        </is>
      </c>
      <c r="D17" s="49" t="inlineStr">
        <is>
          <t>%</t>
        </is>
      </c>
      <c r="E17" s="49" t="inlineStr">
        <is>
          <t>↑</t>
        </is>
      </c>
      <c r="F17" s="49" t="inlineStr">
        <is>
          <t>AVG</t>
        </is>
      </c>
      <c r="G17" s="57" t="n">
        <v>0.99</v>
      </c>
      <c r="H17" s="51" t="inlineStr">
        <is>
          <t>99%+</t>
        </is>
      </c>
      <c r="I17" s="58" t="n"/>
      <c r="J17" s="58" t="n"/>
      <c r="K17" s="58" t="n"/>
      <c r="L17" s="58" t="n"/>
      <c r="M17" s="58" t="n"/>
      <c r="N17" s="58" t="n"/>
      <c r="O17" s="58" t="n"/>
      <c r="P17" s="58" t="n"/>
      <c r="Q17" s="58" t="n"/>
      <c r="R17" s="58" t="n"/>
      <c r="S17" s="58" t="n"/>
      <c r="T17" s="58" t="n"/>
      <c r="U17" s="59">
        <f>IF($F17="SUM",IF(COUNT($I17:$T17)=0,"",SUM($I17:$T17)),IF($F17="AVG",IFERROR(AVERAGE($I17:$T17),""),IF($F17="LAST",IFERROR(LOOKUP(2,1/($I17:$T17&lt;&gt;""),$I17:$T17),""),"")))</f>
        <v/>
      </c>
      <c r="V17" s="23">
        <f>IF($G17="","",IF($U17="","",IF($G17=0,IF($U17&lt;=0,1,0),IF($E17="↓",IFERROR($G17/$U17,0),IFERROR($U17/$G17,0)))))</f>
        <v/>
      </c>
      <c r="W17" s="17">
        <f>IF($V17="","—",IF($V17&gt;=1,"✅ محقق",IF($V17&gt;=0.85,"🟡 قريب","🔴 تحت الهدف")))</f>
        <v/>
      </c>
      <c r="X17" s="54" t="inlineStr">
        <is>
          <t>الاستدامة</t>
        </is>
      </c>
      <c r="Y17" s="22" t="inlineStr">
        <is>
          <t>جودة التشغيل</t>
        </is>
      </c>
      <c r="Z17" s="56" t="n"/>
      <c r="AA17" s="21" t="inlineStr">
        <is>
          <t>🟣 لاحق</t>
        </is>
      </c>
      <c r="AB17" s="56" t="n">
        <v>0.0278</v>
      </c>
      <c r="AC17" s="23">
        <f>IF($V17="","",$AB17*MIN($V17,1))</f>
        <v/>
      </c>
    </row>
    <row r="18" ht="26" customHeight="1">
      <c r="A18" s="17" t="n">
        <v>15</v>
      </c>
      <c r="B18" s="22" t="inlineStr">
        <is>
          <t>التشغيل والجودة</t>
        </is>
      </c>
      <c r="C18" s="22" t="inlineStr">
        <is>
          <t>عدد حالات انقطاع الوقود الموثّقة</t>
        </is>
      </c>
      <c r="D18" s="49" t="inlineStr">
        <is>
          <t>حالة</t>
        </is>
      </c>
      <c r="E18" s="49" t="inlineStr">
        <is>
          <t>↓</t>
        </is>
      </c>
      <c r="F18" s="49" t="inlineStr">
        <is>
          <t>SUM</t>
        </is>
      </c>
      <c r="G18" s="50" t="n">
        <v>0</v>
      </c>
      <c r="H18" s="51" t="inlineStr">
        <is>
          <t>0 حالة</t>
        </is>
      </c>
      <c r="I18" s="52" t="n"/>
      <c r="J18" s="52" t="n"/>
      <c r="K18" s="52" t="n"/>
      <c r="L18" s="52" t="n"/>
      <c r="M18" s="52" t="n"/>
      <c r="N18" s="52" t="n"/>
      <c r="O18" s="52" t="n"/>
      <c r="P18" s="52" t="n"/>
      <c r="Q18" s="52" t="n"/>
      <c r="R18" s="52" t="n"/>
      <c r="S18" s="52" t="n"/>
      <c r="T18" s="52" t="n"/>
      <c r="U18" s="53">
        <f>IF($F18="SUM",IF(COUNT($I18:$T18)=0,"",SUM($I18:$T18)),IF($F18="AVG",IFERROR(AVERAGE($I18:$T18),""),IF($F18="LAST",IFERROR(LOOKUP(2,1/($I18:$T18&lt;&gt;""),$I18:$T18),""),"")))</f>
        <v/>
      </c>
      <c r="V18" s="23">
        <f>IF($G18="","",IF($U18="","",IF($G18=0,IF($U18&lt;=0,1,0),IF($E18="↓",IFERROR($G18/$U18,0),IFERROR($U18/$G18,0)))))</f>
        <v/>
      </c>
      <c r="W18" s="17">
        <f>IF($V18="","—",IF($V18&gt;=1,"✅ محقق",IF($V18&gt;=0.85,"🟡 قريب","🔴 تحت الهدف")))</f>
        <v/>
      </c>
      <c r="X18" s="54" t="inlineStr">
        <is>
          <t>الاستدامة</t>
        </is>
      </c>
      <c r="Y18" s="22" t="inlineStr">
        <is>
          <t>جودة التشغيل</t>
        </is>
      </c>
      <c r="Z18" s="55" t="n"/>
      <c r="AA18" s="21" t="inlineStr">
        <is>
          <t>🔵 قائد</t>
        </is>
      </c>
      <c r="AB18" s="56" t="n">
        <v>0.0278</v>
      </c>
      <c r="AC18" s="23">
        <f>IF($V18="","",$AB18*MIN($V18,1))</f>
        <v/>
      </c>
    </row>
    <row r="19" ht="26" customHeight="1">
      <c r="A19" s="17" t="n">
        <v>16</v>
      </c>
      <c r="B19" s="22" t="inlineStr">
        <is>
          <t>التشغيل والجودة</t>
        </is>
      </c>
      <c r="C19" s="22" t="inlineStr">
        <is>
          <t>نسبة إغلاق ملاحظات الجودة الميدانية</t>
        </is>
      </c>
      <c r="D19" s="49" t="inlineStr">
        <is>
          <t>%</t>
        </is>
      </c>
      <c r="E19" s="49" t="inlineStr">
        <is>
          <t>↑</t>
        </is>
      </c>
      <c r="F19" s="49" t="inlineStr">
        <is>
          <t>AVG</t>
        </is>
      </c>
      <c r="G19" s="57" t="n">
        <v>0.95</v>
      </c>
      <c r="H19" s="51" t="inlineStr">
        <is>
          <t>95%+</t>
        </is>
      </c>
      <c r="I19" s="58" t="n"/>
      <c r="J19" s="58" t="n"/>
      <c r="K19" s="58" t="n"/>
      <c r="L19" s="58" t="n"/>
      <c r="M19" s="58" t="n"/>
      <c r="N19" s="58" t="n"/>
      <c r="O19" s="58" t="n"/>
      <c r="P19" s="58" t="n"/>
      <c r="Q19" s="58" t="n"/>
      <c r="R19" s="58" t="n"/>
      <c r="S19" s="58" t="n"/>
      <c r="T19" s="58" t="n"/>
      <c r="U19" s="59">
        <f>IF($F19="SUM",IF(COUNT($I19:$T19)=0,"",SUM($I19:$T19)),IF($F19="AVG",IFERROR(AVERAGE($I19:$T19),""),IF($F19="LAST",IFERROR(LOOKUP(2,1/($I19:$T19&lt;&gt;""),$I19:$T19),""),"")))</f>
        <v/>
      </c>
      <c r="V19" s="23">
        <f>IF($G19="","",IF($U19="","",IF($G19=0,IF($U19&lt;=0,1,0),IF($E19="↓",IFERROR($G19/$U19,0),IFERROR($U19/$G19,0)))))</f>
        <v/>
      </c>
      <c r="W19" s="17">
        <f>IF($V19="","—",IF($V19&gt;=1,"✅ محقق",IF($V19&gt;=0.85,"🟡 قريب","🔴 تحت الهدف")))</f>
        <v/>
      </c>
      <c r="X19" s="54" t="inlineStr">
        <is>
          <t>الاستدامة</t>
        </is>
      </c>
      <c r="Y19" s="22" t="inlineStr">
        <is>
          <t>جودة التشغيل</t>
        </is>
      </c>
      <c r="Z19" s="56" t="n"/>
      <c r="AA19" s="21" t="inlineStr">
        <is>
          <t>🟣 لاحق</t>
        </is>
      </c>
      <c r="AB19" s="56" t="n">
        <v>0.0278</v>
      </c>
      <c r="AC19" s="23">
        <f>IF($V19="","",$AB19*MIN($V19,1))</f>
        <v/>
      </c>
    </row>
    <row r="20" ht="26" customHeight="1">
      <c r="A20" s="17" t="n">
        <v>17</v>
      </c>
      <c r="B20" s="22" t="inlineStr">
        <is>
          <t>التشغيل والجودة</t>
        </is>
      </c>
      <c r="C20" s="22" t="inlineStr">
        <is>
          <t>متوسط درجة تقييم جودة المحطة (قائمة التحقق)</t>
        </is>
      </c>
      <c r="D20" s="49" t="inlineStr">
        <is>
          <t>درجة/100</t>
        </is>
      </c>
      <c r="E20" s="49" t="inlineStr">
        <is>
          <t>↑</t>
        </is>
      </c>
      <c r="F20" s="49" t="inlineStr">
        <is>
          <t>AVG</t>
        </is>
      </c>
      <c r="G20" s="63" t="n">
        <v>85</v>
      </c>
      <c r="H20" s="51" t="inlineStr">
        <is>
          <t>85+</t>
        </is>
      </c>
      <c r="I20" s="64" t="n"/>
      <c r="J20" s="64" t="n"/>
      <c r="K20" s="64" t="n"/>
      <c r="L20" s="64" t="n"/>
      <c r="M20" s="64" t="n"/>
      <c r="N20" s="64" t="n"/>
      <c r="O20" s="64" t="n"/>
      <c r="P20" s="64" t="n"/>
      <c r="Q20" s="64" t="n"/>
      <c r="R20" s="64" t="n"/>
      <c r="S20" s="64" t="n"/>
      <c r="T20" s="64" t="n"/>
      <c r="U20" s="65">
        <f>IF($F20="SUM",IF(COUNT($I20:$T20)=0,"",SUM($I20:$T20)),IF($F20="AVG",IFERROR(AVERAGE($I20:$T20),""),IF($F20="LAST",IFERROR(LOOKUP(2,1/($I20:$T20&lt;&gt;""),$I20:$T20),""),"")))</f>
        <v/>
      </c>
      <c r="V20" s="23">
        <f>IF($G20="","",IF($U20="","",IF($G20=0,IF($U20&lt;=0,1,0),IF($E20="↓",IFERROR($G20/$U20,0),IFERROR($U20/$G20,0)))))</f>
        <v/>
      </c>
      <c r="W20" s="17">
        <f>IF($V20="","—",IF($V20&gt;=1,"✅ محقق",IF($V20&gt;=0.85,"🟡 قريب","🔴 تحت الهدف")))</f>
        <v/>
      </c>
      <c r="X20" s="54" t="inlineStr">
        <is>
          <t>الاستدامة</t>
        </is>
      </c>
      <c r="Y20" s="22" t="inlineStr">
        <is>
          <t>جودة التشغيل</t>
        </is>
      </c>
      <c r="Z20" s="66" t="n"/>
      <c r="AA20" s="21" t="inlineStr">
        <is>
          <t>🟣 لاحق</t>
        </is>
      </c>
      <c r="AB20" s="56" t="n">
        <v>0.0278</v>
      </c>
      <c r="AC20" s="23">
        <f>IF($V20="","",$AB20*MIN($V20,1))</f>
        <v/>
      </c>
    </row>
    <row r="21" ht="26" customHeight="1">
      <c r="A21" s="17" t="n">
        <v>18</v>
      </c>
      <c r="B21" s="22" t="inlineStr">
        <is>
          <t>التشغيل والجودة</t>
        </is>
      </c>
      <c r="C21" s="22" t="inlineStr">
        <is>
          <t>نسبة تنفيذ الزيارات الميدانية المجدولة</t>
        </is>
      </c>
      <c r="D21" s="49" t="inlineStr">
        <is>
          <t>%</t>
        </is>
      </c>
      <c r="E21" s="49" t="inlineStr">
        <is>
          <t>↑</t>
        </is>
      </c>
      <c r="F21" s="49" t="inlineStr">
        <is>
          <t>AVG</t>
        </is>
      </c>
      <c r="G21" s="57" t="n">
        <v>1</v>
      </c>
      <c r="H21" s="51" t="inlineStr">
        <is>
          <t>100%</t>
        </is>
      </c>
      <c r="I21" s="58" t="n"/>
      <c r="J21" s="58" t="n"/>
      <c r="K21" s="58" t="n"/>
      <c r="L21" s="58" t="n"/>
      <c r="M21" s="58" t="n"/>
      <c r="N21" s="58" t="n"/>
      <c r="O21" s="58" t="n"/>
      <c r="P21" s="58" t="n"/>
      <c r="Q21" s="58" t="n"/>
      <c r="R21" s="58" t="n"/>
      <c r="S21" s="58" t="n"/>
      <c r="T21" s="58" t="n"/>
      <c r="U21" s="59">
        <f>IF($F21="SUM",IF(COUNT($I21:$T21)=0,"",SUM($I21:$T21)),IF($F21="AVG",IFERROR(AVERAGE($I21:$T21),""),IF($F21="LAST",IFERROR(LOOKUP(2,1/($I21:$T21&lt;&gt;""),$I21:$T21),""),"")))</f>
        <v/>
      </c>
      <c r="V21" s="23">
        <f>IF($G21="","",IF($U21="","",IF($G21=0,IF($U21&lt;=0,1,0),IF($E21="↓",IFERROR($G21/$U21,0),IFERROR($U21/$G21,0)))))</f>
        <v/>
      </c>
      <c r="W21" s="17">
        <f>IF($V21="","—",IF($V21&gt;=1,"✅ محقق",IF($V21&gt;=0.85,"🟡 قريب","🔴 تحت الهدف")))</f>
        <v/>
      </c>
      <c r="X21" s="54" t="inlineStr">
        <is>
          <t>الاستدامة</t>
        </is>
      </c>
      <c r="Y21" s="22" t="inlineStr">
        <is>
          <t>جودة التشغيل</t>
        </is>
      </c>
      <c r="Z21" s="56" t="n"/>
      <c r="AA21" s="21" t="inlineStr">
        <is>
          <t>🔵 قائد</t>
        </is>
      </c>
      <c r="AB21" s="56" t="n">
        <v>0.0278</v>
      </c>
      <c r="AC21" s="23">
        <f>IF($V21="","",$AB21*MIN($V21,1))</f>
        <v/>
      </c>
    </row>
    <row r="22" ht="26" customHeight="1">
      <c r="A22" s="17" t="n">
        <v>19</v>
      </c>
      <c r="B22" s="22" t="inlineStr">
        <is>
          <t>التشغيل والجودة</t>
        </is>
      </c>
      <c r="C22" s="22" t="inlineStr">
        <is>
          <t>نسبة المحطات المستوفية لمعايير السلامة</t>
        </is>
      </c>
      <c r="D22" s="49" t="inlineStr">
        <is>
          <t>%</t>
        </is>
      </c>
      <c r="E22" s="49" t="inlineStr">
        <is>
          <t>↑</t>
        </is>
      </c>
      <c r="F22" s="49" t="inlineStr">
        <is>
          <t>AVG</t>
        </is>
      </c>
      <c r="G22" s="57" t="n">
        <v>1</v>
      </c>
      <c r="H22" s="51" t="inlineStr">
        <is>
          <t>100%</t>
        </is>
      </c>
      <c r="I22" s="58" t="n"/>
      <c r="J22" s="58" t="n"/>
      <c r="K22" s="58" t="n"/>
      <c r="L22" s="58" t="n"/>
      <c r="M22" s="58" t="n"/>
      <c r="N22" s="58" t="n"/>
      <c r="O22" s="58" t="n"/>
      <c r="P22" s="58" t="n"/>
      <c r="Q22" s="58" t="n"/>
      <c r="R22" s="58" t="n"/>
      <c r="S22" s="58" t="n"/>
      <c r="T22" s="58" t="n"/>
      <c r="U22" s="59">
        <f>IF($F22="SUM",IF(COUNT($I22:$T22)=0,"",SUM($I22:$T22)),IF($F22="AVG",IFERROR(AVERAGE($I22:$T22),""),IF($F22="LAST",IFERROR(LOOKUP(2,1/($I22:$T22&lt;&gt;""),$I22:$T22),""),"")))</f>
        <v/>
      </c>
      <c r="V22" s="23">
        <f>IF($G22="","",IF($U22="","",IF($G22=0,IF($U22&lt;=0,1,0),IF($E22="↓",IFERROR($G22/$U22,0),IFERROR($U22/$G22,0)))))</f>
        <v/>
      </c>
      <c r="W22" s="17">
        <f>IF($V22="","—",IF($V22&gt;=1,"✅ محقق",IF($V22&gt;=0.85,"🟡 قريب","🔴 تحت الهدف")))</f>
        <v/>
      </c>
      <c r="X22" s="54" t="inlineStr">
        <is>
          <t>الاستدامة</t>
        </is>
      </c>
      <c r="Y22" s="22" t="inlineStr">
        <is>
          <t>جودة التشغيل</t>
        </is>
      </c>
      <c r="Z22" s="56" t="n"/>
      <c r="AA22" s="21" t="inlineStr">
        <is>
          <t>🟣 لاحق</t>
        </is>
      </c>
      <c r="AB22" s="56" t="n">
        <v>0.0278</v>
      </c>
      <c r="AC22" s="23">
        <f>IF($V22="","",$AB22*MIN($V22,1))</f>
        <v/>
      </c>
    </row>
    <row r="23" ht="26" customHeight="1">
      <c r="A23" s="17" t="n">
        <v>20</v>
      </c>
      <c r="B23" s="22" t="inlineStr">
        <is>
          <t>التشغيل والجودة</t>
        </is>
      </c>
      <c r="C23" s="22" t="inlineStr">
        <is>
          <t>متوسط وقت معالجة البلاغات التشغيلية</t>
        </is>
      </c>
      <c r="D23" s="49" t="inlineStr">
        <is>
          <t>ساعة</t>
        </is>
      </c>
      <c r="E23" s="49" t="inlineStr">
        <is>
          <t>↓</t>
        </is>
      </c>
      <c r="F23" s="49" t="inlineStr">
        <is>
          <t>AVG</t>
        </is>
      </c>
      <c r="G23" s="63" t="n">
        <v>24</v>
      </c>
      <c r="H23" s="51" t="inlineStr">
        <is>
          <t>≤ 24 ساعة</t>
        </is>
      </c>
      <c r="I23" s="64" t="n"/>
      <c r="J23" s="64" t="n"/>
      <c r="K23" s="64" t="n"/>
      <c r="L23" s="64" t="n"/>
      <c r="M23" s="64" t="n"/>
      <c r="N23" s="64" t="n"/>
      <c r="O23" s="64" t="n"/>
      <c r="P23" s="64" t="n"/>
      <c r="Q23" s="64" t="n"/>
      <c r="R23" s="64" t="n"/>
      <c r="S23" s="64" t="n"/>
      <c r="T23" s="64" t="n"/>
      <c r="U23" s="65">
        <f>IF($F23="SUM",IF(COUNT($I23:$T23)=0,"",SUM($I23:$T23)),IF($F23="AVG",IFERROR(AVERAGE($I23:$T23),""),IF($F23="LAST",IFERROR(LOOKUP(2,1/($I23:$T23&lt;&gt;""),$I23:$T23),""),"")))</f>
        <v/>
      </c>
      <c r="V23" s="23">
        <f>IF($G23="","",IF($U23="","",IF($G23=0,IF($U23&lt;=0,1,0),IF($E23="↓",IFERROR($G23/$U23,0),IFERROR($U23/$G23,0)))))</f>
        <v/>
      </c>
      <c r="W23" s="17">
        <f>IF($V23="","—",IF($V23&gt;=1,"✅ محقق",IF($V23&gt;=0.85,"🟡 قريب","🔴 تحت الهدف")))</f>
        <v/>
      </c>
      <c r="X23" s="54" t="inlineStr">
        <is>
          <t>الاستدامة</t>
        </is>
      </c>
      <c r="Y23" s="22" t="inlineStr">
        <is>
          <t>جودة التشغيل</t>
        </is>
      </c>
      <c r="Z23" s="66" t="n"/>
      <c r="AA23" s="21" t="inlineStr">
        <is>
          <t>🟣 لاحق</t>
        </is>
      </c>
      <c r="AB23" s="56" t="n">
        <v>0.0278</v>
      </c>
      <c r="AC23" s="23">
        <f>IF($V23="","",$AB23*MIN($V23,1))</f>
        <v/>
      </c>
    </row>
    <row r="24" ht="26" customHeight="1">
      <c r="A24" s="17" t="n">
        <v>21</v>
      </c>
      <c r="B24" s="22" t="inlineStr">
        <is>
          <t>التشغيل والجودة</t>
        </is>
      </c>
      <c r="C24" s="22" t="inlineStr">
        <is>
          <t>نسبة أتمتة محطات الامتياز</t>
        </is>
      </c>
      <c r="D24" s="49" t="inlineStr">
        <is>
          <t>%</t>
        </is>
      </c>
      <c r="E24" s="49" t="inlineStr">
        <is>
          <t>↑</t>
        </is>
      </c>
      <c r="F24" s="49" t="inlineStr">
        <is>
          <t>LAST</t>
        </is>
      </c>
      <c r="G24" s="57" t="n">
        <v>0.9</v>
      </c>
      <c r="H24" s="51" t="inlineStr">
        <is>
          <t>90%</t>
        </is>
      </c>
      <c r="I24" s="58" t="n"/>
      <c r="J24" s="58" t="n"/>
      <c r="K24" s="58" t="n"/>
      <c r="L24" s="58" t="n"/>
      <c r="M24" s="58" t="n"/>
      <c r="N24" s="58" t="n"/>
      <c r="O24" s="58" t="n"/>
      <c r="P24" s="58" t="n"/>
      <c r="Q24" s="58" t="n"/>
      <c r="R24" s="58" t="n"/>
      <c r="S24" s="58" t="n"/>
      <c r="T24" s="58" t="n"/>
      <c r="U24" s="59">
        <f>IF($F24="SUM",IF(COUNT($I24:$T24)=0,"",SUM($I24:$T24)),IF($F24="AVG",IFERROR(AVERAGE($I24:$T24),""),IF($F24="LAST",IFERROR(LOOKUP(2,1/($I24:$T24&lt;&gt;""),$I24:$T24),""),"")))</f>
        <v/>
      </c>
      <c r="V24" s="23">
        <f>IF($G24="","",IF($U24="","",IF($G24=0,IF($U24&lt;=0,1,0),IF($E24="↓",IFERROR($G24/$U24,0),IFERROR($U24/$G24,0)))))</f>
        <v/>
      </c>
      <c r="W24" s="17">
        <f>IF($V24="","—",IF($V24&gt;=1,"✅ محقق",IF($V24&gt;=0.85,"🟡 قريب","🔴 تحت الهدف")))</f>
        <v/>
      </c>
      <c r="X24" s="54" t="inlineStr">
        <is>
          <t>الابتكار</t>
        </is>
      </c>
      <c r="Y24" s="22" t="inlineStr">
        <is>
          <t>التحول التقني</t>
        </is>
      </c>
      <c r="Z24" s="56" t="n"/>
      <c r="AA24" s="21" t="inlineStr">
        <is>
          <t>🟣 لاحق</t>
        </is>
      </c>
      <c r="AB24" s="56" t="n">
        <v>0.0278</v>
      </c>
      <c r="AC24" s="23">
        <f>IF($V24="","",$AB24*MIN($V24,1))</f>
        <v/>
      </c>
    </row>
    <row r="25" ht="26" customHeight="1">
      <c r="A25" s="17" t="n">
        <v>22</v>
      </c>
      <c r="B25" s="22" t="inlineStr">
        <is>
          <t>التشغيل والجودة</t>
        </is>
      </c>
      <c r="C25" s="22" t="inlineStr">
        <is>
          <t>نسبة تطبيق المعيار الشامل داخل المحطات</t>
        </is>
      </c>
      <c r="D25" s="49" t="inlineStr">
        <is>
          <t>%</t>
        </is>
      </c>
      <c r="E25" s="49" t="inlineStr">
        <is>
          <t>↑</t>
        </is>
      </c>
      <c r="F25" s="49" t="inlineStr">
        <is>
          <t>LAST</t>
        </is>
      </c>
      <c r="G25" s="57" t="n">
        <v>0.3</v>
      </c>
      <c r="H25" s="51" t="inlineStr">
        <is>
          <t>30%</t>
        </is>
      </c>
      <c r="I25" s="58" t="n"/>
      <c r="J25" s="58" t="n"/>
      <c r="K25" s="58" t="n"/>
      <c r="L25" s="58" t="n"/>
      <c r="M25" s="58" t="n"/>
      <c r="N25" s="58" t="n"/>
      <c r="O25" s="58" t="n"/>
      <c r="P25" s="58" t="n"/>
      <c r="Q25" s="58" t="n"/>
      <c r="R25" s="58" t="n"/>
      <c r="S25" s="58" t="n"/>
      <c r="T25" s="58" t="n"/>
      <c r="U25" s="59">
        <f>IF($F25="SUM",IF(COUNT($I25:$T25)=0,"",SUM($I25:$T25)),IF($F25="AVG",IFERROR(AVERAGE($I25:$T25),""),IF($F25="LAST",IFERROR(LOOKUP(2,1/($I25:$T25&lt;&gt;""),$I25:$T25),""),"")))</f>
        <v/>
      </c>
      <c r="V25" s="23">
        <f>IF($G25="","",IF($U25="","",IF($G25=0,IF($U25&lt;=0,1,0),IF($E25="↓",IFERROR($G25/$U25,0),IFERROR($U25/$G25,0)))))</f>
        <v/>
      </c>
      <c r="W25" s="17">
        <f>IF($V25="","—",IF($V25&gt;=1,"✅ محقق",IF($V25&gt;=0.85,"🟡 قريب","🔴 تحت الهدف")))</f>
        <v/>
      </c>
      <c r="X25" s="54" t="inlineStr">
        <is>
          <t>الابتكار</t>
        </is>
      </c>
      <c r="Y25" s="22" t="inlineStr">
        <is>
          <t>التحول التقني</t>
        </is>
      </c>
      <c r="Z25" s="56" t="n"/>
      <c r="AA25" s="21" t="inlineStr">
        <is>
          <t>🟣 لاحق</t>
        </is>
      </c>
      <c r="AB25" s="56" t="n">
        <v>0.0278</v>
      </c>
      <c r="AC25" s="23">
        <f>IF($V25="","",$AB25*MIN($V25,1))</f>
        <v/>
      </c>
    </row>
    <row r="26" ht="26" customHeight="1">
      <c r="A26" s="17" t="n">
        <v>23</v>
      </c>
      <c r="B26" s="22" t="inlineStr">
        <is>
          <t>الهوية والتسويق</t>
        </is>
      </c>
      <c r="C26" s="22" t="inlineStr">
        <is>
          <t>نسبة التزام المحطات بالهوية المؤسسية</t>
        </is>
      </c>
      <c r="D26" s="49" t="inlineStr">
        <is>
          <t>%</t>
        </is>
      </c>
      <c r="E26" s="49" t="inlineStr">
        <is>
          <t>↑</t>
        </is>
      </c>
      <c r="F26" s="49" t="inlineStr">
        <is>
          <t>LAST</t>
        </is>
      </c>
      <c r="G26" s="57" t="n">
        <v>0.55</v>
      </c>
      <c r="H26" s="51" t="inlineStr">
        <is>
          <t>55%</t>
        </is>
      </c>
      <c r="I26" s="58" t="n"/>
      <c r="J26" s="58" t="n"/>
      <c r="K26" s="58" t="n"/>
      <c r="L26" s="58" t="n"/>
      <c r="M26" s="58" t="n"/>
      <c r="N26" s="58" t="n"/>
      <c r="O26" s="58" t="n"/>
      <c r="P26" s="58" t="n"/>
      <c r="Q26" s="58" t="n"/>
      <c r="R26" s="58" t="n"/>
      <c r="S26" s="58" t="n"/>
      <c r="T26" s="58" t="n"/>
      <c r="U26" s="59">
        <f>IF($F26="SUM",IF(COUNT($I26:$T26)=0,"",SUM($I26:$T26)),IF($F26="AVG",IFERROR(AVERAGE($I26:$T26),""),IF($F26="LAST",IFERROR(LOOKUP(2,1/($I26:$T26&lt;&gt;""),$I26:$T26),""),"")))</f>
        <v/>
      </c>
      <c r="V26" s="23">
        <f>IF($G26="","",IF($U26="","",IF($G26=0,IF($U26&lt;=0,1,0),IF($E26="↓",IFERROR($G26/$U26,0),IFERROR($U26/$G26,0)))))</f>
        <v/>
      </c>
      <c r="W26" s="17">
        <f>IF($V26="","—",IF($V26&gt;=1,"✅ محقق",IF($V26&gt;=0.85,"🟡 قريب","🔴 تحت الهدف")))</f>
        <v/>
      </c>
      <c r="X26" s="54" t="inlineStr">
        <is>
          <t>الابتكار</t>
        </is>
      </c>
      <c r="Y26" s="22" t="inlineStr">
        <is>
          <t>تطوير التصاميم والهوية</t>
        </is>
      </c>
      <c r="Z26" s="56" t="n"/>
      <c r="AA26" s="21" t="inlineStr">
        <is>
          <t>🟣 لاحق</t>
        </is>
      </c>
      <c r="AB26" s="56" t="n">
        <v>0.0278</v>
      </c>
      <c r="AC26" s="23">
        <f>IF($V26="","",$AB26*MIN($V26,1))</f>
        <v/>
      </c>
    </row>
    <row r="27" ht="26" customHeight="1">
      <c r="A27" s="17" t="n">
        <v>24</v>
      </c>
      <c r="B27" s="22" t="inlineStr">
        <is>
          <t>التوسع الإقليمي</t>
        </is>
      </c>
      <c r="C27" s="22" t="inlineStr">
        <is>
          <t>نسبة العقود التي تغطي المناطق الـ13</t>
        </is>
      </c>
      <c r="D27" s="49" t="inlineStr">
        <is>
          <t>%</t>
        </is>
      </c>
      <c r="E27" s="49" t="inlineStr">
        <is>
          <t>↑</t>
        </is>
      </c>
      <c r="F27" s="49" t="inlineStr">
        <is>
          <t>LAST</t>
        </is>
      </c>
      <c r="G27" s="57" t="n">
        <v>1</v>
      </c>
      <c r="H27" s="51" t="inlineStr">
        <is>
          <t>100%</t>
        </is>
      </c>
      <c r="I27" s="58" t="n"/>
      <c r="J27" s="58" t="n"/>
      <c r="K27" s="58" t="n"/>
      <c r="L27" s="58" t="n"/>
      <c r="M27" s="58" t="n"/>
      <c r="N27" s="58" t="n"/>
      <c r="O27" s="58" t="n"/>
      <c r="P27" s="58" t="n"/>
      <c r="Q27" s="58" t="n"/>
      <c r="R27" s="58" t="n"/>
      <c r="S27" s="58" t="n"/>
      <c r="T27" s="58" t="n"/>
      <c r="U27" s="59">
        <f>IF($F27="SUM",IF(COUNT($I27:$T27)=0,"",SUM($I27:$T27)),IF($F27="AVG",IFERROR(AVERAGE($I27:$T27),""),IF($F27="LAST",IFERROR(LOOKUP(2,1/($I27:$T27&lt;&gt;""),$I27:$T27),""),"")))</f>
        <v/>
      </c>
      <c r="V27" s="23">
        <f>IF($G27="","",IF($U27="","",IF($G27=0,IF($U27&lt;=0,1,0),IF($E27="↓",IFERROR($G27/$U27,0),IFERROR($U27/$G27,0)))))</f>
        <v/>
      </c>
      <c r="W27" s="17">
        <f>IF($V27="","—",IF($V27&gt;=1,"✅ محقق",IF($V27&gt;=0.85,"🟡 قريب","🔴 تحت الهدف")))</f>
        <v/>
      </c>
      <c r="X27" s="54" t="inlineStr">
        <is>
          <t>النمو</t>
        </is>
      </c>
      <c r="Y27" s="22" t="inlineStr">
        <is>
          <t>التوسع في المواقع</t>
        </is>
      </c>
      <c r="Z27" s="56" t="n"/>
      <c r="AA27" s="21" t="inlineStr">
        <is>
          <t>🟣 لاحق</t>
        </is>
      </c>
      <c r="AB27" s="56" t="n">
        <v>0.0278</v>
      </c>
      <c r="AC27" s="23">
        <f>IF($V27="","",$AB27*MIN($V27,1))</f>
        <v/>
      </c>
    </row>
    <row r="28" ht="26" customHeight="1">
      <c r="A28" s="17" t="n">
        <v>25</v>
      </c>
      <c r="B28" s="22" t="inlineStr">
        <is>
          <t>التوسع الإقليمي</t>
        </is>
      </c>
      <c r="C28" s="22" t="inlineStr">
        <is>
          <t>نسبة العقود في الـ12 مدينة الرئيسية</t>
        </is>
      </c>
      <c r="D28" s="49" t="inlineStr">
        <is>
          <t>%</t>
        </is>
      </c>
      <c r="E28" s="49" t="inlineStr">
        <is>
          <t>↓</t>
        </is>
      </c>
      <c r="F28" s="49" t="inlineStr">
        <is>
          <t>LAST</t>
        </is>
      </c>
      <c r="G28" s="57" t="n">
        <v>0.4</v>
      </c>
      <c r="H28" s="51" t="inlineStr">
        <is>
          <t>&lt; 40%</t>
        </is>
      </c>
      <c r="I28" s="58" t="n"/>
      <c r="J28" s="58" t="n"/>
      <c r="K28" s="58" t="n"/>
      <c r="L28" s="58" t="n"/>
      <c r="M28" s="58" t="n"/>
      <c r="N28" s="58" t="n"/>
      <c r="O28" s="58" t="n"/>
      <c r="P28" s="58" t="n"/>
      <c r="Q28" s="58" t="n"/>
      <c r="R28" s="58" t="n"/>
      <c r="S28" s="58" t="n"/>
      <c r="T28" s="58" t="n"/>
      <c r="U28" s="59">
        <f>IF($F28="SUM",IF(COUNT($I28:$T28)=0,"",SUM($I28:$T28)),IF($F28="AVG",IFERROR(AVERAGE($I28:$T28),""),IF($F28="LAST",IFERROR(LOOKUP(2,1/($I28:$T28&lt;&gt;""),$I28:$T28),""),"")))</f>
        <v/>
      </c>
      <c r="V28" s="23">
        <f>IF($G28="","",IF($U28="","",IF($G28=0,IF($U28&lt;=0,1,0),IF($E28="↓",IFERROR($G28/$U28,0),IFERROR($U28/$G28,0)))))</f>
        <v/>
      </c>
      <c r="W28" s="17">
        <f>IF($V28="","—",IF($V28&gt;=1,"✅ محقق",IF($V28&gt;=0.85,"🟡 قريب","🔴 تحت الهدف")))</f>
        <v/>
      </c>
      <c r="X28" s="54" t="inlineStr">
        <is>
          <t>النمو</t>
        </is>
      </c>
      <c r="Y28" s="22" t="inlineStr">
        <is>
          <t>التوسع في المواقع</t>
        </is>
      </c>
      <c r="Z28" s="56" t="n"/>
      <c r="AA28" s="21" t="inlineStr">
        <is>
          <t>🟣 لاحق</t>
        </is>
      </c>
      <c r="AB28" s="56" t="n">
        <v>0.0278</v>
      </c>
      <c r="AC28" s="23">
        <f>IF($V28="","",$AB28*MIN($V28,1))</f>
        <v/>
      </c>
    </row>
    <row r="29" ht="26" customHeight="1">
      <c r="A29" s="17" t="n">
        <v>26</v>
      </c>
      <c r="B29" s="22" t="inlineStr">
        <is>
          <t>التوسع الإقليمي</t>
        </is>
      </c>
      <c r="C29" s="22" t="inlineStr">
        <is>
          <t>نسبة العقود خارج المدن الرئيسية</t>
        </is>
      </c>
      <c r="D29" s="49" t="inlineStr">
        <is>
          <t>%</t>
        </is>
      </c>
      <c r="E29" s="49" t="inlineStr">
        <is>
          <t>↑</t>
        </is>
      </c>
      <c r="F29" s="49" t="inlineStr">
        <is>
          <t>LAST</t>
        </is>
      </c>
      <c r="G29" s="57" t="n">
        <v>0.6</v>
      </c>
      <c r="H29" s="51" t="inlineStr">
        <is>
          <t>&gt; 60%</t>
        </is>
      </c>
      <c r="I29" s="58" t="n"/>
      <c r="J29" s="58" t="n"/>
      <c r="K29" s="58" t="n"/>
      <c r="L29" s="58" t="n"/>
      <c r="M29" s="58" t="n"/>
      <c r="N29" s="58" t="n"/>
      <c r="O29" s="58" t="n"/>
      <c r="P29" s="58" t="n"/>
      <c r="Q29" s="58" t="n"/>
      <c r="R29" s="58" t="n"/>
      <c r="S29" s="58" t="n"/>
      <c r="T29" s="58" t="n"/>
      <c r="U29" s="59">
        <f>IF($F29="SUM",IF(COUNT($I29:$T29)=0,"",SUM($I29:$T29)),IF($F29="AVG",IFERROR(AVERAGE($I29:$T29),""),IF($F29="LAST",IFERROR(LOOKUP(2,1/($I29:$T29&lt;&gt;""),$I29:$T29),""),"")))</f>
        <v/>
      </c>
      <c r="V29" s="23">
        <f>IF($G29="","",IF($U29="","",IF($G29=0,IF($U29&lt;=0,1,0),IF($E29="↓",IFERROR($G29/$U29,0),IFERROR($U29/$G29,0)))))</f>
        <v/>
      </c>
      <c r="W29" s="17">
        <f>IF($V29="","—",IF($V29&gt;=1,"✅ محقق",IF($V29&gt;=0.85,"🟡 قريب","🔴 تحت الهدف")))</f>
        <v/>
      </c>
      <c r="X29" s="54" t="inlineStr">
        <is>
          <t>النمو</t>
        </is>
      </c>
      <c r="Y29" s="22" t="inlineStr">
        <is>
          <t>التوسع في المواقع</t>
        </is>
      </c>
      <c r="Z29" s="56" t="n"/>
      <c r="AA29" s="21" t="inlineStr">
        <is>
          <t>🟣 لاحق</t>
        </is>
      </c>
      <c r="AB29" s="56" t="n">
        <v>0.0278</v>
      </c>
      <c r="AC29" s="23">
        <f>IF($V29="","",$AB29*MIN($V29,1))</f>
        <v/>
      </c>
    </row>
    <row r="30" ht="26" customHeight="1">
      <c r="A30" s="17" t="n">
        <v>27</v>
      </c>
      <c r="B30" s="22" t="inlineStr">
        <is>
          <t>التوسع الإقليمي</t>
        </is>
      </c>
      <c r="C30" s="22" t="inlineStr">
        <is>
          <t>نسبة العقود على الطرق الإقليمية</t>
        </is>
      </c>
      <c r="D30" s="49" t="inlineStr">
        <is>
          <t>%</t>
        </is>
      </c>
      <c r="E30" s="49" t="inlineStr">
        <is>
          <t>↑</t>
        </is>
      </c>
      <c r="F30" s="49" t="inlineStr">
        <is>
          <t>LAST</t>
        </is>
      </c>
      <c r="G30" s="57" t="n">
        <v>0.25</v>
      </c>
      <c r="H30" s="51" t="inlineStr">
        <is>
          <t>&gt; 25%</t>
        </is>
      </c>
      <c r="I30" s="58" t="n"/>
      <c r="J30" s="58" t="n"/>
      <c r="K30" s="58" t="n"/>
      <c r="L30" s="58" t="n"/>
      <c r="M30" s="58" t="n"/>
      <c r="N30" s="58" t="n"/>
      <c r="O30" s="58" t="n"/>
      <c r="P30" s="58" t="n"/>
      <c r="Q30" s="58" t="n"/>
      <c r="R30" s="58" t="n"/>
      <c r="S30" s="58" t="n"/>
      <c r="T30" s="58" t="n"/>
      <c r="U30" s="59">
        <f>IF($F30="SUM",IF(COUNT($I30:$T30)=0,"",SUM($I30:$T30)),IF($F30="AVG",IFERROR(AVERAGE($I30:$T30),""),IF($F30="LAST",IFERROR(LOOKUP(2,1/($I30:$T30&lt;&gt;""),$I30:$T30),""),"")))</f>
        <v/>
      </c>
      <c r="V30" s="23">
        <f>IF($G30="","",IF($U30="","",IF($G30=0,IF($U30&lt;=0,1,0),IF($E30="↓",IFERROR($G30/$U30,0),IFERROR($U30/$G30,0)))))</f>
        <v/>
      </c>
      <c r="W30" s="17">
        <f>IF($V30="","—",IF($V30&gt;=1,"✅ محقق",IF($V30&gt;=0.85,"🟡 قريب","🔴 تحت الهدف")))</f>
        <v/>
      </c>
      <c r="X30" s="54" t="inlineStr">
        <is>
          <t>النمو</t>
        </is>
      </c>
      <c r="Y30" s="22" t="inlineStr">
        <is>
          <t>التوسع في المواقع</t>
        </is>
      </c>
      <c r="Z30" s="56" t="n"/>
      <c r="AA30" s="21" t="inlineStr">
        <is>
          <t>🟣 لاحق</t>
        </is>
      </c>
      <c r="AB30" s="56" t="n">
        <v>0.0278</v>
      </c>
      <c r="AC30" s="23">
        <f>IF($V30="","",$AB30*MIN($V30,1))</f>
        <v/>
      </c>
    </row>
    <row r="31" ht="26" customHeight="1">
      <c r="A31" s="17" t="n">
        <v>28</v>
      </c>
      <c r="B31" s="22" t="inlineStr">
        <is>
          <t>تجربة العملاء والشركاء</t>
        </is>
      </c>
      <c r="C31" s="22" t="inlineStr">
        <is>
          <t>متوسط تقييم المحطات على خرائط قوقل</t>
        </is>
      </c>
      <c r="D31" s="49" t="inlineStr">
        <is>
          <t>نجمة/5</t>
        </is>
      </c>
      <c r="E31" s="49" t="inlineStr">
        <is>
          <t>↑</t>
        </is>
      </c>
      <c r="F31" s="49" t="inlineStr">
        <is>
          <t>AVG</t>
        </is>
      </c>
      <c r="G31" s="63" t="n">
        <v>4.7</v>
      </c>
      <c r="H31" s="51" t="inlineStr">
        <is>
          <t>≥ 4.7 نجمة</t>
        </is>
      </c>
      <c r="I31" s="64" t="n"/>
      <c r="J31" s="64" t="n"/>
      <c r="K31" s="64" t="n"/>
      <c r="L31" s="64" t="n"/>
      <c r="M31" s="64" t="n"/>
      <c r="N31" s="64" t="n"/>
      <c r="O31" s="64" t="n"/>
      <c r="P31" s="64" t="n"/>
      <c r="Q31" s="64" t="n"/>
      <c r="R31" s="64" t="n"/>
      <c r="S31" s="64" t="n"/>
      <c r="T31" s="64" t="n"/>
      <c r="U31" s="65">
        <f>IF($F31="SUM",IF(COUNT($I31:$T31)=0,"",SUM($I31:$T31)),IF($F31="AVG",IFERROR(AVERAGE($I31:$T31),""),IF($F31="LAST",IFERROR(LOOKUP(2,1/($I31:$T31&lt;&gt;""),$I31:$T31),""),"")))</f>
        <v/>
      </c>
      <c r="V31" s="23">
        <f>IF($G31="","",IF($U31="","",IF($G31=0,IF($U31&lt;=0,1,0),IF($E31="↓",IFERROR($G31/$U31,0),IFERROR($U31/$G31,0)))))</f>
        <v/>
      </c>
      <c r="W31" s="17">
        <f>IF($V31="","—",IF($V31&gt;=1,"✅ محقق",IF($V31&gt;=0.85,"🟡 قريب","🔴 تحت الهدف")))</f>
        <v/>
      </c>
      <c r="X31" s="54" t="inlineStr">
        <is>
          <t>الاستدامة</t>
        </is>
      </c>
      <c r="Y31" s="22" t="inlineStr">
        <is>
          <t>تعزيز تجربة العملاء</t>
        </is>
      </c>
      <c r="Z31" s="66" t="n"/>
      <c r="AA31" s="21" t="inlineStr">
        <is>
          <t>🟣 لاحق</t>
        </is>
      </c>
      <c r="AB31" s="56" t="n">
        <v>0.0278</v>
      </c>
      <c r="AC31" s="23">
        <f>IF($V31="","",$AB31*MIN($V31,1))</f>
        <v/>
      </c>
    </row>
    <row r="32" ht="26" customHeight="1">
      <c r="A32" s="17" t="n">
        <v>29</v>
      </c>
      <c r="B32" s="22" t="inlineStr">
        <is>
          <t>تجربة العملاء والشركاء</t>
        </is>
      </c>
      <c r="C32" s="22" t="inlineStr">
        <is>
          <t>معدل رضا شركاء الامتياز (CSAT)</t>
        </is>
      </c>
      <c r="D32" s="49" t="inlineStr">
        <is>
          <t>%</t>
        </is>
      </c>
      <c r="E32" s="49" t="inlineStr">
        <is>
          <t>↑</t>
        </is>
      </c>
      <c r="F32" s="49" t="inlineStr">
        <is>
          <t>AVG</t>
        </is>
      </c>
      <c r="G32" s="57" t="n">
        <v>0.9</v>
      </c>
      <c r="H32" s="51" t="inlineStr">
        <is>
          <t>90%+</t>
        </is>
      </c>
      <c r="I32" s="58" t="n"/>
      <c r="J32" s="58" t="n"/>
      <c r="K32" s="58" t="n"/>
      <c r="L32" s="58" t="n"/>
      <c r="M32" s="58" t="n"/>
      <c r="N32" s="58" t="n"/>
      <c r="O32" s="58" t="n"/>
      <c r="P32" s="58" t="n"/>
      <c r="Q32" s="58" t="n"/>
      <c r="R32" s="58" t="n"/>
      <c r="S32" s="58" t="n"/>
      <c r="T32" s="58" t="n"/>
      <c r="U32" s="59">
        <f>IF($F32="SUM",IF(COUNT($I32:$T32)=0,"",SUM($I32:$T32)),IF($F32="AVG",IFERROR(AVERAGE($I32:$T32),""),IF($F32="LAST",IFERROR(LOOKUP(2,1/($I32:$T32&lt;&gt;""),$I32:$T32),""),"")))</f>
        <v/>
      </c>
      <c r="V32" s="23">
        <f>IF($G32="","",IF($U32="","",IF($G32=0,IF($U32&lt;=0,1,0),IF($E32="↓",IFERROR($G32/$U32,0),IFERROR($U32/$G32,0)))))</f>
        <v/>
      </c>
      <c r="W32" s="17">
        <f>IF($V32="","—",IF($V32&gt;=1,"✅ محقق",IF($V32&gt;=0.85,"🟡 قريب","🔴 تحت الهدف")))</f>
        <v/>
      </c>
      <c r="X32" s="54" t="inlineStr">
        <is>
          <t>الاستدامة</t>
        </is>
      </c>
      <c r="Y32" s="22" t="inlineStr">
        <is>
          <t>تعزيز تجربة العملاء</t>
        </is>
      </c>
      <c r="Z32" s="56" t="n"/>
      <c r="AA32" s="21" t="inlineStr">
        <is>
          <t>🟣 لاحق</t>
        </is>
      </c>
      <c r="AB32" s="56" t="n">
        <v>0.0278</v>
      </c>
      <c r="AC32" s="23">
        <f>IF($V32="","",$AB32*MIN($V32,1))</f>
        <v/>
      </c>
    </row>
    <row r="33" ht="26" customHeight="1">
      <c r="A33" s="17" t="n">
        <v>30</v>
      </c>
      <c r="B33" s="22" t="inlineStr">
        <is>
          <t>تجربة العملاء والشركاء</t>
        </is>
      </c>
      <c r="C33" s="22" t="inlineStr">
        <is>
          <t>نسبة حل الشكاوى خلال المدة المحددة</t>
        </is>
      </c>
      <c r="D33" s="49" t="inlineStr">
        <is>
          <t>%</t>
        </is>
      </c>
      <c r="E33" s="49" t="inlineStr">
        <is>
          <t>↑</t>
        </is>
      </c>
      <c r="F33" s="49" t="inlineStr">
        <is>
          <t>AVG</t>
        </is>
      </c>
      <c r="G33" s="57" t="n">
        <v>0.95</v>
      </c>
      <c r="H33" s="51" t="inlineStr">
        <is>
          <t>95%+</t>
        </is>
      </c>
      <c r="I33" s="58" t="n"/>
      <c r="J33" s="58" t="n"/>
      <c r="K33" s="58" t="n"/>
      <c r="L33" s="58" t="n"/>
      <c r="M33" s="58" t="n"/>
      <c r="N33" s="58" t="n"/>
      <c r="O33" s="58" t="n"/>
      <c r="P33" s="58" t="n"/>
      <c r="Q33" s="58" t="n"/>
      <c r="R33" s="58" t="n"/>
      <c r="S33" s="58" t="n"/>
      <c r="T33" s="58" t="n"/>
      <c r="U33" s="59">
        <f>IF($F33="SUM",IF(COUNT($I33:$T33)=0,"",SUM($I33:$T33)),IF($F33="AVG",IFERROR(AVERAGE($I33:$T33),""),IF($F33="LAST",IFERROR(LOOKUP(2,1/($I33:$T33&lt;&gt;""),$I33:$T33),""),"")))</f>
        <v/>
      </c>
      <c r="V33" s="23">
        <f>IF($G33="","",IF($U33="","",IF($G33=0,IF($U33&lt;=0,1,0),IF($E33="↓",IFERROR($G33/$U33,0),IFERROR($U33/$G33,0)))))</f>
        <v/>
      </c>
      <c r="W33" s="17">
        <f>IF($V33="","—",IF($V33&gt;=1,"✅ محقق",IF($V33&gt;=0.85,"🟡 قريب","🔴 تحت الهدف")))</f>
        <v/>
      </c>
      <c r="X33" s="54" t="inlineStr">
        <is>
          <t>الاستدامة</t>
        </is>
      </c>
      <c r="Y33" s="22" t="inlineStr">
        <is>
          <t>تعزيز تجربة العملاء</t>
        </is>
      </c>
      <c r="Z33" s="56" t="n"/>
      <c r="AA33" s="21" t="inlineStr">
        <is>
          <t>🟣 لاحق</t>
        </is>
      </c>
      <c r="AB33" s="56" t="n">
        <v>0.0278</v>
      </c>
      <c r="AC33" s="23">
        <f>IF($V33="","",$AB33*MIN($V33,1))</f>
        <v/>
      </c>
    </row>
    <row r="34" ht="26" customHeight="1">
      <c r="A34" s="17" t="n">
        <v>31</v>
      </c>
      <c r="B34" s="22" t="inlineStr">
        <is>
          <t>تجربة العملاء والشركاء</t>
        </is>
      </c>
      <c r="C34" s="22" t="inlineStr">
        <is>
          <t>نسبة انخفاض الشكاوى التشغيلية والإدارية</t>
        </is>
      </c>
      <c r="D34" s="49" t="inlineStr">
        <is>
          <t>%</t>
        </is>
      </c>
      <c r="E34" s="49" t="inlineStr">
        <is>
          <t>↑</t>
        </is>
      </c>
      <c r="F34" s="49" t="inlineStr">
        <is>
          <t>AVG</t>
        </is>
      </c>
      <c r="G34" s="49" t="inlineStr"/>
      <c r="H34" s="51" t="inlineStr">
        <is>
          <t>-30%</t>
        </is>
      </c>
      <c r="I34" s="58" t="n"/>
      <c r="J34" s="58" t="n"/>
      <c r="K34" s="58" t="n"/>
      <c r="L34" s="58" t="n"/>
      <c r="M34" s="58" t="n"/>
      <c r="N34" s="58" t="n"/>
      <c r="O34" s="58" t="n"/>
      <c r="P34" s="58" t="n"/>
      <c r="Q34" s="58" t="n"/>
      <c r="R34" s="58" t="n"/>
      <c r="S34" s="58" t="n"/>
      <c r="T34" s="58" t="n"/>
      <c r="U34" s="59">
        <f>IF($F34="SUM",IF(COUNT($I34:$T34)=0,"",SUM($I34:$T34)),IF($F34="AVG",IFERROR(AVERAGE($I34:$T34),""),IF($F34="LAST",IFERROR(LOOKUP(2,1/($I34:$T34&lt;&gt;""),$I34:$T34),""),"")))</f>
        <v/>
      </c>
      <c r="V34" s="23">
        <f>IF($G34="","",IF($U34="","",IF($G34=0,IF($U34&lt;=0,1,0),IF($E34="↓",IFERROR($G34/$U34,0),IFERROR($U34/$G34,0)))))</f>
        <v/>
      </c>
      <c r="W34" s="17">
        <f>IF($V34="","—",IF($V34&gt;=1,"✅ محقق",IF($V34&gt;=0.85,"🟡 قريب","🔴 تحت الهدف")))</f>
        <v/>
      </c>
      <c r="X34" s="54" t="inlineStr">
        <is>
          <t>الاستدامة</t>
        </is>
      </c>
      <c r="Y34" s="22" t="inlineStr">
        <is>
          <t>تعزيز تجربة العملاء</t>
        </is>
      </c>
      <c r="Z34" s="56" t="n"/>
      <c r="AA34" s="21" t="inlineStr">
        <is>
          <t>🟣 لاحق</t>
        </is>
      </c>
      <c r="AB34" s="56" t="n">
        <v>0.0278</v>
      </c>
      <c r="AC34" s="23">
        <f>IF($V34="","",$AB34*MIN($V34,1))</f>
        <v/>
      </c>
    </row>
    <row r="35" ht="26" customHeight="1">
      <c r="A35" s="17" t="n">
        <v>32</v>
      </c>
      <c r="B35" s="22" t="inlineStr">
        <is>
          <t>استدامة الشراكة والامتثال</t>
        </is>
      </c>
      <c r="C35" s="22" t="inlineStr">
        <is>
          <t>نسبة استدامة أصحاب الامتياز (Retention)</t>
        </is>
      </c>
      <c r="D35" s="49" t="inlineStr">
        <is>
          <t>%</t>
        </is>
      </c>
      <c r="E35" s="49" t="inlineStr">
        <is>
          <t>↑</t>
        </is>
      </c>
      <c r="F35" s="49" t="inlineStr">
        <is>
          <t>LAST</t>
        </is>
      </c>
      <c r="G35" s="57" t="n">
        <v>0.9</v>
      </c>
      <c r="H35" s="51" t="inlineStr">
        <is>
          <t>90%</t>
        </is>
      </c>
      <c r="I35" s="58" t="n"/>
      <c r="J35" s="58" t="n"/>
      <c r="K35" s="58" t="n"/>
      <c r="L35" s="58" t="n"/>
      <c r="M35" s="58" t="n"/>
      <c r="N35" s="58" t="n"/>
      <c r="O35" s="58" t="n"/>
      <c r="P35" s="58" t="n"/>
      <c r="Q35" s="58" t="n"/>
      <c r="R35" s="58" t="n"/>
      <c r="S35" s="58" t="n"/>
      <c r="T35" s="58" t="n"/>
      <c r="U35" s="59">
        <f>IF($F35="SUM",IF(COUNT($I35:$T35)=0,"",SUM($I35:$T35)),IF($F35="AVG",IFERROR(AVERAGE($I35:$T35),""),IF($F35="LAST",IFERROR(LOOKUP(2,1/($I35:$T35&lt;&gt;""),$I35:$T35),""),"")))</f>
        <v/>
      </c>
      <c r="V35" s="23">
        <f>IF($G35="","",IF($U35="","",IF($G35=0,IF($U35&lt;=0,1,0),IF($E35="↓",IFERROR($G35/$U35,0),IFERROR($U35/$G35,0)))))</f>
        <v/>
      </c>
      <c r="W35" s="17">
        <f>IF($V35="","—",IF($V35&gt;=1,"✅ محقق",IF($V35&gt;=0.85,"🟡 قريب","🔴 تحت الهدف")))</f>
        <v/>
      </c>
      <c r="X35" s="54" t="inlineStr">
        <is>
          <t>الاستدامة</t>
        </is>
      </c>
      <c r="Y35" s="22" t="inlineStr">
        <is>
          <t>تعزيز تجربة العملاء</t>
        </is>
      </c>
      <c r="Z35" s="56" t="n"/>
      <c r="AA35" s="21" t="inlineStr">
        <is>
          <t>🟣 لاحق</t>
        </is>
      </c>
      <c r="AB35" s="56" t="n">
        <v>0.0278</v>
      </c>
      <c r="AC35" s="23">
        <f>IF($V35="","",$AB35*MIN($V35,1))</f>
        <v/>
      </c>
    </row>
    <row r="36" ht="26" customHeight="1">
      <c r="A36" s="17" t="n">
        <v>33</v>
      </c>
      <c r="B36" s="22" t="inlineStr">
        <is>
          <t>استدامة الشراكة والامتثال</t>
        </is>
      </c>
      <c r="C36" s="22" t="inlineStr">
        <is>
          <t>نسبة زيادة عدد أصحاب الامتياز</t>
        </is>
      </c>
      <c r="D36" s="49" t="inlineStr">
        <is>
          <t>%</t>
        </is>
      </c>
      <c r="E36" s="49" t="inlineStr">
        <is>
          <t>↑</t>
        </is>
      </c>
      <c r="F36" s="49" t="inlineStr">
        <is>
          <t>LAST</t>
        </is>
      </c>
      <c r="G36" s="57" t="n">
        <v>1</v>
      </c>
      <c r="H36" s="51" t="inlineStr">
        <is>
          <t>100% نمو</t>
        </is>
      </c>
      <c r="I36" s="58" t="n"/>
      <c r="J36" s="58" t="n"/>
      <c r="K36" s="58" t="n"/>
      <c r="L36" s="58" t="n"/>
      <c r="M36" s="58" t="n"/>
      <c r="N36" s="58" t="n"/>
      <c r="O36" s="58" t="n"/>
      <c r="P36" s="58" t="n"/>
      <c r="Q36" s="58" t="n"/>
      <c r="R36" s="58" t="n"/>
      <c r="S36" s="58" t="n"/>
      <c r="T36" s="58" t="n"/>
      <c r="U36" s="59">
        <f>IF($F36="SUM",IF(COUNT($I36:$T36)=0,"",SUM($I36:$T36)),IF($F36="AVG",IFERROR(AVERAGE($I36:$T36),""),IF($F36="LAST",IFERROR(LOOKUP(2,1/($I36:$T36&lt;&gt;""),$I36:$T36),""),"")))</f>
        <v/>
      </c>
      <c r="V36" s="23">
        <f>IF($G36="","",IF($U36="","",IF($G36=0,IF($U36&lt;=0,1,0),IF($E36="↓",IFERROR($G36/$U36,0),IFERROR($U36/$G36,0)))))</f>
        <v/>
      </c>
      <c r="W36" s="17">
        <f>IF($V36="","—",IF($V36&gt;=1,"✅ محقق",IF($V36&gt;=0.85,"🟡 قريب","🔴 تحت الهدف")))</f>
        <v/>
      </c>
      <c r="X36" s="54" t="inlineStr">
        <is>
          <t>الاستدامة</t>
        </is>
      </c>
      <c r="Y36" s="22" t="inlineStr">
        <is>
          <t>تعزيز تجربة العملاء</t>
        </is>
      </c>
      <c r="Z36" s="56" t="n"/>
      <c r="AA36" s="21" t="inlineStr">
        <is>
          <t>🔵 قائد</t>
        </is>
      </c>
      <c r="AB36" s="56" t="n">
        <v>0.0278</v>
      </c>
      <c r="AC36" s="23">
        <f>IF($V36="","",$AB36*MIN($V36,1))</f>
        <v/>
      </c>
    </row>
    <row r="37" ht="26" customHeight="1">
      <c r="A37" s="17" t="n">
        <v>34</v>
      </c>
      <c r="B37" s="22" t="inlineStr">
        <is>
          <t>استدامة الشراكة والامتثال</t>
        </is>
      </c>
      <c r="C37" s="22" t="inlineStr">
        <is>
          <t>نسبة اكتمال المستندات النظامية قبل التوقيع</t>
        </is>
      </c>
      <c r="D37" s="49" t="inlineStr">
        <is>
          <t>%</t>
        </is>
      </c>
      <c r="E37" s="49" t="inlineStr">
        <is>
          <t>↑</t>
        </is>
      </c>
      <c r="F37" s="49" t="inlineStr">
        <is>
          <t>AVG</t>
        </is>
      </c>
      <c r="G37" s="57" t="n">
        <v>1</v>
      </c>
      <c r="H37" s="51" t="inlineStr">
        <is>
          <t>100%</t>
        </is>
      </c>
      <c r="I37" s="58" t="n"/>
      <c r="J37" s="58" t="n"/>
      <c r="K37" s="58" t="n"/>
      <c r="L37" s="58" t="n"/>
      <c r="M37" s="58" t="n"/>
      <c r="N37" s="58" t="n"/>
      <c r="O37" s="58" t="n"/>
      <c r="P37" s="58" t="n"/>
      <c r="Q37" s="58" t="n"/>
      <c r="R37" s="58" t="n"/>
      <c r="S37" s="58" t="n"/>
      <c r="T37" s="58" t="n"/>
      <c r="U37" s="59">
        <f>IF($F37="SUM",IF(COUNT($I37:$T37)=0,"",SUM($I37:$T37)),IF($F37="AVG",IFERROR(AVERAGE($I37:$T37),""),IF($F37="LAST",IFERROR(LOOKUP(2,1/($I37:$T37&lt;&gt;""),$I37:$T37),""),"")))</f>
        <v/>
      </c>
      <c r="V37" s="23">
        <f>IF($G37="","",IF($U37="","",IF($G37=0,IF($U37&lt;=0,1,0),IF($E37="↓",IFERROR($G37/$U37,0),IFERROR($U37/$G37,0)))))</f>
        <v/>
      </c>
      <c r="W37" s="17">
        <f>IF($V37="","—",IF($V37&gt;=1,"✅ محقق",IF($V37&gt;=0.85,"🟡 قريب","🔴 تحت الهدف")))</f>
        <v/>
      </c>
      <c r="X37" s="54" t="inlineStr">
        <is>
          <t>الاستدامة</t>
        </is>
      </c>
      <c r="Y37" s="22" t="inlineStr">
        <is>
          <t>جودة التشغيل</t>
        </is>
      </c>
      <c r="Z37" s="56" t="n"/>
      <c r="AA37" s="21" t="inlineStr">
        <is>
          <t>🟣 لاحق</t>
        </is>
      </c>
      <c r="AB37" s="56" t="n">
        <v>0.0278</v>
      </c>
      <c r="AC37" s="23">
        <f>IF($V37="","",$AB37*MIN($V37,1))</f>
        <v/>
      </c>
    </row>
    <row r="38" ht="26" customHeight="1">
      <c r="A38" s="17" t="n">
        <v>35</v>
      </c>
      <c r="B38" s="22" t="inlineStr">
        <is>
          <t>استدامة الشراكة والامتثال</t>
        </is>
      </c>
      <c r="C38" s="22" t="inlineStr">
        <is>
          <t>متوسط مدة إغلاق عقد الامتياز</t>
        </is>
      </c>
      <c r="D38" s="49" t="inlineStr">
        <is>
          <t>أسبوع</t>
        </is>
      </c>
      <c r="E38" s="49" t="inlineStr">
        <is>
          <t>↓</t>
        </is>
      </c>
      <c r="F38" s="49" t="inlineStr">
        <is>
          <t>AVG</t>
        </is>
      </c>
      <c r="G38" s="63" t="n">
        <v>1</v>
      </c>
      <c r="H38" s="51" t="inlineStr">
        <is>
          <t>≤ أسبوع</t>
        </is>
      </c>
      <c r="I38" s="64" t="n"/>
      <c r="J38" s="64" t="n"/>
      <c r="K38" s="64" t="n"/>
      <c r="L38" s="64" t="n"/>
      <c r="M38" s="64" t="n"/>
      <c r="N38" s="64" t="n"/>
      <c r="O38" s="64" t="n"/>
      <c r="P38" s="64" t="n"/>
      <c r="Q38" s="64" t="n"/>
      <c r="R38" s="64" t="n"/>
      <c r="S38" s="64" t="n"/>
      <c r="T38" s="64" t="n"/>
      <c r="U38" s="65">
        <f>IF($F38="SUM",IF(COUNT($I38:$T38)=0,"",SUM($I38:$T38)),IF($F38="AVG",IFERROR(AVERAGE($I38:$T38),""),IF($F38="LAST",IFERROR(LOOKUP(2,1/($I38:$T38&lt;&gt;""),$I38:$T38),""),"")))</f>
        <v/>
      </c>
      <c r="V38" s="23">
        <f>IF($G38="","",IF($U38="","",IF($G38=0,IF($U38&lt;=0,1,0),IF($E38="↓",IFERROR($G38/$U38,0),IFERROR($U38/$G38,0)))))</f>
        <v/>
      </c>
      <c r="W38" s="17">
        <f>IF($V38="","—",IF($V38&gt;=1,"✅ محقق",IF($V38&gt;=0.85,"🟡 قريب","🔴 تحت الهدف")))</f>
        <v/>
      </c>
      <c r="X38" s="54" t="inlineStr">
        <is>
          <t>النمو</t>
        </is>
      </c>
      <c r="Y38" s="22" t="inlineStr">
        <is>
          <t>الامتياز التجاري</t>
        </is>
      </c>
      <c r="Z38" s="66" t="n"/>
      <c r="AA38" s="21" t="inlineStr">
        <is>
          <t>🟣 لاحق</t>
        </is>
      </c>
      <c r="AB38" s="56" t="n">
        <v>0.0278</v>
      </c>
      <c r="AC38" s="23">
        <f>IF($V38="","",$AB38*MIN($V38,1))</f>
        <v/>
      </c>
    </row>
    <row r="39" ht="26" customHeight="1">
      <c r="A39" s="17" t="n">
        <v>36</v>
      </c>
      <c r="B39" s="22" t="inlineStr">
        <is>
          <t>استدامة الشراكة والامتثال</t>
        </is>
      </c>
      <c r="C39" s="22" t="inlineStr">
        <is>
          <t>نسبة إنجاز التقارير الدورية في موعدها</t>
        </is>
      </c>
      <c r="D39" s="49" t="inlineStr">
        <is>
          <t>%</t>
        </is>
      </c>
      <c r="E39" s="49" t="inlineStr">
        <is>
          <t>↑</t>
        </is>
      </c>
      <c r="F39" s="49" t="inlineStr">
        <is>
          <t>AVG</t>
        </is>
      </c>
      <c r="G39" s="57" t="n">
        <v>1</v>
      </c>
      <c r="H39" s="51" t="inlineStr">
        <is>
          <t>100%</t>
        </is>
      </c>
      <c r="I39" s="58" t="n"/>
      <c r="J39" s="58" t="n"/>
      <c r="K39" s="58" t="n"/>
      <c r="L39" s="58" t="n"/>
      <c r="M39" s="58" t="n"/>
      <c r="N39" s="58" t="n"/>
      <c r="O39" s="58" t="n"/>
      <c r="P39" s="58" t="n"/>
      <c r="Q39" s="58" t="n"/>
      <c r="R39" s="58" t="n"/>
      <c r="S39" s="58" t="n"/>
      <c r="T39" s="58" t="n"/>
      <c r="U39" s="59">
        <f>IF($F39="SUM",IF(COUNT($I39:$T39)=0,"",SUM($I39:$T39)),IF($F39="AVG",IFERROR(AVERAGE($I39:$T39),""),IF($F39="LAST",IFERROR(LOOKUP(2,1/($I39:$T39&lt;&gt;""),$I39:$T39),""),"")))</f>
        <v/>
      </c>
      <c r="V39" s="23">
        <f>IF($G39="","",IF($U39="","",IF($G39=0,IF($U39&lt;=0,1,0),IF($E39="↓",IFERROR($G39/$U39,0),IFERROR($U39/$G39,0)))))</f>
        <v/>
      </c>
      <c r="W39" s="17">
        <f>IF($V39="","—",IF($V39&gt;=1,"✅ محقق",IF($V39&gt;=0.85,"🟡 قريب","🔴 تحت الهدف")))</f>
        <v/>
      </c>
      <c r="X39" s="54" t="inlineStr">
        <is>
          <t>الاستدامة</t>
        </is>
      </c>
      <c r="Y39" s="22" t="inlineStr">
        <is>
          <t>جودة التشغيل</t>
        </is>
      </c>
      <c r="Z39" s="56" t="n"/>
      <c r="AA39" s="21" t="inlineStr">
        <is>
          <t>🟣 لاحق</t>
        </is>
      </c>
      <c r="AB39" s="56" t="n">
        <v>0.0278</v>
      </c>
      <c r="AC39" s="23">
        <f>IF($V39="","",$AB39*MIN($V39,1))</f>
        <v/>
      </c>
    </row>
    <row r="40">
      <c r="A40" s="67" t="inlineStr"/>
      <c r="B40" s="68" t="inlineStr">
        <is>
          <t>الإجمالي الموزون للإدارة</t>
        </is>
      </c>
      <c r="AB40" s="69">
        <f>SUM(AB4:AB39)</f>
        <v/>
      </c>
      <c r="AC40" s="70">
        <f>SUM(AC4:AC39)</f>
        <v/>
      </c>
    </row>
  </sheetData>
  <sheetProtection selectLockedCells="1" selectUnlockedCells="1" sheet="1" objects="0" insertRows="1" insertHyperlinks="1" autoFilter="1" scenarios="0" formatColumns="1" deleteColumns="1" insertColumns="1" pivotTables="1" deleteRows="1" formatCells="0" formatRows="1" sort="1" password="EFFF"/>
  <mergeCells count="3">
    <mergeCell ref="B40:AA40"/>
    <mergeCell ref="A2:AC2"/>
    <mergeCell ref="A1:AC1"/>
  </mergeCells>
  <dataValidations count="1">
    <dataValidation sqref="I4 I5 I6 I7 I8 I9 I10 I11 I12 I13 I14 I15 I16 I17 I18 I19 I20 I21 I22 I23 I24 I25 I26 I27 I28 I29 I30 I31 I32 I33 I34 I35 I36 I37 I38 I39 J4 J5 J6 J7 J8 J9 J10 J11 J12 J13 J14 J15 J16 J17 J18 J19 J20 J21 J22 J23 J24 J25 J26 J27 J28 J29 J30 J31 J32 J33 J34 J35 J36 J37 J38 J39 K4 K5 K6 K7 K8 K9 K10 K11 K12 K13 K14 K15 K16 K17 K18 K19 K20 K21 K22 K23 K24 K25 K26 K27 K28 K29 K30 K31 K32 K33 K34 K35 K36 K37 K38 K39 L4 L5 L6 L7 L8 L9 L10 L11 L12 L13 L14 L15 L16 L17 L18 L19 L20 L21 L22 L23 L24 L25 L26 L27 L28 L29 L30 L31 L32 L33 L34 L35 L36 L37 L38 L39 M4 M5 M6 M7 M8 M9 M10 M11 M12 M13 M14 M15 M16 M17 M18 M19 M20 M21 M22 M23 M24 M25 M26 M27 M28 M29 M30 M31 M32 M33 M34 M35 M36 M37 M38 M39 N4 N5 N6 N7 N8 N9 N10 N11 N12 N13 N14 N15 N16 N17 N18 N19 N20 N21 N22 N23 N24 N25 N26 N27 N28 N29 N30 N31 N32 N33 N34 N35 N36 N37 N38 N39 O4 O5 O6 O7 O8 O9 O10 O11 O12 O13 O14 O15 O16 O17 O18 O19 O20 O21 O22 O23 O24 O25 O26 O27 O28 O29 O30 O31 O32 O33 O34 O35 O36 O37 O38 O39 P4 P5 P6 P7 P8 P9 P10 P11 P12 P13 P14 P15 P16 P17 P18 P19 P20 P21 P22 P23 P24 P25 P26 P27 P28 P29 P30 P31 P32 P33 P34 P35 P36 P37 P38 P39 Q4 Q5 Q6 Q7 Q8 Q9 Q10 Q11 Q12 Q13 Q14 Q15 Q16 Q17 Q18 Q19 Q20 Q21 Q22 Q23 Q24 Q25 Q26 Q27 Q28 Q29 Q30 Q31 Q32 Q33 Q34 Q35 Q36 Q37 Q38 Q39 R4 R5 R6 R7 R8 R9 R10 R11 R12 R13 R14 R15 R16 R17 R18 R19 R20 R21 R22 R23 R24 R25 R26 R27 R28 R29 R30 R31 R32 R33 R34 R35 R36 R37 R38 R39 S4 S5 S6 S7 S8 S9 S10 S11 S12 S13 S14 S15 S16 S17 S18 S19 S20 S21 S22 S23 S24 S25 S26 S27 S28 S29 S30 S31 S32 S33 S34 S35 S36 S37 S38 S39 T4 T5 T6 T7 T8 T9 T10 T11 T12 T13 T14 T15 T16 T17 T18 T19 T20 T21 T22 T23 T24 T25 T26 T27 T28 T29 T30 T31 T32 T33 T34 T35 T36 T37 T38 T39 Z4 Z5 Z6 Z7 Z8 Z9 Z10 Z11 Z12 Z13 Z14 Z15 Z16 Z17 Z18 Z19 Z20 Z21 Z22 Z23 Z24 Z25 Z26 Z27 Z28 Z29 Z30 Z31 Z32 Z33 Z34 Z35 Z36 Z37 Z38 Z39" showDropDown="0" showInputMessage="0" showErrorMessage="0" allowBlank="1" errorTitle="قيمة غير صحيحة" error="أدخل رقماً موجباً فقط" type="decimal" operator="greaterThanOrEqual">
      <formula1>0</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B2:E61"/>
  <sheetViews>
    <sheetView showGridLines="0" rightToLeft="1" workbookViewId="0">
      <selection activeCell="A1" sqref="A1"/>
    </sheetView>
  </sheetViews>
  <sheetFormatPr baseColWidth="8" defaultRowHeight="15"/>
  <cols>
    <col width="3" customWidth="1" min="1" max="1"/>
    <col width="22" customWidth="1" min="2" max="2"/>
    <col width="46" customWidth="1" min="3" max="3"/>
    <col width="12" customWidth="1" min="4" max="4"/>
    <col width="4" customWidth="1" min="5" max="5"/>
  </cols>
  <sheetData>
    <row r="2" ht="28" customHeight="1">
      <c r="B2" s="24" t="inlineStr">
        <is>
          <t>إدارة الامتياز · مؤشرات كل موظف (مرجع الربط)</t>
        </is>
      </c>
    </row>
    <row r="4">
      <c r="B4" s="7" t="inlineStr">
        <is>
          <t>علاء عزت  —  أخصائي امتياز — عقود واستقطاب  ·  4 مؤشر</t>
        </is>
      </c>
    </row>
    <row r="5">
      <c r="B5" s="44" t="inlineStr">
        <is>
          <t>المؤشر</t>
        </is>
      </c>
      <c r="C5" s="44" t="inlineStr">
        <is>
          <t>الأولوية</t>
        </is>
      </c>
      <c r="D5" s="44" t="inlineStr">
        <is>
          <t>●/○</t>
        </is>
      </c>
    </row>
    <row r="6">
      <c r="B6" s="22" t="inlineStr">
        <is>
          <t>عدد عقود الامتياز الجديدة الموقّعة</t>
        </is>
      </c>
      <c r="C6" s="21" t="inlineStr">
        <is>
          <t>🔴 رئيسي</t>
        </is>
      </c>
      <c r="D6" s="43" t="inlineStr">
        <is>
          <t>●</t>
        </is>
      </c>
    </row>
    <row r="7">
      <c r="B7" s="22" t="inlineStr">
        <is>
          <t>عدد محطات الامتياز المشغّلة (تراكمي)</t>
        </is>
      </c>
      <c r="C7" s="21" t="inlineStr">
        <is>
          <t>🔴 رئيسي</t>
        </is>
      </c>
      <c r="D7" s="43" t="inlineStr">
        <is>
          <t>●</t>
        </is>
      </c>
    </row>
    <row r="8">
      <c r="B8" s="22" t="inlineStr">
        <is>
          <t>نسبة تحويل الفرص إلى عقود موقّعة</t>
        </is>
      </c>
      <c r="C8" s="21" t="inlineStr">
        <is>
          <t>🔴 رئيسي</t>
        </is>
      </c>
      <c r="D8" s="43" t="inlineStr">
        <is>
          <t>●</t>
        </is>
      </c>
    </row>
    <row r="9">
      <c r="B9" s="22" t="inlineStr">
        <is>
          <t>نسبة استدامة أصحاب الامتياز</t>
        </is>
      </c>
      <c r="C9" s="21" t="inlineStr">
        <is>
          <t>🔴 رئيسي</t>
        </is>
      </c>
      <c r="D9" s="43" t="inlineStr">
        <is>
          <t>●</t>
        </is>
      </c>
    </row>
    <row r="11">
      <c r="B11" s="7" t="inlineStr">
        <is>
          <t>أنس أبو طوق  —  مراقب ميداني — هوية وبنية تحتية  ·  4 مؤشر</t>
        </is>
      </c>
    </row>
    <row r="12">
      <c r="B12" s="44" t="inlineStr">
        <is>
          <t>المؤشر</t>
        </is>
      </c>
      <c r="C12" s="44" t="inlineStr">
        <is>
          <t>الأولوية</t>
        </is>
      </c>
      <c r="D12" s="44" t="inlineStr">
        <is>
          <t>●/○</t>
        </is>
      </c>
    </row>
    <row r="13">
      <c r="B13" s="22" t="inlineStr">
        <is>
          <t>نسبة جاهزية محطات الامتياز</t>
        </is>
      </c>
      <c r="C13" s="21" t="inlineStr">
        <is>
          <t>🔴 رئيسي</t>
        </is>
      </c>
      <c r="D13" s="43" t="inlineStr">
        <is>
          <t>●</t>
        </is>
      </c>
    </row>
    <row r="14">
      <c r="B14" s="22" t="inlineStr">
        <is>
          <t>نسبة إغلاق ملاحظات الجودة الميدانية</t>
        </is>
      </c>
      <c r="C14" s="21" t="inlineStr">
        <is>
          <t>🔴 رئيسي</t>
        </is>
      </c>
      <c r="D14" s="43" t="inlineStr">
        <is>
          <t>●</t>
        </is>
      </c>
    </row>
    <row r="15">
      <c r="B15" s="22" t="inlineStr">
        <is>
          <t>نسبة المحطات المستوفية لمعايير السلامة</t>
        </is>
      </c>
      <c r="C15" s="21" t="inlineStr">
        <is>
          <t>🔴 رئيسي</t>
        </is>
      </c>
      <c r="D15" s="43" t="inlineStr">
        <is>
          <t>●</t>
        </is>
      </c>
    </row>
    <row r="16">
      <c r="B16" s="22" t="inlineStr">
        <is>
          <t>نسبة التزام المحطات بالهوية المؤسسية</t>
        </is>
      </c>
      <c r="C16" s="21" t="inlineStr">
        <is>
          <t>🔴 رئيسي</t>
        </is>
      </c>
      <c r="D16" s="43" t="inlineStr">
        <is>
          <t>●</t>
        </is>
      </c>
    </row>
    <row r="18">
      <c r="B18" s="7" t="inlineStr">
        <is>
          <t>حمدي عبد الجليل  —  أخصائي امتياز — زيارات واستقطاب  ·  3 مؤشر</t>
        </is>
      </c>
    </row>
    <row r="19">
      <c r="B19" s="44" t="inlineStr">
        <is>
          <t>المؤشر</t>
        </is>
      </c>
      <c r="C19" s="44" t="inlineStr">
        <is>
          <t>الأولوية</t>
        </is>
      </c>
      <c r="D19" s="44" t="inlineStr">
        <is>
          <t>●/○</t>
        </is>
      </c>
    </row>
    <row r="20">
      <c r="B20" s="22" t="inlineStr">
        <is>
          <t>نسبة تنفيذ الزيارات الميدانية المجدولة</t>
        </is>
      </c>
      <c r="C20" s="21" t="inlineStr">
        <is>
          <t>🔴 رئيسي</t>
        </is>
      </c>
      <c r="D20" s="43" t="inlineStr">
        <is>
          <t>●</t>
        </is>
      </c>
    </row>
    <row r="21">
      <c r="B21" s="22" t="inlineStr">
        <is>
          <t>عدد عقود الامتياز الجديدة الموقّعة</t>
        </is>
      </c>
      <c r="C21" s="21" t="inlineStr">
        <is>
          <t>🔴 رئيسي</t>
        </is>
      </c>
      <c r="D21" s="43" t="inlineStr">
        <is>
          <t>○</t>
        </is>
      </c>
    </row>
    <row r="22">
      <c r="B22" s="22" t="inlineStr">
        <is>
          <t>متوسط درجة تقييم جودة المحطة</t>
        </is>
      </c>
      <c r="C22" s="21" t="inlineStr">
        <is>
          <t>🔴 رئيسي</t>
        </is>
      </c>
      <c r="D22" s="43" t="inlineStr">
        <is>
          <t>○</t>
        </is>
      </c>
    </row>
    <row r="24">
      <c r="B24" s="7" t="inlineStr">
        <is>
          <t>رغد الجندي  —  أخصائية امتياز — تسويق ومالية  ·  4 مؤشر</t>
        </is>
      </c>
    </row>
    <row r="25">
      <c r="B25" s="44" t="inlineStr">
        <is>
          <t>المؤشر</t>
        </is>
      </c>
      <c r="C25" s="44" t="inlineStr">
        <is>
          <t>الأولوية</t>
        </is>
      </c>
      <c r="D25" s="44" t="inlineStr">
        <is>
          <t>●/○</t>
        </is>
      </c>
    </row>
    <row r="26">
      <c r="B26" s="22" t="inlineStr">
        <is>
          <t>إجمالي إيرادات إدارة الامتياز</t>
        </is>
      </c>
      <c r="C26" s="21" t="inlineStr">
        <is>
          <t>🔴 رئيسي</t>
        </is>
      </c>
      <c r="D26" s="43" t="inlineStr">
        <is>
          <t>●</t>
        </is>
      </c>
    </row>
    <row r="27">
      <c r="B27" s="22" t="inlineStr">
        <is>
          <t>نسبة التحصيل المالي من شركاء الامتياز</t>
        </is>
      </c>
      <c r="C27" s="21" t="inlineStr">
        <is>
          <t>🔴 رئيسي</t>
        </is>
      </c>
      <c r="D27" s="43" t="inlineStr">
        <is>
          <t>●</t>
        </is>
      </c>
    </row>
    <row r="28">
      <c r="B28" s="22" t="inlineStr">
        <is>
          <t>متوسط تقييم المحطات على خرائط قوقل</t>
        </is>
      </c>
      <c r="C28" s="21" t="inlineStr">
        <is>
          <t>🔴 رئيسي</t>
        </is>
      </c>
      <c r="D28" s="43" t="inlineStr">
        <is>
          <t>●</t>
        </is>
      </c>
    </row>
    <row r="29">
      <c r="B29" s="22" t="inlineStr">
        <is>
          <t>عدد الحملات التسويقية الميدانية</t>
        </is>
      </c>
      <c r="C29" s="21" t="inlineStr">
        <is>
          <t>🟠 مهم</t>
        </is>
      </c>
      <c r="D29" s="43" t="inlineStr">
        <is>
          <t>●</t>
        </is>
      </c>
    </row>
    <row r="31">
      <c r="B31" s="7" t="inlineStr">
        <is>
          <t>إدريس الوائلي  —  أخصائي امتياز — تقارير وتنسيق مالي  ·  3 مؤشر</t>
        </is>
      </c>
    </row>
    <row r="32">
      <c r="B32" s="44" t="inlineStr">
        <is>
          <t>المؤشر</t>
        </is>
      </c>
      <c r="C32" s="44" t="inlineStr">
        <is>
          <t>الأولوية</t>
        </is>
      </c>
      <c r="D32" s="44" t="inlineStr">
        <is>
          <t>●/○</t>
        </is>
      </c>
    </row>
    <row r="33">
      <c r="B33" s="22" t="inlineStr">
        <is>
          <t>متوسط أيام التحصيل (DSO)</t>
        </is>
      </c>
      <c r="C33" s="21" t="inlineStr">
        <is>
          <t>🟠 مهم</t>
        </is>
      </c>
      <c r="D33" s="43" t="inlineStr">
        <is>
          <t>●</t>
        </is>
      </c>
    </row>
    <row r="34">
      <c r="B34" s="22" t="inlineStr">
        <is>
          <t>إجمالي المستحقات المتأخرة (+30 يوم)</t>
        </is>
      </c>
      <c r="C34" s="21" t="inlineStr">
        <is>
          <t>🟠 مهم</t>
        </is>
      </c>
      <c r="D34" s="43" t="inlineStr">
        <is>
          <t>●</t>
        </is>
      </c>
    </row>
    <row r="35">
      <c r="B35" s="22" t="inlineStr">
        <is>
          <t>نسبة إنجاز التقارير الدورية في موعدها</t>
        </is>
      </c>
      <c r="C35" s="21" t="inlineStr">
        <is>
          <t>🟠 مهم</t>
        </is>
      </c>
      <c r="D35" s="43" t="inlineStr">
        <is>
          <t>●</t>
        </is>
      </c>
    </row>
    <row r="37">
      <c r="B37" s="7" t="inlineStr">
        <is>
          <t>أحمد رمضان  —  أخصائي امتياز — Dynamics ومتابعة نظام  ·  2 مؤشر</t>
        </is>
      </c>
    </row>
    <row r="38">
      <c r="B38" s="44" t="inlineStr">
        <is>
          <t>المؤشر</t>
        </is>
      </c>
      <c r="C38" s="44" t="inlineStr">
        <is>
          <t>الأولوية</t>
        </is>
      </c>
      <c r="D38" s="44" t="inlineStr">
        <is>
          <t>●/○</t>
        </is>
      </c>
    </row>
    <row r="39">
      <c r="B39" s="22" t="inlineStr">
        <is>
          <t>نسبة اكتمال المستندات النظامية قبل التوقيع</t>
        </is>
      </c>
      <c r="C39" s="21" t="inlineStr">
        <is>
          <t>🟠 مهم</t>
        </is>
      </c>
      <c r="D39" s="43" t="inlineStr">
        <is>
          <t>○</t>
        </is>
      </c>
    </row>
    <row r="40">
      <c r="B40" s="22" t="inlineStr">
        <is>
          <t>نسبة إنجاز التقارير الدورية في موعدها</t>
        </is>
      </c>
      <c r="C40" s="21" t="inlineStr">
        <is>
          <t>🟠 مهم</t>
        </is>
      </c>
      <c r="D40" s="43" t="inlineStr">
        <is>
          <t>○</t>
        </is>
      </c>
    </row>
    <row r="42">
      <c r="B42" s="7" t="inlineStr">
        <is>
          <t>عبدالسلام الوالي  —  أخصائي امتياز — عمليات ومخزون  ·  2 مؤشر</t>
        </is>
      </c>
    </row>
    <row r="43">
      <c r="B43" s="44" t="inlineStr">
        <is>
          <t>المؤشر</t>
        </is>
      </c>
      <c r="C43" s="44" t="inlineStr">
        <is>
          <t>الأولوية</t>
        </is>
      </c>
      <c r="D43" s="44" t="inlineStr">
        <is>
          <t>●/○</t>
        </is>
      </c>
    </row>
    <row r="44">
      <c r="B44" s="22" t="inlineStr">
        <is>
          <t>عدد حالات انقطاع الوقود الموثّقة</t>
        </is>
      </c>
      <c r="C44" s="21" t="inlineStr">
        <is>
          <t>🔴 رئيسي</t>
        </is>
      </c>
      <c r="D44" s="43" t="inlineStr">
        <is>
          <t>●</t>
        </is>
      </c>
    </row>
    <row r="45">
      <c r="B45" s="22" t="inlineStr">
        <is>
          <t>متوسط وقت معالجة البلاغات التشغيلية</t>
        </is>
      </c>
      <c r="C45" s="21" t="inlineStr">
        <is>
          <t>🟠 مهم</t>
        </is>
      </c>
      <c r="D45" s="43" t="inlineStr">
        <is>
          <t>●</t>
        </is>
      </c>
    </row>
    <row r="47">
      <c r="B47" s="7" t="inlineStr">
        <is>
          <t>المعتصم المصعبي  —  أخصائي امتياز — عمليات ومبيعات  ·  2 مؤشر</t>
        </is>
      </c>
    </row>
    <row r="48">
      <c r="B48" s="44" t="inlineStr">
        <is>
          <t>المؤشر</t>
        </is>
      </c>
      <c r="C48" s="44" t="inlineStr">
        <is>
          <t>الأولوية</t>
        </is>
      </c>
      <c r="D48" s="44" t="inlineStr">
        <is>
          <t>●/○</t>
        </is>
      </c>
    </row>
    <row r="49">
      <c r="B49" s="22" t="inlineStr">
        <is>
          <t>متوسط مبيعات المحطة الواحدة شهرياً</t>
        </is>
      </c>
      <c r="C49" s="21" t="inlineStr">
        <is>
          <t>🟠 مهم</t>
        </is>
      </c>
      <c r="D49" s="43" t="inlineStr">
        <is>
          <t>●</t>
        </is>
      </c>
    </row>
    <row r="50">
      <c r="B50" s="22" t="inlineStr">
        <is>
          <t>إجمالي مبيعات وقود محطات الامتياز</t>
        </is>
      </c>
      <c r="C50" s="21" t="inlineStr">
        <is>
          <t>🔴 رئيسي</t>
        </is>
      </c>
      <c r="D50" s="43" t="inlineStr">
        <is>
          <t>○</t>
        </is>
      </c>
    </row>
    <row r="52">
      <c r="B52" s="7" t="inlineStr">
        <is>
          <t>يحيى العدله  —  أخصائي امتياز — تسجيل وتوثيق  ·  2 مؤشر</t>
        </is>
      </c>
    </row>
    <row r="53">
      <c r="B53" s="44" t="inlineStr">
        <is>
          <t>المؤشر</t>
        </is>
      </c>
      <c r="C53" s="44" t="inlineStr">
        <is>
          <t>الأولوية</t>
        </is>
      </c>
      <c r="D53" s="44" t="inlineStr">
        <is>
          <t>●/○</t>
        </is>
      </c>
    </row>
    <row r="54">
      <c r="B54" s="22" t="inlineStr">
        <is>
          <t>نسبة اكتمال المستندات النظامية قبل التوقيع</t>
        </is>
      </c>
      <c r="C54" s="21" t="inlineStr">
        <is>
          <t>🟠 مهم</t>
        </is>
      </c>
      <c r="D54" s="43" t="inlineStr">
        <is>
          <t>●</t>
        </is>
      </c>
    </row>
    <row r="55">
      <c r="B55" s="22" t="inlineStr">
        <is>
          <t>نسبة حل الشكاوى خلال المدة المحددة</t>
        </is>
      </c>
      <c r="C55" s="21" t="inlineStr">
        <is>
          <t>🟠 مهم</t>
        </is>
      </c>
      <c r="D55" s="43" t="inlineStr">
        <is>
          <t>○</t>
        </is>
      </c>
    </row>
    <row r="57">
      <c r="B57" s="7" t="inlineStr">
        <is>
          <t>إسماعيل سندي  —  أخصائي امتياز — تواصل عملاء وتأجير  ·  3 مؤشر</t>
        </is>
      </c>
    </row>
    <row r="58">
      <c r="B58" s="44" t="inlineStr">
        <is>
          <t>المؤشر</t>
        </is>
      </c>
      <c r="C58" s="44" t="inlineStr">
        <is>
          <t>الأولوية</t>
        </is>
      </c>
      <c r="D58" s="44" t="inlineStr">
        <is>
          <t>●/○</t>
        </is>
      </c>
    </row>
    <row r="59">
      <c r="B59" s="22" t="inlineStr">
        <is>
          <t>معدل رضا شركاء الامتياز (CSAT)</t>
        </is>
      </c>
      <c r="C59" s="21" t="inlineStr">
        <is>
          <t>🔴 رئيسي</t>
        </is>
      </c>
      <c r="D59" s="43" t="inlineStr">
        <is>
          <t>●</t>
        </is>
      </c>
    </row>
    <row r="60">
      <c r="B60" s="22" t="inlineStr">
        <is>
          <t>نسبة حل الشكاوى خلال المدة المحددة</t>
        </is>
      </c>
      <c r="C60" s="21" t="inlineStr">
        <is>
          <t>🟠 مهم</t>
        </is>
      </c>
      <c r="D60" s="43" t="inlineStr">
        <is>
          <t>●</t>
        </is>
      </c>
    </row>
    <row r="61">
      <c r="B61" s="22" t="inlineStr">
        <is>
          <t>نسبة انخفاض الشكاوى التشغيلية والإدارية</t>
        </is>
      </c>
      <c r="C61" s="21" t="inlineStr">
        <is>
          <t>🟠 مهم</t>
        </is>
      </c>
      <c r="D61" s="43" t="inlineStr">
        <is>
          <t>●</t>
        </is>
      </c>
    </row>
  </sheetData>
  <sheetProtection selectLockedCells="1" selectUnlockedCells="1" sheet="1" objects="0" insertRows="1" insertHyperlinks="1" autoFilter="1" scenarios="0" formatColumns="1" deleteColumns="1" insertColumns="1" pivotTables="1" deleteRows="1" formatCells="0" formatRows="1" sort="1" password="EFFF"/>
  <mergeCells count="11">
    <mergeCell ref="B31:E31"/>
    <mergeCell ref="B18:E18"/>
    <mergeCell ref="B57:E57"/>
    <mergeCell ref="B4:E4"/>
    <mergeCell ref="B52:E52"/>
    <mergeCell ref="B11:E11"/>
    <mergeCell ref="B24:E24"/>
    <mergeCell ref="B2:E2"/>
    <mergeCell ref="B37:E37"/>
    <mergeCell ref="B47:E47"/>
    <mergeCell ref="B42:E4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23"/>
  <sheetViews>
    <sheetView showGridLines="0" rightToLeft="1" workbookViewId="0">
      <selection activeCell="A1" sqref="A1"/>
    </sheetView>
  </sheetViews>
  <sheetFormatPr baseColWidth="8" defaultRowHeight="15"/>
  <cols>
    <col width="4" customWidth="1" min="1" max="1"/>
    <col width="40" customWidth="1" min="2" max="2"/>
    <col width="10" customWidth="1" min="3" max="3"/>
    <col width="34" customWidth="1" min="4" max="4"/>
    <col width="14" customWidth="1" min="5" max="5"/>
    <col width="14" customWidth="1" min="6" max="6"/>
    <col width="22" customWidth="1" min="7" max="7"/>
  </cols>
  <sheetData>
    <row r="1" ht="28" customHeight="1">
      <c r="A1" s="71" t="inlineStr">
        <is>
          <t>إدارة الامتياز التجاري · نموذج تقييم الأداء — مدير إدارة الامتياز التجاري</t>
        </is>
      </c>
    </row>
    <row r="2">
      <c r="A2" s="48" t="inlineStr">
        <is>
          <t>الكود: FM-01  ·  ربع سنوي  ·  🟩 أدخل «نسبة التحقيق» فقط — الدرجة تُحسب تلقائياً</t>
        </is>
      </c>
    </row>
    <row r="3">
      <c r="A3" s="72" t="inlineStr">
        <is>
          <t>اسم الموظف:</t>
        </is>
      </c>
      <c r="B3" s="73" t="inlineStr"/>
      <c r="C3" s="74" t="n"/>
      <c r="D3" s="72" t="inlineStr">
        <is>
          <t>القسم: الامتياز التجاري</t>
        </is>
      </c>
      <c r="E3" s="73" t="inlineStr"/>
      <c r="F3" s="75" t="n"/>
      <c r="G3" s="74" t="n"/>
    </row>
    <row r="4">
      <c r="A4" s="72" t="inlineStr">
        <is>
          <t>المدير المباشر:</t>
        </is>
      </c>
      <c r="B4" s="73" t="inlineStr"/>
      <c r="C4" s="74" t="n"/>
      <c r="D4" s="72" t="inlineStr">
        <is>
          <t>الربع / السنة:</t>
        </is>
      </c>
      <c r="E4" s="73" t="inlineStr"/>
      <c r="F4" s="75" t="n"/>
      <c r="G4" s="74" t="n"/>
    </row>
    <row r="5">
      <c r="A5" s="72" t="inlineStr">
        <is>
          <t>تاريخ التقييم:</t>
        </is>
      </c>
      <c r="B5" s="73" t="inlineStr"/>
      <c r="C5" s="74" t="n"/>
      <c r="D5" s="72" t="inlineStr">
        <is>
          <t>حالة التقييم:</t>
        </is>
      </c>
      <c r="E5" s="73" t="inlineStr"/>
      <c r="F5" s="75" t="n"/>
      <c r="G5" s="74" t="n"/>
    </row>
    <row r="6" ht="30" customHeight="1">
      <c r="A6" s="26" t="inlineStr">
        <is>
          <t>#</t>
        </is>
      </c>
      <c r="B6" s="26" t="inlineStr">
        <is>
          <t>مؤشر الأداء</t>
        </is>
      </c>
      <c r="C6" s="26" t="inlineStr">
        <is>
          <t>الوزن %</t>
        </is>
      </c>
      <c r="D6" s="26" t="inlineStr">
        <is>
          <t>المستهدف</t>
        </is>
      </c>
      <c r="E6" s="26" t="inlineStr">
        <is>
          <t>نسبة التحقيق</t>
        </is>
      </c>
      <c r="F6" s="26" t="inlineStr">
        <is>
          <t>الدرجة المحققة</t>
        </is>
      </c>
      <c r="G6" s="26" t="inlineStr">
        <is>
          <t>ملاحظات</t>
        </is>
      </c>
    </row>
    <row r="7" ht="28" customHeight="1">
      <c r="A7" s="17" t="n">
        <v>1</v>
      </c>
      <c r="B7" s="22" t="inlineStr">
        <is>
          <t>عدد محطات الامتياز الجديدة</t>
        </is>
      </c>
      <c r="C7" s="57" t="n">
        <v>0.15</v>
      </c>
      <c r="D7" s="76" t="inlineStr">
        <is>
          <t>100%+ من المحطات المستهدفة</t>
        </is>
      </c>
      <c r="E7" s="56" t="n"/>
      <c r="F7" s="23">
        <f>C7*MIN(E7,1)</f>
        <v/>
      </c>
      <c r="G7" s="73" t="inlineStr"/>
    </row>
    <row r="8" ht="28" customHeight="1">
      <c r="A8" s="17" t="n">
        <v>2</v>
      </c>
      <c r="B8" s="22" t="inlineStr">
        <is>
          <t>إجمالي مبيعات محطات الامتياز</t>
        </is>
      </c>
      <c r="C8" s="57" t="n">
        <v>0.15</v>
      </c>
      <c r="D8" s="76" t="inlineStr">
        <is>
          <t>100%+ من مستهدف المبيعات الربعي</t>
        </is>
      </c>
      <c r="E8" s="56" t="n"/>
      <c r="F8" s="23">
        <f>C8*MIN(E8,1)</f>
        <v/>
      </c>
      <c r="G8" s="73" t="inlineStr"/>
    </row>
    <row r="9" ht="28" customHeight="1">
      <c r="A9" s="17" t="n">
        <v>3</v>
      </c>
      <c r="B9" s="22" t="inlineStr">
        <is>
          <t>استمرارية تزويد الوقود</t>
        </is>
      </c>
      <c r="C9" s="57" t="n">
        <v>0.1</v>
      </c>
      <c r="D9" s="76" t="inlineStr">
        <is>
          <t>0 حالات انقطاع</t>
        </is>
      </c>
      <c r="E9" s="56" t="n"/>
      <c r="F9" s="23">
        <f>C9*MIN(E9,1)</f>
        <v/>
      </c>
      <c r="G9" s="73" t="inlineStr"/>
    </row>
    <row r="10" ht="28" customHeight="1">
      <c r="A10" s="17" t="n">
        <v>4</v>
      </c>
      <c r="B10" s="22" t="inlineStr">
        <is>
          <t>نسبة التحصيل المالي</t>
        </is>
      </c>
      <c r="C10" s="57" t="n">
        <v>0.15</v>
      </c>
      <c r="D10" s="76" t="inlineStr">
        <is>
          <t>100%+ من المستحقات الربعية</t>
        </is>
      </c>
      <c r="E10" s="56" t="n"/>
      <c r="F10" s="23">
        <f>C10*MIN(E10,1)</f>
        <v/>
      </c>
      <c r="G10" s="73" t="inlineStr"/>
    </row>
    <row r="11" ht="28" customHeight="1">
      <c r="A11" s="17" t="n">
        <v>5</v>
      </c>
      <c r="B11" s="22" t="inlineStr">
        <is>
          <t>الالتزام بالهوية المؤسسية</t>
        </is>
      </c>
      <c r="C11" s="57" t="n">
        <v>0.15</v>
      </c>
      <c r="D11" s="76" t="inlineStr">
        <is>
          <t>70%+ من المحطات ملتزمة</t>
        </is>
      </c>
      <c r="E11" s="56" t="n"/>
      <c r="F11" s="23">
        <f>C11*MIN(E11,1)</f>
        <v/>
      </c>
      <c r="G11" s="73" t="inlineStr"/>
    </row>
    <row r="12" ht="28" customHeight="1">
      <c r="A12" s="17" t="n">
        <v>6</v>
      </c>
      <c r="B12" s="22" t="inlineStr">
        <is>
          <t>انخفاض عدد الشكاوى</t>
        </is>
      </c>
      <c r="C12" s="57" t="n">
        <v>0.1</v>
      </c>
      <c r="D12" s="76" t="inlineStr">
        <is>
          <t>خفض 20%+ عن الربع السابق</t>
        </is>
      </c>
      <c r="E12" s="56" t="n"/>
      <c r="F12" s="23">
        <f>C12*MIN(E12,1)</f>
        <v/>
      </c>
      <c r="G12" s="73" t="inlineStr"/>
    </row>
    <row r="13" ht="28" customHeight="1">
      <c r="A13" s="17" t="n">
        <v>7</v>
      </c>
      <c r="B13" s="22" t="inlineStr">
        <is>
          <t>تقييمات خرائط قوقل</t>
        </is>
      </c>
      <c r="C13" s="57" t="n">
        <v>0.1</v>
      </c>
      <c r="D13" s="76" t="inlineStr">
        <is>
          <t>4.7 – 5</t>
        </is>
      </c>
      <c r="E13" s="56" t="n"/>
      <c r="F13" s="23">
        <f>C13*MIN(E13,1)</f>
        <v/>
      </c>
      <c r="G13" s="73" t="inlineStr"/>
    </row>
    <row r="14" ht="28" customHeight="1">
      <c r="A14" s="17" t="n">
        <v>8</v>
      </c>
      <c r="B14" s="22" t="inlineStr">
        <is>
          <t>انتظام وجودة التقارير</t>
        </is>
      </c>
      <c r="C14" s="57" t="n">
        <v>0.1</v>
      </c>
      <c r="D14" s="76" t="inlineStr">
        <is>
          <t>100% في موعدها</t>
        </is>
      </c>
      <c r="E14" s="56" t="n"/>
      <c r="F14" s="23">
        <f>C14*MIN(E14,1)</f>
        <v/>
      </c>
      <c r="G14" s="73" t="inlineStr"/>
    </row>
    <row r="15">
      <c r="A15" s="67" t="inlineStr"/>
      <c r="B15" s="68" t="inlineStr">
        <is>
          <t>المجموع الكلي</t>
        </is>
      </c>
      <c r="C15" s="77">
        <f>SUM(C7:C14)</f>
        <v/>
      </c>
      <c r="D15" s="67" t="inlineStr"/>
      <c r="E15" s="68" t="inlineStr">
        <is>
          <t>الدرجة:</t>
        </is>
      </c>
      <c r="F15" s="78">
        <f>SUM(F7:F14)</f>
        <v/>
      </c>
      <c r="G15" s="67" t="inlineStr"/>
    </row>
    <row r="16">
      <c r="B16" s="5" t="inlineStr">
        <is>
          <t>التقدير</t>
        </is>
      </c>
      <c r="C16" s="79">
        <f>IF(F15&gt;=0.9,"ممتاز",IF(F15&gt;=0.8,"جيد جداً",IF(F15&gt;=0.7,"جيد",IF(F15&gt;=0.6,"مقبول","ضعيف"))))</f>
        <v/>
      </c>
      <c r="D16" s="37" t="n"/>
    </row>
    <row r="18">
      <c r="B18" s="5" t="inlineStr">
        <is>
          <t>سلّم التقييم</t>
        </is>
      </c>
      <c r="C18" s="36" t="n"/>
      <c r="D18" s="37" t="n"/>
    </row>
    <row r="19">
      <c r="B19" s="17" t="inlineStr">
        <is>
          <t>ممتاز</t>
        </is>
      </c>
      <c r="C19" s="21" t="inlineStr">
        <is>
          <t>90% – 100%</t>
        </is>
      </c>
      <c r="D19" s="22" t="inlineStr">
        <is>
          <t>تجاوز المستهدف</t>
        </is>
      </c>
    </row>
    <row r="20">
      <c r="B20" s="17" t="inlineStr">
        <is>
          <t>جيد جداً</t>
        </is>
      </c>
      <c r="C20" s="21" t="inlineStr">
        <is>
          <t>80% – 89%</t>
        </is>
      </c>
      <c r="D20" s="22" t="inlineStr">
        <is>
          <t>حقق المستهدف تقريباً</t>
        </is>
      </c>
    </row>
    <row r="21">
      <c r="B21" s="17" t="inlineStr">
        <is>
          <t>جيد</t>
        </is>
      </c>
      <c r="C21" s="21" t="inlineStr">
        <is>
          <t>70% – 79%</t>
        </is>
      </c>
      <c r="D21" s="22" t="inlineStr">
        <is>
          <t>حقق معظم المستهدفات</t>
        </is>
      </c>
    </row>
    <row r="22">
      <c r="B22" s="17" t="inlineStr">
        <is>
          <t>مقبول</t>
        </is>
      </c>
      <c r="C22" s="21" t="inlineStr">
        <is>
          <t>60% – 69%</t>
        </is>
      </c>
      <c r="D22" s="22" t="inlineStr">
        <is>
          <t>يحتاج تحسين</t>
        </is>
      </c>
    </row>
    <row r="23">
      <c r="B23" s="17" t="inlineStr">
        <is>
          <t>ضعيف</t>
        </is>
      </c>
      <c r="C23" s="21" t="inlineStr">
        <is>
          <t>أقل من 60%</t>
        </is>
      </c>
      <c r="D23" s="22" t="inlineStr">
        <is>
          <t>يحتاج خطة تطوير</t>
        </is>
      </c>
    </row>
  </sheetData>
  <sheetProtection selectLockedCells="1" selectUnlockedCells="1" sheet="1" objects="0" insertRows="1" insertHyperlinks="1" autoFilter="1" scenarios="0" formatColumns="1" deleteColumns="1" insertColumns="1" pivotTables="1" deleteRows="1" formatCells="0" formatRows="1" sort="1" password="EFFF"/>
  <mergeCells count="10">
    <mergeCell ref="A1:G1"/>
    <mergeCell ref="C16:D16"/>
    <mergeCell ref="B3:C3"/>
    <mergeCell ref="B5:C5"/>
    <mergeCell ref="E5:G5"/>
    <mergeCell ref="B18:D18"/>
    <mergeCell ref="A2:G2"/>
    <mergeCell ref="E4:G4"/>
    <mergeCell ref="E3:G3"/>
    <mergeCell ref="B4:C4"/>
  </mergeCells>
  <dataValidations count="1">
    <dataValidation sqref="E7 E8 E9 E10 E11 E12 E13 E14" showDropDown="0" showInputMessage="0" showErrorMessage="0" allowBlank="1" errorTitle="نسبة التحقيق" error="أدخل نسبة بين 0% و120%" type="decimal" operator="between">
      <formula1>0</formula1>
      <formula2>1.2</formula2>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21"/>
  <sheetViews>
    <sheetView showGridLines="0" rightToLeft="1" workbookViewId="0">
      <selection activeCell="A1" sqref="A1"/>
    </sheetView>
  </sheetViews>
  <sheetFormatPr baseColWidth="8" defaultRowHeight="15"/>
  <cols>
    <col width="4" customWidth="1" min="1" max="1"/>
    <col width="40" customWidth="1" min="2" max="2"/>
    <col width="10" customWidth="1" min="3" max="3"/>
    <col width="34" customWidth="1" min="4" max="4"/>
    <col width="14" customWidth="1" min="5" max="5"/>
    <col width="14" customWidth="1" min="6" max="6"/>
    <col width="22" customWidth="1" min="7" max="7"/>
  </cols>
  <sheetData>
    <row r="1" ht="28" customHeight="1">
      <c r="A1" s="71" t="inlineStr">
        <is>
          <t>إدارة الامتياز التجاري · نموذج تقييم الأداء — مسؤول الامتياز التجاري</t>
        </is>
      </c>
    </row>
    <row r="2">
      <c r="A2" s="48" t="inlineStr">
        <is>
          <t>الكود: FM-02  ·  ربع سنوي  ·  🟩 أدخل «نسبة التحقيق» فقط — الدرجة تُحسب تلقائياً</t>
        </is>
      </c>
    </row>
    <row r="3">
      <c r="A3" s="72" t="inlineStr">
        <is>
          <t>اسم الموظف:</t>
        </is>
      </c>
      <c r="B3" s="73" t="inlineStr"/>
      <c r="C3" s="74" t="n"/>
      <c r="D3" s="72" t="inlineStr">
        <is>
          <t>القسم: الامتياز التجاري</t>
        </is>
      </c>
      <c r="E3" s="73" t="inlineStr"/>
      <c r="F3" s="75" t="n"/>
      <c r="G3" s="74" t="n"/>
    </row>
    <row r="4">
      <c r="A4" s="72" t="inlineStr">
        <is>
          <t>المدير المباشر:</t>
        </is>
      </c>
      <c r="B4" s="73" t="inlineStr"/>
      <c r="C4" s="74" t="n"/>
      <c r="D4" s="72" t="inlineStr">
        <is>
          <t>الربع / السنة:</t>
        </is>
      </c>
      <c r="E4" s="73" t="inlineStr"/>
      <c r="F4" s="75" t="n"/>
      <c r="G4" s="74" t="n"/>
    </row>
    <row r="5">
      <c r="A5" s="72" t="inlineStr">
        <is>
          <t>تاريخ التقييم:</t>
        </is>
      </c>
      <c r="B5" s="73" t="inlineStr"/>
      <c r="C5" s="74" t="n"/>
      <c r="D5" s="72" t="inlineStr">
        <is>
          <t>حالة التقييم:</t>
        </is>
      </c>
      <c r="E5" s="73" t="inlineStr"/>
      <c r="F5" s="75" t="n"/>
      <c r="G5" s="74" t="n"/>
    </row>
    <row r="6" ht="30" customHeight="1">
      <c r="A6" s="26" t="inlineStr">
        <is>
          <t>#</t>
        </is>
      </c>
      <c r="B6" s="26" t="inlineStr">
        <is>
          <t>مؤشر الأداء</t>
        </is>
      </c>
      <c r="C6" s="26" t="inlineStr">
        <is>
          <t>الوزن %</t>
        </is>
      </c>
      <c r="D6" s="26" t="inlineStr">
        <is>
          <t>المستهدف</t>
        </is>
      </c>
      <c r="E6" s="26" t="inlineStr">
        <is>
          <t>نسبة التحقيق</t>
        </is>
      </c>
      <c r="F6" s="26" t="inlineStr">
        <is>
          <t>الدرجة المحققة</t>
        </is>
      </c>
      <c r="G6" s="26" t="inlineStr">
        <is>
          <t>ملاحظات</t>
        </is>
      </c>
    </row>
    <row r="7" ht="28" customHeight="1">
      <c r="A7" s="17" t="n">
        <v>1</v>
      </c>
      <c r="B7" s="22" t="inlineStr">
        <is>
          <t>المتابعة مع عملاء الامتياز</t>
        </is>
      </c>
      <c r="C7" s="57" t="n">
        <v>0.3</v>
      </c>
      <c r="D7" s="76" t="inlineStr">
        <is>
          <t>متابعة مستمرة 100%</t>
        </is>
      </c>
      <c r="E7" s="56" t="n"/>
      <c r="F7" s="23">
        <f>C7*MIN(E7,1)</f>
        <v/>
      </c>
      <c r="G7" s="73" t="inlineStr"/>
    </row>
    <row r="8" ht="28" customHeight="1">
      <c r="A8" s="17" t="n">
        <v>2</v>
      </c>
      <c r="B8" s="22" t="inlineStr">
        <is>
          <t>عدم انقطاع المحطات من الوقود</t>
        </is>
      </c>
      <c r="C8" s="57" t="n">
        <v>0.35</v>
      </c>
      <c r="D8" s="76" t="inlineStr">
        <is>
          <t>0 حالات انقطاع</t>
        </is>
      </c>
      <c r="E8" s="56" t="n"/>
      <c r="F8" s="23">
        <f>C8*MIN(E8,1)</f>
        <v/>
      </c>
      <c r="G8" s="73" t="inlineStr"/>
    </row>
    <row r="9" ht="28" customHeight="1">
      <c r="A9" s="17" t="n">
        <v>3</v>
      </c>
      <c r="B9" s="22" t="inlineStr">
        <is>
          <t>متابعة طلبات وتوريد الوقود</t>
        </is>
      </c>
      <c r="C9" s="57" t="n">
        <v>0.1</v>
      </c>
      <c r="D9" s="76" t="inlineStr">
        <is>
          <t>100% متابعة يومية</t>
        </is>
      </c>
      <c r="E9" s="56" t="n"/>
      <c r="F9" s="23">
        <f>C9*MIN(E9,1)</f>
        <v/>
      </c>
      <c r="G9" s="73" t="inlineStr"/>
    </row>
    <row r="10" ht="28" customHeight="1">
      <c r="A10" s="17" t="n">
        <v>4</v>
      </c>
      <c r="B10" s="22" t="inlineStr">
        <is>
          <t>إجمالي مبيعات المحطات</t>
        </is>
      </c>
      <c r="C10" s="57" t="n">
        <v>0.1</v>
      </c>
      <c r="D10" s="76" t="inlineStr">
        <is>
          <t>تحقيق هدف المبيعات</t>
        </is>
      </c>
      <c r="E10" s="56" t="n"/>
      <c r="F10" s="23">
        <f>C10*MIN(E10,1)</f>
        <v/>
      </c>
      <c r="G10" s="73" t="inlineStr"/>
    </row>
    <row r="11" ht="28" customHeight="1">
      <c r="A11" s="17" t="n">
        <v>5</v>
      </c>
      <c r="B11" s="22" t="inlineStr">
        <is>
          <t>التحصيل المالي</t>
        </is>
      </c>
      <c r="C11" s="57" t="n">
        <v>0.1</v>
      </c>
      <c r="D11" s="76" t="inlineStr">
        <is>
          <t>100% خلال الربع</t>
        </is>
      </c>
      <c r="E11" s="56" t="n"/>
      <c r="F11" s="23">
        <f>C11*MIN(E11,1)</f>
        <v/>
      </c>
      <c r="G11" s="73" t="inlineStr"/>
    </row>
    <row r="12" ht="28" customHeight="1">
      <c r="A12" s="17" t="n">
        <v>6</v>
      </c>
      <c r="B12" s="22" t="inlineStr">
        <is>
          <t>التقارير الدورية الشاملة</t>
        </is>
      </c>
      <c r="C12" s="57" t="n">
        <v>0.05</v>
      </c>
      <c r="D12" s="76" t="inlineStr">
        <is>
          <t>100% في مواعيدها</t>
        </is>
      </c>
      <c r="E12" s="56" t="n"/>
      <c r="F12" s="23">
        <f>C12*MIN(E12,1)</f>
        <v/>
      </c>
      <c r="G12" s="73" t="inlineStr"/>
    </row>
    <row r="13">
      <c r="A13" s="67" t="inlineStr"/>
      <c r="B13" s="68" t="inlineStr">
        <is>
          <t>المجموع الكلي</t>
        </is>
      </c>
      <c r="C13" s="77">
        <f>SUM(C7:C12)</f>
        <v/>
      </c>
      <c r="D13" s="67" t="inlineStr"/>
      <c r="E13" s="68" t="inlineStr">
        <is>
          <t>الدرجة:</t>
        </is>
      </c>
      <c r="F13" s="78">
        <f>SUM(F7:F12)</f>
        <v/>
      </c>
      <c r="G13" s="67" t="inlineStr"/>
    </row>
    <row r="14">
      <c r="B14" s="5" t="inlineStr">
        <is>
          <t>التقدير</t>
        </is>
      </c>
      <c r="C14" s="79">
        <f>IF(F13&gt;=0.9,"ممتاز",IF(F13&gt;=0.8,"جيد جداً",IF(F13&gt;=0.7,"جيد",IF(F13&gt;=0.6,"مقبول","ضعيف"))))</f>
        <v/>
      </c>
      <c r="D14" s="37" t="n"/>
    </row>
    <row r="16">
      <c r="B16" s="5" t="inlineStr">
        <is>
          <t>سلّم التقييم</t>
        </is>
      </c>
      <c r="C16" s="36" t="n"/>
      <c r="D16" s="37" t="n"/>
    </row>
    <row r="17">
      <c r="B17" s="17" t="inlineStr">
        <is>
          <t>ممتاز</t>
        </is>
      </c>
      <c r="C17" s="21" t="inlineStr">
        <is>
          <t>90% – 100%</t>
        </is>
      </c>
      <c r="D17" s="22" t="inlineStr">
        <is>
          <t>تجاوز المستهدف</t>
        </is>
      </c>
    </row>
    <row r="18">
      <c r="B18" s="17" t="inlineStr">
        <is>
          <t>جيد جداً</t>
        </is>
      </c>
      <c r="C18" s="21" t="inlineStr">
        <is>
          <t>80% – 89%</t>
        </is>
      </c>
      <c r="D18" s="22" t="inlineStr">
        <is>
          <t>حقق المستهدف تقريباً</t>
        </is>
      </c>
    </row>
    <row r="19">
      <c r="B19" s="17" t="inlineStr">
        <is>
          <t>جيد</t>
        </is>
      </c>
      <c r="C19" s="21" t="inlineStr">
        <is>
          <t>70% – 79%</t>
        </is>
      </c>
      <c r="D19" s="22" t="inlineStr">
        <is>
          <t>حقق معظم المستهدفات</t>
        </is>
      </c>
    </row>
    <row r="20">
      <c r="B20" s="17" t="inlineStr">
        <is>
          <t>مقبول</t>
        </is>
      </c>
      <c r="C20" s="21" t="inlineStr">
        <is>
          <t>60% – 69%</t>
        </is>
      </c>
      <c r="D20" s="22" t="inlineStr">
        <is>
          <t>يحتاج تحسين</t>
        </is>
      </c>
    </row>
    <row r="21">
      <c r="B21" s="17" t="inlineStr">
        <is>
          <t>ضعيف</t>
        </is>
      </c>
      <c r="C21" s="21" t="inlineStr">
        <is>
          <t>أقل من 60%</t>
        </is>
      </c>
      <c r="D21" s="22" t="inlineStr">
        <is>
          <t>يحتاج خطة تطوير</t>
        </is>
      </c>
    </row>
  </sheetData>
  <sheetProtection selectLockedCells="1" selectUnlockedCells="1" sheet="1" objects="0" insertRows="1" insertHyperlinks="1" autoFilter="1" scenarios="0" formatColumns="1" deleteColumns="1" insertColumns="1" pivotTables="1" deleteRows="1" formatCells="0" formatRows="1" sort="1" password="EFFF"/>
  <mergeCells count="10">
    <mergeCell ref="A1:G1"/>
    <mergeCell ref="B3:C3"/>
    <mergeCell ref="B5:C5"/>
    <mergeCell ref="E5:G5"/>
    <mergeCell ref="C14:D14"/>
    <mergeCell ref="A2:G2"/>
    <mergeCell ref="E4:G4"/>
    <mergeCell ref="E3:G3"/>
    <mergeCell ref="B4:C4"/>
    <mergeCell ref="B16:D16"/>
  </mergeCells>
  <dataValidations count="1">
    <dataValidation sqref="E7 E8 E9 E10 E11 E12" showDropDown="0" showInputMessage="0" showErrorMessage="0" allowBlank="1" errorTitle="نسبة التحقيق" error="أدخل نسبة بين 0% و120%" type="decimal" operator="between">
      <formula1>0</formula1>
      <formula2>1.2</formula2>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21"/>
  <sheetViews>
    <sheetView showGridLines="0" rightToLeft="1" workbookViewId="0">
      <selection activeCell="A1" sqref="A1"/>
    </sheetView>
  </sheetViews>
  <sheetFormatPr baseColWidth="8" defaultRowHeight="15"/>
  <cols>
    <col width="4" customWidth="1" min="1" max="1"/>
    <col width="40" customWidth="1" min="2" max="2"/>
    <col width="10" customWidth="1" min="3" max="3"/>
    <col width="34" customWidth="1" min="4" max="4"/>
    <col width="14" customWidth="1" min="5" max="5"/>
    <col width="14" customWidth="1" min="6" max="6"/>
    <col width="22" customWidth="1" min="7" max="7"/>
  </cols>
  <sheetData>
    <row r="1" ht="28" customHeight="1">
      <c r="A1" s="71" t="inlineStr">
        <is>
          <t>إدارة الامتياز التجاري · نموذج تقييم الأداء — المراقب الميداني</t>
        </is>
      </c>
    </row>
    <row r="2">
      <c r="A2" s="48" t="inlineStr">
        <is>
          <t>الكود: FM-03  ·  ربع سنوي  ·  🟩 أدخل «نسبة التحقيق» فقط — الدرجة تُحسب تلقائياً</t>
        </is>
      </c>
    </row>
    <row r="3">
      <c r="A3" s="72" t="inlineStr">
        <is>
          <t>اسم الموظف:</t>
        </is>
      </c>
      <c r="B3" s="73" t="inlineStr"/>
      <c r="C3" s="74" t="n"/>
      <c r="D3" s="72" t="inlineStr">
        <is>
          <t>القسم: الامتياز التجاري</t>
        </is>
      </c>
      <c r="E3" s="73" t="inlineStr"/>
      <c r="F3" s="75" t="n"/>
      <c r="G3" s="74" t="n"/>
    </row>
    <row r="4">
      <c r="A4" s="72" t="inlineStr">
        <is>
          <t>المدير المباشر:</t>
        </is>
      </c>
      <c r="B4" s="73" t="inlineStr"/>
      <c r="C4" s="74" t="n"/>
      <c r="D4" s="72" t="inlineStr">
        <is>
          <t>الربع / السنة:</t>
        </is>
      </c>
      <c r="E4" s="73" t="inlineStr"/>
      <c r="F4" s="75" t="n"/>
      <c r="G4" s="74" t="n"/>
    </row>
    <row r="5">
      <c r="A5" s="72" t="inlineStr">
        <is>
          <t>تاريخ التقييم:</t>
        </is>
      </c>
      <c r="B5" s="73" t="inlineStr"/>
      <c r="C5" s="74" t="n"/>
      <c r="D5" s="72" t="inlineStr">
        <is>
          <t>حالة التقييم:</t>
        </is>
      </c>
      <c r="E5" s="73" t="inlineStr"/>
      <c r="F5" s="75" t="n"/>
      <c r="G5" s="74" t="n"/>
    </row>
    <row r="6" ht="30" customHeight="1">
      <c r="A6" s="26" t="inlineStr">
        <is>
          <t>#</t>
        </is>
      </c>
      <c r="B6" s="26" t="inlineStr">
        <is>
          <t>مؤشر الأداء</t>
        </is>
      </c>
      <c r="C6" s="26" t="inlineStr">
        <is>
          <t>الوزن %</t>
        </is>
      </c>
      <c r="D6" s="26" t="inlineStr">
        <is>
          <t>المستهدف</t>
        </is>
      </c>
      <c r="E6" s="26" t="inlineStr">
        <is>
          <t>نسبة التحقيق</t>
        </is>
      </c>
      <c r="F6" s="26" t="inlineStr">
        <is>
          <t>الدرجة المحققة</t>
        </is>
      </c>
      <c r="G6" s="26" t="inlineStr">
        <is>
          <t>ملاحظات</t>
        </is>
      </c>
    </row>
    <row r="7" ht="28" customHeight="1">
      <c r="A7" s="17" t="n">
        <v>1</v>
      </c>
      <c r="B7" s="22" t="inlineStr">
        <is>
          <t>عدد الزيارات الميدانية المنفذة</t>
        </is>
      </c>
      <c r="C7" s="57" t="n">
        <v>0.3</v>
      </c>
      <c r="D7" s="76" t="inlineStr">
        <is>
          <t>100% من الزيارات المجدولة</t>
        </is>
      </c>
      <c r="E7" s="56" t="n"/>
      <c r="F7" s="23">
        <f>C7*MIN(E7,1)</f>
        <v/>
      </c>
      <c r="G7" s="73" t="inlineStr"/>
    </row>
    <row r="8" ht="28" customHeight="1">
      <c r="A8" s="17" t="n">
        <v>2</v>
      </c>
      <c r="B8" s="22" t="inlineStr">
        <is>
          <t>متابعة تطبيق الهوية المؤسسية</t>
        </is>
      </c>
      <c r="C8" s="57" t="n">
        <v>0.2</v>
      </c>
      <c r="D8" s="76" t="inlineStr">
        <is>
          <t>100% دون ملاحظات متكررة</t>
        </is>
      </c>
      <c r="E8" s="56" t="n"/>
      <c r="F8" s="23">
        <f>C8*MIN(E8,1)</f>
        <v/>
      </c>
      <c r="G8" s="73" t="inlineStr"/>
    </row>
    <row r="9" ht="28" customHeight="1">
      <c r="A9" s="17" t="n">
        <v>3</v>
      </c>
      <c r="B9" s="22" t="inlineStr">
        <is>
          <t>تقارير الجودة الميدانية والـChecklist</t>
        </is>
      </c>
      <c r="C9" s="57" t="n">
        <v>0.2</v>
      </c>
      <c r="D9" s="76" t="inlineStr">
        <is>
          <t>100% رفع التقارير</t>
        </is>
      </c>
      <c r="E9" s="56" t="n"/>
      <c r="F9" s="23">
        <f>C9*MIN(E9,1)</f>
        <v/>
      </c>
      <c r="G9" s="73" t="inlineStr"/>
    </row>
    <row r="10" ht="28" customHeight="1">
      <c r="A10" s="17" t="n">
        <v>4</v>
      </c>
      <c r="B10" s="22" t="inlineStr">
        <is>
          <t>متابعة العلامات التجارية</t>
        </is>
      </c>
      <c r="C10" s="57" t="n">
        <v>0.1</v>
      </c>
      <c r="D10" s="76" t="inlineStr">
        <is>
          <t>100% حسب الجدول</t>
        </is>
      </c>
      <c r="E10" s="56" t="n"/>
      <c r="F10" s="23">
        <f>C10*MIN(E10,1)</f>
        <v/>
      </c>
      <c r="G10" s="73" t="inlineStr"/>
    </row>
    <row r="11" ht="28" customHeight="1">
      <c r="A11" s="17" t="n">
        <v>5</v>
      </c>
      <c r="B11" s="22" t="inlineStr">
        <is>
          <t>تطبيق معايير السلامة الميدانية</t>
        </is>
      </c>
      <c r="C11" s="57" t="n">
        <v>0.1</v>
      </c>
      <c r="D11" s="76" t="inlineStr">
        <is>
          <t>100%</t>
        </is>
      </c>
      <c r="E11" s="56" t="n"/>
      <c r="F11" s="23">
        <f>C11*MIN(E11,1)</f>
        <v/>
      </c>
      <c r="G11" s="73" t="inlineStr"/>
    </row>
    <row r="12" ht="28" customHeight="1">
      <c r="A12" s="17" t="n">
        <v>6</v>
      </c>
      <c r="B12" s="22" t="inlineStr">
        <is>
          <t>متابعة الشكاوى وإغلاقها</t>
        </is>
      </c>
      <c r="C12" s="57" t="n">
        <v>0.1</v>
      </c>
      <c r="D12" s="76" t="inlineStr">
        <is>
          <t>الاستجابة خلال 24 ساعة</t>
        </is>
      </c>
      <c r="E12" s="56" t="n"/>
      <c r="F12" s="23">
        <f>C12*MIN(E12,1)</f>
        <v/>
      </c>
      <c r="G12" s="73" t="inlineStr"/>
    </row>
    <row r="13">
      <c r="A13" s="67" t="inlineStr"/>
      <c r="B13" s="68" t="inlineStr">
        <is>
          <t>المجموع الكلي</t>
        </is>
      </c>
      <c r="C13" s="77">
        <f>SUM(C7:C12)</f>
        <v/>
      </c>
      <c r="D13" s="67" t="inlineStr"/>
      <c r="E13" s="68" t="inlineStr">
        <is>
          <t>الدرجة:</t>
        </is>
      </c>
      <c r="F13" s="78">
        <f>SUM(F7:F12)</f>
        <v/>
      </c>
      <c r="G13" s="67" t="inlineStr"/>
    </row>
    <row r="14">
      <c r="B14" s="5" t="inlineStr">
        <is>
          <t>التقدير</t>
        </is>
      </c>
      <c r="C14" s="79">
        <f>IF(F13&gt;=0.9,"ممتاز",IF(F13&gt;=0.8,"جيد جداً",IF(F13&gt;=0.7,"جيد",IF(F13&gt;=0.6,"مقبول","ضعيف"))))</f>
        <v/>
      </c>
      <c r="D14" s="37" t="n"/>
    </row>
    <row r="16">
      <c r="B16" s="5" t="inlineStr">
        <is>
          <t>سلّم التقييم</t>
        </is>
      </c>
      <c r="C16" s="36" t="n"/>
      <c r="D16" s="37" t="n"/>
    </row>
    <row r="17">
      <c r="B17" s="17" t="inlineStr">
        <is>
          <t>ممتاز</t>
        </is>
      </c>
      <c r="C17" s="21" t="inlineStr">
        <is>
          <t>90% – 100%</t>
        </is>
      </c>
      <c r="D17" s="22" t="inlineStr">
        <is>
          <t>تجاوز المستهدف</t>
        </is>
      </c>
    </row>
    <row r="18">
      <c r="B18" s="17" t="inlineStr">
        <is>
          <t>جيد جداً</t>
        </is>
      </c>
      <c r="C18" s="21" t="inlineStr">
        <is>
          <t>80% – 89%</t>
        </is>
      </c>
      <c r="D18" s="22" t="inlineStr">
        <is>
          <t>حقق المستهدف تقريباً</t>
        </is>
      </c>
    </row>
    <row r="19">
      <c r="B19" s="17" t="inlineStr">
        <is>
          <t>جيد</t>
        </is>
      </c>
      <c r="C19" s="21" t="inlineStr">
        <is>
          <t>70% – 79%</t>
        </is>
      </c>
      <c r="D19" s="22" t="inlineStr">
        <is>
          <t>حقق معظم المستهدفات</t>
        </is>
      </c>
    </row>
    <row r="20">
      <c r="B20" s="17" t="inlineStr">
        <is>
          <t>مقبول</t>
        </is>
      </c>
      <c r="C20" s="21" t="inlineStr">
        <is>
          <t>60% – 69%</t>
        </is>
      </c>
      <c r="D20" s="22" t="inlineStr">
        <is>
          <t>يحتاج تحسين</t>
        </is>
      </c>
    </row>
    <row r="21">
      <c r="B21" s="17" t="inlineStr">
        <is>
          <t>ضعيف</t>
        </is>
      </c>
      <c r="C21" s="21" t="inlineStr">
        <is>
          <t>أقل من 60%</t>
        </is>
      </c>
      <c r="D21" s="22" t="inlineStr">
        <is>
          <t>يحتاج خطة تطوير</t>
        </is>
      </c>
    </row>
  </sheetData>
  <sheetProtection selectLockedCells="1" selectUnlockedCells="1" sheet="1" objects="0" insertRows="1" insertHyperlinks="1" autoFilter="1" scenarios="0" formatColumns="1" deleteColumns="1" insertColumns="1" pivotTables="1" deleteRows="1" formatCells="0" formatRows="1" sort="1" password="EFFF"/>
  <mergeCells count="10">
    <mergeCell ref="A1:G1"/>
    <mergeCell ref="B3:C3"/>
    <mergeCell ref="B5:C5"/>
    <mergeCell ref="E5:G5"/>
    <mergeCell ref="C14:D14"/>
    <mergeCell ref="A2:G2"/>
    <mergeCell ref="E4:G4"/>
    <mergeCell ref="E3:G3"/>
    <mergeCell ref="B4:C4"/>
    <mergeCell ref="B16:D16"/>
  </mergeCells>
  <dataValidations count="1">
    <dataValidation sqref="E7 E8 E9 E10 E11 E12" showDropDown="0" showInputMessage="0" showErrorMessage="0" allowBlank="1" errorTitle="نسبة التحقيق" error="أدخل نسبة بين 0% و120%" type="decimal" operator="between">
      <formula1>0</formula1>
      <formula2>1.2</formula2>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22"/>
  <sheetViews>
    <sheetView showGridLines="0" rightToLeft="1" workbookViewId="0">
      <selection activeCell="A1" sqref="A1"/>
    </sheetView>
  </sheetViews>
  <sheetFormatPr baseColWidth="8" defaultRowHeight="15"/>
  <cols>
    <col width="4" customWidth="1" min="1" max="1"/>
    <col width="40" customWidth="1" min="2" max="2"/>
    <col width="10" customWidth="1" min="3" max="3"/>
    <col width="34" customWidth="1" min="4" max="4"/>
    <col width="14" customWidth="1" min="5" max="5"/>
    <col width="14" customWidth="1" min="6" max="6"/>
    <col width="22" customWidth="1" min="7" max="7"/>
  </cols>
  <sheetData>
    <row r="1" ht="28" customHeight="1">
      <c r="A1" s="71" t="inlineStr">
        <is>
          <t>إدارة الامتياز التجاري · نموذج تقييم الأداء — مسؤول التعاقدات</t>
        </is>
      </c>
    </row>
    <row r="2">
      <c r="A2" s="48" t="inlineStr">
        <is>
          <t>الكود: FM-04  ·  ربع سنوي  ·  🟩 أدخل «نسبة التحقيق» فقط — الدرجة تُحسب تلقائياً</t>
        </is>
      </c>
    </row>
    <row r="3">
      <c r="A3" s="72" t="inlineStr">
        <is>
          <t>اسم الموظف:</t>
        </is>
      </c>
      <c r="B3" s="73" t="inlineStr"/>
      <c r="C3" s="74" t="n"/>
      <c r="D3" s="72" t="inlineStr">
        <is>
          <t>القسم: الامتياز التجاري</t>
        </is>
      </c>
      <c r="E3" s="73" t="inlineStr"/>
      <c r="F3" s="75" t="n"/>
      <c r="G3" s="74" t="n"/>
    </row>
    <row r="4">
      <c r="A4" s="72" t="inlineStr">
        <is>
          <t>المدير المباشر:</t>
        </is>
      </c>
      <c r="B4" s="73" t="inlineStr"/>
      <c r="C4" s="74" t="n"/>
      <c r="D4" s="72" t="inlineStr">
        <is>
          <t>الربع / السنة:</t>
        </is>
      </c>
      <c r="E4" s="73" t="inlineStr"/>
      <c r="F4" s="75" t="n"/>
      <c r="G4" s="74" t="n"/>
    </row>
    <row r="5">
      <c r="A5" s="72" t="inlineStr">
        <is>
          <t>تاريخ التقييم:</t>
        </is>
      </c>
      <c r="B5" s="73" t="inlineStr"/>
      <c r="C5" s="74" t="n"/>
      <c r="D5" s="72" t="inlineStr">
        <is>
          <t>حالة التقييم:</t>
        </is>
      </c>
      <c r="E5" s="73" t="inlineStr"/>
      <c r="F5" s="75" t="n"/>
      <c r="G5" s="74" t="n"/>
    </row>
    <row r="6" ht="30" customHeight="1">
      <c r="A6" s="26" t="inlineStr">
        <is>
          <t>#</t>
        </is>
      </c>
      <c r="B6" s="26" t="inlineStr">
        <is>
          <t>مؤشر الأداء</t>
        </is>
      </c>
      <c r="C6" s="26" t="inlineStr">
        <is>
          <t>الوزن %</t>
        </is>
      </c>
      <c r="D6" s="26" t="inlineStr">
        <is>
          <t>المستهدف</t>
        </is>
      </c>
      <c r="E6" s="26" t="inlineStr">
        <is>
          <t>نسبة التحقيق</t>
        </is>
      </c>
      <c r="F6" s="26" t="inlineStr">
        <is>
          <t>الدرجة المحققة</t>
        </is>
      </c>
      <c r="G6" s="26" t="inlineStr">
        <is>
          <t>ملاحظات</t>
        </is>
      </c>
    </row>
    <row r="7" ht="28" customHeight="1">
      <c r="A7" s="17" t="n">
        <v>1</v>
      </c>
      <c r="B7" s="22" t="inlineStr">
        <is>
          <t>جودة التفاوض مع العملاء</t>
        </is>
      </c>
      <c r="C7" s="57" t="n">
        <v>0.2</v>
      </c>
      <c r="D7" s="76" t="inlineStr">
        <is>
          <t>98% توافق مع المستهدفات</t>
        </is>
      </c>
      <c r="E7" s="56" t="n"/>
      <c r="F7" s="23">
        <f>C7*MIN(E7,1)</f>
        <v/>
      </c>
      <c r="G7" s="73" t="inlineStr"/>
    </row>
    <row r="8" ht="28" customHeight="1">
      <c r="A8" s="17" t="n">
        <v>2</v>
      </c>
      <c r="B8" s="22" t="inlineStr">
        <is>
          <t>اكتمال المستندات النظامية قبل التوقيع</t>
        </is>
      </c>
      <c r="C8" s="57" t="n">
        <v>0.15</v>
      </c>
      <c r="D8" s="76" t="inlineStr">
        <is>
          <t>100%</t>
        </is>
      </c>
      <c r="E8" s="56" t="n"/>
      <c r="F8" s="23">
        <f>C8*MIN(E8,1)</f>
        <v/>
      </c>
      <c r="G8" s="73" t="inlineStr"/>
    </row>
    <row r="9" ht="28" customHeight="1">
      <c r="A9" s="17" t="n">
        <v>3</v>
      </c>
      <c r="B9" s="22" t="inlineStr">
        <is>
          <t>سرعة إنجاز إجراءات العقد</t>
        </is>
      </c>
      <c r="C9" s="57" t="n">
        <v>0.3</v>
      </c>
      <c r="D9" s="76" t="inlineStr">
        <is>
          <t>خلال يومي عمل 100%</t>
        </is>
      </c>
      <c r="E9" s="56" t="n"/>
      <c r="F9" s="23">
        <f>C9*MIN(E9,1)</f>
        <v/>
      </c>
      <c r="G9" s="73" t="inlineStr"/>
    </row>
    <row r="10" ht="28" customHeight="1">
      <c r="A10" s="17" t="n">
        <v>4</v>
      </c>
      <c r="B10" s="22" t="inlineStr">
        <is>
          <t>أرشفة العقود الإلكترونية</t>
        </is>
      </c>
      <c r="C10" s="57" t="n">
        <v>0.1</v>
      </c>
      <c r="D10" s="76" t="inlineStr">
        <is>
          <t>خلال 48 ساعة 100%</t>
        </is>
      </c>
      <c r="E10" s="56" t="n"/>
      <c r="F10" s="23">
        <f>C10*MIN(E10,1)</f>
        <v/>
      </c>
      <c r="G10" s="73" t="inlineStr"/>
    </row>
    <row r="11" ht="28" customHeight="1">
      <c r="A11" s="17" t="n">
        <v>5</v>
      </c>
      <c r="B11" s="22" t="inlineStr">
        <is>
          <t>متابعة تنفيذ بنود العقد</t>
        </is>
      </c>
      <c r="C11" s="57" t="n">
        <v>0.1</v>
      </c>
      <c r="D11" s="76" t="inlineStr">
        <is>
          <t>100%</t>
        </is>
      </c>
      <c r="E11" s="56" t="n"/>
      <c r="F11" s="23">
        <f>C11*MIN(E11,1)</f>
        <v/>
      </c>
      <c r="G11" s="73" t="inlineStr"/>
    </row>
    <row r="12" ht="28" customHeight="1">
      <c r="A12" s="17" t="n">
        <v>6</v>
      </c>
      <c r="B12" s="22" t="inlineStr">
        <is>
          <t>مدى رضا العملاء</t>
        </is>
      </c>
      <c r="C12" s="57" t="n">
        <v>0.1</v>
      </c>
      <c r="D12" s="76" t="inlineStr">
        <is>
          <t>95% رضا</t>
        </is>
      </c>
      <c r="E12" s="56" t="n"/>
      <c r="F12" s="23">
        <f>C12*MIN(E12,1)</f>
        <v/>
      </c>
      <c r="G12" s="73" t="inlineStr"/>
    </row>
    <row r="13" ht="28" customHeight="1">
      <c r="A13" s="17" t="n">
        <v>7</v>
      </c>
      <c r="B13" s="22" t="inlineStr">
        <is>
          <t>تحديث قاعدة بيانات العملاء</t>
        </is>
      </c>
      <c r="C13" s="57" t="n">
        <v>0.05</v>
      </c>
      <c r="D13" s="76" t="inlineStr">
        <is>
          <t>100% دوري</t>
        </is>
      </c>
      <c r="E13" s="56" t="n"/>
      <c r="F13" s="23">
        <f>C13*MIN(E13,1)</f>
        <v/>
      </c>
      <c r="G13" s="73" t="inlineStr"/>
    </row>
    <row r="14">
      <c r="A14" s="67" t="inlineStr"/>
      <c r="B14" s="68" t="inlineStr">
        <is>
          <t>المجموع الكلي</t>
        </is>
      </c>
      <c r="C14" s="77">
        <f>SUM(C7:C13)</f>
        <v/>
      </c>
      <c r="D14" s="67" t="inlineStr"/>
      <c r="E14" s="68" t="inlineStr">
        <is>
          <t>الدرجة:</t>
        </is>
      </c>
      <c r="F14" s="78">
        <f>SUM(F7:F13)</f>
        <v/>
      </c>
      <c r="G14" s="67" t="inlineStr"/>
    </row>
    <row r="15">
      <c r="B15" s="5" t="inlineStr">
        <is>
          <t>التقدير</t>
        </is>
      </c>
      <c r="C15" s="79">
        <f>IF(F14&gt;=0.9,"ممتاز",IF(F14&gt;=0.8,"جيد جداً",IF(F14&gt;=0.7,"جيد",IF(F14&gt;=0.6,"مقبول","ضعيف"))))</f>
        <v/>
      </c>
      <c r="D15" s="37" t="n"/>
    </row>
    <row r="17">
      <c r="B17" s="5" t="inlineStr">
        <is>
          <t>سلّم التقييم</t>
        </is>
      </c>
      <c r="C17" s="36" t="n"/>
      <c r="D17" s="37" t="n"/>
    </row>
    <row r="18">
      <c r="B18" s="17" t="inlineStr">
        <is>
          <t>ممتاز</t>
        </is>
      </c>
      <c r="C18" s="21" t="inlineStr">
        <is>
          <t>90% – 100%</t>
        </is>
      </c>
      <c r="D18" s="22" t="inlineStr">
        <is>
          <t>تجاوز المستهدف</t>
        </is>
      </c>
    </row>
    <row r="19">
      <c r="B19" s="17" t="inlineStr">
        <is>
          <t>جيد جداً</t>
        </is>
      </c>
      <c r="C19" s="21" t="inlineStr">
        <is>
          <t>80% – 89%</t>
        </is>
      </c>
      <c r="D19" s="22" t="inlineStr">
        <is>
          <t>حقق المستهدف تقريباً</t>
        </is>
      </c>
    </row>
    <row r="20">
      <c r="B20" s="17" t="inlineStr">
        <is>
          <t>جيد</t>
        </is>
      </c>
      <c r="C20" s="21" t="inlineStr">
        <is>
          <t>70% – 79%</t>
        </is>
      </c>
      <c r="D20" s="22" t="inlineStr">
        <is>
          <t>حقق معظم المستهدفات</t>
        </is>
      </c>
    </row>
    <row r="21">
      <c r="B21" s="17" t="inlineStr">
        <is>
          <t>مقبول</t>
        </is>
      </c>
      <c r="C21" s="21" t="inlineStr">
        <is>
          <t>60% – 69%</t>
        </is>
      </c>
      <c r="D21" s="22" t="inlineStr">
        <is>
          <t>يحتاج تحسين</t>
        </is>
      </c>
    </row>
    <row r="22">
      <c r="B22" s="17" t="inlineStr">
        <is>
          <t>ضعيف</t>
        </is>
      </c>
      <c r="C22" s="21" t="inlineStr">
        <is>
          <t>أقل من 60%</t>
        </is>
      </c>
      <c r="D22" s="22" t="inlineStr">
        <is>
          <t>يحتاج خطة تطوير</t>
        </is>
      </c>
    </row>
  </sheetData>
  <sheetProtection selectLockedCells="1" selectUnlockedCells="1" sheet="1" objects="0" insertRows="1" insertHyperlinks="1" autoFilter="1" scenarios="0" formatColumns="1" deleteColumns="1" insertColumns="1" pivotTables="1" deleteRows="1" formatCells="0" formatRows="1" sort="1" password="EFFF"/>
  <mergeCells count="10">
    <mergeCell ref="A1:G1"/>
    <mergeCell ref="C15:D15"/>
    <mergeCell ref="B3:C3"/>
    <mergeCell ref="B5:C5"/>
    <mergeCell ref="E5:G5"/>
    <mergeCell ref="B17:D17"/>
    <mergeCell ref="A2:G2"/>
    <mergeCell ref="E4:G4"/>
    <mergeCell ref="E3:G3"/>
    <mergeCell ref="B4:C4"/>
  </mergeCells>
  <dataValidations count="1">
    <dataValidation sqref="E7 E8 E9 E10 E11 E12 E13" showDropDown="0" showInputMessage="0" showErrorMessage="0" allowBlank="1" errorTitle="نسبة التحقيق" error="أدخل نسبة بين 0% و120%" type="decimal" operator="between">
      <formula1>0</formula1>
      <formula2>1.2</formula2>
    </dataValidation>
  </dataValidation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G20"/>
  <sheetViews>
    <sheetView showGridLines="0" rightToLeft="1" workbookViewId="0">
      <selection activeCell="A1" sqref="A1"/>
    </sheetView>
  </sheetViews>
  <sheetFormatPr baseColWidth="8" defaultRowHeight="15"/>
  <cols>
    <col width="4" customWidth="1" min="1" max="1"/>
    <col width="40" customWidth="1" min="2" max="2"/>
    <col width="10" customWidth="1" min="3" max="3"/>
    <col width="34" customWidth="1" min="4" max="4"/>
    <col width="14" customWidth="1" min="5" max="5"/>
    <col width="14" customWidth="1" min="6" max="6"/>
    <col width="22" customWidth="1" min="7" max="7"/>
  </cols>
  <sheetData>
    <row r="1" ht="28" customHeight="1">
      <c r="A1" s="71" t="inlineStr">
        <is>
          <t>إدارة الامتياز التجاري · نموذج تقييم الأداء — الموظف الإداري</t>
        </is>
      </c>
    </row>
    <row r="2">
      <c r="A2" s="48" t="inlineStr">
        <is>
          <t>الكود: FM-05  ·  ربع سنوي  ·  🟩 أدخل «نسبة التحقيق» فقط — الدرجة تُحسب تلقائياً</t>
        </is>
      </c>
    </row>
    <row r="3">
      <c r="A3" s="72" t="inlineStr">
        <is>
          <t>اسم الموظف:</t>
        </is>
      </c>
      <c r="B3" s="73" t="inlineStr"/>
      <c r="C3" s="74" t="n"/>
      <c r="D3" s="72" t="inlineStr">
        <is>
          <t>القسم: الامتياز التجاري</t>
        </is>
      </c>
      <c r="E3" s="73" t="inlineStr"/>
      <c r="F3" s="75" t="n"/>
      <c r="G3" s="74" t="n"/>
    </row>
    <row r="4">
      <c r="A4" s="72" t="inlineStr">
        <is>
          <t>المدير المباشر:</t>
        </is>
      </c>
      <c r="B4" s="73" t="inlineStr"/>
      <c r="C4" s="74" t="n"/>
      <c r="D4" s="72" t="inlineStr">
        <is>
          <t>الربع / السنة:</t>
        </is>
      </c>
      <c r="E4" s="73" t="inlineStr"/>
      <c r="F4" s="75" t="n"/>
      <c r="G4" s="74" t="n"/>
    </row>
    <row r="5">
      <c r="A5" s="72" t="inlineStr">
        <is>
          <t>تاريخ التقييم:</t>
        </is>
      </c>
      <c r="B5" s="73" t="inlineStr"/>
      <c r="C5" s="74" t="n"/>
      <c r="D5" s="72" t="inlineStr">
        <is>
          <t>حالة التقييم:</t>
        </is>
      </c>
      <c r="E5" s="73" t="inlineStr"/>
      <c r="F5" s="75" t="n"/>
      <c r="G5" s="74" t="n"/>
    </row>
    <row r="6" ht="30" customHeight="1">
      <c r="A6" s="26" t="inlineStr">
        <is>
          <t>#</t>
        </is>
      </c>
      <c r="B6" s="26" t="inlineStr">
        <is>
          <t>مؤشر الأداء</t>
        </is>
      </c>
      <c r="C6" s="26" t="inlineStr">
        <is>
          <t>الوزن %</t>
        </is>
      </c>
      <c r="D6" s="26" t="inlineStr">
        <is>
          <t>المستهدف</t>
        </is>
      </c>
      <c r="E6" s="26" t="inlineStr">
        <is>
          <t>نسبة التحقيق</t>
        </is>
      </c>
      <c r="F6" s="26" t="inlineStr">
        <is>
          <t>الدرجة المحققة</t>
        </is>
      </c>
      <c r="G6" s="26" t="inlineStr">
        <is>
          <t>ملاحظات</t>
        </is>
      </c>
    </row>
    <row r="7" ht="28" customHeight="1">
      <c r="A7" s="17" t="n">
        <v>1</v>
      </c>
      <c r="B7" s="22" t="inlineStr">
        <is>
          <t>دقة وسرعة إعداد التقارير الدورية</t>
        </is>
      </c>
      <c r="C7" s="57" t="n">
        <v>0.3</v>
      </c>
      <c r="D7" s="76" t="inlineStr">
        <is>
          <t>100% في الوقت المحدد</t>
        </is>
      </c>
      <c r="E7" s="56" t="n"/>
      <c r="F7" s="23">
        <f>C7*MIN(E7,1)</f>
        <v/>
      </c>
      <c r="G7" s="73" t="inlineStr"/>
    </row>
    <row r="8" ht="28" customHeight="1">
      <c r="A8" s="17" t="n">
        <v>2</v>
      </c>
      <c r="B8" s="22" t="inlineStr">
        <is>
          <t>متابعة الشكاوى وحالات العملاء</t>
        </is>
      </c>
      <c r="C8" s="57" t="n">
        <v>0.3</v>
      </c>
      <c r="D8" s="76" t="inlineStr">
        <is>
          <t>100% حتى الإغلاق</t>
        </is>
      </c>
      <c r="E8" s="56" t="n"/>
      <c r="F8" s="23">
        <f>C8*MIN(E8,1)</f>
        <v/>
      </c>
      <c r="G8" s="73" t="inlineStr"/>
    </row>
    <row r="9" ht="28" customHeight="1">
      <c r="A9" s="17" t="n">
        <v>3</v>
      </c>
      <c r="B9" s="22" t="inlineStr">
        <is>
          <t>متابعة عمولات تأجير الوحدات</t>
        </is>
      </c>
      <c r="C9" s="57" t="n">
        <v>0.2</v>
      </c>
      <c r="D9" s="76" t="inlineStr">
        <is>
          <t>100%</t>
        </is>
      </c>
      <c r="E9" s="56" t="n"/>
      <c r="F9" s="23">
        <f>C9*MIN(E9,1)</f>
        <v/>
      </c>
      <c r="G9" s="73" t="inlineStr"/>
    </row>
    <row r="10" ht="28" customHeight="1">
      <c r="A10" s="17" t="n">
        <v>4</v>
      </c>
      <c r="B10" s="22" t="inlineStr">
        <is>
          <t>تحديث بيانات العملاء والمحطات</t>
        </is>
      </c>
      <c r="C10" s="57" t="n">
        <v>0.1</v>
      </c>
      <c r="D10" s="76" t="inlineStr">
        <is>
          <t>100% دقة</t>
        </is>
      </c>
      <c r="E10" s="56" t="n"/>
      <c r="F10" s="23">
        <f>C10*MIN(E10,1)</f>
        <v/>
      </c>
      <c r="G10" s="73" t="inlineStr"/>
    </row>
    <row r="11" ht="28" customHeight="1">
      <c r="A11" s="17" t="n">
        <v>5</v>
      </c>
      <c r="B11" s="22" t="inlineStr">
        <is>
          <t>إعداد المراسلات الرسمية</t>
        </is>
      </c>
      <c r="C11" s="57" t="n">
        <v>0.1</v>
      </c>
      <c r="D11" s="76" t="inlineStr">
        <is>
          <t>100% في الوقت المحدد</t>
        </is>
      </c>
      <c r="E11" s="56" t="n"/>
      <c r="F11" s="23">
        <f>C11*MIN(E11,1)</f>
        <v/>
      </c>
      <c r="G11" s="73" t="inlineStr"/>
    </row>
    <row r="12">
      <c r="A12" s="67" t="inlineStr"/>
      <c r="B12" s="68" t="inlineStr">
        <is>
          <t>المجموع الكلي</t>
        </is>
      </c>
      <c r="C12" s="77">
        <f>SUM(C7:C11)</f>
        <v/>
      </c>
      <c r="D12" s="67" t="inlineStr"/>
      <c r="E12" s="68" t="inlineStr">
        <is>
          <t>الدرجة:</t>
        </is>
      </c>
      <c r="F12" s="78">
        <f>SUM(F7:F11)</f>
        <v/>
      </c>
      <c r="G12" s="67" t="inlineStr"/>
    </row>
    <row r="13">
      <c r="B13" s="5" t="inlineStr">
        <is>
          <t>التقدير</t>
        </is>
      </c>
      <c r="C13" s="79">
        <f>IF(F12&gt;=0.9,"ممتاز",IF(F12&gt;=0.8,"جيد جداً",IF(F12&gt;=0.7,"جيد",IF(F12&gt;=0.6,"مقبول","ضعيف"))))</f>
        <v/>
      </c>
      <c r="D13" s="37" t="n"/>
    </row>
    <row r="15">
      <c r="B15" s="5" t="inlineStr">
        <is>
          <t>سلّم التقييم</t>
        </is>
      </c>
      <c r="C15" s="36" t="n"/>
      <c r="D15" s="37" t="n"/>
    </row>
    <row r="16">
      <c r="B16" s="17" t="inlineStr">
        <is>
          <t>ممتاز</t>
        </is>
      </c>
      <c r="C16" s="21" t="inlineStr">
        <is>
          <t>90% – 100%</t>
        </is>
      </c>
      <c r="D16" s="22" t="inlineStr">
        <is>
          <t>تجاوز المستهدف</t>
        </is>
      </c>
    </row>
    <row r="17">
      <c r="B17" s="17" t="inlineStr">
        <is>
          <t>جيد جداً</t>
        </is>
      </c>
      <c r="C17" s="21" t="inlineStr">
        <is>
          <t>80% – 89%</t>
        </is>
      </c>
      <c r="D17" s="22" t="inlineStr">
        <is>
          <t>حقق المستهدف تقريباً</t>
        </is>
      </c>
    </row>
    <row r="18">
      <c r="B18" s="17" t="inlineStr">
        <is>
          <t>جيد</t>
        </is>
      </c>
      <c r="C18" s="21" t="inlineStr">
        <is>
          <t>70% – 79%</t>
        </is>
      </c>
      <c r="D18" s="22" t="inlineStr">
        <is>
          <t>حقق معظم المستهدفات</t>
        </is>
      </c>
    </row>
    <row r="19">
      <c r="B19" s="17" t="inlineStr">
        <is>
          <t>مقبول</t>
        </is>
      </c>
      <c r="C19" s="21" t="inlineStr">
        <is>
          <t>60% – 69%</t>
        </is>
      </c>
      <c r="D19" s="22" t="inlineStr">
        <is>
          <t>يحتاج تحسين</t>
        </is>
      </c>
    </row>
    <row r="20">
      <c r="B20" s="17" t="inlineStr">
        <is>
          <t>ضعيف</t>
        </is>
      </c>
      <c r="C20" s="21" t="inlineStr">
        <is>
          <t>أقل من 60%</t>
        </is>
      </c>
      <c r="D20" s="22" t="inlineStr">
        <is>
          <t>يحتاج خطة تطوير</t>
        </is>
      </c>
    </row>
  </sheetData>
  <sheetProtection selectLockedCells="1" selectUnlockedCells="1" sheet="1" objects="0" insertRows="1" insertHyperlinks="1" autoFilter="1" scenarios="0" formatColumns="1" deleteColumns="1" insertColumns="1" pivotTables="1" deleteRows="1" formatCells="0" formatRows="1" sort="1" password="EFFF"/>
  <mergeCells count="10">
    <mergeCell ref="A1:G1"/>
    <mergeCell ref="B3:C3"/>
    <mergeCell ref="B5:C5"/>
    <mergeCell ref="E5:G5"/>
    <mergeCell ref="A2:G2"/>
    <mergeCell ref="E4:G4"/>
    <mergeCell ref="C13:D13"/>
    <mergeCell ref="E3:G3"/>
    <mergeCell ref="B15:D15"/>
    <mergeCell ref="B4:C4"/>
  </mergeCells>
  <dataValidations count="1">
    <dataValidation sqref="E7 E8 E9 E10 E11" showDropDown="0" showInputMessage="0" showErrorMessage="0" allowBlank="1" errorTitle="نسبة التحقيق" error="أدخل نسبة بين 0% و120%" type="decimal" operator="between">
      <formula1>0</formula1>
      <formula2>1.2</formula2>
    </dataValidation>
  </dataValidation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C20"/>
  <sheetViews>
    <sheetView showGridLines="0" rightToLeft="1" workbookViewId="0">
      <pane xSplit="8" ySplit="3" topLeftCell="I4" activePane="bottomRight" state="frozen"/>
      <selection pane="topRight"/>
      <selection pane="bottomLeft"/>
      <selection pane="bottomRight" activeCell="A1" sqref="A1"/>
    </sheetView>
  </sheetViews>
  <sheetFormatPr baseColWidth="8" defaultRowHeight="15"/>
  <cols>
    <col width="4" customWidth="1" min="1" max="1"/>
    <col width="20" customWidth="1" min="2" max="2"/>
    <col width="40" customWidth="1" min="3" max="3"/>
    <col width="10" customWidth="1" min="4" max="4"/>
    <col width="8" customWidth="1" min="5" max="5"/>
    <col width="9" customWidth="1" min="6" max="6"/>
    <col width="12" customWidth="1" min="7" max="7"/>
    <col width="16"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12" customWidth="1" min="21" max="21"/>
    <col width="12" customWidth="1" min="22" max="22"/>
    <col width="14" customWidth="1" min="23" max="23"/>
    <col width="16" customWidth="1" min="24" max="24"/>
    <col width="22" customWidth="1" min="25" max="25"/>
    <col width="12" customWidth="1" min="26" max="26"/>
    <col width="10" customWidth="1" min="27" max="27"/>
    <col width="9" customWidth="1" min="28" max="28"/>
    <col width="14" customWidth="1" min="29" max="29"/>
  </cols>
  <sheetData>
    <row r="1" ht="30" customHeight="1">
      <c r="A1" s="24" t="inlineStr">
        <is>
          <t>إدارة التشغيل والمحطات · مؤشرات الأداء 2026  (16 مؤشر / 7 محاور)</t>
        </is>
      </c>
    </row>
    <row r="2">
      <c r="A2" s="48" t="inlineStr">
        <is>
          <t>🟩 الأخضر = إدخال (الأرقام الشهرية + خط الأساس + الوزن)  ·  🔵 قائد/🟣 لاحق  ·  الدرجة الموزونة والحالة تلقائية</t>
        </is>
      </c>
    </row>
    <row r="3" ht="34" customHeight="1">
      <c r="A3" s="26" t="inlineStr">
        <is>
          <t>#</t>
        </is>
      </c>
      <c r="B3" s="26" t="inlineStr">
        <is>
          <t>المحور</t>
        </is>
      </c>
      <c r="C3" s="26" t="inlineStr">
        <is>
          <t>المؤشر</t>
        </is>
      </c>
      <c r="D3" s="26" t="inlineStr">
        <is>
          <t>الوحدة</t>
        </is>
      </c>
      <c r="E3" s="26" t="inlineStr">
        <is>
          <t>القطبية</t>
        </is>
      </c>
      <c r="F3" s="26" t="inlineStr">
        <is>
          <t>التجميع</t>
        </is>
      </c>
      <c r="G3" s="26" t="inlineStr">
        <is>
          <t>المستهدف</t>
        </is>
      </c>
      <c r="H3" s="26" t="inlineStr">
        <is>
          <t>نص المستهدف</t>
        </is>
      </c>
      <c r="I3" s="26" t="inlineStr">
        <is>
          <t>يناير</t>
        </is>
      </c>
      <c r="J3" s="26" t="inlineStr">
        <is>
          <t>فبراير</t>
        </is>
      </c>
      <c r="K3" s="26" t="inlineStr">
        <is>
          <t>مارس</t>
        </is>
      </c>
      <c r="L3" s="26" t="inlineStr">
        <is>
          <t>أبريل</t>
        </is>
      </c>
      <c r="M3" s="26" t="inlineStr">
        <is>
          <t>مايو</t>
        </is>
      </c>
      <c r="N3" s="26" t="inlineStr">
        <is>
          <t>يونيو</t>
        </is>
      </c>
      <c r="O3" s="26" t="inlineStr">
        <is>
          <t>يوليو</t>
        </is>
      </c>
      <c r="P3" s="26" t="inlineStr">
        <is>
          <t>أغسطس</t>
        </is>
      </c>
      <c r="Q3" s="26" t="inlineStr">
        <is>
          <t>سبتمبر</t>
        </is>
      </c>
      <c r="R3" s="26" t="inlineStr">
        <is>
          <t>أكتوبر</t>
        </is>
      </c>
      <c r="S3" s="26" t="inlineStr">
        <is>
          <t>نوفمبر</t>
        </is>
      </c>
      <c r="T3" s="26" t="inlineStr">
        <is>
          <t>ديسمبر</t>
        </is>
      </c>
      <c r="U3" s="26" t="inlineStr">
        <is>
          <t>YTD</t>
        </is>
      </c>
      <c r="V3" s="26" t="inlineStr">
        <is>
          <t>نسبة التحقيق</t>
        </is>
      </c>
      <c r="W3" s="26" t="inlineStr">
        <is>
          <t>الحالة</t>
        </is>
      </c>
      <c r="X3" s="26" t="inlineStr">
        <is>
          <t>الركيزة (5س)</t>
        </is>
      </c>
      <c r="Y3" s="26" t="inlineStr">
        <is>
          <t>المشروع (الخارطة)</t>
        </is>
      </c>
      <c r="Z3" s="26" t="inlineStr">
        <is>
          <t>خط الأساس 2025</t>
        </is>
      </c>
      <c r="AA3" s="26" t="inlineStr">
        <is>
          <t>النوع</t>
        </is>
      </c>
      <c r="AB3" s="26" t="inlineStr">
        <is>
          <t>الوزن %</t>
        </is>
      </c>
      <c r="AC3" s="26" t="inlineStr">
        <is>
          <t>الدرجة الموزونة</t>
        </is>
      </c>
    </row>
    <row r="4" ht="26" customHeight="1">
      <c r="A4" s="17" t="n">
        <v>1</v>
      </c>
      <c r="B4" s="22" t="inlineStr">
        <is>
          <t>النمو</t>
        </is>
      </c>
      <c r="C4" s="22" t="inlineStr">
        <is>
          <t>عدد المحطات المشغّلة (تراكمي)</t>
        </is>
      </c>
      <c r="D4" s="49" t="inlineStr">
        <is>
          <t>محطة</t>
        </is>
      </c>
      <c r="E4" s="49" t="inlineStr">
        <is>
          <t>↑</t>
        </is>
      </c>
      <c r="F4" s="49" t="inlineStr">
        <is>
          <t>LAST</t>
        </is>
      </c>
      <c r="G4" s="50" t="n">
        <v>85</v>
      </c>
      <c r="H4" s="51" t="inlineStr">
        <is>
          <t>85 محطة</t>
        </is>
      </c>
      <c r="I4" s="52" t="n"/>
      <c r="J4" s="52" t="n"/>
      <c r="K4" s="52" t="n"/>
      <c r="L4" s="52" t="n"/>
      <c r="M4" s="52" t="n"/>
      <c r="N4" s="52" t="n"/>
      <c r="O4" s="52" t="n"/>
      <c r="P4" s="52" t="n"/>
      <c r="Q4" s="52" t="n"/>
      <c r="R4" s="52" t="n"/>
      <c r="S4" s="52" t="n"/>
      <c r="T4" s="52" t="n"/>
      <c r="U4" s="53">
        <f>IF($F4="SUM",IF(COUNT($I4:$T4)=0,"",SUM($I4:$T4)),IF($F4="AVG",IFERROR(AVERAGE($I4:$T4),""),IF($F4="LAST",IFERROR(LOOKUP(2,1/($I4:$T4&lt;&gt;""),$I4:$T4),""),"")))</f>
        <v/>
      </c>
      <c r="V4" s="23">
        <f>IF($G4="","",IF($U4="","",IF($G4=0,IF($U4&lt;=0,1,0),IF($E4="↓",IFERROR($G4/$U4,0),IFERROR($U4/$G4,0)))))</f>
        <v/>
      </c>
      <c r="W4" s="17">
        <f>IF($V4="","—",IF($V4&gt;=1,"✅ محقق",IF($V4&gt;=0.85,"🟡 قريب","🔴 تحت الهدف")))</f>
        <v/>
      </c>
      <c r="X4" s="54" t="inlineStr">
        <is>
          <t>النمو</t>
        </is>
      </c>
      <c r="Y4" s="22" t="inlineStr">
        <is>
          <t>التوسع في المواقع</t>
        </is>
      </c>
      <c r="Z4" s="55" t="n"/>
      <c r="AA4" s="21" t="inlineStr">
        <is>
          <t>🔵 قائد</t>
        </is>
      </c>
      <c r="AB4" s="56" t="n">
        <v>0.0625</v>
      </c>
      <c r="AC4" s="23">
        <f>IF($V4="","",$AB4*MIN($V4,1))</f>
        <v/>
      </c>
    </row>
    <row r="5" ht="26" customHeight="1">
      <c r="A5" s="17" t="n">
        <v>2</v>
      </c>
      <c r="B5" s="22" t="inlineStr">
        <is>
          <t>الربحية</t>
        </is>
      </c>
      <c r="C5" s="22" t="inlineStr">
        <is>
          <t>نمو مبيعات بنزين 91 مقارنة بالعام السابق</t>
        </is>
      </c>
      <c r="D5" s="49" t="inlineStr">
        <is>
          <t>%</t>
        </is>
      </c>
      <c r="E5" s="49" t="inlineStr">
        <is>
          <t>↑</t>
        </is>
      </c>
      <c r="F5" s="49" t="inlineStr">
        <is>
          <t>AVG</t>
        </is>
      </c>
      <c r="G5" s="49" t="inlineStr"/>
      <c r="H5" s="51" t="inlineStr">
        <is>
          <t>يُحدد لاحقاً</t>
        </is>
      </c>
      <c r="I5" s="58" t="n"/>
      <c r="J5" s="58" t="n"/>
      <c r="K5" s="58" t="n"/>
      <c r="L5" s="58" t="n"/>
      <c r="M5" s="58" t="n"/>
      <c r="N5" s="58" t="n"/>
      <c r="O5" s="58" t="n"/>
      <c r="P5" s="58" t="n"/>
      <c r="Q5" s="58" t="n"/>
      <c r="R5" s="58" t="n"/>
      <c r="S5" s="58" t="n"/>
      <c r="T5" s="58" t="n"/>
      <c r="U5" s="59">
        <f>IF($F5="SUM",IF(COUNT($I5:$T5)=0,"",SUM($I5:$T5)),IF($F5="AVG",IFERROR(AVERAGE($I5:$T5),""),IF($F5="LAST",IFERROR(LOOKUP(2,1/($I5:$T5&lt;&gt;""),$I5:$T5),""),"")))</f>
        <v/>
      </c>
      <c r="V5" s="23">
        <f>IF($G5="","",IF($U5="","",IF($G5=0,IF($U5&lt;=0,1,0),IF($E5="↓",IFERROR($G5/$U5,0),IFERROR($U5/$G5,0)))))</f>
        <v/>
      </c>
      <c r="W5" s="17">
        <f>IF($V5="","—",IF($V5&gt;=1,"✅ محقق",IF($V5&gt;=0.85,"🟡 قريب","🔴 تحت الهدف")))</f>
        <v/>
      </c>
      <c r="X5" s="54" t="inlineStr">
        <is>
          <t>النمو</t>
        </is>
      </c>
      <c r="Y5" s="22" t="inlineStr">
        <is>
          <t>زيادة وصول العملاء</t>
        </is>
      </c>
      <c r="Z5" s="56" t="n"/>
      <c r="AA5" s="21" t="inlineStr">
        <is>
          <t>🔵 قائد</t>
        </is>
      </c>
      <c r="AB5" s="56" t="n">
        <v>0.0625</v>
      </c>
      <c r="AC5" s="23">
        <f>IF($V5="","",$AB5*MIN($V5,1))</f>
        <v/>
      </c>
    </row>
    <row r="6" ht="26" customHeight="1">
      <c r="A6" s="17" t="n">
        <v>3</v>
      </c>
      <c r="B6" s="22" t="inlineStr">
        <is>
          <t>الربحية</t>
        </is>
      </c>
      <c r="C6" s="22" t="inlineStr">
        <is>
          <t>نمو مبيعات بنزين 95 مقارنة بالعام السابق</t>
        </is>
      </c>
      <c r="D6" s="49" t="inlineStr">
        <is>
          <t>%</t>
        </is>
      </c>
      <c r="E6" s="49" t="inlineStr">
        <is>
          <t>↑</t>
        </is>
      </c>
      <c r="F6" s="49" t="inlineStr">
        <is>
          <t>AVG</t>
        </is>
      </c>
      <c r="G6" s="49" t="inlineStr"/>
      <c r="H6" s="51" t="inlineStr">
        <is>
          <t>يُحدد لاحقاً</t>
        </is>
      </c>
      <c r="I6" s="58" t="n"/>
      <c r="J6" s="58" t="n"/>
      <c r="K6" s="58" t="n"/>
      <c r="L6" s="58" t="n"/>
      <c r="M6" s="58" t="n"/>
      <c r="N6" s="58" t="n"/>
      <c r="O6" s="58" t="n"/>
      <c r="P6" s="58" t="n"/>
      <c r="Q6" s="58" t="n"/>
      <c r="R6" s="58" t="n"/>
      <c r="S6" s="58" t="n"/>
      <c r="T6" s="58" t="n"/>
      <c r="U6" s="59">
        <f>IF($F6="SUM",IF(COUNT($I6:$T6)=0,"",SUM($I6:$T6)),IF($F6="AVG",IFERROR(AVERAGE($I6:$T6),""),IF($F6="LAST",IFERROR(LOOKUP(2,1/($I6:$T6&lt;&gt;""),$I6:$T6),""),"")))</f>
        <v/>
      </c>
      <c r="V6" s="23">
        <f>IF($G6="","",IF($U6="","",IF($G6=0,IF($U6&lt;=0,1,0),IF($E6="↓",IFERROR($G6/$U6,0),IFERROR($U6/$G6,0)))))</f>
        <v/>
      </c>
      <c r="W6" s="17">
        <f>IF($V6="","—",IF($V6&gt;=1,"✅ محقق",IF($V6&gt;=0.85,"🟡 قريب","🔴 تحت الهدف")))</f>
        <v/>
      </c>
      <c r="X6" s="54" t="inlineStr">
        <is>
          <t>النمو</t>
        </is>
      </c>
      <c r="Y6" s="22" t="inlineStr">
        <is>
          <t>زيادة وصول العملاء</t>
        </is>
      </c>
      <c r="Z6" s="56" t="n"/>
      <c r="AA6" s="21" t="inlineStr">
        <is>
          <t>🔵 قائد</t>
        </is>
      </c>
      <c r="AB6" s="56" t="n">
        <v>0.0625</v>
      </c>
      <c r="AC6" s="23">
        <f>IF($V6="","",$AB6*MIN($V6,1))</f>
        <v/>
      </c>
    </row>
    <row r="7" ht="26" customHeight="1">
      <c r="A7" s="17" t="n">
        <v>4</v>
      </c>
      <c r="B7" s="22" t="inlineStr">
        <is>
          <t>الربحية</t>
        </is>
      </c>
      <c r="C7" s="22" t="inlineStr">
        <is>
          <t>نمو مبيعات بنزين 98 مقارنة بالعام السابق</t>
        </is>
      </c>
      <c r="D7" s="49" t="inlineStr">
        <is>
          <t>%</t>
        </is>
      </c>
      <c r="E7" s="49" t="inlineStr">
        <is>
          <t>↑</t>
        </is>
      </c>
      <c r="F7" s="49" t="inlineStr">
        <is>
          <t>AVG</t>
        </is>
      </c>
      <c r="G7" s="49" t="inlineStr"/>
      <c r="H7" s="51" t="inlineStr">
        <is>
          <t>يُحدد لاحقاً</t>
        </is>
      </c>
      <c r="I7" s="58" t="n"/>
      <c r="J7" s="58" t="n"/>
      <c r="K7" s="58" t="n"/>
      <c r="L7" s="58" t="n"/>
      <c r="M7" s="58" t="n"/>
      <c r="N7" s="58" t="n"/>
      <c r="O7" s="58" t="n"/>
      <c r="P7" s="58" t="n"/>
      <c r="Q7" s="58" t="n"/>
      <c r="R7" s="58" t="n"/>
      <c r="S7" s="58" t="n"/>
      <c r="T7" s="58" t="n"/>
      <c r="U7" s="59">
        <f>IF($F7="SUM",IF(COUNT($I7:$T7)=0,"",SUM($I7:$T7)),IF($F7="AVG",IFERROR(AVERAGE($I7:$T7),""),IF($F7="LAST",IFERROR(LOOKUP(2,1/($I7:$T7&lt;&gt;""),$I7:$T7),""),"")))</f>
        <v/>
      </c>
      <c r="V7" s="23">
        <f>IF($G7="","",IF($U7="","",IF($G7=0,IF($U7&lt;=0,1,0),IF($E7="↓",IFERROR($G7/$U7,0),IFERROR($U7/$G7,0)))))</f>
        <v/>
      </c>
      <c r="W7" s="17">
        <f>IF($V7="","—",IF($V7&gt;=1,"✅ محقق",IF($V7&gt;=0.85,"🟡 قريب","🔴 تحت الهدف")))</f>
        <v/>
      </c>
      <c r="X7" s="54" t="inlineStr">
        <is>
          <t>النمو</t>
        </is>
      </c>
      <c r="Y7" s="22" t="inlineStr">
        <is>
          <t>زيادة وصول العملاء</t>
        </is>
      </c>
      <c r="Z7" s="56" t="n"/>
      <c r="AA7" s="21" t="inlineStr">
        <is>
          <t>🔵 قائد</t>
        </is>
      </c>
      <c r="AB7" s="56" t="n">
        <v>0.0625</v>
      </c>
      <c r="AC7" s="23">
        <f>IF($V7="","",$AB7*MIN($V7,1))</f>
        <v/>
      </c>
    </row>
    <row r="8" ht="26" customHeight="1">
      <c r="A8" s="17" t="n">
        <v>5</v>
      </c>
      <c r="B8" s="22" t="inlineStr">
        <is>
          <t>الربحية</t>
        </is>
      </c>
      <c r="C8" s="22" t="inlineStr">
        <is>
          <t>نمو مبيعات الديزل مقارنة بالعام السابق</t>
        </is>
      </c>
      <c r="D8" s="49" t="inlineStr">
        <is>
          <t>%</t>
        </is>
      </c>
      <c r="E8" s="49" t="inlineStr">
        <is>
          <t>↑</t>
        </is>
      </c>
      <c r="F8" s="49" t="inlineStr">
        <is>
          <t>AVG</t>
        </is>
      </c>
      <c r="G8" s="49" t="inlineStr"/>
      <c r="H8" s="51" t="inlineStr">
        <is>
          <t>يُحدد لاحقاً</t>
        </is>
      </c>
      <c r="I8" s="58" t="n"/>
      <c r="J8" s="58" t="n"/>
      <c r="K8" s="58" t="n"/>
      <c r="L8" s="58" t="n"/>
      <c r="M8" s="58" t="n"/>
      <c r="N8" s="58" t="n"/>
      <c r="O8" s="58" t="n"/>
      <c r="P8" s="58" t="n"/>
      <c r="Q8" s="58" t="n"/>
      <c r="R8" s="58" t="n"/>
      <c r="S8" s="58" t="n"/>
      <c r="T8" s="58" t="n"/>
      <c r="U8" s="59">
        <f>IF($F8="SUM",IF(COUNT($I8:$T8)=0,"",SUM($I8:$T8)),IF($F8="AVG",IFERROR(AVERAGE($I8:$T8),""),IF($F8="LAST",IFERROR(LOOKUP(2,1/($I8:$T8&lt;&gt;""),$I8:$T8),""),"")))</f>
        <v/>
      </c>
      <c r="V8" s="23">
        <f>IF($G8="","",IF($U8="","",IF($G8=0,IF($U8&lt;=0,1,0),IF($E8="↓",IFERROR($G8/$U8,0),IFERROR($U8/$G8,0)))))</f>
        <v/>
      </c>
      <c r="W8" s="17">
        <f>IF($V8="","—",IF($V8&gt;=1,"✅ محقق",IF($V8&gt;=0.85,"🟡 قريب","🔴 تحت الهدف")))</f>
        <v/>
      </c>
      <c r="X8" s="54" t="inlineStr">
        <is>
          <t>النمو</t>
        </is>
      </c>
      <c r="Y8" s="22" t="inlineStr">
        <is>
          <t>زيادة وصول العملاء</t>
        </is>
      </c>
      <c r="Z8" s="56" t="n"/>
      <c r="AA8" s="21" t="inlineStr">
        <is>
          <t>🔵 قائد</t>
        </is>
      </c>
      <c r="AB8" s="56" t="n">
        <v>0.0625</v>
      </c>
      <c r="AC8" s="23">
        <f>IF($V8="","",$AB8*MIN($V8,1))</f>
        <v/>
      </c>
    </row>
    <row r="9" ht="26" customHeight="1">
      <c r="A9" s="17" t="n">
        <v>6</v>
      </c>
      <c r="B9" s="22" t="inlineStr">
        <is>
          <t>حماية الإيراد</t>
        </is>
      </c>
      <c r="C9" s="22" t="inlineStr">
        <is>
          <t>نسبة جاهزية المحطة الشاملة (Uptime)</t>
        </is>
      </c>
      <c r="D9" s="49" t="inlineStr">
        <is>
          <t>%</t>
        </is>
      </c>
      <c r="E9" s="49" t="inlineStr">
        <is>
          <t>↑</t>
        </is>
      </c>
      <c r="F9" s="49" t="inlineStr">
        <is>
          <t>AVG</t>
        </is>
      </c>
      <c r="G9" s="57" t="n">
        <v>0.99</v>
      </c>
      <c r="H9" s="51" t="inlineStr">
        <is>
          <t>99%+</t>
        </is>
      </c>
      <c r="I9" s="58" t="n"/>
      <c r="J9" s="58" t="n"/>
      <c r="K9" s="58" t="n"/>
      <c r="L9" s="58" t="n"/>
      <c r="M9" s="58" t="n"/>
      <c r="N9" s="58" t="n"/>
      <c r="O9" s="58" t="n"/>
      <c r="P9" s="58" t="n"/>
      <c r="Q9" s="58" t="n"/>
      <c r="R9" s="58" t="n"/>
      <c r="S9" s="58" t="n"/>
      <c r="T9" s="58" t="n"/>
      <c r="U9" s="59">
        <f>IF($F9="SUM",IF(COUNT($I9:$T9)=0,"",SUM($I9:$T9)),IF($F9="AVG",IFERROR(AVERAGE($I9:$T9),""),IF($F9="LAST",IFERROR(LOOKUP(2,1/($I9:$T9&lt;&gt;""),$I9:$T9),""),"")))</f>
        <v/>
      </c>
      <c r="V9" s="23">
        <f>IF($G9="","",IF($U9="","",IF($G9=0,IF($U9&lt;=0,1,0),IF($E9="↓",IFERROR($G9/$U9,0),IFERROR($U9/$G9,0)))))</f>
        <v/>
      </c>
      <c r="W9" s="17">
        <f>IF($V9="","—",IF($V9&gt;=1,"✅ محقق",IF($V9&gt;=0.85,"🟡 قريب","🔴 تحت الهدف")))</f>
        <v/>
      </c>
      <c r="X9" s="54" t="inlineStr">
        <is>
          <t>الاستدامة</t>
        </is>
      </c>
      <c r="Y9" s="22" t="inlineStr">
        <is>
          <t>جودة التشغيل</t>
        </is>
      </c>
      <c r="Z9" s="56" t="n"/>
      <c r="AA9" s="21" t="inlineStr">
        <is>
          <t>🟣 لاحق</t>
        </is>
      </c>
      <c r="AB9" s="56" t="n">
        <v>0.0625</v>
      </c>
      <c r="AC9" s="23">
        <f>IF($V9="","",$AB9*MIN($V9,1))</f>
        <v/>
      </c>
    </row>
    <row r="10" ht="26" customHeight="1">
      <c r="A10" s="17" t="n">
        <v>7</v>
      </c>
      <c r="B10" s="22" t="inlineStr">
        <is>
          <t>حماية الإيراد</t>
        </is>
      </c>
      <c r="C10" s="22" t="inlineStr">
        <is>
          <t>نسبة المضخات العاملة</t>
        </is>
      </c>
      <c r="D10" s="49" t="inlineStr">
        <is>
          <t>%</t>
        </is>
      </c>
      <c r="E10" s="49" t="inlineStr">
        <is>
          <t>↑</t>
        </is>
      </c>
      <c r="F10" s="49" t="inlineStr">
        <is>
          <t>AVG</t>
        </is>
      </c>
      <c r="G10" s="57" t="n">
        <v>0.97</v>
      </c>
      <c r="H10" s="51" t="inlineStr">
        <is>
          <t>≥ 97%</t>
        </is>
      </c>
      <c r="I10" s="58" t="n"/>
      <c r="J10" s="58" t="n"/>
      <c r="K10" s="58" t="n"/>
      <c r="L10" s="58" t="n"/>
      <c r="M10" s="58" t="n"/>
      <c r="N10" s="58" t="n"/>
      <c r="O10" s="58" t="n"/>
      <c r="P10" s="58" t="n"/>
      <c r="Q10" s="58" t="n"/>
      <c r="R10" s="58" t="n"/>
      <c r="S10" s="58" t="n"/>
      <c r="T10" s="58" t="n"/>
      <c r="U10" s="59">
        <f>IF($F10="SUM",IF(COUNT($I10:$T10)=0,"",SUM($I10:$T10)),IF($F10="AVG",IFERROR(AVERAGE($I10:$T10),""),IF($F10="LAST",IFERROR(LOOKUP(2,1/($I10:$T10&lt;&gt;""),$I10:$T10),""),"")))</f>
        <v/>
      </c>
      <c r="V10" s="23">
        <f>IF($G10="","",IF($U10="","",IF($G10=0,IF($U10&lt;=0,1,0),IF($E10="↓",IFERROR($G10/$U10,0),IFERROR($U10/$G10,0)))))</f>
        <v/>
      </c>
      <c r="W10" s="17">
        <f>IF($V10="","—",IF($V10&gt;=1,"✅ محقق",IF($V10&gt;=0.85,"🟡 قريب","🔴 تحت الهدف")))</f>
        <v/>
      </c>
      <c r="X10" s="54" t="inlineStr">
        <is>
          <t>الاستدامة</t>
        </is>
      </c>
      <c r="Y10" s="22" t="inlineStr">
        <is>
          <t>جودة التشغيل</t>
        </is>
      </c>
      <c r="Z10" s="56" t="n"/>
      <c r="AA10" s="21" t="inlineStr">
        <is>
          <t>🟣 لاحق</t>
        </is>
      </c>
      <c r="AB10" s="56" t="n">
        <v>0.0625</v>
      </c>
      <c r="AC10" s="23">
        <f>IF($V10="","",$AB10*MIN($V10,1))</f>
        <v/>
      </c>
    </row>
    <row r="11" ht="26" customHeight="1">
      <c r="A11" s="17" t="n">
        <v>8</v>
      </c>
      <c r="B11" s="22" t="inlineStr">
        <is>
          <t>ضغط التكلفة</t>
        </is>
      </c>
      <c r="C11" s="22" t="inlineStr">
        <is>
          <t>تكلفة التشغيل لكل لتر مباع</t>
        </is>
      </c>
      <c r="D11" s="49" t="inlineStr">
        <is>
          <t>هللة/لتر</t>
        </is>
      </c>
      <c r="E11" s="49" t="inlineStr">
        <is>
          <t>↓</t>
        </is>
      </c>
      <c r="F11" s="49" t="inlineStr">
        <is>
          <t>AVG</t>
        </is>
      </c>
      <c r="G11" s="49" t="inlineStr"/>
      <c r="H11" s="51" t="inlineStr">
        <is>
          <t>خفض ≥5% سنوياً</t>
        </is>
      </c>
      <c r="I11" s="64" t="n"/>
      <c r="J11" s="64" t="n"/>
      <c r="K11" s="64" t="n"/>
      <c r="L11" s="64" t="n"/>
      <c r="M11" s="64" t="n"/>
      <c r="N11" s="64" t="n"/>
      <c r="O11" s="64" t="n"/>
      <c r="P11" s="64" t="n"/>
      <c r="Q11" s="64" t="n"/>
      <c r="R11" s="64" t="n"/>
      <c r="S11" s="64" t="n"/>
      <c r="T11" s="64" t="n"/>
      <c r="U11" s="65">
        <f>IF($F11="SUM",IF(COUNT($I11:$T11)=0,"",SUM($I11:$T11)),IF($F11="AVG",IFERROR(AVERAGE($I11:$T11),""),IF($F11="LAST",IFERROR(LOOKUP(2,1/($I11:$T11&lt;&gt;""),$I11:$T11),""),"")))</f>
        <v/>
      </c>
      <c r="V11" s="23">
        <f>IF($G11="","",IF($U11="","",IF($G11=0,IF($U11&lt;=0,1,0),IF($E11="↓",IFERROR($G11/$U11,0),IFERROR($U11/$G11,0)))))</f>
        <v/>
      </c>
      <c r="W11" s="17">
        <f>IF($V11="","—",IF($V11&gt;=1,"✅ محقق",IF($V11&gt;=0.85,"🟡 قريب","🔴 تحت الهدف")))</f>
        <v/>
      </c>
      <c r="X11" s="54" t="inlineStr">
        <is>
          <t>الاستدامة</t>
        </is>
      </c>
      <c r="Y11" s="22" t="inlineStr">
        <is>
          <t>جودة التشغيل</t>
        </is>
      </c>
      <c r="Z11" s="66" t="n"/>
      <c r="AA11" s="21" t="inlineStr">
        <is>
          <t>🟣 لاحق</t>
        </is>
      </c>
      <c r="AB11" s="56" t="n">
        <v>0.0625</v>
      </c>
      <c r="AC11" s="23">
        <f>IF($V11="","",$AB11*MIN($V11,1))</f>
        <v/>
      </c>
    </row>
    <row r="12" ht="26" customHeight="1">
      <c r="A12" s="17" t="n">
        <v>9</v>
      </c>
      <c r="B12" s="22" t="inlineStr">
        <is>
          <t>حماية الأصول</t>
        </is>
      </c>
      <c r="C12" s="22" t="inlineStr">
        <is>
          <t>نسبة الصيانة الوقائية المنفذة في موعدها</t>
        </is>
      </c>
      <c r="D12" s="49" t="inlineStr">
        <is>
          <t>%</t>
        </is>
      </c>
      <c r="E12" s="49" t="inlineStr">
        <is>
          <t>↑</t>
        </is>
      </c>
      <c r="F12" s="49" t="inlineStr">
        <is>
          <t>AVG</t>
        </is>
      </c>
      <c r="G12" s="57" t="n">
        <v>0.95</v>
      </c>
      <c r="H12" s="51" t="inlineStr">
        <is>
          <t>≥ 95%</t>
        </is>
      </c>
      <c r="I12" s="58" t="n"/>
      <c r="J12" s="58" t="n"/>
      <c r="K12" s="58" t="n"/>
      <c r="L12" s="58" t="n"/>
      <c r="M12" s="58" t="n"/>
      <c r="N12" s="58" t="n"/>
      <c r="O12" s="58" t="n"/>
      <c r="P12" s="58" t="n"/>
      <c r="Q12" s="58" t="n"/>
      <c r="R12" s="58" t="n"/>
      <c r="S12" s="58" t="n"/>
      <c r="T12" s="58" t="n"/>
      <c r="U12" s="59">
        <f>IF($F12="SUM",IF(COUNT($I12:$T12)=0,"",SUM($I12:$T12)),IF($F12="AVG",IFERROR(AVERAGE($I12:$T12),""),IF($F12="LAST",IFERROR(LOOKUP(2,1/($I12:$T12&lt;&gt;""),$I12:$T12),""),"")))</f>
        <v/>
      </c>
      <c r="V12" s="23">
        <f>IF($G12="","",IF($U12="","",IF($G12=0,IF($U12&lt;=0,1,0),IF($E12="↓",IFERROR($G12/$U12,0),IFERROR($U12/$G12,0)))))</f>
        <v/>
      </c>
      <c r="W12" s="17">
        <f>IF($V12="","—",IF($V12&gt;=1,"✅ محقق",IF($V12&gt;=0.85,"🟡 قريب","🔴 تحت الهدف")))</f>
        <v/>
      </c>
      <c r="X12" s="54" t="inlineStr">
        <is>
          <t>الاستدامة</t>
        </is>
      </c>
      <c r="Y12" s="22" t="inlineStr">
        <is>
          <t>جودة التشغيل</t>
        </is>
      </c>
      <c r="Z12" s="56" t="n"/>
      <c r="AA12" s="21" t="inlineStr">
        <is>
          <t>🟣 لاحق</t>
        </is>
      </c>
      <c r="AB12" s="56" t="n">
        <v>0.0625</v>
      </c>
      <c r="AC12" s="23">
        <f>IF($V12="","",$AB12*MIN($V12,1))</f>
        <v/>
      </c>
    </row>
    <row r="13" ht="26" customHeight="1">
      <c r="A13" s="17" t="n">
        <v>10</v>
      </c>
      <c r="B13" s="22" t="inlineStr">
        <is>
          <t>تجربة العميل</t>
        </is>
      </c>
      <c r="C13" s="22" t="inlineStr">
        <is>
          <t>نسبة انخفاض الشكاوى مقارنة بالشهر السابق</t>
        </is>
      </c>
      <c r="D13" s="49" t="inlineStr">
        <is>
          <t>%</t>
        </is>
      </c>
      <c r="E13" s="49" t="inlineStr">
        <is>
          <t>↑</t>
        </is>
      </c>
      <c r="F13" s="49" t="inlineStr">
        <is>
          <t>AVG</t>
        </is>
      </c>
      <c r="G13" s="49" t="inlineStr"/>
      <c r="H13" s="51" t="inlineStr">
        <is>
          <t>−30%</t>
        </is>
      </c>
      <c r="I13" s="58" t="n"/>
      <c r="J13" s="58" t="n"/>
      <c r="K13" s="58" t="n"/>
      <c r="L13" s="58" t="n"/>
      <c r="M13" s="58" t="n"/>
      <c r="N13" s="58" t="n"/>
      <c r="O13" s="58" t="n"/>
      <c r="P13" s="58" t="n"/>
      <c r="Q13" s="58" t="n"/>
      <c r="R13" s="58" t="n"/>
      <c r="S13" s="58" t="n"/>
      <c r="T13" s="58" t="n"/>
      <c r="U13" s="59">
        <f>IF($F13="SUM",IF(COUNT($I13:$T13)=0,"",SUM($I13:$T13)),IF($F13="AVG",IFERROR(AVERAGE($I13:$T13),""),IF($F13="LAST",IFERROR(LOOKUP(2,1/($I13:$T13&lt;&gt;""),$I13:$T13),""),"")))</f>
        <v/>
      </c>
      <c r="V13" s="23">
        <f>IF($G13="","",IF($U13="","",IF($G13=0,IF($U13&lt;=0,1,0),IF($E13="↓",IFERROR($G13/$U13,0),IFERROR($U13/$G13,0)))))</f>
        <v/>
      </c>
      <c r="W13" s="17">
        <f>IF($V13="","—",IF($V13&gt;=1,"✅ محقق",IF($V13&gt;=0.85,"🟡 قريب","🔴 تحت الهدف")))</f>
        <v/>
      </c>
      <c r="X13" s="54" t="inlineStr">
        <is>
          <t>الاستدامة</t>
        </is>
      </c>
      <c r="Y13" s="22" t="inlineStr">
        <is>
          <t>تعزيز تجربة العملاء</t>
        </is>
      </c>
      <c r="Z13" s="56" t="n"/>
      <c r="AA13" s="21" t="inlineStr">
        <is>
          <t>🟣 لاحق</t>
        </is>
      </c>
      <c r="AB13" s="56" t="n">
        <v>0.0625</v>
      </c>
      <c r="AC13" s="23">
        <f>IF($V13="","",$AB13*MIN($V13,1))</f>
        <v/>
      </c>
    </row>
    <row r="14" ht="26" customHeight="1">
      <c r="A14" s="17" t="n">
        <v>11</v>
      </c>
      <c r="B14" s="22" t="inlineStr">
        <is>
          <t>تجربة العميل</t>
        </is>
      </c>
      <c r="C14" s="22" t="inlineStr">
        <is>
          <t>تقييم Google Maps للمحطات</t>
        </is>
      </c>
      <c r="D14" s="49" t="inlineStr">
        <is>
          <t>نجمة/5</t>
        </is>
      </c>
      <c r="E14" s="49" t="inlineStr">
        <is>
          <t>↑</t>
        </is>
      </c>
      <c r="F14" s="49" t="inlineStr">
        <is>
          <t>AVG</t>
        </is>
      </c>
      <c r="G14" s="63" t="n">
        <v>4.5</v>
      </c>
      <c r="H14" s="51" t="inlineStr">
        <is>
          <t>≥ 4.5</t>
        </is>
      </c>
      <c r="I14" s="64" t="n"/>
      <c r="J14" s="64" t="n"/>
      <c r="K14" s="64" t="n"/>
      <c r="L14" s="64" t="n"/>
      <c r="M14" s="64" t="n"/>
      <c r="N14" s="64" t="n"/>
      <c r="O14" s="64" t="n"/>
      <c r="P14" s="64" t="n"/>
      <c r="Q14" s="64" t="n"/>
      <c r="R14" s="64" t="n"/>
      <c r="S14" s="64" t="n"/>
      <c r="T14" s="64" t="n"/>
      <c r="U14" s="65">
        <f>IF($F14="SUM",IF(COUNT($I14:$T14)=0,"",SUM($I14:$T14)),IF($F14="AVG",IFERROR(AVERAGE($I14:$T14),""),IF($F14="LAST",IFERROR(LOOKUP(2,1/($I14:$T14&lt;&gt;""),$I14:$T14),""),"")))</f>
        <v/>
      </c>
      <c r="V14" s="23">
        <f>IF($G14="","",IF($U14="","",IF($G14=0,IF($U14&lt;=0,1,0),IF($E14="↓",IFERROR($G14/$U14,0),IFERROR($U14/$G14,0)))))</f>
        <v/>
      </c>
      <c r="W14" s="17">
        <f>IF($V14="","—",IF($V14&gt;=1,"✅ محقق",IF($V14&gt;=0.85,"🟡 قريب","🔴 تحت الهدف")))</f>
        <v/>
      </c>
      <c r="X14" s="54" t="inlineStr">
        <is>
          <t>الاستدامة</t>
        </is>
      </c>
      <c r="Y14" s="22" t="inlineStr">
        <is>
          <t>تعزيز تجربة العملاء</t>
        </is>
      </c>
      <c r="Z14" s="66" t="n"/>
      <c r="AA14" s="21" t="inlineStr">
        <is>
          <t>🟣 لاحق</t>
        </is>
      </c>
      <c r="AB14" s="56" t="n">
        <v>0.0625</v>
      </c>
      <c r="AC14" s="23">
        <f>IF($V14="","",$AB14*MIN($V14,1))</f>
        <v/>
      </c>
    </row>
    <row r="15" ht="26" customHeight="1">
      <c r="A15" s="17" t="n">
        <v>12</v>
      </c>
      <c r="B15" s="22" t="inlineStr">
        <is>
          <t>تجربة العميل</t>
        </is>
      </c>
      <c r="C15" s="22" t="inlineStr">
        <is>
          <t>سرعة تعبئة الوقود</t>
        </is>
      </c>
      <c r="D15" s="49" t="inlineStr">
        <is>
          <t>دقيقة</t>
        </is>
      </c>
      <c r="E15" s="49" t="inlineStr">
        <is>
          <t>↓</t>
        </is>
      </c>
      <c r="F15" s="49" t="inlineStr">
        <is>
          <t>AVG</t>
        </is>
      </c>
      <c r="G15" s="63" t="n">
        <v>3</v>
      </c>
      <c r="H15" s="51" t="inlineStr">
        <is>
          <t>≤ 3 دقائق</t>
        </is>
      </c>
      <c r="I15" s="64" t="n"/>
      <c r="J15" s="64" t="n"/>
      <c r="K15" s="64" t="n"/>
      <c r="L15" s="64" t="n"/>
      <c r="M15" s="64" t="n"/>
      <c r="N15" s="64" t="n"/>
      <c r="O15" s="64" t="n"/>
      <c r="P15" s="64" t="n"/>
      <c r="Q15" s="64" t="n"/>
      <c r="R15" s="64" t="n"/>
      <c r="S15" s="64" t="n"/>
      <c r="T15" s="64" t="n"/>
      <c r="U15" s="65">
        <f>IF($F15="SUM",IF(COUNT($I15:$T15)=0,"",SUM($I15:$T15)),IF($F15="AVG",IFERROR(AVERAGE($I15:$T15),""),IF($F15="LAST",IFERROR(LOOKUP(2,1/($I15:$T15&lt;&gt;""),$I15:$T15),""),"")))</f>
        <v/>
      </c>
      <c r="V15" s="23">
        <f>IF($G15="","",IF($U15="","",IF($G15=0,IF($U15&lt;=0,1,0),IF($E15="↓",IFERROR($G15/$U15,0),IFERROR($U15/$G15,0)))))</f>
        <v/>
      </c>
      <c r="W15" s="17">
        <f>IF($V15="","—",IF($V15&gt;=1,"✅ محقق",IF($V15&gt;=0.85,"🟡 قريب","🔴 تحت الهدف")))</f>
        <v/>
      </c>
      <c r="X15" s="54" t="inlineStr">
        <is>
          <t>الاستدامة</t>
        </is>
      </c>
      <c r="Y15" s="22" t="inlineStr">
        <is>
          <t>تعزيز تجربة العملاء</t>
        </is>
      </c>
      <c r="Z15" s="66" t="n"/>
      <c r="AA15" s="21" t="inlineStr">
        <is>
          <t>🟣 لاحق</t>
        </is>
      </c>
      <c r="AB15" s="56" t="n">
        <v>0.0625</v>
      </c>
      <c r="AC15" s="23">
        <f>IF($V15="","",$AB15*MIN($V15,1))</f>
        <v/>
      </c>
    </row>
    <row r="16" ht="26" customHeight="1">
      <c r="A16" s="17" t="n">
        <v>13</v>
      </c>
      <c r="B16" s="22" t="inlineStr">
        <is>
          <t>تجربة العميل</t>
        </is>
      </c>
      <c r="C16" s="22" t="inlineStr">
        <is>
          <t>دقة التعبئة بدون أخطاء</t>
        </is>
      </c>
      <c r="D16" s="49" t="inlineStr">
        <is>
          <t>%</t>
        </is>
      </c>
      <c r="E16" s="49" t="inlineStr">
        <is>
          <t>↑</t>
        </is>
      </c>
      <c r="F16" s="49" t="inlineStr">
        <is>
          <t>AVG</t>
        </is>
      </c>
      <c r="G16" s="57" t="n">
        <v>0.99</v>
      </c>
      <c r="H16" s="51" t="inlineStr">
        <is>
          <t>≥ 99%</t>
        </is>
      </c>
      <c r="I16" s="58" t="n"/>
      <c r="J16" s="58" t="n"/>
      <c r="K16" s="58" t="n"/>
      <c r="L16" s="58" t="n"/>
      <c r="M16" s="58" t="n"/>
      <c r="N16" s="58" t="n"/>
      <c r="O16" s="58" t="n"/>
      <c r="P16" s="58" t="n"/>
      <c r="Q16" s="58" t="n"/>
      <c r="R16" s="58" t="n"/>
      <c r="S16" s="58" t="n"/>
      <c r="T16" s="58" t="n"/>
      <c r="U16" s="59">
        <f>IF($F16="SUM",IF(COUNT($I16:$T16)=0,"",SUM($I16:$T16)),IF($F16="AVG",IFERROR(AVERAGE($I16:$T16),""),IF($F16="LAST",IFERROR(LOOKUP(2,1/($I16:$T16&lt;&gt;""),$I16:$T16),""),"")))</f>
        <v/>
      </c>
      <c r="V16" s="23">
        <f>IF($G16="","",IF($U16="","",IF($G16=0,IF($U16&lt;=0,1,0),IF($E16="↓",IFERROR($G16/$U16,0),IFERROR($U16/$G16,0)))))</f>
        <v/>
      </c>
      <c r="W16" s="17">
        <f>IF($V16="","—",IF($V16&gt;=1,"✅ محقق",IF($V16&gt;=0.85,"🟡 قريب","🔴 تحت الهدف")))</f>
        <v/>
      </c>
      <c r="X16" s="54" t="inlineStr">
        <is>
          <t>الاستدامة</t>
        </is>
      </c>
      <c r="Y16" s="22" t="inlineStr">
        <is>
          <t>جودة التشغيل</t>
        </is>
      </c>
      <c r="Z16" s="56" t="n"/>
      <c r="AA16" s="21" t="inlineStr">
        <is>
          <t>🟣 لاحق</t>
        </is>
      </c>
      <c r="AB16" s="56" t="n">
        <v>0.0625</v>
      </c>
      <c r="AC16" s="23">
        <f>IF($V16="","",$AB16*MIN($V16,1))</f>
        <v/>
      </c>
    </row>
    <row r="17" ht="26" customHeight="1">
      <c r="A17" s="17" t="n">
        <v>14</v>
      </c>
      <c r="B17" s="22" t="inlineStr">
        <is>
          <t>تجربة العميل</t>
        </is>
      </c>
      <c r="C17" s="22" t="inlineStr">
        <is>
          <t>تطبيق المعيار الشامل في المحطات</t>
        </is>
      </c>
      <c r="D17" s="49" t="inlineStr">
        <is>
          <t>%</t>
        </is>
      </c>
      <c r="E17" s="49" t="inlineStr">
        <is>
          <t>↑</t>
        </is>
      </c>
      <c r="F17" s="49" t="inlineStr">
        <is>
          <t>LAST</t>
        </is>
      </c>
      <c r="G17" s="57" t="n">
        <v>0.8</v>
      </c>
      <c r="H17" s="51" t="inlineStr">
        <is>
          <t>≥ 80%</t>
        </is>
      </c>
      <c r="I17" s="58" t="n"/>
      <c r="J17" s="58" t="n"/>
      <c r="K17" s="58" t="n"/>
      <c r="L17" s="58" t="n"/>
      <c r="M17" s="58" t="n"/>
      <c r="N17" s="58" t="n"/>
      <c r="O17" s="58" t="n"/>
      <c r="P17" s="58" t="n"/>
      <c r="Q17" s="58" t="n"/>
      <c r="R17" s="58" t="n"/>
      <c r="S17" s="58" t="n"/>
      <c r="T17" s="58" t="n"/>
      <c r="U17" s="59">
        <f>IF($F17="SUM",IF(COUNT($I17:$T17)=0,"",SUM($I17:$T17)),IF($F17="AVG",IFERROR(AVERAGE($I17:$T17),""),IF($F17="LAST",IFERROR(LOOKUP(2,1/($I17:$T17&lt;&gt;""),$I17:$T17),""),"")))</f>
        <v/>
      </c>
      <c r="V17" s="23">
        <f>IF($G17="","",IF($U17="","",IF($G17=0,IF($U17&lt;=0,1,0),IF($E17="↓",IFERROR($G17/$U17,0),IFERROR($U17/$G17,0)))))</f>
        <v/>
      </c>
      <c r="W17" s="17">
        <f>IF($V17="","—",IF($V17&gt;=1,"✅ محقق",IF($V17&gt;=0.85,"🟡 قريب","🔴 تحت الهدف")))</f>
        <v/>
      </c>
      <c r="X17" s="54" t="inlineStr">
        <is>
          <t>الابتكار</t>
        </is>
      </c>
      <c r="Y17" s="22" t="inlineStr">
        <is>
          <t>التحول التقني</t>
        </is>
      </c>
      <c r="Z17" s="56" t="n"/>
      <c r="AA17" s="21" t="inlineStr">
        <is>
          <t>🟣 لاحق</t>
        </is>
      </c>
      <c r="AB17" s="56" t="n">
        <v>0.0625</v>
      </c>
      <c r="AC17" s="23">
        <f>IF($V17="","",$AB17*MIN($V17,1))</f>
        <v/>
      </c>
    </row>
    <row r="18" ht="26" customHeight="1">
      <c r="A18" s="17" t="n">
        <v>15</v>
      </c>
      <c r="B18" s="22" t="inlineStr">
        <is>
          <t>السلامة</t>
        </is>
      </c>
      <c r="C18" s="22" t="inlineStr">
        <is>
          <t>الالتزام بمعايير السلامة داخل المحطة</t>
        </is>
      </c>
      <c r="D18" s="49" t="inlineStr">
        <is>
          <t>%</t>
        </is>
      </c>
      <c r="E18" s="49" t="inlineStr">
        <is>
          <t>↑</t>
        </is>
      </c>
      <c r="F18" s="49" t="inlineStr">
        <is>
          <t>AVG</t>
        </is>
      </c>
      <c r="G18" s="57" t="n">
        <v>1</v>
      </c>
      <c r="H18" s="51" t="inlineStr">
        <is>
          <t>100%</t>
        </is>
      </c>
      <c r="I18" s="58" t="n"/>
      <c r="J18" s="58" t="n"/>
      <c r="K18" s="58" t="n"/>
      <c r="L18" s="58" t="n"/>
      <c r="M18" s="58" t="n"/>
      <c r="N18" s="58" t="n"/>
      <c r="O18" s="58" t="n"/>
      <c r="P18" s="58" t="n"/>
      <c r="Q18" s="58" t="n"/>
      <c r="R18" s="58" t="n"/>
      <c r="S18" s="58" t="n"/>
      <c r="T18" s="58" t="n"/>
      <c r="U18" s="59">
        <f>IF($F18="SUM",IF(COUNT($I18:$T18)=0,"",SUM($I18:$T18)),IF($F18="AVG",IFERROR(AVERAGE($I18:$T18),""),IF($F18="LAST",IFERROR(LOOKUP(2,1/($I18:$T18&lt;&gt;""),$I18:$T18),""),"")))</f>
        <v/>
      </c>
      <c r="V18" s="23">
        <f>IF($G18="","",IF($U18="","",IF($G18=0,IF($U18&lt;=0,1,0),IF($E18="↓",IFERROR($G18/$U18,0),IFERROR($U18/$G18,0)))))</f>
        <v/>
      </c>
      <c r="W18" s="17">
        <f>IF($V18="","—",IF($V18&gt;=1,"✅ محقق",IF($V18&gt;=0.85,"🟡 قريب","🔴 تحت الهدف")))</f>
        <v/>
      </c>
      <c r="X18" s="54" t="inlineStr">
        <is>
          <t>الاستدامة</t>
        </is>
      </c>
      <c r="Y18" s="22" t="inlineStr">
        <is>
          <t>جودة التشغيل</t>
        </is>
      </c>
      <c r="Z18" s="56" t="n"/>
      <c r="AA18" s="21" t="inlineStr">
        <is>
          <t>🟣 لاحق</t>
        </is>
      </c>
      <c r="AB18" s="56" t="n">
        <v>0.0625</v>
      </c>
      <c r="AC18" s="23">
        <f>IF($V18="","",$AB18*MIN($V18,1))</f>
        <v/>
      </c>
    </row>
    <row r="19" ht="26" customHeight="1">
      <c r="A19" s="17" t="n">
        <v>16</v>
      </c>
      <c r="B19" s="22" t="inlineStr">
        <is>
          <t>البيئة</t>
        </is>
      </c>
      <c r="C19" s="22" t="inlineStr">
        <is>
          <t>التشجير داخل المحطة (معيار الوزارة)</t>
        </is>
      </c>
      <c r="D19" s="49" t="inlineStr">
        <is>
          <t>%</t>
        </is>
      </c>
      <c r="E19" s="49" t="inlineStr">
        <is>
          <t>↑</t>
        </is>
      </c>
      <c r="F19" s="49" t="inlineStr">
        <is>
          <t>LAST</t>
        </is>
      </c>
      <c r="G19" s="57" t="n">
        <v>1</v>
      </c>
      <c r="H19" s="51" t="inlineStr">
        <is>
          <t>100%</t>
        </is>
      </c>
      <c r="I19" s="58" t="n"/>
      <c r="J19" s="58" t="n"/>
      <c r="K19" s="58" t="n"/>
      <c r="L19" s="58" t="n"/>
      <c r="M19" s="58" t="n"/>
      <c r="N19" s="58" t="n"/>
      <c r="O19" s="58" t="n"/>
      <c r="P19" s="58" t="n"/>
      <c r="Q19" s="58" t="n"/>
      <c r="R19" s="58" t="n"/>
      <c r="S19" s="58" t="n"/>
      <c r="T19" s="58" t="n"/>
      <c r="U19" s="59">
        <f>IF($F19="SUM",IF(COUNT($I19:$T19)=0,"",SUM($I19:$T19)),IF($F19="AVG",IFERROR(AVERAGE($I19:$T19),""),IF($F19="LAST",IFERROR(LOOKUP(2,1/($I19:$T19&lt;&gt;""),$I19:$T19),""),"")))</f>
        <v/>
      </c>
      <c r="V19" s="23">
        <f>IF($G19="","",IF($U19="","",IF($G19=0,IF($U19&lt;=0,1,0),IF($E19="↓",IFERROR($G19/$U19,0),IFERROR($U19/$G19,0)))))</f>
        <v/>
      </c>
      <c r="W19" s="17">
        <f>IF($V19="","—",IF($V19&gt;=1,"✅ محقق",IF($V19&gt;=0.85,"🟡 قريب","🔴 تحت الهدف")))</f>
        <v/>
      </c>
      <c r="X19" s="54" t="inlineStr">
        <is>
          <t>الاستدامة</t>
        </is>
      </c>
      <c r="Y19" s="22" t="inlineStr">
        <is>
          <t>جودة التشغيل</t>
        </is>
      </c>
      <c r="Z19" s="56" t="n"/>
      <c r="AA19" s="21" t="inlineStr">
        <is>
          <t>🟣 لاحق</t>
        </is>
      </c>
      <c r="AB19" s="56" t="n">
        <v>0.0625</v>
      </c>
      <c r="AC19" s="23">
        <f>IF($V19="","",$AB19*MIN($V19,1))</f>
        <v/>
      </c>
    </row>
    <row r="20">
      <c r="A20" s="67" t="inlineStr"/>
      <c r="B20" s="68" t="inlineStr">
        <is>
          <t>الإجمالي الموزون للإدارة</t>
        </is>
      </c>
      <c r="AB20" s="69">
        <f>SUM(AB4:AB19)</f>
        <v/>
      </c>
      <c r="AC20" s="70">
        <f>SUM(AC4:AC19)</f>
        <v/>
      </c>
    </row>
  </sheetData>
  <sheetProtection selectLockedCells="1" selectUnlockedCells="1" sheet="1" objects="0" insertRows="1" insertHyperlinks="1" autoFilter="1" scenarios="0" formatColumns="1" deleteColumns="1" insertColumns="1" pivotTables="1" deleteRows="1" formatCells="0" formatRows="1" sort="1" password="EFFF"/>
  <mergeCells count="3">
    <mergeCell ref="A2:AC2"/>
    <mergeCell ref="A1:AC1"/>
    <mergeCell ref="B20:AA20"/>
  </mergeCells>
  <dataValidations count="1">
    <dataValidation sqref="I4 I5 I6 I7 I8 I9 I10 I11 I12 I13 I14 I15 I16 I17 I18 I19 J4 J5 J6 J7 J8 J9 J10 J11 J12 J13 J14 J15 J16 J17 J18 J19 K4 K5 K6 K7 K8 K9 K10 K11 K12 K13 K14 K15 K16 K17 K18 K19 L4 L5 L6 L7 L8 L9 L10 L11 L12 L13 L14 L15 L16 L17 L18 L19 M4 M5 M6 M7 M8 M9 M10 M11 M12 M13 M14 M15 M16 M17 M18 M19 N4 N5 N6 N7 N8 N9 N10 N11 N12 N13 N14 N15 N16 N17 N18 N19 O4 O5 O6 O7 O8 O9 O10 O11 O12 O13 O14 O15 O16 O17 O18 O19 P4 P5 P6 P7 P8 P9 P10 P11 P12 P13 P14 P15 P16 P17 P18 P19 Q4 Q5 Q6 Q7 Q8 Q9 Q10 Q11 Q12 Q13 Q14 Q15 Q16 Q17 Q18 Q19 R4 R5 R6 R7 R8 R9 R10 R11 R12 R13 R14 R15 R16 R17 R18 R19 S4 S5 S6 S7 S8 S9 S10 S11 S12 S13 S14 S15 S16 S17 S18 S19 T4 T5 T6 T7 T8 T9 T10 T11 T12 T13 T14 T15 T16 T17 T18 T19 Z4 Z5 Z6 Z7 Z8 Z9 Z10 Z11 Z12 Z13 Z14 Z15 Z16 Z17 Z18 Z19" showDropDown="0" showInputMessage="0" showErrorMessage="0" allowBlank="1" errorTitle="قيمة غير صحيحة" error="أدخل رقماً موجباً فقط" type="decimal" operator="greaterThanOrEqual">
      <formula1>0</formula1>
    </dataValidation>
  </dataValidation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AC18"/>
  <sheetViews>
    <sheetView showGridLines="0" rightToLeft="1" workbookViewId="0">
      <pane xSplit="8" ySplit="3" topLeftCell="I4" activePane="bottomRight" state="frozen"/>
      <selection pane="topRight"/>
      <selection pane="bottomLeft"/>
      <selection pane="bottomRight" activeCell="A1" sqref="A1"/>
    </sheetView>
  </sheetViews>
  <sheetFormatPr baseColWidth="8" defaultRowHeight="15"/>
  <cols>
    <col width="4" customWidth="1" min="1" max="1"/>
    <col width="20" customWidth="1" min="2" max="2"/>
    <col width="40" customWidth="1" min="3" max="3"/>
    <col width="10" customWidth="1" min="4" max="4"/>
    <col width="8" customWidth="1" min="5" max="5"/>
    <col width="9" customWidth="1" min="6" max="6"/>
    <col width="12" customWidth="1" min="7" max="7"/>
    <col width="16"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12" customWidth="1" min="21" max="21"/>
    <col width="12" customWidth="1" min="22" max="22"/>
    <col width="14" customWidth="1" min="23" max="23"/>
    <col width="16" customWidth="1" min="24" max="24"/>
    <col width="22" customWidth="1" min="25" max="25"/>
    <col width="12" customWidth="1" min="26" max="26"/>
    <col width="10" customWidth="1" min="27" max="27"/>
    <col width="9" customWidth="1" min="28" max="28"/>
    <col width="14" customWidth="1" min="29" max="29"/>
  </cols>
  <sheetData>
    <row r="1" ht="30" customHeight="1">
      <c r="A1" s="24" t="inlineStr">
        <is>
          <t>مؤشرات الأداء — مدير المحطة (شهري · SOP-OM-02/13)</t>
        </is>
      </c>
    </row>
    <row r="2">
      <c r="A2" s="48" t="inlineStr">
        <is>
          <t>🟩 الأخضر = إدخال (الأرقام الشهرية + خط الأساس + الوزن)  ·  🔵 قائد/🟣 لاحق  ·  الدرجة الموزونة والحالة تلقائية</t>
        </is>
      </c>
    </row>
    <row r="3" ht="34" customHeight="1">
      <c r="A3" s="26" t="inlineStr">
        <is>
          <t>#</t>
        </is>
      </c>
      <c r="B3" s="26" t="inlineStr">
        <is>
          <t>المحور</t>
        </is>
      </c>
      <c r="C3" s="26" t="inlineStr">
        <is>
          <t>المؤشر</t>
        </is>
      </c>
      <c r="D3" s="26" t="inlineStr">
        <is>
          <t>الوحدة</t>
        </is>
      </c>
      <c r="E3" s="26" t="inlineStr">
        <is>
          <t>القطبية</t>
        </is>
      </c>
      <c r="F3" s="26" t="inlineStr">
        <is>
          <t>التجميع</t>
        </is>
      </c>
      <c r="G3" s="26" t="inlineStr">
        <is>
          <t>المستهدف</t>
        </is>
      </c>
      <c r="H3" s="26" t="inlineStr">
        <is>
          <t>نص المستهدف</t>
        </is>
      </c>
      <c r="I3" s="26" t="inlineStr">
        <is>
          <t>يناير</t>
        </is>
      </c>
      <c r="J3" s="26" t="inlineStr">
        <is>
          <t>فبراير</t>
        </is>
      </c>
      <c r="K3" s="26" t="inlineStr">
        <is>
          <t>مارس</t>
        </is>
      </c>
      <c r="L3" s="26" t="inlineStr">
        <is>
          <t>أبريل</t>
        </is>
      </c>
      <c r="M3" s="26" t="inlineStr">
        <is>
          <t>مايو</t>
        </is>
      </c>
      <c r="N3" s="26" t="inlineStr">
        <is>
          <t>يونيو</t>
        </is>
      </c>
      <c r="O3" s="26" t="inlineStr">
        <is>
          <t>يوليو</t>
        </is>
      </c>
      <c r="P3" s="26" t="inlineStr">
        <is>
          <t>أغسطس</t>
        </is>
      </c>
      <c r="Q3" s="26" t="inlineStr">
        <is>
          <t>سبتمبر</t>
        </is>
      </c>
      <c r="R3" s="26" t="inlineStr">
        <is>
          <t>أكتوبر</t>
        </is>
      </c>
      <c r="S3" s="26" t="inlineStr">
        <is>
          <t>نوفمبر</t>
        </is>
      </c>
      <c r="T3" s="26" t="inlineStr">
        <is>
          <t>ديسمبر</t>
        </is>
      </c>
      <c r="U3" s="26" t="inlineStr">
        <is>
          <t>YTD</t>
        </is>
      </c>
      <c r="V3" s="26" t="inlineStr">
        <is>
          <t>نسبة التحقيق</t>
        </is>
      </c>
      <c r="W3" s="26" t="inlineStr">
        <is>
          <t>الحالة</t>
        </is>
      </c>
      <c r="X3" s="26" t="inlineStr">
        <is>
          <t>الركيزة (5س)</t>
        </is>
      </c>
      <c r="Y3" s="26" t="inlineStr">
        <is>
          <t>المشروع (الخارطة)</t>
        </is>
      </c>
      <c r="Z3" s="26" t="inlineStr">
        <is>
          <t>خط الأساس 2025</t>
        </is>
      </c>
      <c r="AA3" s="26" t="inlineStr">
        <is>
          <t>النوع</t>
        </is>
      </c>
      <c r="AB3" s="26" t="inlineStr">
        <is>
          <t>الوزن %</t>
        </is>
      </c>
      <c r="AC3" s="26" t="inlineStr">
        <is>
          <t>الدرجة الموزونة</t>
        </is>
      </c>
    </row>
    <row r="4" ht="26" customHeight="1">
      <c r="A4" s="17" t="n">
        <v>1</v>
      </c>
      <c r="B4" s="22" t="inlineStr">
        <is>
          <t>الرقابة المالية</t>
        </is>
      </c>
      <c r="C4" s="22" t="inlineStr">
        <is>
          <t>تنفيذ جرد الوردية مرتين يومياً</t>
        </is>
      </c>
      <c r="D4" s="49" t="inlineStr">
        <is>
          <t>%</t>
        </is>
      </c>
      <c r="E4" s="49" t="inlineStr">
        <is>
          <t>↑</t>
        </is>
      </c>
      <c r="F4" s="49" t="inlineStr">
        <is>
          <t>AVG</t>
        </is>
      </c>
      <c r="G4" s="57" t="n">
        <v>1</v>
      </c>
      <c r="H4" s="51" t="inlineStr">
        <is>
          <t>100%</t>
        </is>
      </c>
      <c r="I4" s="58" t="n"/>
      <c r="J4" s="58" t="n"/>
      <c r="K4" s="58" t="n"/>
      <c r="L4" s="58" t="n"/>
      <c r="M4" s="58" t="n"/>
      <c r="N4" s="58" t="n"/>
      <c r="O4" s="58" t="n"/>
      <c r="P4" s="58" t="n"/>
      <c r="Q4" s="58" t="n"/>
      <c r="R4" s="58" t="n"/>
      <c r="S4" s="58" t="n"/>
      <c r="T4" s="58" t="n"/>
      <c r="U4" s="59">
        <f>IF($F4="SUM",IF(COUNT($I4:$T4)=0,"",SUM($I4:$T4)),IF($F4="AVG",IFERROR(AVERAGE($I4:$T4),""),IF($F4="LAST",IFERROR(LOOKUP(2,1/($I4:$T4&lt;&gt;""),$I4:$T4),""),"")))</f>
        <v/>
      </c>
      <c r="V4" s="23">
        <f>IF($G4="","",IF($U4="","",IF($G4=0,IF($U4&lt;=0,1,0),IF($E4="↓",IFERROR($G4/$U4,0),IFERROR($U4/$G4,0)))))</f>
        <v/>
      </c>
      <c r="W4" s="17">
        <f>IF($V4="","—",IF($V4&gt;=1,"✅ محقق",IF($V4&gt;=0.85,"🟡 قريب","🔴 تحت الهدف")))</f>
        <v/>
      </c>
      <c r="X4" s="54" t="inlineStr"/>
      <c r="Y4" s="22" t="inlineStr"/>
      <c r="Z4" s="56" t="n"/>
      <c r="AA4" s="21" t="inlineStr">
        <is>
          <t>🟣 لاحق</t>
        </is>
      </c>
      <c r="AB4" s="56" t="n">
        <v>0.07140000000000001</v>
      </c>
      <c r="AC4" s="23">
        <f>IF($V4="","",$AB4*MIN($V4,1))</f>
        <v/>
      </c>
    </row>
    <row r="5" ht="26" customHeight="1">
      <c r="A5" s="17" t="n">
        <v>2</v>
      </c>
      <c r="B5" s="22" t="inlineStr">
        <is>
          <t>الرقابة المالية</t>
        </is>
      </c>
      <c r="C5" s="22" t="inlineStr">
        <is>
          <t>تسليم حصيلة المبيعات في الموعد</t>
        </is>
      </c>
      <c r="D5" s="49" t="inlineStr">
        <is>
          <t>%</t>
        </is>
      </c>
      <c r="E5" s="49" t="inlineStr">
        <is>
          <t>↑</t>
        </is>
      </c>
      <c r="F5" s="49" t="inlineStr">
        <is>
          <t>AVG</t>
        </is>
      </c>
      <c r="G5" s="57" t="n">
        <v>1</v>
      </c>
      <c r="H5" s="51" t="inlineStr">
        <is>
          <t>100%</t>
        </is>
      </c>
      <c r="I5" s="58" t="n"/>
      <c r="J5" s="58" t="n"/>
      <c r="K5" s="58" t="n"/>
      <c r="L5" s="58" t="n"/>
      <c r="M5" s="58" t="n"/>
      <c r="N5" s="58" t="n"/>
      <c r="O5" s="58" t="n"/>
      <c r="P5" s="58" t="n"/>
      <c r="Q5" s="58" t="n"/>
      <c r="R5" s="58" t="n"/>
      <c r="S5" s="58" t="n"/>
      <c r="T5" s="58" t="n"/>
      <c r="U5" s="59">
        <f>IF($F5="SUM",IF(COUNT($I5:$T5)=0,"",SUM($I5:$T5)),IF($F5="AVG",IFERROR(AVERAGE($I5:$T5),""),IF($F5="LAST",IFERROR(LOOKUP(2,1/($I5:$T5&lt;&gt;""),$I5:$T5),""),"")))</f>
        <v/>
      </c>
      <c r="V5" s="23">
        <f>IF($G5="","",IF($U5="","",IF($G5=0,IF($U5&lt;=0,1,0),IF($E5="↓",IFERROR($G5/$U5,0),IFERROR($U5/$G5,0)))))</f>
        <v/>
      </c>
      <c r="W5" s="17">
        <f>IF($V5="","—",IF($V5&gt;=1,"✅ محقق",IF($V5&gt;=0.85,"🟡 قريب","🔴 تحت الهدف")))</f>
        <v/>
      </c>
      <c r="X5" s="54" t="inlineStr"/>
      <c r="Y5" s="22" t="inlineStr"/>
      <c r="Z5" s="56" t="n"/>
      <c r="AA5" s="21" t="inlineStr">
        <is>
          <t>🔵 قائد</t>
        </is>
      </c>
      <c r="AB5" s="56" t="n">
        <v>0.07140000000000001</v>
      </c>
      <c r="AC5" s="23">
        <f>IF($V5="","",$AB5*MIN($V5,1))</f>
        <v/>
      </c>
    </row>
    <row r="6" ht="26" customHeight="1">
      <c r="A6" s="17" t="n">
        <v>3</v>
      </c>
      <c r="B6" s="22" t="inlineStr">
        <is>
          <t>الرقابة المالية</t>
        </is>
      </c>
      <c r="C6" s="22" t="inlineStr">
        <is>
          <t>التطابق بين POS والنقدية</t>
        </is>
      </c>
      <c r="D6" s="49" t="inlineStr">
        <is>
          <t>%</t>
        </is>
      </c>
      <c r="E6" s="49" t="inlineStr">
        <is>
          <t>↑</t>
        </is>
      </c>
      <c r="F6" s="49" t="inlineStr">
        <is>
          <t>AVG</t>
        </is>
      </c>
      <c r="G6" s="57" t="n">
        <v>1</v>
      </c>
      <c r="H6" s="51" t="inlineStr">
        <is>
          <t>100%</t>
        </is>
      </c>
      <c r="I6" s="58" t="n"/>
      <c r="J6" s="58" t="n"/>
      <c r="K6" s="58" t="n"/>
      <c r="L6" s="58" t="n"/>
      <c r="M6" s="58" t="n"/>
      <c r="N6" s="58" t="n"/>
      <c r="O6" s="58" t="n"/>
      <c r="P6" s="58" t="n"/>
      <c r="Q6" s="58" t="n"/>
      <c r="R6" s="58" t="n"/>
      <c r="S6" s="58" t="n"/>
      <c r="T6" s="58" t="n"/>
      <c r="U6" s="59">
        <f>IF($F6="SUM",IF(COUNT($I6:$T6)=0,"",SUM($I6:$T6)),IF($F6="AVG",IFERROR(AVERAGE($I6:$T6),""),IF($F6="LAST",IFERROR(LOOKUP(2,1/($I6:$T6&lt;&gt;""),$I6:$T6),""),"")))</f>
        <v/>
      </c>
      <c r="V6" s="23">
        <f>IF($G6="","",IF($U6="","",IF($G6=0,IF($U6&lt;=0,1,0),IF($E6="↓",IFERROR($G6/$U6,0),IFERROR($U6/$G6,0)))))</f>
        <v/>
      </c>
      <c r="W6" s="17">
        <f>IF($V6="","—",IF($V6&gt;=1,"✅ محقق",IF($V6&gt;=0.85,"🟡 قريب","🔴 تحت الهدف")))</f>
        <v/>
      </c>
      <c r="X6" s="54" t="inlineStr"/>
      <c r="Y6" s="22" t="inlineStr"/>
      <c r="Z6" s="56" t="n"/>
      <c r="AA6" s="21" t="inlineStr">
        <is>
          <t>🟣 لاحق</t>
        </is>
      </c>
      <c r="AB6" s="56" t="n">
        <v>0.07140000000000001</v>
      </c>
      <c r="AC6" s="23">
        <f>IF($V6="","",$AB6*MIN($V6,1))</f>
        <v/>
      </c>
    </row>
    <row r="7" ht="26" customHeight="1">
      <c r="A7" s="17" t="n">
        <v>4</v>
      </c>
      <c r="B7" s="22" t="inlineStr">
        <is>
          <t>الرقابة المالية</t>
        </is>
      </c>
      <c r="C7" s="22" t="inlineStr">
        <is>
          <t>حالات عدم تطابق غير مبررة</t>
        </is>
      </c>
      <c r="D7" s="49" t="inlineStr">
        <is>
          <t>حالة</t>
        </is>
      </c>
      <c r="E7" s="49" t="inlineStr">
        <is>
          <t>↓</t>
        </is>
      </c>
      <c r="F7" s="49" t="inlineStr">
        <is>
          <t>SUM</t>
        </is>
      </c>
      <c r="G7" s="50" t="n">
        <v>0</v>
      </c>
      <c r="H7" s="51" t="inlineStr">
        <is>
          <t>0 حالة</t>
        </is>
      </c>
      <c r="I7" s="52" t="n"/>
      <c r="J7" s="52" t="n"/>
      <c r="K7" s="52" t="n"/>
      <c r="L7" s="52" t="n"/>
      <c r="M7" s="52" t="n"/>
      <c r="N7" s="52" t="n"/>
      <c r="O7" s="52" t="n"/>
      <c r="P7" s="52" t="n"/>
      <c r="Q7" s="52" t="n"/>
      <c r="R7" s="52" t="n"/>
      <c r="S7" s="52" t="n"/>
      <c r="T7" s="52" t="n"/>
      <c r="U7" s="53">
        <f>IF($F7="SUM",IF(COUNT($I7:$T7)=0,"",SUM($I7:$T7)),IF($F7="AVG",IFERROR(AVERAGE($I7:$T7),""),IF($F7="LAST",IFERROR(LOOKUP(2,1/($I7:$T7&lt;&gt;""),$I7:$T7),""),"")))</f>
        <v/>
      </c>
      <c r="V7" s="23">
        <f>IF($G7="","",IF($U7="","",IF($G7=0,IF($U7&lt;=0,1,0),IF($E7="↓",IFERROR($G7/$U7,0),IFERROR($U7/$G7,0)))))</f>
        <v/>
      </c>
      <c r="W7" s="17">
        <f>IF($V7="","—",IF($V7&gt;=1,"✅ محقق",IF($V7&gt;=0.85,"🟡 قريب","🔴 تحت الهدف")))</f>
        <v/>
      </c>
      <c r="X7" s="54" t="inlineStr"/>
      <c r="Y7" s="22" t="inlineStr"/>
      <c r="Z7" s="55" t="n"/>
      <c r="AA7" s="21" t="inlineStr">
        <is>
          <t>🟣 لاحق</t>
        </is>
      </c>
      <c r="AB7" s="56" t="n">
        <v>0.07140000000000001</v>
      </c>
      <c r="AC7" s="23">
        <f>IF($V7="","",$AB7*MIN($V7,1))</f>
        <v/>
      </c>
    </row>
    <row r="8" ht="26" customHeight="1">
      <c r="A8" s="17" t="n">
        <v>5</v>
      </c>
      <c r="B8" s="22" t="inlineStr">
        <is>
          <t>توريد الوقود</t>
        </is>
      </c>
      <c r="C8" s="22" t="inlineStr">
        <is>
          <t>دقة قياس مستوى الخزان يومياً</t>
        </is>
      </c>
      <c r="D8" s="49" t="inlineStr">
        <is>
          <t>%</t>
        </is>
      </c>
      <c r="E8" s="49" t="inlineStr">
        <is>
          <t>↑</t>
        </is>
      </c>
      <c r="F8" s="49" t="inlineStr">
        <is>
          <t>AVG</t>
        </is>
      </c>
      <c r="G8" s="57" t="n">
        <v>1</v>
      </c>
      <c r="H8" s="51" t="inlineStr">
        <is>
          <t>100%</t>
        </is>
      </c>
      <c r="I8" s="58" t="n"/>
      <c r="J8" s="58" t="n"/>
      <c r="K8" s="58" t="n"/>
      <c r="L8" s="58" t="n"/>
      <c r="M8" s="58" t="n"/>
      <c r="N8" s="58" t="n"/>
      <c r="O8" s="58" t="n"/>
      <c r="P8" s="58" t="n"/>
      <c r="Q8" s="58" t="n"/>
      <c r="R8" s="58" t="n"/>
      <c r="S8" s="58" t="n"/>
      <c r="T8" s="58" t="n"/>
      <c r="U8" s="59">
        <f>IF($F8="SUM",IF(COUNT($I8:$T8)=0,"",SUM($I8:$T8)),IF($F8="AVG",IFERROR(AVERAGE($I8:$T8),""),IF($F8="LAST",IFERROR(LOOKUP(2,1/($I8:$T8&lt;&gt;""),$I8:$T8),""),"")))</f>
        <v/>
      </c>
      <c r="V8" s="23">
        <f>IF($G8="","",IF($U8="","",IF($G8=0,IF($U8&lt;=0,1,0),IF($E8="↓",IFERROR($G8/$U8,0),IFERROR($U8/$G8,0)))))</f>
        <v/>
      </c>
      <c r="W8" s="17">
        <f>IF($V8="","—",IF($V8&gt;=1,"✅ محقق",IF($V8&gt;=0.85,"🟡 قريب","🔴 تحت الهدف")))</f>
        <v/>
      </c>
      <c r="X8" s="54" t="inlineStr"/>
      <c r="Y8" s="22" t="inlineStr"/>
      <c r="Z8" s="56" t="n"/>
      <c r="AA8" s="21" t="inlineStr">
        <is>
          <t>🟣 لاحق</t>
        </is>
      </c>
      <c r="AB8" s="56" t="n">
        <v>0.07140000000000001</v>
      </c>
      <c r="AC8" s="23">
        <f>IF($V8="","",$AB8*MIN($V8,1))</f>
        <v/>
      </c>
    </row>
    <row r="9" ht="26" customHeight="1">
      <c r="A9" s="17" t="n">
        <v>6</v>
      </c>
      <c r="B9" s="22" t="inlineStr">
        <is>
          <t>توريد الوقود</t>
        </is>
      </c>
      <c r="C9" s="22" t="inlineStr">
        <is>
          <t>طلب توريد الوقود قبل نفاده</t>
        </is>
      </c>
      <c r="D9" s="49" t="inlineStr">
        <is>
          <t>%</t>
        </is>
      </c>
      <c r="E9" s="49" t="inlineStr">
        <is>
          <t>↑</t>
        </is>
      </c>
      <c r="F9" s="49" t="inlineStr">
        <is>
          <t>AVG</t>
        </is>
      </c>
      <c r="G9" s="57" t="n">
        <v>1</v>
      </c>
      <c r="H9" s="51" t="inlineStr">
        <is>
          <t>100%</t>
        </is>
      </c>
      <c r="I9" s="58" t="n"/>
      <c r="J9" s="58" t="n"/>
      <c r="K9" s="58" t="n"/>
      <c r="L9" s="58" t="n"/>
      <c r="M9" s="58" t="n"/>
      <c r="N9" s="58" t="n"/>
      <c r="O9" s="58" t="n"/>
      <c r="P9" s="58" t="n"/>
      <c r="Q9" s="58" t="n"/>
      <c r="R9" s="58" t="n"/>
      <c r="S9" s="58" t="n"/>
      <c r="T9" s="58" t="n"/>
      <c r="U9" s="59">
        <f>IF($F9="SUM",IF(COUNT($I9:$T9)=0,"",SUM($I9:$T9)),IF($F9="AVG",IFERROR(AVERAGE($I9:$T9),""),IF($F9="LAST",IFERROR(LOOKUP(2,1/($I9:$T9&lt;&gt;""),$I9:$T9),""),"")))</f>
        <v/>
      </c>
      <c r="V9" s="23">
        <f>IF($G9="","",IF($U9="","",IF($G9=0,IF($U9&lt;=0,1,0),IF($E9="↓",IFERROR($G9/$U9,0),IFERROR($U9/$G9,0)))))</f>
        <v/>
      </c>
      <c r="W9" s="17">
        <f>IF($V9="","—",IF($V9&gt;=1,"✅ محقق",IF($V9&gt;=0.85,"🟡 قريب","🔴 تحت الهدف")))</f>
        <v/>
      </c>
      <c r="X9" s="54" t="inlineStr"/>
      <c r="Y9" s="22" t="inlineStr"/>
      <c r="Z9" s="56" t="n"/>
      <c r="AA9" s="21" t="inlineStr">
        <is>
          <t>🔵 قائد</t>
        </is>
      </c>
      <c r="AB9" s="56" t="n">
        <v>0.07140000000000001</v>
      </c>
      <c r="AC9" s="23">
        <f>IF($V9="","",$AB9*MIN($V9,1))</f>
        <v/>
      </c>
    </row>
    <row r="10" ht="26" customHeight="1">
      <c r="A10" s="17" t="n">
        <v>7</v>
      </c>
      <c r="B10" s="22" t="inlineStr">
        <is>
          <t>توريد الوقود</t>
        </is>
      </c>
      <c r="C10" s="22" t="inlineStr">
        <is>
          <t>حالات انقطاع الوقود</t>
        </is>
      </c>
      <c r="D10" s="49" t="inlineStr">
        <is>
          <t>حالة</t>
        </is>
      </c>
      <c r="E10" s="49" t="inlineStr">
        <is>
          <t>↓</t>
        </is>
      </c>
      <c r="F10" s="49" t="inlineStr">
        <is>
          <t>SUM</t>
        </is>
      </c>
      <c r="G10" s="50" t="n">
        <v>0</v>
      </c>
      <c r="H10" s="51" t="inlineStr">
        <is>
          <t>0 حالة</t>
        </is>
      </c>
      <c r="I10" s="52" t="n"/>
      <c r="J10" s="52" t="n"/>
      <c r="K10" s="52" t="n"/>
      <c r="L10" s="52" t="n"/>
      <c r="M10" s="52" t="n"/>
      <c r="N10" s="52" t="n"/>
      <c r="O10" s="52" t="n"/>
      <c r="P10" s="52" t="n"/>
      <c r="Q10" s="52" t="n"/>
      <c r="R10" s="52" t="n"/>
      <c r="S10" s="52" t="n"/>
      <c r="T10" s="52" t="n"/>
      <c r="U10" s="53">
        <f>IF($F10="SUM",IF(COUNT($I10:$T10)=0,"",SUM($I10:$T10)),IF($F10="AVG",IFERROR(AVERAGE($I10:$T10),""),IF($F10="LAST",IFERROR(LOOKUP(2,1/($I10:$T10&lt;&gt;""),$I10:$T10),""),"")))</f>
        <v/>
      </c>
      <c r="V10" s="23">
        <f>IF($G10="","",IF($U10="","",IF($G10=0,IF($U10&lt;=0,1,0),IF($E10="↓",IFERROR($G10/$U10,0),IFERROR($U10/$G10,0)))))</f>
        <v/>
      </c>
      <c r="W10" s="17">
        <f>IF($V10="","—",IF($V10&gt;=1,"✅ محقق",IF($V10&gt;=0.85,"🟡 قريب","🔴 تحت الهدف")))</f>
        <v/>
      </c>
      <c r="X10" s="54" t="inlineStr"/>
      <c r="Y10" s="22" t="inlineStr"/>
      <c r="Z10" s="55" t="n"/>
      <c r="AA10" s="21" t="inlineStr">
        <is>
          <t>🟣 لاحق</t>
        </is>
      </c>
      <c r="AB10" s="56" t="n">
        <v>0.07140000000000001</v>
      </c>
      <c r="AC10" s="23">
        <f>IF($V10="","",$AB10*MIN($V10,1))</f>
        <v/>
      </c>
    </row>
    <row r="11" ht="26" customHeight="1">
      <c r="A11" s="17" t="n">
        <v>8</v>
      </c>
      <c r="B11" s="22" t="inlineStr">
        <is>
          <t>توريد الوقود</t>
        </is>
      </c>
      <c r="C11" s="22" t="inlineStr">
        <is>
          <t>توثيق تفريغ الوقود (OP-F-36)</t>
        </is>
      </c>
      <c r="D11" s="49" t="inlineStr">
        <is>
          <t>%</t>
        </is>
      </c>
      <c r="E11" s="49" t="inlineStr">
        <is>
          <t>↑</t>
        </is>
      </c>
      <c r="F11" s="49" t="inlineStr">
        <is>
          <t>AVG</t>
        </is>
      </c>
      <c r="G11" s="57" t="n">
        <v>1</v>
      </c>
      <c r="H11" s="51" t="inlineStr">
        <is>
          <t>100%</t>
        </is>
      </c>
      <c r="I11" s="58" t="n"/>
      <c r="J11" s="58" t="n"/>
      <c r="K11" s="58" t="n"/>
      <c r="L11" s="58" t="n"/>
      <c r="M11" s="58" t="n"/>
      <c r="N11" s="58" t="n"/>
      <c r="O11" s="58" t="n"/>
      <c r="P11" s="58" t="n"/>
      <c r="Q11" s="58" t="n"/>
      <c r="R11" s="58" t="n"/>
      <c r="S11" s="58" t="n"/>
      <c r="T11" s="58" t="n"/>
      <c r="U11" s="59">
        <f>IF($F11="SUM",IF(COUNT($I11:$T11)=0,"",SUM($I11:$T11)),IF($F11="AVG",IFERROR(AVERAGE($I11:$T11),""),IF($F11="LAST",IFERROR(LOOKUP(2,1/($I11:$T11&lt;&gt;""),$I11:$T11),""),"")))</f>
        <v/>
      </c>
      <c r="V11" s="23">
        <f>IF($G11="","",IF($U11="","",IF($G11=0,IF($U11&lt;=0,1,0),IF($E11="↓",IFERROR($G11/$U11,0),IFERROR($U11/$G11,0)))))</f>
        <v/>
      </c>
      <c r="W11" s="17">
        <f>IF($V11="","—",IF($V11&gt;=1,"✅ محقق",IF($V11&gt;=0.85,"🟡 قريب","🔴 تحت الهدف")))</f>
        <v/>
      </c>
      <c r="X11" s="54" t="inlineStr"/>
      <c r="Y11" s="22" t="inlineStr"/>
      <c r="Z11" s="56" t="n"/>
      <c r="AA11" s="21" t="inlineStr">
        <is>
          <t>🟣 لاحق</t>
        </is>
      </c>
      <c r="AB11" s="56" t="n">
        <v>0.07140000000000001</v>
      </c>
      <c r="AC11" s="23">
        <f>IF($V11="","",$AB11*MIN($V11,1))</f>
        <v/>
      </c>
    </row>
    <row r="12" ht="26" customHeight="1">
      <c r="A12" s="17" t="n">
        <v>9</v>
      </c>
      <c r="B12" s="22" t="inlineStr">
        <is>
          <t>إدارة الفريق</t>
        </is>
      </c>
      <c r="C12" s="22" t="inlineStr">
        <is>
          <t>الالتزام بزي الفريق ومظهره</t>
        </is>
      </c>
      <c r="D12" s="49" t="inlineStr">
        <is>
          <t>%</t>
        </is>
      </c>
      <c r="E12" s="49" t="inlineStr">
        <is>
          <t>↑</t>
        </is>
      </c>
      <c r="F12" s="49" t="inlineStr">
        <is>
          <t>AVG</t>
        </is>
      </c>
      <c r="G12" s="57" t="n">
        <v>1</v>
      </c>
      <c r="H12" s="51" t="inlineStr">
        <is>
          <t>100%</t>
        </is>
      </c>
      <c r="I12" s="58" t="n"/>
      <c r="J12" s="58" t="n"/>
      <c r="K12" s="58" t="n"/>
      <c r="L12" s="58" t="n"/>
      <c r="M12" s="58" t="n"/>
      <c r="N12" s="58" t="n"/>
      <c r="O12" s="58" t="n"/>
      <c r="P12" s="58" t="n"/>
      <c r="Q12" s="58" t="n"/>
      <c r="R12" s="58" t="n"/>
      <c r="S12" s="58" t="n"/>
      <c r="T12" s="58" t="n"/>
      <c r="U12" s="59">
        <f>IF($F12="SUM",IF(COUNT($I12:$T12)=0,"",SUM($I12:$T12)),IF($F12="AVG",IFERROR(AVERAGE($I12:$T12),""),IF($F12="LAST",IFERROR(LOOKUP(2,1/($I12:$T12&lt;&gt;""),$I12:$T12),""),"")))</f>
        <v/>
      </c>
      <c r="V12" s="23">
        <f>IF($G12="","",IF($U12="","",IF($G12=0,IF($U12&lt;=0,1,0),IF($E12="↓",IFERROR($G12/$U12,0),IFERROR($U12/$G12,0)))))</f>
        <v/>
      </c>
      <c r="W12" s="17">
        <f>IF($V12="","—",IF($V12&gt;=1,"✅ محقق",IF($V12&gt;=0.85,"🟡 قريب","🔴 تحت الهدف")))</f>
        <v/>
      </c>
      <c r="X12" s="54" t="inlineStr"/>
      <c r="Y12" s="22" t="inlineStr"/>
      <c r="Z12" s="56" t="n"/>
      <c r="AA12" s="21" t="inlineStr">
        <is>
          <t>🟣 لاحق</t>
        </is>
      </c>
      <c r="AB12" s="56" t="n">
        <v>0.07140000000000001</v>
      </c>
      <c r="AC12" s="23">
        <f>IF($V12="","",$AB12*MIN($V12,1))</f>
        <v/>
      </c>
    </row>
    <row r="13" ht="26" customHeight="1">
      <c r="A13" s="17" t="n">
        <v>10</v>
      </c>
      <c r="B13" s="22" t="inlineStr">
        <is>
          <t>إدارة الفريق</t>
        </is>
      </c>
      <c r="C13" s="22" t="inlineStr">
        <is>
          <t>توزيع الزي بعهدة موقّعة</t>
        </is>
      </c>
      <c r="D13" s="49" t="inlineStr">
        <is>
          <t>%</t>
        </is>
      </c>
      <c r="E13" s="49" t="inlineStr">
        <is>
          <t>↑</t>
        </is>
      </c>
      <c r="F13" s="49" t="inlineStr">
        <is>
          <t>AVG</t>
        </is>
      </c>
      <c r="G13" s="57" t="n">
        <v>1</v>
      </c>
      <c r="H13" s="51" t="inlineStr">
        <is>
          <t>100%</t>
        </is>
      </c>
      <c r="I13" s="58" t="n"/>
      <c r="J13" s="58" t="n"/>
      <c r="K13" s="58" t="n"/>
      <c r="L13" s="58" t="n"/>
      <c r="M13" s="58" t="n"/>
      <c r="N13" s="58" t="n"/>
      <c r="O13" s="58" t="n"/>
      <c r="P13" s="58" t="n"/>
      <c r="Q13" s="58" t="n"/>
      <c r="R13" s="58" t="n"/>
      <c r="S13" s="58" t="n"/>
      <c r="T13" s="58" t="n"/>
      <c r="U13" s="59">
        <f>IF($F13="SUM",IF(COUNT($I13:$T13)=0,"",SUM($I13:$T13)),IF($F13="AVG",IFERROR(AVERAGE($I13:$T13),""),IF($F13="LAST",IFERROR(LOOKUP(2,1/($I13:$T13&lt;&gt;""),$I13:$T13),""),"")))</f>
        <v/>
      </c>
      <c r="V13" s="23">
        <f>IF($G13="","",IF($U13="","",IF($G13=0,IF($U13&lt;=0,1,0),IF($E13="↓",IFERROR($G13/$U13,0),IFERROR($U13/$G13,0)))))</f>
        <v/>
      </c>
      <c r="W13" s="17">
        <f>IF($V13="","—",IF($V13&gt;=1,"✅ محقق",IF($V13&gt;=0.85,"🟡 قريب","🔴 تحت الهدف")))</f>
        <v/>
      </c>
      <c r="X13" s="54" t="inlineStr"/>
      <c r="Y13" s="22" t="inlineStr"/>
      <c r="Z13" s="56" t="n"/>
      <c r="AA13" s="21" t="inlineStr">
        <is>
          <t>🟣 لاحق</t>
        </is>
      </c>
      <c r="AB13" s="56" t="n">
        <v>0.07140000000000001</v>
      </c>
      <c r="AC13" s="23">
        <f>IF($V13="","",$AB13*MIN($V13,1))</f>
        <v/>
      </c>
    </row>
    <row r="14" ht="26" customHeight="1">
      <c r="A14" s="17" t="n">
        <v>11</v>
      </c>
      <c r="B14" s="22" t="inlineStr">
        <is>
          <t>إدارة الفريق</t>
        </is>
      </c>
      <c r="C14" s="22" t="inlineStr">
        <is>
          <t>تجديد الوثائق والتراخيص مبكراً</t>
        </is>
      </c>
      <c r="D14" s="49" t="inlineStr">
        <is>
          <t>%</t>
        </is>
      </c>
      <c r="E14" s="49" t="inlineStr">
        <is>
          <t>↑</t>
        </is>
      </c>
      <c r="F14" s="49" t="inlineStr">
        <is>
          <t>AVG</t>
        </is>
      </c>
      <c r="G14" s="57" t="n">
        <v>1</v>
      </c>
      <c r="H14" s="51" t="inlineStr">
        <is>
          <t>100%</t>
        </is>
      </c>
      <c r="I14" s="58" t="n"/>
      <c r="J14" s="58" t="n"/>
      <c r="K14" s="58" t="n"/>
      <c r="L14" s="58" t="n"/>
      <c r="M14" s="58" t="n"/>
      <c r="N14" s="58" t="n"/>
      <c r="O14" s="58" t="n"/>
      <c r="P14" s="58" t="n"/>
      <c r="Q14" s="58" t="n"/>
      <c r="R14" s="58" t="n"/>
      <c r="S14" s="58" t="n"/>
      <c r="T14" s="58" t="n"/>
      <c r="U14" s="59">
        <f>IF($F14="SUM",IF(COUNT($I14:$T14)=0,"",SUM($I14:$T14)),IF($F14="AVG",IFERROR(AVERAGE($I14:$T14),""),IF($F14="LAST",IFERROR(LOOKUP(2,1/($I14:$T14&lt;&gt;""),$I14:$T14),""),"")))</f>
        <v/>
      </c>
      <c r="V14" s="23">
        <f>IF($G14="","",IF($U14="","",IF($G14=0,IF($U14&lt;=0,1,0),IF($E14="↓",IFERROR($G14/$U14,0),IFERROR($U14/$G14,0)))))</f>
        <v/>
      </c>
      <c r="W14" s="17">
        <f>IF($V14="","—",IF($V14&gt;=1,"✅ محقق",IF($V14&gt;=0.85,"🟡 قريب","🔴 تحت الهدف")))</f>
        <v/>
      </c>
      <c r="X14" s="54" t="inlineStr"/>
      <c r="Y14" s="22" t="inlineStr"/>
      <c r="Z14" s="56" t="n"/>
      <c r="AA14" s="21" t="inlineStr">
        <is>
          <t>🟣 لاحق</t>
        </is>
      </c>
      <c r="AB14" s="56" t="n">
        <v>0.07140000000000001</v>
      </c>
      <c r="AC14" s="23">
        <f>IF($V14="","",$AB14*MIN($V14,1))</f>
        <v/>
      </c>
    </row>
    <row r="15" ht="26" customHeight="1">
      <c r="A15" s="17" t="n">
        <v>12</v>
      </c>
      <c r="B15" s="22" t="inlineStr">
        <is>
          <t>إدارة الفريق</t>
        </is>
      </c>
      <c r="C15" s="22" t="inlineStr">
        <is>
          <t>الاستجابة لبلاغات الطوارئ والأعطال</t>
        </is>
      </c>
      <c r="D15" s="49" t="inlineStr">
        <is>
          <t>دقيقة</t>
        </is>
      </c>
      <c r="E15" s="49" t="inlineStr">
        <is>
          <t>↓</t>
        </is>
      </c>
      <c r="F15" s="49" t="inlineStr">
        <is>
          <t>AVG</t>
        </is>
      </c>
      <c r="G15" s="63" t="n">
        <v>15</v>
      </c>
      <c r="H15" s="51" t="inlineStr">
        <is>
          <t>≤ 15 د</t>
        </is>
      </c>
      <c r="I15" s="64" t="n"/>
      <c r="J15" s="64" t="n"/>
      <c r="K15" s="64" t="n"/>
      <c r="L15" s="64" t="n"/>
      <c r="M15" s="64" t="n"/>
      <c r="N15" s="64" t="n"/>
      <c r="O15" s="64" t="n"/>
      <c r="P15" s="64" t="n"/>
      <c r="Q15" s="64" t="n"/>
      <c r="R15" s="64" t="n"/>
      <c r="S15" s="64" t="n"/>
      <c r="T15" s="64" t="n"/>
      <c r="U15" s="65">
        <f>IF($F15="SUM",IF(COUNT($I15:$T15)=0,"",SUM($I15:$T15)),IF($F15="AVG",IFERROR(AVERAGE($I15:$T15),""),IF($F15="LAST",IFERROR(LOOKUP(2,1/($I15:$T15&lt;&gt;""),$I15:$T15),""),"")))</f>
        <v/>
      </c>
      <c r="V15" s="23">
        <f>IF($G15="","",IF($U15="","",IF($G15=0,IF($U15&lt;=0,1,0),IF($E15="↓",IFERROR($G15/$U15,0),IFERROR($U15/$G15,0)))))</f>
        <v/>
      </c>
      <c r="W15" s="17">
        <f>IF($V15="","—",IF($V15&gt;=1,"✅ محقق",IF($V15&gt;=0.85,"🟡 قريب","🔴 تحت الهدف")))</f>
        <v/>
      </c>
      <c r="X15" s="54" t="inlineStr"/>
      <c r="Y15" s="22" t="inlineStr"/>
      <c r="Z15" s="66" t="n"/>
      <c r="AA15" s="21" t="inlineStr">
        <is>
          <t>🟣 لاحق</t>
        </is>
      </c>
      <c r="AB15" s="56" t="n">
        <v>0.07140000000000001</v>
      </c>
      <c r="AC15" s="23">
        <f>IF($V15="","",$AB15*MIN($V15,1))</f>
        <v/>
      </c>
    </row>
    <row r="16" ht="26" customHeight="1">
      <c r="A16" s="17" t="n">
        <v>13</v>
      </c>
      <c r="B16" s="22" t="inlineStr">
        <is>
          <t>جودة الخدمة</t>
        </is>
      </c>
      <c r="C16" s="22" t="inlineStr">
        <is>
          <t>نظافة المرافق يومياً</t>
        </is>
      </c>
      <c r="D16" s="49" t="inlineStr">
        <is>
          <t>%</t>
        </is>
      </c>
      <c r="E16" s="49" t="inlineStr">
        <is>
          <t>↑</t>
        </is>
      </c>
      <c r="F16" s="49" t="inlineStr">
        <is>
          <t>AVG</t>
        </is>
      </c>
      <c r="G16" s="57" t="n">
        <v>1</v>
      </c>
      <c r="H16" s="51" t="inlineStr">
        <is>
          <t>100%</t>
        </is>
      </c>
      <c r="I16" s="58" t="n"/>
      <c r="J16" s="58" t="n"/>
      <c r="K16" s="58" t="n"/>
      <c r="L16" s="58" t="n"/>
      <c r="M16" s="58" t="n"/>
      <c r="N16" s="58" t="n"/>
      <c r="O16" s="58" t="n"/>
      <c r="P16" s="58" t="n"/>
      <c r="Q16" s="58" t="n"/>
      <c r="R16" s="58" t="n"/>
      <c r="S16" s="58" t="n"/>
      <c r="T16" s="58" t="n"/>
      <c r="U16" s="59">
        <f>IF($F16="SUM",IF(COUNT($I16:$T16)=0,"",SUM($I16:$T16)),IF($F16="AVG",IFERROR(AVERAGE($I16:$T16),""),IF($F16="LAST",IFERROR(LOOKUP(2,1/($I16:$T16&lt;&gt;""),$I16:$T16),""),"")))</f>
        <v/>
      </c>
      <c r="V16" s="23">
        <f>IF($G16="","",IF($U16="","",IF($G16=0,IF($U16&lt;=0,1,0),IF($E16="↓",IFERROR($G16/$U16,0),IFERROR($U16/$G16,0)))))</f>
        <v/>
      </c>
      <c r="W16" s="17">
        <f>IF($V16="","—",IF($V16&gt;=1,"✅ محقق",IF($V16&gt;=0.85,"🟡 قريب","🔴 تحت الهدف")))</f>
        <v/>
      </c>
      <c r="X16" s="54" t="inlineStr"/>
      <c r="Y16" s="22" t="inlineStr"/>
      <c r="Z16" s="56" t="n"/>
      <c r="AA16" s="21" t="inlineStr">
        <is>
          <t>🟣 لاحق</t>
        </is>
      </c>
      <c r="AB16" s="56" t="n">
        <v>0.07140000000000001</v>
      </c>
      <c r="AC16" s="23">
        <f>IF($V16="","",$AB16*MIN($V16,1))</f>
        <v/>
      </c>
    </row>
    <row r="17" ht="26" customHeight="1">
      <c r="A17" s="17" t="n">
        <v>14</v>
      </c>
      <c r="B17" s="22" t="inlineStr">
        <is>
          <t>جودة الخدمة</t>
        </is>
      </c>
      <c r="C17" s="22" t="inlineStr">
        <is>
          <t>معالجة شكاوى العملاء خلال 24 ساعة</t>
        </is>
      </c>
      <c r="D17" s="49" t="inlineStr">
        <is>
          <t>%</t>
        </is>
      </c>
      <c r="E17" s="49" t="inlineStr">
        <is>
          <t>↑</t>
        </is>
      </c>
      <c r="F17" s="49" t="inlineStr">
        <is>
          <t>AVG</t>
        </is>
      </c>
      <c r="G17" s="57" t="n">
        <v>0.9</v>
      </c>
      <c r="H17" s="51" t="inlineStr">
        <is>
          <t>90%+</t>
        </is>
      </c>
      <c r="I17" s="58" t="n"/>
      <c r="J17" s="58" t="n"/>
      <c r="K17" s="58" t="n"/>
      <c r="L17" s="58" t="n"/>
      <c r="M17" s="58" t="n"/>
      <c r="N17" s="58" t="n"/>
      <c r="O17" s="58" t="n"/>
      <c r="P17" s="58" t="n"/>
      <c r="Q17" s="58" t="n"/>
      <c r="R17" s="58" t="n"/>
      <c r="S17" s="58" t="n"/>
      <c r="T17" s="58" t="n"/>
      <c r="U17" s="59">
        <f>IF($F17="SUM",IF(COUNT($I17:$T17)=0,"",SUM($I17:$T17)),IF($F17="AVG",IFERROR(AVERAGE($I17:$T17),""),IF($F17="LAST",IFERROR(LOOKUP(2,1/($I17:$T17&lt;&gt;""),$I17:$T17),""),"")))</f>
        <v/>
      </c>
      <c r="V17" s="23">
        <f>IF($G17="","",IF($U17="","",IF($G17=0,IF($U17&lt;=0,1,0),IF($E17="↓",IFERROR($G17/$U17,0),IFERROR($U17/$G17,0)))))</f>
        <v/>
      </c>
      <c r="W17" s="17">
        <f>IF($V17="","—",IF($V17&gt;=1,"✅ محقق",IF($V17&gt;=0.85,"🟡 قريب","🔴 تحت الهدف")))</f>
        <v/>
      </c>
      <c r="X17" s="54" t="inlineStr"/>
      <c r="Y17" s="22" t="inlineStr"/>
      <c r="Z17" s="56" t="n"/>
      <c r="AA17" s="21" t="inlineStr">
        <is>
          <t>🟣 لاحق</t>
        </is>
      </c>
      <c r="AB17" s="56" t="n">
        <v>0.07140000000000001</v>
      </c>
      <c r="AC17" s="23">
        <f>IF($V17="","",$AB17*MIN($V17,1))</f>
        <v/>
      </c>
    </row>
    <row r="18">
      <c r="A18" s="67" t="inlineStr"/>
      <c r="B18" s="68" t="inlineStr">
        <is>
          <t>الإجمالي الموزون للإدارة</t>
        </is>
      </c>
      <c r="AB18" s="69">
        <f>SUM(AB4:AB17)</f>
        <v/>
      </c>
      <c r="AC18" s="70">
        <f>SUM(AC4:AC17)</f>
        <v/>
      </c>
    </row>
  </sheetData>
  <sheetProtection selectLockedCells="1" selectUnlockedCells="1" sheet="1" objects="0" insertRows="1" insertHyperlinks="1" autoFilter="1" scenarios="0" formatColumns="1" deleteColumns="1" insertColumns="1" pivotTables="1" deleteRows="1" formatCells="0" formatRows="1" sort="1" password="EFFF"/>
  <mergeCells count="3">
    <mergeCell ref="B18:AA18"/>
    <mergeCell ref="A2:AC2"/>
    <mergeCell ref="A1:AC1"/>
  </mergeCells>
  <dataValidations count="1">
    <dataValidation sqref="I4 I5 I6 I7 I8 I9 I10 I11 I12 I13 I14 I15 I16 I17 J4 J5 J6 J7 J8 J9 J10 J11 J12 J13 J14 J15 J16 J17 K4 K5 K6 K7 K8 K9 K10 K11 K12 K13 K14 K15 K16 K17 L4 L5 L6 L7 L8 L9 L10 L11 L12 L13 L14 L15 L16 L17 M4 M5 M6 M7 M8 M9 M10 M11 M12 M13 M14 M15 M16 M17 N4 N5 N6 N7 N8 N9 N10 N11 N12 N13 N14 N15 N16 N17 O4 O5 O6 O7 O8 O9 O10 O11 O12 O13 O14 O15 O16 O17 P4 P5 P6 P7 P8 P9 P10 P11 P12 P13 P14 P15 P16 P17 Q4 Q5 Q6 Q7 Q8 Q9 Q10 Q11 Q12 Q13 Q14 Q15 Q16 Q17 R4 R5 R6 R7 R8 R9 R10 R11 R12 R13 R14 R15 R16 R17 S4 S5 S6 S7 S8 S9 S10 S11 S12 S13 S14 S15 S16 S17 T4 T5 T6 T7 T8 T9 T10 T11 T12 T13 T14 T15 T16 T17 Z4 Z5 Z6 Z7 Z8 Z9 Z10 Z11 Z12 Z13 Z14 Z15 Z16 Z17" showDropDown="0" showInputMessage="0" showErrorMessage="0" allowBlank="1" errorTitle="قيمة غير صحيحة" error="أدخل رقماً موجباً فقط" type="decimal" operator="greaterThanOrEqual">
      <formula1>0</formula1>
    </dataValidation>
  </dataValidation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AC16"/>
  <sheetViews>
    <sheetView showGridLines="0" rightToLeft="1" workbookViewId="0">
      <pane xSplit="8" ySplit="3" topLeftCell="I4" activePane="bottomRight" state="frozen"/>
      <selection pane="topRight"/>
      <selection pane="bottomLeft"/>
      <selection pane="bottomRight" activeCell="A1" sqref="A1"/>
    </sheetView>
  </sheetViews>
  <sheetFormatPr baseColWidth="8" defaultRowHeight="15"/>
  <cols>
    <col width="4" customWidth="1" min="1" max="1"/>
    <col width="20" customWidth="1" min="2" max="2"/>
    <col width="40" customWidth="1" min="3" max="3"/>
    <col width="10" customWidth="1" min="4" max="4"/>
    <col width="8" customWidth="1" min="5" max="5"/>
    <col width="9" customWidth="1" min="6" max="6"/>
    <col width="12" customWidth="1" min="7" max="7"/>
    <col width="16"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12" customWidth="1" min="21" max="21"/>
    <col width="12" customWidth="1" min="22" max="22"/>
    <col width="14" customWidth="1" min="23" max="23"/>
    <col width="16" customWidth="1" min="24" max="24"/>
    <col width="22" customWidth="1" min="25" max="25"/>
    <col width="12" customWidth="1" min="26" max="26"/>
    <col width="10" customWidth="1" min="27" max="27"/>
    <col width="9" customWidth="1" min="28" max="28"/>
    <col width="14" customWidth="1" min="29" max="29"/>
  </cols>
  <sheetData>
    <row r="1" ht="30" customHeight="1">
      <c r="A1" s="24" t="inlineStr">
        <is>
          <t>مؤشرات الأداء — مشرف ميداني (شهري · TQM-M-02)</t>
        </is>
      </c>
    </row>
    <row r="2">
      <c r="A2" s="48" t="inlineStr">
        <is>
          <t>🟩 الأخضر = إدخال (الأرقام الشهرية + خط الأساس + الوزن)  ·  🔵 قائد/🟣 لاحق  ·  الدرجة الموزونة والحالة تلقائية</t>
        </is>
      </c>
    </row>
    <row r="3" ht="34" customHeight="1">
      <c r="A3" s="26" t="inlineStr">
        <is>
          <t>#</t>
        </is>
      </c>
      <c r="B3" s="26" t="inlineStr">
        <is>
          <t>المحور</t>
        </is>
      </c>
      <c r="C3" s="26" t="inlineStr">
        <is>
          <t>المؤشر</t>
        </is>
      </c>
      <c r="D3" s="26" t="inlineStr">
        <is>
          <t>الوحدة</t>
        </is>
      </c>
      <c r="E3" s="26" t="inlineStr">
        <is>
          <t>القطبية</t>
        </is>
      </c>
      <c r="F3" s="26" t="inlineStr">
        <is>
          <t>التجميع</t>
        </is>
      </c>
      <c r="G3" s="26" t="inlineStr">
        <is>
          <t>المستهدف</t>
        </is>
      </c>
      <c r="H3" s="26" t="inlineStr">
        <is>
          <t>نص المستهدف</t>
        </is>
      </c>
      <c r="I3" s="26" t="inlineStr">
        <is>
          <t>يناير</t>
        </is>
      </c>
      <c r="J3" s="26" t="inlineStr">
        <is>
          <t>فبراير</t>
        </is>
      </c>
      <c r="K3" s="26" t="inlineStr">
        <is>
          <t>مارس</t>
        </is>
      </c>
      <c r="L3" s="26" t="inlineStr">
        <is>
          <t>أبريل</t>
        </is>
      </c>
      <c r="M3" s="26" t="inlineStr">
        <is>
          <t>مايو</t>
        </is>
      </c>
      <c r="N3" s="26" t="inlineStr">
        <is>
          <t>يونيو</t>
        </is>
      </c>
      <c r="O3" s="26" t="inlineStr">
        <is>
          <t>يوليو</t>
        </is>
      </c>
      <c r="P3" s="26" t="inlineStr">
        <is>
          <t>أغسطس</t>
        </is>
      </c>
      <c r="Q3" s="26" t="inlineStr">
        <is>
          <t>سبتمبر</t>
        </is>
      </c>
      <c r="R3" s="26" t="inlineStr">
        <is>
          <t>أكتوبر</t>
        </is>
      </c>
      <c r="S3" s="26" t="inlineStr">
        <is>
          <t>نوفمبر</t>
        </is>
      </c>
      <c r="T3" s="26" t="inlineStr">
        <is>
          <t>ديسمبر</t>
        </is>
      </c>
      <c r="U3" s="26" t="inlineStr">
        <is>
          <t>YTD</t>
        </is>
      </c>
      <c r="V3" s="26" t="inlineStr">
        <is>
          <t>نسبة التحقيق</t>
        </is>
      </c>
      <c r="W3" s="26" t="inlineStr">
        <is>
          <t>الحالة</t>
        </is>
      </c>
      <c r="X3" s="26" t="inlineStr">
        <is>
          <t>الركيزة (5س)</t>
        </is>
      </c>
      <c r="Y3" s="26" t="inlineStr">
        <is>
          <t>المشروع (الخارطة)</t>
        </is>
      </c>
      <c r="Z3" s="26" t="inlineStr">
        <is>
          <t>خط الأساس 2025</t>
        </is>
      </c>
      <c r="AA3" s="26" t="inlineStr">
        <is>
          <t>النوع</t>
        </is>
      </c>
      <c r="AB3" s="26" t="inlineStr">
        <is>
          <t>الوزن %</t>
        </is>
      </c>
      <c r="AC3" s="26" t="inlineStr">
        <is>
          <t>الدرجة الموزونة</t>
        </is>
      </c>
    </row>
    <row r="4" ht="26" customHeight="1">
      <c r="A4" s="17" t="n">
        <v>1</v>
      </c>
      <c r="B4" s="22" t="inlineStr">
        <is>
          <t>الزيارات الميدانية</t>
        </is>
      </c>
      <c r="C4" s="22" t="inlineStr">
        <is>
          <t>تنفيذ الزيارات المجدولة كاملاً</t>
        </is>
      </c>
      <c r="D4" s="49" t="inlineStr">
        <is>
          <t>%</t>
        </is>
      </c>
      <c r="E4" s="49" t="inlineStr">
        <is>
          <t>↑</t>
        </is>
      </c>
      <c r="F4" s="49" t="inlineStr">
        <is>
          <t>AVG</t>
        </is>
      </c>
      <c r="G4" s="57" t="n">
        <v>1</v>
      </c>
      <c r="H4" s="51" t="inlineStr">
        <is>
          <t>100%</t>
        </is>
      </c>
      <c r="I4" s="58" t="n"/>
      <c r="J4" s="58" t="n"/>
      <c r="K4" s="58" t="n"/>
      <c r="L4" s="58" t="n"/>
      <c r="M4" s="58" t="n"/>
      <c r="N4" s="58" t="n"/>
      <c r="O4" s="58" t="n"/>
      <c r="P4" s="58" t="n"/>
      <c r="Q4" s="58" t="n"/>
      <c r="R4" s="58" t="n"/>
      <c r="S4" s="58" t="n"/>
      <c r="T4" s="58" t="n"/>
      <c r="U4" s="59">
        <f>IF($F4="SUM",IF(COUNT($I4:$T4)=0,"",SUM($I4:$T4)),IF($F4="AVG",IFERROR(AVERAGE($I4:$T4),""),IF($F4="LAST",IFERROR(LOOKUP(2,1/($I4:$T4&lt;&gt;""),$I4:$T4),""),"")))</f>
        <v/>
      </c>
      <c r="V4" s="23">
        <f>IF($G4="","",IF($U4="","",IF($G4=0,IF($U4&lt;=0,1,0),IF($E4="↓",IFERROR($G4/$U4,0),IFERROR($U4/$G4,0)))))</f>
        <v/>
      </c>
      <c r="W4" s="17">
        <f>IF($V4="","—",IF($V4&gt;=1,"✅ محقق",IF($V4&gt;=0.85,"🟡 قريب","🔴 تحت الهدف")))</f>
        <v/>
      </c>
      <c r="X4" s="54" t="inlineStr"/>
      <c r="Y4" s="22" t="inlineStr"/>
      <c r="Z4" s="56" t="n"/>
      <c r="AA4" s="21" t="inlineStr">
        <is>
          <t>🔵 قائد</t>
        </is>
      </c>
      <c r="AB4" s="56" t="n">
        <v>0.0833</v>
      </c>
      <c r="AC4" s="23">
        <f>IF($V4="","",$AB4*MIN($V4,1))</f>
        <v/>
      </c>
    </row>
    <row r="5" ht="26" customHeight="1">
      <c r="A5" s="17" t="n">
        <v>2</v>
      </c>
      <c r="B5" s="22" t="inlineStr">
        <is>
          <t>الزيارات الميدانية</t>
        </is>
      </c>
      <c r="C5" s="22" t="inlineStr">
        <is>
          <t>رفع تقرير الزيارة خلال 24 ساعة</t>
        </is>
      </c>
      <c r="D5" s="49" t="inlineStr">
        <is>
          <t>%</t>
        </is>
      </c>
      <c r="E5" s="49" t="inlineStr">
        <is>
          <t>↑</t>
        </is>
      </c>
      <c r="F5" s="49" t="inlineStr">
        <is>
          <t>AVG</t>
        </is>
      </c>
      <c r="G5" s="57" t="n">
        <v>1</v>
      </c>
      <c r="H5" s="51" t="inlineStr">
        <is>
          <t>100%</t>
        </is>
      </c>
      <c r="I5" s="58" t="n"/>
      <c r="J5" s="58" t="n"/>
      <c r="K5" s="58" t="n"/>
      <c r="L5" s="58" t="n"/>
      <c r="M5" s="58" t="n"/>
      <c r="N5" s="58" t="n"/>
      <c r="O5" s="58" t="n"/>
      <c r="P5" s="58" t="n"/>
      <c r="Q5" s="58" t="n"/>
      <c r="R5" s="58" t="n"/>
      <c r="S5" s="58" t="n"/>
      <c r="T5" s="58" t="n"/>
      <c r="U5" s="59">
        <f>IF($F5="SUM",IF(COUNT($I5:$T5)=0,"",SUM($I5:$T5)),IF($F5="AVG",IFERROR(AVERAGE($I5:$T5),""),IF($F5="LAST",IFERROR(LOOKUP(2,1/($I5:$T5&lt;&gt;""),$I5:$T5),""),"")))</f>
        <v/>
      </c>
      <c r="V5" s="23">
        <f>IF($G5="","",IF($U5="","",IF($G5=0,IF($U5&lt;=0,1,0),IF($E5="↓",IFERROR($G5/$U5,0),IFERROR($U5/$G5,0)))))</f>
        <v/>
      </c>
      <c r="W5" s="17">
        <f>IF($V5="","—",IF($V5&gt;=1,"✅ محقق",IF($V5&gt;=0.85,"🟡 قريب","🔴 تحت الهدف")))</f>
        <v/>
      </c>
      <c r="X5" s="54" t="inlineStr"/>
      <c r="Y5" s="22" t="inlineStr"/>
      <c r="Z5" s="56" t="n"/>
      <c r="AA5" s="21" t="inlineStr">
        <is>
          <t>🟣 لاحق</t>
        </is>
      </c>
      <c r="AB5" s="56" t="n">
        <v>0.0833</v>
      </c>
      <c r="AC5" s="23">
        <f>IF($V5="","",$AB5*MIN($V5,1))</f>
        <v/>
      </c>
    </row>
    <row r="6" ht="26" customHeight="1">
      <c r="A6" s="17" t="n">
        <v>3</v>
      </c>
      <c r="B6" s="22" t="inlineStr">
        <is>
          <t>الزيارات الميدانية</t>
        </is>
      </c>
      <c r="C6" s="22" t="inlineStr">
        <is>
          <t>التحقق من جرد الوردية أثناء الزيارة</t>
        </is>
      </c>
      <c r="D6" s="49" t="inlineStr">
        <is>
          <t>%</t>
        </is>
      </c>
      <c r="E6" s="49" t="inlineStr">
        <is>
          <t>↑</t>
        </is>
      </c>
      <c r="F6" s="49" t="inlineStr">
        <is>
          <t>AVG</t>
        </is>
      </c>
      <c r="G6" s="57" t="n">
        <v>1</v>
      </c>
      <c r="H6" s="51" t="inlineStr">
        <is>
          <t>100%</t>
        </is>
      </c>
      <c r="I6" s="58" t="n"/>
      <c r="J6" s="58" t="n"/>
      <c r="K6" s="58" t="n"/>
      <c r="L6" s="58" t="n"/>
      <c r="M6" s="58" t="n"/>
      <c r="N6" s="58" t="n"/>
      <c r="O6" s="58" t="n"/>
      <c r="P6" s="58" t="n"/>
      <c r="Q6" s="58" t="n"/>
      <c r="R6" s="58" t="n"/>
      <c r="S6" s="58" t="n"/>
      <c r="T6" s="58" t="n"/>
      <c r="U6" s="59">
        <f>IF($F6="SUM",IF(COUNT($I6:$T6)=0,"",SUM($I6:$T6)),IF($F6="AVG",IFERROR(AVERAGE($I6:$T6),""),IF($F6="LAST",IFERROR(LOOKUP(2,1/($I6:$T6&lt;&gt;""),$I6:$T6),""),"")))</f>
        <v/>
      </c>
      <c r="V6" s="23">
        <f>IF($G6="","",IF($U6="","",IF($G6=0,IF($U6&lt;=0,1,0),IF($E6="↓",IFERROR($G6/$U6,0),IFERROR($U6/$G6,0)))))</f>
        <v/>
      </c>
      <c r="W6" s="17">
        <f>IF($V6="","—",IF($V6&gt;=1,"✅ محقق",IF($V6&gt;=0.85,"🟡 قريب","🔴 تحت الهدف")))</f>
        <v/>
      </c>
      <c r="X6" s="54" t="inlineStr"/>
      <c r="Y6" s="22" t="inlineStr"/>
      <c r="Z6" s="56" t="n"/>
      <c r="AA6" s="21" t="inlineStr">
        <is>
          <t>🟣 لاحق</t>
        </is>
      </c>
      <c r="AB6" s="56" t="n">
        <v>0.0833</v>
      </c>
      <c r="AC6" s="23">
        <f>IF($V6="","",$AB6*MIN($V6,1))</f>
        <v/>
      </c>
    </row>
    <row r="7" ht="26" customHeight="1">
      <c r="A7" s="17" t="n">
        <v>4</v>
      </c>
      <c r="B7" s="22" t="inlineStr">
        <is>
          <t>الزيارات الميدانية</t>
        </is>
      </c>
      <c r="C7" s="22" t="inlineStr">
        <is>
          <t>إغلاق ملاحظات الزيارة خلال أسبوع</t>
        </is>
      </c>
      <c r="D7" s="49" t="inlineStr">
        <is>
          <t>%</t>
        </is>
      </c>
      <c r="E7" s="49" t="inlineStr">
        <is>
          <t>↑</t>
        </is>
      </c>
      <c r="F7" s="49" t="inlineStr">
        <is>
          <t>AVG</t>
        </is>
      </c>
      <c r="G7" s="57" t="n">
        <v>0.9</v>
      </c>
      <c r="H7" s="51" t="inlineStr">
        <is>
          <t>90%+</t>
        </is>
      </c>
      <c r="I7" s="58" t="n"/>
      <c r="J7" s="58" t="n"/>
      <c r="K7" s="58" t="n"/>
      <c r="L7" s="58" t="n"/>
      <c r="M7" s="58" t="n"/>
      <c r="N7" s="58" t="n"/>
      <c r="O7" s="58" t="n"/>
      <c r="P7" s="58" t="n"/>
      <c r="Q7" s="58" t="n"/>
      <c r="R7" s="58" t="n"/>
      <c r="S7" s="58" t="n"/>
      <c r="T7" s="58" t="n"/>
      <c r="U7" s="59">
        <f>IF($F7="SUM",IF(COUNT($I7:$T7)=0,"",SUM($I7:$T7)),IF($F7="AVG",IFERROR(AVERAGE($I7:$T7),""),IF($F7="LAST",IFERROR(LOOKUP(2,1/($I7:$T7&lt;&gt;""),$I7:$T7),""),"")))</f>
        <v/>
      </c>
      <c r="V7" s="23">
        <f>IF($G7="","",IF($U7="","",IF($G7=0,IF($U7&lt;=0,1,0),IF($E7="↓",IFERROR($G7/$U7,0),IFERROR($U7/$G7,0)))))</f>
        <v/>
      </c>
      <c r="W7" s="17">
        <f>IF($V7="","—",IF($V7&gt;=1,"✅ محقق",IF($V7&gt;=0.85,"🟡 قريب","🔴 تحت الهدف")))</f>
        <v/>
      </c>
      <c r="X7" s="54" t="inlineStr"/>
      <c r="Y7" s="22" t="inlineStr"/>
      <c r="Z7" s="56" t="n"/>
      <c r="AA7" s="21" t="inlineStr">
        <is>
          <t>🟣 لاحق</t>
        </is>
      </c>
      <c r="AB7" s="56" t="n">
        <v>0.0833</v>
      </c>
      <c r="AC7" s="23">
        <f>IF($V7="","",$AB7*MIN($V7,1))</f>
        <v/>
      </c>
    </row>
    <row r="8" ht="26" customHeight="1">
      <c r="A8" s="17" t="n">
        <v>5</v>
      </c>
      <c r="B8" s="22" t="inlineStr">
        <is>
          <t>الرقابة والتوريد</t>
        </is>
      </c>
      <c r="C8" s="22" t="inlineStr">
        <is>
          <t>التحقق من تطابق POS والنقدية</t>
        </is>
      </c>
      <c r="D8" s="49" t="inlineStr">
        <is>
          <t>%</t>
        </is>
      </c>
      <c r="E8" s="49" t="inlineStr">
        <is>
          <t>↑</t>
        </is>
      </c>
      <c r="F8" s="49" t="inlineStr">
        <is>
          <t>AVG</t>
        </is>
      </c>
      <c r="G8" s="57" t="n">
        <v>1</v>
      </c>
      <c r="H8" s="51" t="inlineStr">
        <is>
          <t>100%</t>
        </is>
      </c>
      <c r="I8" s="58" t="n"/>
      <c r="J8" s="58" t="n"/>
      <c r="K8" s="58" t="n"/>
      <c r="L8" s="58" t="n"/>
      <c r="M8" s="58" t="n"/>
      <c r="N8" s="58" t="n"/>
      <c r="O8" s="58" t="n"/>
      <c r="P8" s="58" t="n"/>
      <c r="Q8" s="58" t="n"/>
      <c r="R8" s="58" t="n"/>
      <c r="S8" s="58" t="n"/>
      <c r="T8" s="58" t="n"/>
      <c r="U8" s="59">
        <f>IF($F8="SUM",IF(COUNT($I8:$T8)=0,"",SUM($I8:$T8)),IF($F8="AVG",IFERROR(AVERAGE($I8:$T8),""),IF($F8="LAST",IFERROR(LOOKUP(2,1/($I8:$T8&lt;&gt;""),$I8:$T8),""),"")))</f>
        <v/>
      </c>
      <c r="V8" s="23">
        <f>IF($G8="","",IF($U8="","",IF($G8=0,IF($U8&lt;=0,1,0),IF($E8="↓",IFERROR($G8/$U8,0),IFERROR($U8/$G8,0)))))</f>
        <v/>
      </c>
      <c r="W8" s="17">
        <f>IF($V8="","—",IF($V8&gt;=1,"✅ محقق",IF($V8&gt;=0.85,"🟡 قريب","🔴 تحت الهدف")))</f>
        <v/>
      </c>
      <c r="X8" s="54" t="inlineStr"/>
      <c r="Y8" s="22" t="inlineStr"/>
      <c r="Z8" s="56" t="n"/>
      <c r="AA8" s="21" t="inlineStr">
        <is>
          <t>🟣 لاحق</t>
        </is>
      </c>
      <c r="AB8" s="56" t="n">
        <v>0.0833</v>
      </c>
      <c r="AC8" s="23">
        <f>IF($V8="","",$AB8*MIN($V8,1))</f>
        <v/>
      </c>
    </row>
    <row r="9" ht="26" customHeight="1">
      <c r="A9" s="17" t="n">
        <v>6</v>
      </c>
      <c r="B9" s="22" t="inlineStr">
        <is>
          <t>الرقابة والتوريد</t>
        </is>
      </c>
      <c r="C9" s="22" t="inlineStr">
        <is>
          <t>متابعة طلبات التوريد وتسليم الوقود</t>
        </is>
      </c>
      <c r="D9" s="49" t="inlineStr">
        <is>
          <t>%</t>
        </is>
      </c>
      <c r="E9" s="49" t="inlineStr">
        <is>
          <t>↑</t>
        </is>
      </c>
      <c r="F9" s="49" t="inlineStr">
        <is>
          <t>AVG</t>
        </is>
      </c>
      <c r="G9" s="57" t="n">
        <v>1</v>
      </c>
      <c r="H9" s="51" t="inlineStr">
        <is>
          <t>100%</t>
        </is>
      </c>
      <c r="I9" s="58" t="n"/>
      <c r="J9" s="58" t="n"/>
      <c r="K9" s="58" t="n"/>
      <c r="L9" s="58" t="n"/>
      <c r="M9" s="58" t="n"/>
      <c r="N9" s="58" t="n"/>
      <c r="O9" s="58" t="n"/>
      <c r="P9" s="58" t="n"/>
      <c r="Q9" s="58" t="n"/>
      <c r="R9" s="58" t="n"/>
      <c r="S9" s="58" t="n"/>
      <c r="T9" s="58" t="n"/>
      <c r="U9" s="59">
        <f>IF($F9="SUM",IF(COUNT($I9:$T9)=0,"",SUM($I9:$T9)),IF($F9="AVG",IFERROR(AVERAGE($I9:$T9),""),IF($F9="LAST",IFERROR(LOOKUP(2,1/($I9:$T9&lt;&gt;""),$I9:$T9),""),"")))</f>
        <v/>
      </c>
      <c r="V9" s="23">
        <f>IF($G9="","",IF($U9="","",IF($G9=0,IF($U9&lt;=0,1,0),IF($E9="↓",IFERROR($G9/$U9,0),IFERROR($U9/$G9,0)))))</f>
        <v/>
      </c>
      <c r="W9" s="17">
        <f>IF($V9="","—",IF($V9&gt;=1,"✅ محقق",IF($V9&gt;=0.85,"🟡 قريب","🔴 تحت الهدف")))</f>
        <v/>
      </c>
      <c r="X9" s="54" t="inlineStr"/>
      <c r="Y9" s="22" t="inlineStr"/>
      <c r="Z9" s="56" t="n"/>
      <c r="AA9" s="21" t="inlineStr">
        <is>
          <t>🔵 قائد</t>
        </is>
      </c>
      <c r="AB9" s="56" t="n">
        <v>0.0833</v>
      </c>
      <c r="AC9" s="23">
        <f>IF($V9="","",$AB9*MIN($V9,1))</f>
        <v/>
      </c>
    </row>
    <row r="10" ht="26" customHeight="1">
      <c r="A10" s="17" t="n">
        <v>7</v>
      </c>
      <c r="B10" s="22" t="inlineStr">
        <is>
          <t>الرقابة والتوريد</t>
        </is>
      </c>
      <c r="C10" s="22" t="inlineStr">
        <is>
          <t>مراجعة نسبة جاهزية المضخات</t>
        </is>
      </c>
      <c r="D10" s="49" t="inlineStr">
        <is>
          <t>%</t>
        </is>
      </c>
      <c r="E10" s="49" t="inlineStr">
        <is>
          <t>↑</t>
        </is>
      </c>
      <c r="F10" s="49" t="inlineStr">
        <is>
          <t>AVG</t>
        </is>
      </c>
      <c r="G10" s="57" t="n">
        <v>0.97</v>
      </c>
      <c r="H10" s="51" t="inlineStr">
        <is>
          <t>≥ 97%</t>
        </is>
      </c>
      <c r="I10" s="58" t="n"/>
      <c r="J10" s="58" t="n"/>
      <c r="K10" s="58" t="n"/>
      <c r="L10" s="58" t="n"/>
      <c r="M10" s="58" t="n"/>
      <c r="N10" s="58" t="n"/>
      <c r="O10" s="58" t="n"/>
      <c r="P10" s="58" t="n"/>
      <c r="Q10" s="58" t="n"/>
      <c r="R10" s="58" t="n"/>
      <c r="S10" s="58" t="n"/>
      <c r="T10" s="58" t="n"/>
      <c r="U10" s="59">
        <f>IF($F10="SUM",IF(COUNT($I10:$T10)=0,"",SUM($I10:$T10)),IF($F10="AVG",IFERROR(AVERAGE($I10:$T10),""),IF($F10="LAST",IFERROR(LOOKUP(2,1/($I10:$T10&lt;&gt;""),$I10:$T10),""),"")))</f>
        <v/>
      </c>
      <c r="V10" s="23">
        <f>IF($G10="","",IF($U10="","",IF($G10=0,IF($U10&lt;=0,1,0),IF($E10="↓",IFERROR($G10/$U10,0),IFERROR($U10/$G10,0)))))</f>
        <v/>
      </c>
      <c r="W10" s="17">
        <f>IF($V10="","—",IF($V10&gt;=1,"✅ محقق",IF($V10&gt;=0.85,"🟡 قريب","🔴 تحت الهدف")))</f>
        <v/>
      </c>
      <c r="X10" s="54" t="inlineStr"/>
      <c r="Y10" s="22" t="inlineStr"/>
      <c r="Z10" s="56" t="n"/>
      <c r="AA10" s="21" t="inlineStr">
        <is>
          <t>🟣 لاحق</t>
        </is>
      </c>
      <c r="AB10" s="56" t="n">
        <v>0.0833</v>
      </c>
      <c r="AC10" s="23">
        <f>IF($V10="","",$AB10*MIN($V10,1))</f>
        <v/>
      </c>
    </row>
    <row r="11" ht="26" customHeight="1">
      <c r="A11" s="17" t="n">
        <v>8</v>
      </c>
      <c r="B11" s="22" t="inlineStr">
        <is>
          <t>متابعة الموظفين</t>
        </is>
      </c>
      <c r="C11" s="22" t="inlineStr">
        <is>
          <t>تقييم أداء الموظفين بنموذج OP-F-51</t>
        </is>
      </c>
      <c r="D11" s="49" t="inlineStr">
        <is>
          <t>%</t>
        </is>
      </c>
      <c r="E11" s="49" t="inlineStr">
        <is>
          <t>↑</t>
        </is>
      </c>
      <c r="F11" s="49" t="inlineStr">
        <is>
          <t>AVG</t>
        </is>
      </c>
      <c r="G11" s="57" t="n">
        <v>1</v>
      </c>
      <c r="H11" s="51" t="inlineStr">
        <is>
          <t>100%</t>
        </is>
      </c>
      <c r="I11" s="58" t="n"/>
      <c r="J11" s="58" t="n"/>
      <c r="K11" s="58" t="n"/>
      <c r="L11" s="58" t="n"/>
      <c r="M11" s="58" t="n"/>
      <c r="N11" s="58" t="n"/>
      <c r="O11" s="58" t="n"/>
      <c r="P11" s="58" t="n"/>
      <c r="Q11" s="58" t="n"/>
      <c r="R11" s="58" t="n"/>
      <c r="S11" s="58" t="n"/>
      <c r="T11" s="58" t="n"/>
      <c r="U11" s="59">
        <f>IF($F11="SUM",IF(COUNT($I11:$T11)=0,"",SUM($I11:$T11)),IF($F11="AVG",IFERROR(AVERAGE($I11:$T11),""),IF($F11="LAST",IFERROR(LOOKUP(2,1/($I11:$T11&lt;&gt;""),$I11:$T11),""),"")))</f>
        <v/>
      </c>
      <c r="V11" s="23">
        <f>IF($G11="","",IF($U11="","",IF($G11=0,IF($U11&lt;=0,1,0),IF($E11="↓",IFERROR($G11/$U11,0),IFERROR($U11/$G11,0)))))</f>
        <v/>
      </c>
      <c r="W11" s="17">
        <f>IF($V11="","—",IF($V11&gt;=1,"✅ محقق",IF($V11&gt;=0.85,"🟡 قريب","🔴 تحت الهدف")))</f>
        <v/>
      </c>
      <c r="X11" s="54" t="inlineStr"/>
      <c r="Y11" s="22" t="inlineStr"/>
      <c r="Z11" s="56" t="n"/>
      <c r="AA11" s="21" t="inlineStr">
        <is>
          <t>🔵 قائد</t>
        </is>
      </c>
      <c r="AB11" s="56" t="n">
        <v>0.0833</v>
      </c>
      <c r="AC11" s="23">
        <f>IF($V11="","",$AB11*MIN($V11,1))</f>
        <v/>
      </c>
    </row>
    <row r="12" ht="26" customHeight="1">
      <c r="A12" s="17" t="n">
        <v>9</v>
      </c>
      <c r="B12" s="22" t="inlineStr">
        <is>
          <t>متابعة الموظفين</t>
        </is>
      </c>
      <c r="C12" s="22" t="inlineStr">
        <is>
          <t>متابعة الالتزام بالزي والمظهر</t>
        </is>
      </c>
      <c r="D12" s="49" t="inlineStr">
        <is>
          <t>%</t>
        </is>
      </c>
      <c r="E12" s="49" t="inlineStr">
        <is>
          <t>↑</t>
        </is>
      </c>
      <c r="F12" s="49" t="inlineStr">
        <is>
          <t>AVG</t>
        </is>
      </c>
      <c r="G12" s="57" t="n">
        <v>1</v>
      </c>
      <c r="H12" s="51" t="inlineStr">
        <is>
          <t>100%</t>
        </is>
      </c>
      <c r="I12" s="58" t="n"/>
      <c r="J12" s="58" t="n"/>
      <c r="K12" s="58" t="n"/>
      <c r="L12" s="58" t="n"/>
      <c r="M12" s="58" t="n"/>
      <c r="N12" s="58" t="n"/>
      <c r="O12" s="58" t="n"/>
      <c r="P12" s="58" t="n"/>
      <c r="Q12" s="58" t="n"/>
      <c r="R12" s="58" t="n"/>
      <c r="S12" s="58" t="n"/>
      <c r="T12" s="58" t="n"/>
      <c r="U12" s="59">
        <f>IF($F12="SUM",IF(COUNT($I12:$T12)=0,"",SUM($I12:$T12)),IF($F12="AVG",IFERROR(AVERAGE($I12:$T12),""),IF($F12="LAST",IFERROR(LOOKUP(2,1/($I12:$T12&lt;&gt;""),$I12:$T12),""),"")))</f>
        <v/>
      </c>
      <c r="V12" s="23">
        <f>IF($G12="","",IF($U12="","",IF($G12=0,IF($U12&lt;=0,1,0),IF($E12="↓",IFERROR($G12/$U12,0),IFERROR($U12/$G12,0)))))</f>
        <v/>
      </c>
      <c r="W12" s="17">
        <f>IF($V12="","—",IF($V12&gt;=1,"✅ محقق",IF($V12&gt;=0.85,"🟡 قريب","🔴 تحت الهدف")))</f>
        <v/>
      </c>
      <c r="X12" s="54" t="inlineStr"/>
      <c r="Y12" s="22" t="inlineStr"/>
      <c r="Z12" s="56" t="n"/>
      <c r="AA12" s="21" t="inlineStr">
        <is>
          <t>🟣 لاحق</t>
        </is>
      </c>
      <c r="AB12" s="56" t="n">
        <v>0.0833</v>
      </c>
      <c r="AC12" s="23">
        <f>IF($V12="","",$AB12*MIN($V12,1))</f>
        <v/>
      </c>
    </row>
    <row r="13" ht="26" customHeight="1">
      <c r="A13" s="17" t="n">
        <v>10</v>
      </c>
      <c r="B13" s="22" t="inlineStr">
        <is>
          <t>متابعة الموظفين</t>
        </is>
      </c>
      <c r="C13" s="22" t="inlineStr">
        <is>
          <t>حالات مخالفة السلامة دون إجراء</t>
        </is>
      </c>
      <c r="D13" s="49" t="inlineStr">
        <is>
          <t>حالة</t>
        </is>
      </c>
      <c r="E13" s="49" t="inlineStr">
        <is>
          <t>↓</t>
        </is>
      </c>
      <c r="F13" s="49" t="inlineStr">
        <is>
          <t>SUM</t>
        </is>
      </c>
      <c r="G13" s="50" t="n">
        <v>0</v>
      </c>
      <c r="H13" s="51" t="inlineStr">
        <is>
          <t>0 حالة</t>
        </is>
      </c>
      <c r="I13" s="52" t="n"/>
      <c r="J13" s="52" t="n"/>
      <c r="K13" s="52" t="n"/>
      <c r="L13" s="52" t="n"/>
      <c r="M13" s="52" t="n"/>
      <c r="N13" s="52" t="n"/>
      <c r="O13" s="52" t="n"/>
      <c r="P13" s="52" t="n"/>
      <c r="Q13" s="52" t="n"/>
      <c r="R13" s="52" t="n"/>
      <c r="S13" s="52" t="n"/>
      <c r="T13" s="52" t="n"/>
      <c r="U13" s="53">
        <f>IF($F13="SUM",IF(COUNT($I13:$T13)=0,"",SUM($I13:$T13)),IF($F13="AVG",IFERROR(AVERAGE($I13:$T13),""),IF($F13="LAST",IFERROR(LOOKUP(2,1/($I13:$T13&lt;&gt;""),$I13:$T13),""),"")))</f>
        <v/>
      </c>
      <c r="V13" s="23">
        <f>IF($G13="","",IF($U13="","",IF($G13=0,IF($U13&lt;=0,1,0),IF($E13="↓",IFERROR($G13/$U13,0),IFERROR($U13/$G13,0)))))</f>
        <v/>
      </c>
      <c r="W13" s="17">
        <f>IF($V13="","—",IF($V13&gt;=1,"✅ محقق",IF($V13&gt;=0.85,"🟡 قريب","🔴 تحت الهدف")))</f>
        <v/>
      </c>
      <c r="X13" s="54" t="inlineStr"/>
      <c r="Y13" s="22" t="inlineStr"/>
      <c r="Z13" s="55" t="n"/>
      <c r="AA13" s="21" t="inlineStr">
        <is>
          <t>🟣 لاحق</t>
        </is>
      </c>
      <c r="AB13" s="56" t="n">
        <v>0.0833</v>
      </c>
      <c r="AC13" s="23">
        <f>IF($V13="","",$AB13*MIN($V13,1))</f>
        <v/>
      </c>
    </row>
    <row r="14" ht="26" customHeight="1">
      <c r="A14" s="17" t="n">
        <v>11</v>
      </c>
      <c r="B14" s="22" t="inlineStr">
        <is>
          <t>التقارير</t>
        </is>
      </c>
      <c r="C14" s="22" t="inlineStr">
        <is>
          <t>رفع التقارير الشهرية في موعدها</t>
        </is>
      </c>
      <c r="D14" s="49" t="inlineStr">
        <is>
          <t>%</t>
        </is>
      </c>
      <c r="E14" s="49" t="inlineStr">
        <is>
          <t>↑</t>
        </is>
      </c>
      <c r="F14" s="49" t="inlineStr">
        <is>
          <t>AVG</t>
        </is>
      </c>
      <c r="G14" s="57" t="n">
        <v>1</v>
      </c>
      <c r="H14" s="51" t="inlineStr">
        <is>
          <t>100%</t>
        </is>
      </c>
      <c r="I14" s="58" t="n"/>
      <c r="J14" s="58" t="n"/>
      <c r="K14" s="58" t="n"/>
      <c r="L14" s="58" t="n"/>
      <c r="M14" s="58" t="n"/>
      <c r="N14" s="58" t="n"/>
      <c r="O14" s="58" t="n"/>
      <c r="P14" s="58" t="n"/>
      <c r="Q14" s="58" t="n"/>
      <c r="R14" s="58" t="n"/>
      <c r="S14" s="58" t="n"/>
      <c r="T14" s="58" t="n"/>
      <c r="U14" s="59">
        <f>IF($F14="SUM",IF(COUNT($I14:$T14)=0,"",SUM($I14:$T14)),IF($F14="AVG",IFERROR(AVERAGE($I14:$T14),""),IF($F14="LAST",IFERROR(LOOKUP(2,1/($I14:$T14&lt;&gt;""),$I14:$T14),""),"")))</f>
        <v/>
      </c>
      <c r="V14" s="23">
        <f>IF($G14="","",IF($U14="","",IF($G14=0,IF($U14&lt;=0,1,0),IF($E14="↓",IFERROR($G14/$U14,0),IFERROR($U14/$G14,0)))))</f>
        <v/>
      </c>
      <c r="W14" s="17">
        <f>IF($V14="","—",IF($V14&gt;=1,"✅ محقق",IF($V14&gt;=0.85,"🟡 قريب","🔴 تحت الهدف")))</f>
        <v/>
      </c>
      <c r="X14" s="54" t="inlineStr"/>
      <c r="Y14" s="22" t="inlineStr"/>
      <c r="Z14" s="56" t="n"/>
      <c r="AA14" s="21" t="inlineStr">
        <is>
          <t>🟣 لاحق</t>
        </is>
      </c>
      <c r="AB14" s="56" t="n">
        <v>0.0833</v>
      </c>
      <c r="AC14" s="23">
        <f>IF($V14="","",$AB14*MIN($V14,1))</f>
        <v/>
      </c>
    </row>
    <row r="15" ht="26" customHeight="1">
      <c r="A15" s="17" t="n">
        <v>12</v>
      </c>
      <c r="B15" s="22" t="inlineStr">
        <is>
          <t>التقارير</t>
        </is>
      </c>
      <c r="C15" s="22" t="inlineStr">
        <is>
          <t>متابعة تجديد تراخيص المحطات</t>
        </is>
      </c>
      <c r="D15" s="49" t="inlineStr">
        <is>
          <t>%</t>
        </is>
      </c>
      <c r="E15" s="49" t="inlineStr">
        <is>
          <t>↑</t>
        </is>
      </c>
      <c r="F15" s="49" t="inlineStr">
        <is>
          <t>AVG</t>
        </is>
      </c>
      <c r="G15" s="57" t="n">
        <v>1</v>
      </c>
      <c r="H15" s="51" t="inlineStr">
        <is>
          <t>100%</t>
        </is>
      </c>
      <c r="I15" s="58" t="n"/>
      <c r="J15" s="58" t="n"/>
      <c r="K15" s="58" t="n"/>
      <c r="L15" s="58" t="n"/>
      <c r="M15" s="58" t="n"/>
      <c r="N15" s="58" t="n"/>
      <c r="O15" s="58" t="n"/>
      <c r="P15" s="58" t="n"/>
      <c r="Q15" s="58" t="n"/>
      <c r="R15" s="58" t="n"/>
      <c r="S15" s="58" t="n"/>
      <c r="T15" s="58" t="n"/>
      <c r="U15" s="59">
        <f>IF($F15="SUM",IF(COUNT($I15:$T15)=0,"",SUM($I15:$T15)),IF($F15="AVG",IFERROR(AVERAGE($I15:$T15),""),IF($F15="LAST",IFERROR(LOOKUP(2,1/($I15:$T15&lt;&gt;""),$I15:$T15),""),"")))</f>
        <v/>
      </c>
      <c r="V15" s="23">
        <f>IF($G15="","",IF($U15="","",IF($G15=0,IF($U15&lt;=0,1,0),IF($E15="↓",IFERROR($G15/$U15,0),IFERROR($U15/$G15,0)))))</f>
        <v/>
      </c>
      <c r="W15" s="17">
        <f>IF($V15="","—",IF($V15&gt;=1,"✅ محقق",IF($V15&gt;=0.85,"🟡 قريب","🔴 تحت الهدف")))</f>
        <v/>
      </c>
      <c r="X15" s="54" t="inlineStr"/>
      <c r="Y15" s="22" t="inlineStr"/>
      <c r="Z15" s="56" t="n"/>
      <c r="AA15" s="21" t="inlineStr">
        <is>
          <t>🟣 لاحق</t>
        </is>
      </c>
      <c r="AB15" s="56" t="n">
        <v>0.0833</v>
      </c>
      <c r="AC15" s="23">
        <f>IF($V15="","",$AB15*MIN($V15,1))</f>
        <v/>
      </c>
    </row>
    <row r="16">
      <c r="A16" s="67" t="inlineStr"/>
      <c r="B16" s="68" t="inlineStr">
        <is>
          <t>الإجمالي الموزون للإدارة</t>
        </is>
      </c>
      <c r="AB16" s="69">
        <f>SUM(AB4:AB15)</f>
        <v/>
      </c>
      <c r="AC16" s="70">
        <f>SUM(AC4:AC15)</f>
        <v/>
      </c>
    </row>
  </sheetData>
  <sheetProtection selectLockedCells="1" selectUnlockedCells="1" sheet="1" objects="0" insertRows="1" insertHyperlinks="1" autoFilter="1" scenarios="0" formatColumns="1" deleteColumns="1" insertColumns="1" pivotTables="1" deleteRows="1" formatCells="0" formatRows="1" sort="1" password="EFFF"/>
  <mergeCells count="3">
    <mergeCell ref="A2:AC2"/>
    <mergeCell ref="A1:AC1"/>
    <mergeCell ref="B16:AA16"/>
  </mergeCells>
  <dataValidations count="1">
    <dataValidation sqref="I4 I5 I6 I7 I8 I9 I10 I11 I12 I13 I14 I15 J4 J5 J6 J7 J8 J9 J10 J11 J12 J13 J14 J15 K4 K5 K6 K7 K8 K9 K10 K11 K12 K13 K14 K15 L4 L5 L6 L7 L8 L9 L10 L11 L12 L13 L14 L15 M4 M5 M6 M7 M8 M9 M10 M11 M12 M13 M14 M15 N4 N5 N6 N7 N8 N9 N10 N11 N12 N13 N14 N15 O4 O5 O6 O7 O8 O9 O10 O11 O12 O13 O14 O15 P4 P5 P6 P7 P8 P9 P10 P11 P12 P13 P14 P15 Q4 Q5 Q6 Q7 Q8 Q9 Q10 Q11 Q12 Q13 Q14 Q15 R4 R5 R6 R7 R8 R9 R10 R11 R12 R13 R14 R15 S4 S5 S6 S7 S8 S9 S10 S11 S12 S13 S14 S15 T4 T5 T6 T7 T8 T9 T10 T11 T12 T13 T14 T15 Z4 Z5 Z6 Z7 Z8 Z9 Z10 Z11 Z12 Z13 Z14 Z15" showDropDown="0" showInputMessage="0" showErrorMessage="0" allowBlank="1" errorTitle="قيمة غير صحيحة" error="أدخل رقماً موجباً فقط" type="decimal" operator="greaterThanOrEqual">
      <formula1>0</formula1>
    </dataValidation>
  </dataValidation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AC14"/>
  <sheetViews>
    <sheetView showGridLines="0" rightToLeft="1" workbookViewId="0">
      <pane xSplit="8" ySplit="3" topLeftCell="I4" activePane="bottomRight" state="frozen"/>
      <selection pane="topRight"/>
      <selection pane="bottomLeft"/>
      <selection pane="bottomRight" activeCell="A1" sqref="A1"/>
    </sheetView>
  </sheetViews>
  <sheetFormatPr baseColWidth="8" defaultRowHeight="15"/>
  <cols>
    <col width="4" customWidth="1" min="1" max="1"/>
    <col width="20" customWidth="1" min="2" max="2"/>
    <col width="40" customWidth="1" min="3" max="3"/>
    <col width="10" customWidth="1" min="4" max="4"/>
    <col width="8" customWidth="1" min="5" max="5"/>
    <col width="9" customWidth="1" min="6" max="6"/>
    <col width="12" customWidth="1" min="7" max="7"/>
    <col width="16"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12" customWidth="1" min="21" max="21"/>
    <col width="12" customWidth="1" min="22" max="22"/>
    <col width="14" customWidth="1" min="23" max="23"/>
    <col width="16" customWidth="1" min="24" max="24"/>
    <col width="22" customWidth="1" min="25" max="25"/>
    <col width="12" customWidth="1" min="26" max="26"/>
    <col width="10" customWidth="1" min="27" max="27"/>
    <col width="9" customWidth="1" min="28" max="28"/>
    <col width="14" customWidth="1" min="29" max="29"/>
  </cols>
  <sheetData>
    <row r="1" ht="30" customHeight="1">
      <c r="A1" s="24" t="inlineStr">
        <is>
          <t>مؤشرات الأداء — عامل تعبئة الوقود (شهري · SOP-OM-08)</t>
        </is>
      </c>
    </row>
    <row r="2">
      <c r="A2" s="48" t="inlineStr">
        <is>
          <t>🟩 الأخضر = إدخال (الأرقام الشهرية + خط الأساس + الوزن)  ·  🔵 قائد/🟣 لاحق  ·  الدرجة الموزونة والحالة تلقائية</t>
        </is>
      </c>
    </row>
    <row r="3" ht="34" customHeight="1">
      <c r="A3" s="26" t="inlineStr">
        <is>
          <t>#</t>
        </is>
      </c>
      <c r="B3" s="26" t="inlineStr">
        <is>
          <t>المحور</t>
        </is>
      </c>
      <c r="C3" s="26" t="inlineStr">
        <is>
          <t>المؤشر</t>
        </is>
      </c>
      <c r="D3" s="26" t="inlineStr">
        <is>
          <t>الوحدة</t>
        </is>
      </c>
      <c r="E3" s="26" t="inlineStr">
        <is>
          <t>القطبية</t>
        </is>
      </c>
      <c r="F3" s="26" t="inlineStr">
        <is>
          <t>التجميع</t>
        </is>
      </c>
      <c r="G3" s="26" t="inlineStr">
        <is>
          <t>المستهدف</t>
        </is>
      </c>
      <c r="H3" s="26" t="inlineStr">
        <is>
          <t>نص المستهدف</t>
        </is>
      </c>
      <c r="I3" s="26" t="inlineStr">
        <is>
          <t>يناير</t>
        </is>
      </c>
      <c r="J3" s="26" t="inlineStr">
        <is>
          <t>فبراير</t>
        </is>
      </c>
      <c r="K3" s="26" t="inlineStr">
        <is>
          <t>مارس</t>
        </is>
      </c>
      <c r="L3" s="26" t="inlineStr">
        <is>
          <t>أبريل</t>
        </is>
      </c>
      <c r="M3" s="26" t="inlineStr">
        <is>
          <t>مايو</t>
        </is>
      </c>
      <c r="N3" s="26" t="inlineStr">
        <is>
          <t>يونيو</t>
        </is>
      </c>
      <c r="O3" s="26" t="inlineStr">
        <is>
          <t>يوليو</t>
        </is>
      </c>
      <c r="P3" s="26" t="inlineStr">
        <is>
          <t>أغسطس</t>
        </is>
      </c>
      <c r="Q3" s="26" t="inlineStr">
        <is>
          <t>سبتمبر</t>
        </is>
      </c>
      <c r="R3" s="26" t="inlineStr">
        <is>
          <t>أكتوبر</t>
        </is>
      </c>
      <c r="S3" s="26" t="inlineStr">
        <is>
          <t>نوفمبر</t>
        </is>
      </c>
      <c r="T3" s="26" t="inlineStr">
        <is>
          <t>ديسمبر</t>
        </is>
      </c>
      <c r="U3" s="26" t="inlineStr">
        <is>
          <t>YTD</t>
        </is>
      </c>
      <c r="V3" s="26" t="inlineStr">
        <is>
          <t>نسبة التحقيق</t>
        </is>
      </c>
      <c r="W3" s="26" t="inlineStr">
        <is>
          <t>الحالة</t>
        </is>
      </c>
      <c r="X3" s="26" t="inlineStr">
        <is>
          <t>الركيزة (5س)</t>
        </is>
      </c>
      <c r="Y3" s="26" t="inlineStr">
        <is>
          <t>المشروع (الخارطة)</t>
        </is>
      </c>
      <c r="Z3" s="26" t="inlineStr">
        <is>
          <t>خط الأساس 2025</t>
        </is>
      </c>
      <c r="AA3" s="26" t="inlineStr">
        <is>
          <t>النوع</t>
        </is>
      </c>
      <c r="AB3" s="26" t="inlineStr">
        <is>
          <t>الوزن %</t>
        </is>
      </c>
      <c r="AC3" s="26" t="inlineStr">
        <is>
          <t>الدرجة الموزونة</t>
        </is>
      </c>
    </row>
    <row r="4" ht="26" customHeight="1">
      <c r="A4" s="17" t="n">
        <v>1</v>
      </c>
      <c r="B4" s="22" t="inlineStr">
        <is>
          <t>الخدمة والسرعة</t>
        </is>
      </c>
      <c r="C4" s="22" t="inlineStr">
        <is>
          <t>وقت تعبئة الوقود للعميل</t>
        </is>
      </c>
      <c r="D4" s="49" t="inlineStr">
        <is>
          <t>دقيقة</t>
        </is>
      </c>
      <c r="E4" s="49" t="inlineStr">
        <is>
          <t>↓</t>
        </is>
      </c>
      <c r="F4" s="49" t="inlineStr">
        <is>
          <t>AVG</t>
        </is>
      </c>
      <c r="G4" s="63" t="n">
        <v>5</v>
      </c>
      <c r="H4" s="51" t="inlineStr">
        <is>
          <t>≤ 5 دقائق</t>
        </is>
      </c>
      <c r="I4" s="64" t="n"/>
      <c r="J4" s="64" t="n"/>
      <c r="K4" s="64" t="n"/>
      <c r="L4" s="64" t="n"/>
      <c r="M4" s="64" t="n"/>
      <c r="N4" s="64" t="n"/>
      <c r="O4" s="64" t="n"/>
      <c r="P4" s="64" t="n"/>
      <c r="Q4" s="64" t="n"/>
      <c r="R4" s="64" t="n"/>
      <c r="S4" s="64" t="n"/>
      <c r="T4" s="64" t="n"/>
      <c r="U4" s="65">
        <f>IF($F4="SUM",IF(COUNT($I4:$T4)=0,"",SUM($I4:$T4)),IF($F4="AVG",IFERROR(AVERAGE($I4:$T4),""),IF($F4="LAST",IFERROR(LOOKUP(2,1/($I4:$T4&lt;&gt;""),$I4:$T4),""),"")))</f>
        <v/>
      </c>
      <c r="V4" s="23">
        <f>IF($G4="","",IF($U4="","",IF($G4=0,IF($U4&lt;=0,1,0),IF($E4="↓",IFERROR($G4/$U4,0),IFERROR($U4/$G4,0)))))</f>
        <v/>
      </c>
      <c r="W4" s="17">
        <f>IF($V4="","—",IF($V4&gt;=1,"✅ محقق",IF($V4&gt;=0.85,"🟡 قريب","🔴 تحت الهدف")))</f>
        <v/>
      </c>
      <c r="X4" s="54" t="inlineStr"/>
      <c r="Y4" s="22" t="inlineStr"/>
      <c r="Z4" s="66" t="n"/>
      <c r="AA4" s="21" t="inlineStr">
        <is>
          <t>🟣 لاحق</t>
        </is>
      </c>
      <c r="AB4" s="56" t="n">
        <v>0.1</v>
      </c>
      <c r="AC4" s="23">
        <f>IF($V4="","",$AB4*MIN($V4,1))</f>
        <v/>
      </c>
    </row>
    <row r="5" ht="26" customHeight="1">
      <c r="A5" s="17" t="n">
        <v>2</v>
      </c>
      <c r="B5" s="22" t="inlineStr">
        <is>
          <t>الخدمة والسرعة</t>
        </is>
      </c>
      <c r="C5" s="22" t="inlineStr">
        <is>
          <t>الترحيب بالعميل عند الوصول</t>
        </is>
      </c>
      <c r="D5" s="49" t="inlineStr">
        <is>
          <t>%</t>
        </is>
      </c>
      <c r="E5" s="49" t="inlineStr">
        <is>
          <t>↑</t>
        </is>
      </c>
      <c r="F5" s="49" t="inlineStr">
        <is>
          <t>AVG</t>
        </is>
      </c>
      <c r="G5" s="57" t="n">
        <v>1</v>
      </c>
      <c r="H5" s="51" t="inlineStr">
        <is>
          <t>100%</t>
        </is>
      </c>
      <c r="I5" s="58" t="n"/>
      <c r="J5" s="58" t="n"/>
      <c r="K5" s="58" t="n"/>
      <c r="L5" s="58" t="n"/>
      <c r="M5" s="58" t="n"/>
      <c r="N5" s="58" t="n"/>
      <c r="O5" s="58" t="n"/>
      <c r="P5" s="58" t="n"/>
      <c r="Q5" s="58" t="n"/>
      <c r="R5" s="58" t="n"/>
      <c r="S5" s="58" t="n"/>
      <c r="T5" s="58" t="n"/>
      <c r="U5" s="59">
        <f>IF($F5="SUM",IF(COUNT($I5:$T5)=0,"",SUM($I5:$T5)),IF($F5="AVG",IFERROR(AVERAGE($I5:$T5),""),IF($F5="LAST",IFERROR(LOOKUP(2,1/($I5:$T5&lt;&gt;""),$I5:$T5),""),"")))</f>
        <v/>
      </c>
      <c r="V5" s="23">
        <f>IF($G5="","",IF($U5="","",IF($G5=0,IF($U5&lt;=0,1,0),IF($E5="↓",IFERROR($G5/$U5,0),IFERROR($U5/$G5,0)))))</f>
        <v/>
      </c>
      <c r="W5" s="17">
        <f>IF($V5="","—",IF($V5&gt;=1,"✅ محقق",IF($V5&gt;=0.85,"🟡 قريب","🔴 تحت الهدف")))</f>
        <v/>
      </c>
      <c r="X5" s="54" t="inlineStr"/>
      <c r="Y5" s="22" t="inlineStr"/>
      <c r="Z5" s="56" t="n"/>
      <c r="AA5" s="21" t="inlineStr">
        <is>
          <t>🟣 لاحق</t>
        </is>
      </c>
      <c r="AB5" s="56" t="n">
        <v>0.1</v>
      </c>
      <c r="AC5" s="23">
        <f>IF($V5="","",$AB5*MIN($V5,1))</f>
        <v/>
      </c>
    </row>
    <row r="6" ht="26" customHeight="1">
      <c r="A6" s="17" t="n">
        <v>3</v>
      </c>
      <c r="B6" s="22" t="inlineStr">
        <is>
          <t>الخدمة والسرعة</t>
        </is>
      </c>
      <c r="C6" s="22" t="inlineStr">
        <is>
          <t>إعادة تركيب غطاء الخزان</t>
        </is>
      </c>
      <c r="D6" s="49" t="inlineStr">
        <is>
          <t>%</t>
        </is>
      </c>
      <c r="E6" s="49" t="inlineStr">
        <is>
          <t>↑</t>
        </is>
      </c>
      <c r="F6" s="49" t="inlineStr">
        <is>
          <t>AVG</t>
        </is>
      </c>
      <c r="G6" s="57" t="n">
        <v>1</v>
      </c>
      <c r="H6" s="51" t="inlineStr">
        <is>
          <t>100%</t>
        </is>
      </c>
      <c r="I6" s="58" t="n"/>
      <c r="J6" s="58" t="n"/>
      <c r="K6" s="58" t="n"/>
      <c r="L6" s="58" t="n"/>
      <c r="M6" s="58" t="n"/>
      <c r="N6" s="58" t="n"/>
      <c r="O6" s="58" t="n"/>
      <c r="P6" s="58" t="n"/>
      <c r="Q6" s="58" t="n"/>
      <c r="R6" s="58" t="n"/>
      <c r="S6" s="58" t="n"/>
      <c r="T6" s="58" t="n"/>
      <c r="U6" s="59">
        <f>IF($F6="SUM",IF(COUNT($I6:$T6)=0,"",SUM($I6:$T6)),IF($F6="AVG",IFERROR(AVERAGE($I6:$T6),""),IF($F6="LAST",IFERROR(LOOKUP(2,1/($I6:$T6&lt;&gt;""),$I6:$T6),""),"")))</f>
        <v/>
      </c>
      <c r="V6" s="23">
        <f>IF($G6="","",IF($U6="","",IF($G6=0,IF($U6&lt;=0,1,0),IF($E6="↓",IFERROR($G6/$U6,0),IFERROR($U6/$G6,0)))))</f>
        <v/>
      </c>
      <c r="W6" s="17">
        <f>IF($V6="","—",IF($V6&gt;=1,"✅ محقق",IF($V6&gt;=0.85,"🟡 قريب","🔴 تحت الهدف")))</f>
        <v/>
      </c>
      <c r="X6" s="54" t="inlineStr"/>
      <c r="Y6" s="22" t="inlineStr"/>
      <c r="Z6" s="56" t="n"/>
      <c r="AA6" s="21" t="inlineStr">
        <is>
          <t>🟣 لاحق</t>
        </is>
      </c>
      <c r="AB6" s="56" t="n">
        <v>0.1</v>
      </c>
      <c r="AC6" s="23">
        <f>IF($V6="","",$AB6*MIN($V6,1))</f>
        <v/>
      </c>
    </row>
    <row r="7" ht="26" customHeight="1">
      <c r="A7" s="17" t="n">
        <v>4</v>
      </c>
      <c r="B7" s="22" t="inlineStr">
        <is>
          <t>الخدمة والسرعة</t>
        </is>
      </c>
      <c r="C7" s="22" t="inlineStr">
        <is>
          <t>عرض إيصال الدفع على العميل</t>
        </is>
      </c>
      <c r="D7" s="49" t="inlineStr">
        <is>
          <t>%</t>
        </is>
      </c>
      <c r="E7" s="49" t="inlineStr">
        <is>
          <t>↑</t>
        </is>
      </c>
      <c r="F7" s="49" t="inlineStr">
        <is>
          <t>AVG</t>
        </is>
      </c>
      <c r="G7" s="57" t="n">
        <v>1</v>
      </c>
      <c r="H7" s="51" t="inlineStr">
        <is>
          <t>100%</t>
        </is>
      </c>
      <c r="I7" s="58" t="n"/>
      <c r="J7" s="58" t="n"/>
      <c r="K7" s="58" t="n"/>
      <c r="L7" s="58" t="n"/>
      <c r="M7" s="58" t="n"/>
      <c r="N7" s="58" t="n"/>
      <c r="O7" s="58" t="n"/>
      <c r="P7" s="58" t="n"/>
      <c r="Q7" s="58" t="n"/>
      <c r="R7" s="58" t="n"/>
      <c r="S7" s="58" t="n"/>
      <c r="T7" s="58" t="n"/>
      <c r="U7" s="59">
        <f>IF($F7="SUM",IF(COUNT($I7:$T7)=0,"",SUM($I7:$T7)),IF($F7="AVG",IFERROR(AVERAGE($I7:$T7),""),IF($F7="LAST",IFERROR(LOOKUP(2,1/($I7:$T7&lt;&gt;""),$I7:$T7),""),"")))</f>
        <v/>
      </c>
      <c r="V7" s="23">
        <f>IF($G7="","",IF($U7="","",IF($G7=0,IF($U7&lt;=0,1,0),IF($E7="↓",IFERROR($G7/$U7,0),IFERROR($U7/$G7,0)))))</f>
        <v/>
      </c>
      <c r="W7" s="17">
        <f>IF($V7="","—",IF($V7&gt;=1,"✅ محقق",IF($V7&gt;=0.85,"🟡 قريب","🔴 تحت الهدف")))</f>
        <v/>
      </c>
      <c r="X7" s="54" t="inlineStr"/>
      <c r="Y7" s="22" t="inlineStr"/>
      <c r="Z7" s="56" t="n"/>
      <c r="AA7" s="21" t="inlineStr">
        <is>
          <t>🟣 لاحق</t>
        </is>
      </c>
      <c r="AB7" s="56" t="n">
        <v>0.1</v>
      </c>
      <c r="AC7" s="23">
        <f>IF($V7="","",$AB7*MIN($V7,1))</f>
        <v/>
      </c>
    </row>
    <row r="8" ht="26" customHeight="1">
      <c r="A8" s="17" t="n">
        <v>5</v>
      </c>
      <c r="B8" s="22" t="inlineStr">
        <is>
          <t>المظهر والالتزام</t>
        </is>
      </c>
      <c r="C8" s="22" t="inlineStr">
        <is>
          <t>الالتزام بالزي الرسمي كاملاً</t>
        </is>
      </c>
      <c r="D8" s="49" t="inlineStr">
        <is>
          <t>%</t>
        </is>
      </c>
      <c r="E8" s="49" t="inlineStr">
        <is>
          <t>↑</t>
        </is>
      </c>
      <c r="F8" s="49" t="inlineStr">
        <is>
          <t>AVG</t>
        </is>
      </c>
      <c r="G8" s="57" t="n">
        <v>1</v>
      </c>
      <c r="H8" s="51" t="inlineStr">
        <is>
          <t>100%</t>
        </is>
      </c>
      <c r="I8" s="58" t="n"/>
      <c r="J8" s="58" t="n"/>
      <c r="K8" s="58" t="n"/>
      <c r="L8" s="58" t="n"/>
      <c r="M8" s="58" t="n"/>
      <c r="N8" s="58" t="n"/>
      <c r="O8" s="58" t="n"/>
      <c r="P8" s="58" t="n"/>
      <c r="Q8" s="58" t="n"/>
      <c r="R8" s="58" t="n"/>
      <c r="S8" s="58" t="n"/>
      <c r="T8" s="58" t="n"/>
      <c r="U8" s="59">
        <f>IF($F8="SUM",IF(COUNT($I8:$T8)=0,"",SUM($I8:$T8)),IF($F8="AVG",IFERROR(AVERAGE($I8:$T8),""),IF($F8="LAST",IFERROR(LOOKUP(2,1/($I8:$T8&lt;&gt;""),$I8:$T8),""),"")))</f>
        <v/>
      </c>
      <c r="V8" s="23">
        <f>IF($G8="","",IF($U8="","",IF($G8=0,IF($U8&lt;=0,1,0),IF($E8="↓",IFERROR($G8/$U8,0),IFERROR($U8/$G8,0)))))</f>
        <v/>
      </c>
      <c r="W8" s="17">
        <f>IF($V8="","—",IF($V8&gt;=1,"✅ محقق",IF($V8&gt;=0.85,"🟡 قريب","🔴 تحت الهدف")))</f>
        <v/>
      </c>
      <c r="X8" s="54" t="inlineStr"/>
      <c r="Y8" s="22" t="inlineStr"/>
      <c r="Z8" s="56" t="n"/>
      <c r="AA8" s="21" t="inlineStr">
        <is>
          <t>🟣 لاحق</t>
        </is>
      </c>
      <c r="AB8" s="56" t="n">
        <v>0.1</v>
      </c>
      <c r="AC8" s="23">
        <f>IF($V8="","",$AB8*MIN($V8,1))</f>
        <v/>
      </c>
    </row>
    <row r="9" ht="26" customHeight="1">
      <c r="A9" s="17" t="n">
        <v>6</v>
      </c>
      <c r="B9" s="22" t="inlineStr">
        <is>
          <t>المظهر والالتزام</t>
        </is>
      </c>
      <c r="C9" s="22" t="inlineStr">
        <is>
          <t>النظافة الشخصية والمظهر العام</t>
        </is>
      </c>
      <c r="D9" s="49" t="inlineStr">
        <is>
          <t>%</t>
        </is>
      </c>
      <c r="E9" s="49" t="inlineStr">
        <is>
          <t>↑</t>
        </is>
      </c>
      <c r="F9" s="49" t="inlineStr">
        <is>
          <t>AVG</t>
        </is>
      </c>
      <c r="G9" s="57" t="n">
        <v>1</v>
      </c>
      <c r="H9" s="51" t="inlineStr">
        <is>
          <t>100%</t>
        </is>
      </c>
      <c r="I9" s="58" t="n"/>
      <c r="J9" s="58" t="n"/>
      <c r="K9" s="58" t="n"/>
      <c r="L9" s="58" t="n"/>
      <c r="M9" s="58" t="n"/>
      <c r="N9" s="58" t="n"/>
      <c r="O9" s="58" t="n"/>
      <c r="P9" s="58" t="n"/>
      <c r="Q9" s="58" t="n"/>
      <c r="R9" s="58" t="n"/>
      <c r="S9" s="58" t="n"/>
      <c r="T9" s="58" t="n"/>
      <c r="U9" s="59">
        <f>IF($F9="SUM",IF(COUNT($I9:$T9)=0,"",SUM($I9:$T9)),IF($F9="AVG",IFERROR(AVERAGE($I9:$T9),""),IF($F9="LAST",IFERROR(LOOKUP(2,1/($I9:$T9&lt;&gt;""),$I9:$T9),""),"")))</f>
        <v/>
      </c>
      <c r="V9" s="23">
        <f>IF($G9="","",IF($U9="","",IF($G9=0,IF($U9&lt;=0,1,0),IF($E9="↓",IFERROR($G9/$U9,0),IFERROR($U9/$G9,0)))))</f>
        <v/>
      </c>
      <c r="W9" s="17">
        <f>IF($V9="","—",IF($V9&gt;=1,"✅ محقق",IF($V9&gt;=0.85,"🟡 قريب","🔴 تحت الهدف")))</f>
        <v/>
      </c>
      <c r="X9" s="54" t="inlineStr"/>
      <c r="Y9" s="22" t="inlineStr"/>
      <c r="Z9" s="56" t="n"/>
      <c r="AA9" s="21" t="inlineStr">
        <is>
          <t>🟣 لاحق</t>
        </is>
      </c>
      <c r="AB9" s="56" t="n">
        <v>0.1</v>
      </c>
      <c r="AC9" s="23">
        <f>IF($V9="","",$AB9*MIN($V9,1))</f>
        <v/>
      </c>
    </row>
    <row r="10" ht="26" customHeight="1">
      <c r="A10" s="17" t="n">
        <v>7</v>
      </c>
      <c r="B10" s="22" t="inlineStr">
        <is>
          <t>المظهر والالتزام</t>
        </is>
      </c>
      <c r="C10" s="22" t="inlineStr">
        <is>
          <t>حالات استخدام الجوال أثناء العمل</t>
        </is>
      </c>
      <c r="D10" s="49" t="inlineStr">
        <is>
          <t>حالة</t>
        </is>
      </c>
      <c r="E10" s="49" t="inlineStr">
        <is>
          <t>↓</t>
        </is>
      </c>
      <c r="F10" s="49" t="inlineStr">
        <is>
          <t>SUM</t>
        </is>
      </c>
      <c r="G10" s="50" t="n">
        <v>0</v>
      </c>
      <c r="H10" s="51" t="inlineStr">
        <is>
          <t>0 حالة</t>
        </is>
      </c>
      <c r="I10" s="52" t="n"/>
      <c r="J10" s="52" t="n"/>
      <c r="K10" s="52" t="n"/>
      <c r="L10" s="52" t="n"/>
      <c r="M10" s="52" t="n"/>
      <c r="N10" s="52" t="n"/>
      <c r="O10" s="52" t="n"/>
      <c r="P10" s="52" t="n"/>
      <c r="Q10" s="52" t="n"/>
      <c r="R10" s="52" t="n"/>
      <c r="S10" s="52" t="n"/>
      <c r="T10" s="52" t="n"/>
      <c r="U10" s="53">
        <f>IF($F10="SUM",IF(COUNT($I10:$T10)=0,"",SUM($I10:$T10)),IF($F10="AVG",IFERROR(AVERAGE($I10:$T10),""),IF($F10="LAST",IFERROR(LOOKUP(2,1/($I10:$T10&lt;&gt;""),$I10:$T10),""),"")))</f>
        <v/>
      </c>
      <c r="V10" s="23">
        <f>IF($G10="","",IF($U10="","",IF($G10=0,IF($U10&lt;=0,1,0),IF($E10="↓",IFERROR($G10/$U10,0),IFERROR($U10/$G10,0)))))</f>
        <v/>
      </c>
      <c r="W10" s="17">
        <f>IF($V10="","—",IF($V10&gt;=1,"✅ محقق",IF($V10&gt;=0.85,"🟡 قريب","🔴 تحت الهدف")))</f>
        <v/>
      </c>
      <c r="X10" s="54" t="inlineStr"/>
      <c r="Y10" s="22" t="inlineStr"/>
      <c r="Z10" s="55" t="n"/>
      <c r="AA10" s="21" t="inlineStr">
        <is>
          <t>🟣 لاحق</t>
        </is>
      </c>
      <c r="AB10" s="56" t="n">
        <v>0.1</v>
      </c>
      <c r="AC10" s="23">
        <f>IF($V10="","",$AB10*MIN($V10,1))</f>
        <v/>
      </c>
    </row>
    <row r="11" ht="26" customHeight="1">
      <c r="A11" s="17" t="n">
        <v>8</v>
      </c>
      <c r="B11" s="22" t="inlineStr">
        <is>
          <t>الدقة والسلامة</t>
        </is>
      </c>
      <c r="C11" s="22" t="inlineStr">
        <is>
          <t>دقة نوع الوقود المُضخ</t>
        </is>
      </c>
      <c r="D11" s="49" t="inlineStr">
        <is>
          <t>%</t>
        </is>
      </c>
      <c r="E11" s="49" t="inlineStr">
        <is>
          <t>↑</t>
        </is>
      </c>
      <c r="F11" s="49" t="inlineStr">
        <is>
          <t>AVG</t>
        </is>
      </c>
      <c r="G11" s="57" t="n">
        <v>1</v>
      </c>
      <c r="H11" s="51" t="inlineStr">
        <is>
          <t>100%</t>
        </is>
      </c>
      <c r="I11" s="58" t="n"/>
      <c r="J11" s="58" t="n"/>
      <c r="K11" s="58" t="n"/>
      <c r="L11" s="58" t="n"/>
      <c r="M11" s="58" t="n"/>
      <c r="N11" s="58" t="n"/>
      <c r="O11" s="58" t="n"/>
      <c r="P11" s="58" t="n"/>
      <c r="Q11" s="58" t="n"/>
      <c r="R11" s="58" t="n"/>
      <c r="S11" s="58" t="n"/>
      <c r="T11" s="58" t="n"/>
      <c r="U11" s="59">
        <f>IF($F11="SUM",IF(COUNT($I11:$T11)=0,"",SUM($I11:$T11)),IF($F11="AVG",IFERROR(AVERAGE($I11:$T11),""),IF($F11="LAST",IFERROR(LOOKUP(2,1/($I11:$T11&lt;&gt;""),$I11:$T11),""),"")))</f>
        <v/>
      </c>
      <c r="V11" s="23">
        <f>IF($G11="","",IF($U11="","",IF($G11=0,IF($U11&lt;=0,1,0),IF($E11="↓",IFERROR($G11/$U11,0),IFERROR($U11/$G11,0)))))</f>
        <v/>
      </c>
      <c r="W11" s="17">
        <f>IF($V11="","—",IF($V11&gt;=1,"✅ محقق",IF($V11&gt;=0.85,"🟡 قريب","🔴 تحت الهدف")))</f>
        <v/>
      </c>
      <c r="X11" s="54" t="inlineStr"/>
      <c r="Y11" s="22" t="inlineStr"/>
      <c r="Z11" s="56" t="n"/>
      <c r="AA11" s="21" t="inlineStr">
        <is>
          <t>🟣 لاحق</t>
        </is>
      </c>
      <c r="AB11" s="56" t="n">
        <v>0.1</v>
      </c>
      <c r="AC11" s="23">
        <f>IF($V11="","",$AB11*MIN($V11,1))</f>
        <v/>
      </c>
    </row>
    <row r="12" ht="26" customHeight="1">
      <c r="A12" s="17" t="n">
        <v>9</v>
      </c>
      <c r="B12" s="22" t="inlineStr">
        <is>
          <t>الدقة والسلامة</t>
        </is>
      </c>
      <c r="C12" s="22" t="inlineStr">
        <is>
          <t>إغلاق المضخة عند اكتمال الكمية</t>
        </is>
      </c>
      <c r="D12" s="49" t="inlineStr">
        <is>
          <t>%</t>
        </is>
      </c>
      <c r="E12" s="49" t="inlineStr">
        <is>
          <t>↑</t>
        </is>
      </c>
      <c r="F12" s="49" t="inlineStr">
        <is>
          <t>AVG</t>
        </is>
      </c>
      <c r="G12" s="57" t="n">
        <v>1</v>
      </c>
      <c r="H12" s="51" t="inlineStr">
        <is>
          <t>100%</t>
        </is>
      </c>
      <c r="I12" s="58" t="n"/>
      <c r="J12" s="58" t="n"/>
      <c r="K12" s="58" t="n"/>
      <c r="L12" s="58" t="n"/>
      <c r="M12" s="58" t="n"/>
      <c r="N12" s="58" t="n"/>
      <c r="O12" s="58" t="n"/>
      <c r="P12" s="58" t="n"/>
      <c r="Q12" s="58" t="n"/>
      <c r="R12" s="58" t="n"/>
      <c r="S12" s="58" t="n"/>
      <c r="T12" s="58" t="n"/>
      <c r="U12" s="59">
        <f>IF($F12="SUM",IF(COUNT($I12:$T12)=0,"",SUM($I12:$T12)),IF($F12="AVG",IFERROR(AVERAGE($I12:$T12),""),IF($F12="LAST",IFERROR(LOOKUP(2,1/($I12:$T12&lt;&gt;""),$I12:$T12),""),"")))</f>
        <v/>
      </c>
      <c r="V12" s="23">
        <f>IF($G12="","",IF($U12="","",IF($G12=0,IF($U12&lt;=0,1,0),IF($E12="↓",IFERROR($G12/$U12,0),IFERROR($U12/$G12,0)))))</f>
        <v/>
      </c>
      <c r="W12" s="17">
        <f>IF($V12="","—",IF($V12&gt;=1,"✅ محقق",IF($V12&gt;=0.85,"🟡 قريب","🔴 تحت الهدف")))</f>
        <v/>
      </c>
      <c r="X12" s="54" t="inlineStr"/>
      <c r="Y12" s="22" t="inlineStr"/>
      <c r="Z12" s="56" t="n"/>
      <c r="AA12" s="21" t="inlineStr">
        <is>
          <t>🟣 لاحق</t>
        </is>
      </c>
      <c r="AB12" s="56" t="n">
        <v>0.1</v>
      </c>
      <c r="AC12" s="23">
        <f>IF($V12="","",$AB12*MIN($V12,1))</f>
        <v/>
      </c>
    </row>
    <row r="13" ht="26" customHeight="1">
      <c r="A13" s="17" t="n">
        <v>10</v>
      </c>
      <c r="B13" s="22" t="inlineStr">
        <is>
          <t>الدقة والسلامة</t>
        </is>
      </c>
      <c r="C13" s="22" t="inlineStr">
        <is>
          <t>الالتزام بإجراءات السلامة عند الضخ</t>
        </is>
      </c>
      <c r="D13" s="49" t="inlineStr">
        <is>
          <t>%</t>
        </is>
      </c>
      <c r="E13" s="49" t="inlineStr">
        <is>
          <t>↑</t>
        </is>
      </c>
      <c r="F13" s="49" t="inlineStr">
        <is>
          <t>AVG</t>
        </is>
      </c>
      <c r="G13" s="57" t="n">
        <v>1</v>
      </c>
      <c r="H13" s="51" t="inlineStr">
        <is>
          <t>100%</t>
        </is>
      </c>
      <c r="I13" s="58" t="n"/>
      <c r="J13" s="58" t="n"/>
      <c r="K13" s="58" t="n"/>
      <c r="L13" s="58" t="n"/>
      <c r="M13" s="58" t="n"/>
      <c r="N13" s="58" t="n"/>
      <c r="O13" s="58" t="n"/>
      <c r="P13" s="58" t="n"/>
      <c r="Q13" s="58" t="n"/>
      <c r="R13" s="58" t="n"/>
      <c r="S13" s="58" t="n"/>
      <c r="T13" s="58" t="n"/>
      <c r="U13" s="59">
        <f>IF($F13="SUM",IF(COUNT($I13:$T13)=0,"",SUM($I13:$T13)),IF($F13="AVG",IFERROR(AVERAGE($I13:$T13),""),IF($F13="LAST",IFERROR(LOOKUP(2,1/($I13:$T13&lt;&gt;""),$I13:$T13),""),"")))</f>
        <v/>
      </c>
      <c r="V13" s="23">
        <f>IF($G13="","",IF($U13="","",IF($G13=0,IF($U13&lt;=0,1,0),IF($E13="↓",IFERROR($G13/$U13,0),IFERROR($U13/$G13,0)))))</f>
        <v/>
      </c>
      <c r="W13" s="17">
        <f>IF($V13="","—",IF($V13&gt;=1,"✅ محقق",IF($V13&gt;=0.85,"🟡 قريب","🔴 تحت الهدف")))</f>
        <v/>
      </c>
      <c r="X13" s="54" t="inlineStr"/>
      <c r="Y13" s="22" t="inlineStr"/>
      <c r="Z13" s="56" t="n"/>
      <c r="AA13" s="21" t="inlineStr">
        <is>
          <t>🟣 لاحق</t>
        </is>
      </c>
      <c r="AB13" s="56" t="n">
        <v>0.1</v>
      </c>
      <c r="AC13" s="23">
        <f>IF($V13="","",$AB13*MIN($V13,1))</f>
        <v/>
      </c>
    </row>
    <row r="14">
      <c r="A14" s="67" t="inlineStr"/>
      <c r="B14" s="68" t="inlineStr">
        <is>
          <t>الإجمالي الموزون للإدارة</t>
        </is>
      </c>
      <c r="AB14" s="69">
        <f>SUM(AB4:AB13)</f>
        <v/>
      </c>
      <c r="AC14" s="70">
        <f>SUM(AC4:AC13)</f>
        <v/>
      </c>
    </row>
  </sheetData>
  <sheetProtection selectLockedCells="1" selectUnlockedCells="1" sheet="1" objects="0" insertRows="1" insertHyperlinks="1" autoFilter="1" scenarios="0" formatColumns="1" deleteColumns="1" insertColumns="1" pivotTables="1" deleteRows="1" formatCells="0" formatRows="1" sort="1" password="EFFF"/>
  <mergeCells count="3">
    <mergeCell ref="A2:AC2"/>
    <mergeCell ref="B14:AA14"/>
    <mergeCell ref="A1:AC1"/>
  </mergeCells>
  <dataValidations count="1">
    <dataValidation sqref="I4 I5 I6 I7 I8 I9 I10 I11 I12 I13 J4 J5 J6 J7 J8 J9 J10 J11 J12 J13 K4 K5 K6 K7 K8 K9 K10 K11 K12 K13 L4 L5 L6 L7 L8 L9 L10 L11 L12 L13 M4 M5 M6 M7 M8 M9 M10 M11 M12 M13 N4 N5 N6 N7 N8 N9 N10 N11 N12 N13 O4 O5 O6 O7 O8 O9 O10 O11 O12 O13 P4 P5 P6 P7 P8 P9 P10 P11 P12 P13 Q4 Q5 Q6 Q7 Q8 Q9 Q10 Q11 Q12 Q13 R4 R5 R6 R7 R8 R9 R10 R11 R12 R13 S4 S5 S6 S7 S8 S9 S10 S11 S12 S13 T4 T5 T6 T7 T8 T9 T10 T11 T12 T13 Z4 Z5 Z6 Z7 Z8 Z9 Z10 Z11 Z12 Z13" showDropDown="0" showInputMessage="0" showErrorMessage="0" allowBlank="1" errorTitle="قيمة غير صحيحة" error="أدخل رقماً موجباً فقط" type="decimal" operator="greaterThanOrEqual">
      <formula1>0</formula1>
    </dataValidation>
  </dataValidation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AC28"/>
  <sheetViews>
    <sheetView showGridLines="0" rightToLeft="1" workbookViewId="0">
      <pane xSplit="8" ySplit="3" topLeftCell="I4" activePane="bottomRight" state="frozen"/>
      <selection pane="topRight"/>
      <selection pane="bottomLeft"/>
      <selection pane="bottomRight" activeCell="A1" sqref="A1"/>
    </sheetView>
  </sheetViews>
  <sheetFormatPr baseColWidth="8" defaultRowHeight="15"/>
  <cols>
    <col width="4" customWidth="1" min="1" max="1"/>
    <col width="20" customWidth="1" min="2" max="2"/>
    <col width="40" customWidth="1" min="3" max="3"/>
    <col width="10" customWidth="1" min="4" max="4"/>
    <col width="8" customWidth="1" min="5" max="5"/>
    <col width="9" customWidth="1" min="6" max="6"/>
    <col width="12" customWidth="1" min="7" max="7"/>
    <col width="16"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12" customWidth="1" min="21" max="21"/>
    <col width="12" customWidth="1" min="22" max="22"/>
    <col width="14" customWidth="1" min="23" max="23"/>
    <col width="16" customWidth="1" min="24" max="24"/>
    <col width="22" customWidth="1" min="25" max="25"/>
    <col width="12" customWidth="1" min="26" max="26"/>
    <col width="10" customWidth="1" min="27" max="27"/>
    <col width="9" customWidth="1" min="28" max="28"/>
    <col width="14" customWidth="1" min="29" max="29"/>
  </cols>
  <sheetData>
    <row r="1" ht="30" customHeight="1">
      <c r="A1" s="24" t="inlineStr">
        <is>
          <t>إدارة الاستثمار · مؤشرات الأداء 2026  (24 مؤشر / 6 محاور)</t>
        </is>
      </c>
    </row>
    <row r="2">
      <c r="A2" s="48" t="inlineStr">
        <is>
          <t>🟩 الأخضر = إدخال (الأرقام الشهرية + خط الأساس + الوزن)  ·  🔵 قائد/🟣 لاحق  ·  الدرجة الموزونة والحالة تلقائية</t>
        </is>
      </c>
    </row>
    <row r="3" ht="34" customHeight="1">
      <c r="A3" s="26" t="inlineStr">
        <is>
          <t>#</t>
        </is>
      </c>
      <c r="B3" s="26" t="inlineStr">
        <is>
          <t>المحور</t>
        </is>
      </c>
      <c r="C3" s="26" t="inlineStr">
        <is>
          <t>المؤشر</t>
        </is>
      </c>
      <c r="D3" s="26" t="inlineStr">
        <is>
          <t>الوحدة</t>
        </is>
      </c>
      <c r="E3" s="26" t="inlineStr">
        <is>
          <t>القطبية</t>
        </is>
      </c>
      <c r="F3" s="26" t="inlineStr">
        <is>
          <t>التجميع</t>
        </is>
      </c>
      <c r="G3" s="26" t="inlineStr">
        <is>
          <t>المستهدف</t>
        </is>
      </c>
      <c r="H3" s="26" t="inlineStr">
        <is>
          <t>نص المستهدف</t>
        </is>
      </c>
      <c r="I3" s="26" t="inlineStr">
        <is>
          <t>يناير</t>
        </is>
      </c>
      <c r="J3" s="26" t="inlineStr">
        <is>
          <t>فبراير</t>
        </is>
      </c>
      <c r="K3" s="26" t="inlineStr">
        <is>
          <t>مارس</t>
        </is>
      </c>
      <c r="L3" s="26" t="inlineStr">
        <is>
          <t>أبريل</t>
        </is>
      </c>
      <c r="M3" s="26" t="inlineStr">
        <is>
          <t>مايو</t>
        </is>
      </c>
      <c r="N3" s="26" t="inlineStr">
        <is>
          <t>يونيو</t>
        </is>
      </c>
      <c r="O3" s="26" t="inlineStr">
        <is>
          <t>يوليو</t>
        </is>
      </c>
      <c r="P3" s="26" t="inlineStr">
        <is>
          <t>أغسطس</t>
        </is>
      </c>
      <c r="Q3" s="26" t="inlineStr">
        <is>
          <t>سبتمبر</t>
        </is>
      </c>
      <c r="R3" s="26" t="inlineStr">
        <is>
          <t>أكتوبر</t>
        </is>
      </c>
      <c r="S3" s="26" t="inlineStr">
        <is>
          <t>نوفمبر</t>
        </is>
      </c>
      <c r="T3" s="26" t="inlineStr">
        <is>
          <t>ديسمبر</t>
        </is>
      </c>
      <c r="U3" s="26" t="inlineStr">
        <is>
          <t>YTD</t>
        </is>
      </c>
      <c r="V3" s="26" t="inlineStr">
        <is>
          <t>نسبة التحقيق</t>
        </is>
      </c>
      <c r="W3" s="26" t="inlineStr">
        <is>
          <t>الحالة</t>
        </is>
      </c>
      <c r="X3" s="26" t="inlineStr">
        <is>
          <t>الركيزة (5س)</t>
        </is>
      </c>
      <c r="Y3" s="26" t="inlineStr">
        <is>
          <t>المشروع (الخارطة)</t>
        </is>
      </c>
      <c r="Z3" s="26" t="inlineStr">
        <is>
          <t>خط الأساس 2025</t>
        </is>
      </c>
      <c r="AA3" s="26" t="inlineStr">
        <is>
          <t>النوع</t>
        </is>
      </c>
      <c r="AB3" s="26" t="inlineStr">
        <is>
          <t>الوزن %</t>
        </is>
      </c>
      <c r="AC3" s="26" t="inlineStr">
        <is>
          <t>الدرجة الموزونة</t>
        </is>
      </c>
    </row>
    <row r="4" ht="26" customHeight="1">
      <c r="A4" s="17" t="n">
        <v>1</v>
      </c>
      <c r="B4" s="22" t="inlineStr">
        <is>
          <t>نمو المحفظة</t>
        </is>
      </c>
      <c r="C4" s="22" t="inlineStr">
        <is>
          <t>إجمالي عقود الاستثمار الجديدة (جميع النماذج)</t>
        </is>
      </c>
      <c r="D4" s="49" t="inlineStr">
        <is>
          <t>عقد</t>
        </is>
      </c>
      <c r="E4" s="49" t="inlineStr">
        <is>
          <t>↑</t>
        </is>
      </c>
      <c r="F4" s="49" t="inlineStr">
        <is>
          <t>SUM</t>
        </is>
      </c>
      <c r="G4" s="50" t="n">
        <v>190</v>
      </c>
      <c r="H4" s="51" t="inlineStr">
        <is>
          <t>190 عقد</t>
        </is>
      </c>
      <c r="I4" s="52" t="n"/>
      <c r="J4" s="52" t="n"/>
      <c r="K4" s="52" t="n"/>
      <c r="L4" s="52" t="n"/>
      <c r="M4" s="52" t="n"/>
      <c r="N4" s="52" t="n"/>
      <c r="O4" s="52" t="n"/>
      <c r="P4" s="52" t="n"/>
      <c r="Q4" s="52" t="n"/>
      <c r="R4" s="52" t="n"/>
      <c r="S4" s="52" t="n"/>
      <c r="T4" s="52" t="n"/>
      <c r="U4" s="53">
        <f>IF($F4="SUM",IF(COUNT($I4:$T4)=0,"",SUM($I4:$T4)),IF($F4="AVG",IFERROR(AVERAGE($I4:$T4),""),IF($F4="LAST",IFERROR(LOOKUP(2,1/($I4:$T4&lt;&gt;""),$I4:$T4),""),"")))</f>
        <v/>
      </c>
      <c r="V4" s="23">
        <f>IF($G4="","",IF($U4="","",IF($G4=0,IF($U4&lt;=0,1,0),IF($E4="↓",IFERROR($G4/$U4,0),IFERROR($U4/$G4,0)))))</f>
        <v/>
      </c>
      <c r="W4" s="17">
        <f>IF($V4="","—",IF($V4&gt;=1,"✅ محقق",IF($V4&gt;=0.85,"🟡 قريب","🔴 تحت الهدف")))</f>
        <v/>
      </c>
      <c r="X4" s="54" t="inlineStr">
        <is>
          <t>النمو</t>
        </is>
      </c>
      <c r="Y4" s="22" t="inlineStr">
        <is>
          <t>التوسع في المواقع</t>
        </is>
      </c>
      <c r="Z4" s="55" t="n"/>
      <c r="AA4" s="21" t="inlineStr">
        <is>
          <t>🟣 لاحق</t>
        </is>
      </c>
      <c r="AB4" s="56" t="n">
        <v>0.0417</v>
      </c>
      <c r="AC4" s="23">
        <f>IF($V4="","",$AB4*MIN($V4,1))</f>
        <v/>
      </c>
    </row>
    <row r="5" ht="26" customHeight="1">
      <c r="A5" s="17" t="n">
        <v>2</v>
      </c>
      <c r="B5" s="22" t="inlineStr">
        <is>
          <t>نمو المحفظة</t>
        </is>
      </c>
      <c r="C5" s="22" t="inlineStr">
        <is>
          <t>عقود الاستثمار العادي الجديدة</t>
        </is>
      </c>
      <c r="D5" s="49" t="inlineStr">
        <is>
          <t>عقد</t>
        </is>
      </c>
      <c r="E5" s="49" t="inlineStr">
        <is>
          <t>↑</t>
        </is>
      </c>
      <c r="F5" s="49" t="inlineStr">
        <is>
          <t>SUM</t>
        </is>
      </c>
      <c r="G5" s="50" t="n">
        <v>90</v>
      </c>
      <c r="H5" s="51" t="inlineStr">
        <is>
          <t>90 عقد</t>
        </is>
      </c>
      <c r="I5" s="52" t="n"/>
      <c r="J5" s="52" t="n"/>
      <c r="K5" s="52" t="n"/>
      <c r="L5" s="52" t="n"/>
      <c r="M5" s="52" t="n"/>
      <c r="N5" s="52" t="n"/>
      <c r="O5" s="52" t="n"/>
      <c r="P5" s="52" t="n"/>
      <c r="Q5" s="52" t="n"/>
      <c r="R5" s="52" t="n"/>
      <c r="S5" s="52" t="n"/>
      <c r="T5" s="52" t="n"/>
      <c r="U5" s="53">
        <f>IF($F5="SUM",IF(COUNT($I5:$T5)=0,"",SUM($I5:$T5)),IF($F5="AVG",IFERROR(AVERAGE($I5:$T5),""),IF($F5="LAST",IFERROR(LOOKUP(2,1/($I5:$T5&lt;&gt;""),$I5:$T5),""),"")))</f>
        <v/>
      </c>
      <c r="V5" s="23">
        <f>IF($G5="","",IF($U5="","",IF($G5=0,IF($U5&lt;=0,1,0),IF($E5="↓",IFERROR($G5/$U5,0),IFERROR($U5/$G5,0)))))</f>
        <v/>
      </c>
      <c r="W5" s="17">
        <f>IF($V5="","—",IF($V5&gt;=1,"✅ محقق",IF($V5&gt;=0.85,"🟡 قريب","🔴 تحت الهدف")))</f>
        <v/>
      </c>
      <c r="X5" s="54" t="inlineStr">
        <is>
          <t>النمو</t>
        </is>
      </c>
      <c r="Y5" s="22" t="inlineStr">
        <is>
          <t>التوسع في المواقع</t>
        </is>
      </c>
      <c r="Z5" s="55" t="n"/>
      <c r="AA5" s="21" t="inlineStr">
        <is>
          <t>🟣 لاحق</t>
        </is>
      </c>
      <c r="AB5" s="56" t="n">
        <v>0.0417</v>
      </c>
      <c r="AC5" s="23">
        <f>IF($V5="","",$AB5*MIN($V5,1))</f>
        <v/>
      </c>
    </row>
    <row r="6" ht="26" customHeight="1">
      <c r="A6" s="17" t="n">
        <v>3</v>
      </c>
      <c r="B6" s="22" t="inlineStr">
        <is>
          <t>نمو المحفظة</t>
        </is>
      </c>
      <c r="C6" s="22" t="inlineStr">
        <is>
          <t>عقود الاستحواذ الجديدة</t>
        </is>
      </c>
      <c r="D6" s="49" t="inlineStr">
        <is>
          <t>عقد</t>
        </is>
      </c>
      <c r="E6" s="49" t="inlineStr">
        <is>
          <t>↑</t>
        </is>
      </c>
      <c r="F6" s="49" t="inlineStr">
        <is>
          <t>SUM</t>
        </is>
      </c>
      <c r="G6" s="50" t="n">
        <v>100</v>
      </c>
      <c r="H6" s="51" t="inlineStr">
        <is>
          <t>100 عقد</t>
        </is>
      </c>
      <c r="I6" s="52" t="n"/>
      <c r="J6" s="52" t="n"/>
      <c r="K6" s="52" t="n"/>
      <c r="L6" s="52" t="n"/>
      <c r="M6" s="52" t="n"/>
      <c r="N6" s="52" t="n"/>
      <c r="O6" s="52" t="n"/>
      <c r="P6" s="52" t="n"/>
      <c r="Q6" s="52" t="n"/>
      <c r="R6" s="52" t="n"/>
      <c r="S6" s="52" t="n"/>
      <c r="T6" s="52" t="n"/>
      <c r="U6" s="53">
        <f>IF($F6="SUM",IF(COUNT($I6:$T6)=0,"",SUM($I6:$T6)),IF($F6="AVG",IFERROR(AVERAGE($I6:$T6),""),IF($F6="LAST",IFERROR(LOOKUP(2,1/($I6:$T6&lt;&gt;""),$I6:$T6),""),"")))</f>
        <v/>
      </c>
      <c r="V6" s="23">
        <f>IF($G6="","",IF($U6="","",IF($G6=0,IF($U6&lt;=0,1,0),IF($E6="↓",IFERROR($G6/$U6,0),IFERROR($U6/$G6,0)))))</f>
        <v/>
      </c>
      <c r="W6" s="17">
        <f>IF($V6="","—",IF($V6&gt;=1,"✅ محقق",IF($V6&gt;=0.85,"🟡 قريب","🔴 تحت الهدف")))</f>
        <v/>
      </c>
      <c r="X6" s="54" t="inlineStr">
        <is>
          <t>النمو</t>
        </is>
      </c>
      <c r="Y6" s="22" t="inlineStr">
        <is>
          <t>التوسع في المواقع</t>
        </is>
      </c>
      <c r="Z6" s="55" t="n"/>
      <c r="AA6" s="21" t="inlineStr">
        <is>
          <t>🟣 لاحق</t>
        </is>
      </c>
      <c r="AB6" s="56" t="n">
        <v>0.0417</v>
      </c>
      <c r="AC6" s="23">
        <f>IF($V6="","",$AB6*MIN($V6,1))</f>
        <v/>
      </c>
    </row>
    <row r="7" ht="26" customHeight="1">
      <c r="A7" s="17" t="n">
        <v>4</v>
      </c>
      <c r="B7" s="22" t="inlineStr">
        <is>
          <t>نمو المحفظة</t>
        </is>
      </c>
      <c r="C7" s="22" t="inlineStr">
        <is>
          <t>المحطات المستحوَذ عليها المشغّلة (تراكمي)</t>
        </is>
      </c>
      <c r="D7" s="49" t="inlineStr">
        <is>
          <t>محطة</t>
        </is>
      </c>
      <c r="E7" s="49" t="inlineStr">
        <is>
          <t>↑</t>
        </is>
      </c>
      <c r="F7" s="49" t="inlineStr">
        <is>
          <t>LAST</t>
        </is>
      </c>
      <c r="G7" s="50" t="n">
        <v>120</v>
      </c>
      <c r="H7" s="51" t="inlineStr">
        <is>
          <t>120 محطة</t>
        </is>
      </c>
      <c r="I7" s="52" t="n"/>
      <c r="J7" s="52" t="n"/>
      <c r="K7" s="52" t="n"/>
      <c r="L7" s="52" t="n"/>
      <c r="M7" s="52" t="n"/>
      <c r="N7" s="52" t="n"/>
      <c r="O7" s="52" t="n"/>
      <c r="P7" s="52" t="n"/>
      <c r="Q7" s="52" t="n"/>
      <c r="R7" s="52" t="n"/>
      <c r="S7" s="52" t="n"/>
      <c r="T7" s="52" t="n"/>
      <c r="U7" s="53">
        <f>IF($F7="SUM",IF(COUNT($I7:$T7)=0,"",SUM($I7:$T7)),IF($F7="AVG",IFERROR(AVERAGE($I7:$T7),""),IF($F7="LAST",IFERROR(LOOKUP(2,1/($I7:$T7&lt;&gt;""),$I7:$T7),""),"")))</f>
        <v/>
      </c>
      <c r="V7" s="23">
        <f>IF($G7="","",IF($U7="","",IF($G7=0,IF($U7&lt;=0,1,0),IF($E7="↓",IFERROR($G7/$U7,0),IFERROR($U7/$G7,0)))))</f>
        <v/>
      </c>
      <c r="W7" s="17">
        <f>IF($V7="","—",IF($V7&gt;=1,"✅ محقق",IF($V7&gt;=0.85,"🟡 قريب","🔴 تحت الهدف")))</f>
        <v/>
      </c>
      <c r="X7" s="54" t="inlineStr">
        <is>
          <t>النمو</t>
        </is>
      </c>
      <c r="Y7" s="22" t="inlineStr">
        <is>
          <t>التوسع في المواقع</t>
        </is>
      </c>
      <c r="Z7" s="55" t="n"/>
      <c r="AA7" s="21" t="inlineStr">
        <is>
          <t>🟣 لاحق</t>
        </is>
      </c>
      <c r="AB7" s="56" t="n">
        <v>0.0417</v>
      </c>
      <c r="AC7" s="23">
        <f>IF($V7="","",$AB7*MIN($V7,1))</f>
        <v/>
      </c>
    </row>
    <row r="8" ht="26" customHeight="1">
      <c r="A8" s="17" t="n">
        <v>5</v>
      </c>
      <c r="B8" s="22" t="inlineStr">
        <is>
          <t>نمو المحفظة</t>
        </is>
      </c>
      <c r="C8" s="22" t="inlineStr">
        <is>
          <t>عقود تأجير الأرض الجديدة</t>
        </is>
      </c>
      <c r="D8" s="49" t="inlineStr">
        <is>
          <t>عقد</t>
        </is>
      </c>
      <c r="E8" s="49" t="inlineStr">
        <is>
          <t>↑</t>
        </is>
      </c>
      <c r="F8" s="49" t="inlineStr">
        <is>
          <t>SUM</t>
        </is>
      </c>
      <c r="G8" s="50" t="n">
        <v>11</v>
      </c>
      <c r="H8" s="51" t="inlineStr">
        <is>
          <t>11 عقد</t>
        </is>
      </c>
      <c r="I8" s="52" t="n"/>
      <c r="J8" s="52" t="n"/>
      <c r="K8" s="52" t="n"/>
      <c r="L8" s="52" t="n"/>
      <c r="M8" s="52" t="n"/>
      <c r="N8" s="52" t="n"/>
      <c r="O8" s="52" t="n"/>
      <c r="P8" s="52" t="n"/>
      <c r="Q8" s="52" t="n"/>
      <c r="R8" s="52" t="n"/>
      <c r="S8" s="52" t="n"/>
      <c r="T8" s="52" t="n"/>
      <c r="U8" s="53">
        <f>IF($F8="SUM",IF(COUNT($I8:$T8)=0,"",SUM($I8:$T8)),IF($F8="AVG",IFERROR(AVERAGE($I8:$T8),""),IF($F8="LAST",IFERROR(LOOKUP(2,1/($I8:$T8&lt;&gt;""),$I8:$T8),""),"")))</f>
        <v/>
      </c>
      <c r="V8" s="23">
        <f>IF($G8="","",IF($U8="","",IF($G8=0,IF($U8&lt;=0,1,0),IF($E8="↓",IFERROR($G8/$U8,0),IFERROR($U8/$G8,0)))))</f>
        <v/>
      </c>
      <c r="W8" s="17">
        <f>IF($V8="","—",IF($V8&gt;=1,"✅ محقق",IF($V8&gt;=0.85,"🟡 قريب","🔴 تحت الهدف")))</f>
        <v/>
      </c>
      <c r="X8" s="54" t="inlineStr">
        <is>
          <t>النمو</t>
        </is>
      </c>
      <c r="Y8" s="22" t="inlineStr">
        <is>
          <t>التوسع في المواقع</t>
        </is>
      </c>
      <c r="Z8" s="55" t="n"/>
      <c r="AA8" s="21" t="inlineStr">
        <is>
          <t>🟣 لاحق</t>
        </is>
      </c>
      <c r="AB8" s="56" t="n">
        <v>0.0417</v>
      </c>
      <c r="AC8" s="23">
        <f>IF($V8="","",$AB8*MIN($V8,1))</f>
        <v/>
      </c>
    </row>
    <row r="9" ht="26" customHeight="1">
      <c r="A9" s="17" t="n">
        <v>6</v>
      </c>
      <c r="B9" s="22" t="inlineStr">
        <is>
          <t>نمو المحفظة</t>
        </is>
      </c>
      <c r="C9" s="22" t="inlineStr">
        <is>
          <t>عقود إيجار المحطة الجديدة</t>
        </is>
      </c>
      <c r="D9" s="49" t="inlineStr">
        <is>
          <t>عقد</t>
        </is>
      </c>
      <c r="E9" s="49" t="inlineStr">
        <is>
          <t>↑</t>
        </is>
      </c>
      <c r="F9" s="49" t="inlineStr">
        <is>
          <t>SUM</t>
        </is>
      </c>
      <c r="G9" s="50" t="n">
        <v>12</v>
      </c>
      <c r="H9" s="51" t="inlineStr">
        <is>
          <t>12 عقد</t>
        </is>
      </c>
      <c r="I9" s="52" t="n"/>
      <c r="J9" s="52" t="n"/>
      <c r="K9" s="52" t="n"/>
      <c r="L9" s="52" t="n"/>
      <c r="M9" s="52" t="n"/>
      <c r="N9" s="52" t="n"/>
      <c r="O9" s="52" t="n"/>
      <c r="P9" s="52" t="n"/>
      <c r="Q9" s="52" t="n"/>
      <c r="R9" s="52" t="n"/>
      <c r="S9" s="52" t="n"/>
      <c r="T9" s="52" t="n"/>
      <c r="U9" s="53">
        <f>IF($F9="SUM",IF(COUNT($I9:$T9)=0,"",SUM($I9:$T9)),IF($F9="AVG",IFERROR(AVERAGE($I9:$T9),""),IF($F9="LAST",IFERROR(LOOKUP(2,1/($I9:$T9&lt;&gt;""),$I9:$T9),""),"")))</f>
        <v/>
      </c>
      <c r="V9" s="23">
        <f>IF($G9="","",IF($U9="","",IF($G9=0,IF($U9&lt;=0,1,0),IF($E9="↓",IFERROR($G9/$U9,0),IFERROR($U9/$G9,0)))))</f>
        <v/>
      </c>
      <c r="W9" s="17">
        <f>IF($V9="","—",IF($V9&gt;=1,"✅ محقق",IF($V9&gt;=0.85,"🟡 قريب","🔴 تحت الهدف")))</f>
        <v/>
      </c>
      <c r="X9" s="54" t="inlineStr">
        <is>
          <t>النمو</t>
        </is>
      </c>
      <c r="Y9" s="22" t="inlineStr">
        <is>
          <t>التوسع في المواقع</t>
        </is>
      </c>
      <c r="Z9" s="55" t="n"/>
      <c r="AA9" s="21" t="inlineStr">
        <is>
          <t>🟣 لاحق</t>
        </is>
      </c>
      <c r="AB9" s="56" t="n">
        <v>0.0417</v>
      </c>
      <c r="AC9" s="23">
        <f>IF($V9="","",$AB9*MIN($V9,1))</f>
        <v/>
      </c>
    </row>
    <row r="10" ht="26" customHeight="1">
      <c r="A10" s="17" t="n">
        <v>7</v>
      </c>
      <c r="B10" s="22" t="inlineStr">
        <is>
          <t>نمو المحفظة</t>
        </is>
      </c>
      <c r="C10" s="22" t="inlineStr">
        <is>
          <t>عقود تشغيل المحطة الجديدة</t>
        </is>
      </c>
      <c r="D10" s="49" t="inlineStr">
        <is>
          <t>عقد</t>
        </is>
      </c>
      <c r="E10" s="49" t="inlineStr">
        <is>
          <t>↑</t>
        </is>
      </c>
      <c r="F10" s="49" t="inlineStr">
        <is>
          <t>SUM</t>
        </is>
      </c>
      <c r="G10" s="50" t="n">
        <v>68</v>
      </c>
      <c r="H10" s="51" t="inlineStr">
        <is>
          <t>68 عقد</t>
        </is>
      </c>
      <c r="I10" s="52" t="n"/>
      <c r="J10" s="52" t="n"/>
      <c r="K10" s="52" t="n"/>
      <c r="L10" s="52" t="n"/>
      <c r="M10" s="52" t="n"/>
      <c r="N10" s="52" t="n"/>
      <c r="O10" s="52" t="n"/>
      <c r="P10" s="52" t="n"/>
      <c r="Q10" s="52" t="n"/>
      <c r="R10" s="52" t="n"/>
      <c r="S10" s="52" t="n"/>
      <c r="T10" s="52" t="n"/>
      <c r="U10" s="53">
        <f>IF($F10="SUM",IF(COUNT($I10:$T10)=0,"",SUM($I10:$T10)),IF($F10="AVG",IFERROR(AVERAGE($I10:$T10),""),IF($F10="LAST",IFERROR(LOOKUP(2,1/($I10:$T10&lt;&gt;""),$I10:$T10),""),"")))</f>
        <v/>
      </c>
      <c r="V10" s="23">
        <f>IF($G10="","",IF($U10="","",IF($G10=0,IF($U10&lt;=0,1,0),IF($E10="↓",IFERROR($G10/$U10,0),IFERROR($U10/$G10,0)))))</f>
        <v/>
      </c>
      <c r="W10" s="17">
        <f>IF($V10="","—",IF($V10&gt;=1,"✅ محقق",IF($V10&gt;=0.85,"🟡 قريب","🔴 تحت الهدف")))</f>
        <v/>
      </c>
      <c r="X10" s="54" t="inlineStr">
        <is>
          <t>النمو</t>
        </is>
      </c>
      <c r="Y10" s="22" t="inlineStr">
        <is>
          <t>التوسع في المواقع</t>
        </is>
      </c>
      <c r="Z10" s="55" t="n"/>
      <c r="AA10" s="21" t="inlineStr">
        <is>
          <t>🟣 لاحق</t>
        </is>
      </c>
      <c r="AB10" s="56" t="n">
        <v>0.0417</v>
      </c>
      <c r="AC10" s="23">
        <f>IF($V10="","",$AB10*MIN($V10,1))</f>
        <v/>
      </c>
    </row>
    <row r="11" ht="26" customHeight="1">
      <c r="A11" s="17" t="n">
        <v>8</v>
      </c>
      <c r="B11" s="22" t="inlineStr">
        <is>
          <t>الربحية وجودة الموقع</t>
        </is>
      </c>
      <c r="C11" s="22" t="inlineStr">
        <is>
          <t>نسبة المواقع المعتمدة ذات العائد المجدي</t>
        </is>
      </c>
      <c r="D11" s="49" t="inlineStr">
        <is>
          <t>%</t>
        </is>
      </c>
      <c r="E11" s="49" t="inlineStr">
        <is>
          <t>↑</t>
        </is>
      </c>
      <c r="F11" s="49" t="inlineStr">
        <is>
          <t>AVG</t>
        </is>
      </c>
      <c r="G11" s="57" t="n">
        <v>0.8</v>
      </c>
      <c r="H11" s="51" t="inlineStr">
        <is>
          <t>80%+</t>
        </is>
      </c>
      <c r="I11" s="58" t="n"/>
      <c r="J11" s="58" t="n"/>
      <c r="K11" s="58" t="n"/>
      <c r="L11" s="58" t="n"/>
      <c r="M11" s="58" t="n"/>
      <c r="N11" s="58" t="n"/>
      <c r="O11" s="58" t="n"/>
      <c r="P11" s="58" t="n"/>
      <c r="Q11" s="58" t="n"/>
      <c r="R11" s="58" t="n"/>
      <c r="S11" s="58" t="n"/>
      <c r="T11" s="58" t="n"/>
      <c r="U11" s="59">
        <f>IF($F11="SUM",IF(COUNT($I11:$T11)=0,"",SUM($I11:$T11)),IF($F11="AVG",IFERROR(AVERAGE($I11:$T11),""),IF($F11="LAST",IFERROR(LOOKUP(2,1/($I11:$T11&lt;&gt;""),$I11:$T11),""),"")))</f>
        <v/>
      </c>
      <c r="V11" s="23">
        <f>IF($G11="","",IF($U11="","",IF($G11=0,IF($U11&lt;=0,1,0),IF($E11="↓",IFERROR($G11/$U11,0),IFERROR($U11/$G11,0)))))</f>
        <v/>
      </c>
      <c r="W11" s="17">
        <f>IF($V11="","—",IF($V11&gt;=1,"✅ محقق",IF($V11&gt;=0.85,"🟡 قريب","🔴 تحت الهدف")))</f>
        <v/>
      </c>
      <c r="X11" s="54" t="inlineStr">
        <is>
          <t>الاستدامة</t>
        </is>
      </c>
      <c r="Y11" s="22" t="inlineStr">
        <is>
          <t>جودة التشغيل</t>
        </is>
      </c>
      <c r="Z11" s="56" t="n"/>
      <c r="AA11" s="21" t="inlineStr">
        <is>
          <t>🟣 لاحق</t>
        </is>
      </c>
      <c r="AB11" s="56" t="n">
        <v>0.0417</v>
      </c>
      <c r="AC11" s="23">
        <f>IF($V11="","",$AB11*MIN($V11,1))</f>
        <v/>
      </c>
    </row>
    <row r="12" ht="26" customHeight="1">
      <c r="A12" s="17" t="n">
        <v>9</v>
      </c>
      <c r="B12" s="22" t="inlineStr">
        <is>
          <t>الربحية وجودة الموقع</t>
        </is>
      </c>
      <c r="C12" s="22" t="inlineStr">
        <is>
          <t>متوسط فترة استرداد رأس المال</t>
        </is>
      </c>
      <c r="D12" s="49" t="inlineStr">
        <is>
          <t>سنة</t>
        </is>
      </c>
      <c r="E12" s="49" t="inlineStr">
        <is>
          <t>↓</t>
        </is>
      </c>
      <c r="F12" s="49" t="inlineStr">
        <is>
          <t>AVG</t>
        </is>
      </c>
      <c r="G12" s="63" t="n">
        <v>5</v>
      </c>
      <c r="H12" s="51" t="inlineStr">
        <is>
          <t>≤ 5 سنوات</t>
        </is>
      </c>
      <c r="I12" s="64" t="n"/>
      <c r="J12" s="64" t="n"/>
      <c r="K12" s="64" t="n"/>
      <c r="L12" s="64" t="n"/>
      <c r="M12" s="64" t="n"/>
      <c r="N12" s="64" t="n"/>
      <c r="O12" s="64" t="n"/>
      <c r="P12" s="64" t="n"/>
      <c r="Q12" s="64" t="n"/>
      <c r="R12" s="64" t="n"/>
      <c r="S12" s="64" t="n"/>
      <c r="T12" s="64" t="n"/>
      <c r="U12" s="65">
        <f>IF($F12="SUM",IF(COUNT($I12:$T12)=0,"",SUM($I12:$T12)),IF($F12="AVG",IFERROR(AVERAGE($I12:$T12),""),IF($F12="LAST",IFERROR(LOOKUP(2,1/($I12:$T12&lt;&gt;""),$I12:$T12),""),"")))</f>
        <v/>
      </c>
      <c r="V12" s="23">
        <f>IF($G12="","",IF($U12="","",IF($G12=0,IF($U12&lt;=0,1,0),IF($E12="↓",IFERROR($G12/$U12,0),IFERROR($U12/$G12,0)))))</f>
        <v/>
      </c>
      <c r="W12" s="17">
        <f>IF($V12="","—",IF($V12&gt;=1,"✅ محقق",IF($V12&gt;=0.85,"🟡 قريب","🔴 تحت الهدف")))</f>
        <v/>
      </c>
      <c r="X12" s="54" t="inlineStr">
        <is>
          <t>الاستدامة</t>
        </is>
      </c>
      <c r="Y12" s="22" t="inlineStr">
        <is>
          <t>جودة التشغيل</t>
        </is>
      </c>
      <c r="Z12" s="66" t="n"/>
      <c r="AA12" s="21" t="inlineStr">
        <is>
          <t>🟣 لاحق</t>
        </is>
      </c>
      <c r="AB12" s="56" t="n">
        <v>0.0417</v>
      </c>
      <c r="AC12" s="23">
        <f>IF($V12="","",$AB12*MIN($V12,1))</f>
        <v/>
      </c>
    </row>
    <row r="13" ht="26" customHeight="1">
      <c r="A13" s="17" t="n">
        <v>10</v>
      </c>
      <c r="B13" s="22" t="inlineStr">
        <is>
          <t>الربحية وجودة الموقع</t>
        </is>
      </c>
      <c r="C13" s="22" t="inlineStr">
        <is>
          <t>متوسط قيمة عقد الإيجار السنوي (أرض)</t>
        </is>
      </c>
      <c r="D13" s="49" t="inlineStr">
        <is>
          <t>ر.س</t>
        </is>
      </c>
      <c r="E13" s="49" t="inlineStr">
        <is>
          <t>↑</t>
        </is>
      </c>
      <c r="F13" s="49" t="inlineStr">
        <is>
          <t>AVG</t>
        </is>
      </c>
      <c r="G13" s="49" t="inlineStr"/>
      <c r="H13" s="51" t="inlineStr">
        <is>
          <t>يُحدد لاحقاً</t>
        </is>
      </c>
      <c r="I13" s="60" t="n"/>
      <c r="J13" s="60" t="n"/>
      <c r="K13" s="60" t="n"/>
      <c r="L13" s="60" t="n"/>
      <c r="M13" s="60" t="n"/>
      <c r="N13" s="60" t="n"/>
      <c r="O13" s="60" t="n"/>
      <c r="P13" s="60" t="n"/>
      <c r="Q13" s="60" t="n"/>
      <c r="R13" s="60" t="n"/>
      <c r="S13" s="60" t="n"/>
      <c r="T13" s="60" t="n"/>
      <c r="U13" s="61">
        <f>IF($F13="SUM",IF(COUNT($I13:$T13)=0,"",SUM($I13:$T13)),IF($F13="AVG",IFERROR(AVERAGE($I13:$T13),""),IF($F13="LAST",IFERROR(LOOKUP(2,1/($I13:$T13&lt;&gt;""),$I13:$T13),""),"")))</f>
        <v/>
      </c>
      <c r="V13" s="23">
        <f>IF($G13="","",IF($U13="","",IF($G13=0,IF($U13&lt;=0,1,0),IF($E13="↓",IFERROR($G13/$U13,0),IFERROR($U13/$G13,0)))))</f>
        <v/>
      </c>
      <c r="W13" s="17">
        <f>IF($V13="","—",IF($V13&gt;=1,"✅ محقق",IF($V13&gt;=0.85,"🟡 قريب","🔴 تحت الهدف")))</f>
        <v/>
      </c>
      <c r="X13" s="54" t="inlineStr">
        <is>
          <t>النمو</t>
        </is>
      </c>
      <c r="Y13" s="22" t="inlineStr">
        <is>
          <t>التوسع في المواقع</t>
        </is>
      </c>
      <c r="Z13" s="62" t="n"/>
      <c r="AA13" s="21" t="inlineStr">
        <is>
          <t>🟣 لاحق</t>
        </is>
      </c>
      <c r="AB13" s="56" t="n">
        <v>0.0417</v>
      </c>
      <c r="AC13" s="23">
        <f>IF($V13="","",$AB13*MIN($V13,1))</f>
        <v/>
      </c>
    </row>
    <row r="14" ht="26" customHeight="1">
      <c r="A14" s="17" t="n">
        <v>11</v>
      </c>
      <c r="B14" s="22" t="inlineStr">
        <is>
          <t>التوسع الإقليمي</t>
        </is>
      </c>
      <c r="C14" s="22" t="inlineStr">
        <is>
          <t>نسبة العقود التي تغطي المناطق الـ13</t>
        </is>
      </c>
      <c r="D14" s="49" t="inlineStr">
        <is>
          <t>%</t>
        </is>
      </c>
      <c r="E14" s="49" t="inlineStr">
        <is>
          <t>↑</t>
        </is>
      </c>
      <c r="F14" s="49" t="inlineStr">
        <is>
          <t>LAST</t>
        </is>
      </c>
      <c r="G14" s="57" t="n">
        <v>1</v>
      </c>
      <c r="H14" s="51" t="inlineStr">
        <is>
          <t>100%</t>
        </is>
      </c>
      <c r="I14" s="58" t="n"/>
      <c r="J14" s="58" t="n"/>
      <c r="K14" s="58" t="n"/>
      <c r="L14" s="58" t="n"/>
      <c r="M14" s="58" t="n"/>
      <c r="N14" s="58" t="n"/>
      <c r="O14" s="58" t="n"/>
      <c r="P14" s="58" t="n"/>
      <c r="Q14" s="58" t="n"/>
      <c r="R14" s="58" t="n"/>
      <c r="S14" s="58" t="n"/>
      <c r="T14" s="58" t="n"/>
      <c r="U14" s="59">
        <f>IF($F14="SUM",IF(COUNT($I14:$T14)=0,"",SUM($I14:$T14)),IF($F14="AVG",IFERROR(AVERAGE($I14:$T14),""),IF($F14="LAST",IFERROR(LOOKUP(2,1/($I14:$T14&lt;&gt;""),$I14:$T14),""),"")))</f>
        <v/>
      </c>
      <c r="V14" s="23">
        <f>IF($G14="","",IF($U14="","",IF($G14=0,IF($U14&lt;=0,1,0),IF($E14="↓",IFERROR($G14/$U14,0),IFERROR($U14/$G14,0)))))</f>
        <v/>
      </c>
      <c r="W14" s="17">
        <f>IF($V14="","—",IF($V14&gt;=1,"✅ محقق",IF($V14&gt;=0.85,"🟡 قريب","🔴 تحت الهدف")))</f>
        <v/>
      </c>
      <c r="X14" s="54" t="inlineStr">
        <is>
          <t>النمو</t>
        </is>
      </c>
      <c r="Y14" s="22" t="inlineStr">
        <is>
          <t>التوسع في المواقع</t>
        </is>
      </c>
      <c r="Z14" s="56" t="n"/>
      <c r="AA14" s="21" t="inlineStr">
        <is>
          <t>🟣 لاحق</t>
        </is>
      </c>
      <c r="AB14" s="56" t="n">
        <v>0.0417</v>
      </c>
      <c r="AC14" s="23">
        <f>IF($V14="","",$AB14*MIN($V14,1))</f>
        <v/>
      </c>
    </row>
    <row r="15" ht="26" customHeight="1">
      <c r="A15" s="17" t="n">
        <v>12</v>
      </c>
      <c r="B15" s="22" t="inlineStr">
        <is>
          <t>التوسع الإقليمي</t>
        </is>
      </c>
      <c r="C15" s="22" t="inlineStr">
        <is>
          <t>نسبة العقود خارج المدن الرئيسية</t>
        </is>
      </c>
      <c r="D15" s="49" t="inlineStr">
        <is>
          <t>%</t>
        </is>
      </c>
      <c r="E15" s="49" t="inlineStr">
        <is>
          <t>↑</t>
        </is>
      </c>
      <c r="F15" s="49" t="inlineStr">
        <is>
          <t>LAST</t>
        </is>
      </c>
      <c r="G15" s="57" t="n">
        <v>0.6</v>
      </c>
      <c r="H15" s="51" t="inlineStr">
        <is>
          <t>&gt; 60%</t>
        </is>
      </c>
      <c r="I15" s="58" t="n"/>
      <c r="J15" s="58" t="n"/>
      <c r="K15" s="58" t="n"/>
      <c r="L15" s="58" t="n"/>
      <c r="M15" s="58" t="n"/>
      <c r="N15" s="58" t="n"/>
      <c r="O15" s="58" t="n"/>
      <c r="P15" s="58" t="n"/>
      <c r="Q15" s="58" t="n"/>
      <c r="R15" s="58" t="n"/>
      <c r="S15" s="58" t="n"/>
      <c r="T15" s="58" t="n"/>
      <c r="U15" s="59">
        <f>IF($F15="SUM",IF(COUNT($I15:$T15)=0,"",SUM($I15:$T15)),IF($F15="AVG",IFERROR(AVERAGE($I15:$T15),""),IF($F15="LAST",IFERROR(LOOKUP(2,1/($I15:$T15&lt;&gt;""),$I15:$T15),""),"")))</f>
        <v/>
      </c>
      <c r="V15" s="23">
        <f>IF($G15="","",IF($U15="","",IF($G15=0,IF($U15&lt;=0,1,0),IF($E15="↓",IFERROR($G15/$U15,0),IFERROR($U15/$G15,0)))))</f>
        <v/>
      </c>
      <c r="W15" s="17">
        <f>IF($V15="","—",IF($V15&gt;=1,"✅ محقق",IF($V15&gt;=0.85,"🟡 قريب","🔴 تحت الهدف")))</f>
        <v/>
      </c>
      <c r="X15" s="54" t="inlineStr">
        <is>
          <t>النمو</t>
        </is>
      </c>
      <c r="Y15" s="22" t="inlineStr">
        <is>
          <t>التوسع في المواقع</t>
        </is>
      </c>
      <c r="Z15" s="56" t="n"/>
      <c r="AA15" s="21" t="inlineStr">
        <is>
          <t>🟣 لاحق</t>
        </is>
      </c>
      <c r="AB15" s="56" t="n">
        <v>0.0417</v>
      </c>
      <c r="AC15" s="23">
        <f>IF($V15="","",$AB15*MIN($V15,1))</f>
        <v/>
      </c>
    </row>
    <row r="16" ht="26" customHeight="1">
      <c r="A16" s="17" t="n">
        <v>13</v>
      </c>
      <c r="B16" s="22" t="inlineStr">
        <is>
          <t>التوسع الإقليمي</t>
        </is>
      </c>
      <c r="C16" s="22" t="inlineStr">
        <is>
          <t>نسبة العقود في الـ12 مدينة الرئيسية</t>
        </is>
      </c>
      <c r="D16" s="49" t="inlineStr">
        <is>
          <t>%</t>
        </is>
      </c>
      <c r="E16" s="49" t="inlineStr">
        <is>
          <t>↓</t>
        </is>
      </c>
      <c r="F16" s="49" t="inlineStr">
        <is>
          <t>LAST</t>
        </is>
      </c>
      <c r="G16" s="57" t="n">
        <v>0.4</v>
      </c>
      <c r="H16" s="51" t="inlineStr">
        <is>
          <t>&lt; 40%</t>
        </is>
      </c>
      <c r="I16" s="58" t="n"/>
      <c r="J16" s="58" t="n"/>
      <c r="K16" s="58" t="n"/>
      <c r="L16" s="58" t="n"/>
      <c r="M16" s="58" t="n"/>
      <c r="N16" s="58" t="n"/>
      <c r="O16" s="58" t="n"/>
      <c r="P16" s="58" t="n"/>
      <c r="Q16" s="58" t="n"/>
      <c r="R16" s="58" t="n"/>
      <c r="S16" s="58" t="n"/>
      <c r="T16" s="58" t="n"/>
      <c r="U16" s="59">
        <f>IF($F16="SUM",IF(COUNT($I16:$T16)=0,"",SUM($I16:$T16)),IF($F16="AVG",IFERROR(AVERAGE($I16:$T16),""),IF($F16="LAST",IFERROR(LOOKUP(2,1/($I16:$T16&lt;&gt;""),$I16:$T16),""),"")))</f>
        <v/>
      </c>
      <c r="V16" s="23">
        <f>IF($G16="","",IF($U16="","",IF($G16=0,IF($U16&lt;=0,1,0),IF($E16="↓",IFERROR($G16/$U16,0),IFERROR($U16/$G16,0)))))</f>
        <v/>
      </c>
      <c r="W16" s="17">
        <f>IF($V16="","—",IF($V16&gt;=1,"✅ محقق",IF($V16&gt;=0.85,"🟡 قريب","🔴 تحت الهدف")))</f>
        <v/>
      </c>
      <c r="X16" s="54" t="inlineStr">
        <is>
          <t>النمو</t>
        </is>
      </c>
      <c r="Y16" s="22" t="inlineStr">
        <is>
          <t>التوسع في المواقع</t>
        </is>
      </c>
      <c r="Z16" s="56" t="n"/>
      <c r="AA16" s="21" t="inlineStr">
        <is>
          <t>🟣 لاحق</t>
        </is>
      </c>
      <c r="AB16" s="56" t="n">
        <v>0.0417</v>
      </c>
      <c r="AC16" s="23">
        <f>IF($V16="","",$AB16*MIN($V16,1))</f>
        <v/>
      </c>
    </row>
    <row r="17" ht="26" customHeight="1">
      <c r="A17" s="17" t="n">
        <v>14</v>
      </c>
      <c r="B17" s="22" t="inlineStr">
        <is>
          <t>التوسع الإقليمي</t>
        </is>
      </c>
      <c r="C17" s="22" t="inlineStr">
        <is>
          <t>نسبة العقود على الطرق الإقليمية</t>
        </is>
      </c>
      <c r="D17" s="49" t="inlineStr">
        <is>
          <t>%</t>
        </is>
      </c>
      <c r="E17" s="49" t="inlineStr">
        <is>
          <t>↑</t>
        </is>
      </c>
      <c r="F17" s="49" t="inlineStr">
        <is>
          <t>LAST</t>
        </is>
      </c>
      <c r="G17" s="57" t="n">
        <v>0.25</v>
      </c>
      <c r="H17" s="51" t="inlineStr">
        <is>
          <t>&gt; 25%</t>
        </is>
      </c>
      <c r="I17" s="58" t="n"/>
      <c r="J17" s="58" t="n"/>
      <c r="K17" s="58" t="n"/>
      <c r="L17" s="58" t="n"/>
      <c r="M17" s="58" t="n"/>
      <c r="N17" s="58" t="n"/>
      <c r="O17" s="58" t="n"/>
      <c r="P17" s="58" t="n"/>
      <c r="Q17" s="58" t="n"/>
      <c r="R17" s="58" t="n"/>
      <c r="S17" s="58" t="n"/>
      <c r="T17" s="58" t="n"/>
      <c r="U17" s="59">
        <f>IF($F17="SUM",IF(COUNT($I17:$T17)=0,"",SUM($I17:$T17)),IF($F17="AVG",IFERROR(AVERAGE($I17:$T17),""),IF($F17="LAST",IFERROR(LOOKUP(2,1/($I17:$T17&lt;&gt;""),$I17:$T17),""),"")))</f>
        <v/>
      </c>
      <c r="V17" s="23">
        <f>IF($G17="","",IF($U17="","",IF($G17=0,IF($U17&lt;=0,1,0),IF($E17="↓",IFERROR($G17/$U17,0),IFERROR($U17/$G17,0)))))</f>
        <v/>
      </c>
      <c r="W17" s="17">
        <f>IF($V17="","—",IF($V17&gt;=1,"✅ محقق",IF($V17&gt;=0.85,"🟡 قريب","🔴 تحت الهدف")))</f>
        <v/>
      </c>
      <c r="X17" s="54" t="inlineStr">
        <is>
          <t>النمو</t>
        </is>
      </c>
      <c r="Y17" s="22" t="inlineStr">
        <is>
          <t>التوسع في المواقع</t>
        </is>
      </c>
      <c r="Z17" s="56" t="n"/>
      <c r="AA17" s="21" t="inlineStr">
        <is>
          <t>🟣 لاحق</t>
        </is>
      </c>
      <c r="AB17" s="56" t="n">
        <v>0.0417</v>
      </c>
      <c r="AC17" s="23">
        <f>IF($V17="","",$AB17*MIN($V17,1))</f>
        <v/>
      </c>
    </row>
    <row r="18" ht="26" customHeight="1">
      <c r="A18" s="17" t="n">
        <v>15</v>
      </c>
      <c r="B18" s="22" t="inlineStr">
        <is>
          <t>كفاءة الدورة</t>
        </is>
      </c>
      <c r="C18" s="22" t="inlineStr">
        <is>
          <t>متوسط مدة إغلاق عقد الاستثمار</t>
        </is>
      </c>
      <c r="D18" s="49" t="inlineStr">
        <is>
          <t>أسبوع</t>
        </is>
      </c>
      <c r="E18" s="49" t="inlineStr">
        <is>
          <t>↓</t>
        </is>
      </c>
      <c r="F18" s="49" t="inlineStr">
        <is>
          <t>AVG</t>
        </is>
      </c>
      <c r="G18" s="63" t="n">
        <v>1</v>
      </c>
      <c r="H18" s="51" t="inlineStr">
        <is>
          <t>≤ أسبوع</t>
        </is>
      </c>
      <c r="I18" s="64" t="n"/>
      <c r="J18" s="64" t="n"/>
      <c r="K18" s="64" t="n"/>
      <c r="L18" s="64" t="n"/>
      <c r="M18" s="64" t="n"/>
      <c r="N18" s="64" t="n"/>
      <c r="O18" s="64" t="n"/>
      <c r="P18" s="64" t="n"/>
      <c r="Q18" s="64" t="n"/>
      <c r="R18" s="64" t="n"/>
      <c r="S18" s="64" t="n"/>
      <c r="T18" s="64" t="n"/>
      <c r="U18" s="65">
        <f>IF($F18="SUM",IF(COUNT($I18:$T18)=0,"",SUM($I18:$T18)),IF($F18="AVG",IFERROR(AVERAGE($I18:$T18),""),IF($F18="LAST",IFERROR(LOOKUP(2,1/($I18:$T18&lt;&gt;""),$I18:$T18),""),"")))</f>
        <v/>
      </c>
      <c r="V18" s="23">
        <f>IF($G18="","",IF($U18="","",IF($G18=0,IF($U18&lt;=0,1,0),IF($E18="↓",IFERROR($G18/$U18,0),IFERROR($U18/$G18,0)))))</f>
        <v/>
      </c>
      <c r="W18" s="17">
        <f>IF($V18="","—",IF($V18&gt;=1,"✅ محقق",IF($V18&gt;=0.85,"🟡 قريب","🔴 تحت الهدف")))</f>
        <v/>
      </c>
      <c r="X18" s="54" t="inlineStr">
        <is>
          <t>النمو</t>
        </is>
      </c>
      <c r="Y18" s="22" t="inlineStr">
        <is>
          <t>التوسع في المواقع</t>
        </is>
      </c>
      <c r="Z18" s="66" t="n"/>
      <c r="AA18" s="21" t="inlineStr">
        <is>
          <t>🟣 لاحق</t>
        </is>
      </c>
      <c r="AB18" s="56" t="n">
        <v>0.0417</v>
      </c>
      <c r="AC18" s="23">
        <f>IF($V18="","",$AB18*MIN($V18,1))</f>
        <v/>
      </c>
    </row>
    <row r="19" ht="26" customHeight="1">
      <c r="A19" s="17" t="n">
        <v>16</v>
      </c>
      <c r="B19" s="22" t="inlineStr">
        <is>
          <t>كفاءة الدورة</t>
        </is>
      </c>
      <c r="C19" s="22" t="inlineStr">
        <is>
          <t>نسبة العقود المتحوّلة لمحطات مشغّلة</t>
        </is>
      </c>
      <c r="D19" s="49" t="inlineStr">
        <is>
          <t>%</t>
        </is>
      </c>
      <c r="E19" s="49" t="inlineStr">
        <is>
          <t>↑</t>
        </is>
      </c>
      <c r="F19" s="49" t="inlineStr">
        <is>
          <t>AVG</t>
        </is>
      </c>
      <c r="G19" s="57" t="n">
        <v>0.3</v>
      </c>
      <c r="H19" s="51" t="inlineStr">
        <is>
          <t>≥ 30%</t>
        </is>
      </c>
      <c r="I19" s="58" t="n"/>
      <c r="J19" s="58" t="n"/>
      <c r="K19" s="58" t="n"/>
      <c r="L19" s="58" t="n"/>
      <c r="M19" s="58" t="n"/>
      <c r="N19" s="58" t="n"/>
      <c r="O19" s="58" t="n"/>
      <c r="P19" s="58" t="n"/>
      <c r="Q19" s="58" t="n"/>
      <c r="R19" s="58" t="n"/>
      <c r="S19" s="58" t="n"/>
      <c r="T19" s="58" t="n"/>
      <c r="U19" s="59">
        <f>IF($F19="SUM",IF(COUNT($I19:$T19)=0,"",SUM($I19:$T19)),IF($F19="AVG",IFERROR(AVERAGE($I19:$T19),""),IF($F19="LAST",IFERROR(LOOKUP(2,1/($I19:$T19&lt;&gt;""),$I19:$T19),""),"")))</f>
        <v/>
      </c>
      <c r="V19" s="23">
        <f>IF($G19="","",IF($U19="","",IF($G19=0,IF($U19&lt;=0,1,0),IF($E19="↓",IFERROR($G19/$U19,0),IFERROR($U19/$G19,0)))))</f>
        <v/>
      </c>
      <c r="W19" s="17">
        <f>IF($V19="","—",IF($V19&gt;=1,"✅ محقق",IF($V19&gt;=0.85,"🟡 قريب","🔴 تحت الهدف")))</f>
        <v/>
      </c>
      <c r="X19" s="54" t="inlineStr">
        <is>
          <t>النمو</t>
        </is>
      </c>
      <c r="Y19" s="22" t="inlineStr">
        <is>
          <t>التوسع في المواقع</t>
        </is>
      </c>
      <c r="Z19" s="56" t="n"/>
      <c r="AA19" s="21" t="inlineStr">
        <is>
          <t>🟣 لاحق</t>
        </is>
      </c>
      <c r="AB19" s="56" t="n">
        <v>0.0417</v>
      </c>
      <c r="AC19" s="23">
        <f>IF($V19="","",$AB19*MIN($V19,1))</f>
        <v/>
      </c>
    </row>
    <row r="20" ht="26" customHeight="1">
      <c r="A20" s="17" t="n">
        <v>17</v>
      </c>
      <c r="B20" s="22" t="inlineStr">
        <is>
          <t>كفاءة الدورة</t>
        </is>
      </c>
      <c r="C20" s="22" t="inlineStr">
        <is>
          <t>نسبة تخفيض إيجار المواقع عالية التكاليف</t>
        </is>
      </c>
      <c r="D20" s="49" t="inlineStr">
        <is>
          <t>%</t>
        </is>
      </c>
      <c r="E20" s="49" t="inlineStr">
        <is>
          <t>↑</t>
        </is>
      </c>
      <c r="F20" s="49" t="inlineStr">
        <is>
          <t>AVG</t>
        </is>
      </c>
      <c r="G20" s="57" t="n">
        <v>0.3</v>
      </c>
      <c r="H20" s="51" t="inlineStr">
        <is>
          <t>≥ 30%</t>
        </is>
      </c>
      <c r="I20" s="58" t="n"/>
      <c r="J20" s="58" t="n"/>
      <c r="K20" s="58" t="n"/>
      <c r="L20" s="58" t="n"/>
      <c r="M20" s="58" t="n"/>
      <c r="N20" s="58" t="n"/>
      <c r="O20" s="58" t="n"/>
      <c r="P20" s="58" t="n"/>
      <c r="Q20" s="58" t="n"/>
      <c r="R20" s="58" t="n"/>
      <c r="S20" s="58" t="n"/>
      <c r="T20" s="58" t="n"/>
      <c r="U20" s="59">
        <f>IF($F20="SUM",IF(COUNT($I20:$T20)=0,"",SUM($I20:$T20)),IF($F20="AVG",IFERROR(AVERAGE($I20:$T20),""),IF($F20="LAST",IFERROR(LOOKUP(2,1/($I20:$T20&lt;&gt;""),$I20:$T20),""),"")))</f>
        <v/>
      </c>
      <c r="V20" s="23">
        <f>IF($G20="","",IF($U20="","",IF($G20=0,IF($U20&lt;=0,1,0),IF($E20="↓",IFERROR($G20/$U20,0),IFERROR($U20/$G20,0)))))</f>
        <v/>
      </c>
      <c r="W20" s="17">
        <f>IF($V20="","—",IF($V20&gt;=1,"✅ محقق",IF($V20&gt;=0.85,"🟡 قريب","🔴 تحت الهدف")))</f>
        <v/>
      </c>
      <c r="X20" s="54" t="inlineStr">
        <is>
          <t>الاستدامة</t>
        </is>
      </c>
      <c r="Y20" s="22" t="inlineStr">
        <is>
          <t>جودة التشغيل</t>
        </is>
      </c>
      <c r="Z20" s="56" t="n"/>
      <c r="AA20" s="21" t="inlineStr">
        <is>
          <t>🟣 لاحق</t>
        </is>
      </c>
      <c r="AB20" s="56" t="n">
        <v>0.0417</v>
      </c>
      <c r="AC20" s="23">
        <f>IF($V20="","",$AB20*MIN($V20,1))</f>
        <v/>
      </c>
    </row>
    <row r="21" ht="26" customHeight="1">
      <c r="A21" s="17" t="n">
        <v>18</v>
      </c>
      <c r="B21" s="22" t="inlineStr">
        <is>
          <t>الامتثال</t>
        </is>
      </c>
      <c r="C21" s="22" t="inlineStr">
        <is>
          <t>نسبة اكتمال المستندات النظامية قبل التوقيع</t>
        </is>
      </c>
      <c r="D21" s="49" t="inlineStr">
        <is>
          <t>%</t>
        </is>
      </c>
      <c r="E21" s="49" t="inlineStr">
        <is>
          <t>↑</t>
        </is>
      </c>
      <c r="F21" s="49" t="inlineStr">
        <is>
          <t>AVG</t>
        </is>
      </c>
      <c r="G21" s="57" t="n">
        <v>1</v>
      </c>
      <c r="H21" s="51" t="inlineStr">
        <is>
          <t>100%</t>
        </is>
      </c>
      <c r="I21" s="58" t="n"/>
      <c r="J21" s="58" t="n"/>
      <c r="K21" s="58" t="n"/>
      <c r="L21" s="58" t="n"/>
      <c r="M21" s="58" t="n"/>
      <c r="N21" s="58" t="n"/>
      <c r="O21" s="58" t="n"/>
      <c r="P21" s="58" t="n"/>
      <c r="Q21" s="58" t="n"/>
      <c r="R21" s="58" t="n"/>
      <c r="S21" s="58" t="n"/>
      <c r="T21" s="58" t="n"/>
      <c r="U21" s="59">
        <f>IF($F21="SUM",IF(COUNT($I21:$T21)=0,"",SUM($I21:$T21)),IF($F21="AVG",IFERROR(AVERAGE($I21:$T21),""),IF($F21="LAST",IFERROR(LOOKUP(2,1/($I21:$T21&lt;&gt;""),$I21:$T21),""),"")))</f>
        <v/>
      </c>
      <c r="V21" s="23">
        <f>IF($G21="","",IF($U21="","",IF($G21=0,IF($U21&lt;=0,1,0),IF($E21="↓",IFERROR($G21/$U21,0),IFERROR($U21/$G21,0)))))</f>
        <v/>
      </c>
      <c r="W21" s="17">
        <f>IF($V21="","—",IF($V21&gt;=1,"✅ محقق",IF($V21&gt;=0.85,"🟡 قريب","🔴 تحت الهدف")))</f>
        <v/>
      </c>
      <c r="X21" s="54" t="inlineStr">
        <is>
          <t>الاستدامة</t>
        </is>
      </c>
      <c r="Y21" s="22" t="inlineStr">
        <is>
          <t>جودة التشغيل</t>
        </is>
      </c>
      <c r="Z21" s="56" t="n"/>
      <c r="AA21" s="21" t="inlineStr">
        <is>
          <t>🟣 لاحق</t>
        </is>
      </c>
      <c r="AB21" s="56" t="n">
        <v>0.0417</v>
      </c>
      <c r="AC21" s="23">
        <f>IF($V21="","",$AB21*MIN($V21,1))</f>
        <v/>
      </c>
    </row>
    <row r="22" ht="26" customHeight="1">
      <c r="A22" s="17" t="n">
        <v>19</v>
      </c>
      <c r="B22" s="22" t="inlineStr">
        <is>
          <t>الامتثال</t>
        </is>
      </c>
      <c r="C22" s="22" t="inlineStr">
        <is>
          <t>نسبة العقود المؤرشفة إلكترونياً خلال 48 ساعة</t>
        </is>
      </c>
      <c r="D22" s="49" t="inlineStr">
        <is>
          <t>%</t>
        </is>
      </c>
      <c r="E22" s="49" t="inlineStr">
        <is>
          <t>↑</t>
        </is>
      </c>
      <c r="F22" s="49" t="inlineStr">
        <is>
          <t>AVG</t>
        </is>
      </c>
      <c r="G22" s="57" t="n">
        <v>0.95</v>
      </c>
      <c r="H22" s="51" t="inlineStr">
        <is>
          <t>95%+</t>
        </is>
      </c>
      <c r="I22" s="58" t="n"/>
      <c r="J22" s="58" t="n"/>
      <c r="K22" s="58" t="n"/>
      <c r="L22" s="58" t="n"/>
      <c r="M22" s="58" t="n"/>
      <c r="N22" s="58" t="n"/>
      <c r="O22" s="58" t="n"/>
      <c r="P22" s="58" t="n"/>
      <c r="Q22" s="58" t="n"/>
      <c r="R22" s="58" t="n"/>
      <c r="S22" s="58" t="n"/>
      <c r="T22" s="58" t="n"/>
      <c r="U22" s="59">
        <f>IF($F22="SUM",IF(COUNT($I22:$T22)=0,"",SUM($I22:$T22)),IF($F22="AVG",IFERROR(AVERAGE($I22:$T22),""),IF($F22="LAST",IFERROR(LOOKUP(2,1/($I22:$T22&lt;&gt;""),$I22:$T22),""),"")))</f>
        <v/>
      </c>
      <c r="V22" s="23">
        <f>IF($G22="","",IF($U22="","",IF($G22=0,IF($U22&lt;=0,1,0),IF($E22="↓",IFERROR($G22/$U22,0),IFERROR($U22/$G22,0)))))</f>
        <v/>
      </c>
      <c r="W22" s="17">
        <f>IF($V22="","—",IF($V22&gt;=1,"✅ محقق",IF($V22&gt;=0.85,"🟡 قريب","🔴 تحت الهدف")))</f>
        <v/>
      </c>
      <c r="X22" s="54" t="inlineStr">
        <is>
          <t>الاستدامة</t>
        </is>
      </c>
      <c r="Y22" s="22" t="inlineStr">
        <is>
          <t>جودة التشغيل</t>
        </is>
      </c>
      <c r="Z22" s="56" t="n"/>
      <c r="AA22" s="21" t="inlineStr">
        <is>
          <t>🟣 لاحق</t>
        </is>
      </c>
      <c r="AB22" s="56" t="n">
        <v>0.0417</v>
      </c>
      <c r="AC22" s="23">
        <f>IF($V22="","",$AB22*MIN($V22,1))</f>
        <v/>
      </c>
    </row>
    <row r="23" ht="26" customHeight="1">
      <c r="A23" s="17" t="n">
        <v>20</v>
      </c>
      <c r="B23" s="22" t="inlineStr">
        <is>
          <t>جودة التعاقد</t>
        </is>
      </c>
      <c r="C23" s="22" t="inlineStr">
        <is>
          <t>جودة التفاوض مع المستثمرين (توافق مع المستهدفات)</t>
        </is>
      </c>
      <c r="D23" s="49" t="inlineStr">
        <is>
          <t>%</t>
        </is>
      </c>
      <c r="E23" s="49" t="inlineStr">
        <is>
          <t>↑</t>
        </is>
      </c>
      <c r="F23" s="49" t="inlineStr">
        <is>
          <t>AVG</t>
        </is>
      </c>
      <c r="G23" s="57" t="n">
        <v>0.98</v>
      </c>
      <c r="H23" s="51" t="inlineStr">
        <is>
          <t>98%</t>
        </is>
      </c>
      <c r="I23" s="58" t="n"/>
      <c r="J23" s="58" t="n"/>
      <c r="K23" s="58" t="n"/>
      <c r="L23" s="58" t="n"/>
      <c r="M23" s="58" t="n"/>
      <c r="N23" s="58" t="n"/>
      <c r="O23" s="58" t="n"/>
      <c r="P23" s="58" t="n"/>
      <c r="Q23" s="58" t="n"/>
      <c r="R23" s="58" t="n"/>
      <c r="S23" s="58" t="n"/>
      <c r="T23" s="58" t="n"/>
      <c r="U23" s="59">
        <f>IF($F23="SUM",IF(COUNT($I23:$T23)=0,"",SUM($I23:$T23)),IF($F23="AVG",IFERROR(AVERAGE($I23:$T23),""),IF($F23="LAST",IFERROR(LOOKUP(2,1/($I23:$T23&lt;&gt;""),$I23:$T23),""),"")))</f>
        <v/>
      </c>
      <c r="V23" s="23">
        <f>IF($G23="","",IF($U23="","",IF($G23=0,IF($U23&lt;=0,1,0),IF($E23="↓",IFERROR($G23/$U23,0),IFERROR($U23/$G23,0)))))</f>
        <v/>
      </c>
      <c r="W23" s="17">
        <f>IF($V23="","—",IF($V23&gt;=1,"✅ محقق",IF($V23&gt;=0.85,"🟡 قريب","🔴 تحت الهدف")))</f>
        <v/>
      </c>
      <c r="X23" s="54" t="inlineStr">
        <is>
          <t>النمو</t>
        </is>
      </c>
      <c r="Y23" s="22" t="inlineStr">
        <is>
          <t>التوسع في المواقع</t>
        </is>
      </c>
      <c r="Z23" s="56" t="n"/>
      <c r="AA23" s="21" t="inlineStr">
        <is>
          <t>🟣 لاحق</t>
        </is>
      </c>
      <c r="AB23" s="56" t="n">
        <v>0.0417</v>
      </c>
      <c r="AC23" s="23">
        <f>IF($V23="","",$AB23*MIN($V23,1))</f>
        <v/>
      </c>
    </row>
    <row r="24" ht="26" customHeight="1">
      <c r="A24" s="17" t="n">
        <v>21</v>
      </c>
      <c r="B24" s="22" t="inlineStr">
        <is>
          <t>جودة التعاقد</t>
        </is>
      </c>
      <c r="C24" s="22" t="inlineStr">
        <is>
          <t>سرعة إنجاز إجراءات التعاقد</t>
        </is>
      </c>
      <c r="D24" s="49" t="inlineStr">
        <is>
          <t>أسبوع</t>
        </is>
      </c>
      <c r="E24" s="49" t="inlineStr">
        <is>
          <t>↓</t>
        </is>
      </c>
      <c r="F24" s="49" t="inlineStr">
        <is>
          <t>AVG</t>
        </is>
      </c>
      <c r="G24" s="63" t="n">
        <v>1</v>
      </c>
      <c r="H24" s="51" t="inlineStr">
        <is>
          <t>≤ أسبوع</t>
        </is>
      </c>
      <c r="I24" s="64" t="n"/>
      <c r="J24" s="64" t="n"/>
      <c r="K24" s="64" t="n"/>
      <c r="L24" s="64" t="n"/>
      <c r="M24" s="64" t="n"/>
      <c r="N24" s="64" t="n"/>
      <c r="O24" s="64" t="n"/>
      <c r="P24" s="64" t="n"/>
      <c r="Q24" s="64" t="n"/>
      <c r="R24" s="64" t="n"/>
      <c r="S24" s="64" t="n"/>
      <c r="T24" s="64" t="n"/>
      <c r="U24" s="65">
        <f>IF($F24="SUM",IF(COUNT($I24:$T24)=0,"",SUM($I24:$T24)),IF($F24="AVG",IFERROR(AVERAGE($I24:$T24),""),IF($F24="LAST",IFERROR(LOOKUP(2,1/($I24:$T24&lt;&gt;""),$I24:$T24),""),"")))</f>
        <v/>
      </c>
      <c r="V24" s="23">
        <f>IF($G24="","",IF($U24="","",IF($G24=0,IF($U24&lt;=0,1,0),IF($E24="↓",IFERROR($G24/$U24,0),IFERROR($U24/$G24,0)))))</f>
        <v/>
      </c>
      <c r="W24" s="17">
        <f>IF($V24="","—",IF($V24&gt;=1,"✅ محقق",IF($V24&gt;=0.85,"🟡 قريب","🔴 تحت الهدف")))</f>
        <v/>
      </c>
      <c r="X24" s="54" t="inlineStr">
        <is>
          <t>النمو</t>
        </is>
      </c>
      <c r="Y24" s="22" t="inlineStr">
        <is>
          <t>التوسع في المواقع</t>
        </is>
      </c>
      <c r="Z24" s="66" t="n"/>
      <c r="AA24" s="21" t="inlineStr">
        <is>
          <t>🟣 لاحق</t>
        </is>
      </c>
      <c r="AB24" s="56" t="n">
        <v>0.0417</v>
      </c>
      <c r="AC24" s="23">
        <f>IF($V24="","",$AB24*MIN($V24,1))</f>
        <v/>
      </c>
    </row>
    <row r="25" ht="26" customHeight="1">
      <c r="A25" s="17" t="n">
        <v>22</v>
      </c>
      <c r="B25" s="22" t="inlineStr">
        <is>
          <t>جودة التعاقد</t>
        </is>
      </c>
      <c r="C25" s="22" t="inlineStr">
        <is>
          <t>مدى رضا المستثمرين وشركاء الاستثمار</t>
        </is>
      </c>
      <c r="D25" s="49" t="inlineStr">
        <is>
          <t>%</t>
        </is>
      </c>
      <c r="E25" s="49" t="inlineStr">
        <is>
          <t>↑</t>
        </is>
      </c>
      <c r="F25" s="49" t="inlineStr">
        <is>
          <t>AVG</t>
        </is>
      </c>
      <c r="G25" s="57" t="n">
        <v>0.8</v>
      </c>
      <c r="H25" s="51" t="inlineStr">
        <is>
          <t>80%+</t>
        </is>
      </c>
      <c r="I25" s="58" t="n"/>
      <c r="J25" s="58" t="n"/>
      <c r="K25" s="58" t="n"/>
      <c r="L25" s="58" t="n"/>
      <c r="M25" s="58" t="n"/>
      <c r="N25" s="58" t="n"/>
      <c r="O25" s="58" t="n"/>
      <c r="P25" s="58" t="n"/>
      <c r="Q25" s="58" t="n"/>
      <c r="R25" s="58" t="n"/>
      <c r="S25" s="58" t="n"/>
      <c r="T25" s="58" t="n"/>
      <c r="U25" s="59">
        <f>IF($F25="SUM",IF(COUNT($I25:$T25)=0,"",SUM($I25:$T25)),IF($F25="AVG",IFERROR(AVERAGE($I25:$T25),""),IF($F25="LAST",IFERROR(LOOKUP(2,1/($I25:$T25&lt;&gt;""),$I25:$T25),""),"")))</f>
        <v/>
      </c>
      <c r="V25" s="23">
        <f>IF($G25="","",IF($U25="","",IF($G25=0,IF($U25&lt;=0,1,0),IF($E25="↓",IFERROR($G25/$U25,0),IFERROR($U25/$G25,0)))))</f>
        <v/>
      </c>
      <c r="W25" s="17">
        <f>IF($V25="","—",IF($V25&gt;=1,"✅ محقق",IF($V25&gt;=0.85,"🟡 قريب","🔴 تحت الهدف")))</f>
        <v/>
      </c>
      <c r="X25" s="54" t="inlineStr">
        <is>
          <t>الاستدامة</t>
        </is>
      </c>
      <c r="Y25" s="22" t="inlineStr">
        <is>
          <t>تعزيز تجربة العملاء</t>
        </is>
      </c>
      <c r="Z25" s="56" t="n"/>
      <c r="AA25" s="21" t="inlineStr">
        <is>
          <t>🟣 لاحق</t>
        </is>
      </c>
      <c r="AB25" s="56" t="n">
        <v>0.0417</v>
      </c>
      <c r="AC25" s="23">
        <f>IF($V25="","",$AB25*MIN($V25,1))</f>
        <v/>
      </c>
    </row>
    <row r="26" ht="26" customHeight="1">
      <c r="A26" s="17" t="n">
        <v>23</v>
      </c>
      <c r="B26" s="22" t="inlineStr">
        <is>
          <t>جودة التعاقد</t>
        </is>
      </c>
      <c r="C26" s="22" t="inlineStr">
        <is>
          <t>نسبة اكتمال أرشفة ملفات العملاء</t>
        </is>
      </c>
      <c r="D26" s="49" t="inlineStr">
        <is>
          <t>%</t>
        </is>
      </c>
      <c r="E26" s="49" t="inlineStr">
        <is>
          <t>↑</t>
        </is>
      </c>
      <c r="F26" s="49" t="inlineStr">
        <is>
          <t>AVG</t>
        </is>
      </c>
      <c r="G26" s="57" t="n">
        <v>1</v>
      </c>
      <c r="H26" s="51" t="inlineStr">
        <is>
          <t>100%</t>
        </is>
      </c>
      <c r="I26" s="58" t="n"/>
      <c r="J26" s="58" t="n"/>
      <c r="K26" s="58" t="n"/>
      <c r="L26" s="58" t="n"/>
      <c r="M26" s="58" t="n"/>
      <c r="N26" s="58" t="n"/>
      <c r="O26" s="58" t="n"/>
      <c r="P26" s="58" t="n"/>
      <c r="Q26" s="58" t="n"/>
      <c r="R26" s="58" t="n"/>
      <c r="S26" s="58" t="n"/>
      <c r="T26" s="58" t="n"/>
      <c r="U26" s="59">
        <f>IF($F26="SUM",IF(COUNT($I26:$T26)=0,"",SUM($I26:$T26)),IF($F26="AVG",IFERROR(AVERAGE($I26:$T26),""),IF($F26="LAST",IFERROR(LOOKUP(2,1/($I26:$T26&lt;&gt;""),$I26:$T26),""),"")))</f>
        <v/>
      </c>
      <c r="V26" s="23">
        <f>IF($G26="","",IF($U26="","",IF($G26=0,IF($U26&lt;=0,1,0),IF($E26="↓",IFERROR($G26/$U26,0),IFERROR($U26/$G26,0)))))</f>
        <v/>
      </c>
      <c r="W26" s="17">
        <f>IF($V26="","—",IF($V26&gt;=1,"✅ محقق",IF($V26&gt;=0.85,"🟡 قريب","🔴 تحت الهدف")))</f>
        <v/>
      </c>
      <c r="X26" s="54" t="inlineStr">
        <is>
          <t>الاستدامة</t>
        </is>
      </c>
      <c r="Y26" s="22" t="inlineStr">
        <is>
          <t>جودة التشغيل</t>
        </is>
      </c>
      <c r="Z26" s="56" t="n"/>
      <c r="AA26" s="21" t="inlineStr">
        <is>
          <t>🟣 لاحق</t>
        </is>
      </c>
      <c r="AB26" s="56" t="n">
        <v>0.0417</v>
      </c>
      <c r="AC26" s="23">
        <f>IF($V26="","",$AB26*MIN($V26,1))</f>
        <v/>
      </c>
    </row>
    <row r="27" ht="26" customHeight="1">
      <c r="A27" s="17" t="n">
        <v>24</v>
      </c>
      <c r="B27" s="22" t="inlineStr">
        <is>
          <t>جودة التعاقد</t>
        </is>
      </c>
      <c r="C27" s="22" t="inlineStr">
        <is>
          <t>نسبة إنجاز التقارير الدورية في موعدها</t>
        </is>
      </c>
      <c r="D27" s="49" t="inlineStr">
        <is>
          <t>%</t>
        </is>
      </c>
      <c r="E27" s="49" t="inlineStr">
        <is>
          <t>↑</t>
        </is>
      </c>
      <c r="F27" s="49" t="inlineStr">
        <is>
          <t>AVG</t>
        </is>
      </c>
      <c r="G27" s="57" t="n">
        <v>1</v>
      </c>
      <c r="H27" s="51" t="inlineStr">
        <is>
          <t>100%</t>
        </is>
      </c>
      <c r="I27" s="58" t="n"/>
      <c r="J27" s="58" t="n"/>
      <c r="K27" s="58" t="n"/>
      <c r="L27" s="58" t="n"/>
      <c r="M27" s="58" t="n"/>
      <c r="N27" s="58" t="n"/>
      <c r="O27" s="58" t="n"/>
      <c r="P27" s="58" t="n"/>
      <c r="Q27" s="58" t="n"/>
      <c r="R27" s="58" t="n"/>
      <c r="S27" s="58" t="n"/>
      <c r="T27" s="58" t="n"/>
      <c r="U27" s="59">
        <f>IF($F27="SUM",IF(COUNT($I27:$T27)=0,"",SUM($I27:$T27)),IF($F27="AVG",IFERROR(AVERAGE($I27:$T27),""),IF($F27="LAST",IFERROR(LOOKUP(2,1/($I27:$T27&lt;&gt;""),$I27:$T27),""),"")))</f>
        <v/>
      </c>
      <c r="V27" s="23">
        <f>IF($G27="","",IF($U27="","",IF($G27=0,IF($U27&lt;=0,1,0),IF($E27="↓",IFERROR($G27/$U27,0),IFERROR($U27/$G27,0)))))</f>
        <v/>
      </c>
      <c r="W27" s="17">
        <f>IF($V27="","—",IF($V27&gt;=1,"✅ محقق",IF($V27&gt;=0.85,"🟡 قريب","🔴 تحت الهدف")))</f>
        <v/>
      </c>
      <c r="X27" s="54" t="inlineStr">
        <is>
          <t>الاستدامة</t>
        </is>
      </c>
      <c r="Y27" s="22" t="inlineStr">
        <is>
          <t>جودة التشغيل</t>
        </is>
      </c>
      <c r="Z27" s="56" t="n"/>
      <c r="AA27" s="21" t="inlineStr">
        <is>
          <t>🟣 لاحق</t>
        </is>
      </c>
      <c r="AB27" s="56" t="n">
        <v>0.0417</v>
      </c>
      <c r="AC27" s="23">
        <f>IF($V27="","",$AB27*MIN($V27,1))</f>
        <v/>
      </c>
    </row>
    <row r="28">
      <c r="A28" s="67" t="inlineStr"/>
      <c r="B28" s="68" t="inlineStr">
        <is>
          <t>الإجمالي الموزون للإدارة</t>
        </is>
      </c>
      <c r="AB28" s="69">
        <f>SUM(AB4:AB27)</f>
        <v/>
      </c>
      <c r="AC28" s="70">
        <f>SUM(AC4:AC27)</f>
        <v/>
      </c>
    </row>
  </sheetData>
  <sheetProtection selectLockedCells="1" selectUnlockedCells="1" sheet="1" objects="0" insertRows="1" insertHyperlinks="1" autoFilter="1" scenarios="0" formatColumns="1" deleteColumns="1" insertColumns="1" pivotTables="1" deleteRows="1" formatCells="0" formatRows="1" sort="1" password="EFFF"/>
  <mergeCells count="3">
    <mergeCell ref="B28:AA28"/>
    <mergeCell ref="A2:AC2"/>
    <mergeCell ref="A1:AC1"/>
  </mergeCells>
  <dataValidations count="1">
    <dataValidation sqref="I4 I5 I6 I7 I8 I9 I10 I11 I12 I13 I14 I15 I16 I17 I18 I19 I20 I21 I22 I23 I24 I25 I26 I27 J4 J5 J6 J7 J8 J9 J10 J11 J12 J13 J14 J15 J16 J17 J18 J19 J20 J21 J22 J23 J24 J25 J26 J27 K4 K5 K6 K7 K8 K9 K10 K11 K12 K13 K14 K15 K16 K17 K18 K19 K20 K21 K22 K23 K24 K25 K26 K27 L4 L5 L6 L7 L8 L9 L10 L11 L12 L13 L14 L15 L16 L17 L18 L19 L20 L21 L22 L23 L24 L25 L26 L27 M4 M5 M6 M7 M8 M9 M10 M11 M12 M13 M14 M15 M16 M17 M18 M19 M20 M21 M22 M23 M24 M25 M26 M27 N4 N5 N6 N7 N8 N9 N10 N11 N12 N13 N14 N15 N16 N17 N18 N19 N20 N21 N22 N23 N24 N25 N26 N27 O4 O5 O6 O7 O8 O9 O10 O11 O12 O13 O14 O15 O16 O17 O18 O19 O20 O21 O22 O23 O24 O25 O26 O27 P4 P5 P6 P7 P8 P9 P10 P11 P12 P13 P14 P15 P16 P17 P18 P19 P20 P21 P22 P23 P24 P25 P26 P27 Q4 Q5 Q6 Q7 Q8 Q9 Q10 Q11 Q12 Q13 Q14 Q15 Q16 Q17 Q18 Q19 Q20 Q21 Q22 Q23 Q24 Q25 Q26 Q27 R4 R5 R6 R7 R8 R9 R10 R11 R12 R13 R14 R15 R16 R17 R18 R19 R20 R21 R22 R23 R24 R25 R26 R27 S4 S5 S6 S7 S8 S9 S10 S11 S12 S13 S14 S15 S16 S17 S18 S19 S20 S21 S22 S23 S24 S25 S26 S27 T4 T5 T6 T7 T8 T9 T10 T11 T12 T13 T14 T15 T16 T17 T18 T19 T20 T21 T22 T23 T24 T25 T26 T27 Z4 Z5 Z6 Z7 Z8 Z9 Z10 Z11 Z12 Z13 Z14 Z15 Z16 Z17 Z18 Z19 Z20 Z21 Z22 Z23 Z24 Z25 Z26 Z27" showDropDown="0" showInputMessage="0" showErrorMessage="0" allowBlank="1" errorTitle="قيمة غير صحيحة" error="أدخل رقماً موجباً فقط" type="decimal" operator="greaterThanOrEqual">
      <formula1>0</formula1>
    </dataValidation>
  </dataValidation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AC20"/>
  <sheetViews>
    <sheetView showGridLines="0" rightToLeft="1" workbookViewId="0">
      <pane xSplit="8" ySplit="3" topLeftCell="I4" activePane="bottomRight" state="frozen"/>
      <selection pane="topRight"/>
      <selection pane="bottomLeft"/>
      <selection pane="bottomRight" activeCell="A1" sqref="A1"/>
    </sheetView>
  </sheetViews>
  <sheetFormatPr baseColWidth="8" defaultRowHeight="15"/>
  <cols>
    <col width="4" customWidth="1" min="1" max="1"/>
    <col width="20" customWidth="1" min="2" max="2"/>
    <col width="40" customWidth="1" min="3" max="3"/>
    <col width="10" customWidth="1" min="4" max="4"/>
    <col width="8" customWidth="1" min="5" max="5"/>
    <col width="9" customWidth="1" min="6" max="6"/>
    <col width="12" customWidth="1" min="7" max="7"/>
    <col width="16"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12" customWidth="1" min="21" max="21"/>
    <col width="12" customWidth="1" min="22" max="22"/>
    <col width="14" customWidth="1" min="23" max="23"/>
    <col width="16" customWidth="1" min="24" max="24"/>
    <col width="22" customWidth="1" min="25" max="25"/>
    <col width="12" customWidth="1" min="26" max="26"/>
    <col width="10" customWidth="1" min="27" max="27"/>
    <col width="9" customWidth="1" min="28" max="28"/>
    <col width="14" customWidth="1" min="29" max="29"/>
  </cols>
  <sheetData>
    <row r="1" ht="30" customHeight="1">
      <c r="A1" s="24" t="inlineStr">
        <is>
          <t>إدارة العقار · مؤشرات الأداء 2026  (16 مؤشر / 6 محاور)</t>
        </is>
      </c>
    </row>
    <row r="2">
      <c r="A2" s="48" t="inlineStr">
        <is>
          <t>🟩 الأخضر = إدخال (الأرقام الشهرية + خط الأساس + الوزن)  ·  🔵 قائد/🟣 لاحق  ·  الدرجة الموزونة والحالة تلقائية</t>
        </is>
      </c>
    </row>
    <row r="3" ht="34" customHeight="1">
      <c r="A3" s="26" t="inlineStr">
        <is>
          <t>#</t>
        </is>
      </c>
      <c r="B3" s="26" t="inlineStr">
        <is>
          <t>المحور</t>
        </is>
      </c>
      <c r="C3" s="26" t="inlineStr">
        <is>
          <t>المؤشر</t>
        </is>
      </c>
      <c r="D3" s="26" t="inlineStr">
        <is>
          <t>الوحدة</t>
        </is>
      </c>
      <c r="E3" s="26" t="inlineStr">
        <is>
          <t>القطبية</t>
        </is>
      </c>
      <c r="F3" s="26" t="inlineStr">
        <is>
          <t>التجميع</t>
        </is>
      </c>
      <c r="G3" s="26" t="inlineStr">
        <is>
          <t>المستهدف</t>
        </is>
      </c>
      <c r="H3" s="26" t="inlineStr">
        <is>
          <t>نص المستهدف</t>
        </is>
      </c>
      <c r="I3" s="26" t="inlineStr">
        <is>
          <t>يناير</t>
        </is>
      </c>
      <c r="J3" s="26" t="inlineStr">
        <is>
          <t>فبراير</t>
        </is>
      </c>
      <c r="K3" s="26" t="inlineStr">
        <is>
          <t>مارس</t>
        </is>
      </c>
      <c r="L3" s="26" t="inlineStr">
        <is>
          <t>أبريل</t>
        </is>
      </c>
      <c r="M3" s="26" t="inlineStr">
        <is>
          <t>مايو</t>
        </is>
      </c>
      <c r="N3" s="26" t="inlineStr">
        <is>
          <t>يونيو</t>
        </is>
      </c>
      <c r="O3" s="26" t="inlineStr">
        <is>
          <t>يوليو</t>
        </is>
      </c>
      <c r="P3" s="26" t="inlineStr">
        <is>
          <t>أغسطس</t>
        </is>
      </c>
      <c r="Q3" s="26" t="inlineStr">
        <is>
          <t>سبتمبر</t>
        </is>
      </c>
      <c r="R3" s="26" t="inlineStr">
        <is>
          <t>أكتوبر</t>
        </is>
      </c>
      <c r="S3" s="26" t="inlineStr">
        <is>
          <t>نوفمبر</t>
        </is>
      </c>
      <c r="T3" s="26" t="inlineStr">
        <is>
          <t>ديسمبر</t>
        </is>
      </c>
      <c r="U3" s="26" t="inlineStr">
        <is>
          <t>YTD</t>
        </is>
      </c>
      <c r="V3" s="26" t="inlineStr">
        <is>
          <t>نسبة التحقيق</t>
        </is>
      </c>
      <c r="W3" s="26" t="inlineStr">
        <is>
          <t>الحالة</t>
        </is>
      </c>
      <c r="X3" s="26" t="inlineStr">
        <is>
          <t>الركيزة (5س)</t>
        </is>
      </c>
      <c r="Y3" s="26" t="inlineStr">
        <is>
          <t>المشروع (الخارطة)</t>
        </is>
      </c>
      <c r="Z3" s="26" t="inlineStr">
        <is>
          <t>خط الأساس 2025</t>
        </is>
      </c>
      <c r="AA3" s="26" t="inlineStr">
        <is>
          <t>النوع</t>
        </is>
      </c>
      <c r="AB3" s="26" t="inlineStr">
        <is>
          <t>الوزن %</t>
        </is>
      </c>
      <c r="AC3" s="26" t="inlineStr">
        <is>
          <t>الدرجة الموزونة</t>
        </is>
      </c>
    </row>
    <row r="4" ht="26" customHeight="1">
      <c r="A4" s="17" t="n">
        <v>1</v>
      </c>
      <c r="B4" s="22" t="inlineStr">
        <is>
          <t>الإدارة</t>
        </is>
      </c>
      <c r="C4" s="22" t="inlineStr">
        <is>
          <t>نمو الإيرادات الإيجارية</t>
        </is>
      </c>
      <c r="D4" s="49" t="inlineStr">
        <is>
          <t>%</t>
        </is>
      </c>
      <c r="E4" s="49" t="inlineStr">
        <is>
          <t>↑</t>
        </is>
      </c>
      <c r="F4" s="49" t="inlineStr">
        <is>
          <t>AVG</t>
        </is>
      </c>
      <c r="G4" s="57" t="n">
        <v>0.08</v>
      </c>
      <c r="H4" s="51" t="inlineStr">
        <is>
          <t>&gt; 8% سنوياً</t>
        </is>
      </c>
      <c r="I4" s="58" t="n"/>
      <c r="J4" s="58" t="n"/>
      <c r="K4" s="58" t="n"/>
      <c r="L4" s="58" t="n"/>
      <c r="M4" s="58" t="n"/>
      <c r="N4" s="58" t="n"/>
      <c r="O4" s="58" t="n"/>
      <c r="P4" s="58" t="n"/>
      <c r="Q4" s="58" t="n"/>
      <c r="R4" s="58" t="n"/>
      <c r="S4" s="58" t="n"/>
      <c r="T4" s="58" t="n"/>
      <c r="U4" s="59">
        <f>IF($F4="SUM",IF(COUNT($I4:$T4)=0,"",SUM($I4:$T4)),IF($F4="AVG",IFERROR(AVERAGE($I4:$T4),""),IF($F4="LAST",IFERROR(LOOKUP(2,1/($I4:$T4&lt;&gt;""),$I4:$T4),""),"")))</f>
        <v/>
      </c>
      <c r="V4" s="23">
        <f>IF($G4="","",IF($U4="","",IF($G4=0,IF($U4&lt;=0,1,0),IF($E4="↓",IFERROR($G4/$U4,0),IFERROR($U4/$G4,0)))))</f>
        <v/>
      </c>
      <c r="W4" s="17">
        <f>IF($V4="","—",IF($V4&gt;=1,"✅ محقق",IF($V4&gt;=0.85,"🟡 قريب","🔴 تحت الهدف")))</f>
        <v/>
      </c>
      <c r="X4" s="54" t="inlineStr">
        <is>
          <t>الاستدامة</t>
        </is>
      </c>
      <c r="Y4" s="22" t="inlineStr">
        <is>
          <t>منظومة التأجير</t>
        </is>
      </c>
      <c r="Z4" s="56" t="n"/>
      <c r="AA4" s="21" t="inlineStr">
        <is>
          <t>🔵 قائد</t>
        </is>
      </c>
      <c r="AB4" s="56" t="n">
        <v>0.0625</v>
      </c>
      <c r="AC4" s="23">
        <f>IF($V4="","",$AB4*MIN($V4,1))</f>
        <v/>
      </c>
    </row>
    <row r="5" ht="26" customHeight="1">
      <c r="A5" s="17" t="n">
        <v>2</v>
      </c>
      <c r="B5" s="22" t="inlineStr">
        <is>
          <t>الإدارة</t>
        </is>
      </c>
      <c r="C5" s="22" t="inlineStr">
        <is>
          <t>نسبة الالتزام بالعقود</t>
        </is>
      </c>
      <c r="D5" s="49" t="inlineStr">
        <is>
          <t>%</t>
        </is>
      </c>
      <c r="E5" s="49" t="inlineStr">
        <is>
          <t>↑</t>
        </is>
      </c>
      <c r="F5" s="49" t="inlineStr">
        <is>
          <t>AVG</t>
        </is>
      </c>
      <c r="G5" s="57" t="n">
        <v>1</v>
      </c>
      <c r="H5" s="51" t="inlineStr">
        <is>
          <t>100%</t>
        </is>
      </c>
      <c r="I5" s="58" t="n"/>
      <c r="J5" s="58" t="n"/>
      <c r="K5" s="58" t="n"/>
      <c r="L5" s="58" t="n"/>
      <c r="M5" s="58" t="n"/>
      <c r="N5" s="58" t="n"/>
      <c r="O5" s="58" t="n"/>
      <c r="P5" s="58" t="n"/>
      <c r="Q5" s="58" t="n"/>
      <c r="R5" s="58" t="n"/>
      <c r="S5" s="58" t="n"/>
      <c r="T5" s="58" t="n"/>
      <c r="U5" s="59">
        <f>IF($F5="SUM",IF(COUNT($I5:$T5)=0,"",SUM($I5:$T5)),IF($F5="AVG",IFERROR(AVERAGE($I5:$T5),""),IF($F5="LAST",IFERROR(LOOKUP(2,1/($I5:$T5&lt;&gt;""),$I5:$T5),""),"")))</f>
        <v/>
      </c>
      <c r="V5" s="23">
        <f>IF($G5="","",IF($U5="","",IF($G5=0,IF($U5&lt;=0,1,0),IF($E5="↓",IFERROR($G5/$U5,0),IFERROR($U5/$G5,0)))))</f>
        <v/>
      </c>
      <c r="W5" s="17">
        <f>IF($V5="","—",IF($V5&gt;=1,"✅ محقق",IF($V5&gt;=0.85,"🟡 قريب","🔴 تحت الهدف")))</f>
        <v/>
      </c>
      <c r="X5" s="54" t="inlineStr">
        <is>
          <t>الاستدامة</t>
        </is>
      </c>
      <c r="Y5" s="22" t="inlineStr">
        <is>
          <t>منظومة التأجير</t>
        </is>
      </c>
      <c r="Z5" s="56" t="n"/>
      <c r="AA5" s="21" t="inlineStr">
        <is>
          <t>🟣 لاحق</t>
        </is>
      </c>
      <c r="AB5" s="56" t="n">
        <v>0.0625</v>
      </c>
      <c r="AC5" s="23">
        <f>IF($V5="","",$AB5*MIN($V5,1))</f>
        <v/>
      </c>
    </row>
    <row r="6" ht="26" customHeight="1">
      <c r="A6" s="17" t="n">
        <v>3</v>
      </c>
      <c r="B6" s="22" t="inlineStr">
        <is>
          <t>الإدارة</t>
        </is>
      </c>
      <c r="C6" s="22" t="inlineStr">
        <is>
          <t>نسبة التحصيل</t>
        </is>
      </c>
      <c r="D6" s="49" t="inlineStr">
        <is>
          <t>%</t>
        </is>
      </c>
      <c r="E6" s="49" t="inlineStr">
        <is>
          <t>↑</t>
        </is>
      </c>
      <c r="F6" s="49" t="inlineStr">
        <is>
          <t>AVG</t>
        </is>
      </c>
      <c r="G6" s="57" t="n">
        <v>0.95</v>
      </c>
      <c r="H6" s="51" t="inlineStr">
        <is>
          <t>&gt; 95%</t>
        </is>
      </c>
      <c r="I6" s="58" t="n"/>
      <c r="J6" s="58" t="n"/>
      <c r="K6" s="58" t="n"/>
      <c r="L6" s="58" t="n"/>
      <c r="M6" s="58" t="n"/>
      <c r="N6" s="58" t="n"/>
      <c r="O6" s="58" t="n"/>
      <c r="P6" s="58" t="n"/>
      <c r="Q6" s="58" t="n"/>
      <c r="R6" s="58" t="n"/>
      <c r="S6" s="58" t="n"/>
      <c r="T6" s="58" t="n"/>
      <c r="U6" s="59">
        <f>IF($F6="SUM",IF(COUNT($I6:$T6)=0,"",SUM($I6:$T6)),IF($F6="AVG",IFERROR(AVERAGE($I6:$T6),""),IF($F6="LAST",IFERROR(LOOKUP(2,1/($I6:$T6&lt;&gt;""),$I6:$T6),""),"")))</f>
        <v/>
      </c>
      <c r="V6" s="23">
        <f>IF($G6="","",IF($U6="","",IF($G6=0,IF($U6&lt;=0,1,0),IF($E6="↓",IFERROR($G6/$U6,0),IFERROR($U6/$G6,0)))))</f>
        <v/>
      </c>
      <c r="W6" s="17">
        <f>IF($V6="","—",IF($V6&gt;=1,"✅ محقق",IF($V6&gt;=0.85,"🟡 قريب","🔴 تحت الهدف")))</f>
        <v/>
      </c>
      <c r="X6" s="54" t="inlineStr">
        <is>
          <t>الاستدامة</t>
        </is>
      </c>
      <c r="Y6" s="22" t="inlineStr">
        <is>
          <t>منظومة التأجير</t>
        </is>
      </c>
      <c r="Z6" s="56" t="n"/>
      <c r="AA6" s="21" t="inlineStr">
        <is>
          <t>🟣 لاحق</t>
        </is>
      </c>
      <c r="AB6" s="56" t="n">
        <v>0.0625</v>
      </c>
      <c r="AC6" s="23">
        <f>IF($V6="","",$AB6*MIN($V6,1))</f>
        <v/>
      </c>
    </row>
    <row r="7" ht="26" customHeight="1">
      <c r="A7" s="17" t="n">
        <v>4</v>
      </c>
      <c r="B7" s="22" t="inlineStr">
        <is>
          <t>التأجير</t>
        </is>
      </c>
      <c r="C7" s="22" t="inlineStr">
        <is>
          <t>نسبة الإشغال</t>
        </is>
      </c>
      <c r="D7" s="49" t="inlineStr">
        <is>
          <t>%</t>
        </is>
      </c>
      <c r="E7" s="49" t="inlineStr">
        <is>
          <t>↑</t>
        </is>
      </c>
      <c r="F7" s="49" t="inlineStr">
        <is>
          <t>AVG</t>
        </is>
      </c>
      <c r="G7" s="57" t="n">
        <v>0.6</v>
      </c>
      <c r="H7" s="51" t="inlineStr">
        <is>
          <t>≥ 60%</t>
        </is>
      </c>
      <c r="I7" s="58" t="n"/>
      <c r="J7" s="58" t="n"/>
      <c r="K7" s="58" t="n"/>
      <c r="L7" s="58" t="n"/>
      <c r="M7" s="58" t="n"/>
      <c r="N7" s="58" t="n"/>
      <c r="O7" s="58" t="n"/>
      <c r="P7" s="58" t="n"/>
      <c r="Q7" s="58" t="n"/>
      <c r="R7" s="58" t="n"/>
      <c r="S7" s="58" t="n"/>
      <c r="T7" s="58" t="n"/>
      <c r="U7" s="59">
        <f>IF($F7="SUM",IF(COUNT($I7:$T7)=0,"",SUM($I7:$T7)),IF($F7="AVG",IFERROR(AVERAGE($I7:$T7),""),IF($F7="LAST",IFERROR(LOOKUP(2,1/($I7:$T7&lt;&gt;""),$I7:$T7),""),"")))</f>
        <v/>
      </c>
      <c r="V7" s="23">
        <f>IF($G7="","",IF($U7="","",IF($G7=0,IF($U7&lt;=0,1,0),IF($E7="↓",IFERROR($G7/$U7,0),IFERROR($U7/$G7,0)))))</f>
        <v/>
      </c>
      <c r="W7" s="17">
        <f>IF($V7="","—",IF($V7&gt;=1,"✅ محقق",IF($V7&gt;=0.85,"🟡 قريب","🔴 تحت الهدف")))</f>
        <v/>
      </c>
      <c r="X7" s="54" t="inlineStr">
        <is>
          <t>الاستدامة</t>
        </is>
      </c>
      <c r="Y7" s="22" t="inlineStr">
        <is>
          <t>منظومة التأجير</t>
        </is>
      </c>
      <c r="Z7" s="56" t="n"/>
      <c r="AA7" s="21" t="inlineStr">
        <is>
          <t>🟣 لاحق</t>
        </is>
      </c>
      <c r="AB7" s="56" t="n">
        <v>0.0625</v>
      </c>
      <c r="AC7" s="23">
        <f>IF($V7="","",$AB7*MIN($V7,1))</f>
        <v/>
      </c>
    </row>
    <row r="8" ht="26" customHeight="1">
      <c r="A8" s="17" t="n">
        <v>5</v>
      </c>
      <c r="B8" s="22" t="inlineStr">
        <is>
          <t>التأجير</t>
        </is>
      </c>
      <c r="C8" s="22" t="inlineStr">
        <is>
          <t>الوحدات المؤجَّرة شهرياً</t>
        </is>
      </c>
      <c r="D8" s="49" t="inlineStr">
        <is>
          <t>وحدة</t>
        </is>
      </c>
      <c r="E8" s="49" t="inlineStr">
        <is>
          <t>↑</t>
        </is>
      </c>
      <c r="F8" s="49" t="inlineStr">
        <is>
          <t>AVG</t>
        </is>
      </c>
      <c r="G8" s="50" t="n">
        <v>68</v>
      </c>
      <c r="H8" s="51" t="inlineStr">
        <is>
          <t>68 شهرياً</t>
        </is>
      </c>
      <c r="I8" s="52" t="n"/>
      <c r="J8" s="52" t="n"/>
      <c r="K8" s="52" t="n"/>
      <c r="L8" s="52" t="n"/>
      <c r="M8" s="52" t="n"/>
      <c r="N8" s="52" t="n"/>
      <c r="O8" s="52" t="n"/>
      <c r="P8" s="52" t="n"/>
      <c r="Q8" s="52" t="n"/>
      <c r="R8" s="52" t="n"/>
      <c r="S8" s="52" t="n"/>
      <c r="T8" s="52" t="n"/>
      <c r="U8" s="53">
        <f>IF($F8="SUM",IF(COUNT($I8:$T8)=0,"",SUM($I8:$T8)),IF($F8="AVG",IFERROR(AVERAGE($I8:$T8),""),IF($F8="LAST",IFERROR(LOOKUP(2,1/($I8:$T8&lt;&gt;""),$I8:$T8),""),"")))</f>
        <v/>
      </c>
      <c r="V8" s="23">
        <f>IF($G8="","",IF($U8="","",IF($G8=0,IF($U8&lt;=0,1,0),IF($E8="↓",IFERROR($G8/$U8,0),IFERROR($U8/$G8,0)))))</f>
        <v/>
      </c>
      <c r="W8" s="17">
        <f>IF($V8="","—",IF($V8&gt;=1,"✅ محقق",IF($V8&gt;=0.85,"🟡 قريب","🔴 تحت الهدف")))</f>
        <v/>
      </c>
      <c r="X8" s="54" t="inlineStr">
        <is>
          <t>الاستدامة</t>
        </is>
      </c>
      <c r="Y8" s="22" t="inlineStr">
        <is>
          <t>منظومة التأجير</t>
        </is>
      </c>
      <c r="Z8" s="55" t="n"/>
      <c r="AA8" s="21" t="inlineStr">
        <is>
          <t>🟣 لاحق</t>
        </is>
      </c>
      <c r="AB8" s="56" t="n">
        <v>0.0625</v>
      </c>
      <c r="AC8" s="23">
        <f>IF($V8="","",$AB8*MIN($V8,1))</f>
        <v/>
      </c>
    </row>
    <row r="9" ht="26" customHeight="1">
      <c r="A9" s="17" t="n">
        <v>6</v>
      </c>
      <c r="B9" s="22" t="inlineStr">
        <is>
          <t>التأجير</t>
        </is>
      </c>
      <c r="C9" s="22" t="inlineStr">
        <is>
          <t>العملاء المحتملون (LEADS)</t>
        </is>
      </c>
      <c r="D9" s="49" t="inlineStr">
        <is>
          <t>عميل</t>
        </is>
      </c>
      <c r="E9" s="49" t="inlineStr">
        <is>
          <t>↑</t>
        </is>
      </c>
      <c r="F9" s="49" t="inlineStr">
        <is>
          <t>AVG</t>
        </is>
      </c>
      <c r="G9" s="50" t="n">
        <v>680</v>
      </c>
      <c r="H9" s="51" t="inlineStr">
        <is>
          <t>544–680</t>
        </is>
      </c>
      <c r="I9" s="52" t="n"/>
      <c r="J9" s="52" t="n"/>
      <c r="K9" s="52" t="n"/>
      <c r="L9" s="52" t="n"/>
      <c r="M9" s="52" t="n"/>
      <c r="N9" s="52" t="n"/>
      <c r="O9" s="52" t="n"/>
      <c r="P9" s="52" t="n"/>
      <c r="Q9" s="52" t="n"/>
      <c r="R9" s="52" t="n"/>
      <c r="S9" s="52" t="n"/>
      <c r="T9" s="52" t="n"/>
      <c r="U9" s="53">
        <f>IF($F9="SUM",IF(COUNT($I9:$T9)=0,"",SUM($I9:$T9)),IF($F9="AVG",IFERROR(AVERAGE($I9:$T9),""),IF($F9="LAST",IFERROR(LOOKUP(2,1/($I9:$T9&lt;&gt;""),$I9:$T9),""),"")))</f>
        <v/>
      </c>
      <c r="V9" s="23">
        <f>IF($G9="","",IF($U9="","",IF($G9=0,IF($U9&lt;=0,1,0),IF($E9="↓",IFERROR($G9/$U9,0),IFERROR($U9/$G9,0)))))</f>
        <v/>
      </c>
      <c r="W9" s="17">
        <f>IF($V9="","—",IF($V9&gt;=1,"✅ محقق",IF($V9&gt;=0.85,"🟡 قريب","🔴 تحت الهدف")))</f>
        <v/>
      </c>
      <c r="X9" s="54" t="inlineStr">
        <is>
          <t>النمو</t>
        </is>
      </c>
      <c r="Y9" s="22" t="inlineStr">
        <is>
          <t>زيادة وصول العملاء</t>
        </is>
      </c>
      <c r="Z9" s="55" t="n"/>
      <c r="AA9" s="21" t="inlineStr">
        <is>
          <t>🔵 قائد</t>
        </is>
      </c>
      <c r="AB9" s="56" t="n">
        <v>0.0625</v>
      </c>
      <c r="AC9" s="23">
        <f>IF($V9="","",$AB9*MIN($V9,1))</f>
        <v/>
      </c>
    </row>
    <row r="10" ht="26" customHeight="1">
      <c r="A10" s="17" t="n">
        <v>7</v>
      </c>
      <c r="B10" s="22" t="inlineStr">
        <is>
          <t>التأجير</t>
        </is>
      </c>
      <c r="C10" s="22" t="inlineStr">
        <is>
          <t>معدل التحويل</t>
        </is>
      </c>
      <c r="D10" s="49" t="inlineStr">
        <is>
          <t>%</t>
        </is>
      </c>
      <c r="E10" s="49" t="inlineStr">
        <is>
          <t>↑</t>
        </is>
      </c>
      <c r="F10" s="49" t="inlineStr">
        <is>
          <t>AVG</t>
        </is>
      </c>
      <c r="G10" s="57" t="n">
        <v>0.2</v>
      </c>
      <c r="H10" s="51" t="inlineStr">
        <is>
          <t>15–25%</t>
        </is>
      </c>
      <c r="I10" s="58" t="n"/>
      <c r="J10" s="58" t="n"/>
      <c r="K10" s="58" t="n"/>
      <c r="L10" s="58" t="n"/>
      <c r="M10" s="58" t="n"/>
      <c r="N10" s="58" t="n"/>
      <c r="O10" s="58" t="n"/>
      <c r="P10" s="58" t="n"/>
      <c r="Q10" s="58" t="n"/>
      <c r="R10" s="58" t="n"/>
      <c r="S10" s="58" t="n"/>
      <c r="T10" s="58" t="n"/>
      <c r="U10" s="59">
        <f>IF($F10="SUM",IF(COUNT($I10:$T10)=0,"",SUM($I10:$T10)),IF($F10="AVG",IFERROR(AVERAGE($I10:$T10),""),IF($F10="LAST",IFERROR(LOOKUP(2,1/($I10:$T10&lt;&gt;""),$I10:$T10),""),"")))</f>
        <v/>
      </c>
      <c r="V10" s="23">
        <f>IF($G10="","",IF($U10="","",IF($G10=0,IF($U10&lt;=0,1,0),IF($E10="↓",IFERROR($G10/$U10,0),IFERROR($U10/$G10,0)))))</f>
        <v/>
      </c>
      <c r="W10" s="17">
        <f>IF($V10="","—",IF($V10&gt;=1,"✅ محقق",IF($V10&gt;=0.85,"🟡 قريب","🔴 تحت الهدف")))</f>
        <v/>
      </c>
      <c r="X10" s="54" t="inlineStr">
        <is>
          <t>النمو</t>
        </is>
      </c>
      <c r="Y10" s="22" t="inlineStr">
        <is>
          <t>زيادة وصول العملاء</t>
        </is>
      </c>
      <c r="Z10" s="56" t="n"/>
      <c r="AA10" s="21" t="inlineStr">
        <is>
          <t>🔵 قائد</t>
        </is>
      </c>
      <c r="AB10" s="56" t="n">
        <v>0.0625</v>
      </c>
      <c r="AC10" s="23">
        <f>IF($V10="","",$AB10*MIN($V10,1))</f>
        <v/>
      </c>
    </row>
    <row r="11" ht="26" customHeight="1">
      <c r="A11" s="17" t="n">
        <v>8</v>
      </c>
      <c r="B11" s="22" t="inlineStr">
        <is>
          <t>التأجير</t>
        </is>
      </c>
      <c r="C11" s="22" t="inlineStr">
        <is>
          <t>زيادة عدد العلامات التجارية</t>
        </is>
      </c>
      <c r="D11" s="49" t="inlineStr">
        <is>
          <t>علامة</t>
        </is>
      </c>
      <c r="E11" s="49" t="inlineStr">
        <is>
          <t>↑</t>
        </is>
      </c>
      <c r="F11" s="49" t="inlineStr">
        <is>
          <t>LAST</t>
        </is>
      </c>
      <c r="G11" s="50" t="n">
        <v>246</v>
      </c>
      <c r="H11" s="51" t="inlineStr">
        <is>
          <t>246 علامة</t>
        </is>
      </c>
      <c r="I11" s="52" t="n"/>
      <c r="J11" s="52" t="n"/>
      <c r="K11" s="52" t="n"/>
      <c r="L11" s="52" t="n"/>
      <c r="M11" s="52" t="n"/>
      <c r="N11" s="52" t="n"/>
      <c r="O11" s="52" t="n"/>
      <c r="P11" s="52" t="n"/>
      <c r="Q11" s="52" t="n"/>
      <c r="R11" s="52" t="n"/>
      <c r="S11" s="52" t="n"/>
      <c r="T11" s="52" t="n"/>
      <c r="U11" s="53">
        <f>IF($F11="SUM",IF(COUNT($I11:$T11)=0,"",SUM($I11:$T11)),IF($F11="AVG",IFERROR(AVERAGE($I11:$T11),""),IF($F11="LAST",IFERROR(LOOKUP(2,1/($I11:$T11&lt;&gt;""),$I11:$T11),""),"")))</f>
        <v/>
      </c>
      <c r="V11" s="23">
        <f>IF($G11="","",IF($U11="","",IF($G11=0,IF($U11&lt;=0,1,0),IF($E11="↓",IFERROR($G11/$U11,0),IFERROR($U11/$G11,0)))))</f>
        <v/>
      </c>
      <c r="W11" s="17">
        <f>IF($V11="","—",IF($V11&gt;=1,"✅ محقق",IF($V11&gt;=0.85,"🟡 قريب","🔴 تحت الهدف")))</f>
        <v/>
      </c>
      <c r="X11" s="54" t="inlineStr">
        <is>
          <t>الاستدامة</t>
        </is>
      </c>
      <c r="Y11" s="22" t="inlineStr">
        <is>
          <t>منظومة التأجير</t>
        </is>
      </c>
      <c r="Z11" s="55" t="n"/>
      <c r="AA11" s="21" t="inlineStr">
        <is>
          <t>🔵 قائد</t>
        </is>
      </c>
      <c r="AB11" s="56" t="n">
        <v>0.0625</v>
      </c>
      <c r="AC11" s="23">
        <f>IF($V11="","",$AB11*MIN($V11,1))</f>
        <v/>
      </c>
    </row>
    <row r="12" ht="26" customHeight="1">
      <c r="A12" s="17" t="n">
        <v>9</v>
      </c>
      <c r="B12" s="22" t="inlineStr">
        <is>
          <t>الإبداع والتكامل</t>
        </is>
      </c>
      <c r="C12" s="22" t="inlineStr">
        <is>
          <t>نسبة تأجير ساحة درب</t>
        </is>
      </c>
      <c r="D12" s="49" t="inlineStr">
        <is>
          <t>%</t>
        </is>
      </c>
      <c r="E12" s="49" t="inlineStr">
        <is>
          <t>↑</t>
        </is>
      </c>
      <c r="F12" s="49" t="inlineStr">
        <is>
          <t>LAST</t>
        </is>
      </c>
      <c r="G12" s="57" t="n">
        <v>0.8</v>
      </c>
      <c r="H12" s="51" t="inlineStr">
        <is>
          <t>≥ 80%</t>
        </is>
      </c>
      <c r="I12" s="58" t="n"/>
      <c r="J12" s="58" t="n"/>
      <c r="K12" s="58" t="n"/>
      <c r="L12" s="58" t="n"/>
      <c r="M12" s="58" t="n"/>
      <c r="N12" s="58" t="n"/>
      <c r="O12" s="58" t="n"/>
      <c r="P12" s="58" t="n"/>
      <c r="Q12" s="58" t="n"/>
      <c r="R12" s="58" t="n"/>
      <c r="S12" s="58" t="n"/>
      <c r="T12" s="58" t="n"/>
      <c r="U12" s="59">
        <f>IF($F12="SUM",IF(COUNT($I12:$T12)=0,"",SUM($I12:$T12)),IF($F12="AVG",IFERROR(AVERAGE($I12:$T12),""),IF($F12="LAST",IFERROR(LOOKUP(2,1/($I12:$T12&lt;&gt;""),$I12:$T12),""),"")))</f>
        <v/>
      </c>
      <c r="V12" s="23">
        <f>IF($G12="","",IF($U12="","",IF($G12=0,IF($U12&lt;=0,1,0),IF($E12="↓",IFERROR($G12/$U12,0),IFERROR($U12/$G12,0)))))</f>
        <v/>
      </c>
      <c r="W12" s="17">
        <f>IF($V12="","—",IF($V12&gt;=1,"✅ محقق",IF($V12&gt;=0.85,"🟡 قريب","🔴 تحت الهدف")))</f>
        <v/>
      </c>
      <c r="X12" s="54" t="inlineStr">
        <is>
          <t>الابتكار</t>
        </is>
      </c>
      <c r="Y12" s="22" t="inlineStr">
        <is>
          <t>ساحات درب</t>
        </is>
      </c>
      <c r="Z12" s="56" t="n"/>
      <c r="AA12" s="21" t="inlineStr">
        <is>
          <t>🟣 لاحق</t>
        </is>
      </c>
      <c r="AB12" s="56" t="n">
        <v>0.0625</v>
      </c>
      <c r="AC12" s="23">
        <f>IF($V12="","",$AB12*MIN($V12,1))</f>
        <v/>
      </c>
    </row>
    <row r="13" ht="26" customHeight="1">
      <c r="A13" s="17" t="n">
        <v>10</v>
      </c>
      <c r="B13" s="22" t="inlineStr">
        <is>
          <t>الإبداع والتكامل</t>
        </is>
      </c>
      <c r="C13" s="22" t="inlineStr">
        <is>
          <t>علامات تجارية جديدة (ساحة درب)</t>
        </is>
      </c>
      <c r="D13" s="49" t="inlineStr">
        <is>
          <t>علامة</t>
        </is>
      </c>
      <c r="E13" s="49" t="inlineStr">
        <is>
          <t>↑</t>
        </is>
      </c>
      <c r="F13" s="49" t="inlineStr">
        <is>
          <t>SUM</t>
        </is>
      </c>
      <c r="G13" s="50" t="n">
        <v>6</v>
      </c>
      <c r="H13" s="51" t="inlineStr">
        <is>
          <t>6 علامات</t>
        </is>
      </c>
      <c r="I13" s="52" t="n"/>
      <c r="J13" s="52" t="n"/>
      <c r="K13" s="52" t="n"/>
      <c r="L13" s="52" t="n"/>
      <c r="M13" s="52" t="n"/>
      <c r="N13" s="52" t="n"/>
      <c r="O13" s="52" t="n"/>
      <c r="P13" s="52" t="n"/>
      <c r="Q13" s="52" t="n"/>
      <c r="R13" s="52" t="n"/>
      <c r="S13" s="52" t="n"/>
      <c r="T13" s="52" t="n"/>
      <c r="U13" s="53">
        <f>IF($F13="SUM",IF(COUNT($I13:$T13)=0,"",SUM($I13:$T13)),IF($F13="AVG",IFERROR(AVERAGE($I13:$T13),""),IF($F13="LAST",IFERROR(LOOKUP(2,1/($I13:$T13&lt;&gt;""),$I13:$T13),""),"")))</f>
        <v/>
      </c>
      <c r="V13" s="23">
        <f>IF($G13="","",IF($U13="","",IF($G13=0,IF($U13&lt;=0,1,0),IF($E13="↓",IFERROR($G13/$U13,0),IFERROR($U13/$G13,0)))))</f>
        <v/>
      </c>
      <c r="W13" s="17">
        <f>IF($V13="","—",IF($V13&gt;=1,"✅ محقق",IF($V13&gt;=0.85,"🟡 قريب","🔴 تحت الهدف")))</f>
        <v/>
      </c>
      <c r="X13" s="54" t="inlineStr">
        <is>
          <t>الابتكار</t>
        </is>
      </c>
      <c r="Y13" s="22" t="inlineStr">
        <is>
          <t>ساحات درب</t>
        </is>
      </c>
      <c r="Z13" s="55" t="n"/>
      <c r="AA13" s="21" t="inlineStr">
        <is>
          <t>🟣 لاحق</t>
        </is>
      </c>
      <c r="AB13" s="56" t="n">
        <v>0.0625</v>
      </c>
      <c r="AC13" s="23">
        <f>IF($V13="","",$AB13*MIN($V13,1))</f>
        <v/>
      </c>
    </row>
    <row r="14" ht="26" customHeight="1">
      <c r="A14" s="17" t="n">
        <v>11</v>
      </c>
      <c r="B14" s="22" t="inlineStr">
        <is>
          <t>الإبداع والتكامل</t>
        </is>
      </c>
      <c r="C14" s="22" t="inlineStr">
        <is>
          <t>الشراكات الاستراتيجية</t>
        </is>
      </c>
      <c r="D14" s="49" t="inlineStr">
        <is>
          <t>شراكة</t>
        </is>
      </c>
      <c r="E14" s="49" t="inlineStr">
        <is>
          <t>↑</t>
        </is>
      </c>
      <c r="F14" s="49" t="inlineStr">
        <is>
          <t>SUM</t>
        </is>
      </c>
      <c r="G14" s="50" t="n">
        <v>5</v>
      </c>
      <c r="H14" s="51" t="inlineStr">
        <is>
          <t>5 شراكات</t>
        </is>
      </c>
      <c r="I14" s="52" t="n"/>
      <c r="J14" s="52" t="n"/>
      <c r="K14" s="52" t="n"/>
      <c r="L14" s="52" t="n"/>
      <c r="M14" s="52" t="n"/>
      <c r="N14" s="52" t="n"/>
      <c r="O14" s="52" t="n"/>
      <c r="P14" s="52" t="n"/>
      <c r="Q14" s="52" t="n"/>
      <c r="R14" s="52" t="n"/>
      <c r="S14" s="52" t="n"/>
      <c r="T14" s="52" t="n"/>
      <c r="U14" s="53">
        <f>IF($F14="SUM",IF(COUNT($I14:$T14)=0,"",SUM($I14:$T14)),IF($F14="AVG",IFERROR(AVERAGE($I14:$T14),""),IF($F14="LAST",IFERROR(LOOKUP(2,1/($I14:$T14&lt;&gt;""),$I14:$T14),""),"")))</f>
        <v/>
      </c>
      <c r="V14" s="23">
        <f>IF($G14="","",IF($U14="","",IF($G14=0,IF($U14&lt;=0,1,0),IF($E14="↓",IFERROR($G14/$U14,0),IFERROR($U14/$G14,0)))))</f>
        <v/>
      </c>
      <c r="W14" s="17">
        <f>IF($V14="","—",IF($V14&gt;=1,"✅ محقق",IF($V14&gt;=0.85,"🟡 قريب","🔴 تحت الهدف")))</f>
        <v/>
      </c>
      <c r="X14" s="54" t="inlineStr">
        <is>
          <t>الابتكار</t>
        </is>
      </c>
      <c r="Y14" s="22" t="inlineStr">
        <is>
          <t>إطلاق مشاريع جديدة</t>
        </is>
      </c>
      <c r="Z14" s="55" t="n"/>
      <c r="AA14" s="21" t="inlineStr">
        <is>
          <t>🟣 لاحق</t>
        </is>
      </c>
      <c r="AB14" s="56" t="n">
        <v>0.0625</v>
      </c>
      <c r="AC14" s="23">
        <f>IF($V14="","",$AB14*MIN($V14,1))</f>
        <v/>
      </c>
    </row>
    <row r="15" ht="26" customHeight="1">
      <c r="A15" s="17" t="n">
        <v>12</v>
      </c>
      <c r="B15" s="22" t="inlineStr">
        <is>
          <t>إدارة الأملاك</t>
        </is>
      </c>
      <c r="C15" s="22" t="inlineStr">
        <is>
          <t>نسبة تجديد العقود</t>
        </is>
      </c>
      <c r="D15" s="49" t="inlineStr">
        <is>
          <t>%</t>
        </is>
      </c>
      <c r="E15" s="49" t="inlineStr">
        <is>
          <t>↑</t>
        </is>
      </c>
      <c r="F15" s="49" t="inlineStr">
        <is>
          <t>AVG</t>
        </is>
      </c>
      <c r="G15" s="57" t="n">
        <v>1</v>
      </c>
      <c r="H15" s="51" t="inlineStr">
        <is>
          <t>100%</t>
        </is>
      </c>
      <c r="I15" s="58" t="n"/>
      <c r="J15" s="58" t="n"/>
      <c r="K15" s="58" t="n"/>
      <c r="L15" s="58" t="n"/>
      <c r="M15" s="58" t="n"/>
      <c r="N15" s="58" t="n"/>
      <c r="O15" s="58" t="n"/>
      <c r="P15" s="58" t="n"/>
      <c r="Q15" s="58" t="n"/>
      <c r="R15" s="58" t="n"/>
      <c r="S15" s="58" t="n"/>
      <c r="T15" s="58" t="n"/>
      <c r="U15" s="59">
        <f>IF($F15="SUM",IF(COUNT($I15:$T15)=0,"",SUM($I15:$T15)),IF($F15="AVG",IFERROR(AVERAGE($I15:$T15),""),IF($F15="LAST",IFERROR(LOOKUP(2,1/($I15:$T15&lt;&gt;""),$I15:$T15),""),"")))</f>
        <v/>
      </c>
      <c r="V15" s="23">
        <f>IF($G15="","",IF($U15="","",IF($G15=0,IF($U15&lt;=0,1,0),IF($E15="↓",IFERROR($G15/$U15,0),IFERROR($U15/$G15,0)))))</f>
        <v/>
      </c>
      <c r="W15" s="17">
        <f>IF($V15="","—",IF($V15&gt;=1,"✅ محقق",IF($V15&gt;=0.85,"🟡 قريب","🔴 تحت الهدف")))</f>
        <v/>
      </c>
      <c r="X15" s="54" t="inlineStr">
        <is>
          <t>الاستدامة</t>
        </is>
      </c>
      <c r="Y15" s="22" t="inlineStr">
        <is>
          <t>منظومة التأجير</t>
        </is>
      </c>
      <c r="Z15" s="56" t="n"/>
      <c r="AA15" s="21" t="inlineStr">
        <is>
          <t>🟣 لاحق</t>
        </is>
      </c>
      <c r="AB15" s="56" t="n">
        <v>0.0625</v>
      </c>
      <c r="AC15" s="23">
        <f>IF($V15="","",$AB15*MIN($V15,1))</f>
        <v/>
      </c>
    </row>
    <row r="16" ht="26" customHeight="1">
      <c r="A16" s="17" t="n">
        <v>13</v>
      </c>
      <c r="B16" s="22" t="inlineStr">
        <is>
          <t>تنسيق المشاريع</t>
        </is>
      </c>
      <c r="C16" s="22" t="inlineStr">
        <is>
          <t>متوسط زمن تسليم الوحدة</t>
        </is>
      </c>
      <c r="D16" s="49" t="inlineStr">
        <is>
          <t>يوم</t>
        </is>
      </c>
      <c r="E16" s="49" t="inlineStr">
        <is>
          <t>↓</t>
        </is>
      </c>
      <c r="F16" s="49" t="inlineStr">
        <is>
          <t>AVG</t>
        </is>
      </c>
      <c r="G16" s="63" t="n">
        <v>7</v>
      </c>
      <c r="H16" s="51" t="inlineStr">
        <is>
          <t>≤ 7 أيام</t>
        </is>
      </c>
      <c r="I16" s="64" t="n"/>
      <c r="J16" s="64" t="n"/>
      <c r="K16" s="64" t="n"/>
      <c r="L16" s="64" t="n"/>
      <c r="M16" s="64" t="n"/>
      <c r="N16" s="64" t="n"/>
      <c r="O16" s="64" t="n"/>
      <c r="P16" s="64" t="n"/>
      <c r="Q16" s="64" t="n"/>
      <c r="R16" s="64" t="n"/>
      <c r="S16" s="64" t="n"/>
      <c r="T16" s="64" t="n"/>
      <c r="U16" s="65">
        <f>IF($F16="SUM",IF(COUNT($I16:$T16)=0,"",SUM($I16:$T16)),IF($F16="AVG",IFERROR(AVERAGE($I16:$T16),""),IF($F16="LAST",IFERROR(LOOKUP(2,1/($I16:$T16&lt;&gt;""),$I16:$T16),""),"")))</f>
        <v/>
      </c>
      <c r="V16" s="23">
        <f>IF($G16="","",IF($U16="","",IF($G16=0,IF($U16&lt;=0,1,0),IF($E16="↓",IFERROR($G16/$U16,0),IFERROR($U16/$G16,0)))))</f>
        <v/>
      </c>
      <c r="W16" s="17">
        <f>IF($V16="","—",IF($V16&gt;=1,"✅ محقق",IF($V16&gt;=0.85,"🟡 قريب","🔴 تحت الهدف")))</f>
        <v/>
      </c>
      <c r="X16" s="54" t="inlineStr">
        <is>
          <t>الاستدامة</t>
        </is>
      </c>
      <c r="Y16" s="22" t="inlineStr">
        <is>
          <t>جودة التشغيل</t>
        </is>
      </c>
      <c r="Z16" s="66" t="n"/>
      <c r="AA16" s="21" t="inlineStr">
        <is>
          <t>🟣 لاحق</t>
        </is>
      </c>
      <c r="AB16" s="56" t="n">
        <v>0.0625</v>
      </c>
      <c r="AC16" s="23">
        <f>IF($V16="","",$AB16*MIN($V16,1))</f>
        <v/>
      </c>
    </row>
    <row r="17" ht="26" customHeight="1">
      <c r="A17" s="17" t="n">
        <v>14</v>
      </c>
      <c r="B17" s="22" t="inlineStr">
        <is>
          <t>تنسيق المشاريع</t>
        </is>
      </c>
      <c r="C17" s="22" t="inlineStr">
        <is>
          <t>نسبة إغلاق الطلبات خلال 3 أسابيع</t>
        </is>
      </c>
      <c r="D17" s="49" t="inlineStr">
        <is>
          <t>%</t>
        </is>
      </c>
      <c r="E17" s="49" t="inlineStr">
        <is>
          <t>↑</t>
        </is>
      </c>
      <c r="F17" s="49" t="inlineStr">
        <is>
          <t>AVG</t>
        </is>
      </c>
      <c r="G17" s="57" t="n">
        <v>0.9</v>
      </c>
      <c r="H17" s="51" t="inlineStr">
        <is>
          <t>&gt; 90%</t>
        </is>
      </c>
      <c r="I17" s="58" t="n"/>
      <c r="J17" s="58" t="n"/>
      <c r="K17" s="58" t="n"/>
      <c r="L17" s="58" t="n"/>
      <c r="M17" s="58" t="n"/>
      <c r="N17" s="58" t="n"/>
      <c r="O17" s="58" t="n"/>
      <c r="P17" s="58" t="n"/>
      <c r="Q17" s="58" t="n"/>
      <c r="R17" s="58" t="n"/>
      <c r="S17" s="58" t="n"/>
      <c r="T17" s="58" t="n"/>
      <c r="U17" s="59">
        <f>IF($F17="SUM",IF(COUNT($I17:$T17)=0,"",SUM($I17:$T17)),IF($F17="AVG",IFERROR(AVERAGE($I17:$T17),""),IF($F17="LAST",IFERROR(LOOKUP(2,1/($I17:$T17&lt;&gt;""),$I17:$T17),""),"")))</f>
        <v/>
      </c>
      <c r="V17" s="23">
        <f>IF($G17="","",IF($U17="","",IF($G17=0,IF($U17&lt;=0,1,0),IF($E17="↓",IFERROR($G17/$U17,0),IFERROR($U17/$G17,0)))))</f>
        <v/>
      </c>
      <c r="W17" s="17">
        <f>IF($V17="","—",IF($V17&gt;=1,"✅ محقق",IF($V17&gt;=0.85,"🟡 قريب","🔴 تحت الهدف")))</f>
        <v/>
      </c>
      <c r="X17" s="54" t="inlineStr">
        <is>
          <t>الاستدامة</t>
        </is>
      </c>
      <c r="Y17" s="22" t="inlineStr">
        <is>
          <t>جودة التشغيل</t>
        </is>
      </c>
      <c r="Z17" s="56" t="n"/>
      <c r="AA17" s="21" t="inlineStr">
        <is>
          <t>🔵 قائد</t>
        </is>
      </c>
      <c r="AB17" s="56" t="n">
        <v>0.0625</v>
      </c>
      <c r="AC17" s="23">
        <f>IF($V17="","",$AB17*MIN($V17,1))</f>
        <v/>
      </c>
    </row>
    <row r="18" ht="26" customHeight="1">
      <c r="A18" s="17" t="n">
        <v>15</v>
      </c>
      <c r="B18" s="22" t="inlineStr">
        <is>
          <t>الجودة والاستدامة</t>
        </is>
      </c>
      <c r="C18" s="22" t="inlineStr">
        <is>
          <t>استدامة المستأجرين (لم يُنهَ مبكراً)</t>
        </is>
      </c>
      <c r="D18" s="49" t="inlineStr">
        <is>
          <t>%</t>
        </is>
      </c>
      <c r="E18" s="49" t="inlineStr">
        <is>
          <t>↑</t>
        </is>
      </c>
      <c r="F18" s="49" t="inlineStr">
        <is>
          <t>AVG</t>
        </is>
      </c>
      <c r="G18" s="57" t="n">
        <v>0.8</v>
      </c>
      <c r="H18" s="51" t="inlineStr">
        <is>
          <t>≥ 80%</t>
        </is>
      </c>
      <c r="I18" s="58" t="n"/>
      <c r="J18" s="58" t="n"/>
      <c r="K18" s="58" t="n"/>
      <c r="L18" s="58" t="n"/>
      <c r="M18" s="58" t="n"/>
      <c r="N18" s="58" t="n"/>
      <c r="O18" s="58" t="n"/>
      <c r="P18" s="58" t="n"/>
      <c r="Q18" s="58" t="n"/>
      <c r="R18" s="58" t="n"/>
      <c r="S18" s="58" t="n"/>
      <c r="T18" s="58" t="n"/>
      <c r="U18" s="59">
        <f>IF($F18="SUM",IF(COUNT($I18:$T18)=0,"",SUM($I18:$T18)),IF($F18="AVG",IFERROR(AVERAGE($I18:$T18),""),IF($F18="LAST",IFERROR(LOOKUP(2,1/($I18:$T18&lt;&gt;""),$I18:$T18),""),"")))</f>
        <v/>
      </c>
      <c r="V18" s="23">
        <f>IF($G18="","",IF($U18="","",IF($G18=0,IF($U18&lt;=0,1,0),IF($E18="↓",IFERROR($G18/$U18,0),IFERROR($U18/$G18,0)))))</f>
        <v/>
      </c>
      <c r="W18" s="17">
        <f>IF($V18="","—",IF($V18&gt;=1,"✅ محقق",IF($V18&gt;=0.85,"🟡 قريب","🔴 تحت الهدف")))</f>
        <v/>
      </c>
      <c r="X18" s="54" t="inlineStr">
        <is>
          <t>الاستدامة</t>
        </is>
      </c>
      <c r="Y18" s="22" t="inlineStr">
        <is>
          <t>تعزيز تجربة العملاء</t>
        </is>
      </c>
      <c r="Z18" s="56" t="n"/>
      <c r="AA18" s="21" t="inlineStr">
        <is>
          <t>🟣 لاحق</t>
        </is>
      </c>
      <c r="AB18" s="56" t="n">
        <v>0.0625</v>
      </c>
      <c r="AC18" s="23">
        <f>IF($V18="","",$AB18*MIN($V18,1))</f>
        <v/>
      </c>
    </row>
    <row r="19" ht="26" customHeight="1">
      <c r="A19" s="17" t="n">
        <v>16</v>
      </c>
      <c r="B19" s="22" t="inlineStr">
        <is>
          <t>الجودة والاستدامة</t>
        </is>
      </c>
      <c r="C19" s="22" t="inlineStr">
        <is>
          <t>معدل رضا المستأجرين (استبيان ربعي)</t>
        </is>
      </c>
      <c r="D19" s="49" t="inlineStr">
        <is>
          <t>%</t>
        </is>
      </c>
      <c r="E19" s="49" t="inlineStr">
        <is>
          <t>↑</t>
        </is>
      </c>
      <c r="F19" s="49" t="inlineStr">
        <is>
          <t>AVG</t>
        </is>
      </c>
      <c r="G19" s="57" t="n">
        <v>0.9</v>
      </c>
      <c r="H19" s="51" t="inlineStr">
        <is>
          <t>≥ 90%</t>
        </is>
      </c>
      <c r="I19" s="58" t="n"/>
      <c r="J19" s="58" t="n"/>
      <c r="K19" s="58" t="n"/>
      <c r="L19" s="58" t="n"/>
      <c r="M19" s="58" t="n"/>
      <c r="N19" s="58" t="n"/>
      <c r="O19" s="58" t="n"/>
      <c r="P19" s="58" t="n"/>
      <c r="Q19" s="58" t="n"/>
      <c r="R19" s="58" t="n"/>
      <c r="S19" s="58" t="n"/>
      <c r="T19" s="58" t="n"/>
      <c r="U19" s="59">
        <f>IF($F19="SUM",IF(COUNT($I19:$T19)=0,"",SUM($I19:$T19)),IF($F19="AVG",IFERROR(AVERAGE($I19:$T19),""),IF($F19="LAST",IFERROR(LOOKUP(2,1/($I19:$T19&lt;&gt;""),$I19:$T19),""),"")))</f>
        <v/>
      </c>
      <c r="V19" s="23">
        <f>IF($G19="","",IF($U19="","",IF($G19=0,IF($U19&lt;=0,1,0),IF($E19="↓",IFERROR($G19/$U19,0),IFERROR($U19/$G19,0)))))</f>
        <v/>
      </c>
      <c r="W19" s="17">
        <f>IF($V19="","—",IF($V19&gt;=1,"✅ محقق",IF($V19&gt;=0.85,"🟡 قريب","🔴 تحت الهدف")))</f>
        <v/>
      </c>
      <c r="X19" s="54" t="inlineStr">
        <is>
          <t>الاستدامة</t>
        </is>
      </c>
      <c r="Y19" s="22" t="inlineStr">
        <is>
          <t>تعزيز تجربة العملاء</t>
        </is>
      </c>
      <c r="Z19" s="56" t="n"/>
      <c r="AA19" s="21" t="inlineStr">
        <is>
          <t>🟣 لاحق</t>
        </is>
      </c>
      <c r="AB19" s="56" t="n">
        <v>0.0625</v>
      </c>
      <c r="AC19" s="23">
        <f>IF($V19="","",$AB19*MIN($V19,1))</f>
        <v/>
      </c>
    </row>
    <row r="20">
      <c r="A20" s="67" t="inlineStr"/>
      <c r="B20" s="68" t="inlineStr">
        <is>
          <t>الإجمالي الموزون للإدارة</t>
        </is>
      </c>
      <c r="AB20" s="69">
        <f>SUM(AB4:AB19)</f>
        <v/>
      </c>
      <c r="AC20" s="70">
        <f>SUM(AC4:AC19)</f>
        <v/>
      </c>
    </row>
  </sheetData>
  <sheetProtection selectLockedCells="1" selectUnlockedCells="1" sheet="1" objects="0" insertRows="1" insertHyperlinks="1" autoFilter="1" scenarios="0" formatColumns="1" deleteColumns="1" insertColumns="1" pivotTables="1" deleteRows="1" formatCells="0" formatRows="1" sort="1" password="EFFF"/>
  <mergeCells count="3">
    <mergeCell ref="A2:AC2"/>
    <mergeCell ref="A1:AC1"/>
    <mergeCell ref="B20:AA20"/>
  </mergeCells>
  <dataValidations count="1">
    <dataValidation sqref="I4 I5 I6 I7 I8 I9 I10 I11 I12 I13 I14 I15 I16 I17 I18 I19 J4 J5 J6 J7 J8 J9 J10 J11 J12 J13 J14 J15 J16 J17 J18 J19 K4 K5 K6 K7 K8 K9 K10 K11 K12 K13 K14 K15 K16 K17 K18 K19 L4 L5 L6 L7 L8 L9 L10 L11 L12 L13 L14 L15 L16 L17 L18 L19 M4 M5 M6 M7 M8 M9 M10 M11 M12 M13 M14 M15 M16 M17 M18 M19 N4 N5 N6 N7 N8 N9 N10 N11 N12 N13 N14 N15 N16 N17 N18 N19 O4 O5 O6 O7 O8 O9 O10 O11 O12 O13 O14 O15 O16 O17 O18 O19 P4 P5 P6 P7 P8 P9 P10 P11 P12 P13 P14 P15 P16 P17 P18 P19 Q4 Q5 Q6 Q7 Q8 Q9 Q10 Q11 Q12 Q13 Q14 Q15 Q16 Q17 Q18 Q19 R4 R5 R6 R7 R8 R9 R10 R11 R12 R13 R14 R15 R16 R17 R18 R19 S4 S5 S6 S7 S8 S9 S10 S11 S12 S13 S14 S15 S16 S17 S18 S19 T4 T5 T6 T7 T8 T9 T10 T11 T12 T13 T14 T15 T16 T17 T18 T19 Z4 Z5 Z6 Z7 Z8 Z9 Z10 Z11 Z12 Z13 Z14 Z15 Z16 Z17 Z18 Z19" showDropDown="0" showInputMessage="0" showErrorMessage="0" allowBlank="1" errorTitle="قيمة غير صحيحة" error="أدخل رقماً موجباً فقط" type="decimal" operator="greaterThanOrEqual">
      <formula1>0</formula1>
    </dataValidation>
  </dataValidation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AC12"/>
  <sheetViews>
    <sheetView showGridLines="0" rightToLeft="1" workbookViewId="0">
      <pane xSplit="8" ySplit="3" topLeftCell="I4" activePane="bottomRight" state="frozen"/>
      <selection pane="topRight"/>
      <selection pane="bottomLeft"/>
      <selection pane="bottomRight" activeCell="A1" sqref="A1"/>
    </sheetView>
  </sheetViews>
  <sheetFormatPr baseColWidth="8" defaultRowHeight="15"/>
  <cols>
    <col width="4" customWidth="1" min="1" max="1"/>
    <col width="20" customWidth="1" min="2" max="2"/>
    <col width="40" customWidth="1" min="3" max="3"/>
    <col width="10" customWidth="1" min="4" max="4"/>
    <col width="8" customWidth="1" min="5" max="5"/>
    <col width="9" customWidth="1" min="6" max="6"/>
    <col width="12" customWidth="1" min="7" max="7"/>
    <col width="16"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12" customWidth="1" min="21" max="21"/>
    <col width="12" customWidth="1" min="22" max="22"/>
    <col width="14" customWidth="1" min="23" max="23"/>
    <col width="16" customWidth="1" min="24" max="24"/>
    <col width="22" customWidth="1" min="25" max="25"/>
    <col width="12" customWidth="1" min="26" max="26"/>
    <col width="10" customWidth="1" min="27" max="27"/>
    <col width="9" customWidth="1" min="28" max="28"/>
    <col width="14" customWidth="1" min="29" max="29"/>
  </cols>
  <sheetData>
    <row r="1" ht="30" customHeight="1">
      <c r="A1" s="24" t="inlineStr">
        <is>
          <t>إدارة التقنية الرقمية · مؤشرات الأداء 2026  (8 مؤشرات) — تانكي والتحول التقني</t>
        </is>
      </c>
    </row>
    <row r="2">
      <c r="A2" s="48" t="inlineStr">
        <is>
          <t>🟩 الأخضر = إدخال (الأرقام الشهرية + خط الأساس + الوزن)  ·  🔵 قائد/🟣 لاحق  ·  الدرجة الموزونة والحالة تلقائية</t>
        </is>
      </c>
    </row>
    <row r="3" ht="34" customHeight="1">
      <c r="A3" s="26" t="inlineStr">
        <is>
          <t>#</t>
        </is>
      </c>
      <c r="B3" s="26" t="inlineStr">
        <is>
          <t>المحور</t>
        </is>
      </c>
      <c r="C3" s="26" t="inlineStr">
        <is>
          <t>المؤشر</t>
        </is>
      </c>
      <c r="D3" s="26" t="inlineStr">
        <is>
          <t>الوحدة</t>
        </is>
      </c>
      <c r="E3" s="26" t="inlineStr">
        <is>
          <t>القطبية</t>
        </is>
      </c>
      <c r="F3" s="26" t="inlineStr">
        <is>
          <t>التجميع</t>
        </is>
      </c>
      <c r="G3" s="26" t="inlineStr">
        <is>
          <t>المستهدف</t>
        </is>
      </c>
      <c r="H3" s="26" t="inlineStr">
        <is>
          <t>نص المستهدف</t>
        </is>
      </c>
      <c r="I3" s="26" t="inlineStr">
        <is>
          <t>يناير</t>
        </is>
      </c>
      <c r="J3" s="26" t="inlineStr">
        <is>
          <t>فبراير</t>
        </is>
      </c>
      <c r="K3" s="26" t="inlineStr">
        <is>
          <t>مارس</t>
        </is>
      </c>
      <c r="L3" s="26" t="inlineStr">
        <is>
          <t>أبريل</t>
        </is>
      </c>
      <c r="M3" s="26" t="inlineStr">
        <is>
          <t>مايو</t>
        </is>
      </c>
      <c r="N3" s="26" t="inlineStr">
        <is>
          <t>يونيو</t>
        </is>
      </c>
      <c r="O3" s="26" t="inlineStr">
        <is>
          <t>يوليو</t>
        </is>
      </c>
      <c r="P3" s="26" t="inlineStr">
        <is>
          <t>أغسطس</t>
        </is>
      </c>
      <c r="Q3" s="26" t="inlineStr">
        <is>
          <t>سبتمبر</t>
        </is>
      </c>
      <c r="R3" s="26" t="inlineStr">
        <is>
          <t>أكتوبر</t>
        </is>
      </c>
      <c r="S3" s="26" t="inlineStr">
        <is>
          <t>نوفمبر</t>
        </is>
      </c>
      <c r="T3" s="26" t="inlineStr">
        <is>
          <t>ديسمبر</t>
        </is>
      </c>
      <c r="U3" s="26" t="inlineStr">
        <is>
          <t>YTD</t>
        </is>
      </c>
      <c r="V3" s="26" t="inlineStr">
        <is>
          <t>نسبة التحقيق</t>
        </is>
      </c>
      <c r="W3" s="26" t="inlineStr">
        <is>
          <t>الحالة</t>
        </is>
      </c>
      <c r="X3" s="26" t="inlineStr">
        <is>
          <t>الركيزة (5س)</t>
        </is>
      </c>
      <c r="Y3" s="26" t="inlineStr">
        <is>
          <t>المشروع (الخارطة)</t>
        </is>
      </c>
      <c r="Z3" s="26" t="inlineStr">
        <is>
          <t>خط الأساس 2025</t>
        </is>
      </c>
      <c r="AA3" s="26" t="inlineStr">
        <is>
          <t>النوع</t>
        </is>
      </c>
      <c r="AB3" s="26" t="inlineStr">
        <is>
          <t>الوزن %</t>
        </is>
      </c>
      <c r="AC3" s="26" t="inlineStr">
        <is>
          <t>الدرجة الموزونة</t>
        </is>
      </c>
    </row>
    <row r="4" ht="26" customHeight="1">
      <c r="A4" s="17" t="n">
        <v>1</v>
      </c>
      <c r="B4" s="22" t="inlineStr">
        <is>
          <t>منتج تانكي</t>
        </is>
      </c>
      <c r="C4" s="22" t="inlineStr">
        <is>
          <t>عدد مستخدمي تطبيق «تانكي» النشطين شهرياً (MAU)</t>
        </is>
      </c>
      <c r="D4" s="49" t="inlineStr">
        <is>
          <t>مستخدم</t>
        </is>
      </c>
      <c r="E4" s="49" t="inlineStr">
        <is>
          <t>↑</t>
        </is>
      </c>
      <c r="F4" s="49" t="inlineStr">
        <is>
          <t>LAST</t>
        </is>
      </c>
      <c r="G4" s="49" t="inlineStr"/>
      <c r="H4" s="51" t="inlineStr">
        <is>
          <t>يُحدد لاحقاً</t>
        </is>
      </c>
      <c r="I4" s="52" t="n"/>
      <c r="J4" s="52" t="n"/>
      <c r="K4" s="52" t="n"/>
      <c r="L4" s="52" t="n"/>
      <c r="M4" s="52" t="n"/>
      <c r="N4" s="52" t="n"/>
      <c r="O4" s="52" t="n"/>
      <c r="P4" s="52" t="n"/>
      <c r="Q4" s="52" t="n"/>
      <c r="R4" s="52" t="n"/>
      <c r="S4" s="52" t="n"/>
      <c r="T4" s="52" t="n"/>
      <c r="U4" s="53">
        <f>IF($F4="SUM",IF(COUNT($I4:$T4)=0,"",SUM($I4:$T4)),IF($F4="AVG",IFERROR(AVERAGE($I4:$T4),""),IF($F4="LAST",IFERROR(LOOKUP(2,1/($I4:$T4&lt;&gt;""),$I4:$T4),""),"")))</f>
        <v/>
      </c>
      <c r="V4" s="23">
        <f>IF($G4="","",IF($U4="","",IF($G4=0,IF($U4&lt;=0,1,0),IF($E4="↓",IFERROR($G4/$U4,0),IFERROR($U4/$G4,0)))))</f>
        <v/>
      </c>
      <c r="W4" s="17">
        <f>IF($V4="","—",IF($V4&gt;=1,"✅ محقق",IF($V4&gt;=0.85,"🟡 قريب","🔴 تحت الهدف")))</f>
        <v/>
      </c>
      <c r="X4" s="54" t="inlineStr">
        <is>
          <t>الابتكار</t>
        </is>
      </c>
      <c r="Y4" s="22" t="inlineStr">
        <is>
          <t>تطبيق «تانكي»</t>
        </is>
      </c>
      <c r="Z4" s="55" t="n"/>
      <c r="AA4" s="21" t="inlineStr">
        <is>
          <t>🔵 قائد</t>
        </is>
      </c>
      <c r="AB4" s="56" t="n">
        <v>0.125</v>
      </c>
      <c r="AC4" s="23">
        <f>IF($V4="","",$AB4*MIN($V4,1))</f>
        <v/>
      </c>
    </row>
    <row r="5" ht="26" customHeight="1">
      <c r="A5" s="17" t="n">
        <v>2</v>
      </c>
      <c r="B5" s="22" t="inlineStr">
        <is>
          <t>منتج تانكي</t>
        </is>
      </c>
      <c r="C5" s="22" t="inlineStr">
        <is>
          <t>نمو تنزيلات تطبيق تانكي</t>
        </is>
      </c>
      <c r="D5" s="49" t="inlineStr">
        <is>
          <t>%</t>
        </is>
      </c>
      <c r="E5" s="49" t="inlineStr">
        <is>
          <t>↑</t>
        </is>
      </c>
      <c r="F5" s="49" t="inlineStr">
        <is>
          <t>AVG</t>
        </is>
      </c>
      <c r="G5" s="49" t="inlineStr"/>
      <c r="H5" s="51" t="inlineStr">
        <is>
          <t>يُحدد لاحقاً</t>
        </is>
      </c>
      <c r="I5" s="58" t="n"/>
      <c r="J5" s="58" t="n"/>
      <c r="K5" s="58" t="n"/>
      <c r="L5" s="58" t="n"/>
      <c r="M5" s="58" t="n"/>
      <c r="N5" s="58" t="n"/>
      <c r="O5" s="58" t="n"/>
      <c r="P5" s="58" t="n"/>
      <c r="Q5" s="58" t="n"/>
      <c r="R5" s="58" t="n"/>
      <c r="S5" s="58" t="n"/>
      <c r="T5" s="58" t="n"/>
      <c r="U5" s="59">
        <f>IF($F5="SUM",IF(COUNT($I5:$T5)=0,"",SUM($I5:$T5)),IF($F5="AVG",IFERROR(AVERAGE($I5:$T5),""),IF($F5="LAST",IFERROR(LOOKUP(2,1/($I5:$T5&lt;&gt;""),$I5:$T5),""),"")))</f>
        <v/>
      </c>
      <c r="V5" s="23">
        <f>IF($G5="","",IF($U5="","",IF($G5=0,IF($U5&lt;=0,1,0),IF($E5="↓",IFERROR($G5/$U5,0),IFERROR($U5/$G5,0)))))</f>
        <v/>
      </c>
      <c r="W5" s="17">
        <f>IF($V5="","—",IF($V5&gt;=1,"✅ محقق",IF($V5&gt;=0.85,"🟡 قريب","🔴 تحت الهدف")))</f>
        <v/>
      </c>
      <c r="X5" s="54" t="inlineStr">
        <is>
          <t>الابتكار</t>
        </is>
      </c>
      <c r="Y5" s="22" t="inlineStr">
        <is>
          <t>تطبيق «تانكي»</t>
        </is>
      </c>
      <c r="Z5" s="56" t="n"/>
      <c r="AA5" s="21" t="inlineStr">
        <is>
          <t>🔵 قائد</t>
        </is>
      </c>
      <c r="AB5" s="56" t="n">
        <v>0.125</v>
      </c>
      <c r="AC5" s="23">
        <f>IF($V5="","",$AB5*MIN($V5,1))</f>
        <v/>
      </c>
    </row>
    <row r="6" ht="26" customHeight="1">
      <c r="A6" s="17" t="n">
        <v>3</v>
      </c>
      <c r="B6" s="22" t="inlineStr">
        <is>
          <t>منتج تانكي</t>
        </is>
      </c>
      <c r="C6" s="22" t="inlineStr">
        <is>
          <t>نسبة المعاملات الرقمية عبر تانكي</t>
        </is>
      </c>
      <c r="D6" s="49" t="inlineStr">
        <is>
          <t>%</t>
        </is>
      </c>
      <c r="E6" s="49" t="inlineStr">
        <is>
          <t>↑</t>
        </is>
      </c>
      <c r="F6" s="49" t="inlineStr">
        <is>
          <t>AVG</t>
        </is>
      </c>
      <c r="G6" s="49" t="inlineStr"/>
      <c r="H6" s="51" t="inlineStr">
        <is>
          <t>يُحدد لاحقاً</t>
        </is>
      </c>
      <c r="I6" s="58" t="n"/>
      <c r="J6" s="58" t="n"/>
      <c r="K6" s="58" t="n"/>
      <c r="L6" s="58" t="n"/>
      <c r="M6" s="58" t="n"/>
      <c r="N6" s="58" t="n"/>
      <c r="O6" s="58" t="n"/>
      <c r="P6" s="58" t="n"/>
      <c r="Q6" s="58" t="n"/>
      <c r="R6" s="58" t="n"/>
      <c r="S6" s="58" t="n"/>
      <c r="T6" s="58" t="n"/>
      <c r="U6" s="59">
        <f>IF($F6="SUM",IF(COUNT($I6:$T6)=0,"",SUM($I6:$T6)),IF($F6="AVG",IFERROR(AVERAGE($I6:$T6),""),IF($F6="LAST",IFERROR(LOOKUP(2,1/($I6:$T6&lt;&gt;""),$I6:$T6),""),"")))</f>
        <v/>
      </c>
      <c r="V6" s="23">
        <f>IF($G6="","",IF($U6="","",IF($G6=0,IF($U6&lt;=0,1,0),IF($E6="↓",IFERROR($G6/$U6,0),IFERROR($U6/$G6,0)))))</f>
        <v/>
      </c>
      <c r="W6" s="17">
        <f>IF($V6="","—",IF($V6&gt;=1,"✅ محقق",IF($V6&gt;=0.85,"🟡 قريب","🔴 تحت الهدف")))</f>
        <v/>
      </c>
      <c r="X6" s="54" t="inlineStr">
        <is>
          <t>الابتكار</t>
        </is>
      </c>
      <c r="Y6" s="22" t="inlineStr">
        <is>
          <t>تطبيق «تانكي»</t>
        </is>
      </c>
      <c r="Z6" s="56" t="n"/>
      <c r="AA6" s="21" t="inlineStr">
        <is>
          <t>🟣 لاحق</t>
        </is>
      </c>
      <c r="AB6" s="56" t="n">
        <v>0.125</v>
      </c>
      <c r="AC6" s="23">
        <f>IF($V6="","",$AB6*MIN($V6,1))</f>
        <v/>
      </c>
    </row>
    <row r="7" ht="26" customHeight="1">
      <c r="A7" s="17" t="n">
        <v>4</v>
      </c>
      <c r="B7" s="22" t="inlineStr">
        <is>
          <t>منتج تانكي</t>
        </is>
      </c>
      <c r="C7" s="22" t="inlineStr">
        <is>
          <t>معدل رضا مستخدمي تطبيق تانكي</t>
        </is>
      </c>
      <c r="D7" s="49" t="inlineStr">
        <is>
          <t>نجمة/5</t>
        </is>
      </c>
      <c r="E7" s="49" t="inlineStr">
        <is>
          <t>↑</t>
        </is>
      </c>
      <c r="F7" s="49" t="inlineStr">
        <is>
          <t>AVG</t>
        </is>
      </c>
      <c r="G7" s="63" t="n">
        <v>4.5</v>
      </c>
      <c r="H7" s="51" t="inlineStr">
        <is>
          <t>≥ 4.5</t>
        </is>
      </c>
      <c r="I7" s="64" t="n"/>
      <c r="J7" s="64" t="n"/>
      <c r="K7" s="64" t="n"/>
      <c r="L7" s="64" t="n"/>
      <c r="M7" s="64" t="n"/>
      <c r="N7" s="64" t="n"/>
      <c r="O7" s="64" t="n"/>
      <c r="P7" s="64" t="n"/>
      <c r="Q7" s="64" t="n"/>
      <c r="R7" s="64" t="n"/>
      <c r="S7" s="64" t="n"/>
      <c r="T7" s="64" t="n"/>
      <c r="U7" s="65">
        <f>IF($F7="SUM",IF(COUNT($I7:$T7)=0,"",SUM($I7:$T7)),IF($F7="AVG",IFERROR(AVERAGE($I7:$T7),""),IF($F7="LAST",IFERROR(LOOKUP(2,1/($I7:$T7&lt;&gt;""),$I7:$T7),""),"")))</f>
        <v/>
      </c>
      <c r="V7" s="23">
        <f>IF($G7="","",IF($U7="","",IF($G7=0,IF($U7&lt;=0,1,0),IF($E7="↓",IFERROR($G7/$U7,0),IFERROR($U7/$G7,0)))))</f>
        <v/>
      </c>
      <c r="W7" s="17">
        <f>IF($V7="","—",IF($V7&gt;=1,"✅ محقق",IF($V7&gt;=0.85,"🟡 قريب","🔴 تحت الهدف")))</f>
        <v/>
      </c>
      <c r="X7" s="54" t="inlineStr">
        <is>
          <t>الابتكار</t>
        </is>
      </c>
      <c r="Y7" s="22" t="inlineStr">
        <is>
          <t>تطبيق «تانكي»</t>
        </is>
      </c>
      <c r="Z7" s="66" t="n"/>
      <c r="AA7" s="21" t="inlineStr">
        <is>
          <t>🟣 لاحق</t>
        </is>
      </c>
      <c r="AB7" s="56" t="n">
        <v>0.125</v>
      </c>
      <c r="AC7" s="23">
        <f>IF($V7="","",$AB7*MIN($V7,1))</f>
        <v/>
      </c>
    </row>
    <row r="8" ht="26" customHeight="1">
      <c r="A8" s="17" t="n">
        <v>5</v>
      </c>
      <c r="B8" s="22" t="inlineStr">
        <is>
          <t>التحول التقني</t>
        </is>
      </c>
      <c r="C8" s="22" t="inlineStr">
        <is>
          <t>نسبة أتمتة العمليات الأساسية (شركة)</t>
        </is>
      </c>
      <c r="D8" s="49" t="inlineStr">
        <is>
          <t>%</t>
        </is>
      </c>
      <c r="E8" s="49" t="inlineStr">
        <is>
          <t>↑</t>
        </is>
      </c>
      <c r="F8" s="49" t="inlineStr">
        <is>
          <t>LAST</t>
        </is>
      </c>
      <c r="G8" s="49" t="inlineStr"/>
      <c r="H8" s="51" t="inlineStr">
        <is>
          <t>يُحدد لاحقاً</t>
        </is>
      </c>
      <c r="I8" s="58" t="n"/>
      <c r="J8" s="58" t="n"/>
      <c r="K8" s="58" t="n"/>
      <c r="L8" s="58" t="n"/>
      <c r="M8" s="58" t="n"/>
      <c r="N8" s="58" t="n"/>
      <c r="O8" s="58" t="n"/>
      <c r="P8" s="58" t="n"/>
      <c r="Q8" s="58" t="n"/>
      <c r="R8" s="58" t="n"/>
      <c r="S8" s="58" t="n"/>
      <c r="T8" s="58" t="n"/>
      <c r="U8" s="59">
        <f>IF($F8="SUM",IF(COUNT($I8:$T8)=0,"",SUM($I8:$T8)),IF($F8="AVG",IFERROR(AVERAGE($I8:$T8),""),IF($F8="LAST",IFERROR(LOOKUP(2,1/($I8:$T8&lt;&gt;""),$I8:$T8),""),"")))</f>
        <v/>
      </c>
      <c r="V8" s="23">
        <f>IF($G8="","",IF($U8="","",IF($G8=0,IF($U8&lt;=0,1,0),IF($E8="↓",IFERROR($G8/$U8,0),IFERROR($U8/$G8,0)))))</f>
        <v/>
      </c>
      <c r="W8" s="17">
        <f>IF($V8="","—",IF($V8&gt;=1,"✅ محقق",IF($V8&gt;=0.85,"🟡 قريب","🔴 تحت الهدف")))</f>
        <v/>
      </c>
      <c r="X8" s="54" t="inlineStr">
        <is>
          <t>الابتكار</t>
        </is>
      </c>
      <c r="Y8" s="22" t="inlineStr">
        <is>
          <t>التحول التقني</t>
        </is>
      </c>
      <c r="Z8" s="56" t="n"/>
      <c r="AA8" s="21" t="inlineStr">
        <is>
          <t>🟣 لاحق</t>
        </is>
      </c>
      <c r="AB8" s="56" t="n">
        <v>0.125</v>
      </c>
      <c r="AC8" s="23">
        <f>IF($V8="","",$AB8*MIN($V8,1))</f>
        <v/>
      </c>
    </row>
    <row r="9" ht="26" customHeight="1">
      <c r="A9" s="17" t="n">
        <v>6</v>
      </c>
      <c r="B9" s="22" t="inlineStr">
        <is>
          <t>التحول التقني</t>
        </is>
      </c>
      <c r="C9" s="22" t="inlineStr">
        <is>
          <t>نسبة جاهزية الأنظمة (Uptime)</t>
        </is>
      </c>
      <c r="D9" s="49" t="inlineStr">
        <is>
          <t>%</t>
        </is>
      </c>
      <c r="E9" s="49" t="inlineStr">
        <is>
          <t>↑</t>
        </is>
      </c>
      <c r="F9" s="49" t="inlineStr">
        <is>
          <t>AVG</t>
        </is>
      </c>
      <c r="G9" s="57" t="n">
        <v>0.995</v>
      </c>
      <c r="H9" s="51" t="inlineStr">
        <is>
          <t>≥ 99.5%</t>
        </is>
      </c>
      <c r="I9" s="58" t="n"/>
      <c r="J9" s="58" t="n"/>
      <c r="K9" s="58" t="n"/>
      <c r="L9" s="58" t="n"/>
      <c r="M9" s="58" t="n"/>
      <c r="N9" s="58" t="n"/>
      <c r="O9" s="58" t="n"/>
      <c r="P9" s="58" t="n"/>
      <c r="Q9" s="58" t="n"/>
      <c r="R9" s="58" t="n"/>
      <c r="S9" s="58" t="n"/>
      <c r="T9" s="58" t="n"/>
      <c r="U9" s="59">
        <f>IF($F9="SUM",IF(COUNT($I9:$T9)=0,"",SUM($I9:$T9)),IF($F9="AVG",IFERROR(AVERAGE($I9:$T9),""),IF($F9="LAST",IFERROR(LOOKUP(2,1/($I9:$T9&lt;&gt;""),$I9:$T9),""),"")))</f>
        <v/>
      </c>
      <c r="V9" s="23">
        <f>IF($G9="","",IF($U9="","",IF($G9=0,IF($U9&lt;=0,1,0),IF($E9="↓",IFERROR($G9/$U9,0),IFERROR($U9/$G9,0)))))</f>
        <v/>
      </c>
      <c r="W9" s="17">
        <f>IF($V9="","—",IF($V9&gt;=1,"✅ محقق",IF($V9&gt;=0.85,"🟡 قريب","🔴 تحت الهدف")))</f>
        <v/>
      </c>
      <c r="X9" s="54" t="inlineStr">
        <is>
          <t>الابتكار</t>
        </is>
      </c>
      <c r="Y9" s="22" t="inlineStr">
        <is>
          <t>التحول التقني</t>
        </is>
      </c>
      <c r="Z9" s="56" t="n"/>
      <c r="AA9" s="21" t="inlineStr">
        <is>
          <t>🟣 لاحق</t>
        </is>
      </c>
      <c r="AB9" s="56" t="n">
        <v>0.125</v>
      </c>
      <c r="AC9" s="23">
        <f>IF($V9="","",$AB9*MIN($V9,1))</f>
        <v/>
      </c>
    </row>
    <row r="10" ht="26" customHeight="1">
      <c r="A10" s="17" t="n">
        <v>7</v>
      </c>
      <c r="B10" s="22" t="inlineStr">
        <is>
          <t>التحول التقني</t>
        </is>
      </c>
      <c r="C10" s="22" t="inlineStr">
        <is>
          <t>متوسط زمن حل أعطال الأنظمة</t>
        </is>
      </c>
      <c r="D10" s="49" t="inlineStr">
        <is>
          <t>ساعة</t>
        </is>
      </c>
      <c r="E10" s="49" t="inlineStr">
        <is>
          <t>↓</t>
        </is>
      </c>
      <c r="F10" s="49" t="inlineStr">
        <is>
          <t>AVG</t>
        </is>
      </c>
      <c r="G10" s="63" t="n">
        <v>4</v>
      </c>
      <c r="H10" s="51" t="inlineStr">
        <is>
          <t>≤ 4 ساعات</t>
        </is>
      </c>
      <c r="I10" s="64" t="n"/>
      <c r="J10" s="64" t="n"/>
      <c r="K10" s="64" t="n"/>
      <c r="L10" s="64" t="n"/>
      <c r="M10" s="64" t="n"/>
      <c r="N10" s="64" t="n"/>
      <c r="O10" s="64" t="n"/>
      <c r="P10" s="64" t="n"/>
      <c r="Q10" s="64" t="n"/>
      <c r="R10" s="64" t="n"/>
      <c r="S10" s="64" t="n"/>
      <c r="T10" s="64" t="n"/>
      <c r="U10" s="65">
        <f>IF($F10="SUM",IF(COUNT($I10:$T10)=0,"",SUM($I10:$T10)),IF($F10="AVG",IFERROR(AVERAGE($I10:$T10),""),IF($F10="LAST",IFERROR(LOOKUP(2,1/($I10:$T10&lt;&gt;""),$I10:$T10),""),"")))</f>
        <v/>
      </c>
      <c r="V10" s="23">
        <f>IF($G10="","",IF($U10="","",IF($G10=0,IF($U10&lt;=0,1,0),IF($E10="↓",IFERROR($G10/$U10,0),IFERROR($U10/$G10,0)))))</f>
        <v/>
      </c>
      <c r="W10" s="17">
        <f>IF($V10="","—",IF($V10&gt;=1,"✅ محقق",IF($V10&gt;=0.85,"🟡 قريب","🔴 تحت الهدف")))</f>
        <v/>
      </c>
      <c r="X10" s="54" t="inlineStr">
        <is>
          <t>الابتكار</t>
        </is>
      </c>
      <c r="Y10" s="22" t="inlineStr">
        <is>
          <t>التحول التقني</t>
        </is>
      </c>
      <c r="Z10" s="66" t="n"/>
      <c r="AA10" s="21" t="inlineStr">
        <is>
          <t>🟣 لاحق</t>
        </is>
      </c>
      <c r="AB10" s="56" t="n">
        <v>0.125</v>
      </c>
      <c r="AC10" s="23">
        <f>IF($V10="","",$AB10*MIN($V10,1))</f>
        <v/>
      </c>
    </row>
    <row r="11" ht="26" customHeight="1">
      <c r="A11" s="17" t="n">
        <v>8</v>
      </c>
      <c r="B11" s="22" t="inlineStr">
        <is>
          <t>التحول التقني</t>
        </is>
      </c>
      <c r="C11" s="22" t="inlineStr">
        <is>
          <t>نسبة المشاريع التقنية المنجزة في الوقت</t>
        </is>
      </c>
      <c r="D11" s="49" t="inlineStr">
        <is>
          <t>%</t>
        </is>
      </c>
      <c r="E11" s="49" t="inlineStr">
        <is>
          <t>↑</t>
        </is>
      </c>
      <c r="F11" s="49" t="inlineStr">
        <is>
          <t>AVG</t>
        </is>
      </c>
      <c r="G11" s="57" t="n">
        <v>0.9</v>
      </c>
      <c r="H11" s="51" t="inlineStr">
        <is>
          <t>≥ 90%</t>
        </is>
      </c>
      <c r="I11" s="58" t="n"/>
      <c r="J11" s="58" t="n"/>
      <c r="K11" s="58" t="n"/>
      <c r="L11" s="58" t="n"/>
      <c r="M11" s="58" t="n"/>
      <c r="N11" s="58" t="n"/>
      <c r="O11" s="58" t="n"/>
      <c r="P11" s="58" t="n"/>
      <c r="Q11" s="58" t="n"/>
      <c r="R11" s="58" t="n"/>
      <c r="S11" s="58" t="n"/>
      <c r="T11" s="58" t="n"/>
      <c r="U11" s="59">
        <f>IF($F11="SUM",IF(COUNT($I11:$T11)=0,"",SUM($I11:$T11)),IF($F11="AVG",IFERROR(AVERAGE($I11:$T11),""),IF($F11="LAST",IFERROR(LOOKUP(2,1/($I11:$T11&lt;&gt;""),$I11:$T11),""),"")))</f>
        <v/>
      </c>
      <c r="V11" s="23">
        <f>IF($G11="","",IF($U11="","",IF($G11=0,IF($U11&lt;=0,1,0),IF($E11="↓",IFERROR($G11/$U11,0),IFERROR($U11/$G11,0)))))</f>
        <v/>
      </c>
      <c r="W11" s="17">
        <f>IF($V11="","—",IF($V11&gt;=1,"✅ محقق",IF($V11&gt;=0.85,"🟡 قريب","🔴 تحت الهدف")))</f>
        <v/>
      </c>
      <c r="X11" s="54" t="inlineStr">
        <is>
          <t>الابتكار</t>
        </is>
      </c>
      <c r="Y11" s="22" t="inlineStr">
        <is>
          <t>التحول التقني</t>
        </is>
      </c>
      <c r="Z11" s="56" t="n"/>
      <c r="AA11" s="21" t="inlineStr">
        <is>
          <t>🟣 لاحق</t>
        </is>
      </c>
      <c r="AB11" s="56" t="n">
        <v>0.125</v>
      </c>
      <c r="AC11" s="23">
        <f>IF($V11="","",$AB11*MIN($V11,1))</f>
        <v/>
      </c>
    </row>
    <row r="12">
      <c r="A12" s="67" t="inlineStr"/>
      <c r="B12" s="68" t="inlineStr">
        <is>
          <t>الإجمالي الموزون للإدارة</t>
        </is>
      </c>
      <c r="AB12" s="69">
        <f>SUM(AB4:AB11)</f>
        <v/>
      </c>
      <c r="AC12" s="70">
        <f>SUM(AC4:AC11)</f>
        <v/>
      </c>
    </row>
  </sheetData>
  <sheetProtection selectLockedCells="1" selectUnlockedCells="1" sheet="1" objects="0" insertRows="1" insertHyperlinks="1" autoFilter="1" scenarios="0" formatColumns="1" deleteColumns="1" insertColumns="1" pivotTables="1" deleteRows="1" formatCells="0" formatRows="1" sort="1" password="EFFF"/>
  <mergeCells count="3">
    <mergeCell ref="B12:AA12"/>
    <mergeCell ref="A2:AC2"/>
    <mergeCell ref="A1:AC1"/>
  </mergeCells>
  <dataValidations count="1">
    <dataValidation sqref="I4 I5 I6 I7 I8 I9 I10 I11 J4 J5 J6 J7 J8 J9 J10 J11 K4 K5 K6 K7 K8 K9 K10 K11 L4 L5 L6 L7 L8 L9 L10 L11 M4 M5 M6 M7 M8 M9 M10 M11 N4 N5 N6 N7 N8 N9 N10 N11 O4 O5 O6 O7 O8 O9 O10 O11 P4 P5 P6 P7 P8 P9 P10 P11 Q4 Q5 Q6 Q7 Q8 Q9 Q10 Q11 R4 R5 R6 R7 R8 R9 R10 R11 S4 S5 S6 S7 S8 S9 S10 S11 T4 T5 T6 T7 T8 T9 T10 T11 Z4 Z5 Z6 Z7 Z8 Z9 Z10 Z11" showDropDown="0" showInputMessage="0" showErrorMessage="0" allowBlank="1" errorTitle="قيمة غير صحيحة" error="أدخل رقماً موجباً فقط" type="decimal" operator="greaterThanOrEqual">
      <formula1>0</formula1>
    </dataValidation>
  </dataValidation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AC12"/>
  <sheetViews>
    <sheetView showGridLines="0" rightToLeft="1" workbookViewId="0">
      <pane xSplit="8" ySplit="3" topLeftCell="I4" activePane="bottomRight" state="frozen"/>
      <selection pane="topRight"/>
      <selection pane="bottomLeft"/>
      <selection pane="bottomRight" activeCell="A1" sqref="A1"/>
    </sheetView>
  </sheetViews>
  <sheetFormatPr baseColWidth="8" defaultRowHeight="15"/>
  <cols>
    <col width="4" customWidth="1" min="1" max="1"/>
    <col width="20" customWidth="1" min="2" max="2"/>
    <col width="40" customWidth="1" min="3" max="3"/>
    <col width="10" customWidth="1" min="4" max="4"/>
    <col width="8" customWidth="1" min="5" max="5"/>
    <col width="9" customWidth="1" min="6" max="6"/>
    <col width="12" customWidth="1" min="7" max="7"/>
    <col width="16"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12" customWidth="1" min="21" max="21"/>
    <col width="12" customWidth="1" min="22" max="22"/>
    <col width="14" customWidth="1" min="23" max="23"/>
    <col width="16" customWidth="1" min="24" max="24"/>
    <col width="22" customWidth="1" min="25" max="25"/>
    <col width="12" customWidth="1" min="26" max="26"/>
    <col width="10" customWidth="1" min="27" max="27"/>
    <col width="9" customWidth="1" min="28" max="28"/>
    <col width="14" customWidth="1" min="29" max="29"/>
  </cols>
  <sheetData>
    <row r="1" ht="30" customHeight="1">
      <c r="A1" s="24" t="inlineStr">
        <is>
          <t>إدارة الموارد البشرية · مؤشرات الأداء 2026  (8 مؤشرات) — الاستثمار في الموظفين</t>
        </is>
      </c>
    </row>
    <row r="2">
      <c r="A2" s="48" t="inlineStr">
        <is>
          <t>🟩 الأخضر = إدخال (الأرقام الشهرية + خط الأساس + الوزن)  ·  🔵 قائد/🟣 لاحق  ·  الدرجة الموزونة والحالة تلقائية</t>
        </is>
      </c>
    </row>
    <row r="3" ht="34" customHeight="1">
      <c r="A3" s="26" t="inlineStr">
        <is>
          <t>#</t>
        </is>
      </c>
      <c r="B3" s="26" t="inlineStr">
        <is>
          <t>المحور</t>
        </is>
      </c>
      <c r="C3" s="26" t="inlineStr">
        <is>
          <t>المؤشر</t>
        </is>
      </c>
      <c r="D3" s="26" t="inlineStr">
        <is>
          <t>الوحدة</t>
        </is>
      </c>
      <c r="E3" s="26" t="inlineStr">
        <is>
          <t>القطبية</t>
        </is>
      </c>
      <c r="F3" s="26" t="inlineStr">
        <is>
          <t>التجميع</t>
        </is>
      </c>
      <c r="G3" s="26" t="inlineStr">
        <is>
          <t>المستهدف</t>
        </is>
      </c>
      <c r="H3" s="26" t="inlineStr">
        <is>
          <t>نص المستهدف</t>
        </is>
      </c>
      <c r="I3" s="26" t="inlineStr">
        <is>
          <t>يناير</t>
        </is>
      </c>
      <c r="J3" s="26" t="inlineStr">
        <is>
          <t>فبراير</t>
        </is>
      </c>
      <c r="K3" s="26" t="inlineStr">
        <is>
          <t>مارس</t>
        </is>
      </c>
      <c r="L3" s="26" t="inlineStr">
        <is>
          <t>أبريل</t>
        </is>
      </c>
      <c r="M3" s="26" t="inlineStr">
        <is>
          <t>مايو</t>
        </is>
      </c>
      <c r="N3" s="26" t="inlineStr">
        <is>
          <t>يونيو</t>
        </is>
      </c>
      <c r="O3" s="26" t="inlineStr">
        <is>
          <t>يوليو</t>
        </is>
      </c>
      <c r="P3" s="26" t="inlineStr">
        <is>
          <t>أغسطس</t>
        </is>
      </c>
      <c r="Q3" s="26" t="inlineStr">
        <is>
          <t>سبتمبر</t>
        </is>
      </c>
      <c r="R3" s="26" t="inlineStr">
        <is>
          <t>أكتوبر</t>
        </is>
      </c>
      <c r="S3" s="26" t="inlineStr">
        <is>
          <t>نوفمبر</t>
        </is>
      </c>
      <c r="T3" s="26" t="inlineStr">
        <is>
          <t>ديسمبر</t>
        </is>
      </c>
      <c r="U3" s="26" t="inlineStr">
        <is>
          <t>YTD</t>
        </is>
      </c>
      <c r="V3" s="26" t="inlineStr">
        <is>
          <t>نسبة التحقيق</t>
        </is>
      </c>
      <c r="W3" s="26" t="inlineStr">
        <is>
          <t>الحالة</t>
        </is>
      </c>
      <c r="X3" s="26" t="inlineStr">
        <is>
          <t>الركيزة (5س)</t>
        </is>
      </c>
      <c r="Y3" s="26" t="inlineStr">
        <is>
          <t>المشروع (الخارطة)</t>
        </is>
      </c>
      <c r="Z3" s="26" t="inlineStr">
        <is>
          <t>خط الأساس 2025</t>
        </is>
      </c>
      <c r="AA3" s="26" t="inlineStr">
        <is>
          <t>النوع</t>
        </is>
      </c>
      <c r="AB3" s="26" t="inlineStr">
        <is>
          <t>الوزن %</t>
        </is>
      </c>
      <c r="AC3" s="26" t="inlineStr">
        <is>
          <t>الدرجة الموزونة</t>
        </is>
      </c>
    </row>
    <row r="4" ht="26" customHeight="1">
      <c r="A4" s="17" t="n">
        <v>1</v>
      </c>
      <c r="B4" s="22" t="inlineStr">
        <is>
          <t>الاستبقاء</t>
        </is>
      </c>
      <c r="C4" s="22" t="inlineStr">
        <is>
          <t>معدل استبقاء الموظفين (Retention)</t>
        </is>
      </c>
      <c r="D4" s="49" t="inlineStr">
        <is>
          <t>%</t>
        </is>
      </c>
      <c r="E4" s="49" t="inlineStr">
        <is>
          <t>↑</t>
        </is>
      </c>
      <c r="F4" s="49" t="inlineStr">
        <is>
          <t>LAST</t>
        </is>
      </c>
      <c r="G4" s="57" t="n">
        <v>0.9</v>
      </c>
      <c r="H4" s="51" t="inlineStr">
        <is>
          <t>≥ 90%</t>
        </is>
      </c>
      <c r="I4" s="58" t="n"/>
      <c r="J4" s="58" t="n"/>
      <c r="K4" s="58" t="n"/>
      <c r="L4" s="58" t="n"/>
      <c r="M4" s="58" t="n"/>
      <c r="N4" s="58" t="n"/>
      <c r="O4" s="58" t="n"/>
      <c r="P4" s="58" t="n"/>
      <c r="Q4" s="58" t="n"/>
      <c r="R4" s="58" t="n"/>
      <c r="S4" s="58" t="n"/>
      <c r="T4" s="58" t="n"/>
      <c r="U4" s="59">
        <f>IF($F4="SUM",IF(COUNT($I4:$T4)=0,"",SUM($I4:$T4)),IF($F4="AVG",IFERROR(AVERAGE($I4:$T4),""),IF($F4="LAST",IFERROR(LOOKUP(2,1/($I4:$T4&lt;&gt;""),$I4:$T4),""),"")))</f>
        <v/>
      </c>
      <c r="V4" s="23">
        <f>IF($G4="","",IF($U4="","",IF($G4=0,IF($U4&lt;=0,1,0),IF($E4="↓",IFERROR($G4/$U4,0),IFERROR($U4/$G4,0)))))</f>
        <v/>
      </c>
      <c r="W4" s="17">
        <f>IF($V4="","—",IF($V4&gt;=1,"✅ محقق",IF($V4&gt;=0.85,"🟡 قريب","🔴 تحت الهدف")))</f>
        <v/>
      </c>
      <c r="X4" s="54" t="inlineStr">
        <is>
          <t>الاستدامة</t>
        </is>
      </c>
      <c r="Y4" s="22" t="inlineStr">
        <is>
          <t>الاستثمار في الموظفين</t>
        </is>
      </c>
      <c r="Z4" s="56" t="n"/>
      <c r="AA4" s="21" t="inlineStr">
        <is>
          <t>🟣 لاحق</t>
        </is>
      </c>
      <c r="AB4" s="56" t="n">
        <v>0.125</v>
      </c>
      <c r="AC4" s="23">
        <f>IF($V4="","",$AB4*MIN($V4,1))</f>
        <v/>
      </c>
    </row>
    <row r="5" ht="26" customHeight="1">
      <c r="A5" s="17" t="n">
        <v>2</v>
      </c>
      <c r="B5" s="22" t="inlineStr">
        <is>
          <t>الاستبقاء</t>
        </is>
      </c>
      <c r="C5" s="22" t="inlineStr">
        <is>
          <t>معدل دوران الموظفين (Turnover)</t>
        </is>
      </c>
      <c r="D5" s="49" t="inlineStr">
        <is>
          <t>%</t>
        </is>
      </c>
      <c r="E5" s="49" t="inlineStr">
        <is>
          <t>↓</t>
        </is>
      </c>
      <c r="F5" s="49" t="inlineStr">
        <is>
          <t>AVG</t>
        </is>
      </c>
      <c r="G5" s="57" t="n">
        <v>0.1</v>
      </c>
      <c r="H5" s="51" t="inlineStr">
        <is>
          <t>≤ 10%</t>
        </is>
      </c>
      <c r="I5" s="58" t="n"/>
      <c r="J5" s="58" t="n"/>
      <c r="K5" s="58" t="n"/>
      <c r="L5" s="58" t="n"/>
      <c r="M5" s="58" t="n"/>
      <c r="N5" s="58" t="n"/>
      <c r="O5" s="58" t="n"/>
      <c r="P5" s="58" t="n"/>
      <c r="Q5" s="58" t="n"/>
      <c r="R5" s="58" t="n"/>
      <c r="S5" s="58" t="n"/>
      <c r="T5" s="58" t="n"/>
      <c r="U5" s="59">
        <f>IF($F5="SUM",IF(COUNT($I5:$T5)=0,"",SUM($I5:$T5)),IF($F5="AVG",IFERROR(AVERAGE($I5:$T5),""),IF($F5="LAST",IFERROR(LOOKUP(2,1/($I5:$T5&lt;&gt;""),$I5:$T5),""),"")))</f>
        <v/>
      </c>
      <c r="V5" s="23">
        <f>IF($G5="","",IF($U5="","",IF($G5=0,IF($U5&lt;=0,1,0),IF($E5="↓",IFERROR($G5/$U5,0),IFERROR($U5/$G5,0)))))</f>
        <v/>
      </c>
      <c r="W5" s="17">
        <f>IF($V5="","—",IF($V5&gt;=1,"✅ محقق",IF($V5&gt;=0.85,"🟡 قريب","🔴 تحت الهدف")))</f>
        <v/>
      </c>
      <c r="X5" s="54" t="inlineStr">
        <is>
          <t>الاستدامة</t>
        </is>
      </c>
      <c r="Y5" s="22" t="inlineStr">
        <is>
          <t>الاستثمار في الموظفين</t>
        </is>
      </c>
      <c r="Z5" s="56" t="n"/>
      <c r="AA5" s="21" t="inlineStr">
        <is>
          <t>🟣 لاحق</t>
        </is>
      </c>
      <c r="AB5" s="56" t="n">
        <v>0.125</v>
      </c>
      <c r="AC5" s="23">
        <f>IF($V5="","",$AB5*MIN($V5,1))</f>
        <v/>
      </c>
    </row>
    <row r="6" ht="26" customHeight="1">
      <c r="A6" s="17" t="n">
        <v>3</v>
      </c>
      <c r="B6" s="22" t="inlineStr">
        <is>
          <t>التطوير</t>
        </is>
      </c>
      <c r="C6" s="22" t="inlineStr">
        <is>
          <t>متوسط ساعات التدريب لكل موظف</t>
        </is>
      </c>
      <c r="D6" s="49" t="inlineStr">
        <is>
          <t>ساعة</t>
        </is>
      </c>
      <c r="E6" s="49" t="inlineStr">
        <is>
          <t>↑</t>
        </is>
      </c>
      <c r="F6" s="49" t="inlineStr">
        <is>
          <t>SUM</t>
        </is>
      </c>
      <c r="G6" s="63" t="n">
        <v>40</v>
      </c>
      <c r="H6" s="51" t="inlineStr">
        <is>
          <t>≥ 40 ساعة</t>
        </is>
      </c>
      <c r="I6" s="64" t="n"/>
      <c r="J6" s="64" t="n"/>
      <c r="K6" s="64" t="n"/>
      <c r="L6" s="64" t="n"/>
      <c r="M6" s="64" t="n"/>
      <c r="N6" s="64" t="n"/>
      <c r="O6" s="64" t="n"/>
      <c r="P6" s="64" t="n"/>
      <c r="Q6" s="64" t="n"/>
      <c r="R6" s="64" t="n"/>
      <c r="S6" s="64" t="n"/>
      <c r="T6" s="64" t="n"/>
      <c r="U6" s="65">
        <f>IF($F6="SUM",IF(COUNT($I6:$T6)=0,"",SUM($I6:$T6)),IF($F6="AVG",IFERROR(AVERAGE($I6:$T6),""),IF($F6="LAST",IFERROR(LOOKUP(2,1/($I6:$T6&lt;&gt;""),$I6:$T6),""),"")))</f>
        <v/>
      </c>
      <c r="V6" s="23">
        <f>IF($G6="","",IF($U6="","",IF($G6=0,IF($U6&lt;=0,1,0),IF($E6="↓",IFERROR($G6/$U6,0),IFERROR($U6/$G6,0)))))</f>
        <v/>
      </c>
      <c r="W6" s="17">
        <f>IF($V6="","—",IF($V6&gt;=1,"✅ محقق",IF($V6&gt;=0.85,"🟡 قريب","🔴 تحت الهدف")))</f>
        <v/>
      </c>
      <c r="X6" s="54" t="inlineStr">
        <is>
          <t>الاستدامة</t>
        </is>
      </c>
      <c r="Y6" s="22" t="inlineStr">
        <is>
          <t>الاستثمار في الموظفين</t>
        </is>
      </c>
      <c r="Z6" s="66" t="n"/>
      <c r="AA6" s="21" t="inlineStr">
        <is>
          <t>🔵 قائد</t>
        </is>
      </c>
      <c r="AB6" s="56" t="n">
        <v>0.125</v>
      </c>
      <c r="AC6" s="23">
        <f>IF($V6="","",$AB6*MIN($V6,1))</f>
        <v/>
      </c>
    </row>
    <row r="7" ht="26" customHeight="1">
      <c r="A7" s="17" t="n">
        <v>4</v>
      </c>
      <c r="B7" s="22" t="inlineStr">
        <is>
          <t>التطوير</t>
        </is>
      </c>
      <c r="C7" s="22" t="inlineStr">
        <is>
          <t>نسبة الموظفين المشمولين بخطة تطوير</t>
        </is>
      </c>
      <c r="D7" s="49" t="inlineStr">
        <is>
          <t>%</t>
        </is>
      </c>
      <c r="E7" s="49" t="inlineStr">
        <is>
          <t>↑</t>
        </is>
      </c>
      <c r="F7" s="49" t="inlineStr">
        <is>
          <t>LAST</t>
        </is>
      </c>
      <c r="G7" s="57" t="n">
        <v>0.8</v>
      </c>
      <c r="H7" s="51" t="inlineStr">
        <is>
          <t>≥ 80%</t>
        </is>
      </c>
      <c r="I7" s="58" t="n"/>
      <c r="J7" s="58" t="n"/>
      <c r="K7" s="58" t="n"/>
      <c r="L7" s="58" t="n"/>
      <c r="M7" s="58" t="n"/>
      <c r="N7" s="58" t="n"/>
      <c r="O7" s="58" t="n"/>
      <c r="P7" s="58" t="n"/>
      <c r="Q7" s="58" t="n"/>
      <c r="R7" s="58" t="n"/>
      <c r="S7" s="58" t="n"/>
      <c r="T7" s="58" t="n"/>
      <c r="U7" s="59">
        <f>IF($F7="SUM",IF(COUNT($I7:$T7)=0,"",SUM($I7:$T7)),IF($F7="AVG",IFERROR(AVERAGE($I7:$T7),""),IF($F7="LAST",IFERROR(LOOKUP(2,1/($I7:$T7&lt;&gt;""),$I7:$T7),""),"")))</f>
        <v/>
      </c>
      <c r="V7" s="23">
        <f>IF($G7="","",IF($U7="","",IF($G7=0,IF($U7&lt;=0,1,0),IF($E7="↓",IFERROR($G7/$U7,0),IFERROR($U7/$G7,0)))))</f>
        <v/>
      </c>
      <c r="W7" s="17">
        <f>IF($V7="","—",IF($V7&gt;=1,"✅ محقق",IF($V7&gt;=0.85,"🟡 قريب","🔴 تحت الهدف")))</f>
        <v/>
      </c>
      <c r="X7" s="54" t="inlineStr">
        <is>
          <t>الاستدامة</t>
        </is>
      </c>
      <c r="Y7" s="22" t="inlineStr">
        <is>
          <t>الاستثمار في الموظفين</t>
        </is>
      </c>
      <c r="Z7" s="56" t="n"/>
      <c r="AA7" s="21" t="inlineStr">
        <is>
          <t>🟣 لاحق</t>
        </is>
      </c>
      <c r="AB7" s="56" t="n">
        <v>0.125</v>
      </c>
      <c r="AC7" s="23">
        <f>IF($V7="","",$AB7*MIN($V7,1))</f>
        <v/>
      </c>
    </row>
    <row r="8" ht="26" customHeight="1">
      <c r="A8" s="17" t="n">
        <v>5</v>
      </c>
      <c r="B8" s="22" t="inlineStr">
        <is>
          <t>الرضا والانتماء</t>
        </is>
      </c>
      <c r="C8" s="22" t="inlineStr">
        <is>
          <t>مؤشر رضا الموظفين (eNPS)</t>
        </is>
      </c>
      <c r="D8" s="49" t="inlineStr">
        <is>
          <t>نقطة</t>
        </is>
      </c>
      <c r="E8" s="49" t="inlineStr">
        <is>
          <t>↑</t>
        </is>
      </c>
      <c r="F8" s="49" t="inlineStr">
        <is>
          <t>AVG</t>
        </is>
      </c>
      <c r="G8" s="63" t="n">
        <v>30</v>
      </c>
      <c r="H8" s="51" t="inlineStr">
        <is>
          <t>≥ 30</t>
        </is>
      </c>
      <c r="I8" s="64" t="n"/>
      <c r="J8" s="64" t="n"/>
      <c r="K8" s="64" t="n"/>
      <c r="L8" s="64" t="n"/>
      <c r="M8" s="64" t="n"/>
      <c r="N8" s="64" t="n"/>
      <c r="O8" s="64" t="n"/>
      <c r="P8" s="64" t="n"/>
      <c r="Q8" s="64" t="n"/>
      <c r="R8" s="64" t="n"/>
      <c r="S8" s="64" t="n"/>
      <c r="T8" s="64" t="n"/>
      <c r="U8" s="65">
        <f>IF($F8="SUM",IF(COUNT($I8:$T8)=0,"",SUM($I8:$T8)),IF($F8="AVG",IFERROR(AVERAGE($I8:$T8),""),IF($F8="LAST",IFERROR(LOOKUP(2,1/($I8:$T8&lt;&gt;""),$I8:$T8),""),"")))</f>
        <v/>
      </c>
      <c r="V8" s="23">
        <f>IF($G8="","",IF($U8="","",IF($G8=0,IF($U8&lt;=0,1,0),IF($E8="↓",IFERROR($G8/$U8,0),IFERROR($U8/$G8,0)))))</f>
        <v/>
      </c>
      <c r="W8" s="17">
        <f>IF($V8="","—",IF($V8&gt;=1,"✅ محقق",IF($V8&gt;=0.85,"🟡 قريب","🔴 تحت الهدف")))</f>
        <v/>
      </c>
      <c r="X8" s="54" t="inlineStr">
        <is>
          <t>الاستدامة</t>
        </is>
      </c>
      <c r="Y8" s="22" t="inlineStr">
        <is>
          <t>الاستثمار في الموظفين</t>
        </is>
      </c>
      <c r="Z8" s="66" t="n"/>
      <c r="AA8" s="21" t="inlineStr">
        <is>
          <t>🟣 لاحق</t>
        </is>
      </c>
      <c r="AB8" s="56" t="n">
        <v>0.125</v>
      </c>
      <c r="AC8" s="23">
        <f>IF($V8="","",$AB8*MIN($V8,1))</f>
        <v/>
      </c>
    </row>
    <row r="9" ht="26" customHeight="1">
      <c r="A9" s="17" t="n">
        <v>6</v>
      </c>
      <c r="B9" s="22" t="inlineStr">
        <is>
          <t>الاستقطاب</t>
        </is>
      </c>
      <c r="C9" s="22" t="inlineStr">
        <is>
          <t>نسبة شغل الشواغر خلال 30 يوم</t>
        </is>
      </c>
      <c r="D9" s="49" t="inlineStr">
        <is>
          <t>%</t>
        </is>
      </c>
      <c r="E9" s="49" t="inlineStr">
        <is>
          <t>↑</t>
        </is>
      </c>
      <c r="F9" s="49" t="inlineStr">
        <is>
          <t>AVG</t>
        </is>
      </c>
      <c r="G9" s="57" t="n">
        <v>0.85</v>
      </c>
      <c r="H9" s="51" t="inlineStr">
        <is>
          <t>≥ 85%</t>
        </is>
      </c>
      <c r="I9" s="58" t="n"/>
      <c r="J9" s="58" t="n"/>
      <c r="K9" s="58" t="n"/>
      <c r="L9" s="58" t="n"/>
      <c r="M9" s="58" t="n"/>
      <c r="N9" s="58" t="n"/>
      <c r="O9" s="58" t="n"/>
      <c r="P9" s="58" t="n"/>
      <c r="Q9" s="58" t="n"/>
      <c r="R9" s="58" t="n"/>
      <c r="S9" s="58" t="n"/>
      <c r="T9" s="58" t="n"/>
      <c r="U9" s="59">
        <f>IF($F9="SUM",IF(COUNT($I9:$T9)=0,"",SUM($I9:$T9)),IF($F9="AVG",IFERROR(AVERAGE($I9:$T9),""),IF($F9="LAST",IFERROR(LOOKUP(2,1/($I9:$T9&lt;&gt;""),$I9:$T9),""),"")))</f>
        <v/>
      </c>
      <c r="V9" s="23">
        <f>IF($G9="","",IF($U9="","",IF($G9=0,IF($U9&lt;=0,1,0),IF($E9="↓",IFERROR($G9/$U9,0),IFERROR($U9/$G9,0)))))</f>
        <v/>
      </c>
      <c r="W9" s="17">
        <f>IF($V9="","—",IF($V9&gt;=1,"✅ محقق",IF($V9&gt;=0.85,"🟡 قريب","🔴 تحت الهدف")))</f>
        <v/>
      </c>
      <c r="X9" s="54" t="inlineStr">
        <is>
          <t>الاستدامة</t>
        </is>
      </c>
      <c r="Y9" s="22" t="inlineStr">
        <is>
          <t>الاستثمار في الموظفين</t>
        </is>
      </c>
      <c r="Z9" s="56" t="n"/>
      <c r="AA9" s="21" t="inlineStr">
        <is>
          <t>🟣 لاحق</t>
        </is>
      </c>
      <c r="AB9" s="56" t="n">
        <v>0.125</v>
      </c>
      <c r="AC9" s="23">
        <f>IF($V9="","",$AB9*MIN($V9,1))</f>
        <v/>
      </c>
    </row>
    <row r="10" ht="26" customHeight="1">
      <c r="A10" s="17" t="n">
        <v>7</v>
      </c>
      <c r="B10" s="22" t="inlineStr">
        <is>
          <t>الأداء</t>
        </is>
      </c>
      <c r="C10" s="22" t="inlineStr">
        <is>
          <t>نسبة إنجاز تقييمات الأداء في موعدها</t>
        </is>
      </c>
      <c r="D10" s="49" t="inlineStr">
        <is>
          <t>%</t>
        </is>
      </c>
      <c r="E10" s="49" t="inlineStr">
        <is>
          <t>↑</t>
        </is>
      </c>
      <c r="F10" s="49" t="inlineStr">
        <is>
          <t>AVG</t>
        </is>
      </c>
      <c r="G10" s="57" t="n">
        <v>1</v>
      </c>
      <c r="H10" s="51" t="inlineStr">
        <is>
          <t>100%</t>
        </is>
      </c>
      <c r="I10" s="58" t="n"/>
      <c r="J10" s="58" t="n"/>
      <c r="K10" s="58" t="n"/>
      <c r="L10" s="58" t="n"/>
      <c r="M10" s="58" t="n"/>
      <c r="N10" s="58" t="n"/>
      <c r="O10" s="58" t="n"/>
      <c r="P10" s="58" t="n"/>
      <c r="Q10" s="58" t="n"/>
      <c r="R10" s="58" t="n"/>
      <c r="S10" s="58" t="n"/>
      <c r="T10" s="58" t="n"/>
      <c r="U10" s="59">
        <f>IF($F10="SUM",IF(COUNT($I10:$T10)=0,"",SUM($I10:$T10)),IF($F10="AVG",IFERROR(AVERAGE($I10:$T10),""),IF($F10="LAST",IFERROR(LOOKUP(2,1/($I10:$T10&lt;&gt;""),$I10:$T10),""),"")))</f>
        <v/>
      </c>
      <c r="V10" s="23">
        <f>IF($G10="","",IF($U10="","",IF($G10=0,IF($U10&lt;=0,1,0),IF($E10="↓",IFERROR($G10/$U10,0),IFERROR($U10/$G10,0)))))</f>
        <v/>
      </c>
      <c r="W10" s="17">
        <f>IF($V10="","—",IF($V10&gt;=1,"✅ محقق",IF($V10&gt;=0.85,"🟡 قريب","🔴 تحت الهدف")))</f>
        <v/>
      </c>
      <c r="X10" s="54" t="inlineStr">
        <is>
          <t>الاستدامة</t>
        </is>
      </c>
      <c r="Y10" s="22" t="inlineStr">
        <is>
          <t>الاستثمار في الموظفين</t>
        </is>
      </c>
      <c r="Z10" s="56" t="n"/>
      <c r="AA10" s="21" t="inlineStr">
        <is>
          <t>🟣 لاحق</t>
        </is>
      </c>
      <c r="AB10" s="56" t="n">
        <v>0.125</v>
      </c>
      <c r="AC10" s="23">
        <f>IF($V10="","",$AB10*MIN($V10,1))</f>
        <v/>
      </c>
    </row>
    <row r="11" ht="26" customHeight="1">
      <c r="A11" s="17" t="n">
        <v>8</v>
      </c>
      <c r="B11" s="22" t="inlineStr">
        <is>
          <t>الامتثال</t>
        </is>
      </c>
      <c r="C11" s="22" t="inlineStr">
        <is>
          <t>نسبة السعودة</t>
        </is>
      </c>
      <c r="D11" s="49" t="inlineStr">
        <is>
          <t>%</t>
        </is>
      </c>
      <c r="E11" s="49" t="inlineStr">
        <is>
          <t>↑</t>
        </is>
      </c>
      <c r="F11" s="49" t="inlineStr">
        <is>
          <t>LAST</t>
        </is>
      </c>
      <c r="G11" s="49" t="inlineStr"/>
      <c r="H11" s="51" t="inlineStr">
        <is>
          <t>حسب النطاق</t>
        </is>
      </c>
      <c r="I11" s="58" t="n"/>
      <c r="J11" s="58" t="n"/>
      <c r="K11" s="58" t="n"/>
      <c r="L11" s="58" t="n"/>
      <c r="M11" s="58" t="n"/>
      <c r="N11" s="58" t="n"/>
      <c r="O11" s="58" t="n"/>
      <c r="P11" s="58" t="n"/>
      <c r="Q11" s="58" t="n"/>
      <c r="R11" s="58" t="n"/>
      <c r="S11" s="58" t="n"/>
      <c r="T11" s="58" t="n"/>
      <c r="U11" s="59">
        <f>IF($F11="SUM",IF(COUNT($I11:$T11)=0,"",SUM($I11:$T11)),IF($F11="AVG",IFERROR(AVERAGE($I11:$T11),""),IF($F11="LAST",IFERROR(LOOKUP(2,1/($I11:$T11&lt;&gt;""),$I11:$T11),""),"")))</f>
        <v/>
      </c>
      <c r="V11" s="23">
        <f>IF($G11="","",IF($U11="","",IF($G11=0,IF($U11&lt;=0,1,0),IF($E11="↓",IFERROR($G11/$U11,0),IFERROR($U11/$G11,0)))))</f>
        <v/>
      </c>
      <c r="W11" s="17">
        <f>IF($V11="","—",IF($V11&gt;=1,"✅ محقق",IF($V11&gt;=0.85,"🟡 قريب","🔴 تحت الهدف")))</f>
        <v/>
      </c>
      <c r="X11" s="54" t="inlineStr">
        <is>
          <t>الاستدامة</t>
        </is>
      </c>
      <c r="Y11" s="22" t="inlineStr">
        <is>
          <t>الاستثمار في الموظفين</t>
        </is>
      </c>
      <c r="Z11" s="56" t="n"/>
      <c r="AA11" s="21" t="inlineStr">
        <is>
          <t>🟣 لاحق</t>
        </is>
      </c>
      <c r="AB11" s="56" t="n">
        <v>0.125</v>
      </c>
      <c r="AC11" s="23">
        <f>IF($V11="","",$AB11*MIN($V11,1))</f>
        <v/>
      </c>
    </row>
    <row r="12">
      <c r="A12" s="67" t="inlineStr"/>
      <c r="B12" s="68" t="inlineStr">
        <is>
          <t>الإجمالي الموزون للإدارة</t>
        </is>
      </c>
      <c r="AB12" s="69">
        <f>SUM(AB4:AB11)</f>
        <v/>
      </c>
      <c r="AC12" s="70">
        <f>SUM(AC4:AC11)</f>
        <v/>
      </c>
    </row>
  </sheetData>
  <sheetProtection selectLockedCells="1" selectUnlockedCells="1" sheet="1" objects="0" insertRows="1" insertHyperlinks="1" autoFilter="1" scenarios="0" formatColumns="1" deleteColumns="1" insertColumns="1" pivotTables="1" deleteRows="1" formatCells="0" formatRows="1" sort="1" password="EFFF"/>
  <mergeCells count="3">
    <mergeCell ref="B12:AA12"/>
    <mergeCell ref="A2:AC2"/>
    <mergeCell ref="A1:AC1"/>
  </mergeCells>
  <dataValidations count="1">
    <dataValidation sqref="I4 I5 I6 I7 I8 I9 I10 I11 J4 J5 J6 J7 J8 J9 J10 J11 K4 K5 K6 K7 K8 K9 K10 K11 L4 L5 L6 L7 L8 L9 L10 L11 M4 M5 M6 M7 M8 M9 M10 M11 N4 N5 N6 N7 N8 N9 N10 N11 O4 O5 O6 O7 O8 O9 O10 O11 P4 P5 P6 P7 P8 P9 P10 P11 Q4 Q5 Q6 Q7 Q8 Q9 Q10 Q11 R4 R5 R6 R7 R8 R9 R10 R11 S4 S5 S6 S7 S8 S9 S10 S11 T4 T5 T6 T7 T8 T9 T10 T11 Z4 Z5 Z6 Z7 Z8 Z9 Z10 Z11" showDropDown="0" showInputMessage="0" showErrorMessage="0" allowBlank="1" errorTitle="قيمة غير صحيحة" error="أدخل رقماً موجباً فقط" type="decimal" operator="greaterThanOrEqual">
      <formula1>0</formula1>
    </dataValidation>
  </dataValidation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G111"/>
  <sheetViews>
    <sheetView showGridLines="0" rightToLeft="1" workbookViewId="0">
      <selection activeCell="A1" sqref="A1"/>
    </sheetView>
  </sheetViews>
  <sheetFormatPr baseColWidth="8" defaultRowHeight="15"/>
  <cols>
    <col width="4" customWidth="1" min="1" max="1"/>
    <col width="22" customWidth="1" min="2" max="2"/>
    <col width="42" customWidth="1" min="3" max="3"/>
    <col width="16" customWidth="1" min="4" max="4"/>
    <col width="26" customWidth="1" min="5" max="5"/>
    <col width="12" customWidth="1" min="6" max="6"/>
    <col width="14" customWidth="1" min="7" max="7"/>
  </cols>
  <sheetData>
    <row r="1">
      <c r="A1" s="71" t="inlineStr">
        <is>
          <t>قاعدة المؤشرات الموحّدة — مصدر تغذية اللوحة والخارطة والركائز (آلي)</t>
        </is>
      </c>
    </row>
    <row r="2">
      <c r="A2" s="48" t="inlineStr">
        <is>
          <t>تُحدَّث آلياً من أوراق المؤشرات — لا تُعدَّل يدوياً</t>
        </is>
      </c>
    </row>
    <row r="3">
      <c r="A3" s="26" t="inlineStr">
        <is>
          <t>#</t>
        </is>
      </c>
      <c r="B3" s="26" t="inlineStr">
        <is>
          <t>الإدارة</t>
        </is>
      </c>
      <c r="C3" s="26" t="inlineStr">
        <is>
          <t>المؤشر</t>
        </is>
      </c>
      <c r="D3" s="26" t="inlineStr">
        <is>
          <t>الركيزة</t>
        </is>
      </c>
      <c r="E3" s="26" t="inlineStr">
        <is>
          <t>المشروع</t>
        </is>
      </c>
      <c r="F3" s="26" t="inlineStr">
        <is>
          <t>نسبة التحقيق</t>
        </is>
      </c>
      <c r="G3" s="26" t="inlineStr">
        <is>
          <t>الحالة</t>
        </is>
      </c>
    </row>
    <row r="4">
      <c r="A4" s="80" t="n">
        <v>1</v>
      </c>
      <c r="B4" s="81" t="inlineStr">
        <is>
          <t>الامتياز التجاري</t>
        </is>
      </c>
      <c r="C4" s="81">
        <f>'الامتياز · المؤشرات'!C4</f>
        <v/>
      </c>
      <c r="D4" s="80">
        <f>'الامتياز · المؤشرات'!X4</f>
        <v/>
      </c>
      <c r="E4" s="81">
        <f>'الامتياز · المؤشرات'!Y4</f>
        <v/>
      </c>
      <c r="F4" s="82">
        <f>'الامتياز · المؤشرات'!V4</f>
        <v/>
      </c>
      <c r="G4" s="80">
        <f>'الامتياز · المؤشرات'!W4</f>
        <v/>
      </c>
    </row>
    <row r="5">
      <c r="A5" s="80" t="n">
        <v>2</v>
      </c>
      <c r="B5" s="81" t="inlineStr">
        <is>
          <t>الامتياز التجاري</t>
        </is>
      </c>
      <c r="C5" s="81">
        <f>'الامتياز · المؤشرات'!C5</f>
        <v/>
      </c>
      <c r="D5" s="80">
        <f>'الامتياز · المؤشرات'!X5</f>
        <v/>
      </c>
      <c r="E5" s="81">
        <f>'الامتياز · المؤشرات'!Y5</f>
        <v/>
      </c>
      <c r="F5" s="82">
        <f>'الامتياز · المؤشرات'!V5</f>
        <v/>
      </c>
      <c r="G5" s="80">
        <f>'الامتياز · المؤشرات'!W5</f>
        <v/>
      </c>
    </row>
    <row r="6">
      <c r="A6" s="80" t="n">
        <v>3</v>
      </c>
      <c r="B6" s="81" t="inlineStr">
        <is>
          <t>الامتياز التجاري</t>
        </is>
      </c>
      <c r="C6" s="81">
        <f>'الامتياز · المؤشرات'!C6</f>
        <v/>
      </c>
      <c r="D6" s="80">
        <f>'الامتياز · المؤشرات'!X6</f>
        <v/>
      </c>
      <c r="E6" s="81">
        <f>'الامتياز · المؤشرات'!Y6</f>
        <v/>
      </c>
      <c r="F6" s="82">
        <f>'الامتياز · المؤشرات'!V6</f>
        <v/>
      </c>
      <c r="G6" s="80">
        <f>'الامتياز · المؤشرات'!W6</f>
        <v/>
      </c>
    </row>
    <row r="7">
      <c r="A7" s="80" t="n">
        <v>4</v>
      </c>
      <c r="B7" s="81" t="inlineStr">
        <is>
          <t>الامتياز التجاري</t>
        </is>
      </c>
      <c r="C7" s="81">
        <f>'الامتياز · المؤشرات'!C7</f>
        <v/>
      </c>
      <c r="D7" s="80">
        <f>'الامتياز · المؤشرات'!X7</f>
        <v/>
      </c>
      <c r="E7" s="81">
        <f>'الامتياز · المؤشرات'!Y7</f>
        <v/>
      </c>
      <c r="F7" s="82">
        <f>'الامتياز · المؤشرات'!V7</f>
        <v/>
      </c>
      <c r="G7" s="80">
        <f>'الامتياز · المؤشرات'!W7</f>
        <v/>
      </c>
    </row>
    <row r="8">
      <c r="A8" s="80" t="n">
        <v>5</v>
      </c>
      <c r="B8" s="81" t="inlineStr">
        <is>
          <t>الامتياز التجاري</t>
        </is>
      </c>
      <c r="C8" s="81">
        <f>'الامتياز · المؤشرات'!C8</f>
        <v/>
      </c>
      <c r="D8" s="80">
        <f>'الامتياز · المؤشرات'!X8</f>
        <v/>
      </c>
      <c r="E8" s="81">
        <f>'الامتياز · المؤشرات'!Y8</f>
        <v/>
      </c>
      <c r="F8" s="82">
        <f>'الامتياز · المؤشرات'!V8</f>
        <v/>
      </c>
      <c r="G8" s="80">
        <f>'الامتياز · المؤشرات'!W8</f>
        <v/>
      </c>
    </row>
    <row r="9">
      <c r="A9" s="80" t="n">
        <v>6</v>
      </c>
      <c r="B9" s="81" t="inlineStr">
        <is>
          <t>الامتياز التجاري</t>
        </is>
      </c>
      <c r="C9" s="81">
        <f>'الامتياز · المؤشرات'!C9</f>
        <v/>
      </c>
      <c r="D9" s="80">
        <f>'الامتياز · المؤشرات'!X9</f>
        <v/>
      </c>
      <c r="E9" s="81">
        <f>'الامتياز · المؤشرات'!Y9</f>
        <v/>
      </c>
      <c r="F9" s="82">
        <f>'الامتياز · المؤشرات'!V9</f>
        <v/>
      </c>
      <c r="G9" s="80">
        <f>'الامتياز · المؤشرات'!W9</f>
        <v/>
      </c>
    </row>
    <row r="10">
      <c r="A10" s="80" t="n">
        <v>7</v>
      </c>
      <c r="B10" s="81" t="inlineStr">
        <is>
          <t>الامتياز التجاري</t>
        </is>
      </c>
      <c r="C10" s="81">
        <f>'الامتياز · المؤشرات'!C10</f>
        <v/>
      </c>
      <c r="D10" s="80">
        <f>'الامتياز · المؤشرات'!X10</f>
        <v/>
      </c>
      <c r="E10" s="81">
        <f>'الامتياز · المؤشرات'!Y10</f>
        <v/>
      </c>
      <c r="F10" s="82">
        <f>'الامتياز · المؤشرات'!V10</f>
        <v/>
      </c>
      <c r="G10" s="80">
        <f>'الامتياز · المؤشرات'!W10</f>
        <v/>
      </c>
    </row>
    <row r="11">
      <c r="A11" s="80" t="n">
        <v>8</v>
      </c>
      <c r="B11" s="81" t="inlineStr">
        <is>
          <t>الامتياز التجاري</t>
        </is>
      </c>
      <c r="C11" s="81">
        <f>'الامتياز · المؤشرات'!C11</f>
        <v/>
      </c>
      <c r="D11" s="80">
        <f>'الامتياز · المؤشرات'!X11</f>
        <v/>
      </c>
      <c r="E11" s="81">
        <f>'الامتياز · المؤشرات'!Y11</f>
        <v/>
      </c>
      <c r="F11" s="82">
        <f>'الامتياز · المؤشرات'!V11</f>
        <v/>
      </c>
      <c r="G11" s="80">
        <f>'الامتياز · المؤشرات'!W11</f>
        <v/>
      </c>
    </row>
    <row r="12">
      <c r="A12" s="80" t="n">
        <v>9</v>
      </c>
      <c r="B12" s="81" t="inlineStr">
        <is>
          <t>الامتياز التجاري</t>
        </is>
      </c>
      <c r="C12" s="81">
        <f>'الامتياز · المؤشرات'!C12</f>
        <v/>
      </c>
      <c r="D12" s="80">
        <f>'الامتياز · المؤشرات'!X12</f>
        <v/>
      </c>
      <c r="E12" s="81">
        <f>'الامتياز · المؤشرات'!Y12</f>
        <v/>
      </c>
      <c r="F12" s="82">
        <f>'الامتياز · المؤشرات'!V12</f>
        <v/>
      </c>
      <c r="G12" s="80">
        <f>'الامتياز · المؤشرات'!W12</f>
        <v/>
      </c>
    </row>
    <row r="13">
      <c r="A13" s="80" t="n">
        <v>10</v>
      </c>
      <c r="B13" s="81" t="inlineStr">
        <is>
          <t>الامتياز التجاري</t>
        </is>
      </c>
      <c r="C13" s="81">
        <f>'الامتياز · المؤشرات'!C13</f>
        <v/>
      </c>
      <c r="D13" s="80">
        <f>'الامتياز · المؤشرات'!X13</f>
        <v/>
      </c>
      <c r="E13" s="81">
        <f>'الامتياز · المؤشرات'!Y13</f>
        <v/>
      </c>
      <c r="F13" s="82">
        <f>'الامتياز · المؤشرات'!V13</f>
        <v/>
      </c>
      <c r="G13" s="80">
        <f>'الامتياز · المؤشرات'!W13</f>
        <v/>
      </c>
    </row>
    <row r="14">
      <c r="A14" s="80" t="n">
        <v>11</v>
      </c>
      <c r="B14" s="81" t="inlineStr">
        <is>
          <t>الامتياز التجاري</t>
        </is>
      </c>
      <c r="C14" s="81">
        <f>'الامتياز · المؤشرات'!C14</f>
        <v/>
      </c>
      <c r="D14" s="80">
        <f>'الامتياز · المؤشرات'!X14</f>
        <v/>
      </c>
      <c r="E14" s="81">
        <f>'الامتياز · المؤشرات'!Y14</f>
        <v/>
      </c>
      <c r="F14" s="82">
        <f>'الامتياز · المؤشرات'!V14</f>
        <v/>
      </c>
      <c r="G14" s="80">
        <f>'الامتياز · المؤشرات'!W14</f>
        <v/>
      </c>
    </row>
    <row r="15">
      <c r="A15" s="80" t="n">
        <v>12</v>
      </c>
      <c r="B15" s="81" t="inlineStr">
        <is>
          <t>الامتياز التجاري</t>
        </is>
      </c>
      <c r="C15" s="81">
        <f>'الامتياز · المؤشرات'!C15</f>
        <v/>
      </c>
      <c r="D15" s="80">
        <f>'الامتياز · المؤشرات'!X15</f>
        <v/>
      </c>
      <c r="E15" s="81">
        <f>'الامتياز · المؤشرات'!Y15</f>
        <v/>
      </c>
      <c r="F15" s="82">
        <f>'الامتياز · المؤشرات'!V15</f>
        <v/>
      </c>
      <c r="G15" s="80">
        <f>'الامتياز · المؤشرات'!W15</f>
        <v/>
      </c>
    </row>
    <row r="16">
      <c r="A16" s="80" t="n">
        <v>13</v>
      </c>
      <c r="B16" s="81" t="inlineStr">
        <is>
          <t>الامتياز التجاري</t>
        </is>
      </c>
      <c r="C16" s="81">
        <f>'الامتياز · المؤشرات'!C16</f>
        <v/>
      </c>
      <c r="D16" s="80">
        <f>'الامتياز · المؤشرات'!X16</f>
        <v/>
      </c>
      <c r="E16" s="81">
        <f>'الامتياز · المؤشرات'!Y16</f>
        <v/>
      </c>
      <c r="F16" s="82">
        <f>'الامتياز · المؤشرات'!V16</f>
        <v/>
      </c>
      <c r="G16" s="80">
        <f>'الامتياز · المؤشرات'!W16</f>
        <v/>
      </c>
    </row>
    <row r="17">
      <c r="A17" s="80" t="n">
        <v>14</v>
      </c>
      <c r="B17" s="81" t="inlineStr">
        <is>
          <t>الامتياز التجاري</t>
        </is>
      </c>
      <c r="C17" s="81">
        <f>'الامتياز · المؤشرات'!C17</f>
        <v/>
      </c>
      <c r="D17" s="80">
        <f>'الامتياز · المؤشرات'!X17</f>
        <v/>
      </c>
      <c r="E17" s="81">
        <f>'الامتياز · المؤشرات'!Y17</f>
        <v/>
      </c>
      <c r="F17" s="82">
        <f>'الامتياز · المؤشرات'!V17</f>
        <v/>
      </c>
      <c r="G17" s="80">
        <f>'الامتياز · المؤشرات'!W17</f>
        <v/>
      </c>
    </row>
    <row r="18">
      <c r="A18" s="80" t="n">
        <v>15</v>
      </c>
      <c r="B18" s="81" t="inlineStr">
        <is>
          <t>الامتياز التجاري</t>
        </is>
      </c>
      <c r="C18" s="81">
        <f>'الامتياز · المؤشرات'!C18</f>
        <v/>
      </c>
      <c r="D18" s="80">
        <f>'الامتياز · المؤشرات'!X18</f>
        <v/>
      </c>
      <c r="E18" s="81">
        <f>'الامتياز · المؤشرات'!Y18</f>
        <v/>
      </c>
      <c r="F18" s="82">
        <f>'الامتياز · المؤشرات'!V18</f>
        <v/>
      </c>
      <c r="G18" s="80">
        <f>'الامتياز · المؤشرات'!W18</f>
        <v/>
      </c>
    </row>
    <row r="19">
      <c r="A19" s="80" t="n">
        <v>16</v>
      </c>
      <c r="B19" s="81" t="inlineStr">
        <is>
          <t>الامتياز التجاري</t>
        </is>
      </c>
      <c r="C19" s="81">
        <f>'الامتياز · المؤشرات'!C19</f>
        <v/>
      </c>
      <c r="D19" s="80">
        <f>'الامتياز · المؤشرات'!X19</f>
        <v/>
      </c>
      <c r="E19" s="81">
        <f>'الامتياز · المؤشرات'!Y19</f>
        <v/>
      </c>
      <c r="F19" s="82">
        <f>'الامتياز · المؤشرات'!V19</f>
        <v/>
      </c>
      <c r="G19" s="80">
        <f>'الامتياز · المؤشرات'!W19</f>
        <v/>
      </c>
    </row>
    <row r="20">
      <c r="A20" s="80" t="n">
        <v>17</v>
      </c>
      <c r="B20" s="81" t="inlineStr">
        <is>
          <t>الامتياز التجاري</t>
        </is>
      </c>
      <c r="C20" s="81">
        <f>'الامتياز · المؤشرات'!C20</f>
        <v/>
      </c>
      <c r="D20" s="80">
        <f>'الامتياز · المؤشرات'!X20</f>
        <v/>
      </c>
      <c r="E20" s="81">
        <f>'الامتياز · المؤشرات'!Y20</f>
        <v/>
      </c>
      <c r="F20" s="82">
        <f>'الامتياز · المؤشرات'!V20</f>
        <v/>
      </c>
      <c r="G20" s="80">
        <f>'الامتياز · المؤشرات'!W20</f>
        <v/>
      </c>
    </row>
    <row r="21">
      <c r="A21" s="80" t="n">
        <v>18</v>
      </c>
      <c r="B21" s="81" t="inlineStr">
        <is>
          <t>الامتياز التجاري</t>
        </is>
      </c>
      <c r="C21" s="81">
        <f>'الامتياز · المؤشرات'!C21</f>
        <v/>
      </c>
      <c r="D21" s="80">
        <f>'الامتياز · المؤشرات'!X21</f>
        <v/>
      </c>
      <c r="E21" s="81">
        <f>'الامتياز · المؤشرات'!Y21</f>
        <v/>
      </c>
      <c r="F21" s="82">
        <f>'الامتياز · المؤشرات'!V21</f>
        <v/>
      </c>
      <c r="G21" s="80">
        <f>'الامتياز · المؤشرات'!W21</f>
        <v/>
      </c>
    </row>
    <row r="22">
      <c r="A22" s="80" t="n">
        <v>19</v>
      </c>
      <c r="B22" s="81" t="inlineStr">
        <is>
          <t>الامتياز التجاري</t>
        </is>
      </c>
      <c r="C22" s="81">
        <f>'الامتياز · المؤشرات'!C22</f>
        <v/>
      </c>
      <c r="D22" s="80">
        <f>'الامتياز · المؤشرات'!X22</f>
        <v/>
      </c>
      <c r="E22" s="81">
        <f>'الامتياز · المؤشرات'!Y22</f>
        <v/>
      </c>
      <c r="F22" s="82">
        <f>'الامتياز · المؤشرات'!V22</f>
        <v/>
      </c>
      <c r="G22" s="80">
        <f>'الامتياز · المؤشرات'!W22</f>
        <v/>
      </c>
    </row>
    <row r="23">
      <c r="A23" s="80" t="n">
        <v>20</v>
      </c>
      <c r="B23" s="81" t="inlineStr">
        <is>
          <t>الامتياز التجاري</t>
        </is>
      </c>
      <c r="C23" s="81">
        <f>'الامتياز · المؤشرات'!C23</f>
        <v/>
      </c>
      <c r="D23" s="80">
        <f>'الامتياز · المؤشرات'!X23</f>
        <v/>
      </c>
      <c r="E23" s="81">
        <f>'الامتياز · المؤشرات'!Y23</f>
        <v/>
      </c>
      <c r="F23" s="82">
        <f>'الامتياز · المؤشرات'!V23</f>
        <v/>
      </c>
      <c r="G23" s="80">
        <f>'الامتياز · المؤشرات'!W23</f>
        <v/>
      </c>
    </row>
    <row r="24">
      <c r="A24" s="80" t="n">
        <v>21</v>
      </c>
      <c r="B24" s="81" t="inlineStr">
        <is>
          <t>الامتياز التجاري</t>
        </is>
      </c>
      <c r="C24" s="81">
        <f>'الامتياز · المؤشرات'!C24</f>
        <v/>
      </c>
      <c r="D24" s="80">
        <f>'الامتياز · المؤشرات'!X24</f>
        <v/>
      </c>
      <c r="E24" s="81">
        <f>'الامتياز · المؤشرات'!Y24</f>
        <v/>
      </c>
      <c r="F24" s="82">
        <f>'الامتياز · المؤشرات'!V24</f>
        <v/>
      </c>
      <c r="G24" s="80">
        <f>'الامتياز · المؤشرات'!W24</f>
        <v/>
      </c>
    </row>
    <row r="25">
      <c r="A25" s="80" t="n">
        <v>22</v>
      </c>
      <c r="B25" s="81" t="inlineStr">
        <is>
          <t>الامتياز التجاري</t>
        </is>
      </c>
      <c r="C25" s="81">
        <f>'الامتياز · المؤشرات'!C25</f>
        <v/>
      </c>
      <c r="D25" s="80">
        <f>'الامتياز · المؤشرات'!X25</f>
        <v/>
      </c>
      <c r="E25" s="81">
        <f>'الامتياز · المؤشرات'!Y25</f>
        <v/>
      </c>
      <c r="F25" s="82">
        <f>'الامتياز · المؤشرات'!V25</f>
        <v/>
      </c>
      <c r="G25" s="80">
        <f>'الامتياز · المؤشرات'!W25</f>
        <v/>
      </c>
    </row>
    <row r="26">
      <c r="A26" s="80" t="n">
        <v>23</v>
      </c>
      <c r="B26" s="81" t="inlineStr">
        <is>
          <t>الامتياز التجاري</t>
        </is>
      </c>
      <c r="C26" s="81">
        <f>'الامتياز · المؤشرات'!C26</f>
        <v/>
      </c>
      <c r="D26" s="80">
        <f>'الامتياز · المؤشرات'!X26</f>
        <v/>
      </c>
      <c r="E26" s="81">
        <f>'الامتياز · المؤشرات'!Y26</f>
        <v/>
      </c>
      <c r="F26" s="82">
        <f>'الامتياز · المؤشرات'!V26</f>
        <v/>
      </c>
      <c r="G26" s="80">
        <f>'الامتياز · المؤشرات'!W26</f>
        <v/>
      </c>
    </row>
    <row r="27">
      <c r="A27" s="80" t="n">
        <v>24</v>
      </c>
      <c r="B27" s="81" t="inlineStr">
        <is>
          <t>الامتياز التجاري</t>
        </is>
      </c>
      <c r="C27" s="81">
        <f>'الامتياز · المؤشرات'!C27</f>
        <v/>
      </c>
      <c r="D27" s="80">
        <f>'الامتياز · المؤشرات'!X27</f>
        <v/>
      </c>
      <c r="E27" s="81">
        <f>'الامتياز · المؤشرات'!Y27</f>
        <v/>
      </c>
      <c r="F27" s="82">
        <f>'الامتياز · المؤشرات'!V27</f>
        <v/>
      </c>
      <c r="G27" s="80">
        <f>'الامتياز · المؤشرات'!W27</f>
        <v/>
      </c>
    </row>
    <row r="28">
      <c r="A28" s="80" t="n">
        <v>25</v>
      </c>
      <c r="B28" s="81" t="inlineStr">
        <is>
          <t>الامتياز التجاري</t>
        </is>
      </c>
      <c r="C28" s="81">
        <f>'الامتياز · المؤشرات'!C28</f>
        <v/>
      </c>
      <c r="D28" s="80">
        <f>'الامتياز · المؤشرات'!X28</f>
        <v/>
      </c>
      <c r="E28" s="81">
        <f>'الامتياز · المؤشرات'!Y28</f>
        <v/>
      </c>
      <c r="F28" s="82">
        <f>'الامتياز · المؤشرات'!V28</f>
        <v/>
      </c>
      <c r="G28" s="80">
        <f>'الامتياز · المؤشرات'!W28</f>
        <v/>
      </c>
    </row>
    <row r="29">
      <c r="A29" s="80" t="n">
        <v>26</v>
      </c>
      <c r="B29" s="81" t="inlineStr">
        <is>
          <t>الامتياز التجاري</t>
        </is>
      </c>
      <c r="C29" s="81">
        <f>'الامتياز · المؤشرات'!C29</f>
        <v/>
      </c>
      <c r="D29" s="80">
        <f>'الامتياز · المؤشرات'!X29</f>
        <v/>
      </c>
      <c r="E29" s="81">
        <f>'الامتياز · المؤشرات'!Y29</f>
        <v/>
      </c>
      <c r="F29" s="82">
        <f>'الامتياز · المؤشرات'!V29</f>
        <v/>
      </c>
      <c r="G29" s="80">
        <f>'الامتياز · المؤشرات'!W29</f>
        <v/>
      </c>
    </row>
    <row r="30">
      <c r="A30" s="80" t="n">
        <v>27</v>
      </c>
      <c r="B30" s="81" t="inlineStr">
        <is>
          <t>الامتياز التجاري</t>
        </is>
      </c>
      <c r="C30" s="81">
        <f>'الامتياز · المؤشرات'!C30</f>
        <v/>
      </c>
      <c r="D30" s="80">
        <f>'الامتياز · المؤشرات'!X30</f>
        <v/>
      </c>
      <c r="E30" s="81">
        <f>'الامتياز · المؤشرات'!Y30</f>
        <v/>
      </c>
      <c r="F30" s="82">
        <f>'الامتياز · المؤشرات'!V30</f>
        <v/>
      </c>
      <c r="G30" s="80">
        <f>'الامتياز · المؤشرات'!W30</f>
        <v/>
      </c>
    </row>
    <row r="31">
      <c r="A31" s="80" t="n">
        <v>28</v>
      </c>
      <c r="B31" s="81" t="inlineStr">
        <is>
          <t>الامتياز التجاري</t>
        </is>
      </c>
      <c r="C31" s="81">
        <f>'الامتياز · المؤشرات'!C31</f>
        <v/>
      </c>
      <c r="D31" s="80">
        <f>'الامتياز · المؤشرات'!X31</f>
        <v/>
      </c>
      <c r="E31" s="81">
        <f>'الامتياز · المؤشرات'!Y31</f>
        <v/>
      </c>
      <c r="F31" s="82">
        <f>'الامتياز · المؤشرات'!V31</f>
        <v/>
      </c>
      <c r="G31" s="80">
        <f>'الامتياز · المؤشرات'!W31</f>
        <v/>
      </c>
    </row>
    <row r="32">
      <c r="A32" s="80" t="n">
        <v>29</v>
      </c>
      <c r="B32" s="81" t="inlineStr">
        <is>
          <t>الامتياز التجاري</t>
        </is>
      </c>
      <c r="C32" s="81">
        <f>'الامتياز · المؤشرات'!C32</f>
        <v/>
      </c>
      <c r="D32" s="80">
        <f>'الامتياز · المؤشرات'!X32</f>
        <v/>
      </c>
      <c r="E32" s="81">
        <f>'الامتياز · المؤشرات'!Y32</f>
        <v/>
      </c>
      <c r="F32" s="82">
        <f>'الامتياز · المؤشرات'!V32</f>
        <v/>
      </c>
      <c r="G32" s="80">
        <f>'الامتياز · المؤشرات'!W32</f>
        <v/>
      </c>
    </row>
    <row r="33">
      <c r="A33" s="80" t="n">
        <v>30</v>
      </c>
      <c r="B33" s="81" t="inlineStr">
        <is>
          <t>الامتياز التجاري</t>
        </is>
      </c>
      <c r="C33" s="81">
        <f>'الامتياز · المؤشرات'!C33</f>
        <v/>
      </c>
      <c r="D33" s="80">
        <f>'الامتياز · المؤشرات'!X33</f>
        <v/>
      </c>
      <c r="E33" s="81">
        <f>'الامتياز · المؤشرات'!Y33</f>
        <v/>
      </c>
      <c r="F33" s="82">
        <f>'الامتياز · المؤشرات'!V33</f>
        <v/>
      </c>
      <c r="G33" s="80">
        <f>'الامتياز · المؤشرات'!W33</f>
        <v/>
      </c>
    </row>
    <row r="34">
      <c r="A34" s="80" t="n">
        <v>31</v>
      </c>
      <c r="B34" s="81" t="inlineStr">
        <is>
          <t>الامتياز التجاري</t>
        </is>
      </c>
      <c r="C34" s="81">
        <f>'الامتياز · المؤشرات'!C34</f>
        <v/>
      </c>
      <c r="D34" s="80">
        <f>'الامتياز · المؤشرات'!X34</f>
        <v/>
      </c>
      <c r="E34" s="81">
        <f>'الامتياز · المؤشرات'!Y34</f>
        <v/>
      </c>
      <c r="F34" s="82">
        <f>'الامتياز · المؤشرات'!V34</f>
        <v/>
      </c>
      <c r="G34" s="80">
        <f>'الامتياز · المؤشرات'!W34</f>
        <v/>
      </c>
    </row>
    <row r="35">
      <c r="A35" s="80" t="n">
        <v>32</v>
      </c>
      <c r="B35" s="81" t="inlineStr">
        <is>
          <t>الامتياز التجاري</t>
        </is>
      </c>
      <c r="C35" s="81">
        <f>'الامتياز · المؤشرات'!C35</f>
        <v/>
      </c>
      <c r="D35" s="80">
        <f>'الامتياز · المؤشرات'!X35</f>
        <v/>
      </c>
      <c r="E35" s="81">
        <f>'الامتياز · المؤشرات'!Y35</f>
        <v/>
      </c>
      <c r="F35" s="82">
        <f>'الامتياز · المؤشرات'!V35</f>
        <v/>
      </c>
      <c r="G35" s="80">
        <f>'الامتياز · المؤشرات'!W35</f>
        <v/>
      </c>
    </row>
    <row r="36">
      <c r="A36" s="80" t="n">
        <v>33</v>
      </c>
      <c r="B36" s="81" t="inlineStr">
        <is>
          <t>الامتياز التجاري</t>
        </is>
      </c>
      <c r="C36" s="81">
        <f>'الامتياز · المؤشرات'!C36</f>
        <v/>
      </c>
      <c r="D36" s="80">
        <f>'الامتياز · المؤشرات'!X36</f>
        <v/>
      </c>
      <c r="E36" s="81">
        <f>'الامتياز · المؤشرات'!Y36</f>
        <v/>
      </c>
      <c r="F36" s="82">
        <f>'الامتياز · المؤشرات'!V36</f>
        <v/>
      </c>
      <c r="G36" s="80">
        <f>'الامتياز · المؤشرات'!W36</f>
        <v/>
      </c>
    </row>
    <row r="37">
      <c r="A37" s="80" t="n">
        <v>34</v>
      </c>
      <c r="B37" s="81" t="inlineStr">
        <is>
          <t>الامتياز التجاري</t>
        </is>
      </c>
      <c r="C37" s="81">
        <f>'الامتياز · المؤشرات'!C37</f>
        <v/>
      </c>
      <c r="D37" s="80">
        <f>'الامتياز · المؤشرات'!X37</f>
        <v/>
      </c>
      <c r="E37" s="81">
        <f>'الامتياز · المؤشرات'!Y37</f>
        <v/>
      </c>
      <c r="F37" s="82">
        <f>'الامتياز · المؤشرات'!V37</f>
        <v/>
      </c>
      <c r="G37" s="80">
        <f>'الامتياز · المؤشرات'!W37</f>
        <v/>
      </c>
    </row>
    <row r="38">
      <c r="A38" s="80" t="n">
        <v>35</v>
      </c>
      <c r="B38" s="81" t="inlineStr">
        <is>
          <t>الامتياز التجاري</t>
        </is>
      </c>
      <c r="C38" s="81">
        <f>'الامتياز · المؤشرات'!C38</f>
        <v/>
      </c>
      <c r="D38" s="80">
        <f>'الامتياز · المؤشرات'!X38</f>
        <v/>
      </c>
      <c r="E38" s="81">
        <f>'الامتياز · المؤشرات'!Y38</f>
        <v/>
      </c>
      <c r="F38" s="82">
        <f>'الامتياز · المؤشرات'!V38</f>
        <v/>
      </c>
      <c r="G38" s="80">
        <f>'الامتياز · المؤشرات'!W38</f>
        <v/>
      </c>
    </row>
    <row r="39">
      <c r="A39" s="80" t="n">
        <v>36</v>
      </c>
      <c r="B39" s="81" t="inlineStr">
        <is>
          <t>الامتياز التجاري</t>
        </is>
      </c>
      <c r="C39" s="81">
        <f>'الامتياز · المؤشرات'!C39</f>
        <v/>
      </c>
      <c r="D39" s="80">
        <f>'الامتياز · المؤشرات'!X39</f>
        <v/>
      </c>
      <c r="E39" s="81">
        <f>'الامتياز · المؤشرات'!Y39</f>
        <v/>
      </c>
      <c r="F39" s="82">
        <f>'الامتياز · المؤشرات'!V39</f>
        <v/>
      </c>
      <c r="G39" s="80">
        <f>'الامتياز · المؤشرات'!W39</f>
        <v/>
      </c>
    </row>
    <row r="40">
      <c r="A40" s="80" t="n">
        <v>37</v>
      </c>
      <c r="B40" s="81" t="inlineStr">
        <is>
          <t>التشغيل والمحطات</t>
        </is>
      </c>
      <c r="C40" s="81">
        <f>'التشغيل · المؤشرات'!C4</f>
        <v/>
      </c>
      <c r="D40" s="80">
        <f>'التشغيل · المؤشرات'!X4</f>
        <v/>
      </c>
      <c r="E40" s="81">
        <f>'التشغيل · المؤشرات'!Y4</f>
        <v/>
      </c>
      <c r="F40" s="82">
        <f>'التشغيل · المؤشرات'!V4</f>
        <v/>
      </c>
      <c r="G40" s="80">
        <f>'التشغيل · المؤشرات'!W4</f>
        <v/>
      </c>
    </row>
    <row r="41">
      <c r="A41" s="80" t="n">
        <v>38</v>
      </c>
      <c r="B41" s="81" t="inlineStr">
        <is>
          <t>التشغيل والمحطات</t>
        </is>
      </c>
      <c r="C41" s="81">
        <f>'التشغيل · المؤشرات'!C5</f>
        <v/>
      </c>
      <c r="D41" s="80">
        <f>'التشغيل · المؤشرات'!X5</f>
        <v/>
      </c>
      <c r="E41" s="81">
        <f>'التشغيل · المؤشرات'!Y5</f>
        <v/>
      </c>
      <c r="F41" s="82">
        <f>'التشغيل · المؤشرات'!V5</f>
        <v/>
      </c>
      <c r="G41" s="80">
        <f>'التشغيل · المؤشرات'!W5</f>
        <v/>
      </c>
    </row>
    <row r="42">
      <c r="A42" s="80" t="n">
        <v>39</v>
      </c>
      <c r="B42" s="81" t="inlineStr">
        <is>
          <t>التشغيل والمحطات</t>
        </is>
      </c>
      <c r="C42" s="81">
        <f>'التشغيل · المؤشرات'!C6</f>
        <v/>
      </c>
      <c r="D42" s="80">
        <f>'التشغيل · المؤشرات'!X6</f>
        <v/>
      </c>
      <c r="E42" s="81">
        <f>'التشغيل · المؤشرات'!Y6</f>
        <v/>
      </c>
      <c r="F42" s="82">
        <f>'التشغيل · المؤشرات'!V6</f>
        <v/>
      </c>
      <c r="G42" s="80">
        <f>'التشغيل · المؤشرات'!W6</f>
        <v/>
      </c>
    </row>
    <row r="43">
      <c r="A43" s="80" t="n">
        <v>40</v>
      </c>
      <c r="B43" s="81" t="inlineStr">
        <is>
          <t>التشغيل والمحطات</t>
        </is>
      </c>
      <c r="C43" s="81">
        <f>'التشغيل · المؤشرات'!C7</f>
        <v/>
      </c>
      <c r="D43" s="80">
        <f>'التشغيل · المؤشرات'!X7</f>
        <v/>
      </c>
      <c r="E43" s="81">
        <f>'التشغيل · المؤشرات'!Y7</f>
        <v/>
      </c>
      <c r="F43" s="82">
        <f>'التشغيل · المؤشرات'!V7</f>
        <v/>
      </c>
      <c r="G43" s="80">
        <f>'التشغيل · المؤشرات'!W7</f>
        <v/>
      </c>
    </row>
    <row r="44">
      <c r="A44" s="80" t="n">
        <v>41</v>
      </c>
      <c r="B44" s="81" t="inlineStr">
        <is>
          <t>التشغيل والمحطات</t>
        </is>
      </c>
      <c r="C44" s="81">
        <f>'التشغيل · المؤشرات'!C8</f>
        <v/>
      </c>
      <c r="D44" s="80">
        <f>'التشغيل · المؤشرات'!X8</f>
        <v/>
      </c>
      <c r="E44" s="81">
        <f>'التشغيل · المؤشرات'!Y8</f>
        <v/>
      </c>
      <c r="F44" s="82">
        <f>'التشغيل · المؤشرات'!V8</f>
        <v/>
      </c>
      <c r="G44" s="80">
        <f>'التشغيل · المؤشرات'!W8</f>
        <v/>
      </c>
    </row>
    <row r="45">
      <c r="A45" s="80" t="n">
        <v>42</v>
      </c>
      <c r="B45" s="81" t="inlineStr">
        <is>
          <t>التشغيل والمحطات</t>
        </is>
      </c>
      <c r="C45" s="81">
        <f>'التشغيل · المؤشرات'!C9</f>
        <v/>
      </c>
      <c r="D45" s="80">
        <f>'التشغيل · المؤشرات'!X9</f>
        <v/>
      </c>
      <c r="E45" s="81">
        <f>'التشغيل · المؤشرات'!Y9</f>
        <v/>
      </c>
      <c r="F45" s="82">
        <f>'التشغيل · المؤشرات'!V9</f>
        <v/>
      </c>
      <c r="G45" s="80">
        <f>'التشغيل · المؤشرات'!W9</f>
        <v/>
      </c>
    </row>
    <row r="46">
      <c r="A46" s="80" t="n">
        <v>43</v>
      </c>
      <c r="B46" s="81" t="inlineStr">
        <is>
          <t>التشغيل والمحطات</t>
        </is>
      </c>
      <c r="C46" s="81">
        <f>'التشغيل · المؤشرات'!C10</f>
        <v/>
      </c>
      <c r="D46" s="80">
        <f>'التشغيل · المؤشرات'!X10</f>
        <v/>
      </c>
      <c r="E46" s="81">
        <f>'التشغيل · المؤشرات'!Y10</f>
        <v/>
      </c>
      <c r="F46" s="82">
        <f>'التشغيل · المؤشرات'!V10</f>
        <v/>
      </c>
      <c r="G46" s="80">
        <f>'التشغيل · المؤشرات'!W10</f>
        <v/>
      </c>
    </row>
    <row r="47">
      <c r="A47" s="80" t="n">
        <v>44</v>
      </c>
      <c r="B47" s="81" t="inlineStr">
        <is>
          <t>التشغيل والمحطات</t>
        </is>
      </c>
      <c r="C47" s="81">
        <f>'التشغيل · المؤشرات'!C11</f>
        <v/>
      </c>
      <c r="D47" s="80">
        <f>'التشغيل · المؤشرات'!X11</f>
        <v/>
      </c>
      <c r="E47" s="81">
        <f>'التشغيل · المؤشرات'!Y11</f>
        <v/>
      </c>
      <c r="F47" s="82">
        <f>'التشغيل · المؤشرات'!V11</f>
        <v/>
      </c>
      <c r="G47" s="80">
        <f>'التشغيل · المؤشرات'!W11</f>
        <v/>
      </c>
    </row>
    <row r="48">
      <c r="A48" s="80" t="n">
        <v>45</v>
      </c>
      <c r="B48" s="81" t="inlineStr">
        <is>
          <t>التشغيل والمحطات</t>
        </is>
      </c>
      <c r="C48" s="81">
        <f>'التشغيل · المؤشرات'!C12</f>
        <v/>
      </c>
      <c r="D48" s="80">
        <f>'التشغيل · المؤشرات'!X12</f>
        <v/>
      </c>
      <c r="E48" s="81">
        <f>'التشغيل · المؤشرات'!Y12</f>
        <v/>
      </c>
      <c r="F48" s="82">
        <f>'التشغيل · المؤشرات'!V12</f>
        <v/>
      </c>
      <c r="G48" s="80">
        <f>'التشغيل · المؤشرات'!W12</f>
        <v/>
      </c>
    </row>
    <row r="49">
      <c r="A49" s="80" t="n">
        <v>46</v>
      </c>
      <c r="B49" s="81" t="inlineStr">
        <is>
          <t>التشغيل والمحطات</t>
        </is>
      </c>
      <c r="C49" s="81">
        <f>'التشغيل · المؤشرات'!C13</f>
        <v/>
      </c>
      <c r="D49" s="80">
        <f>'التشغيل · المؤشرات'!X13</f>
        <v/>
      </c>
      <c r="E49" s="81">
        <f>'التشغيل · المؤشرات'!Y13</f>
        <v/>
      </c>
      <c r="F49" s="82">
        <f>'التشغيل · المؤشرات'!V13</f>
        <v/>
      </c>
      <c r="G49" s="80">
        <f>'التشغيل · المؤشرات'!W13</f>
        <v/>
      </c>
    </row>
    <row r="50">
      <c r="A50" s="80" t="n">
        <v>47</v>
      </c>
      <c r="B50" s="81" t="inlineStr">
        <is>
          <t>التشغيل والمحطات</t>
        </is>
      </c>
      <c r="C50" s="81">
        <f>'التشغيل · المؤشرات'!C14</f>
        <v/>
      </c>
      <c r="D50" s="80">
        <f>'التشغيل · المؤشرات'!X14</f>
        <v/>
      </c>
      <c r="E50" s="81">
        <f>'التشغيل · المؤشرات'!Y14</f>
        <v/>
      </c>
      <c r="F50" s="82">
        <f>'التشغيل · المؤشرات'!V14</f>
        <v/>
      </c>
      <c r="G50" s="80">
        <f>'التشغيل · المؤشرات'!W14</f>
        <v/>
      </c>
    </row>
    <row r="51">
      <c r="A51" s="80" t="n">
        <v>48</v>
      </c>
      <c r="B51" s="81" t="inlineStr">
        <is>
          <t>التشغيل والمحطات</t>
        </is>
      </c>
      <c r="C51" s="81">
        <f>'التشغيل · المؤشرات'!C15</f>
        <v/>
      </c>
      <c r="D51" s="80">
        <f>'التشغيل · المؤشرات'!X15</f>
        <v/>
      </c>
      <c r="E51" s="81">
        <f>'التشغيل · المؤشرات'!Y15</f>
        <v/>
      </c>
      <c r="F51" s="82">
        <f>'التشغيل · المؤشرات'!V15</f>
        <v/>
      </c>
      <c r="G51" s="80">
        <f>'التشغيل · المؤشرات'!W15</f>
        <v/>
      </c>
    </row>
    <row r="52">
      <c r="A52" s="80" t="n">
        <v>49</v>
      </c>
      <c r="B52" s="81" t="inlineStr">
        <is>
          <t>التشغيل والمحطات</t>
        </is>
      </c>
      <c r="C52" s="81">
        <f>'التشغيل · المؤشرات'!C16</f>
        <v/>
      </c>
      <c r="D52" s="80">
        <f>'التشغيل · المؤشرات'!X16</f>
        <v/>
      </c>
      <c r="E52" s="81">
        <f>'التشغيل · المؤشرات'!Y16</f>
        <v/>
      </c>
      <c r="F52" s="82">
        <f>'التشغيل · المؤشرات'!V16</f>
        <v/>
      </c>
      <c r="G52" s="80">
        <f>'التشغيل · المؤشرات'!W16</f>
        <v/>
      </c>
    </row>
    <row r="53">
      <c r="A53" s="80" t="n">
        <v>50</v>
      </c>
      <c r="B53" s="81" t="inlineStr">
        <is>
          <t>التشغيل والمحطات</t>
        </is>
      </c>
      <c r="C53" s="81">
        <f>'التشغيل · المؤشرات'!C17</f>
        <v/>
      </c>
      <c r="D53" s="80">
        <f>'التشغيل · المؤشرات'!X17</f>
        <v/>
      </c>
      <c r="E53" s="81">
        <f>'التشغيل · المؤشرات'!Y17</f>
        <v/>
      </c>
      <c r="F53" s="82">
        <f>'التشغيل · المؤشرات'!V17</f>
        <v/>
      </c>
      <c r="G53" s="80">
        <f>'التشغيل · المؤشرات'!W17</f>
        <v/>
      </c>
    </row>
    <row r="54">
      <c r="A54" s="80" t="n">
        <v>51</v>
      </c>
      <c r="B54" s="81" t="inlineStr">
        <is>
          <t>التشغيل والمحطات</t>
        </is>
      </c>
      <c r="C54" s="81">
        <f>'التشغيل · المؤشرات'!C18</f>
        <v/>
      </c>
      <c r="D54" s="80">
        <f>'التشغيل · المؤشرات'!X18</f>
        <v/>
      </c>
      <c r="E54" s="81">
        <f>'التشغيل · المؤشرات'!Y18</f>
        <v/>
      </c>
      <c r="F54" s="82">
        <f>'التشغيل · المؤشرات'!V18</f>
        <v/>
      </c>
      <c r="G54" s="80">
        <f>'التشغيل · المؤشرات'!W18</f>
        <v/>
      </c>
    </row>
    <row r="55">
      <c r="A55" s="80" t="n">
        <v>52</v>
      </c>
      <c r="B55" s="81" t="inlineStr">
        <is>
          <t>التشغيل والمحطات</t>
        </is>
      </c>
      <c r="C55" s="81">
        <f>'التشغيل · المؤشرات'!C19</f>
        <v/>
      </c>
      <c r="D55" s="80">
        <f>'التشغيل · المؤشرات'!X19</f>
        <v/>
      </c>
      <c r="E55" s="81">
        <f>'التشغيل · المؤشرات'!Y19</f>
        <v/>
      </c>
      <c r="F55" s="82">
        <f>'التشغيل · المؤشرات'!V19</f>
        <v/>
      </c>
      <c r="G55" s="80">
        <f>'التشغيل · المؤشرات'!W19</f>
        <v/>
      </c>
    </row>
    <row r="56">
      <c r="A56" s="80" t="n">
        <v>53</v>
      </c>
      <c r="B56" s="81" t="inlineStr">
        <is>
          <t>الاستثمار</t>
        </is>
      </c>
      <c r="C56" s="81">
        <f>'الاستثمار · المؤشرات'!C4</f>
        <v/>
      </c>
      <c r="D56" s="80">
        <f>'الاستثمار · المؤشرات'!X4</f>
        <v/>
      </c>
      <c r="E56" s="81">
        <f>'الاستثمار · المؤشرات'!Y4</f>
        <v/>
      </c>
      <c r="F56" s="82">
        <f>'الاستثمار · المؤشرات'!V4</f>
        <v/>
      </c>
      <c r="G56" s="80">
        <f>'الاستثمار · المؤشرات'!W4</f>
        <v/>
      </c>
    </row>
    <row r="57">
      <c r="A57" s="80" t="n">
        <v>54</v>
      </c>
      <c r="B57" s="81" t="inlineStr">
        <is>
          <t>الاستثمار</t>
        </is>
      </c>
      <c r="C57" s="81">
        <f>'الاستثمار · المؤشرات'!C5</f>
        <v/>
      </c>
      <c r="D57" s="80">
        <f>'الاستثمار · المؤشرات'!X5</f>
        <v/>
      </c>
      <c r="E57" s="81">
        <f>'الاستثمار · المؤشرات'!Y5</f>
        <v/>
      </c>
      <c r="F57" s="82">
        <f>'الاستثمار · المؤشرات'!V5</f>
        <v/>
      </c>
      <c r="G57" s="80">
        <f>'الاستثمار · المؤشرات'!W5</f>
        <v/>
      </c>
    </row>
    <row r="58">
      <c r="A58" s="80" t="n">
        <v>55</v>
      </c>
      <c r="B58" s="81" t="inlineStr">
        <is>
          <t>الاستثمار</t>
        </is>
      </c>
      <c r="C58" s="81">
        <f>'الاستثمار · المؤشرات'!C6</f>
        <v/>
      </c>
      <c r="D58" s="80">
        <f>'الاستثمار · المؤشرات'!X6</f>
        <v/>
      </c>
      <c r="E58" s="81">
        <f>'الاستثمار · المؤشرات'!Y6</f>
        <v/>
      </c>
      <c r="F58" s="82">
        <f>'الاستثمار · المؤشرات'!V6</f>
        <v/>
      </c>
      <c r="G58" s="80">
        <f>'الاستثمار · المؤشرات'!W6</f>
        <v/>
      </c>
    </row>
    <row r="59">
      <c r="A59" s="80" t="n">
        <v>56</v>
      </c>
      <c r="B59" s="81" t="inlineStr">
        <is>
          <t>الاستثمار</t>
        </is>
      </c>
      <c r="C59" s="81">
        <f>'الاستثمار · المؤشرات'!C7</f>
        <v/>
      </c>
      <c r="D59" s="80">
        <f>'الاستثمار · المؤشرات'!X7</f>
        <v/>
      </c>
      <c r="E59" s="81">
        <f>'الاستثمار · المؤشرات'!Y7</f>
        <v/>
      </c>
      <c r="F59" s="82">
        <f>'الاستثمار · المؤشرات'!V7</f>
        <v/>
      </c>
      <c r="G59" s="80">
        <f>'الاستثمار · المؤشرات'!W7</f>
        <v/>
      </c>
    </row>
    <row r="60">
      <c r="A60" s="80" t="n">
        <v>57</v>
      </c>
      <c r="B60" s="81" t="inlineStr">
        <is>
          <t>الاستثمار</t>
        </is>
      </c>
      <c r="C60" s="81">
        <f>'الاستثمار · المؤشرات'!C8</f>
        <v/>
      </c>
      <c r="D60" s="80">
        <f>'الاستثمار · المؤشرات'!X8</f>
        <v/>
      </c>
      <c r="E60" s="81">
        <f>'الاستثمار · المؤشرات'!Y8</f>
        <v/>
      </c>
      <c r="F60" s="82">
        <f>'الاستثمار · المؤشرات'!V8</f>
        <v/>
      </c>
      <c r="G60" s="80">
        <f>'الاستثمار · المؤشرات'!W8</f>
        <v/>
      </c>
    </row>
    <row r="61">
      <c r="A61" s="80" t="n">
        <v>58</v>
      </c>
      <c r="B61" s="81" t="inlineStr">
        <is>
          <t>الاستثمار</t>
        </is>
      </c>
      <c r="C61" s="81">
        <f>'الاستثمار · المؤشرات'!C9</f>
        <v/>
      </c>
      <c r="D61" s="80">
        <f>'الاستثمار · المؤشرات'!X9</f>
        <v/>
      </c>
      <c r="E61" s="81">
        <f>'الاستثمار · المؤشرات'!Y9</f>
        <v/>
      </c>
      <c r="F61" s="82">
        <f>'الاستثمار · المؤشرات'!V9</f>
        <v/>
      </c>
      <c r="G61" s="80">
        <f>'الاستثمار · المؤشرات'!W9</f>
        <v/>
      </c>
    </row>
    <row r="62">
      <c r="A62" s="80" t="n">
        <v>59</v>
      </c>
      <c r="B62" s="81" t="inlineStr">
        <is>
          <t>الاستثمار</t>
        </is>
      </c>
      <c r="C62" s="81">
        <f>'الاستثمار · المؤشرات'!C10</f>
        <v/>
      </c>
      <c r="D62" s="80">
        <f>'الاستثمار · المؤشرات'!X10</f>
        <v/>
      </c>
      <c r="E62" s="81">
        <f>'الاستثمار · المؤشرات'!Y10</f>
        <v/>
      </c>
      <c r="F62" s="82">
        <f>'الاستثمار · المؤشرات'!V10</f>
        <v/>
      </c>
      <c r="G62" s="80">
        <f>'الاستثمار · المؤشرات'!W10</f>
        <v/>
      </c>
    </row>
    <row r="63">
      <c r="A63" s="80" t="n">
        <v>60</v>
      </c>
      <c r="B63" s="81" t="inlineStr">
        <is>
          <t>الاستثمار</t>
        </is>
      </c>
      <c r="C63" s="81">
        <f>'الاستثمار · المؤشرات'!C11</f>
        <v/>
      </c>
      <c r="D63" s="80">
        <f>'الاستثمار · المؤشرات'!X11</f>
        <v/>
      </c>
      <c r="E63" s="81">
        <f>'الاستثمار · المؤشرات'!Y11</f>
        <v/>
      </c>
      <c r="F63" s="82">
        <f>'الاستثمار · المؤشرات'!V11</f>
        <v/>
      </c>
      <c r="G63" s="80">
        <f>'الاستثمار · المؤشرات'!W11</f>
        <v/>
      </c>
    </row>
    <row r="64">
      <c r="A64" s="80" t="n">
        <v>61</v>
      </c>
      <c r="B64" s="81" t="inlineStr">
        <is>
          <t>الاستثمار</t>
        </is>
      </c>
      <c r="C64" s="81">
        <f>'الاستثمار · المؤشرات'!C12</f>
        <v/>
      </c>
      <c r="D64" s="80">
        <f>'الاستثمار · المؤشرات'!X12</f>
        <v/>
      </c>
      <c r="E64" s="81">
        <f>'الاستثمار · المؤشرات'!Y12</f>
        <v/>
      </c>
      <c r="F64" s="82">
        <f>'الاستثمار · المؤشرات'!V12</f>
        <v/>
      </c>
      <c r="G64" s="80">
        <f>'الاستثمار · المؤشرات'!W12</f>
        <v/>
      </c>
    </row>
    <row r="65">
      <c r="A65" s="80" t="n">
        <v>62</v>
      </c>
      <c r="B65" s="81" t="inlineStr">
        <is>
          <t>الاستثمار</t>
        </is>
      </c>
      <c r="C65" s="81">
        <f>'الاستثمار · المؤشرات'!C13</f>
        <v/>
      </c>
      <c r="D65" s="80">
        <f>'الاستثمار · المؤشرات'!X13</f>
        <v/>
      </c>
      <c r="E65" s="81">
        <f>'الاستثمار · المؤشرات'!Y13</f>
        <v/>
      </c>
      <c r="F65" s="82">
        <f>'الاستثمار · المؤشرات'!V13</f>
        <v/>
      </c>
      <c r="G65" s="80">
        <f>'الاستثمار · المؤشرات'!W13</f>
        <v/>
      </c>
    </row>
    <row r="66">
      <c r="A66" s="80" t="n">
        <v>63</v>
      </c>
      <c r="B66" s="81" t="inlineStr">
        <is>
          <t>الاستثمار</t>
        </is>
      </c>
      <c r="C66" s="81">
        <f>'الاستثمار · المؤشرات'!C14</f>
        <v/>
      </c>
      <c r="D66" s="80">
        <f>'الاستثمار · المؤشرات'!X14</f>
        <v/>
      </c>
      <c r="E66" s="81">
        <f>'الاستثمار · المؤشرات'!Y14</f>
        <v/>
      </c>
      <c r="F66" s="82">
        <f>'الاستثمار · المؤشرات'!V14</f>
        <v/>
      </c>
      <c r="G66" s="80">
        <f>'الاستثمار · المؤشرات'!W14</f>
        <v/>
      </c>
    </row>
    <row r="67">
      <c r="A67" s="80" t="n">
        <v>64</v>
      </c>
      <c r="B67" s="81" t="inlineStr">
        <is>
          <t>الاستثمار</t>
        </is>
      </c>
      <c r="C67" s="81">
        <f>'الاستثمار · المؤشرات'!C15</f>
        <v/>
      </c>
      <c r="D67" s="80">
        <f>'الاستثمار · المؤشرات'!X15</f>
        <v/>
      </c>
      <c r="E67" s="81">
        <f>'الاستثمار · المؤشرات'!Y15</f>
        <v/>
      </c>
      <c r="F67" s="82">
        <f>'الاستثمار · المؤشرات'!V15</f>
        <v/>
      </c>
      <c r="G67" s="80">
        <f>'الاستثمار · المؤشرات'!W15</f>
        <v/>
      </c>
    </row>
    <row r="68">
      <c r="A68" s="80" t="n">
        <v>65</v>
      </c>
      <c r="B68" s="81" t="inlineStr">
        <is>
          <t>الاستثمار</t>
        </is>
      </c>
      <c r="C68" s="81">
        <f>'الاستثمار · المؤشرات'!C16</f>
        <v/>
      </c>
      <c r="D68" s="80">
        <f>'الاستثمار · المؤشرات'!X16</f>
        <v/>
      </c>
      <c r="E68" s="81">
        <f>'الاستثمار · المؤشرات'!Y16</f>
        <v/>
      </c>
      <c r="F68" s="82">
        <f>'الاستثمار · المؤشرات'!V16</f>
        <v/>
      </c>
      <c r="G68" s="80">
        <f>'الاستثمار · المؤشرات'!W16</f>
        <v/>
      </c>
    </row>
    <row r="69">
      <c r="A69" s="80" t="n">
        <v>66</v>
      </c>
      <c r="B69" s="81" t="inlineStr">
        <is>
          <t>الاستثمار</t>
        </is>
      </c>
      <c r="C69" s="81">
        <f>'الاستثمار · المؤشرات'!C17</f>
        <v/>
      </c>
      <c r="D69" s="80">
        <f>'الاستثمار · المؤشرات'!X17</f>
        <v/>
      </c>
      <c r="E69" s="81">
        <f>'الاستثمار · المؤشرات'!Y17</f>
        <v/>
      </c>
      <c r="F69" s="82">
        <f>'الاستثمار · المؤشرات'!V17</f>
        <v/>
      </c>
      <c r="G69" s="80">
        <f>'الاستثمار · المؤشرات'!W17</f>
        <v/>
      </c>
    </row>
    <row r="70">
      <c r="A70" s="80" t="n">
        <v>67</v>
      </c>
      <c r="B70" s="81" t="inlineStr">
        <is>
          <t>الاستثمار</t>
        </is>
      </c>
      <c r="C70" s="81">
        <f>'الاستثمار · المؤشرات'!C18</f>
        <v/>
      </c>
      <c r="D70" s="80">
        <f>'الاستثمار · المؤشرات'!X18</f>
        <v/>
      </c>
      <c r="E70" s="81">
        <f>'الاستثمار · المؤشرات'!Y18</f>
        <v/>
      </c>
      <c r="F70" s="82">
        <f>'الاستثمار · المؤشرات'!V18</f>
        <v/>
      </c>
      <c r="G70" s="80">
        <f>'الاستثمار · المؤشرات'!W18</f>
        <v/>
      </c>
    </row>
    <row r="71">
      <c r="A71" s="80" t="n">
        <v>68</v>
      </c>
      <c r="B71" s="81" t="inlineStr">
        <is>
          <t>الاستثمار</t>
        </is>
      </c>
      <c r="C71" s="81">
        <f>'الاستثمار · المؤشرات'!C19</f>
        <v/>
      </c>
      <c r="D71" s="80">
        <f>'الاستثمار · المؤشرات'!X19</f>
        <v/>
      </c>
      <c r="E71" s="81">
        <f>'الاستثمار · المؤشرات'!Y19</f>
        <v/>
      </c>
      <c r="F71" s="82">
        <f>'الاستثمار · المؤشرات'!V19</f>
        <v/>
      </c>
      <c r="G71" s="80">
        <f>'الاستثمار · المؤشرات'!W19</f>
        <v/>
      </c>
    </row>
    <row r="72">
      <c r="A72" s="80" t="n">
        <v>69</v>
      </c>
      <c r="B72" s="81" t="inlineStr">
        <is>
          <t>الاستثمار</t>
        </is>
      </c>
      <c r="C72" s="81">
        <f>'الاستثمار · المؤشرات'!C20</f>
        <v/>
      </c>
      <c r="D72" s="80">
        <f>'الاستثمار · المؤشرات'!X20</f>
        <v/>
      </c>
      <c r="E72" s="81">
        <f>'الاستثمار · المؤشرات'!Y20</f>
        <v/>
      </c>
      <c r="F72" s="82">
        <f>'الاستثمار · المؤشرات'!V20</f>
        <v/>
      </c>
      <c r="G72" s="80">
        <f>'الاستثمار · المؤشرات'!W20</f>
        <v/>
      </c>
    </row>
    <row r="73">
      <c r="A73" s="80" t="n">
        <v>70</v>
      </c>
      <c r="B73" s="81" t="inlineStr">
        <is>
          <t>الاستثمار</t>
        </is>
      </c>
      <c r="C73" s="81">
        <f>'الاستثمار · المؤشرات'!C21</f>
        <v/>
      </c>
      <c r="D73" s="80">
        <f>'الاستثمار · المؤشرات'!X21</f>
        <v/>
      </c>
      <c r="E73" s="81">
        <f>'الاستثمار · المؤشرات'!Y21</f>
        <v/>
      </c>
      <c r="F73" s="82">
        <f>'الاستثمار · المؤشرات'!V21</f>
        <v/>
      </c>
      <c r="G73" s="80">
        <f>'الاستثمار · المؤشرات'!W21</f>
        <v/>
      </c>
    </row>
    <row r="74">
      <c r="A74" s="80" t="n">
        <v>71</v>
      </c>
      <c r="B74" s="81" t="inlineStr">
        <is>
          <t>الاستثمار</t>
        </is>
      </c>
      <c r="C74" s="81">
        <f>'الاستثمار · المؤشرات'!C22</f>
        <v/>
      </c>
      <c r="D74" s="80">
        <f>'الاستثمار · المؤشرات'!X22</f>
        <v/>
      </c>
      <c r="E74" s="81">
        <f>'الاستثمار · المؤشرات'!Y22</f>
        <v/>
      </c>
      <c r="F74" s="82">
        <f>'الاستثمار · المؤشرات'!V22</f>
        <v/>
      </c>
      <c r="G74" s="80">
        <f>'الاستثمار · المؤشرات'!W22</f>
        <v/>
      </c>
    </row>
    <row r="75">
      <c r="A75" s="80" t="n">
        <v>72</v>
      </c>
      <c r="B75" s="81" t="inlineStr">
        <is>
          <t>الاستثمار</t>
        </is>
      </c>
      <c r="C75" s="81">
        <f>'الاستثمار · المؤشرات'!C23</f>
        <v/>
      </c>
      <c r="D75" s="80">
        <f>'الاستثمار · المؤشرات'!X23</f>
        <v/>
      </c>
      <c r="E75" s="81">
        <f>'الاستثمار · المؤشرات'!Y23</f>
        <v/>
      </c>
      <c r="F75" s="82">
        <f>'الاستثمار · المؤشرات'!V23</f>
        <v/>
      </c>
      <c r="G75" s="80">
        <f>'الاستثمار · المؤشرات'!W23</f>
        <v/>
      </c>
    </row>
    <row r="76">
      <c r="A76" s="80" t="n">
        <v>73</v>
      </c>
      <c r="B76" s="81" t="inlineStr">
        <is>
          <t>الاستثمار</t>
        </is>
      </c>
      <c r="C76" s="81">
        <f>'الاستثمار · المؤشرات'!C24</f>
        <v/>
      </c>
      <c r="D76" s="80">
        <f>'الاستثمار · المؤشرات'!X24</f>
        <v/>
      </c>
      <c r="E76" s="81">
        <f>'الاستثمار · المؤشرات'!Y24</f>
        <v/>
      </c>
      <c r="F76" s="82">
        <f>'الاستثمار · المؤشرات'!V24</f>
        <v/>
      </c>
      <c r="G76" s="80">
        <f>'الاستثمار · المؤشرات'!W24</f>
        <v/>
      </c>
    </row>
    <row r="77">
      <c r="A77" s="80" t="n">
        <v>74</v>
      </c>
      <c r="B77" s="81" t="inlineStr">
        <is>
          <t>الاستثمار</t>
        </is>
      </c>
      <c r="C77" s="81">
        <f>'الاستثمار · المؤشرات'!C25</f>
        <v/>
      </c>
      <c r="D77" s="80">
        <f>'الاستثمار · المؤشرات'!X25</f>
        <v/>
      </c>
      <c r="E77" s="81">
        <f>'الاستثمار · المؤشرات'!Y25</f>
        <v/>
      </c>
      <c r="F77" s="82">
        <f>'الاستثمار · المؤشرات'!V25</f>
        <v/>
      </c>
      <c r="G77" s="80">
        <f>'الاستثمار · المؤشرات'!W25</f>
        <v/>
      </c>
    </row>
    <row r="78">
      <c r="A78" s="80" t="n">
        <v>75</v>
      </c>
      <c r="B78" s="81" t="inlineStr">
        <is>
          <t>الاستثمار</t>
        </is>
      </c>
      <c r="C78" s="81">
        <f>'الاستثمار · المؤشرات'!C26</f>
        <v/>
      </c>
      <c r="D78" s="80">
        <f>'الاستثمار · المؤشرات'!X26</f>
        <v/>
      </c>
      <c r="E78" s="81">
        <f>'الاستثمار · المؤشرات'!Y26</f>
        <v/>
      </c>
      <c r="F78" s="82">
        <f>'الاستثمار · المؤشرات'!V26</f>
        <v/>
      </c>
      <c r="G78" s="80">
        <f>'الاستثمار · المؤشرات'!W26</f>
        <v/>
      </c>
    </row>
    <row r="79">
      <c r="A79" s="80" t="n">
        <v>76</v>
      </c>
      <c r="B79" s="81" t="inlineStr">
        <is>
          <t>الاستثمار</t>
        </is>
      </c>
      <c r="C79" s="81">
        <f>'الاستثمار · المؤشرات'!C27</f>
        <v/>
      </c>
      <c r="D79" s="80">
        <f>'الاستثمار · المؤشرات'!X27</f>
        <v/>
      </c>
      <c r="E79" s="81">
        <f>'الاستثمار · المؤشرات'!Y27</f>
        <v/>
      </c>
      <c r="F79" s="82">
        <f>'الاستثمار · المؤشرات'!V27</f>
        <v/>
      </c>
      <c r="G79" s="80">
        <f>'الاستثمار · المؤشرات'!W27</f>
        <v/>
      </c>
    </row>
    <row r="80">
      <c r="A80" s="80" t="n">
        <v>77</v>
      </c>
      <c r="B80" s="81" t="inlineStr">
        <is>
          <t>العقار</t>
        </is>
      </c>
      <c r="C80" s="81">
        <f>'العقار · المؤشرات'!C4</f>
        <v/>
      </c>
      <c r="D80" s="80">
        <f>'العقار · المؤشرات'!X4</f>
        <v/>
      </c>
      <c r="E80" s="81">
        <f>'العقار · المؤشرات'!Y4</f>
        <v/>
      </c>
      <c r="F80" s="82">
        <f>'العقار · المؤشرات'!V4</f>
        <v/>
      </c>
      <c r="G80" s="80">
        <f>'العقار · المؤشرات'!W4</f>
        <v/>
      </c>
    </row>
    <row r="81">
      <c r="A81" s="80" t="n">
        <v>78</v>
      </c>
      <c r="B81" s="81" t="inlineStr">
        <is>
          <t>العقار</t>
        </is>
      </c>
      <c r="C81" s="81">
        <f>'العقار · المؤشرات'!C5</f>
        <v/>
      </c>
      <c r="D81" s="80">
        <f>'العقار · المؤشرات'!X5</f>
        <v/>
      </c>
      <c r="E81" s="81">
        <f>'العقار · المؤشرات'!Y5</f>
        <v/>
      </c>
      <c r="F81" s="82">
        <f>'العقار · المؤشرات'!V5</f>
        <v/>
      </c>
      <c r="G81" s="80">
        <f>'العقار · المؤشرات'!W5</f>
        <v/>
      </c>
    </row>
    <row r="82">
      <c r="A82" s="80" t="n">
        <v>79</v>
      </c>
      <c r="B82" s="81" t="inlineStr">
        <is>
          <t>العقار</t>
        </is>
      </c>
      <c r="C82" s="81">
        <f>'العقار · المؤشرات'!C6</f>
        <v/>
      </c>
      <c r="D82" s="80">
        <f>'العقار · المؤشرات'!X6</f>
        <v/>
      </c>
      <c r="E82" s="81">
        <f>'العقار · المؤشرات'!Y6</f>
        <v/>
      </c>
      <c r="F82" s="82">
        <f>'العقار · المؤشرات'!V6</f>
        <v/>
      </c>
      <c r="G82" s="80">
        <f>'العقار · المؤشرات'!W6</f>
        <v/>
      </c>
    </row>
    <row r="83">
      <c r="A83" s="80" t="n">
        <v>80</v>
      </c>
      <c r="B83" s="81" t="inlineStr">
        <is>
          <t>العقار</t>
        </is>
      </c>
      <c r="C83" s="81">
        <f>'العقار · المؤشرات'!C7</f>
        <v/>
      </c>
      <c r="D83" s="80">
        <f>'العقار · المؤشرات'!X7</f>
        <v/>
      </c>
      <c r="E83" s="81">
        <f>'العقار · المؤشرات'!Y7</f>
        <v/>
      </c>
      <c r="F83" s="82">
        <f>'العقار · المؤشرات'!V7</f>
        <v/>
      </c>
      <c r="G83" s="80">
        <f>'العقار · المؤشرات'!W7</f>
        <v/>
      </c>
    </row>
    <row r="84">
      <c r="A84" s="80" t="n">
        <v>81</v>
      </c>
      <c r="B84" s="81" t="inlineStr">
        <is>
          <t>العقار</t>
        </is>
      </c>
      <c r="C84" s="81">
        <f>'العقار · المؤشرات'!C8</f>
        <v/>
      </c>
      <c r="D84" s="80">
        <f>'العقار · المؤشرات'!X8</f>
        <v/>
      </c>
      <c r="E84" s="81">
        <f>'العقار · المؤشرات'!Y8</f>
        <v/>
      </c>
      <c r="F84" s="82">
        <f>'العقار · المؤشرات'!V8</f>
        <v/>
      </c>
      <c r="G84" s="80">
        <f>'العقار · المؤشرات'!W8</f>
        <v/>
      </c>
    </row>
    <row r="85">
      <c r="A85" s="80" t="n">
        <v>82</v>
      </c>
      <c r="B85" s="81" t="inlineStr">
        <is>
          <t>العقار</t>
        </is>
      </c>
      <c r="C85" s="81">
        <f>'العقار · المؤشرات'!C9</f>
        <v/>
      </c>
      <c r="D85" s="80">
        <f>'العقار · المؤشرات'!X9</f>
        <v/>
      </c>
      <c r="E85" s="81">
        <f>'العقار · المؤشرات'!Y9</f>
        <v/>
      </c>
      <c r="F85" s="82">
        <f>'العقار · المؤشرات'!V9</f>
        <v/>
      </c>
      <c r="G85" s="80">
        <f>'العقار · المؤشرات'!W9</f>
        <v/>
      </c>
    </row>
    <row r="86">
      <c r="A86" s="80" t="n">
        <v>83</v>
      </c>
      <c r="B86" s="81" t="inlineStr">
        <is>
          <t>العقار</t>
        </is>
      </c>
      <c r="C86" s="81">
        <f>'العقار · المؤشرات'!C10</f>
        <v/>
      </c>
      <c r="D86" s="80">
        <f>'العقار · المؤشرات'!X10</f>
        <v/>
      </c>
      <c r="E86" s="81">
        <f>'العقار · المؤشرات'!Y10</f>
        <v/>
      </c>
      <c r="F86" s="82">
        <f>'العقار · المؤشرات'!V10</f>
        <v/>
      </c>
      <c r="G86" s="80">
        <f>'العقار · المؤشرات'!W10</f>
        <v/>
      </c>
    </row>
    <row r="87">
      <c r="A87" s="80" t="n">
        <v>84</v>
      </c>
      <c r="B87" s="81" t="inlineStr">
        <is>
          <t>العقار</t>
        </is>
      </c>
      <c r="C87" s="81">
        <f>'العقار · المؤشرات'!C11</f>
        <v/>
      </c>
      <c r="D87" s="80">
        <f>'العقار · المؤشرات'!X11</f>
        <v/>
      </c>
      <c r="E87" s="81">
        <f>'العقار · المؤشرات'!Y11</f>
        <v/>
      </c>
      <c r="F87" s="82">
        <f>'العقار · المؤشرات'!V11</f>
        <v/>
      </c>
      <c r="G87" s="80">
        <f>'العقار · المؤشرات'!W11</f>
        <v/>
      </c>
    </row>
    <row r="88">
      <c r="A88" s="80" t="n">
        <v>85</v>
      </c>
      <c r="B88" s="81" t="inlineStr">
        <is>
          <t>العقار</t>
        </is>
      </c>
      <c r="C88" s="81">
        <f>'العقار · المؤشرات'!C12</f>
        <v/>
      </c>
      <c r="D88" s="80">
        <f>'العقار · المؤشرات'!X12</f>
        <v/>
      </c>
      <c r="E88" s="81">
        <f>'العقار · المؤشرات'!Y12</f>
        <v/>
      </c>
      <c r="F88" s="82">
        <f>'العقار · المؤشرات'!V12</f>
        <v/>
      </c>
      <c r="G88" s="80">
        <f>'العقار · المؤشرات'!W12</f>
        <v/>
      </c>
    </row>
    <row r="89">
      <c r="A89" s="80" t="n">
        <v>86</v>
      </c>
      <c r="B89" s="81" t="inlineStr">
        <is>
          <t>العقار</t>
        </is>
      </c>
      <c r="C89" s="81">
        <f>'العقار · المؤشرات'!C13</f>
        <v/>
      </c>
      <c r="D89" s="80">
        <f>'العقار · المؤشرات'!X13</f>
        <v/>
      </c>
      <c r="E89" s="81">
        <f>'العقار · المؤشرات'!Y13</f>
        <v/>
      </c>
      <c r="F89" s="82">
        <f>'العقار · المؤشرات'!V13</f>
        <v/>
      </c>
      <c r="G89" s="80">
        <f>'العقار · المؤشرات'!W13</f>
        <v/>
      </c>
    </row>
    <row r="90">
      <c r="A90" s="80" t="n">
        <v>87</v>
      </c>
      <c r="B90" s="81" t="inlineStr">
        <is>
          <t>العقار</t>
        </is>
      </c>
      <c r="C90" s="81">
        <f>'العقار · المؤشرات'!C14</f>
        <v/>
      </c>
      <c r="D90" s="80">
        <f>'العقار · المؤشرات'!X14</f>
        <v/>
      </c>
      <c r="E90" s="81">
        <f>'العقار · المؤشرات'!Y14</f>
        <v/>
      </c>
      <c r="F90" s="82">
        <f>'العقار · المؤشرات'!V14</f>
        <v/>
      </c>
      <c r="G90" s="80">
        <f>'العقار · المؤشرات'!W14</f>
        <v/>
      </c>
    </row>
    <row r="91">
      <c r="A91" s="80" t="n">
        <v>88</v>
      </c>
      <c r="B91" s="81" t="inlineStr">
        <is>
          <t>العقار</t>
        </is>
      </c>
      <c r="C91" s="81">
        <f>'العقار · المؤشرات'!C15</f>
        <v/>
      </c>
      <c r="D91" s="80">
        <f>'العقار · المؤشرات'!X15</f>
        <v/>
      </c>
      <c r="E91" s="81">
        <f>'العقار · المؤشرات'!Y15</f>
        <v/>
      </c>
      <c r="F91" s="82">
        <f>'العقار · المؤشرات'!V15</f>
        <v/>
      </c>
      <c r="G91" s="80">
        <f>'العقار · المؤشرات'!W15</f>
        <v/>
      </c>
    </row>
    <row r="92">
      <c r="A92" s="80" t="n">
        <v>89</v>
      </c>
      <c r="B92" s="81" t="inlineStr">
        <is>
          <t>العقار</t>
        </is>
      </c>
      <c r="C92" s="81">
        <f>'العقار · المؤشرات'!C16</f>
        <v/>
      </c>
      <c r="D92" s="80">
        <f>'العقار · المؤشرات'!X16</f>
        <v/>
      </c>
      <c r="E92" s="81">
        <f>'العقار · المؤشرات'!Y16</f>
        <v/>
      </c>
      <c r="F92" s="82">
        <f>'العقار · المؤشرات'!V16</f>
        <v/>
      </c>
      <c r="G92" s="80">
        <f>'العقار · المؤشرات'!W16</f>
        <v/>
      </c>
    </row>
    <row r="93">
      <c r="A93" s="80" t="n">
        <v>90</v>
      </c>
      <c r="B93" s="81" t="inlineStr">
        <is>
          <t>العقار</t>
        </is>
      </c>
      <c r="C93" s="81">
        <f>'العقار · المؤشرات'!C17</f>
        <v/>
      </c>
      <c r="D93" s="80">
        <f>'العقار · المؤشرات'!X17</f>
        <v/>
      </c>
      <c r="E93" s="81">
        <f>'العقار · المؤشرات'!Y17</f>
        <v/>
      </c>
      <c r="F93" s="82">
        <f>'العقار · المؤشرات'!V17</f>
        <v/>
      </c>
      <c r="G93" s="80">
        <f>'العقار · المؤشرات'!W17</f>
        <v/>
      </c>
    </row>
    <row r="94">
      <c r="A94" s="80" t="n">
        <v>91</v>
      </c>
      <c r="B94" s="81" t="inlineStr">
        <is>
          <t>العقار</t>
        </is>
      </c>
      <c r="C94" s="81">
        <f>'العقار · المؤشرات'!C18</f>
        <v/>
      </c>
      <c r="D94" s="80">
        <f>'العقار · المؤشرات'!X18</f>
        <v/>
      </c>
      <c r="E94" s="81">
        <f>'العقار · المؤشرات'!Y18</f>
        <v/>
      </c>
      <c r="F94" s="82">
        <f>'العقار · المؤشرات'!V18</f>
        <v/>
      </c>
      <c r="G94" s="80">
        <f>'العقار · المؤشرات'!W18</f>
        <v/>
      </c>
    </row>
    <row r="95">
      <c r="A95" s="80" t="n">
        <v>92</v>
      </c>
      <c r="B95" s="81" t="inlineStr">
        <is>
          <t>العقار</t>
        </is>
      </c>
      <c r="C95" s="81">
        <f>'العقار · المؤشرات'!C19</f>
        <v/>
      </c>
      <c r="D95" s="80">
        <f>'العقار · المؤشرات'!X19</f>
        <v/>
      </c>
      <c r="E95" s="81">
        <f>'العقار · المؤشرات'!Y19</f>
        <v/>
      </c>
      <c r="F95" s="82">
        <f>'العقار · المؤشرات'!V19</f>
        <v/>
      </c>
      <c r="G95" s="80">
        <f>'العقار · المؤشرات'!W19</f>
        <v/>
      </c>
    </row>
    <row r="96">
      <c r="A96" s="80" t="n">
        <v>93</v>
      </c>
      <c r="B96" s="81" t="inlineStr">
        <is>
          <t>التقنية الرقمية</t>
        </is>
      </c>
      <c r="C96" s="81">
        <f>'التقنية الرقمية · المؤشرات'!C4</f>
        <v/>
      </c>
      <c r="D96" s="80">
        <f>'التقنية الرقمية · المؤشرات'!X4</f>
        <v/>
      </c>
      <c r="E96" s="81">
        <f>'التقنية الرقمية · المؤشرات'!Y4</f>
        <v/>
      </c>
      <c r="F96" s="82">
        <f>'التقنية الرقمية · المؤشرات'!V4</f>
        <v/>
      </c>
      <c r="G96" s="80">
        <f>'التقنية الرقمية · المؤشرات'!W4</f>
        <v/>
      </c>
    </row>
    <row r="97">
      <c r="A97" s="80" t="n">
        <v>94</v>
      </c>
      <c r="B97" s="81" t="inlineStr">
        <is>
          <t>التقنية الرقمية</t>
        </is>
      </c>
      <c r="C97" s="81">
        <f>'التقنية الرقمية · المؤشرات'!C5</f>
        <v/>
      </c>
      <c r="D97" s="80">
        <f>'التقنية الرقمية · المؤشرات'!X5</f>
        <v/>
      </c>
      <c r="E97" s="81">
        <f>'التقنية الرقمية · المؤشرات'!Y5</f>
        <v/>
      </c>
      <c r="F97" s="82">
        <f>'التقنية الرقمية · المؤشرات'!V5</f>
        <v/>
      </c>
      <c r="G97" s="80">
        <f>'التقنية الرقمية · المؤشرات'!W5</f>
        <v/>
      </c>
    </row>
    <row r="98">
      <c r="A98" s="80" t="n">
        <v>95</v>
      </c>
      <c r="B98" s="81" t="inlineStr">
        <is>
          <t>التقنية الرقمية</t>
        </is>
      </c>
      <c r="C98" s="81">
        <f>'التقنية الرقمية · المؤشرات'!C6</f>
        <v/>
      </c>
      <c r="D98" s="80">
        <f>'التقنية الرقمية · المؤشرات'!X6</f>
        <v/>
      </c>
      <c r="E98" s="81">
        <f>'التقنية الرقمية · المؤشرات'!Y6</f>
        <v/>
      </c>
      <c r="F98" s="82">
        <f>'التقنية الرقمية · المؤشرات'!V6</f>
        <v/>
      </c>
      <c r="G98" s="80">
        <f>'التقنية الرقمية · المؤشرات'!W6</f>
        <v/>
      </c>
    </row>
    <row r="99">
      <c r="A99" s="80" t="n">
        <v>96</v>
      </c>
      <c r="B99" s="81" t="inlineStr">
        <is>
          <t>التقنية الرقمية</t>
        </is>
      </c>
      <c r="C99" s="81">
        <f>'التقنية الرقمية · المؤشرات'!C7</f>
        <v/>
      </c>
      <c r="D99" s="80">
        <f>'التقنية الرقمية · المؤشرات'!X7</f>
        <v/>
      </c>
      <c r="E99" s="81">
        <f>'التقنية الرقمية · المؤشرات'!Y7</f>
        <v/>
      </c>
      <c r="F99" s="82">
        <f>'التقنية الرقمية · المؤشرات'!V7</f>
        <v/>
      </c>
      <c r="G99" s="80">
        <f>'التقنية الرقمية · المؤشرات'!W7</f>
        <v/>
      </c>
    </row>
    <row r="100">
      <c r="A100" s="80" t="n">
        <v>97</v>
      </c>
      <c r="B100" s="81" t="inlineStr">
        <is>
          <t>التقنية الرقمية</t>
        </is>
      </c>
      <c r="C100" s="81">
        <f>'التقنية الرقمية · المؤشرات'!C8</f>
        <v/>
      </c>
      <c r="D100" s="80">
        <f>'التقنية الرقمية · المؤشرات'!X8</f>
        <v/>
      </c>
      <c r="E100" s="81">
        <f>'التقنية الرقمية · المؤشرات'!Y8</f>
        <v/>
      </c>
      <c r="F100" s="82">
        <f>'التقنية الرقمية · المؤشرات'!V8</f>
        <v/>
      </c>
      <c r="G100" s="80">
        <f>'التقنية الرقمية · المؤشرات'!W8</f>
        <v/>
      </c>
    </row>
    <row r="101">
      <c r="A101" s="80" t="n">
        <v>98</v>
      </c>
      <c r="B101" s="81" t="inlineStr">
        <is>
          <t>التقنية الرقمية</t>
        </is>
      </c>
      <c r="C101" s="81">
        <f>'التقنية الرقمية · المؤشرات'!C9</f>
        <v/>
      </c>
      <c r="D101" s="80">
        <f>'التقنية الرقمية · المؤشرات'!X9</f>
        <v/>
      </c>
      <c r="E101" s="81">
        <f>'التقنية الرقمية · المؤشرات'!Y9</f>
        <v/>
      </c>
      <c r="F101" s="82">
        <f>'التقنية الرقمية · المؤشرات'!V9</f>
        <v/>
      </c>
      <c r="G101" s="80">
        <f>'التقنية الرقمية · المؤشرات'!W9</f>
        <v/>
      </c>
    </row>
    <row r="102">
      <c r="A102" s="80" t="n">
        <v>99</v>
      </c>
      <c r="B102" s="81" t="inlineStr">
        <is>
          <t>التقنية الرقمية</t>
        </is>
      </c>
      <c r="C102" s="81">
        <f>'التقنية الرقمية · المؤشرات'!C10</f>
        <v/>
      </c>
      <c r="D102" s="80">
        <f>'التقنية الرقمية · المؤشرات'!X10</f>
        <v/>
      </c>
      <c r="E102" s="81">
        <f>'التقنية الرقمية · المؤشرات'!Y10</f>
        <v/>
      </c>
      <c r="F102" s="82">
        <f>'التقنية الرقمية · المؤشرات'!V10</f>
        <v/>
      </c>
      <c r="G102" s="80">
        <f>'التقنية الرقمية · المؤشرات'!W10</f>
        <v/>
      </c>
    </row>
    <row r="103">
      <c r="A103" s="80" t="n">
        <v>100</v>
      </c>
      <c r="B103" s="81" t="inlineStr">
        <is>
          <t>التقنية الرقمية</t>
        </is>
      </c>
      <c r="C103" s="81">
        <f>'التقنية الرقمية · المؤشرات'!C11</f>
        <v/>
      </c>
      <c r="D103" s="80">
        <f>'التقنية الرقمية · المؤشرات'!X11</f>
        <v/>
      </c>
      <c r="E103" s="81">
        <f>'التقنية الرقمية · المؤشرات'!Y11</f>
        <v/>
      </c>
      <c r="F103" s="82">
        <f>'التقنية الرقمية · المؤشرات'!V11</f>
        <v/>
      </c>
      <c r="G103" s="80">
        <f>'التقنية الرقمية · المؤشرات'!W11</f>
        <v/>
      </c>
    </row>
    <row r="104">
      <c r="A104" s="80" t="n">
        <v>101</v>
      </c>
      <c r="B104" s="81" t="inlineStr">
        <is>
          <t>الموارد البشرية</t>
        </is>
      </c>
      <c r="C104" s="81">
        <f>'الموارد البشرية · المؤشرات'!C4</f>
        <v/>
      </c>
      <c r="D104" s="80">
        <f>'الموارد البشرية · المؤشرات'!X4</f>
        <v/>
      </c>
      <c r="E104" s="81">
        <f>'الموارد البشرية · المؤشرات'!Y4</f>
        <v/>
      </c>
      <c r="F104" s="82">
        <f>'الموارد البشرية · المؤشرات'!V4</f>
        <v/>
      </c>
      <c r="G104" s="80">
        <f>'الموارد البشرية · المؤشرات'!W4</f>
        <v/>
      </c>
    </row>
    <row r="105">
      <c r="A105" s="80" t="n">
        <v>102</v>
      </c>
      <c r="B105" s="81" t="inlineStr">
        <is>
          <t>الموارد البشرية</t>
        </is>
      </c>
      <c r="C105" s="81">
        <f>'الموارد البشرية · المؤشرات'!C5</f>
        <v/>
      </c>
      <c r="D105" s="80">
        <f>'الموارد البشرية · المؤشرات'!X5</f>
        <v/>
      </c>
      <c r="E105" s="81">
        <f>'الموارد البشرية · المؤشرات'!Y5</f>
        <v/>
      </c>
      <c r="F105" s="82">
        <f>'الموارد البشرية · المؤشرات'!V5</f>
        <v/>
      </c>
      <c r="G105" s="80">
        <f>'الموارد البشرية · المؤشرات'!W5</f>
        <v/>
      </c>
    </row>
    <row r="106">
      <c r="A106" s="80" t="n">
        <v>103</v>
      </c>
      <c r="B106" s="81" t="inlineStr">
        <is>
          <t>الموارد البشرية</t>
        </is>
      </c>
      <c r="C106" s="81">
        <f>'الموارد البشرية · المؤشرات'!C6</f>
        <v/>
      </c>
      <c r="D106" s="80">
        <f>'الموارد البشرية · المؤشرات'!X6</f>
        <v/>
      </c>
      <c r="E106" s="81">
        <f>'الموارد البشرية · المؤشرات'!Y6</f>
        <v/>
      </c>
      <c r="F106" s="82">
        <f>'الموارد البشرية · المؤشرات'!V6</f>
        <v/>
      </c>
      <c r="G106" s="80">
        <f>'الموارد البشرية · المؤشرات'!W6</f>
        <v/>
      </c>
    </row>
    <row r="107">
      <c r="A107" s="80" t="n">
        <v>104</v>
      </c>
      <c r="B107" s="81" t="inlineStr">
        <is>
          <t>الموارد البشرية</t>
        </is>
      </c>
      <c r="C107" s="81">
        <f>'الموارد البشرية · المؤشرات'!C7</f>
        <v/>
      </c>
      <c r="D107" s="80">
        <f>'الموارد البشرية · المؤشرات'!X7</f>
        <v/>
      </c>
      <c r="E107" s="81">
        <f>'الموارد البشرية · المؤشرات'!Y7</f>
        <v/>
      </c>
      <c r="F107" s="82">
        <f>'الموارد البشرية · المؤشرات'!V7</f>
        <v/>
      </c>
      <c r="G107" s="80">
        <f>'الموارد البشرية · المؤشرات'!W7</f>
        <v/>
      </c>
    </row>
    <row r="108">
      <c r="A108" s="80" t="n">
        <v>105</v>
      </c>
      <c r="B108" s="81" t="inlineStr">
        <is>
          <t>الموارد البشرية</t>
        </is>
      </c>
      <c r="C108" s="81">
        <f>'الموارد البشرية · المؤشرات'!C8</f>
        <v/>
      </c>
      <c r="D108" s="80">
        <f>'الموارد البشرية · المؤشرات'!X8</f>
        <v/>
      </c>
      <c r="E108" s="81">
        <f>'الموارد البشرية · المؤشرات'!Y8</f>
        <v/>
      </c>
      <c r="F108" s="82">
        <f>'الموارد البشرية · المؤشرات'!V8</f>
        <v/>
      </c>
      <c r="G108" s="80">
        <f>'الموارد البشرية · المؤشرات'!W8</f>
        <v/>
      </c>
    </row>
    <row r="109">
      <c r="A109" s="80" t="n">
        <v>106</v>
      </c>
      <c r="B109" s="81" t="inlineStr">
        <is>
          <t>الموارد البشرية</t>
        </is>
      </c>
      <c r="C109" s="81">
        <f>'الموارد البشرية · المؤشرات'!C9</f>
        <v/>
      </c>
      <c r="D109" s="80">
        <f>'الموارد البشرية · المؤشرات'!X9</f>
        <v/>
      </c>
      <c r="E109" s="81">
        <f>'الموارد البشرية · المؤشرات'!Y9</f>
        <v/>
      </c>
      <c r="F109" s="82">
        <f>'الموارد البشرية · المؤشرات'!V9</f>
        <v/>
      </c>
      <c r="G109" s="80">
        <f>'الموارد البشرية · المؤشرات'!W9</f>
        <v/>
      </c>
    </row>
    <row r="110">
      <c r="A110" s="80" t="n">
        <v>107</v>
      </c>
      <c r="B110" s="81" t="inlineStr">
        <is>
          <t>الموارد البشرية</t>
        </is>
      </c>
      <c r="C110" s="81">
        <f>'الموارد البشرية · المؤشرات'!C10</f>
        <v/>
      </c>
      <c r="D110" s="80">
        <f>'الموارد البشرية · المؤشرات'!X10</f>
        <v/>
      </c>
      <c r="E110" s="81">
        <f>'الموارد البشرية · المؤشرات'!Y10</f>
        <v/>
      </c>
      <c r="F110" s="82">
        <f>'الموارد البشرية · المؤشرات'!V10</f>
        <v/>
      </c>
      <c r="G110" s="80">
        <f>'الموارد البشرية · المؤشرات'!W10</f>
        <v/>
      </c>
    </row>
    <row r="111">
      <c r="A111" s="80" t="n">
        <v>108</v>
      </c>
      <c r="B111" s="81" t="inlineStr">
        <is>
          <t>الموارد البشرية</t>
        </is>
      </c>
      <c r="C111" s="81">
        <f>'الموارد البشرية · المؤشرات'!C11</f>
        <v/>
      </c>
      <c r="D111" s="80">
        <f>'الموارد البشرية · المؤشرات'!X11</f>
        <v/>
      </c>
      <c r="E111" s="81">
        <f>'الموارد البشرية · المؤشرات'!Y11</f>
        <v/>
      </c>
      <c r="F111" s="82">
        <f>'الموارد البشرية · المؤشرات'!V11</f>
        <v/>
      </c>
      <c r="G111" s="80">
        <f>'الموارد البشرية · المؤشرات'!W11</f>
        <v/>
      </c>
    </row>
  </sheetData>
  <sheetProtection selectLockedCells="1" selectUnlockedCells="1" sheet="1" objects="0" insertRows="1" insertHyperlinks="1" autoFilter="1" scenarios="0" formatColumns="1" deleteColumns="1" insertColumns="1" pivotTables="1" deleteRows="1" formatCells="0" formatRows="1" sort="1" password="EFFF"/>
  <mergeCells count="2">
    <mergeCell ref="A2:G2"/>
    <mergeCell ref="A1:G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2026-06-10T08:40:35Z</dcterms:created>
  <dcterms:modified xsi:type="dcterms:W3CDTF">2026-06-10T08:40:36Z</dcterms:modified>
</cp:coreProperties>
</file>